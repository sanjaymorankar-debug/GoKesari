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 me" sheetId="1" state="visible" r:id="rId1"/>
    <sheet name="Run summary" sheetId="2" state="visible" r:id="rId2"/>
    <sheet name="Change log" sheetId="3" state="visible" r:id="rId3"/>
    <sheet name="Test cases" sheetId="4" state="visible" r:id="rId4"/>
    <sheet name="E2E scenarios" sheetId="5" state="visible" r:id="rId5"/>
    <sheet name="Coverage" sheetId="6" state="visible" r:id="rId6"/>
    <sheet name="Not yet testable" sheetId="7" state="visible" r:id="rId7"/>
    <sheet name="Test data" sheetId="8" state="visible" r:id="rId8"/>
  </sheets>
  <definedNames>
    <definedName name="_xlnm._FilterDatabase" localSheetId="2" hidden="1">'Change log'!$A$1:$C$73</definedName>
    <definedName name="_xlnm._FilterDatabase" localSheetId="3" hidden="1">'Test cases'!$A$1:$P$840</definedName>
    <definedName name="_xlnm._FilterDatabase" localSheetId="4" hidden="1">'E2E scenarios'!$A$1:$H$38</definedName>
    <definedName name="_xlnm._FilterDatabase" localSheetId="5" hidden="1">'Coverage'!$A$1:$G$177</definedName>
    <definedName name="_xlnm._FilterDatabase" localSheetId="6" hidden="1">'Not yet testable'!$A$1:$D$10</definedName>
    <definedName name="_xlnm._FilterDatabase" localSheetId="7" hidden="1">'Test data'!$A$1:$D$30</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Calibri"/>
      <charset val="1"/>
      <family val="0"/>
      <b val="1"/>
      <color rgb="FF1F3864"/>
      <sz val="16"/>
    </font>
    <font>
      <name val="Calibri"/>
      <charset val="1"/>
      <family val="0"/>
      <sz val="10"/>
    </font>
    <font>
      <name val="Calibri"/>
      <charset val="1"/>
      <family val="0"/>
      <b val="1"/>
      <color rgb="FF1F3864"/>
      <sz val="12"/>
    </font>
    <font>
      <name val="Calibri"/>
      <charset val="1"/>
      <family val="0"/>
      <b val="1"/>
      <sz val="10"/>
    </font>
    <font>
      <name val="Calibri"/>
      <charset val="1"/>
      <family val="0"/>
      <b val="1"/>
      <color rgb="FFFFFFFF"/>
      <sz val="10"/>
    </font>
  </fonts>
  <fills count="3">
    <fill>
      <patternFill/>
    </fill>
    <fill>
      <patternFill patternType="gray125"/>
    </fill>
    <fill>
      <patternFill patternType="solid">
        <fgColor rgb="FF1F3864"/>
        <bgColor rgb="FF333333"/>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general" vertical="bottom"/>
    </xf>
    <xf numFmtId="0" fontId="5" fillId="0" borderId="1"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general" vertical="bottom"/>
    </xf>
    <xf numFmtId="0" fontId="5" fillId="0" borderId="1" applyAlignment="1" pivotButton="0" quotePrefix="0" xfId="0">
      <alignment horizontal="general" vertical="bottom"/>
    </xf>
    <xf numFmtId="0" fontId="5" fillId="0" borderId="1"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5"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2" min="1" max="1"/>
    <col width="120" customWidth="1" style="12" min="2" max="2"/>
  </cols>
  <sheetData>
    <row r="1" ht="59.25" customHeight="1" s="13">
      <c r="A1" s="14" t="inlineStr">
        <is>
          <t>GoKesari - test scenarios and test cases</t>
        </is>
      </c>
      <c r="B1" s="15" t="n"/>
    </row>
    <row r="2" ht="57.75" customHeight="1" s="13">
      <c r="A2" s="15" t="inlineStr">
        <is>
          <t>Prepared 3 Oct 2026 for execution by Claude in a browser against the test site. Nothing here has been run yet - every Expected result is a claim to confirm or refute. Updated 3 Oct with three new requirements (NEW-008 to NEW-010), field-level, log out and sell / purchase / inventory cases - see the Change log sheet. Updated 4 Oct: the 24 open features are treated as completed and have positive and negative cases.</t>
        </is>
      </c>
    </row>
    <row r="3" ht="15" customHeight="1" s="13">
      <c r="A3" s="15" t="n"/>
      <c r="B3" s="15" t="n"/>
    </row>
    <row r="4" ht="15" customHeight="1" s="13">
      <c r="A4" s="16" t="inlineStr">
        <is>
          <t>What is in this workbook</t>
        </is>
      </c>
      <c r="B4" s="15" t="n"/>
    </row>
    <row r="5" ht="23.25" customHeight="1" s="13">
      <c r="A5" s="17" t="inlineStr">
        <is>
          <t>Test cases</t>
        </is>
      </c>
      <c r="B5" s="15" t="inlineStr">
        <is>
          <t>826 cases across 30 modules (P0 320, P1 345, P2 161; the QA automation module TC-QA-001 to 007 and the Purchase lists module TC-LIST-001 to 028 added 24 Oct). One row per case with steps, expected result, the feature IDs it covers and the earlier plan it comes from. 213 cases were added on 3 Oct and 106 on 4 Oct.</t>
        </is>
      </c>
    </row>
    <row r="6" ht="15" customHeight="1" s="13">
      <c r="A6" s="17" t="inlineStr">
        <is>
          <t>E2E scenarios</t>
        </is>
      </c>
      <c r="B6" s="15" t="inlineStr">
        <is>
          <t>37 end-to-end journeys built from the ten workflows (WF-001 to WF-010), the MVP vertical flow, the 3-Oct requirements (SC-23 to SC-28) and the open features treated as completed (SC-29 to SC-35); SC-36 and SC-37 (24 Oct) are the QA release check and the Claude QA agent's signed-in run.</t>
        </is>
      </c>
    </row>
    <row r="7" ht="15" customHeight="1" s="13">
      <c r="A7" s="17" t="inlineStr">
        <is>
          <t>Coverage</t>
        </is>
      </c>
      <c r="B7" s="15" t="inlineStr">
        <is>
          <t>Every feature ID from the 28-Sep status report plus NEW-001 to NEW-010, with the test cases that cover it.</t>
        </is>
      </c>
    </row>
    <row r="8" ht="15" customHeight="1" s="13">
      <c r="A8" s="17" t="inlineStr">
        <is>
          <t>Not yet testable</t>
        </is>
      </c>
      <c r="B8" s="15" t="inlineStr">
        <is>
          <t>Features still with no code behind them and not in the 3-Oct open-features list. Listed so nobody reports them as defects.</t>
        </is>
      </c>
    </row>
    <row r="9" ht="15" customHeight="1" s="13">
      <c r="A9" s="17" t="inlineStr">
        <is>
          <t>Test data</t>
        </is>
      </c>
      <c r="B9" s="15" t="inlineStr">
        <is>
          <t>Accounts and seed data to prepare before the run.</t>
        </is>
      </c>
    </row>
    <row r="10" ht="15" customHeight="1" s="13">
      <c r="A10" s="17" t="inlineStr">
        <is>
          <t>Run summary</t>
        </is>
      </c>
      <c r="B10" s="15" t="inlineStr">
        <is>
          <t>Live pass/fail counts per module, driven by the Status column.</t>
        </is>
      </c>
    </row>
    <row r="11" ht="15" customHeight="1" s="13">
      <c r="A11" s="17" t="inlineStr">
        <is>
          <t>Change log</t>
        </is>
      </c>
      <c r="B11" s="15" t="inlineStr">
        <is>
          <t>What was added or changed on 3 Oct and 4 Oct, and the open questions to confirm with the owner.</t>
        </is>
      </c>
    </row>
    <row r="12" ht="15" customHeight="1" s="13">
      <c r="A12" s="15" t="n"/>
      <c r="B12" s="15" t="n"/>
    </row>
    <row r="13" ht="15" customHeight="1" s="13">
      <c r="A13" s="16" t="inlineStr">
        <is>
          <t>Sources used</t>
        </is>
      </c>
      <c r="B13" s="15" t="n"/>
    </row>
    <row r="14" ht="34.5" customHeight="1" s="13">
      <c r="A14" s="17" t="inlineStr">
        <is>
          <t>Feature lists</t>
        </is>
      </c>
      <c r="B14" s="15" t="inlineStr">
        <is>
          <t>Gokesari_Complete_Features_and_Workflows.xlsx (Feature Master, Workflow Master, RBAC Matrix, State Machines, Gig Assignment Rules, Navigation, KPIs); GOKESARI_FEATURE_STATUS_REPORT 27-Sep, 28-Sep and the 2-Oct re-audit in the repository; GOKESARI_IMPLEMENTATION_PRIORITY_UPDATED.xlsx (fast go-live priority, MVP vertical flow).</t>
        </is>
      </c>
    </row>
    <row r="15" ht="34.5" customHeight="1" s="13">
      <c r="A15" s="17" t="inlineStr">
        <is>
          <t>Earlier test plans</t>
        </is>
      </c>
      <c r="B15" s="15" t="inlineStr">
        <is>
          <t>docs/gokesari-audit/QA_TEST_PLAN_COMPLETE_IN_PROGRESS.md (Phases A-J), GOKESARI_TEST_PLAN.md, the 'Testing handoff' blocks in PHASE1_DEV_LOG.md (Slices 1, 3-4, 6, Phases 2, 3, 4.3, 4.5, duplicate-shop fix, closed-shop ordering), docs/login-profile/DEPLOY_AND_TEST.md, GOKESARI_REGRESSION_MATRIX.xlsx, tests/e2e/acceptance.spec.ts, API.md, RBAC_PLAN.md.</t>
        </is>
      </c>
    </row>
    <row r="16" ht="15" customHeight="1" s="13">
      <c r="A16" s="15" t="n"/>
      <c r="B16" s="15" t="n"/>
    </row>
    <row r="17" ht="15" customHeight="1" s="13">
      <c r="A17" s="16" t="inlineStr">
        <is>
          <t>Rules for the run</t>
        </is>
      </c>
      <c r="B17" s="15" t="n"/>
    </row>
    <row r="18" ht="15" customHeight="1" s="13">
      <c r="A18" s="17" t="inlineStr">
        <is>
          <t>1. Environment</t>
        </is>
      </c>
      <c r="B18" s="15" t="inlineStr">
        <is>
          <t>Run everything on https://test.gokesari.com. Production (gokesari.com) gets only the read-only smoke case TC-PRE-010. Check the host before every write.</t>
        </is>
      </c>
    </row>
    <row r="19" ht="15" customHeight="1" s="13">
      <c r="A19" s="17" t="inlineStr">
        <is>
          <t>2. Start with Preflight</t>
        </is>
      </c>
      <c r="B19" s="15" t="inlineStr">
        <is>
          <t>Run TC-PRE-001 to TC-PRE-008 first. They show which build and migrations are on test and which modules will be Blocked.</t>
        </is>
      </c>
    </row>
    <row r="20" ht="23.25" customHeight="1" s="13">
      <c r="A20" s="17" t="inlineStr">
        <is>
          <t>3. Order of work</t>
        </is>
      </c>
      <c r="B20" s="15" t="inlineStr">
        <is>
          <t>Preflight -&gt; Login -&gt; Access control -&gt; Location -&gt; Discovery -&gt; Cart -&gt; Wallet -&gt; Fulfilment -&gt; Dispatch -&gt; Delivery -&gt; Order state/cancellation -&gt; the rest. P0 first inside each module, then the E2E scenarios.</t>
        </is>
      </c>
    </row>
    <row r="21" ht="23.25" customHeight="1" s="13">
      <c r="A21" s="17" t="inlineStr">
        <is>
          <t>4. Sign-in</t>
        </is>
      </c>
      <c r="B21" s="15" t="inlineStr">
        <is>
          <t>Claude does not type passwords. The owner signs each test account in (or reads out the email code) in the browser Claude is driving. Keep one browser profile per role where two roles must act at the same time.</t>
        </is>
      </c>
    </row>
    <row r="22" ht="23.25" customHeight="1" s="13">
      <c r="A22" s="17" t="inlineStr">
        <is>
          <t>5. Method column</t>
        </is>
      </c>
      <c r="B22" s="15" t="inlineStr">
        <is>
          <t>UI = through the pages. API = a fetch from the signed-in browser session to the listed endpoint, reading status and JSON. DB = needs database access to the TEST database; mark Blocked if not available. Never point any test tooling at the production database.</t>
        </is>
      </c>
    </row>
    <row r="23" ht="23.25" customHeight="1" s="13">
      <c r="A23" s="17" t="inlineStr">
        <is>
          <t>6. Money</t>
        </is>
      </c>
      <c r="B23" s="15" t="inlineStr">
        <is>
          <t>Use mock / sandbox payments only, for wallet top-ups and for online order payments. Never complete a real payment. Amounts are integer paise in the API (Rs 70.00 = 7000) and quantities are milli-units (2 L = 2000).</t>
        </is>
      </c>
    </row>
    <row r="24" ht="23.25" customHeight="1" s="13">
      <c r="A24" s="17" t="inlineStr">
        <is>
          <t>7. Time-based cases</t>
        </is>
      </c>
      <c r="B24" s="15" t="inlineStr">
        <is>
          <t>Cases that wait for expiry or cron (OTP expiry, offer expiry, rider search limits, notification retries) can be shortened by lowering the rule in /admin/settings on test, then restoring the default.</t>
        </is>
      </c>
    </row>
    <row r="25" ht="23.25" customHeight="1" s="13">
      <c r="A25" s="17" t="inlineStr">
        <is>
          <t>8. Recording results</t>
        </is>
      </c>
      <c r="B25" s="15" t="inlineStr">
        <is>
          <t>Set Status to Pass, Fail, Blocked or Not run. For a Fail write the actual result, the URL, the request/response or a screenshot name. For Blocked say why. Log defects with the TC ID.</t>
        </is>
      </c>
    </row>
    <row r="26" ht="15" customHeight="1" s="13">
      <c r="A26" s="17" t="inlineStr">
        <is>
          <t>9. Clean up</t>
        </is>
      </c>
      <c r="B26" s="15" t="inlineStr">
        <is>
          <t>Restore every rule changed in /admin/settings, reinstate suspended shops/users, and note any test data left behind.</t>
        </is>
      </c>
    </row>
    <row r="27" ht="23.25" customHeight="1" s="13">
      <c r="A27" s="17" t="inlineStr">
        <is>
          <t>10. New requirements</t>
        </is>
      </c>
      <c r="B27" s="15" t="inlineStr">
        <is>
          <t>NEW-008 to NEW-010 were stated on 3 Oct. Run TC-PRE-011 first; where the build does not have a requirement yet, mark its cases Blocked, not Fail. Open questions in the Change log decide a few Expected results.</t>
        </is>
      </c>
    </row>
    <row r="28" ht="15" customHeight="1" s="13">
      <c r="A28" s="17" t="inlineStr">
        <is>
          <t>11. Open features</t>
        </is>
      </c>
      <c r="B28" s="15" t="inlineStr">
        <is>
          <t>The 24 open features are written as if built. Run TC-PRE-012 first; where a feature is not on the test build yet, mark its cases Blocked, not Fail.</t>
        </is>
      </c>
    </row>
    <row r="29" ht="15" customHeight="1" s="13">
      <c r="A29" s="15" t="n"/>
      <c r="B29" s="15" t="n"/>
    </row>
    <row r="30" ht="15" customHeight="1" s="13">
      <c r="A30" s="17" t="inlineStr">
        <is>
          <t>Status values</t>
        </is>
      </c>
      <c r="B30" s="15" t="inlineStr">
        <is>
          <t>Pass = behaves as Expected. Fail = differs. Blocked = cannot be tested (say why). Not run = not attempted.</t>
        </is>
      </c>
    </row>
    <row r="31" ht="15" customHeight="1" s="13">
      <c r="A31" s="17" t="inlineStr">
        <is>
          <t>Priority</t>
        </is>
      </c>
      <c r="B31" s="15" t="inlineStr">
        <is>
          <t>P0 = go-live blocker path (login, order, pay, fulfil, deliver, money, access control). P1 = important. P2 = secondary / edge.</t>
        </is>
      </c>
    </row>
  </sheetData>
  <mergeCells count="1">
    <mergeCell ref="A2:B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3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6" customWidth="1" style="12" min="1" max="1"/>
    <col width="13" customWidth="1" style="12" min="2" max="8"/>
  </cols>
  <sheetData>
    <row r="1" ht="15" customHeight="1" s="13">
      <c r="A1" s="18" t="inlineStr">
        <is>
          <t>Module</t>
        </is>
      </c>
      <c r="B1" s="18" t="inlineStr">
        <is>
          <t>Cases</t>
        </is>
      </c>
      <c r="C1" s="18" t="inlineStr">
        <is>
          <t>Pass</t>
        </is>
      </c>
      <c r="D1" s="18" t="inlineStr">
        <is>
          <t>Fail</t>
        </is>
      </c>
      <c r="E1" s="18" t="inlineStr">
        <is>
          <t>Blocked</t>
        </is>
      </c>
      <c r="F1" s="18" t="inlineStr">
        <is>
          <t>Not run</t>
        </is>
      </c>
      <c r="G1" s="18" t="inlineStr">
        <is>
          <t>P0 cases</t>
        </is>
      </c>
      <c r="H1" s="18" t="inlineStr">
        <is>
          <t>P0 not passed</t>
        </is>
      </c>
    </row>
    <row r="2" ht="15" customHeight="1" s="13">
      <c r="A2" s="20" t="inlineStr">
        <is>
          <t>Preflight &amp; smoke</t>
        </is>
      </c>
      <c r="B2" s="20">
        <f>COUNTIF('Test cases'!$B$2:$B$840,A2)</f>
        <v/>
      </c>
      <c r="C2" s="20">
        <f>COUNTIFS('Test cases'!$B$2:$B$840,$A2,'Test cases'!$M$2:$M$840,"Pass")</f>
        <v/>
      </c>
      <c r="D2" s="20">
        <f>COUNTIFS('Test cases'!$B$2:$B$840,$A2,'Test cases'!$M$2:$M$840,"Fail")</f>
        <v/>
      </c>
      <c r="E2" s="20">
        <f>COUNTIFS('Test cases'!$B$2:$B$840,$A2,'Test cases'!$M$2:$M$840,"Blocked")</f>
        <v/>
      </c>
      <c r="F2" s="20">
        <f>COUNTIFS('Test cases'!$B$2:$B$840,$A2,'Test cases'!$M$2:$M$840,"Not run")</f>
        <v/>
      </c>
      <c r="G2" s="20">
        <f>COUNTIFS('Test cases'!$B$2:$B$840,$A2,'Test cases'!$F$2:$F$840,"P0")</f>
        <v/>
      </c>
      <c r="H2" s="20">
        <f>G2-COUNTIFS('Test cases'!$B$2:$B$840,$A2,'Test cases'!$F$2:$F$840,"P0",'Test cases'!$M$2:$M$840,"Pass")</f>
        <v/>
      </c>
    </row>
    <row r="3" ht="15" customHeight="1" s="13">
      <c r="A3" s="20" t="inlineStr">
        <is>
          <t>Login, onboarding &amp; profile</t>
        </is>
      </c>
      <c r="B3" s="20">
        <f>COUNTIF('Test cases'!$B$2:$B$840,A3)</f>
        <v/>
      </c>
      <c r="C3" s="20">
        <f>COUNTIFS('Test cases'!$B$2:$B$840,$A3,'Test cases'!$M$2:$M$840,"Pass")</f>
        <v/>
      </c>
      <c r="D3" s="20">
        <f>COUNTIFS('Test cases'!$B$2:$B$840,$A3,'Test cases'!$M$2:$M$840,"Fail")</f>
        <v/>
      </c>
      <c r="E3" s="20">
        <f>COUNTIFS('Test cases'!$B$2:$B$840,$A3,'Test cases'!$M$2:$M$840,"Blocked")</f>
        <v/>
      </c>
      <c r="F3" s="20">
        <f>COUNTIFS('Test cases'!$B$2:$B$840,$A3,'Test cases'!$M$2:$M$840,"Not run")</f>
        <v/>
      </c>
      <c r="G3" s="20">
        <f>COUNTIFS('Test cases'!$B$2:$B$840,$A3,'Test cases'!$F$2:$F$840,"P0")</f>
        <v/>
      </c>
      <c r="H3" s="20">
        <f>G3-COUNTIFS('Test cases'!$B$2:$B$840,$A3,'Test cases'!$F$2:$F$840,"P0",'Test cases'!$M$2:$M$840,"Pass")</f>
        <v/>
      </c>
    </row>
    <row r="4" ht="15" customHeight="1" s="13">
      <c r="A4" s="20" t="inlineStr">
        <is>
          <t>Roles &amp; access control</t>
        </is>
      </c>
      <c r="B4" s="20">
        <f>COUNTIF('Test cases'!$B$2:$B$840,A4)</f>
        <v/>
      </c>
      <c r="C4" s="20">
        <f>COUNTIFS('Test cases'!$B$2:$B$840,$A4,'Test cases'!$M$2:$M$840,"Pass")</f>
        <v/>
      </c>
      <c r="D4" s="20">
        <f>COUNTIFS('Test cases'!$B$2:$B$840,$A4,'Test cases'!$M$2:$M$840,"Fail")</f>
        <v/>
      </c>
      <c r="E4" s="20">
        <f>COUNTIFS('Test cases'!$B$2:$B$840,$A4,'Test cases'!$M$2:$M$840,"Blocked")</f>
        <v/>
      </c>
      <c r="F4" s="20">
        <f>COUNTIFS('Test cases'!$B$2:$B$840,$A4,'Test cases'!$M$2:$M$840,"Not run")</f>
        <v/>
      </c>
      <c r="G4" s="20">
        <f>COUNTIFS('Test cases'!$B$2:$B$840,$A4,'Test cases'!$F$2:$F$840,"P0")</f>
        <v/>
      </c>
      <c r="H4" s="20">
        <f>G4-COUNTIFS('Test cases'!$B$2:$B$840,$A4,'Test cases'!$F$2:$F$840,"P0",'Test cases'!$M$2:$M$840,"Pass")</f>
        <v/>
      </c>
    </row>
    <row r="5" ht="15" customHeight="1" s="13">
      <c r="A5" s="20" t="inlineStr">
        <is>
          <t>Location, addresses &amp; serviceability</t>
        </is>
      </c>
      <c r="B5" s="20">
        <f>COUNTIF('Test cases'!$B$2:$B$840,A5)</f>
        <v/>
      </c>
      <c r="C5" s="20">
        <f>COUNTIFS('Test cases'!$B$2:$B$840,$A5,'Test cases'!$M$2:$M$840,"Pass")</f>
        <v/>
      </c>
      <c r="D5" s="20">
        <f>COUNTIFS('Test cases'!$B$2:$B$840,$A5,'Test cases'!$M$2:$M$840,"Fail")</f>
        <v/>
      </c>
      <c r="E5" s="20">
        <f>COUNTIFS('Test cases'!$B$2:$B$840,$A5,'Test cases'!$M$2:$M$840,"Blocked")</f>
        <v/>
      </c>
      <c r="F5" s="20">
        <f>COUNTIFS('Test cases'!$B$2:$B$840,$A5,'Test cases'!$M$2:$M$840,"Not run")</f>
        <v/>
      </c>
      <c r="G5" s="20">
        <f>COUNTIFS('Test cases'!$B$2:$B$840,$A5,'Test cases'!$F$2:$F$840,"P0")</f>
        <v/>
      </c>
      <c r="H5" s="20">
        <f>G5-COUNTIFS('Test cases'!$B$2:$B$840,$A5,'Test cases'!$F$2:$F$840,"P0",'Test cases'!$M$2:$M$840,"Pass")</f>
        <v/>
      </c>
    </row>
    <row r="6" ht="15" customHeight="1" s="13">
      <c r="A6" s="20" t="inlineStr">
        <is>
          <t>Discovery, search &amp; price comparison</t>
        </is>
      </c>
      <c r="B6" s="20">
        <f>COUNTIF('Test cases'!$B$2:$B$840,A6)</f>
        <v/>
      </c>
      <c r="C6" s="20">
        <f>COUNTIFS('Test cases'!$B$2:$B$840,$A6,'Test cases'!$M$2:$M$840,"Pass")</f>
        <v/>
      </c>
      <c r="D6" s="20">
        <f>COUNTIFS('Test cases'!$B$2:$B$840,$A6,'Test cases'!$M$2:$M$840,"Fail")</f>
        <v/>
      </c>
      <c r="E6" s="20">
        <f>COUNTIFS('Test cases'!$B$2:$B$840,$A6,'Test cases'!$M$2:$M$840,"Blocked")</f>
        <v/>
      </c>
      <c r="F6" s="20">
        <f>COUNTIFS('Test cases'!$B$2:$B$840,$A6,'Test cases'!$M$2:$M$840,"Not run")</f>
        <v/>
      </c>
      <c r="G6" s="20">
        <f>COUNTIFS('Test cases'!$B$2:$B$840,$A6,'Test cases'!$F$2:$F$840,"P0")</f>
        <v/>
      </c>
      <c r="H6" s="20">
        <f>G6-COUNTIFS('Test cases'!$B$2:$B$840,$A6,'Test cases'!$F$2:$F$840,"P0",'Test cases'!$M$2:$M$840,"Pass")</f>
        <v/>
      </c>
    </row>
    <row r="7" ht="15" customHeight="1" s="13">
      <c r="A7" s="20" t="inlineStr">
        <is>
          <t>Cart &amp; checkout</t>
        </is>
      </c>
      <c r="B7" s="20">
        <f>COUNTIF('Test cases'!$B$2:$B$840,A7)</f>
        <v/>
      </c>
      <c r="C7" s="20">
        <f>COUNTIFS('Test cases'!$B$2:$B$840,$A7,'Test cases'!$M$2:$M$840,"Pass")</f>
        <v/>
      </c>
      <c r="D7" s="20">
        <f>COUNTIFS('Test cases'!$B$2:$B$840,$A7,'Test cases'!$M$2:$M$840,"Fail")</f>
        <v/>
      </c>
      <c r="E7" s="20">
        <f>COUNTIFS('Test cases'!$B$2:$B$840,$A7,'Test cases'!$M$2:$M$840,"Blocked")</f>
        <v/>
      </c>
      <c r="F7" s="20">
        <f>COUNTIFS('Test cases'!$B$2:$B$840,$A7,'Test cases'!$M$2:$M$840,"Not run")</f>
        <v/>
      </c>
      <c r="G7" s="20">
        <f>COUNTIFS('Test cases'!$B$2:$B$840,$A7,'Test cases'!$F$2:$F$840,"P0")</f>
        <v/>
      </c>
      <c r="H7" s="20">
        <f>G7-COUNTIFS('Test cases'!$B$2:$B$840,$A7,'Test cases'!$F$2:$F$840,"P0",'Test cases'!$M$2:$M$840,"Pass")</f>
        <v/>
      </c>
    </row>
    <row r="8" ht="15" customHeight="1" s="13">
      <c r="A8" s="20" t="inlineStr">
        <is>
          <t>Wallet, vouchers &amp; gateway</t>
        </is>
      </c>
      <c r="B8" s="20">
        <f>COUNTIF('Test cases'!$B$2:$B$840,A8)</f>
        <v/>
      </c>
      <c r="C8" s="20">
        <f>COUNTIFS('Test cases'!$B$2:$B$840,$A8,'Test cases'!$M$2:$M$840,"Pass")</f>
        <v/>
      </c>
      <c r="D8" s="20">
        <f>COUNTIFS('Test cases'!$B$2:$B$840,$A8,'Test cases'!$M$2:$M$840,"Fail")</f>
        <v/>
      </c>
      <c r="E8" s="20">
        <f>COUNTIFS('Test cases'!$B$2:$B$840,$A8,'Test cases'!$M$2:$M$840,"Blocked")</f>
        <v/>
      </c>
      <c r="F8" s="20">
        <f>COUNTIFS('Test cases'!$B$2:$B$840,$A8,'Test cases'!$M$2:$M$840,"Not run")</f>
        <v/>
      </c>
      <c r="G8" s="20">
        <f>COUNTIFS('Test cases'!$B$2:$B$840,$A8,'Test cases'!$F$2:$F$840,"P0")</f>
        <v/>
      </c>
      <c r="H8" s="20">
        <f>G8-COUNTIFS('Test cases'!$B$2:$B$840,$A8,'Test cases'!$F$2:$F$840,"P0",'Test cases'!$M$2:$M$840,"Pass")</f>
        <v/>
      </c>
    </row>
    <row r="9" ht="15" customHeight="1" s="13">
      <c r="A9" s="20" t="inlineStr">
        <is>
          <t>Cash on delivery</t>
        </is>
      </c>
      <c r="B9" s="20">
        <f>COUNTIF('Test cases'!$B$2:$B$840,A9)</f>
        <v/>
      </c>
      <c r="C9" s="20">
        <f>COUNTIFS('Test cases'!$B$2:$B$840,$A9,'Test cases'!$M$2:$M$840,"Pass")</f>
        <v/>
      </c>
      <c r="D9" s="20">
        <f>COUNTIFS('Test cases'!$B$2:$B$840,$A9,'Test cases'!$M$2:$M$840,"Fail")</f>
        <v/>
      </c>
      <c r="E9" s="20">
        <f>COUNTIFS('Test cases'!$B$2:$B$840,$A9,'Test cases'!$M$2:$M$840,"Blocked")</f>
        <v/>
      </c>
      <c r="F9" s="20">
        <f>COUNTIFS('Test cases'!$B$2:$B$840,$A9,'Test cases'!$M$2:$M$840,"Not run")</f>
        <v/>
      </c>
      <c r="G9" s="20">
        <f>COUNTIFS('Test cases'!$B$2:$B$840,$A9,'Test cases'!$F$2:$F$840,"P0")</f>
        <v/>
      </c>
      <c r="H9" s="20">
        <f>G9-COUNTIFS('Test cases'!$B$2:$B$840,$A9,'Test cases'!$F$2:$F$840,"P0",'Test cases'!$M$2:$M$840,"Pass")</f>
        <v/>
      </c>
    </row>
    <row r="10" ht="15" customHeight="1" s="13">
      <c r="A10" s="20" t="inlineStr">
        <is>
          <t>Order state machine &amp; cancellation</t>
        </is>
      </c>
      <c r="B10" s="20">
        <f>COUNTIF('Test cases'!$B$2:$B$840,A10)</f>
        <v/>
      </c>
      <c r="C10" s="20">
        <f>COUNTIFS('Test cases'!$B$2:$B$840,$A10,'Test cases'!$M$2:$M$840,"Pass")</f>
        <v/>
      </c>
      <c r="D10" s="20">
        <f>COUNTIFS('Test cases'!$B$2:$B$840,$A10,'Test cases'!$M$2:$M$840,"Fail")</f>
        <v/>
      </c>
      <c r="E10" s="20">
        <f>COUNTIFS('Test cases'!$B$2:$B$840,$A10,'Test cases'!$M$2:$M$840,"Blocked")</f>
        <v/>
      </c>
      <c r="F10" s="20">
        <f>COUNTIFS('Test cases'!$B$2:$B$840,$A10,'Test cases'!$M$2:$M$840,"Not run")</f>
        <v/>
      </c>
      <c r="G10" s="20">
        <f>COUNTIFS('Test cases'!$B$2:$B$840,$A10,'Test cases'!$F$2:$F$840,"P0")</f>
        <v/>
      </c>
      <c r="H10" s="20">
        <f>G10-COUNTIFS('Test cases'!$B$2:$B$840,$A10,'Test cases'!$F$2:$F$840,"P0",'Test cases'!$M$2:$M$840,"Pass")</f>
        <v/>
      </c>
    </row>
    <row r="11" ht="15" customHeight="1" s="13">
      <c r="A11" s="20" t="inlineStr">
        <is>
          <t>Shop fulfilment &amp; substitution</t>
        </is>
      </c>
      <c r="B11" s="20">
        <f>COUNTIF('Test cases'!$B$2:$B$840,A11)</f>
        <v/>
      </c>
      <c r="C11" s="20">
        <f>COUNTIFS('Test cases'!$B$2:$B$840,$A11,'Test cases'!$M$2:$M$840,"Pass")</f>
        <v/>
      </c>
      <c r="D11" s="20">
        <f>COUNTIFS('Test cases'!$B$2:$B$840,$A11,'Test cases'!$M$2:$M$840,"Fail")</f>
        <v/>
      </c>
      <c r="E11" s="20">
        <f>COUNTIFS('Test cases'!$B$2:$B$840,$A11,'Test cases'!$M$2:$M$840,"Blocked")</f>
        <v/>
      </c>
      <c r="F11" s="20">
        <f>COUNTIFS('Test cases'!$B$2:$B$840,$A11,'Test cases'!$M$2:$M$840,"Not run")</f>
        <v/>
      </c>
      <c r="G11" s="20">
        <f>COUNTIFS('Test cases'!$B$2:$B$840,$A11,'Test cases'!$F$2:$F$840,"P0")</f>
        <v/>
      </c>
      <c r="H11" s="20">
        <f>G11-COUNTIFS('Test cases'!$B$2:$B$840,$A11,'Test cases'!$F$2:$F$840,"P0",'Test cases'!$M$2:$M$840,"Pass")</f>
        <v/>
      </c>
    </row>
    <row r="12" ht="15" customHeight="1" s="13">
      <c r="A12" s="20" t="inlineStr">
        <is>
          <t>Rider dispatch &amp; assignment rules</t>
        </is>
      </c>
      <c r="B12" s="20">
        <f>COUNTIF('Test cases'!$B$2:$B$840,A12)</f>
        <v/>
      </c>
      <c r="C12" s="20">
        <f>COUNTIFS('Test cases'!$B$2:$B$840,$A12,'Test cases'!$M$2:$M$840,"Pass")</f>
        <v/>
      </c>
      <c r="D12" s="20">
        <f>COUNTIFS('Test cases'!$B$2:$B$840,$A12,'Test cases'!$M$2:$M$840,"Fail")</f>
        <v/>
      </c>
      <c r="E12" s="20">
        <f>COUNTIFS('Test cases'!$B$2:$B$840,$A12,'Test cases'!$M$2:$M$840,"Blocked")</f>
        <v/>
      </c>
      <c r="F12" s="20">
        <f>COUNTIFS('Test cases'!$B$2:$B$840,$A12,'Test cases'!$M$2:$M$840,"Not run")</f>
        <v/>
      </c>
      <c r="G12" s="20">
        <f>COUNTIFS('Test cases'!$B$2:$B$840,$A12,'Test cases'!$F$2:$F$840,"P0")</f>
        <v/>
      </c>
      <c r="H12" s="20">
        <f>G12-COUNTIFS('Test cases'!$B$2:$B$840,$A12,'Test cases'!$F$2:$F$840,"P0",'Test cases'!$M$2:$M$840,"Pass")</f>
        <v/>
      </c>
    </row>
    <row r="13" ht="15" customHeight="1" s="13">
      <c r="A13" s="20" t="inlineStr">
        <is>
          <t>Rider delivery &amp; handover</t>
        </is>
      </c>
      <c r="B13" s="20">
        <f>COUNTIF('Test cases'!$B$2:$B$840,A13)</f>
        <v/>
      </c>
      <c r="C13" s="20">
        <f>COUNTIFS('Test cases'!$B$2:$B$840,$A13,'Test cases'!$M$2:$M$840,"Pass")</f>
        <v/>
      </c>
      <c r="D13" s="20">
        <f>COUNTIFS('Test cases'!$B$2:$B$840,$A13,'Test cases'!$M$2:$M$840,"Fail")</f>
        <v/>
      </c>
      <c r="E13" s="20">
        <f>COUNTIFS('Test cases'!$B$2:$B$840,$A13,'Test cases'!$M$2:$M$840,"Blocked")</f>
        <v/>
      </c>
      <c r="F13" s="20">
        <f>COUNTIFS('Test cases'!$B$2:$B$840,$A13,'Test cases'!$M$2:$M$840,"Not run")</f>
        <v/>
      </c>
      <c r="G13" s="20">
        <f>COUNTIFS('Test cases'!$B$2:$B$840,$A13,'Test cases'!$F$2:$F$840,"P0")</f>
        <v/>
      </c>
      <c r="H13" s="20">
        <f>G13-COUNTIFS('Test cases'!$B$2:$B$840,$A13,'Test cases'!$F$2:$F$840,"P0",'Test cases'!$M$2:$M$840,"Pass")</f>
        <v/>
      </c>
    </row>
    <row r="14" ht="15" customHeight="1" s="13">
      <c r="A14" s="20" t="inlineStr">
        <is>
          <t>Society module</t>
        </is>
      </c>
      <c r="B14" s="20">
        <f>COUNTIF('Test cases'!$B$2:$B$840,A14)</f>
        <v/>
      </c>
      <c r="C14" s="20">
        <f>COUNTIFS('Test cases'!$B$2:$B$840,$A14,'Test cases'!$M$2:$M$840,"Pass")</f>
        <v/>
      </c>
      <c r="D14" s="20">
        <f>COUNTIFS('Test cases'!$B$2:$B$840,$A14,'Test cases'!$M$2:$M$840,"Fail")</f>
        <v/>
      </c>
      <c r="E14" s="20">
        <f>COUNTIFS('Test cases'!$B$2:$B$840,$A14,'Test cases'!$M$2:$M$840,"Blocked")</f>
        <v/>
      </c>
      <c r="F14" s="20">
        <f>COUNTIFS('Test cases'!$B$2:$B$840,$A14,'Test cases'!$M$2:$M$840,"Not run")</f>
        <v/>
      </c>
      <c r="G14" s="20">
        <f>COUNTIFS('Test cases'!$B$2:$B$840,$A14,'Test cases'!$F$2:$F$840,"P0")</f>
        <v/>
      </c>
      <c r="H14" s="20">
        <f>G14-COUNTIFS('Test cases'!$B$2:$B$840,$A14,'Test cases'!$F$2:$F$840,"P0",'Test cases'!$M$2:$M$840,"Pass")</f>
        <v/>
      </c>
    </row>
    <row r="15" ht="15" customHeight="1" s="13">
      <c r="A15" s="20" t="inlineStr">
        <is>
          <t>Subscriptions</t>
        </is>
      </c>
      <c r="B15" s="20">
        <f>COUNTIF('Test cases'!$B$2:$B$840,A15)</f>
        <v/>
      </c>
      <c r="C15" s="20">
        <f>COUNTIFS('Test cases'!$B$2:$B$840,$A15,'Test cases'!$M$2:$M$840,"Pass")</f>
        <v/>
      </c>
      <c r="D15" s="20">
        <f>COUNTIFS('Test cases'!$B$2:$B$840,$A15,'Test cases'!$M$2:$M$840,"Fail")</f>
        <v/>
      </c>
      <c r="E15" s="20">
        <f>COUNTIFS('Test cases'!$B$2:$B$840,$A15,'Test cases'!$M$2:$M$840,"Blocked")</f>
        <v/>
      </c>
      <c r="F15" s="20">
        <f>COUNTIFS('Test cases'!$B$2:$B$840,$A15,'Test cases'!$M$2:$M$840,"Not run")</f>
        <v/>
      </c>
      <c r="G15" s="20">
        <f>COUNTIFS('Test cases'!$B$2:$B$840,$A15,'Test cases'!$F$2:$F$840,"P0")</f>
        <v/>
      </c>
      <c r="H15" s="20">
        <f>G15-COUNTIFS('Test cases'!$B$2:$B$840,$A15,'Test cases'!$F$2:$F$840,"P0",'Test cases'!$M$2:$M$840,"Pass")</f>
        <v/>
      </c>
    </row>
    <row r="16" ht="15" customHeight="1" s="13">
      <c r="A16" s="20" t="inlineStr">
        <is>
          <t>Returns, refunds &amp; disputes</t>
        </is>
      </c>
      <c r="B16" s="20">
        <f>COUNTIF('Test cases'!$B$2:$B$840,A16)</f>
        <v/>
      </c>
      <c r="C16" s="20">
        <f>COUNTIFS('Test cases'!$B$2:$B$840,$A16,'Test cases'!$M$2:$M$840,"Pass")</f>
        <v/>
      </c>
      <c r="D16" s="20">
        <f>COUNTIFS('Test cases'!$B$2:$B$840,$A16,'Test cases'!$M$2:$M$840,"Fail")</f>
        <v/>
      </c>
      <c r="E16" s="20">
        <f>COUNTIFS('Test cases'!$B$2:$B$840,$A16,'Test cases'!$M$2:$M$840,"Blocked")</f>
        <v/>
      </c>
      <c r="F16" s="20">
        <f>COUNTIFS('Test cases'!$B$2:$B$840,$A16,'Test cases'!$M$2:$M$840,"Not run")</f>
        <v/>
      </c>
      <c r="G16" s="20">
        <f>COUNTIFS('Test cases'!$B$2:$B$840,$A16,'Test cases'!$F$2:$F$840,"P0")</f>
        <v/>
      </c>
      <c r="H16" s="20">
        <f>G16-COUNTIFS('Test cases'!$B$2:$B$840,$A16,'Test cases'!$F$2:$F$840,"P0",'Test cases'!$M$2:$M$840,"Pass")</f>
        <v/>
      </c>
    </row>
    <row r="17" ht="15" customHeight="1" s="13">
      <c r="A17" s="20" t="inlineStr">
        <is>
          <t>Support, grievances &amp; ratings</t>
        </is>
      </c>
      <c r="B17" s="20">
        <f>COUNTIF('Test cases'!$B$2:$B$840,A17)</f>
        <v/>
      </c>
      <c r="C17" s="20">
        <f>COUNTIFS('Test cases'!$B$2:$B$840,$A17,'Test cases'!$M$2:$M$840,"Pass")</f>
        <v/>
      </c>
      <c r="D17" s="20">
        <f>COUNTIFS('Test cases'!$B$2:$B$840,$A17,'Test cases'!$M$2:$M$840,"Fail")</f>
        <v/>
      </c>
      <c r="E17" s="20">
        <f>COUNTIFS('Test cases'!$B$2:$B$840,$A17,'Test cases'!$M$2:$M$840,"Blocked")</f>
        <v/>
      </c>
      <c r="F17" s="20">
        <f>COUNTIFS('Test cases'!$B$2:$B$840,$A17,'Test cases'!$M$2:$M$840,"Not run")</f>
        <v/>
      </c>
      <c r="G17" s="20">
        <f>COUNTIFS('Test cases'!$B$2:$B$840,$A17,'Test cases'!$F$2:$F$840,"P0")</f>
        <v/>
      </c>
      <c r="H17" s="20">
        <f>G17-COUNTIFS('Test cases'!$B$2:$B$840,$A17,'Test cases'!$F$2:$F$840,"P0",'Test cases'!$M$2:$M$840,"Pass")</f>
        <v/>
      </c>
    </row>
    <row r="18" ht="15" customHeight="1" s="13">
      <c r="A18" s="20" t="inlineStr">
        <is>
          <t>Shop onboarding, KYC, fees &amp; suspension</t>
        </is>
      </c>
      <c r="B18" s="20">
        <f>COUNTIF('Test cases'!$B$2:$B$840,A18)</f>
        <v/>
      </c>
      <c r="C18" s="20">
        <f>COUNTIFS('Test cases'!$B$2:$B$840,$A18,'Test cases'!$M$2:$M$840,"Pass")</f>
        <v/>
      </c>
      <c r="D18" s="20">
        <f>COUNTIFS('Test cases'!$B$2:$B$840,$A18,'Test cases'!$M$2:$M$840,"Fail")</f>
        <v/>
      </c>
      <c r="E18" s="20">
        <f>COUNTIFS('Test cases'!$B$2:$B$840,$A18,'Test cases'!$M$2:$M$840,"Blocked")</f>
        <v/>
      </c>
      <c r="F18" s="20">
        <f>COUNTIFS('Test cases'!$B$2:$B$840,$A18,'Test cases'!$M$2:$M$840,"Not run")</f>
        <v/>
      </c>
      <c r="G18" s="20">
        <f>COUNTIFS('Test cases'!$B$2:$B$840,$A18,'Test cases'!$F$2:$F$840,"P0")</f>
        <v/>
      </c>
      <c r="H18" s="20">
        <f>G18-COUNTIFS('Test cases'!$B$2:$B$840,$A18,'Test cases'!$F$2:$F$840,"P0",'Test cases'!$M$2:$M$840,"Pass")</f>
        <v/>
      </c>
    </row>
    <row r="19" ht="15" customHeight="1" s="13">
      <c r="A19" s="20" t="inlineStr">
        <is>
          <t>Catalogue, pricing, MRP, inventory &amp; images</t>
        </is>
      </c>
      <c r="B19" s="20">
        <f>COUNTIF('Test cases'!$B$2:$B$840,A19)</f>
        <v/>
      </c>
      <c r="C19" s="20">
        <f>COUNTIFS('Test cases'!$B$2:$B$840,$A19,'Test cases'!$M$2:$M$840,"Pass")</f>
        <v/>
      </c>
      <c r="D19" s="20">
        <f>COUNTIFS('Test cases'!$B$2:$B$840,$A19,'Test cases'!$M$2:$M$840,"Fail")</f>
        <v/>
      </c>
      <c r="E19" s="20">
        <f>COUNTIFS('Test cases'!$B$2:$B$840,$A19,'Test cases'!$M$2:$M$840,"Blocked")</f>
        <v/>
      </c>
      <c r="F19" s="20">
        <f>COUNTIFS('Test cases'!$B$2:$B$840,$A19,'Test cases'!$M$2:$M$840,"Not run")</f>
        <v/>
      </c>
      <c r="G19" s="20">
        <f>COUNTIFS('Test cases'!$B$2:$B$840,$A19,'Test cases'!$F$2:$F$840,"P0")</f>
        <v/>
      </c>
      <c r="H19" s="20">
        <f>G19-COUNTIFS('Test cases'!$B$2:$B$840,$A19,'Test cases'!$F$2:$F$840,"P0",'Test cases'!$M$2:$M$840,"Pass")</f>
        <v/>
      </c>
    </row>
    <row r="20" ht="15" customHeight="1" s="13">
      <c r="A20" s="20" t="inlineStr">
        <is>
          <t>Product master data</t>
        </is>
      </c>
      <c r="B20" s="20">
        <f>COUNTIF('Test cases'!$B$2:$B$840,A20)</f>
        <v/>
      </c>
      <c r="C20" s="20">
        <f>COUNTIFS('Test cases'!$B$2:$B$840,$A20,'Test cases'!$M$2:$M$840,"Pass")</f>
        <v/>
      </c>
      <c r="D20" s="20">
        <f>COUNTIFS('Test cases'!$B$2:$B$840,$A20,'Test cases'!$M$2:$M$840,"Fail")</f>
        <v/>
      </c>
      <c r="E20" s="20">
        <f>COUNTIFS('Test cases'!$B$2:$B$840,$A20,'Test cases'!$M$2:$M$840,"Blocked")</f>
        <v/>
      </c>
      <c r="F20" s="20">
        <f>COUNTIFS('Test cases'!$B$2:$B$840,$A20,'Test cases'!$M$2:$M$840,"Not run")</f>
        <v/>
      </c>
      <c r="G20" s="20">
        <f>COUNTIFS('Test cases'!$B$2:$B$840,$A20,'Test cases'!$F$2:$F$840,"P0")</f>
        <v/>
      </c>
      <c r="H20" s="20">
        <f>G20-COUNTIFS('Test cases'!$B$2:$B$840,$A20,'Test cases'!$F$2:$F$840,"P0",'Test cases'!$M$2:$M$840,"Pass")</f>
        <v/>
      </c>
    </row>
    <row r="21" ht="15" customHeight="1" s="13">
      <c r="A21" s="20" t="inlineStr">
        <is>
          <t>Notifications</t>
        </is>
      </c>
      <c r="B21" s="20">
        <f>COUNTIF('Test cases'!$B$2:$B$840,A21)</f>
        <v/>
      </c>
      <c r="C21" s="20">
        <f>COUNTIFS('Test cases'!$B$2:$B$840,$A21,'Test cases'!$M$2:$M$840,"Pass")</f>
        <v/>
      </c>
      <c r="D21" s="20">
        <f>COUNTIFS('Test cases'!$B$2:$B$840,$A21,'Test cases'!$M$2:$M$840,"Fail")</f>
        <v/>
      </c>
      <c r="E21" s="20">
        <f>COUNTIFS('Test cases'!$B$2:$B$840,$A21,'Test cases'!$M$2:$M$840,"Blocked")</f>
        <v/>
      </c>
      <c r="F21" s="20">
        <f>COUNTIFS('Test cases'!$B$2:$B$840,$A21,'Test cases'!$M$2:$M$840,"Not run")</f>
        <v/>
      </c>
      <c r="G21" s="20">
        <f>COUNTIFS('Test cases'!$B$2:$B$840,$A21,'Test cases'!$F$2:$F$840,"P0")</f>
        <v/>
      </c>
      <c r="H21" s="20">
        <f>G21-COUNTIFS('Test cases'!$B$2:$B$840,$A21,'Test cases'!$F$2:$F$840,"P0",'Test cases'!$M$2:$M$840,"Pass")</f>
        <v/>
      </c>
    </row>
    <row r="22" ht="15" customHeight="1" s="13">
      <c r="A22" s="20" t="inlineStr">
        <is>
          <t>Finance, settlement &amp; rider earnings</t>
        </is>
      </c>
      <c r="B22" s="20">
        <f>COUNTIF('Test cases'!$B$2:$B$840,A22)</f>
        <v/>
      </c>
      <c r="C22" s="20">
        <f>COUNTIFS('Test cases'!$B$2:$B$840,$A22,'Test cases'!$M$2:$M$840,"Pass")</f>
        <v/>
      </c>
      <c r="D22" s="20">
        <f>COUNTIFS('Test cases'!$B$2:$B$840,$A22,'Test cases'!$M$2:$M$840,"Fail")</f>
        <v/>
      </c>
      <c r="E22" s="20">
        <f>COUNTIFS('Test cases'!$B$2:$B$840,$A22,'Test cases'!$M$2:$M$840,"Blocked")</f>
        <v/>
      </c>
      <c r="F22" s="20">
        <f>COUNTIFS('Test cases'!$B$2:$B$840,$A22,'Test cases'!$M$2:$M$840,"Not run")</f>
        <v/>
      </c>
      <c r="G22" s="20">
        <f>COUNTIFS('Test cases'!$B$2:$B$840,$A22,'Test cases'!$F$2:$F$840,"P0")</f>
        <v/>
      </c>
      <c r="H22" s="20">
        <f>G22-COUNTIFS('Test cases'!$B$2:$B$840,$A22,'Test cases'!$F$2:$F$840,"P0",'Test cases'!$M$2:$M$840,"Pass")</f>
        <v/>
      </c>
    </row>
    <row r="23" ht="15" customHeight="1" s="13">
      <c r="A23" s="20" t="inlineStr">
        <is>
          <t>Admin &amp; operations console</t>
        </is>
      </c>
      <c r="B23" s="20">
        <f>COUNTIF('Test cases'!$B$2:$B$840,A23)</f>
        <v/>
      </c>
      <c r="C23" s="20">
        <f>COUNTIFS('Test cases'!$B$2:$B$840,$A23,'Test cases'!$M$2:$M$840,"Pass")</f>
        <v/>
      </c>
      <c r="D23" s="20">
        <f>COUNTIFS('Test cases'!$B$2:$B$840,$A23,'Test cases'!$M$2:$M$840,"Fail")</f>
        <v/>
      </c>
      <c r="E23" s="20">
        <f>COUNTIFS('Test cases'!$B$2:$B$840,$A23,'Test cases'!$M$2:$M$840,"Blocked")</f>
        <v/>
      </c>
      <c r="F23" s="20">
        <f>COUNTIFS('Test cases'!$B$2:$B$840,$A23,'Test cases'!$M$2:$M$840,"Not run")</f>
        <v/>
      </c>
      <c r="G23" s="20">
        <f>COUNTIFS('Test cases'!$B$2:$B$840,$A23,'Test cases'!$F$2:$F$840,"P0")</f>
        <v/>
      </c>
      <c r="H23" s="20">
        <f>G23-COUNTIFS('Test cases'!$B$2:$B$840,$A23,'Test cases'!$F$2:$F$840,"P0",'Test cases'!$M$2:$M$840,"Pass")</f>
        <v/>
      </c>
    </row>
    <row r="24" ht="15" customHeight="1" s="13">
      <c r="A24" s="20" t="inlineStr">
        <is>
          <t>Marketing &amp; consent</t>
        </is>
      </c>
      <c r="B24" s="20">
        <f>COUNTIF('Test cases'!$B$2:$B$840,A24)</f>
        <v/>
      </c>
      <c r="C24" s="20">
        <f>COUNTIFS('Test cases'!$B$2:$B$840,$A24,'Test cases'!$M$2:$M$840,"Pass")</f>
        <v/>
      </c>
      <c r="D24" s="20">
        <f>COUNTIFS('Test cases'!$B$2:$B$840,$A24,'Test cases'!$M$2:$M$840,"Fail")</f>
        <v/>
      </c>
      <c r="E24" s="20">
        <f>COUNTIFS('Test cases'!$B$2:$B$840,$A24,'Test cases'!$M$2:$M$840,"Blocked")</f>
        <v/>
      </c>
      <c r="F24" s="20">
        <f>COUNTIFS('Test cases'!$B$2:$B$840,$A24,'Test cases'!$M$2:$M$840,"Not run")</f>
        <v/>
      </c>
      <c r="G24" s="20">
        <f>COUNTIFS('Test cases'!$B$2:$B$840,$A24,'Test cases'!$F$2:$F$840,"P0")</f>
        <v/>
      </c>
      <c r="H24" s="20">
        <f>G24-COUNTIFS('Test cases'!$B$2:$B$840,$A24,'Test cases'!$F$2:$F$840,"P0",'Test cases'!$M$2:$M$840,"Pass")</f>
        <v/>
      </c>
    </row>
    <row r="25" ht="15" customHeight="1" s="13">
      <c r="A25" s="20" t="inlineStr">
        <is>
          <t>Analytics &amp; KPIs</t>
        </is>
      </c>
      <c r="B25" s="20">
        <f>COUNTIF('Test cases'!$B$2:$B$840,A25)</f>
        <v/>
      </c>
      <c r="C25" s="20">
        <f>COUNTIFS('Test cases'!$B$2:$B$840,$A25,'Test cases'!$M$2:$M$840,"Pass")</f>
        <v/>
      </c>
      <c r="D25" s="20">
        <f>COUNTIFS('Test cases'!$B$2:$B$840,$A25,'Test cases'!$M$2:$M$840,"Fail")</f>
        <v/>
      </c>
      <c r="E25" s="20">
        <f>COUNTIFS('Test cases'!$B$2:$B$840,$A25,'Test cases'!$M$2:$M$840,"Blocked")</f>
        <v/>
      </c>
      <c r="F25" s="20">
        <f>COUNTIFS('Test cases'!$B$2:$B$840,$A25,'Test cases'!$M$2:$M$840,"Not run")</f>
        <v/>
      </c>
      <c r="G25" s="20">
        <f>COUNTIFS('Test cases'!$B$2:$B$840,$A25,'Test cases'!$F$2:$F$840,"P0")</f>
        <v/>
      </c>
      <c r="H25" s="20">
        <f>G25-COUNTIFS('Test cases'!$B$2:$B$840,$A25,'Test cases'!$F$2:$F$840,"P0",'Test cases'!$M$2:$M$840,"Pass")</f>
        <v/>
      </c>
    </row>
    <row r="26" ht="15" customHeight="1" s="13">
      <c r="A26" s="20" t="inlineStr">
        <is>
          <t>Security &amp; platform</t>
        </is>
      </c>
      <c r="B26" s="20">
        <f>COUNTIF('Test cases'!$B$2:$B$840,A26)</f>
        <v/>
      </c>
      <c r="C26" s="20">
        <f>COUNTIFS('Test cases'!$B$2:$B$840,$A26,'Test cases'!$M$2:$M$840,"Pass")</f>
        <v/>
      </c>
      <c r="D26" s="20">
        <f>COUNTIFS('Test cases'!$B$2:$B$840,$A26,'Test cases'!$M$2:$M$840,"Fail")</f>
        <v/>
      </c>
      <c r="E26" s="20">
        <f>COUNTIFS('Test cases'!$B$2:$B$840,$A26,'Test cases'!$M$2:$M$840,"Blocked")</f>
        <v/>
      </c>
      <c r="F26" s="20">
        <f>COUNTIFS('Test cases'!$B$2:$B$840,$A26,'Test cases'!$M$2:$M$840,"Not run")</f>
        <v/>
      </c>
      <c r="G26" s="20">
        <f>COUNTIFS('Test cases'!$B$2:$B$840,$A26,'Test cases'!$F$2:$F$840,"P0")</f>
        <v/>
      </c>
      <c r="H26" s="20">
        <f>G26-COUNTIFS('Test cases'!$B$2:$B$840,$A26,'Test cases'!$F$2:$F$840,"P0",'Test cases'!$M$2:$M$840,"Pass")</f>
        <v/>
      </c>
    </row>
    <row r="27" ht="15" customHeight="1" s="13">
      <c r="A27" s="20" t="inlineStr">
        <is>
          <t>Navigation, responsive &amp; legal</t>
        </is>
      </c>
      <c r="B27" s="20">
        <f>COUNTIF('Test cases'!$B$2:$B$840,A27)</f>
        <v/>
      </c>
      <c r="C27" s="20">
        <f>COUNTIFS('Test cases'!$B$2:$B$840,$A27,'Test cases'!$M$2:$M$840,"Pass")</f>
        <v/>
      </c>
      <c r="D27" s="20">
        <f>COUNTIFS('Test cases'!$B$2:$B$840,$A27,'Test cases'!$M$2:$M$840,"Fail")</f>
        <v/>
      </c>
      <c r="E27" s="20">
        <f>COUNTIFS('Test cases'!$B$2:$B$840,$A27,'Test cases'!$M$2:$M$840,"Blocked")</f>
        <v/>
      </c>
      <c r="F27" s="20">
        <f>COUNTIFS('Test cases'!$B$2:$B$840,$A27,'Test cases'!$M$2:$M$840,"Not run")</f>
        <v/>
      </c>
      <c r="G27" s="20">
        <f>COUNTIFS('Test cases'!$B$2:$B$840,$A27,'Test cases'!$F$2:$F$840,"P0")</f>
        <v/>
      </c>
      <c r="H27" s="20">
        <f>G27-COUNTIFS('Test cases'!$B$2:$B$840,$A27,'Test cases'!$F$2:$F$840,"P0",'Test cases'!$M$2:$M$840,"Pass")</f>
        <v/>
      </c>
    </row>
    <row r="28" ht="15" customHeight="1" s="13">
      <c r="A28" s="20" t="inlineStr">
        <is>
          <t>Field-level validation</t>
        </is>
      </c>
      <c r="B28" s="20">
        <f>COUNTIF('Test cases'!$B$2:$B$840,A28)</f>
        <v/>
      </c>
      <c r="C28" s="20">
        <f>COUNTIFS('Test cases'!$B$2:$B$840,$A28,'Test cases'!$M$2:$M$840,"Pass")</f>
        <v/>
      </c>
      <c r="D28" s="20">
        <f>COUNTIFS('Test cases'!$B$2:$B$840,$A28,'Test cases'!$M$2:$M$840,"Fail")</f>
        <v/>
      </c>
      <c r="E28" s="20">
        <f>COUNTIFS('Test cases'!$B$2:$B$840,$A28,'Test cases'!$M$2:$M$840,"Blocked")</f>
        <v/>
      </c>
      <c r="F28" s="20">
        <f>COUNTIFS('Test cases'!$B$2:$B$840,$A28,'Test cases'!$M$2:$M$840,"Not run")</f>
        <v/>
      </c>
      <c r="G28" s="20">
        <f>COUNTIFS('Test cases'!$B$2:$B$840,$A28,'Test cases'!$F$2:$F$840,"P0")</f>
        <v/>
      </c>
      <c r="H28" s="20">
        <f>G28-COUNTIFS('Test cases'!$B$2:$B$840,$A28,'Test cases'!$F$2:$F$840,"P0",'Test cases'!$M$2:$M$840,"Pass")</f>
        <v/>
      </c>
    </row>
    <row r="29" ht="15" customHeight="1" s="13">
      <c r="A29" s="20" t="inlineStr">
        <is>
          <t>Sell, purchase &amp; inventory</t>
        </is>
      </c>
      <c r="B29" s="20">
        <f>COUNTIF('Test cases'!$B$2:$B$840,A29)</f>
        <v/>
      </c>
      <c r="C29" s="20">
        <f>COUNTIFS('Test cases'!$B$2:$B$840,$A29,'Test cases'!$M$2:$M$840,"Pass")</f>
        <v/>
      </c>
      <c r="D29" s="20">
        <f>COUNTIFS('Test cases'!$B$2:$B$840,$A29,'Test cases'!$M$2:$M$840,"Fail")</f>
        <v/>
      </c>
      <c r="E29" s="20">
        <f>COUNTIFS('Test cases'!$B$2:$B$840,$A29,'Test cases'!$M$2:$M$840,"Blocked")</f>
        <v/>
      </c>
      <c r="F29" s="20">
        <f>COUNTIFS('Test cases'!$B$2:$B$840,$A29,'Test cases'!$M$2:$M$840,"Not run")</f>
        <v/>
      </c>
      <c r="G29" s="20">
        <f>COUNTIFS('Test cases'!$B$2:$B$840,$A29,'Test cases'!$F$2:$F$840,"P0")</f>
        <v/>
      </c>
      <c r="H29" s="20">
        <f>G29-COUNTIFS('Test cases'!$B$2:$B$840,$A29,'Test cases'!$F$2:$F$840,"P0",'Test cases'!$M$2:$M$840,"Pass")</f>
        <v/>
      </c>
    </row>
    <row r="30" ht="15" customHeight="1" s="13">
      <c r="A30" s="20" t="inlineStr">
        <is>
          <t>QA automation</t>
        </is>
      </c>
      <c r="B30" s="20">
        <f>COUNTIF('Test cases'!$B$2:$B$840,A30)</f>
        <v/>
      </c>
      <c r="C30" s="20">
        <f>COUNTIFS('Test cases'!$B$2:$B$840,$A30,'Test cases'!$M$2:$M$840,"Pass")</f>
        <v/>
      </c>
      <c r="D30" s="20">
        <f>COUNTIFS('Test cases'!$B$2:$B$840,$A30,'Test cases'!$M$2:$M$840,"Fail")</f>
        <v/>
      </c>
      <c r="E30" s="20">
        <f>COUNTIFS('Test cases'!$B$2:$B$840,$A30,'Test cases'!$M$2:$M$840,"Blocked")</f>
        <v/>
      </c>
      <c r="F30" s="20">
        <f>COUNTIFS('Test cases'!$B$2:$B$840,$A30,'Test cases'!$M$2:$M$840,"Not run")</f>
        <v/>
      </c>
      <c r="G30" s="20">
        <f>COUNTIFS('Test cases'!$B$2:$B$840,$A30,'Test cases'!$F$2:$F$840,"P0")</f>
        <v/>
      </c>
      <c r="H30" s="20">
        <f>G30-COUNTIFS('Test cases'!$B$2:$B$840,$A30,'Test cases'!$F$2:$F$840,"P0",'Test cases'!$M$2:$M$840,"Pass")</f>
        <v/>
      </c>
    </row>
    <row r="31">
      <c r="A31" s="20" t="inlineStr">
        <is>
          <t>Purchase lists</t>
        </is>
      </c>
      <c r="B31" s="20">
        <f>COUNTIF('Test cases'!$B$2:$B$840,A31)</f>
        <v/>
      </c>
      <c r="C31" s="20">
        <f>COUNTIFS('Test cases'!$B$2:$B$840,$A31,'Test cases'!$M$2:$M$840,"Pass")</f>
        <v/>
      </c>
      <c r="D31" s="20">
        <f>COUNTIFS('Test cases'!$B$2:$B$840,$A31,'Test cases'!$M$2:$M$840,"Fail")</f>
        <v/>
      </c>
      <c r="E31" s="20">
        <f>COUNTIFS('Test cases'!$B$2:$B$840,$A31,'Test cases'!$M$2:$M$840,"Blocked")</f>
        <v/>
      </c>
      <c r="F31" s="20">
        <f>COUNTIFS('Test cases'!$B$2:$B$840,$A31,'Test cases'!$M$2:$M$840,"Not run")</f>
        <v/>
      </c>
      <c r="G31" s="20">
        <f>COUNTIFS('Test cases'!$B$2:$B$840,$A31,'Test cases'!$F$2:$F$840,"P0")</f>
        <v/>
      </c>
      <c r="H31" s="20">
        <f>G31-COUNTIFS('Test cases'!$B$2:$B$840,$A31,'Test cases'!$F$2:$F$840,"P0",'Test cases'!$M$2:$M$840,"Pass")</f>
        <v/>
      </c>
    </row>
    <row r="32">
      <c r="A32" s="20" t="inlineStr">
        <is>
          <t>App install &amp; updates</t>
        </is>
      </c>
      <c r="B32" s="20">
        <f>COUNTIF('Test cases'!$B$2:$B$840,A32)</f>
        <v/>
      </c>
      <c r="C32" s="20">
        <f>COUNTIFS('Test cases'!$B$2:$B$840,$A32,'Test cases'!$M$2:$M$840,"Pass")</f>
        <v/>
      </c>
      <c r="D32" s="20">
        <f>COUNTIFS('Test cases'!$B$2:$B$840,$A32,'Test cases'!$M$2:$M$840,"Fail")</f>
        <v/>
      </c>
      <c r="E32" s="20">
        <f>COUNTIFS('Test cases'!$B$2:$B$840,$A32,'Test cases'!$M$2:$M$840,"Blocked")</f>
        <v/>
      </c>
      <c r="F32" s="20">
        <f>COUNTIFS('Test cases'!$B$2:$B$840,$A32,'Test cases'!$M$2:$M$840,"Not run")</f>
        <v/>
      </c>
      <c r="G32" s="20">
        <f>COUNTIFS('Test cases'!$B$2:$B$840,$A32,'Test cases'!$F$2:$F$840,"P0")</f>
        <v/>
      </c>
      <c r="H32" s="20">
        <f>G32-COUNTIFS('Test cases'!$B$2:$B$840,$A32,'Test cases'!$F$2:$F$840,"P0",'Test cases'!$M$2:$M$840,"Pass")</f>
        <v/>
      </c>
    </row>
    <row r="33">
      <c r="A33" s="21" t="inlineStr">
        <is>
          <t>Total</t>
        </is>
      </c>
      <c r="B33" s="21">
        <f>SUM(B2:B32)</f>
        <v/>
      </c>
      <c r="C33" s="21">
        <f>SUM(C2:C32)</f>
        <v/>
      </c>
      <c r="D33" s="21">
        <f>SUM(D2:D32)</f>
        <v/>
      </c>
      <c r="E33" s="21">
        <f>SUM(E2:E32)</f>
        <v/>
      </c>
      <c r="F33" s="21">
        <f>SUM(F2:F32)</f>
        <v/>
      </c>
      <c r="G33" s="21">
        <f>SUM(G2:G32)</f>
        <v/>
      </c>
      <c r="H33" s="21">
        <f>SUM(H2:H32)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7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2" min="1" max="1"/>
    <col width="18" customWidth="1" style="12" min="2" max="2"/>
    <col width="120" customWidth="1" style="12" min="3" max="3"/>
  </cols>
  <sheetData>
    <row r="1" ht="30" customHeight="1" s="13">
      <c r="A1" s="22" t="inlineStr">
        <is>
          <t>Item</t>
        </is>
      </c>
      <c r="B1" s="22" t="inlineStr">
        <is>
          <t>Change</t>
        </is>
      </c>
      <c r="C1" s="22" t="inlineStr">
        <is>
          <t>Detail</t>
        </is>
      </c>
    </row>
    <row r="2" ht="15" customHeight="1" s="13">
      <c r="A2" s="24" t="inlineStr">
        <is>
          <t>NEW-008</t>
        </is>
      </c>
      <c r="B2" s="24" t="inlineStr">
        <is>
          <t>New requirement</t>
        </is>
      </c>
      <c r="C2" s="24" t="inlineStr">
        <is>
          <t>Loose goods: the price is left empty until the shop sets it. TC-CAT-027 to TC-CAT-036, SC-24.</t>
        </is>
      </c>
    </row>
    <row r="3" ht="23.25" customHeight="1" s="13">
      <c r="A3" s="24" t="inlineStr">
        <is>
          <t>NEW-009</t>
        </is>
      </c>
      <c r="B3" s="24" t="inlineStr">
        <is>
          <t>New requirement</t>
        </is>
      </c>
      <c r="C3" s="24" t="inlineStr">
        <is>
          <t>When a shop owner adds a product category, every product in it is added to the shop inventory at stock 100; products with no price are priced by the owner. TC-CAT-037 to TC-CAT-056, SC-23.</t>
        </is>
      </c>
    </row>
    <row r="4" ht="15" customHeight="1" s="13">
      <c r="A4" s="24" t="inlineStr">
        <is>
          <t>NEW-010</t>
        </is>
      </c>
      <c r="B4" s="24" t="inlineStr">
        <is>
          <t>New requirement</t>
        </is>
      </c>
      <c r="C4" s="24" t="inlineStr">
        <is>
          <t>An MRP changed by a shop owner applies to that shop only. TC-CAT-057 to TC-CAT-067, SC-25.</t>
        </is>
      </c>
    </row>
    <row r="5" ht="15" customHeight="1" s="13">
      <c r="A5" s="24" t="inlineStr">
        <is>
          <t>TC-PRE-011</t>
        </is>
      </c>
      <c r="B5" s="24" t="inlineStr">
        <is>
          <t>New case</t>
        </is>
      </c>
      <c r="C5" s="24" t="inlineStr">
        <is>
          <t>Preflight check that the three new requirements are on the test build; if not, their cases are Blocked.</t>
        </is>
      </c>
    </row>
    <row r="6" ht="15" customHeight="1" s="13">
      <c r="A6" s="24" t="inlineStr">
        <is>
          <t>TC-AUTH-032 to TC-AUTH-045</t>
        </is>
      </c>
      <c r="B6" s="24" t="inlineStr">
        <is>
          <t>New cases</t>
        </is>
      </c>
      <c r="C6" s="24" t="inlineStr">
        <is>
          <t>14 log out / log off cases: every role, protected pages, session replay, tabs and devices, shared phone, automatic log off.</t>
        </is>
      </c>
    </row>
    <row r="7" ht="23.25" customHeight="1" s="13">
      <c r="A7" s="24" t="inlineStr">
        <is>
          <t>TC-FLD-001 to TC-FLD-129</t>
        </is>
      </c>
      <c r="B7" s="24" t="inlineStr">
        <is>
          <t>New module</t>
        </is>
      </c>
      <c r="C7" s="24" t="inlineStr">
        <is>
          <t>'Field-level validation': 129 cases, one per field or field group on every form, each with blank, wrong format, boundary, script text and valid entries, checked on the page and through the API.</t>
        </is>
      </c>
    </row>
    <row r="8" ht="15" customHeight="1" s="13">
      <c r="A8" s="24" t="inlineStr">
        <is>
          <t>TC-SPI-001 to TC-SPI-028</t>
        </is>
      </c>
      <c r="B8" s="24" t="inlineStr">
        <is>
          <t>New module</t>
        </is>
      </c>
      <c r="C8" s="24" t="inlineStr">
        <is>
          <t>'Sell, purchase &amp; inventory': 28 cases tying each purchase and sale to its stock movement and money.</t>
        </is>
      </c>
    </row>
    <row r="9" ht="23.25" customHeight="1" s="13">
      <c r="A9" s="24" t="inlineStr">
        <is>
          <t>SC-23 to SC-28</t>
        </is>
      </c>
      <c r="B9" s="24" t="inlineStr">
        <is>
          <t>New scenarios</t>
        </is>
      </c>
      <c r="C9" s="24" t="inlineStr">
        <is>
          <t>Six end-to-end journeys: category stock-up to first sale, loose goods, shop MRP, sell / purchase / inventory reconciliation, log out on a shared phone, field validation on the first order.</t>
        </is>
      </c>
    </row>
    <row r="10" ht="15" customHeight="1" s="13">
      <c r="A10" s="24" t="inlineStr">
        <is>
          <t>TC-PRE-008</t>
        </is>
      </c>
      <c r="B10" s="24" t="inlineStr">
        <is>
          <t>Updated</t>
        </is>
      </c>
      <c r="C10" s="24" t="inlineStr">
        <is>
          <t>Seed data extended for the loose product, the test category and Shop C.</t>
        </is>
      </c>
    </row>
    <row r="11" ht="15" customHeight="1" s="13">
      <c r="A11" s="24" t="inlineStr">
        <is>
          <t>TC-AUTH-030</t>
        </is>
      </c>
      <c r="B11" s="24" t="inlineStr">
        <is>
          <t>Updated</t>
        </is>
      </c>
      <c r="C11" s="24" t="inlineStr">
        <is>
          <t>Pointer to the new log out cases.</t>
        </is>
      </c>
    </row>
    <row r="12" ht="15" customHeight="1" s="13">
      <c r="A12" s="24" t="inlineStr">
        <is>
          <t>TC-DISC-011</t>
        </is>
      </c>
      <c r="B12" s="24" t="inlineStr">
        <is>
          <t>Updated</t>
        </is>
      </c>
      <c r="C12" s="24" t="inlineStr">
        <is>
          <t>Unpriced rows added.</t>
        </is>
      </c>
    </row>
    <row r="13" ht="15" customHeight="1" s="13">
      <c r="A13" s="24" t="inlineStr">
        <is>
          <t>TC-CART-007</t>
        </is>
      </c>
      <c r="B13" s="24" t="inlineStr">
        <is>
          <t>Updated</t>
        </is>
      </c>
      <c r="C13" s="24" t="inlineStr">
        <is>
          <t>Added the cleared-price trigger.</t>
        </is>
      </c>
    </row>
    <row r="14" ht="15" customHeight="1" s="13">
      <c r="A14" s="24" t="inlineStr">
        <is>
          <t>TC-ONB-027</t>
        </is>
      </c>
      <c r="B14" s="24" t="inlineStr">
        <is>
          <t>Updated</t>
        </is>
      </c>
      <c r="C14" s="24" t="inlineStr">
        <is>
          <t>Linked to the category auto-add rule.</t>
        </is>
      </c>
    </row>
    <row r="15" ht="15" customHeight="1" s="13">
      <c r="A15" s="24" t="inlineStr">
        <is>
          <t>TC-ONB-028</t>
        </is>
      </c>
      <c r="B15" s="24" t="inlineStr">
        <is>
          <t>Updated</t>
        </is>
      </c>
      <c r="C15" s="24" t="inlineStr">
        <is>
          <t>Owner must be able to add a category to the own shop.</t>
        </is>
      </c>
    </row>
    <row r="16" ht="15" customHeight="1" s="13">
      <c r="A16" s="24" t="inlineStr">
        <is>
          <t>TC-CAT-004</t>
        </is>
      </c>
      <c r="B16" s="24" t="inlineStr">
        <is>
          <t>Updated</t>
        </is>
      </c>
      <c r="C16" s="24" t="inlineStr">
        <is>
          <t>Empty price allowed for an unpriced loose product.</t>
        </is>
      </c>
    </row>
    <row r="17" ht="15" customHeight="1" s="13">
      <c r="A17" s="24" t="inlineStr">
        <is>
          <t>TC-CAT-007</t>
        </is>
      </c>
      <c r="B17" s="24" t="inlineStr">
        <is>
          <t>Updated</t>
        </is>
      </c>
      <c r="C17" s="24" t="inlineStr">
        <is>
          <t>MRP guard now refers to the shop MRP; loose price starts empty.</t>
        </is>
      </c>
    </row>
    <row r="18" ht="15" customHeight="1" s="13">
      <c r="A18" s="24" t="inlineStr">
        <is>
          <t>TC-CAT-008</t>
        </is>
      </c>
      <c r="B18" s="24" t="inlineStr">
        <is>
          <t>Updated</t>
        </is>
      </c>
      <c r="C18" s="24" t="inlineStr">
        <is>
          <t>Discount uses the shop MRP.</t>
        </is>
      </c>
    </row>
    <row r="19" ht="15" customHeight="1" s="13">
      <c r="A19" s="24" t="inlineStr">
        <is>
          <t>TC-CAT-009</t>
        </is>
      </c>
      <c r="B19" s="24" t="inlineStr">
        <is>
          <t>Updated</t>
        </is>
      </c>
      <c r="C19" s="24" t="inlineStr">
        <is>
          <t>Owner 403 limited to the master MRP; own-shop MRP change is now allowed.</t>
        </is>
      </c>
    </row>
    <row r="20" ht="15" customHeight="1" s="13">
      <c r="A20" s="24" t="inlineStr">
        <is>
          <t>TC-CAT-010</t>
        </is>
      </c>
      <c r="B20" s="24" t="inlineStr">
        <is>
          <t>Updated</t>
        </is>
      </c>
      <c r="C20" s="24" t="inlineStr">
        <is>
          <t>Master MRP change must not overwrite a shop MRP.</t>
        </is>
      </c>
    </row>
    <row r="21" ht="15" customHeight="1" s="13">
      <c r="A21" s="24" t="inlineStr">
        <is>
          <t>TC-CAT-011</t>
        </is>
      </c>
      <c r="B21" s="24" t="inlineStr">
        <is>
          <t>Updated</t>
        </is>
      </c>
      <c r="C21" s="24" t="inlineStr">
        <is>
          <t>Clarified against the new own-shop MRP change.</t>
        </is>
      </c>
    </row>
    <row r="22" ht="15" customHeight="1" s="13">
      <c r="A22" s="24" t="inlineStr">
        <is>
          <t>TC-CAT-013</t>
        </is>
      </c>
      <c r="B22" s="24" t="inlineStr">
        <is>
          <t>Updated</t>
        </is>
      </c>
      <c r="C22" s="24" t="inlineStr">
        <is>
          <t>Template shows blank price for loose rows.</t>
        </is>
      </c>
    </row>
    <row r="23" ht="15" customHeight="1" s="13">
      <c r="A23" s="24" t="inlineStr">
        <is>
          <t>TC-CAT-017</t>
        </is>
      </c>
      <c r="B23" s="24" t="inlineStr">
        <is>
          <t>Updated</t>
        </is>
      </c>
      <c r="C23" s="24" t="inlineStr">
        <is>
          <t>Linked to auto-added listings.</t>
        </is>
      </c>
    </row>
    <row r="24" ht="15" customHeight="1" s="13">
      <c r="A24" s="24" t="inlineStr">
        <is>
          <t>SC-22</t>
        </is>
      </c>
      <c r="B24" s="24" t="inlineStr">
        <is>
          <t>Updated</t>
        </is>
      </c>
      <c r="C24" s="24" t="inlineStr">
        <is>
          <t>Added the shop-specific MRP steps.</t>
        </is>
      </c>
    </row>
    <row r="25" ht="15" customHeight="1" s="13">
      <c r="A25" s="24" t="inlineStr">
        <is>
          <t>Test data</t>
        </is>
      </c>
      <c r="B25" s="24" t="inlineStr">
        <is>
          <t>Updated</t>
        </is>
      </c>
      <c r="C25" s="24" t="inlineStr">
        <is>
          <t>Shop C, loose product, test categories, shared packaged product and a second browser profile added.</t>
        </is>
      </c>
    </row>
    <row r="26" ht="15" customHeight="1" s="13">
      <c r="A26" s="24" t="inlineStr">
        <is>
          <t>Coverage</t>
        </is>
      </c>
      <c r="B26" s="24" t="inlineStr">
        <is>
          <t>Updated</t>
        </is>
      </c>
      <c r="C26" s="24" t="inlineStr">
        <is>
          <t>NEW-008 to NEW-010 added; new cases linked to existing feature IDs.</t>
        </is>
      </c>
    </row>
    <row r="27" ht="15" customHeight="1" s="13">
      <c r="A27" s="24" t="inlineStr">
        <is>
          <t>Run summary</t>
        </is>
      </c>
      <c r="B27" s="24" t="inlineStr">
        <is>
          <t>Updated</t>
        </is>
      </c>
      <c r="C27" s="24" t="inlineStr">
        <is>
          <t>Two new modules added; all counts extended to the new rows.</t>
        </is>
      </c>
    </row>
    <row r="28" ht="23.25" customHeight="1" s="13">
      <c r="A28" s="24" t="inlineStr">
        <is>
          <t>Open question 1</t>
        </is>
      </c>
      <c r="B28" s="24" t="inlineStr">
        <is>
          <t>To confirm</t>
        </is>
      </c>
      <c r="C28" s="24" t="inlineStr">
        <is>
          <t>MRP check: when a shop has changed the MRP for itself, is its selling price checked against its own MRP or the master MRP? The cases assume its own (TC-CAT-063). The earlier rule was admin-only MRP (TC-CAT-009).</t>
        </is>
      </c>
    </row>
    <row r="29" ht="15" customHeight="1" s="13">
      <c r="A29" s="24" t="inlineStr">
        <is>
          <t>Open question 2</t>
        </is>
      </c>
      <c r="B29" s="24" t="inlineStr">
        <is>
          <t>To confirm</t>
        </is>
      </c>
      <c r="C29" s="24" t="inlineStr">
        <is>
          <t>Stock 100 for loose goods: does 100 mean 100 kg / litres? (TC-CAT-041, TC-SPI-025)</t>
        </is>
      </c>
    </row>
    <row r="30" ht="23.25" customHeight="1" s="13">
      <c r="A30" s="24" t="inlineStr">
        <is>
          <t>Open question 3</t>
        </is>
      </c>
      <c r="B30" s="24" t="inlineStr">
        <is>
          <t>To confirm</t>
        </is>
      </c>
      <c r="C30" s="24" t="inlineStr">
        <is>
          <t>Category add: should products also be auto-added when an operator adds the category, for the registration category, and for products added to the category later? What happens when the category is removed? (TC-CAT-053 to TC-CAT-056)</t>
        </is>
      </c>
    </row>
    <row r="31" ht="15" customHeight="1" s="13">
      <c r="A31" s="24" t="inlineStr">
        <is>
          <t>Open question 4</t>
        </is>
      </c>
      <c r="B31" s="24" t="inlineStr">
        <is>
          <t>To confirm</t>
        </is>
      </c>
      <c r="C31" s="24" t="inlineStr">
        <is>
          <t>Wording shown to customers for a product with no price ('Price not set', 'Ask shop', ...). (TC-CAT-029)</t>
        </is>
      </c>
    </row>
    <row r="32" ht="15" customHeight="1" s="13">
      <c r="A32" s="24" t="inlineStr">
        <is>
          <t>Open question 5</t>
        </is>
      </c>
      <c r="B32" s="24" t="inlineStr">
        <is>
          <t>To confirm</t>
        </is>
      </c>
      <c r="C32" s="24" t="inlineStr">
        <is>
          <t>Field limits (maximum lengths, allowed ranges) are not in the earlier plans. The field cases record the actual limit on the first run; add the agreed limits afterwards.</t>
        </is>
      </c>
    </row>
    <row r="33" ht="15" customHeight="1" s="13">
      <c r="A33" s="24" t="inlineStr">
        <is>
          <t>Open question 6</t>
        </is>
      </c>
      <c r="B33" s="24" t="inlineStr">
        <is>
          <t>To confirm</t>
        </is>
      </c>
      <c r="C33" s="24" t="inlineStr">
        <is>
          <t>Rider who logs out while online: set offline automatically? (TC-AUTH-040)</t>
        </is>
      </c>
    </row>
    <row r="34" ht="23.85" customHeight="1" s="13">
      <c r="A34" s="24" t="inlineStr">
        <is>
          <t>4-Oct update</t>
        </is>
      </c>
      <c r="B34" s="24" t="inlineStr">
        <is>
          <t>Summary</t>
        </is>
      </c>
      <c r="C34" s="24" t="inlineStr">
        <is>
          <t>The 24 open features in GOKESARI_OPEN_FEATURES_2026-10-03.xlsx (23 in progress + NEW-007) are treated as completed. 106 cases added: 47 positive, 35 negative, 9 boundary, 15 security. Seven scenarios added (SC-29 to SC-35).</t>
        </is>
      </c>
    </row>
    <row r="35" ht="15" customHeight="1" s="13">
      <c r="A35" s="24" t="inlineStr">
        <is>
          <t>TC-PRE-012</t>
        </is>
      </c>
      <c r="B35" s="24" t="inlineStr">
        <is>
          <t>New cases 4-Oct</t>
        </is>
      </c>
      <c r="C35" s="24" t="inlineStr">
        <is>
          <t>Preflight check that the open features are on the test build.</t>
        </is>
      </c>
    </row>
    <row r="36" ht="15" customHeight="1" s="13">
      <c r="A36" s="24" t="inlineStr">
        <is>
          <t>TC-AUTH-046 to TC-AUTH-054</t>
        </is>
      </c>
      <c r="B36" s="24" t="inlineStr">
        <is>
          <t>New cases 4-Oct</t>
        </is>
      </c>
      <c r="C36" s="24" t="inlineStr">
        <is>
          <t>GS-001: sign-in code by SMS.</t>
        </is>
      </c>
    </row>
    <row r="37" ht="15" customHeight="1" s="13">
      <c r="A37" s="24" t="inlineStr">
        <is>
          <t>TC-NTF-013 to TC-NTF-020</t>
        </is>
      </c>
      <c r="B37" s="24" t="inlineStr">
        <is>
          <t>New cases 4-Oct</t>
        </is>
      </c>
      <c r="C37" s="24" t="inlineStr">
        <is>
          <t>GS-074: SMS, WhatsApp and push channels.</t>
        </is>
      </c>
    </row>
    <row r="38" ht="15" customHeight="1" s="13">
      <c r="A38" s="24" t="inlineStr">
        <is>
          <t>TC-PAY-017 to TC-PAY-035</t>
        </is>
      </c>
      <c r="B38" s="24" t="inlineStr">
        <is>
          <t>New cases 4-Oct</t>
        </is>
      </c>
      <c r="C38" s="24" t="inlineStr">
        <is>
          <t>GS-028, GS-073, SM-005, WF-001, NEW-007: pay per order online, refunds to source, payment states, chargeback, reconciliation.</t>
        </is>
      </c>
    </row>
    <row r="39" ht="15" customHeight="1" s="13">
      <c r="A39" s="24" t="inlineStr">
        <is>
          <t>TC-FIN-028 to TC-FIN-032</t>
        </is>
      </c>
      <c r="B39" s="24" t="inlineStr">
        <is>
          <t>New cases 4-Oct</t>
        </is>
      </c>
      <c r="C39" s="24" t="inlineStr">
        <is>
          <t>NEW-007: tax invoices and credit notes.</t>
        </is>
      </c>
    </row>
    <row r="40" ht="15" customHeight="1" s="13">
      <c r="A40" s="24" t="inlineStr">
        <is>
          <t>TC-DEL-022 to TC-DEL-031</t>
        </is>
      </c>
      <c r="B40" s="24" t="inlineStr">
        <is>
          <t>New cases 4-Oct</t>
        </is>
      </c>
      <c r="C40" s="24" t="inlineStr">
        <is>
          <t>NEW-007 photo proof of delivery; SM-003 partner states; NAV-013 rider profile edit.</t>
        </is>
      </c>
    </row>
    <row r="41" ht="15" customHeight="1" s="13">
      <c r="A41" s="24" t="inlineStr">
        <is>
          <t>TC-ORD-016 to TC-ORD-019</t>
        </is>
      </c>
      <c r="B41" s="24" t="inlineStr">
        <is>
          <t>New cases 4-Oct</t>
        </is>
      </c>
      <c r="C41" s="24" t="inlineStr">
        <is>
          <t>NEW-007: accept timeout auto-cancel.</t>
        </is>
      </c>
    </row>
    <row r="42" ht="15" customHeight="1" s="13">
      <c r="A42" s="24" t="inlineStr">
        <is>
          <t>TC-DISC-019 to TC-DISC-024</t>
        </is>
      </c>
      <c r="B42" s="24" t="inlineStr">
        <is>
          <t>New cases 4-Oct</t>
        </is>
      </c>
      <c r="C42" s="24" t="inlineStr">
        <is>
          <t>GS-023 reference prices for customers; NAV-001 home comparison widgets; NAV-002 shop-page offers.</t>
        </is>
      </c>
    </row>
    <row r="43" ht="15" customHeight="1" s="13">
      <c r="A43" s="24" t="inlineStr">
        <is>
          <t>TC-SUP-012 to TC-SUP-014</t>
        </is>
      </c>
      <c r="B43" s="24" t="inlineStr">
        <is>
          <t>New cases 4-Oct</t>
        </is>
      </c>
      <c r="C43" s="24" t="inlineStr">
        <is>
          <t>SM-006: grievance states and escalation.</t>
        </is>
      </c>
    </row>
    <row r="44" ht="15" customHeight="1" s="13">
      <c r="A44" s="24" t="inlineStr">
        <is>
          <t>TC-ONB-040 to TC-ONB-047</t>
        </is>
      </c>
      <c r="B44" s="24" t="inlineStr">
        <is>
          <t>New cases 4-Oct</t>
        </is>
      </c>
      <c r="C44" s="24" t="inlineStr">
        <is>
          <t>SM-002 shop states; GS-007 / WF-008 KYC documents.</t>
        </is>
      </c>
    </row>
    <row r="45" ht="15" customHeight="1" s="13">
      <c r="A45" s="24" t="inlineStr">
        <is>
          <t>TC-SUB-016 to TC-SUB-019</t>
        </is>
      </c>
      <c r="B45" s="24" t="inlineStr">
        <is>
          <t>New cases 4-Oct</t>
        </is>
      </c>
      <c r="C45" s="24" t="inlineStr">
        <is>
          <t>SM-004: subscription states.</t>
        </is>
      </c>
    </row>
    <row r="46" ht="15" customHeight="1" s="13">
      <c r="A46" s="24" t="inlineStr">
        <is>
          <t>TC-LOC-029 to TC-LOC-032</t>
        </is>
      </c>
      <c r="B46" s="24" t="inlineStr">
        <is>
          <t>New cases 4-Oct</t>
        </is>
      </c>
      <c r="C46" s="24" t="inlineStr">
        <is>
          <t>GS-072: road routing, ETA, in-app navigation.</t>
        </is>
      </c>
    </row>
    <row r="47" ht="15" customHeight="1" s="13">
      <c r="A47" s="24" t="inlineStr">
        <is>
          <t>TC-CART-020 to TC-CART-030</t>
        </is>
      </c>
      <c r="B47" s="24" t="inlineStr">
        <is>
          <t>New cases 4-Oct</t>
        </is>
      </c>
      <c r="C47" s="24" t="inlineStr">
        <is>
          <t>GS-027 slots and capacity; GS-033 master order; NAV-003 coupons.</t>
        </is>
      </c>
    </row>
    <row r="48" ht="15" customHeight="1" s="13">
      <c r="A48" s="24" t="inlineStr">
        <is>
          <t>TC-DSP-023 to TC-DSP-026</t>
        </is>
      </c>
      <c r="B48" s="24" t="inlineStr">
        <is>
          <t>New cases 4-Oct</t>
        </is>
      </c>
      <c r="C48" s="24" t="inlineStr">
        <is>
          <t>GA-005: busy-rider ranking and batching.</t>
        </is>
      </c>
    </row>
    <row r="49" ht="15" customHeight="1" s="13">
      <c r="A49" s="24" t="inlineStr">
        <is>
          <t>TC-CAT-068 to TC-CAT-070</t>
        </is>
      </c>
      <c r="B49" s="24" t="inlineStr">
        <is>
          <t>New cases 4-Oct</t>
        </is>
      </c>
      <c r="C49" s="24" t="inlineStr">
        <is>
          <t>GS-014: image moderation.</t>
        </is>
      </c>
    </row>
    <row r="50" ht="15" customHeight="1" s="13">
      <c r="A50" s="24" t="inlineStr">
        <is>
          <t>TC-MKT-014 to TC-MKT-017</t>
        </is>
      </c>
      <c r="B50" s="24" t="inlineStr">
        <is>
          <t>New cases 4-Oct</t>
        </is>
      </c>
      <c r="C50" s="24" t="inlineStr">
        <is>
          <t>GS-054: customer referral.</t>
        </is>
      </c>
    </row>
    <row r="51" ht="15" customHeight="1" s="13">
      <c r="A51" s="24" t="inlineStr">
        <is>
          <t>TC-FLD-130 to TC-FLD-132</t>
        </is>
      </c>
      <c r="B51" s="24" t="inlineStr">
        <is>
          <t>New cases 4-Oct</t>
        </is>
      </c>
      <c r="C51" s="24" t="inlineStr">
        <is>
          <t>Field cases for coupon code, slot picker and referral code.</t>
        </is>
      </c>
    </row>
    <row r="52" ht="15" customHeight="1" s="13">
      <c r="A52" s="24" t="inlineStr">
        <is>
          <t>TC-AUTH-010</t>
        </is>
      </c>
      <c r="B52" s="24" t="inlineStr">
        <is>
          <t>Updated 4-Oct</t>
        </is>
      </c>
      <c r="C52" s="24" t="inlineStr">
        <is>
          <t>Was: SMS shown as coming soon. Now: Mobile login channel step offers SMS and email.</t>
        </is>
      </c>
    </row>
    <row r="53" ht="15" customHeight="1" s="13">
      <c r="A53" s="24" t="inlineStr">
        <is>
          <t>TC-DISC-015</t>
        </is>
      </c>
      <c r="B53" s="24" t="inlineStr">
        <is>
          <t>Updated 4-Oct</t>
        </is>
      </c>
      <c r="C53" s="24" t="inlineStr">
        <is>
          <t>Was: hidden by default. Now: External reference prices shown by default.</t>
        </is>
      </c>
    </row>
    <row r="54" ht="15" customHeight="1" s="13">
      <c r="A54" s="24" t="inlineStr">
        <is>
          <t>TC-DISC-016</t>
        </is>
      </c>
      <c r="B54" s="24" t="inlineStr">
        <is>
          <t>Updated 4-Oct</t>
        </is>
      </c>
      <c r="C54" s="24" t="inlineStr">
        <is>
          <t>Rule default reversed. Now: Reference prices hidden when the rule is off.</t>
        </is>
      </c>
    </row>
    <row r="55" ht="15" customHeight="1" s="13">
      <c r="A55" s="24" t="inlineStr">
        <is>
          <t>TC-CART-019</t>
        </is>
      </c>
      <c r="B55" s="24" t="inlineStr">
        <is>
          <t>Updated 4-Oct</t>
        </is>
      </c>
      <c r="C55" s="24" t="inlineStr">
        <is>
          <t>Was: no coupon field. Now: Coupon field is offered at checkout.</t>
        </is>
      </c>
    </row>
    <row r="56" ht="15" customHeight="1" s="13">
      <c r="A56" s="24" t="inlineStr">
        <is>
          <t>TC-PAY-007</t>
        </is>
      </c>
      <c r="B56" s="24" t="inlineStr">
        <is>
          <t>Updated 4-Oct</t>
        </is>
      </c>
      <c r="C56" s="24" t="inlineStr">
        <is>
          <t>Was: wallet or COD only. Now: Orders can be paid by wallet, COD or online.</t>
        </is>
      </c>
    </row>
    <row r="57" ht="15" customHeight="1" s="13">
      <c r="A57" s="24" t="inlineStr">
        <is>
          <t>TC-ORD-015</t>
        </is>
      </c>
      <c r="B57" s="24" t="inlineStr">
        <is>
          <t>Updated 4-Oct</t>
        </is>
      </c>
      <c r="C57" s="24" t="inlineStr">
        <is>
          <t>Was: timeout not enforced. Now: Accept timeout is enforced.</t>
        </is>
      </c>
    </row>
    <row r="58" ht="15" customHeight="1" s="13">
      <c r="A58" s="24" t="inlineStr">
        <is>
          <t>TC-DSP-004</t>
        </is>
      </c>
      <c r="B58" s="24" t="inlineStr">
        <is>
          <t>Updated 4-Oct</t>
        </is>
      </c>
      <c r="C58" s="24" t="inlineStr">
        <is>
          <t>Was: busy rider excluded. Now: Busy rider is ranked lower.</t>
        </is>
      </c>
    </row>
    <row r="59" ht="15" customHeight="1" s="13">
      <c r="A59" s="24" t="inlineStr">
        <is>
          <t>TC-ONB-023</t>
        </is>
      </c>
      <c r="B59" s="24" t="inlineStr">
        <is>
          <t>Updated 4-Oct</t>
        </is>
      </c>
      <c r="C59" s="24" t="inlineStr">
        <is>
          <t>Was: approval not gated. The 3-Oct list says the gate is now enforced. Now: Approval is gated on fee payment.</t>
        </is>
      </c>
    </row>
    <row r="60" ht="15" customHeight="1" s="13">
      <c r="A60" s="24" t="inlineStr">
        <is>
          <t>TC-NTF-007</t>
        </is>
      </c>
      <c r="B60" s="24" t="inlineStr">
        <is>
          <t>Updated 4-Oct</t>
        </is>
      </c>
      <c r="C60" s="24" t="inlineStr">
        <is>
          <t>Was: channels shown as 'soon'. Now: SMS / Push / WhatsApp channels are selectable.</t>
        </is>
      </c>
    </row>
    <row r="61" ht="15" customHeight="1" s="13">
      <c r="A61" s="24" t="inlineStr">
        <is>
          <t>TC-FLD-027</t>
        </is>
      </c>
      <c r="B61" s="24" t="inlineStr">
        <is>
          <t>Updated 4-Oct</t>
        </is>
      </c>
      <c r="C61" s="24" t="inlineStr">
        <is>
          <t>Online payment is now a valid method. Now: Checkout: payment method.</t>
        </is>
      </c>
    </row>
    <row r="62" ht="15" customHeight="1" s="13">
      <c r="A62" s="24" t="inlineStr">
        <is>
          <t>Not yet testable</t>
        </is>
      </c>
      <c r="B62" s="24" t="inlineStr">
        <is>
          <t>Updated 4-Oct</t>
        </is>
      </c>
      <c r="C62" s="24" t="inlineStr">
        <is>
          <t>16 rows removed because their features are now treated as completed; 9 remain.</t>
        </is>
      </c>
    </row>
    <row r="63" ht="15" customHeight="1" s="13">
      <c r="A63" s="24" t="inlineStr">
        <is>
          <t>Coverage</t>
        </is>
      </c>
      <c r="B63" s="24" t="inlineStr">
        <is>
          <t>Updated 4-Oct</t>
        </is>
      </c>
      <c r="C63" s="24" t="inlineStr">
        <is>
          <t>The 24 feature IDs are marked treated as completed and linked to their new cases.</t>
        </is>
      </c>
    </row>
    <row r="64" ht="15" customHeight="1" s="13">
      <c r="A64" s="24" t="inlineStr">
        <is>
          <t>Test data</t>
        </is>
      </c>
      <c r="B64" s="24" t="inlineStr">
        <is>
          <t>Updated 4-Oct</t>
        </is>
      </c>
      <c r="C64" s="24" t="inlineStr">
        <is>
          <t>SMS / WhatsApp / push setup, gateway sandbox for orders, coupons, slots, KYC files and a shop for the state path added.</t>
        </is>
      </c>
    </row>
    <row r="65" ht="23.85" customHeight="1" s="13">
      <c r="A65" s="24" t="inlineStr">
        <is>
          <t>Open question 4-Oct #1</t>
        </is>
      </c>
      <c r="B65" s="24" t="inlineStr">
        <is>
          <t>To confirm</t>
        </is>
      </c>
      <c r="C65" s="24" t="inlineStr">
        <is>
          <t>These 24 features are listed as not yet built in the 3-Oct open-features file. The new cases describe the intended behaviour from the remaining-scope notes; exact screens, limits and messages need confirming once built.</t>
        </is>
      </c>
    </row>
    <row r="66" ht="15" customHeight="1" s="13">
      <c r="A66" s="24" t="inlineStr">
        <is>
          <t>Open question 4-Oct #2</t>
        </is>
      </c>
      <c r="B66" s="24" t="inlineStr">
        <is>
          <t>To confirm</t>
        </is>
      </c>
      <c r="C66" s="24" t="inlineStr">
        <is>
          <t>SM-006: the cases assume grievances get the four extra states. If the decision is that dispute cases already satisfy SM-006, drop TC-SUP-012 to TC-SUP-014.</t>
        </is>
      </c>
    </row>
    <row r="67" ht="15" customHeight="1" s="13">
      <c r="A67" s="24" t="inlineStr">
        <is>
          <t>Open question 4-Oct #3</t>
        </is>
      </c>
      <c r="B67" s="24" t="inlineStr">
        <is>
          <t>To confirm</t>
        </is>
      </c>
      <c r="C67" s="24" t="inlineStr">
        <is>
          <t>Coupons: who bears the discount (shop or platform) and the one-coupon-per-order rule are assumed.</t>
        </is>
      </c>
    </row>
    <row r="68" ht="15" customHeight="1" s="13">
      <c r="A68" s="24" t="inlineStr">
        <is>
          <t>Open question 4-Oct #4</t>
        </is>
      </c>
      <c r="B68" s="24" t="inlineStr">
        <is>
          <t>To confirm</t>
        </is>
      </c>
      <c r="C68" s="24" t="inlineStr">
        <is>
          <t>Accept timeout: the value and the closed-shop rule (timer from opening time) are assumed.</t>
        </is>
      </c>
    </row>
    <row r="69" ht="15" customHeight="1" s="13">
      <c r="A69" s="24" t="inlineStr">
        <is>
          <t>Open question 4-Oct #5</t>
        </is>
      </c>
      <c r="B69" s="24" t="inlineStr">
        <is>
          <t>To confirm</t>
        </is>
      </c>
      <c r="C69" s="24" t="inlineStr">
        <is>
          <t>Batching: maximum orders per trip and the distance rule are not defined.</t>
        </is>
      </c>
    </row>
    <row r="70" ht="15" customHeight="1" s="13">
      <c r="A70" s="24" t="inlineStr">
        <is>
          <t>Open question 4-Oct #6</t>
        </is>
      </c>
      <c r="B70" s="24" t="inlineStr">
        <is>
          <t>To confirm</t>
        </is>
      </c>
      <c r="C70" s="24" t="inlineStr">
        <is>
          <t>Photo proof of delivery: whether it is required for every delivery or only some.</t>
        </is>
      </c>
    </row>
    <row r="71">
      <c r="A71" s="24" t="inlineStr">
        <is>
          <t>QA-AUTO 24-Oct</t>
        </is>
      </c>
      <c r="B71" s="24" t="inlineStr">
        <is>
          <t>New module</t>
        </is>
      </c>
      <c r="C71" s="24" t="inlineStr">
        <is>
          <t>QA automation (QA-010 to QA-014): TC-QA-001 to TC-QA-007 and scenarios SC-36, SC-37. Status, Actual result, Defect / evidence and Run date are now written from the automated runs (docs/testing/GOKESARI_MASTER_TEST_REGISTER.xlsx is the full record per site).</t>
        </is>
      </c>
    </row>
    <row r="72">
      <c r="A72" s="24" t="inlineStr">
        <is>
          <t>PL 24-Oct</t>
        </is>
      </c>
      <c r="B72" s="24" t="inlineStr">
        <is>
          <t>New module</t>
        </is>
      </c>
      <c r="C72" s="24" t="inlineStr">
        <is>
          <t>Purchase lists (PL-001 to PL-007, docs/purchase-lists-2026-10, PR #231): TC-LIST-001 to TC-LIST-028. Automated in tests/qa/guest/purchase-lists.spec.ts (guest refusals, production-safe) and tests/qa/signed-in/purchase-lists.spec.ts (signed tier: staging customer accounts and the local server; writes only 'QA PL' lists and puts the cart back). TC-LIST-028 (reminders) is time-based and declared manual (integration tests cover it).</t>
        </is>
      </c>
    </row>
    <row r="73">
      <c r="A73" s="24" t="inlineStr">
        <is>
          <t>AI 31-Oct</t>
        </is>
      </c>
      <c r="B73" s="24" t="inlineStr">
        <is>
          <t>New module</t>
        </is>
      </c>
      <c r="C73" s="24" t="inlineStr">
        <is>
          <t>App install &amp; updates (AI-001 to AI-006, docs/app-install-2026-10): TC-APP-001 to TC-APP-013. Automated in tests/qa/guest/app-install.spec.ts (production-safe, Android and iPhone profiles) and tests/qa/signed-in/app-install.spec.ts (account record). TC-APP-010 needs a deploy and TC-APP-012 a phone: declared manual.</t>
        </is>
      </c>
    </row>
  </sheetData>
  <autoFilter ref="A1:C7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P840"/>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13" customWidth="1" style="12" min="1" max="1"/>
    <col width="22" customWidth="1" style="12" min="2" max="2"/>
    <col width="16" customWidth="1" style="12" min="3" max="3"/>
    <col width="34" customWidth="1" style="12" min="4" max="4"/>
    <col width="11" customWidth="1" style="12" min="5" max="5"/>
    <col width="8" customWidth="1" style="12" min="6" max="6"/>
    <col width="10" customWidth="1" style="12" min="7" max="7"/>
    <col width="9" customWidth="1" style="12" min="8" max="8"/>
    <col width="30" customWidth="1" style="12" min="9" max="9"/>
    <col width="58" customWidth="1" style="12" min="10" max="11"/>
    <col width="28" customWidth="1" style="12" min="12" max="12"/>
    <col width="10" customWidth="1" style="12" min="13" max="13"/>
    <col width="30" customWidth="1" style="12" min="14" max="14"/>
    <col width="22" customWidth="1" style="12" min="15" max="15"/>
    <col width="11" customWidth="1" style="12" min="16" max="16"/>
  </cols>
  <sheetData>
    <row r="1" ht="30" customHeight="1" s="13">
      <c r="A1" s="22" t="inlineStr">
        <is>
          <t>TC ID</t>
        </is>
      </c>
      <c r="B1" s="22" t="inlineStr">
        <is>
          <t>Module</t>
        </is>
      </c>
      <c r="C1" s="22" t="inlineStr">
        <is>
          <t>Feature IDs</t>
        </is>
      </c>
      <c r="D1" s="22" t="inlineStr">
        <is>
          <t>Test case</t>
        </is>
      </c>
      <c r="E1" s="22" t="inlineStr">
        <is>
          <t>Type</t>
        </is>
      </c>
      <c r="F1" s="22" t="inlineStr">
        <is>
          <t>Priority</t>
        </is>
      </c>
      <c r="G1" s="22" t="inlineStr">
        <is>
          <t>Role</t>
        </is>
      </c>
      <c r="H1" s="22" t="inlineStr">
        <is>
          <t>Method</t>
        </is>
      </c>
      <c r="I1" s="22" t="inlineStr">
        <is>
          <t>Preconditions / data</t>
        </is>
      </c>
      <c r="J1" s="22" t="inlineStr">
        <is>
          <t>Steps</t>
        </is>
      </c>
      <c r="K1" s="22" t="inlineStr">
        <is>
          <t>Expected result</t>
        </is>
      </c>
      <c r="L1" s="22" t="inlineStr">
        <is>
          <t>Source (earlier plan / spec)</t>
        </is>
      </c>
      <c r="M1" s="22" t="inlineStr">
        <is>
          <t>Status</t>
        </is>
      </c>
      <c r="N1" s="22" t="inlineStr">
        <is>
          <t>Actual result</t>
        </is>
      </c>
      <c r="O1" s="22" t="inlineStr">
        <is>
          <t>Defect / evidence</t>
        </is>
      </c>
      <c r="P1" s="22" t="inlineStr">
        <is>
          <t>Run date</t>
        </is>
      </c>
    </row>
    <row r="2" ht="34.5" customHeight="1" s="13">
      <c r="A2" s="24" t="inlineStr">
        <is>
          <t>TC-PRE-001</t>
        </is>
      </c>
      <c r="B2" s="24" t="inlineStr">
        <is>
          <t>Preflight &amp; smoke</t>
        </is>
      </c>
      <c r="C2" s="24" t="inlineStr">
        <is>
          <t>INF</t>
        </is>
      </c>
      <c r="D2" s="24" t="inlineStr">
        <is>
          <t>Test site is reachable and renders</t>
        </is>
      </c>
      <c r="E2" s="24" t="inlineStr">
        <is>
          <t>Positive</t>
        </is>
      </c>
      <c r="F2" s="24" t="inlineStr">
        <is>
          <t>P0</t>
        </is>
      </c>
      <c r="G2" s="24" t="inlineStr">
        <is>
          <t>Guest</t>
        </is>
      </c>
      <c r="H2" s="24" t="inlineStr">
        <is>
          <t>UI</t>
        </is>
      </c>
      <c r="I2" s="24" t="n"/>
      <c r="J2" s="24" t="inlineStr">
        <is>
          <t>1. Open https://test.gokesari.com/
2. Read the page and the browser console</t>
        </is>
      </c>
      <c r="K2" s="24" t="inlineStr">
        <is>
          <t>Home page renders with header (logo, Cart, Sign in), a 'Deliver to' location bar and shop shelves. No 500 page. No React hydration error (#418) in the console.</t>
        </is>
      </c>
      <c r="L2" s="24" t="inlineStr">
        <is>
          <t>Decisions &amp; Deployment sheet; Dev log 2-Oct</t>
        </is>
      </c>
      <c r="M2" s="24" t="inlineStr">
        <is>
          <t>Pass</t>
        </is>
      </c>
      <c r="N2" s="24" t="inlineStr">
        <is>
          <t>Local Pass · Staging Pass · Production Pass
local: customer: header (logo, cart, account menu), Deliver to, shelves; no hydration errors ‖ http://localhost:3351 renders; console errors: none
staging: https://test.gokesari.com renders; console errors: none
production: https://gokesari.com renders; console errors: none</t>
        </is>
      </c>
      <c r="O2" s="24" t="inlineStr">
        <is>
          <t>E-02</t>
        </is>
      </c>
      <c r="P2" s="24" t="inlineStr">
        <is>
          <t>2026-10-29 14:00</t>
        </is>
      </c>
    </row>
    <row r="3" ht="23.25" customHeight="1" s="13">
      <c r="A3" s="24" t="inlineStr">
        <is>
          <t>TC-PRE-002</t>
        </is>
      </c>
      <c r="B3" s="24" t="inlineStr">
        <is>
          <t>Preflight &amp; smoke</t>
        </is>
      </c>
      <c r="C3" s="24" t="inlineStr">
        <is>
          <t>INF</t>
        </is>
      </c>
      <c r="D3" s="24" t="inlineStr">
        <is>
          <t>Database-backed pages load (no 500s)</t>
        </is>
      </c>
      <c r="E3" s="24" t="inlineStr">
        <is>
          <t>Positive</t>
        </is>
      </c>
      <c r="F3" s="24" t="inlineStr">
        <is>
          <t>P0</t>
        </is>
      </c>
      <c r="G3" s="24" t="inlineStr">
        <is>
          <t>Guest</t>
        </is>
      </c>
      <c r="H3" s="24" t="inlineStr">
        <is>
          <t>UI</t>
        </is>
      </c>
      <c r="I3" s="24" t="n"/>
      <c r="J3" s="24" t="inlineStr">
        <is>
          <t>1. Open /shops, /search?q=milk, /categories, one /shops/{slug} page and one /products/{id} page</t>
        </is>
      </c>
      <c r="K3" s="24" t="inlineStr">
        <is>
          <t>Every page returns content. None shows a 500 or 'Something went wrong'. Record any that fail with URL and console/network error.</t>
        </is>
      </c>
      <c r="L3" s="24" t="inlineStr">
        <is>
          <t>Decisions &amp; Deployment: 'test site returns 500 on all database pages'</t>
        </is>
      </c>
      <c r="M3" s="24" t="inlineStr">
        <is>
          <t>Pass</t>
        </is>
      </c>
      <c r="N3" s="24" t="inlineStr">
        <is>
          <t>Local Pass · Staging Pass · Production Pass
local: loaded: /shops, /search?q=milk, /categories, /shops/anand-dairy-bakery, /products/ff3f256b-67d9-4fd3-ace9-f27d94c02bec ‖ loaded signed in: /shops, /search?q=milk, /categories, /shops/qa-shop-a-mvmkyclr-mvmkycqv-1, /products/c1046049-c1db-4f95-8571-86224a07ff84, /orders, /wallet
staging: loaded: /shops, /search?q=milk, /categories, /shops/agtci-yivu6, /products/246c8d08-c44c-44b9-9ddd-458955580ba5
production: loaded: /shops, /search?q=milk, /categories, /shops/agtci-yivu6, /products/246c8d08-c44c-44b9-9ddd-458955580ba5</t>
        </is>
      </c>
      <c r="O3" s="24" t="n"/>
      <c r="P3" s="24" t="inlineStr">
        <is>
          <t>2026-10-29 14:00</t>
        </is>
      </c>
    </row>
    <row r="4" ht="68.25" customHeight="1" s="13">
      <c r="A4" s="24" t="inlineStr">
        <is>
          <t>TC-PRE-003</t>
        </is>
      </c>
      <c r="B4" s="24" t="inlineStr">
        <is>
          <t>Preflight &amp; smoke</t>
        </is>
      </c>
      <c r="C4" s="24" t="inlineStr">
        <is>
          <t>INF</t>
        </is>
      </c>
      <c r="D4" s="24" t="inlineStr">
        <is>
          <t>Deployed build matches the code under test</t>
        </is>
      </c>
      <c r="E4" s="24" t="inlineStr">
        <is>
          <t>Positive</t>
        </is>
      </c>
      <c r="F4" s="24" t="inlineStr">
        <is>
          <t>P0</t>
        </is>
      </c>
      <c r="G4" s="24" t="inlineStr">
        <is>
          <t>Admin</t>
        </is>
      </c>
      <c r="H4" s="24" t="inlineStr">
        <is>
          <t>UI</t>
        </is>
      </c>
      <c r="I4" s="24" t="inlineStr">
        <is>
          <t>Signed in as ADMIN</t>
        </is>
      </c>
      <c r="J4" s="24" t="inlineStr">
        <is>
          <t>1. Open each of: /admin/dashboard, /admin/orders, /admin/exceptions, /admin/settings, /admin/suspensions, /admin/rider-earnings, /admin/price-references, /admin/mrp, /admin/shop-categories, /admin/returns, /admin/cod, /admin/risk, /admin/analytics, /admin/campaigns, /admin/societies, /admin/product-master, /admin/consents, /admin/ratings
2. Note which load and which 404/500</t>
        </is>
      </c>
      <c r="K4" s="24" t="inlineStr">
        <is>
          <t>All pages load. A 404 means the build on test is older than the features in this suite; a 500 usually means a migration (0025-0037) is not applied. Record the list - it decides which modules below are Blocked.</t>
        </is>
      </c>
      <c r="L4" s="24" t="inlineStr">
        <is>
          <t>Status report 2-Oct: 'migrations 0025-0036 unapplied as of last dev log'</t>
        </is>
      </c>
      <c r="M4" s="24" t="inlineStr">
        <is>
          <t>Pass</t>
        </is>
      </c>
      <c r="N4" s="24" t="inlineStr">
        <is>
          <t>Local Pass · Staging Pass · Production Not run
local: 18/18 admin pages load: none blocks a module
staging: 18/18 admin pages load: none blocks a module</t>
        </is>
      </c>
      <c r="O4" s="24" t="n"/>
      <c r="P4" s="24" t="inlineStr">
        <is>
          <t>2026-10-24 17:10</t>
        </is>
      </c>
    </row>
    <row r="5" ht="45.75" customHeight="1" s="13">
      <c r="A5" s="24" t="inlineStr">
        <is>
          <t>TC-PRE-004</t>
        </is>
      </c>
      <c r="B5" s="24" t="inlineStr">
        <is>
          <t>Preflight &amp; smoke</t>
        </is>
      </c>
      <c r="C5" s="24" t="inlineStr">
        <is>
          <t>INF</t>
        </is>
      </c>
      <c r="D5" s="24" t="inlineStr">
        <is>
          <t>Business-rule defaults are in place before testing</t>
        </is>
      </c>
      <c r="E5" s="24" t="inlineStr">
        <is>
          <t>Positive</t>
        </is>
      </c>
      <c r="F5" s="24" t="inlineStr">
        <is>
          <t>P0</t>
        </is>
      </c>
      <c r="G5" s="24" t="inlineStr">
        <is>
          <t>Admin</t>
        </is>
      </c>
      <c r="H5" s="24" t="inlineStr">
        <is>
          <t>UI</t>
        </is>
      </c>
      <c r="I5" s="24" t="inlineStr">
        <is>
          <t>Signed in as ADMIN</t>
        </is>
      </c>
      <c r="J5" s="24" t="inlineStr">
        <is>
          <t>1. Open /admin/settings
2. Note every rule group and whether 'current' differs from 'default'</t>
        </is>
      </c>
      <c r="K5" s="24" t="inlineStr">
        <is>
          <t>Nine rule groups are listed (otp, dispatch, riderEarnings, returns, images, notifications, suspension, mrp, externalPrices). Record any non-default value so later results can be interpreted. Restore defaults unless a case says otherwise.</t>
        </is>
      </c>
      <c r="L5" s="24" t="inlineStr">
        <is>
          <t>QA plan S-01; NEW-001</t>
        </is>
      </c>
      <c r="M5" s="24" t="inlineStr">
        <is>
          <t>Pass</t>
        </is>
      </c>
      <c r="N5" s="24" t="inlineStr">
        <is>
          <t>Passed, partly covered. Local Pass (partial) · Staging Pass (partial) · Production Not run
local: not covered: the listing of the nine groups is the signed-tier TC-PRE-004 check ‖ not covered: restoring overridden rules to their defaults is admin-settings work kept to the local tier (tests/qa/local/access-admin.spec.ts)
staging: not covered: restoring overridden rules to their defaults is admin-settings work kept to the local tier (tests/qa/local/access-admin.spec.ts)</t>
        </is>
      </c>
      <c r="O5" s="24" t="n"/>
      <c r="P5" s="24" t="inlineStr">
        <is>
          <t>2026-10-24 17:12</t>
        </is>
      </c>
    </row>
    <row r="6" ht="23.25" customHeight="1" s="13">
      <c r="A6" s="24" t="inlineStr">
        <is>
          <t>TC-PRE-005</t>
        </is>
      </c>
      <c r="B6" s="24" t="inlineStr">
        <is>
          <t>Preflight &amp; smoke</t>
        </is>
      </c>
      <c r="C6" s="24" t="inlineStr">
        <is>
          <t>INF</t>
        </is>
      </c>
      <c r="D6" s="24" t="inlineStr">
        <is>
          <t>Email (SMTP) is configured on test</t>
        </is>
      </c>
      <c r="E6" s="24" t="inlineStr">
        <is>
          <t>Positive</t>
        </is>
      </c>
      <c r="F6" s="24" t="inlineStr">
        <is>
          <t>P0</t>
        </is>
      </c>
      <c r="G6" s="24" t="inlineStr">
        <is>
          <t>Guest</t>
        </is>
      </c>
      <c r="H6" s="24" t="inlineStr">
        <is>
          <t>UI</t>
        </is>
      </c>
      <c r="I6" s="24" t="n"/>
      <c r="J6" s="24" t="inlineStr">
        <is>
          <t>1. Open /signin</t>
        </is>
      </c>
      <c r="K6" s="24" t="inlineStr">
        <is>
          <t>The mobile/email sign-in form is shown. If a warning says codes cannot be sent, SMTP is missing: mark every OTP and email-notification case Blocked.</t>
        </is>
      </c>
      <c r="L6" s="24" t="inlineStr">
        <is>
          <t>Login-profile DEPLOY_AND_TEST; QA plan section 0</t>
        </is>
      </c>
      <c r="M6" s="24" t="inlineStr">
        <is>
          <t>Pass</t>
        </is>
      </c>
      <c r="N6" s="24" t="inlineStr">
        <is>
          <t>Passed, partly covered. Local Pass (partial) · Staging Pass (partial) · Production Not run
local: not covered: a code actually reaching a mailbox is the local-tier check (local mail catcher)
staging: not covered: a code actually reaching a mailbox is the local-tier check (local mail catcher)</t>
        </is>
      </c>
      <c r="O6" s="24" t="n"/>
      <c r="P6" s="24" t="inlineStr">
        <is>
          <t>2026-10-24 20:55</t>
        </is>
      </c>
    </row>
    <row r="7" ht="34.5" customHeight="1" s="13">
      <c r="A7" s="24" t="inlineStr">
        <is>
          <t>TC-PRE-006</t>
        </is>
      </c>
      <c r="B7" s="24" t="inlineStr">
        <is>
          <t>Preflight &amp; smoke</t>
        </is>
      </c>
      <c r="C7" s="24" t="inlineStr">
        <is>
          <t>INF</t>
        </is>
      </c>
      <c r="D7" s="24" t="inlineStr">
        <is>
          <t>Cron jobs are running on test</t>
        </is>
      </c>
      <c r="E7" s="24" t="inlineStr">
        <is>
          <t>Positive</t>
        </is>
      </c>
      <c r="F7" s="24" t="inlineStr">
        <is>
          <t>P0</t>
        </is>
      </c>
      <c r="G7" s="24" t="inlineStr">
        <is>
          <t>Admin</t>
        </is>
      </c>
      <c r="H7" s="24" t="inlineStr">
        <is>
          <t>UI+API</t>
        </is>
      </c>
      <c r="I7" s="24" t="inlineStr">
        <is>
          <t>CRON_SECRET supplied by the owner, or cron scheduled on the host</t>
        </is>
      </c>
      <c r="J7" s="24" t="inlineStr">
        <is>
          <t>1. GET /api/cron/daily-orders with the bearer token (health probe)
2. Mark an order READY with no riders online and watch the attempt counter for 2-3 minutes</t>
        </is>
      </c>
      <c r="K7" s="24" t="inlineStr">
        <is>
          <t>Health probe returns 200 and generates nothing. The 'Looking for a rider - attempt N' counter rises about once a minute, proving delivery-dispatch cron runs. If it never rises, mark cron-dependent cases Blocked.</t>
        </is>
      </c>
      <c r="L7" s="24" t="inlineStr">
        <is>
          <t>Test plan section 5.2; QA plan section 0</t>
        </is>
      </c>
      <c r="M7" s="24" t="inlineStr">
        <is>
          <t>Pass</t>
        </is>
      </c>
      <c r="N7" s="24" t="inlineStr">
        <is>
          <t>Passed, partly covered. Local Pass (partial) · Staging Not run (rule) · Production Not run
local: not covered: the local server has no scheduler, so the test calls the dispatch cron as the host's scheduler would; whether the host schedules it every minute is checked on the test site (the exceptions page warns 'dispatch looks stalled')
staging: not run on staging: needs the server's database (local run only)</t>
        </is>
      </c>
      <c r="O7" s="24" t="n"/>
      <c r="P7" s="24" t="inlineStr">
        <is>
          <t>2026-10-24 17:05</t>
        </is>
      </c>
    </row>
    <row r="8" ht="23.25" customHeight="1" s="13">
      <c r="A8" s="24" t="inlineStr">
        <is>
          <t>TC-PRE-007</t>
        </is>
      </c>
      <c r="B8" s="24" t="inlineStr">
        <is>
          <t>Preflight &amp; smoke</t>
        </is>
      </c>
      <c r="C8" s="24" t="inlineStr">
        <is>
          <t>INF</t>
        </is>
      </c>
      <c r="D8" s="24" t="inlineStr">
        <is>
          <t>Required test accounts exist and can sign in</t>
        </is>
      </c>
      <c r="E8" s="24" t="inlineStr">
        <is>
          <t>Positive</t>
        </is>
      </c>
      <c r="F8" s="24" t="inlineStr">
        <is>
          <t>P0</t>
        </is>
      </c>
      <c r="G8" s="24" t="inlineStr">
        <is>
          <t>All</t>
        </is>
      </c>
      <c r="H8" s="24" t="inlineStr">
        <is>
          <t>UI</t>
        </is>
      </c>
      <c r="I8" s="24" t="inlineStr">
        <is>
          <t>See 'Test data' sheet</t>
        </is>
      </c>
      <c r="J8" s="24" t="inlineStr">
        <is>
          <t>1. Sign in as each account in turn (the owner enters credentials / codes)
2. Check the header role switcher and landing page for each</t>
        </is>
      </c>
      <c r="K8" s="24" t="inlineStr">
        <is>
          <t>ADMIN, OPERATOR, 2 SHOP_OWNERs, 2 CUSTOMERs, 1 approved online rider, 1 verified society admin all sign in and land on the right portal.</t>
        </is>
      </c>
      <c r="L8" s="24" t="inlineStr">
        <is>
          <t>QA plan section 0</t>
        </is>
      </c>
      <c r="M8" s="24" t="inlineStr">
        <is>
          <t>Pass</t>
        </is>
      </c>
      <c r="N8" s="24" t="inlineStr">
        <is>
          <t>Passed, partly covered. Local Pass (partial) · Staging Blocked · Production Not run
local: not covered: one seeded account signs in for real (each code request counts against the hourly limit); every account's session and portal is the signed-tier TC-PRE-007 check ‖ not covered: sessions are the target's own (minted locally, saved sign-ins on the test site); a real emailed-code sign-in is TC-PRE-005/TC-PRE-007 in tests/qa/local/access-platform.spec.ts
staging: needs a SHOP_OWNER test account "shopB"</t>
        </is>
      </c>
      <c r="O8" s="24" t="n"/>
      <c r="P8" s="24" t="inlineStr">
        <is>
          <t>2026-10-24 17:42</t>
        </is>
      </c>
    </row>
    <row r="9" ht="79.5" customHeight="1" s="13">
      <c r="A9" s="24" t="inlineStr">
        <is>
          <t>TC-PRE-008</t>
        </is>
      </c>
      <c r="B9" s="24" t="inlineStr">
        <is>
          <t>Preflight &amp; smoke</t>
        </is>
      </c>
      <c r="C9" s="24" t="inlineStr">
        <is>
          <t>INF</t>
        </is>
      </c>
      <c r="D9" s="24" t="inlineStr">
        <is>
          <t>Seed data is sufficient</t>
        </is>
      </c>
      <c r="E9" s="24" t="inlineStr">
        <is>
          <t>Positive</t>
        </is>
      </c>
      <c r="F9" s="24" t="inlineStr">
        <is>
          <t>P0</t>
        </is>
      </c>
      <c r="G9" s="24" t="inlineStr">
        <is>
          <t>Admin</t>
        </is>
      </c>
      <c r="H9" s="24" t="inlineStr">
        <is>
          <t>UI</t>
        </is>
      </c>
      <c r="I9" s="24" t="n"/>
      <c r="J9" s="24" t="inlineStr">
        <is>
          <t>1. Confirm: Shop A approved, delivering, pinned location, stock &gt;= 20 on 3+ products, one packaged product with an MRP; Shop B approved in the same PIN selling at least one of the same master products at a different price; Customer 1 has an address with coordinates inside Shop A's radius and wallet &gt;= Rs 2,000 One loose product (sold by weight) in the master. Category X with at least 5 master products: one with no catalogue price, one loose, one already listed by Shop A. Shop C approved with no products.</t>
        </is>
      </c>
      <c r="K9" s="24" t="inlineStr">
        <is>
          <t>All present. Create whatever is missing before starting and note it in the run log.</t>
        </is>
      </c>
      <c r="L9" s="24" t="inlineStr">
        <is>
          <t>QA plan section 0; Updated 3-Oct</t>
        </is>
      </c>
      <c r="M9" s="24" t="inlineStr">
        <is>
          <t>Fail</t>
        </is>
      </c>
      <c r="N9" s="24" t="inlineStr">
        <is>
          <t>Local Fail · Staging Blocked · Production Not run
local: shop C has no products | expect(received).toBe(expected) // Object.is equality | Expected: 0 | Received: 10
staging: needs shop B in this site's test data</t>
        </is>
      </c>
      <c r="O9" s="24" t="n"/>
      <c r="P9" s="24" t="inlineStr">
        <is>
          <t>2026-10-24 17:12</t>
        </is>
      </c>
    </row>
    <row r="10" ht="34.5" customHeight="1" s="13">
      <c r="A10" s="24" t="inlineStr">
        <is>
          <t>TC-PRE-009</t>
        </is>
      </c>
      <c r="B10" s="24" t="inlineStr">
        <is>
          <t>Preflight &amp; smoke</t>
        </is>
      </c>
      <c r="C10" s="24" t="inlineStr">
        <is>
          <t>INF, GS-071</t>
        </is>
      </c>
      <c r="D10" s="24" t="inlineStr">
        <is>
          <t>Production is not touched by this run</t>
        </is>
      </c>
      <c r="E10" s="24" t="inlineStr">
        <is>
          <t>Security</t>
        </is>
      </c>
      <c r="F10" s="24" t="inlineStr">
        <is>
          <t>P0</t>
        </is>
      </c>
      <c r="G10" s="24" t="inlineStr">
        <is>
          <t>All</t>
        </is>
      </c>
      <c r="H10" s="24" t="inlineStr">
        <is>
          <t>UI</t>
        </is>
      </c>
      <c r="I10" s="24" t="n"/>
      <c r="J10" s="24" t="inlineStr">
        <is>
          <t>1. Before every write action confirm the address bar host is test.gokesari.com</t>
        </is>
      </c>
      <c r="K10" s="24" t="inlineStr">
        <is>
          <t>No order, payment, suspension, settings change or registration is made on gokesari.com. Production checks in this suite are read-only smoke checks only.</t>
        </is>
      </c>
      <c r="L10" s="24" t="inlineStr">
        <is>
          <t>Test plan section 6</t>
        </is>
      </c>
      <c r="M10" s="24" t="inlineStr">
        <is>
          <t>Pass</t>
        </is>
      </c>
      <c r="N10" s="24" t="inlineStr">
        <is>
          <t>Passed, partly covered. Local Pass (partial) · Staging Pass (partial) · Production Pass (partial)
local: not covered: proves the suite cannot order, pay, suspend, change settings or register on gokesari.com; a person's manual discipline on production is outside automation ‖ not covered: proves the suite's guard; a manual run's discipline is outside automation
staging: not covered: proves the suite's guard; a manual run's discipline is outside automation
production: not covered: proves the suite's guard; a manual run's discipline is outside automation</t>
        </is>
      </c>
      <c r="O10" s="24" t="n"/>
      <c r="P10" s="24" t="inlineStr">
        <is>
          <t>2026-10-29 13:58</t>
        </is>
      </c>
    </row>
    <row r="11" ht="23.25" customHeight="1" s="13">
      <c r="A11" s="24" t="inlineStr">
        <is>
          <t>TC-PRE-010</t>
        </is>
      </c>
      <c r="B11" s="24" t="inlineStr">
        <is>
          <t>Preflight &amp; smoke</t>
        </is>
      </c>
      <c r="C11" s="24" t="inlineStr">
        <is>
          <t>INF</t>
        </is>
      </c>
      <c r="D11" s="24" t="inlineStr">
        <is>
          <t>Production read-only smoke</t>
        </is>
      </c>
      <c r="E11" s="24" t="inlineStr">
        <is>
          <t>Regression</t>
        </is>
      </c>
      <c r="F11" s="24" t="inlineStr">
        <is>
          <t>P1</t>
        </is>
      </c>
      <c r="G11" s="24" t="inlineStr">
        <is>
          <t>Guest</t>
        </is>
      </c>
      <c r="H11" s="24" t="inlineStr">
        <is>
          <t>UI</t>
        </is>
      </c>
      <c r="I11" s="24" t="inlineStr">
        <is>
          <t>Run last</t>
        </is>
      </c>
      <c r="J11" s="24" t="inlineStr">
        <is>
          <t>1. Open https://gokesari.com/ , /shops, /search?q=milk, /signin, /legal/terms</t>
        </is>
      </c>
      <c r="K11" s="24" t="inlineStr">
        <is>
          <t>Pages load without errors. Do not sign in, order or submit any form on production.</t>
        </is>
      </c>
      <c r="L11" s="24" t="inlineStr">
        <is>
          <t>Deployment plan</t>
        </is>
      </c>
      <c r="M11" s="24" t="inlineStr">
        <is>
          <t>Pass</t>
        </is>
      </c>
      <c r="N11" s="24" t="inlineStr">
        <is>
          <t>Passed, partly covered. Local Pass (partial) · Staging Pass (partial) · Production Pass (partial)
local: not covered: proves the suite cannot order, pay, suspend, change settings or register on gokesari.com; a person's manual discipline on production is outside automation ‖ not covered: 'Add to cart / subscribe prompts sign-in' is checked in TC-RBAC-001 add-to-cart below
staging: not covered: 'Add to cart / subscribe prompts sign-in' is checked in TC-RBAC-001 add-to-cart below
production: not covered: 'Add to cart / subscribe prompts sign-in' is checked in TC-RBAC-001 add-to-cart below</t>
        </is>
      </c>
      <c r="O11" s="24" t="n"/>
      <c r="P11" s="24" t="inlineStr">
        <is>
          <t>2026-10-29 14:00</t>
        </is>
      </c>
    </row>
    <row r="12" ht="68.25" customHeight="1" s="13">
      <c r="A12" s="24" t="inlineStr">
        <is>
          <t>TC-PRE-011</t>
        </is>
      </c>
      <c r="B12" s="24" t="inlineStr">
        <is>
          <t>Preflight &amp; smoke</t>
        </is>
      </c>
      <c r="C12" s="24" t="inlineStr">
        <is>
          <t>INF, NEW-008, NEW-009, NEW-010</t>
        </is>
      </c>
      <c r="D12" s="24" t="inlineStr">
        <is>
          <t>The 3-Oct requirements are deployed on test</t>
        </is>
      </c>
      <c r="E12" s="24" t="inlineStr">
        <is>
          <t>Positive</t>
        </is>
      </c>
      <c r="F12" s="24" t="inlineStr">
        <is>
          <t>P0</t>
        </is>
      </c>
      <c r="G12" s="24" t="inlineStr">
        <is>
          <t>Shop</t>
        </is>
      </c>
      <c r="H12" s="24" t="inlineStr">
        <is>
          <t>UI</t>
        </is>
      </c>
      <c r="I12" s="24" t="inlineStr">
        <is>
          <t>Signed in as SHOP_OWNER A</t>
        </is>
      </c>
      <c r="J12" s="24" t="inlineStr">
        <is>
          <t>1. Open a loose product on /shop/prices and check whether a price is pre-filled
2. Open the shop category screen and check whether the owner can add a product category
3. Open a packaged listing and check whether the MRP can be edited by the owner</t>
        </is>
      </c>
      <c r="K12" s="24" t="inlineStr">
        <is>
          <t>Record for each of NEW-008, NEW-009 and NEW-010 whether the behaviour is present. Any that is missing makes its cases below Blocked (not Fail) until the build is deployed.</t>
        </is>
      </c>
      <c r="L12" s="24" t="inlineStr">
        <is>
          <t>New requirements 3-Oct</t>
        </is>
      </c>
      <c r="M12" s="24" t="inlineStr">
        <is>
          <t>Pass</t>
        </is>
      </c>
      <c r="N12" s="24" t="inlineStr">
        <is>
          <t>Passed, partly covered. Local Pass (partial) · Staging Pass (partial) · Production Not run
local: not covered: record-only (the case decides Blocked vs run for later modules); src/server/authz/permissions.ts documents the owner may dispute an MRP but never write it (§13)
staging: not covered: record-only (the case decides Blocked vs run for later modules); src/server/authz/permissions.ts documents the owner may dispute an MRP but never write it (§13)</t>
        </is>
      </c>
      <c r="O12" s="24" t="n"/>
      <c r="P12" s="24" t="inlineStr">
        <is>
          <t>2026-10-24 17:12</t>
        </is>
      </c>
    </row>
    <row r="13" ht="45.75" customHeight="1" s="13">
      <c r="A13" s="24" t="inlineStr">
        <is>
          <t>TC-PRE-012</t>
        </is>
      </c>
      <c r="B13" s="24" t="inlineStr">
        <is>
          <t>Preflight &amp; smoke</t>
        </is>
      </c>
      <c r="C13" s="24" t="inlineStr">
        <is>
          <t>INF</t>
        </is>
      </c>
      <c r="D13" s="24" t="inlineStr">
        <is>
          <t>The open features treated as completed are deployed on test</t>
        </is>
      </c>
      <c r="E13" s="24" t="inlineStr">
        <is>
          <t>Positive</t>
        </is>
      </c>
      <c r="F13" s="24" t="inlineStr">
        <is>
          <t>P0</t>
        </is>
      </c>
      <c r="G13" s="24" t="inlineStr">
        <is>
          <t>Admin</t>
        </is>
      </c>
      <c r="H13" s="24" t="inlineStr">
        <is>
          <t>UI</t>
        </is>
      </c>
      <c r="I13" s="24" t="inlineStr">
        <is>
          <t>Signed in as ADMIN</t>
        </is>
      </c>
      <c r="J13" s="24" t="inlineStr">
        <is>
          <t>1. Check on test for: SMS code at sign-in, SMS / WhatsApp / push channels, online payment at checkout, coupon field, scheduled slots, master order reference, shop KYC document upload, rider profile edit, image moderation queue, customer referral, home comparison widgets, shop-page offers, tax invoice, photo proof of delivery</t>
        </is>
      </c>
      <c r="K13" s="24" t="inlineStr">
        <is>
          <t>Record which are present. The 3-Oct open-features list shows these as not yet built; any that is missing makes its cases Blocked (not Fail) until deployed.</t>
        </is>
      </c>
      <c r="L13" s="24" t="inlineStr">
        <is>
          <t>Open features 3-Oct, treated as completed 4-Oct</t>
        </is>
      </c>
      <c r="M13" s="24" t="inlineStr">
        <is>
          <t>Pass</t>
        </is>
      </c>
      <c r="N13" s="24" t="inlineStr">
        <is>
          <t>Passed, partly covered. Local Pass (partial) · Staging Pass (partial) · Production Not run
local: not covered: record-only: presence of each screen/API and the switch of its business rule; the features' own cases test their behaviour
staging: not covered: record-only: presence of each screen/API and the switch of its business rule; the features' own cases test their behaviour</t>
        </is>
      </c>
      <c r="O13" s="24" t="n"/>
      <c r="P13" s="24" t="inlineStr">
        <is>
          <t>2026-10-24 17:13</t>
        </is>
      </c>
    </row>
    <row r="14" ht="45.75" customHeight="1" s="13">
      <c r="A14" s="24" t="inlineStr">
        <is>
          <t>TC-AUTH-001</t>
        </is>
      </c>
      <c r="B14" s="24" t="inlineStr">
        <is>
          <t>Login, onboarding &amp; profile</t>
        </is>
      </c>
      <c r="C14" s="24" t="inlineStr">
        <is>
          <t>GS-001</t>
        </is>
      </c>
      <c r="D14" s="24" t="inlineStr">
        <is>
          <t>New user signs up with an unused mobile number</t>
        </is>
      </c>
      <c r="E14" s="24" t="inlineStr">
        <is>
          <t>Positive</t>
        </is>
      </c>
      <c r="F14" s="24" t="inlineStr">
        <is>
          <t>P0</t>
        </is>
      </c>
      <c r="G14" s="24" t="inlineStr">
        <is>
          <t>Guest</t>
        </is>
      </c>
      <c r="H14" s="24" t="inlineStr">
        <is>
          <t>UI</t>
        </is>
      </c>
      <c r="I14" s="24" t="inlineStr">
        <is>
          <t>Unused 10-digit mobile and unused email whose inbox can be read</t>
        </is>
      </c>
      <c r="J14" s="24" t="inlineStr">
        <is>
          <t>1. Open /signin
2. Enter the mobile
3. Enter the email when asked
4. Enter the 6-digit code from the email</t>
        </is>
      </c>
      <c r="K14" s="24" t="inlineStr">
        <is>
          <t>Step 2 says the number is not registered yet and asks for an email. Message shows the masked email (ab***@...). Email subject is 'NNNNNN is your Gokesari sign-in code'. After the code, 'Tell us about you' opens with mobile pre-filled and email read-only.</t>
        </is>
      </c>
      <c r="L14" s="24" t="inlineStr">
        <is>
          <t>Login-profile checklist: New user via mobile</t>
        </is>
      </c>
      <c r="M14" s="24" t="inlineStr">
        <is>
          <t>Pass</t>
        </is>
      </c>
      <c r="N14" s="24" t="inlineStr">
        <is>
          <t>Passed, partly covered. Local Pass (partial) · Staging Not run (rule) · Production Not run
local: not covered: step 2 no longer says 'not registered yet': the reply is the same for every number (expected result superseded by docs/login-profile/DEPLOY_AND_TEST.md 'New user via mobile' and src/components/otp-login-form.tsx) — the sign-up starts from 'Sign up with your email'
staging: not run on staging: needs the server's database (local run only)</t>
        </is>
      </c>
      <c r="O14" s="24" t="inlineStr">
        <is>
          <t>D-99</t>
        </is>
      </c>
      <c r="P14" s="24" t="inlineStr">
        <is>
          <t>2026-10-24 17:05</t>
        </is>
      </c>
    </row>
    <row r="15" ht="34.5" customHeight="1" s="13">
      <c r="A15" s="24" t="inlineStr">
        <is>
          <t>TC-AUTH-002</t>
        </is>
      </c>
      <c r="B15" s="24" t="inlineStr">
        <is>
          <t>Login, onboarding &amp; profile</t>
        </is>
      </c>
      <c r="C15" s="24" t="inlineStr">
        <is>
          <t>GS-001</t>
        </is>
      </c>
      <c r="D15" s="24" t="inlineStr">
        <is>
          <t>First-time profile: details then address with geo-tag</t>
        </is>
      </c>
      <c r="E15" s="24" t="inlineStr">
        <is>
          <t>Positive</t>
        </is>
      </c>
      <c r="F15" s="24" t="inlineStr">
        <is>
          <t>P0</t>
        </is>
      </c>
      <c r="G15" s="24" t="inlineStr">
        <is>
          <t>Customer</t>
        </is>
      </c>
      <c r="H15" s="24" t="inlineStr">
        <is>
          <t>UI</t>
        </is>
      </c>
      <c r="I15" s="24" t="inlineStr">
        <is>
          <t>Continue from previous case</t>
        </is>
      </c>
      <c r="J15" s="24" t="inlineStr">
        <is>
          <t>1. Enter name and gender, Save
2. On 'Delivery address' tap 'Use my current location' (drag the pin if Maps is configured)
3. Fill the address fields, Save</t>
        </is>
      </c>
      <c r="K15" s="24" t="inlineStr">
        <is>
          <t>Lands on home. /profile shows name, gender, mobile, email and the default address with 'Geo-tagged at ...'. A wallet exists with balance 0.</t>
        </is>
      </c>
      <c r="L15" s="24" t="inlineStr">
        <is>
          <t>Login-profile checklist</t>
        </is>
      </c>
      <c r="M15" s="24" t="inlineStr">
        <is>
          <t>Pass</t>
        </is>
      </c>
      <c r="N15" s="24" t="inlineStr">
        <is>
          <t>Passed, partly covered. Local Pass (partial) · Staging Not run (rule) · Production Not run
local: not covered: dragging the map pin needs a Google Maps key (not set locally): 'Use my current location' geo-tags the address
staging: not run on staging: needs the server's database (local run only)</t>
        </is>
      </c>
      <c r="O15" s="24" t="n"/>
      <c r="P15" s="24" t="inlineStr">
        <is>
          <t>2026-10-24 17:05</t>
        </is>
      </c>
    </row>
    <row r="16" ht="45.75" customHeight="1" s="13">
      <c r="A16" s="24" t="inlineStr">
        <is>
          <t>TC-AUTH-003</t>
        </is>
      </c>
      <c r="B16" s="24" t="inlineStr">
        <is>
          <t>Login, onboarding &amp; profile</t>
        </is>
      </c>
      <c r="C16" s="24" t="inlineStr">
        <is>
          <t>GS-001</t>
        </is>
      </c>
      <c r="D16" s="24" t="inlineStr">
        <is>
          <t>Returning user signs in with registered mobile</t>
        </is>
      </c>
      <c r="E16" s="24" t="inlineStr">
        <is>
          <t>Positive</t>
        </is>
      </c>
      <c r="F16" s="24" t="inlineStr">
        <is>
          <t>P0</t>
        </is>
      </c>
      <c r="G16" s="24" t="inlineStr">
        <is>
          <t>Guest</t>
        </is>
      </c>
      <c r="H16" s="24" t="inlineStr">
        <is>
          <t>UI</t>
        </is>
      </c>
      <c r="I16" s="24" t="inlineStr">
        <is>
          <t>Account from the previous cases</t>
        </is>
      </c>
      <c r="J16" s="24" t="inlineStr">
        <is>
          <t>1. Sign out
2. Enter the same mobile
3. Enter the code</t>
        </is>
      </c>
      <c r="K16" s="24" t="inlineStr">
        <is>
          <t>Code goes straight to the account's email, shown masked. After the code, home opens with no onboarding form.</t>
        </is>
      </c>
      <c r="L16" s="24" t="inlineStr">
        <is>
          <t>Login-profile checklist; QA A-02..A-04</t>
        </is>
      </c>
      <c r="M16" s="24" t="inlineStr">
        <is>
          <t>Pass</t>
        </is>
      </c>
      <c r="N16" s="24" t="inlineStr">
        <is>
          <t>Passed, partly covered. Local Pass (partial) · Staging Not run (rule) · Production Not run
local: not covered: the account email is no longer shown masked for a mobile sign-in (expected result superseded by docs/login-profile/DEPLOY_AND_TEST.md 'Returning user via mobile': no address shown)
staging: not run on staging: needs the server's database (local run only)</t>
        </is>
      </c>
      <c r="O16" s="24" t="n"/>
      <c r="P16" s="24" t="inlineStr">
        <is>
          <t>2026-10-24 17:05</t>
        </is>
      </c>
    </row>
    <row r="17" ht="57" customHeight="1" s="13">
      <c r="A17" s="24" t="inlineStr">
        <is>
          <t>TC-AUTH-004</t>
        </is>
      </c>
      <c r="B17" s="24" t="inlineStr">
        <is>
          <t>Login, onboarding &amp; profile</t>
        </is>
      </c>
      <c r="C17" s="24" t="inlineStr">
        <is>
          <t>GS-001</t>
        </is>
      </c>
      <c r="D17" s="24" t="inlineStr">
        <is>
          <t>New user signs up with email only</t>
        </is>
      </c>
      <c r="E17" s="24" t="inlineStr">
        <is>
          <t>Positive</t>
        </is>
      </c>
      <c r="F17" s="24" t="inlineStr">
        <is>
          <t>P0</t>
        </is>
      </c>
      <c r="G17" s="24" t="inlineStr">
        <is>
          <t>Guest</t>
        </is>
      </c>
      <c r="H17" s="24" t="inlineStr">
        <is>
          <t>UI</t>
        </is>
      </c>
      <c r="I17" s="24" t="inlineStr">
        <is>
          <t>Unused email</t>
        </is>
      </c>
      <c r="J17" s="24" t="inlineStr">
        <is>
          <t>1. Enter the email on /signin
2. Enter the code
3. Save details without a mobile
4. On the address step choose 'Fill in later'</t>
        </is>
      </c>
      <c r="K17" s="24" t="inlineStr">
        <is>
          <t>Account and wallet are created. Details form shows an empty mobile field. Home opens after 'Fill in later'.</t>
        </is>
      </c>
      <c r="L17" s="24" t="inlineStr">
        <is>
          <t>Login-profile checklist: New user via email</t>
        </is>
      </c>
      <c r="M17" s="24" t="inlineStr">
        <is>
          <t>Pass</t>
        </is>
      </c>
      <c r="N17" s="24" t="inlineStr">
        <is>
          <t>Local Pass · Staging Not run (rule) · Production Not run
local: qa-auth-email-signup-mvmliqqd-89411c@test.local: account + wallet, details form with empty mobile, saved without a mobile, 'Fill in later' → home
staging: not run on staging: needs the server's database (local run only)</t>
        </is>
      </c>
      <c r="O17" s="24" t="n"/>
      <c r="P17" s="24" t="inlineStr">
        <is>
          <t>2026-10-24 17:05</t>
        </is>
      </c>
    </row>
    <row r="18" ht="23.25" customHeight="1" s="13">
      <c r="A18" s="24" t="inlineStr">
        <is>
          <t>TC-AUTH-005</t>
        </is>
      </c>
      <c r="B18" s="24" t="inlineStr">
        <is>
          <t>Login, onboarding &amp; profile</t>
        </is>
      </c>
      <c r="C18" s="24" t="inlineStr">
        <is>
          <t>GS-001</t>
        </is>
      </c>
      <c r="D18" s="24" t="inlineStr">
        <is>
          <t>'Add your mobile number' prompt for accounts without a mobile</t>
        </is>
      </c>
      <c r="E18" s="24" t="inlineStr">
        <is>
          <t>Positive</t>
        </is>
      </c>
      <c r="F18" s="24" t="inlineStr">
        <is>
          <t>P1</t>
        </is>
      </c>
      <c r="G18" s="24" t="inlineStr">
        <is>
          <t>Customer</t>
        </is>
      </c>
      <c r="H18" s="24" t="inlineStr">
        <is>
          <t>UI</t>
        </is>
      </c>
      <c r="I18" s="24" t="inlineStr">
        <is>
          <t>Email-only account with details saved</t>
        </is>
      </c>
      <c r="J18" s="24" t="inlineStr">
        <is>
          <t>1. Sign out and in again with the email
2. Click 'Not now'
3. Sign out and in again
4. Add a valid number in the popup
5. Sign out and in again</t>
        </is>
      </c>
      <c r="K18" s="24" t="inlineStr">
        <is>
          <t>Popup appears after each sign-in until a number is added. 'Not now' closes it. After adding a valid number it never appears again.</t>
        </is>
      </c>
      <c r="L18" s="24" t="inlineStr">
        <is>
          <t>Login-profile checklist</t>
        </is>
      </c>
      <c r="M18" s="24" t="inlineStr">
        <is>
          <t>Pass</t>
        </is>
      </c>
      <c r="N18" s="24" t="inlineStr">
        <is>
          <t>Passed, partly covered. Local Pass (partial) · Staging Not run (rule) · Production Not run
local: not covered: the minute between sign-ins is simulated by ageing the codes
staging: not run on staging: needs the server's database (local run only)</t>
        </is>
      </c>
      <c r="O18" s="24" t="n"/>
      <c r="P18" s="24" t="inlineStr">
        <is>
          <t>2026-10-24 17:05</t>
        </is>
      </c>
    </row>
    <row r="19" ht="68.25" customHeight="1" s="13">
      <c r="A19" s="24" t="inlineStr">
        <is>
          <t>TC-AUTH-006</t>
        </is>
      </c>
      <c r="B19" s="24" t="inlineStr">
        <is>
          <t>Login, onboarding &amp; profile</t>
        </is>
      </c>
      <c r="C19" s="24" t="inlineStr">
        <is>
          <t>GS-001</t>
        </is>
      </c>
      <c r="D19" s="24" t="inlineStr">
        <is>
          <t>Existing pre-release account is prompted once and keeps its data</t>
        </is>
      </c>
      <c r="E19" s="24" t="inlineStr">
        <is>
          <t>Regression</t>
        </is>
      </c>
      <c r="F19" s="24" t="inlineStr">
        <is>
          <t>P0</t>
        </is>
      </c>
      <c r="G19" s="24" t="inlineStr">
        <is>
          <t>Customer</t>
        </is>
      </c>
      <c r="H19" s="24" t="inlineStr">
        <is>
          <t>UI</t>
        </is>
      </c>
      <c r="I19" s="24" t="inlineStr">
        <is>
          <t>An account created before migration 0037 with wallet balance and orders</t>
        </is>
      </c>
      <c r="J19" s="24" t="inlineStr">
        <is>
          <t>1. Sign in (code, magic link or Google)</t>
        </is>
      </c>
      <c r="K19" s="24" t="inlineStr">
        <is>
          <t>Details form appears. Wallet balance and order history are unchanged.</t>
        </is>
      </c>
      <c r="L19" s="24" t="inlineStr">
        <is>
          <t>Login-profile checklist: Existing email-only user</t>
        </is>
      </c>
      <c r="M19" s="24" t="inlineStr">
        <is>
          <t>Pass</t>
        </is>
      </c>
      <c r="N19" s="24" t="inlineStr">
        <is>
          <t>Passed, partly covered. Local Pass (partial) · Staging Not run (rule) · Production Not run
local: not covered: signed in by emailed code; the magic link is TC-AUTH-009, Google needs a Google account (TC-AUTH-008)
staging: not run on staging: needs the server's database (local run only)</t>
        </is>
      </c>
      <c r="O19" s="24" t="n"/>
      <c r="P19" s="24" t="inlineStr">
        <is>
          <t>2026-10-24 17:05</t>
        </is>
      </c>
    </row>
    <row r="20" ht="23.25" customHeight="1" s="13">
      <c r="A20" s="24" t="inlineStr">
        <is>
          <t>TC-AUTH-007</t>
        </is>
      </c>
      <c r="B20" s="24" t="inlineStr">
        <is>
          <t>Login, onboarding &amp; profile</t>
        </is>
      </c>
      <c r="C20" s="24" t="inlineStr">
        <is>
          <t>GS-001</t>
        </is>
      </c>
      <c r="D20" s="24" t="inlineStr">
        <is>
          <t>Skip onboarding, then be asked at checkout</t>
        </is>
      </c>
      <c r="E20" s="24" t="inlineStr">
        <is>
          <t>Positive</t>
        </is>
      </c>
      <c r="F20" s="24" t="inlineStr">
        <is>
          <t>P0</t>
        </is>
      </c>
      <c r="G20" s="24" t="inlineStr">
        <is>
          <t>Customer</t>
        </is>
      </c>
      <c r="H20" s="24" t="inlineStr">
        <is>
          <t>UI</t>
        </is>
      </c>
      <c r="I20" s="24" t="inlineStr">
        <is>
          <t>Brand-new account</t>
        </is>
      </c>
      <c r="J20" s="24" t="inlineStr">
        <is>
          <t>1. Choose 'Fill in later' on step 1
2. Top up the wallet
3. Add an item from a delivering shop and open the cart
4. Add mobile and address
5. Place the order
6. Before saving details, sign out and in again (separate run)</t>
        </is>
      </c>
      <c r="K20" s="24" t="inlineStr">
        <is>
          <t>Home and wallet work after skipping. Cart shows 'Add your mobile number...' and 'Add a delivery address...' instead of the pay button. After adding both the pay button appears and the order carries the address. Unsaved profile shows the details form again at next sign-in.</t>
        </is>
      </c>
      <c r="L20" s="24" t="inlineStr">
        <is>
          <t>Login-profile checklist: Skip and fill in later</t>
        </is>
      </c>
      <c r="M20" s="24" t="inlineStr">
        <is>
          <t>Pass</t>
        </is>
      </c>
      <c r="N20" s="24" t="inlineStr">
        <is>
          <t>Passed, partly covered. Local Pass (partial) · Staging Not run (rule) · Production Not run
local: not covered: the wallet top-up is settled in the database (a gateway payment is not available on a local production build); top-ups are covered by the wallet specs
staging: not run on staging: needs the server's database (local run only)</t>
        </is>
      </c>
      <c r="O20" s="24" t="n"/>
      <c r="P20" s="24" t="inlineStr">
        <is>
          <t>2026-10-24 17:05</t>
        </is>
      </c>
    </row>
    <row r="21" ht="23.25" customHeight="1" s="13">
      <c r="A21" s="24" t="inlineStr">
        <is>
          <t>TC-AUTH-008</t>
        </is>
      </c>
      <c r="B21" s="24" t="inlineStr">
        <is>
          <t>Login, onboarding &amp; profile</t>
        </is>
      </c>
      <c r="C21" s="24" t="inlineStr">
        <is>
          <t>GS-001</t>
        </is>
      </c>
      <c r="D21" s="24" t="inlineStr">
        <is>
          <t>Google sign-in still works</t>
        </is>
      </c>
      <c r="E21" s="24" t="inlineStr">
        <is>
          <t>Regression</t>
        </is>
      </c>
      <c r="F21" s="24" t="inlineStr">
        <is>
          <t>P0</t>
        </is>
      </c>
      <c r="G21" s="24" t="inlineStr">
        <is>
          <t>Guest</t>
        </is>
      </c>
      <c r="H21" s="24" t="inlineStr">
        <is>
          <t>UI</t>
        </is>
      </c>
      <c r="I21" s="24" t="inlineStr">
        <is>
          <t>A Google account</t>
        </is>
      </c>
      <c r="J21" s="24" t="inlineStr">
        <is>
          <t>1. On /signin choose Google and complete the Google flow</t>
        </is>
      </c>
      <c r="K21" s="24" t="inlineStr">
        <is>
          <t>Signed in; session persists across page loads; wallet exists.</t>
        </is>
      </c>
      <c r="L21" s="24" t="inlineStr">
        <is>
          <t>QA plan section 12; Regression AUTH-01</t>
        </is>
      </c>
      <c r="M21" s="24" t="inlineStr">
        <is>
          <t>Blocked</t>
        </is>
      </c>
      <c r="N21" s="24" t="inlineStr">
        <is>
          <t>Manual (not automatable): Local Manual · Staging Not run (rule) · Production Not run
local: not automated: needs a Google account and Google OAuth keys (AUTH_GOOGLE_ID / AUTH_GOOGLE_SECRET are not set on the local server, whose sign-in page says 'Google sign-in is not configured'); run by hand on test.gokesari.com
staging: not run on staging: needs the server's database (local run only)</t>
        </is>
      </c>
      <c r="O21" s="24" t="n"/>
      <c r="P21" s="24" t="inlineStr">
        <is>
          <t>2026-10-24 17:05</t>
        </is>
      </c>
    </row>
    <row r="22" ht="23.25" customHeight="1" s="13">
      <c r="A22" s="24" t="inlineStr">
        <is>
          <t>TC-AUTH-009</t>
        </is>
      </c>
      <c r="B22" s="24" t="inlineStr">
        <is>
          <t>Login, onboarding &amp; profile</t>
        </is>
      </c>
      <c r="C22" s="24" t="inlineStr">
        <is>
          <t>GS-001</t>
        </is>
      </c>
      <c r="D22" s="24" t="inlineStr">
        <is>
          <t>Email magic-link sign-in still works</t>
        </is>
      </c>
      <c r="E22" s="24" t="inlineStr">
        <is>
          <t>Regression</t>
        </is>
      </c>
      <c r="F22" s="24" t="inlineStr">
        <is>
          <t>P1</t>
        </is>
      </c>
      <c r="G22" s="24" t="inlineStr">
        <is>
          <t>Guest</t>
        </is>
      </c>
      <c r="H22" s="24" t="inlineStr">
        <is>
          <t>UI</t>
        </is>
      </c>
      <c r="I22" s="24" t="inlineStr">
        <is>
          <t>SMTP configured</t>
        </is>
      </c>
      <c r="J22" s="24" t="inlineStr">
        <is>
          <t>1. Request a sign-in link by email
2. Open the link</t>
        </is>
      </c>
      <c r="K22" s="24" t="inlineStr">
        <is>
          <t>Signed in. Link cannot be reused after sign-out.</t>
        </is>
      </c>
      <c r="L22" s="24" t="inlineStr">
        <is>
          <t>Dev log Wave 1; QA plan section 12</t>
        </is>
      </c>
      <c r="M22" s="24" t="inlineStr">
        <is>
          <t>Pass</t>
        </is>
      </c>
      <c r="N22" s="24" t="inlineStr">
        <is>
          <t>Local Pass · Staging Not run (rule) · Production Not run
local: link mailed and signed in; after signing out the same link → /signin?error=Verification, not signed in
staging: not run on staging: needs the server's database (local run only)</t>
        </is>
      </c>
      <c r="O22" s="24" t="n"/>
      <c r="P22" s="24" t="inlineStr">
        <is>
          <t>2026-10-24 17:05</t>
        </is>
      </c>
    </row>
    <row r="23" ht="45.75" customHeight="1" s="13">
      <c r="A23" s="24" t="inlineStr">
        <is>
          <t>TC-AUTH-010</t>
        </is>
      </c>
      <c r="B23" s="24" t="inlineStr">
        <is>
          <t>Login, onboarding &amp; profile</t>
        </is>
      </c>
      <c r="C23" s="24" t="inlineStr">
        <is>
          <t>GS-001</t>
        </is>
      </c>
      <c r="D23" s="24" t="inlineStr">
        <is>
          <t>Mobile login channel step offers SMS and email</t>
        </is>
      </c>
      <c r="E23" s="24" t="inlineStr">
        <is>
          <t>Positive</t>
        </is>
      </c>
      <c r="F23" s="24" t="inlineStr">
        <is>
          <t>P2</t>
        </is>
      </c>
      <c r="G23" s="24" t="inlineStr">
        <is>
          <t>Guest</t>
        </is>
      </c>
      <c r="H23" s="24" t="inlineStr">
        <is>
          <t>UI</t>
        </is>
      </c>
      <c r="I23" s="24" t="n"/>
      <c r="J23" s="24" t="inlineStr">
        <is>
          <t>1. Enter a registered mobile on /signin and look at the OTP destination step</t>
        </is>
      </c>
      <c r="K23" s="24" t="inlineStr">
        <is>
          <t>Email and SMS are both selectable. Choosing SMS sends the code by SMS (see the SMS cases added 4-Oct).</t>
        </is>
      </c>
      <c r="L23" s="24" t="inlineStr">
        <is>
          <t>QA A-02; Updated 4-Oct (feature treated as completed)</t>
        </is>
      </c>
      <c r="M23" s="24" t="inlineStr">
        <is>
          <t>Pass</t>
        </is>
      </c>
      <c r="N23" s="24" t="inlineStr">
        <is>
          <t>Passed, partly covered. Local Pass (partial) · Staging Not run (rule) · Production Not run
local: not covered: SMS codes are a Phase 2 stub with no vendor (src/server/otp/providers.ts; docs/decision-log.md D-A02, D-F08), so no SMS option is offered and the SMS half needs a vendor and a handset
staging: not run on staging: needs the server's database (local run only)</t>
        </is>
      </c>
      <c r="O23" s="24" t="n"/>
      <c r="P23" s="24" t="inlineStr">
        <is>
          <t>2026-10-24 17:05</t>
        </is>
      </c>
    </row>
    <row r="24" ht="34.5" customHeight="1" s="13">
      <c r="A24" s="24" t="inlineStr">
        <is>
          <t>TC-AUTH-011</t>
        </is>
      </c>
      <c r="B24" s="24" t="inlineStr">
        <is>
          <t>Login, onboarding &amp; profile</t>
        </is>
      </c>
      <c r="C24" s="24" t="inlineStr">
        <is>
          <t>GS-001</t>
        </is>
      </c>
      <c r="D24" s="24" t="inlineStr">
        <is>
          <t>No account enumeration on unregistered number</t>
        </is>
      </c>
      <c r="E24" s="24" t="inlineStr">
        <is>
          <t>Security</t>
        </is>
      </c>
      <c r="F24" s="24" t="inlineStr">
        <is>
          <t>P0</t>
        </is>
      </c>
      <c r="G24" s="24" t="inlineStr">
        <is>
          <t>Guest</t>
        </is>
      </c>
      <c r="H24" s="24" t="inlineStr">
        <is>
          <t>UI+API</t>
        </is>
      </c>
      <c r="I24" s="24" t="n"/>
      <c r="J24" s="24" t="inlineStr">
        <is>
          <t>1. POST /api/otp/request for a registered number and for an unregistered one
2. Compare status, body and timing</t>
        </is>
      </c>
      <c r="K24" s="24" t="inlineStr">
        <is>
          <t>Flow never reveals whether another person's number or email has an account beyond what the designed 'not registered - enter your email' step shows to the person typing it; error and throttle responses are identical for known and unknown values.</t>
        </is>
      </c>
      <c r="L24" s="24" t="inlineStr">
        <is>
          <t>QA A-05</t>
        </is>
      </c>
      <c r="M24" s="24" t="inlineStr">
        <is>
          <t>Pass</t>
        </is>
      </c>
      <c r="N24" s="24" t="inlineStr">
        <is>
          <t>Passed, partly covered. Local Pass (partial) · Staging Not run (rule) · Production Not run
local: not covered: the designed 'Sign up with your email' link shows for every number (no 'not registered' message at all)
staging: not run on staging: needs the server's database (local run only)</t>
        </is>
      </c>
      <c r="O24" s="24" t="n"/>
      <c r="P24" s="24" t="inlineStr">
        <is>
          <t>2026-10-24 17:05</t>
        </is>
      </c>
    </row>
    <row r="25" ht="34.5" customHeight="1" s="13">
      <c r="A25" s="24" t="inlineStr">
        <is>
          <t>TC-AUTH-012</t>
        </is>
      </c>
      <c r="B25" s="24" t="inlineStr">
        <is>
          <t>Login, onboarding &amp; profile</t>
        </is>
      </c>
      <c r="C25" s="24" t="inlineStr">
        <is>
          <t>GS-001</t>
        </is>
      </c>
      <c r="D25" s="24" t="inlineStr">
        <is>
          <t>Wrong code five times locks the code</t>
        </is>
      </c>
      <c r="E25" s="24" t="inlineStr">
        <is>
          <t>Negative</t>
        </is>
      </c>
      <c r="F25" s="24" t="inlineStr">
        <is>
          <t>P0</t>
        </is>
      </c>
      <c r="G25" s="24" t="inlineStr">
        <is>
          <t>Guest</t>
        </is>
      </c>
      <c r="H25" s="24" t="inlineStr">
        <is>
          <t>UI</t>
        </is>
      </c>
      <c r="I25" s="24" t="inlineStr">
        <is>
          <t>Default otp rule (5 attempts)</t>
        </is>
      </c>
      <c r="J25" s="24" t="inlineStr">
        <is>
          <t>1. Request a code
2. Enter a wrong code 5 times
3. Enter the correct code</t>
        </is>
      </c>
      <c r="K25" s="24" t="inlineStr">
        <is>
          <t>Each failure: 'That code is wrong or has expired...'. After 5, the right code is refused ('Too many wrong attempts'); a new code must be requested.</t>
        </is>
      </c>
      <c r="L25" s="24" t="inlineStr">
        <is>
          <t>QA A-06; Login-profile checklist</t>
        </is>
      </c>
      <c r="M25" s="24" t="inlineStr">
        <is>
          <t>Pass</t>
        </is>
      </c>
      <c r="N25" s="24" t="inlineStr">
        <is>
          <t>Local Pass · Staging Not run (rule) · Production Not run
local: 5 × 'That code is wrong or has expired…'; the right code then → 'Too many wrong attempts. Request a new code.'; not signed in
staging: not run on staging: needs the server's database (local run only)</t>
        </is>
      </c>
      <c r="O25" s="24" t="n"/>
      <c r="P25" s="24" t="inlineStr">
        <is>
          <t>2026-10-24 17:05</t>
        </is>
      </c>
    </row>
    <row r="26" ht="34.5" customHeight="1" s="13">
      <c r="A26" s="24" t="inlineStr">
        <is>
          <t>TC-AUTH-013</t>
        </is>
      </c>
      <c r="B26" s="24" t="inlineStr">
        <is>
          <t>Login, onboarding &amp; profile</t>
        </is>
      </c>
      <c r="C26" s="24" t="inlineStr">
        <is>
          <t>GS-001</t>
        </is>
      </c>
      <c r="D26" s="24" t="inlineStr">
        <is>
          <t>Expired code is refused</t>
        </is>
      </c>
      <c r="E26" s="24" t="inlineStr">
        <is>
          <t>Negative</t>
        </is>
      </c>
      <c r="F26" s="24" t="inlineStr">
        <is>
          <t>P1</t>
        </is>
      </c>
      <c r="G26" s="24" t="inlineStr">
        <is>
          <t>Guest</t>
        </is>
      </c>
      <c r="H26" s="24" t="inlineStr">
        <is>
          <t>UI</t>
        </is>
      </c>
      <c r="I26" s="24" t="inlineStr">
        <is>
          <t>Default expiry 10 min (or set otp expiry to 1 min)</t>
        </is>
      </c>
      <c r="J26" s="24" t="inlineStr">
        <is>
          <t>1. Request a code
2. Wait past expiry
3. Enter it</t>
        </is>
      </c>
      <c r="K26" s="24" t="inlineStr">
        <is>
          <t>Refused with the generic wrong/expired message.</t>
        </is>
      </c>
      <c r="L26" s="24" t="inlineStr">
        <is>
          <t>QA A-07</t>
        </is>
      </c>
      <c r="M26" s="24" t="inlineStr">
        <is>
          <t>Pass</t>
        </is>
      </c>
      <c r="N26" s="24" t="inlineStr">
        <is>
          <t>Passed, partly covered. Local Pass (partial) · Staging Not run (rule) · Production Not run
local: not covered: default expiry is now 5 minutes, not 10 (expected result superseded by docs/decision-log.md D-A01); the wait is simulated by moving the code's expiry into the past
staging: not run on staging: needs the server's database (local run only)</t>
        </is>
      </c>
      <c r="O26" s="24" t="n"/>
      <c r="P26" s="24" t="inlineStr">
        <is>
          <t>2026-10-24 17:05</t>
        </is>
      </c>
    </row>
    <row r="27" ht="34.5" customHeight="1" s="13">
      <c r="A27" s="24" t="inlineStr">
        <is>
          <t>TC-AUTH-014</t>
        </is>
      </c>
      <c r="B27" s="24" t="inlineStr">
        <is>
          <t>Login, onboarding &amp; profile</t>
        </is>
      </c>
      <c r="C27" s="24" t="inlineStr">
        <is>
          <t>GS-001</t>
        </is>
      </c>
      <c r="D27" s="24" t="inlineStr">
        <is>
          <t>Older code is superseded by a newer one</t>
        </is>
      </c>
      <c r="E27" s="24" t="inlineStr">
        <is>
          <t>Negative</t>
        </is>
      </c>
      <c r="F27" s="24" t="inlineStr">
        <is>
          <t>P1</t>
        </is>
      </c>
      <c r="G27" s="24" t="inlineStr">
        <is>
          <t>Guest</t>
        </is>
      </c>
      <c r="H27" s="24" t="inlineStr">
        <is>
          <t>UI</t>
        </is>
      </c>
      <c r="I27" s="24" t="n"/>
      <c r="J27" s="24" t="inlineStr">
        <is>
          <t>1. Request a code, wait 60 s, request another
2. Enter the first
3. Enter the second</t>
        </is>
      </c>
      <c r="K27" s="24" t="inlineStr">
        <is>
          <t>First refused, second works.</t>
        </is>
      </c>
      <c r="L27" s="24" t="inlineStr">
        <is>
          <t>QA A-08</t>
        </is>
      </c>
      <c r="M27" s="24" t="inlineStr">
        <is>
          <t>Pass</t>
        </is>
      </c>
      <c r="N27" s="24" t="inlineStr">
        <is>
          <t>Passed, partly covered. Local Pass (partial) · Staging Not run (rule) · Production Not run
local: not covered: the 60 s wait between the two codes is simulated by ageing the first code
staging: not run on staging: needs the server's database (local run only)</t>
        </is>
      </c>
      <c r="O27" s="24" t="n"/>
      <c r="P27" s="24" t="inlineStr">
        <is>
          <t>2026-10-24 17:05</t>
        </is>
      </c>
    </row>
    <row r="28" ht="34.5" customHeight="1" s="13">
      <c r="A28" s="24" t="inlineStr">
        <is>
          <t>TC-AUTH-015</t>
        </is>
      </c>
      <c r="B28" s="24" t="inlineStr">
        <is>
          <t>Login, onboarding &amp; profile</t>
        </is>
      </c>
      <c r="C28" s="24" t="inlineStr">
        <is>
          <t>GS-001</t>
        </is>
      </c>
      <c r="D28" s="24" t="inlineStr">
        <is>
          <t>Used code cannot be replayed</t>
        </is>
      </c>
      <c r="E28" s="24" t="inlineStr">
        <is>
          <t>Security</t>
        </is>
      </c>
      <c r="F28" s="24" t="inlineStr">
        <is>
          <t>P0</t>
        </is>
      </c>
      <c r="G28" s="24" t="inlineStr">
        <is>
          <t>Guest</t>
        </is>
      </c>
      <c r="H28" s="24" t="inlineStr">
        <is>
          <t>UI</t>
        </is>
      </c>
      <c r="I28" s="24" t="n"/>
      <c r="J28" s="24" t="inlineStr">
        <is>
          <t>1. Sign in with a code
2. Sign out
3. Try the same code again</t>
        </is>
      </c>
      <c r="K28" s="24" t="inlineStr">
        <is>
          <t>Refused.</t>
        </is>
      </c>
      <c r="L28" s="24" t="inlineStr">
        <is>
          <t>QA A-11</t>
        </is>
      </c>
      <c r="M28" s="24" t="inlineStr">
        <is>
          <t>Pass</t>
        </is>
      </c>
      <c r="N28" s="24" t="inlineStr">
        <is>
          <t>Local Pass · Staging Not run (rule) · Production Not run
local: signed in with 315641, signed out; the same code → "That code is wrong or has expired…"; no session
staging: not run on staging: needs the server's database (local run only)</t>
        </is>
      </c>
      <c r="O28" s="24" t="n"/>
      <c r="P28" s="24" t="inlineStr">
        <is>
          <t>2026-10-24 17:05</t>
        </is>
      </c>
    </row>
    <row r="29" ht="23.25" customHeight="1" s="13">
      <c r="A29" s="24" t="inlineStr">
        <is>
          <t>TC-AUTH-016</t>
        </is>
      </c>
      <c r="B29" s="24" t="inlineStr">
        <is>
          <t>Login, onboarding &amp; profile</t>
        </is>
      </c>
      <c r="C29" s="24" t="inlineStr">
        <is>
          <t>GS-001</t>
        </is>
      </c>
      <c r="D29" s="24" t="inlineStr">
        <is>
          <t>Resend cooldown</t>
        </is>
      </c>
      <c r="E29" s="24" t="inlineStr">
        <is>
          <t>Boundary</t>
        </is>
      </c>
      <c r="F29" s="24" t="inlineStr">
        <is>
          <t>P1</t>
        </is>
      </c>
      <c r="G29" s="24" t="inlineStr">
        <is>
          <t>Guest</t>
        </is>
      </c>
      <c r="H29" s="24" t="inlineStr">
        <is>
          <t>UI</t>
        </is>
      </c>
      <c r="I29" s="24" t="inlineStr">
        <is>
          <t>Default 60 s</t>
        </is>
      </c>
      <c r="J29" s="24" t="inlineStr">
        <is>
          <t>1. Request a code
2. Click Resend immediately
3. Wait for the countdown, click Resend</t>
        </is>
      </c>
      <c r="K29" s="24" t="inlineStr">
        <is>
          <t>Resend is disabled with a countdown for 60 seconds; an immediate API call is refused with 'wait N seconds'. After the cooldown a new code arrives.</t>
        </is>
      </c>
      <c r="L29" s="24" t="inlineStr">
        <is>
          <t>QA A-09</t>
        </is>
      </c>
      <c r="M29" s="24" t="inlineStr">
        <is>
          <t>Pass</t>
        </is>
      </c>
      <c r="N29" s="24" t="inlineStr">
        <is>
          <t>Local Pass · Staging Not run (rule) · Production Not run
local: Resend disabled with a countdown; API at once → 429 "Please wait 60 seconds before requesting another code."; after 60 s Resend sent a new code (586989 → 652526) that signed in
staging: not run on staging: needs the server's database (local run only)</t>
        </is>
      </c>
      <c r="O29" s="24" t="n"/>
      <c r="P29" s="24" t="inlineStr">
        <is>
          <t>2026-10-24 17:05</t>
        </is>
      </c>
    </row>
    <row r="30" ht="15" customHeight="1" s="13">
      <c r="A30" s="24" t="inlineStr">
        <is>
          <t>TC-AUTH-017</t>
        </is>
      </c>
      <c r="B30" s="24" t="inlineStr">
        <is>
          <t>Login, onboarding &amp; profile</t>
        </is>
      </c>
      <c r="C30" s="24" t="inlineStr">
        <is>
          <t>GS-001</t>
        </is>
      </c>
      <c r="D30" s="24" t="inlineStr">
        <is>
          <t>Hourly code limit per email / number</t>
        </is>
      </c>
      <c r="E30" s="24" t="inlineStr">
        <is>
          <t>Boundary</t>
        </is>
      </c>
      <c r="F30" s="24" t="inlineStr">
        <is>
          <t>P1</t>
        </is>
      </c>
      <c r="G30" s="24" t="inlineStr">
        <is>
          <t>Guest</t>
        </is>
      </c>
      <c r="H30" s="24" t="inlineStr">
        <is>
          <t>UI+API</t>
        </is>
      </c>
      <c r="I30" s="24" t="inlineStr">
        <is>
          <t>Default 5 per hour</t>
        </is>
      </c>
      <c r="J30" s="24" t="inlineStr">
        <is>
          <t>1. Request codes repeatedly for the same identifier (respecting cooldown)</t>
        </is>
      </c>
      <c r="K30" s="24" t="inlineStr">
        <is>
          <t>The 6th request is refused ('Too many code requests'). Unknown identifiers are throttled the same way.</t>
        </is>
      </c>
      <c r="L30" s="24" t="inlineStr">
        <is>
          <t>QA A-10</t>
        </is>
      </c>
      <c r="M30" s="24" t="inlineStr">
        <is>
          <t>Pass</t>
        </is>
      </c>
      <c r="N30" s="24" t="inlineStr">
        <is>
          <t>Passed, partly covered. Local Pass (partial) · Staging Not run (rule) · Production Not run
local: not covered: the 60 s between requests is simulated by ageing each code
staging: not run on staging: needs the server's database (local run only)</t>
        </is>
      </c>
      <c r="O30" s="24" t="n"/>
      <c r="P30" s="24" t="inlineStr">
        <is>
          <t>2026-10-24 17:05</t>
        </is>
      </c>
    </row>
    <row r="31" ht="23.25" customHeight="1" s="13">
      <c r="A31" s="24" t="inlineStr">
        <is>
          <t>TC-AUTH-018</t>
        </is>
      </c>
      <c r="B31" s="24" t="inlineStr">
        <is>
          <t>Login, onboarding &amp; profile</t>
        </is>
      </c>
      <c r="C31" s="24" t="inlineStr">
        <is>
          <t>GS-001</t>
        </is>
      </c>
      <c r="D31" s="24" t="inlineStr">
        <is>
          <t>Per-IP request limit</t>
        </is>
      </c>
      <c r="E31" s="24" t="inlineStr">
        <is>
          <t>Boundary</t>
        </is>
      </c>
      <c r="F31" s="24" t="inlineStr">
        <is>
          <t>P2</t>
        </is>
      </c>
      <c r="G31" s="24" t="inlineStr">
        <is>
          <t>Guest</t>
        </is>
      </c>
      <c r="H31" s="24" t="inlineStr">
        <is>
          <t>API</t>
        </is>
      </c>
      <c r="I31" s="24" t="inlineStr">
        <is>
          <t>Default 20 per IP per hour</t>
        </is>
      </c>
      <c r="J31" s="24" t="inlineStr">
        <is>
          <t>1. Send more than 20 OTP requests for different identifiers from one browser</t>
        </is>
      </c>
      <c r="K31" s="24" t="inlineStr">
        <is>
          <t>Requests after the limit return 429 RATE_LIMITED with retryAfterSeconds.</t>
        </is>
      </c>
      <c r="L31" s="24" t="inlineStr">
        <is>
          <t>Login-profile rules; QA section 13</t>
        </is>
      </c>
      <c r="M31" s="24" t="inlineStr">
        <is>
          <t>Pass</t>
        </is>
      </c>
      <c r="N31" s="24" t="inlineStr">
        <is>
          <t>Local Pass · Staging Not run (rule) · Production Not run
local: 20 × 200 from 10.160.7.170; 21st → 429 RATE_LIMITED, retryAfterSeconds 3599; another IP still 200
staging: not run on staging: needs the server's database (local run only)</t>
        </is>
      </c>
      <c r="O31" s="24" t="n"/>
      <c r="P31" s="24" t="inlineStr">
        <is>
          <t>2026-10-24 17:05</t>
        </is>
      </c>
    </row>
    <row r="32" ht="23.25" customHeight="1" s="13">
      <c r="A32" s="24" t="inlineStr">
        <is>
          <t>TC-AUTH-019</t>
        </is>
      </c>
      <c r="B32" s="24" t="inlineStr">
        <is>
          <t>Login, onboarding &amp; profile</t>
        </is>
      </c>
      <c r="C32" s="24" t="inlineStr">
        <is>
          <t>GS-001</t>
        </is>
      </c>
      <c r="D32" s="24" t="inlineStr">
        <is>
          <t>Invalid mobile / email input</t>
        </is>
      </c>
      <c r="E32" s="24" t="inlineStr">
        <is>
          <t>Negative</t>
        </is>
      </c>
      <c r="F32" s="24" t="inlineStr">
        <is>
          <t>P1</t>
        </is>
      </c>
      <c r="G32" s="24" t="inlineStr">
        <is>
          <t>Guest</t>
        </is>
      </c>
      <c r="H32" s="24" t="inlineStr">
        <is>
          <t>UI</t>
        </is>
      </c>
      <c r="I32" s="24" t="n"/>
      <c r="J32" s="24" t="inlineStr">
        <is>
          <t>1. Enter each of: 12345, 5876543210, abcdefghij, +91 5xxxxxxxxx, abc@, empty</t>
        </is>
      </c>
      <c r="K32" s="24" t="inlineStr">
        <is>
          <t>Clear field-level validation message each time. No email is sent. Only Indian mobiles (10 digits starting 6-9) are accepted.</t>
        </is>
      </c>
      <c r="L32" s="24" t="inlineStr">
        <is>
          <t>QA A-12; Login-profile checklist</t>
        </is>
      </c>
      <c r="M32" s="24" t="inlineStr">
        <is>
          <t>Pass</t>
        </is>
      </c>
      <c r="N32" s="24" t="inlineStr">
        <is>
          <t>Passed, partly covered. Local Pass (partial) · Staging Pass (partial) · Production Pass (partial)
local: not covered: blank and over-254-character emails, and how a valid number is stored, run on the local tier ‖ not covered: a number typed with spaces is accepted and normalised, by design (src/lib/contact.ts: accepts "98765 43210")
staging: not covered: blank and over-254-character emails, and how a valid number is stored, run on the local tier
production: not covered: blank and over-254-character emails, and how a valid number is stored, run on the local tier</t>
        </is>
      </c>
      <c r="O32" s="24" t="n"/>
      <c r="P32" s="24" t="inlineStr">
        <is>
          <t>2026-10-29 14:00</t>
        </is>
      </c>
    </row>
    <row r="33" ht="23.25" customHeight="1" s="13">
      <c r="A33" s="24" t="inlineStr">
        <is>
          <t>TC-AUTH-020</t>
        </is>
      </c>
      <c r="B33" s="24" t="inlineStr">
        <is>
          <t>Login, onboarding &amp; profile</t>
        </is>
      </c>
      <c r="C33" s="24" t="inlineStr">
        <is>
          <t>GS-001</t>
        </is>
      </c>
      <c r="D33" s="24" t="inlineStr">
        <is>
          <t>Mobile already linked to another account</t>
        </is>
      </c>
      <c r="E33" s="24" t="inlineStr">
        <is>
          <t>Negative</t>
        </is>
      </c>
      <c r="F33" s="24" t="inlineStr">
        <is>
          <t>P0</t>
        </is>
      </c>
      <c r="G33" s="24" t="inlineStr">
        <is>
          <t>Customer</t>
        </is>
      </c>
      <c r="H33" s="24" t="inlineStr">
        <is>
          <t>UI</t>
        </is>
      </c>
      <c r="I33" s="24" t="inlineStr">
        <is>
          <t>Two accounts; number linked to account 1</t>
        </is>
      </c>
      <c r="J33" s="24" t="inlineStr">
        <is>
          <t>1. On account 2 add the same number from profile, from the popup and during onboarding</t>
        </is>
      </c>
      <c r="K33" s="24" t="inlineStr">
        <is>
          <t>Each refuses: 'This mobile number is already linked to another account...'.</t>
        </is>
      </c>
      <c r="L33" s="24" t="inlineStr">
        <is>
          <t>QA A-13; Login-profile checklist</t>
        </is>
      </c>
      <c r="M33" s="24" t="inlineStr">
        <is>
          <t>Pass</t>
        </is>
      </c>
      <c r="N33" s="24" t="inlineStr">
        <is>
          <t>Passed, partly covered. Local Pass (partial) · Staging Blocked · Production Not run
local: not covered: the onboarding-form half (first-time details) is in tests/qa/local/auth-profile.spec.ts; TC-AUTH-054: a free number is saved without an SMS code by design (numbers are not SMS-verified — docs/login-profile/DEPLOY_AND_TEST.md), so only a number already linked elsewhere is protected ‖ not covered: the My Profile and popup halves are in tests/qa/signed-in/auth-profile.spec.ts
staging: customer 2 must have no mobile for the popup half</t>
        </is>
      </c>
      <c r="O33" s="24" t="n"/>
      <c r="P33" s="24" t="inlineStr">
        <is>
          <t>2026-10-24 18:06</t>
        </is>
      </c>
    </row>
    <row r="34" ht="23.25" customHeight="1" s="13">
      <c r="A34" s="24" t="inlineStr">
        <is>
          <t>TC-AUTH-021</t>
        </is>
      </c>
      <c r="B34" s="24" t="inlineStr">
        <is>
          <t>Login, onboarding &amp; profile</t>
        </is>
      </c>
      <c r="C34" s="24" t="inlineStr">
        <is>
          <t>GS-001</t>
        </is>
      </c>
      <c r="D34" s="24" t="inlineStr">
        <is>
          <t>Unregistered mobile + email that belongs to a different mobile</t>
        </is>
      </c>
      <c r="E34" s="24" t="inlineStr">
        <is>
          <t>Negative</t>
        </is>
      </c>
      <c r="F34" s="24" t="inlineStr">
        <is>
          <t>P1</t>
        </is>
      </c>
      <c r="G34" s="24" t="inlineStr">
        <is>
          <t>Guest</t>
        </is>
      </c>
      <c r="H34" s="24" t="inlineStr">
        <is>
          <t>UI</t>
        </is>
      </c>
      <c r="I34" s="24" t="inlineStr">
        <is>
          <t>Account X has email E and mobile M1</t>
        </is>
      </c>
      <c r="J34" s="24" t="inlineStr">
        <is>
          <t>1. On /signin enter new mobile M2
2. Enter email E</t>
        </is>
      </c>
      <c r="K34" s="24" t="inlineStr">
        <is>
          <t>'This email is already registered with a different mobile number...'. No account is changed.</t>
        </is>
      </c>
      <c r="L34" s="24" t="inlineStr">
        <is>
          <t>Login-profile checklist</t>
        </is>
      </c>
      <c r="M34" s="24" t="inlineStr">
        <is>
          <t>Pass</t>
        </is>
      </c>
      <c r="N34" s="24" t="inlineStr">
        <is>
          <t>Passed, partly covered. Local Pass (partial) · Staging Not run (rule) · Production Not run
local: not covered: no 'already registered with a different mobile' refusal: the code goes to the email and signs in to its account (expected result superseded by docs/login-profile/DEPLOY_AND_TEST.md 'Duplicate mobile or email' and the comment in src/server/otp/service.ts requestLoginOtp — refusing would reveal which numbers have accounts)
staging: not run on staging: needs the server's database (local run only)</t>
        </is>
      </c>
      <c r="O34" s="24" t="n"/>
      <c r="P34" s="24" t="inlineStr">
        <is>
          <t>2026-10-24 17:05</t>
        </is>
      </c>
    </row>
    <row r="35" ht="34.5" customHeight="1" s="13">
      <c r="A35" s="24" t="inlineStr">
        <is>
          <t>TC-AUTH-022</t>
        </is>
      </c>
      <c r="B35" s="24" t="inlineStr">
        <is>
          <t>Login, onboarding &amp; profile</t>
        </is>
      </c>
      <c r="C35" s="24" t="inlineStr">
        <is>
          <t>GS-001, RBAC-013</t>
        </is>
      </c>
      <c r="D35" s="24" t="inlineStr">
        <is>
          <t>Admin releases a claimed mobile number</t>
        </is>
      </c>
      <c r="E35" s="24" t="inlineStr">
        <is>
          <t>Positive</t>
        </is>
      </c>
      <c r="F35" s="24" t="inlineStr">
        <is>
          <t>P1</t>
        </is>
      </c>
      <c r="G35" s="24" t="inlineStr">
        <is>
          <t>Admin</t>
        </is>
      </c>
      <c r="H35" s="24" t="inlineStr">
        <is>
          <t>UI</t>
        </is>
      </c>
      <c r="I35" s="24" t="inlineStr">
        <is>
          <t>Number M claimed by account 1</t>
        </is>
      </c>
      <c r="J35" s="24" t="inlineStr">
        <is>
          <t>1. Admin console -&gt; 'Release a mobile number' -&gt; enter M
2. On account 2 add M</t>
        </is>
      </c>
      <c r="K35" s="24" t="inlineStr">
        <is>
          <t>Release succeeds and is audited. Account 2 can now add M. Account 1 no longer shows it.</t>
        </is>
      </c>
      <c r="L35" s="24" t="inlineStr">
        <is>
          <t>Login-profile DEPLOY_AND_TEST</t>
        </is>
      </c>
      <c r="M35" s="24" t="inlineStr">
        <is>
          <t>Pass</t>
        </is>
      </c>
      <c r="N35" s="24" t="inlineStr">
        <is>
          <t>Local Pass · Staging Not run (rule) · Production Not run
local: released +916210570509 from the console (audited by the admin); holder's profile shows no mobile; the claimant added it
staging: not run on staging: needs the server's database (local run only)</t>
        </is>
      </c>
      <c r="O35" s="24" t="n"/>
      <c r="P35" s="24" t="inlineStr">
        <is>
          <t>2026-10-24 17:05</t>
        </is>
      </c>
    </row>
    <row r="36" ht="34.5" customHeight="1" s="13">
      <c r="A36" s="24" t="inlineStr">
        <is>
          <t>TC-AUTH-023</t>
        </is>
      </c>
      <c r="B36" s="24" t="inlineStr">
        <is>
          <t>Login, onboarding &amp; profile</t>
        </is>
      </c>
      <c r="C36" s="24" t="inlineStr">
        <is>
          <t>GS-001</t>
        </is>
      </c>
      <c r="D36" s="24" t="inlineStr">
        <is>
          <t>Edit name and gender on My Profile</t>
        </is>
      </c>
      <c r="E36" s="24" t="inlineStr">
        <is>
          <t>Positive</t>
        </is>
      </c>
      <c r="F36" s="24" t="inlineStr">
        <is>
          <t>P1</t>
        </is>
      </c>
      <c r="G36" s="24" t="inlineStr">
        <is>
          <t>Customer</t>
        </is>
      </c>
      <c r="H36" s="24" t="inlineStr">
        <is>
          <t>UI</t>
        </is>
      </c>
      <c r="I36" s="24" t="n"/>
      <c r="J36" s="24" t="inlineStr">
        <is>
          <t>1. Open /profile
2. Change name and gender
3. Save details</t>
        </is>
      </c>
      <c r="K36" s="24" t="inlineStr">
        <is>
          <t>'Saved' confirmation. Header initial updates. Values persist after reload.</t>
        </is>
      </c>
      <c r="L36" s="24" t="inlineStr">
        <is>
          <t>Login-profile checklist</t>
        </is>
      </c>
      <c r="M36" s="24" t="inlineStr">
        <is>
          <t>Pass</t>
        </is>
      </c>
      <c r="N36" s="24" t="inlineStr">
        <is>
          <t>Local Pass · Staging Pass · Production Not run
local: name → "Zara QA mvmn5pup", gender → Male; 'Saved.'; header initial Z; both kept after reload ‖ [phone] name → "Zara QA mvml9j40", gender → Male; 'Saved.'; header initial Z; both kept after reload
staging: name → "Zara QA mvmphu8y", gender → Male; 'Saved.'; header initial Z; both kept after reload ‖ [phone] name → "Zara QA mvmvdlwt", gender → Male; 'Saved.'; header initial Z; both kept after reload</t>
        </is>
      </c>
      <c r="O36" s="24" t="n"/>
      <c r="P36" s="24" t="inlineStr">
        <is>
          <t>2026-10-24 20:57</t>
        </is>
      </c>
    </row>
    <row r="37" ht="45.75" customHeight="1" s="13">
      <c r="A37" s="24" t="inlineStr">
        <is>
          <t>TC-AUTH-024</t>
        </is>
      </c>
      <c r="B37" s="24" t="inlineStr">
        <is>
          <t>Login, onboarding &amp; profile</t>
        </is>
      </c>
      <c r="C37" s="24" t="inlineStr">
        <is>
          <t>GS-001</t>
        </is>
      </c>
      <c r="D37" s="24" t="inlineStr">
        <is>
          <t>Change and remove mobile on My Profile</t>
        </is>
      </c>
      <c r="E37" s="24" t="inlineStr">
        <is>
          <t>Positive</t>
        </is>
      </c>
      <c r="F37" s="24" t="inlineStr">
        <is>
          <t>P1</t>
        </is>
      </c>
      <c r="G37" s="24" t="inlineStr">
        <is>
          <t>Customer</t>
        </is>
      </c>
      <c r="H37" s="24" t="inlineStr">
        <is>
          <t>UI</t>
        </is>
      </c>
      <c r="I37" s="24" t="n"/>
      <c r="J37" s="24" t="inlineStr">
        <is>
          <t>1. Change mobile to a new valid number
2. Remove it
3. Open the cart with a delivery item</t>
        </is>
      </c>
      <c r="K37" s="24" t="inlineStr">
        <is>
          <t>New number shows; after removal it shows 'Not added' and the cart asks for a mobile again. A 'Mobile number changed' security notification is sent.</t>
        </is>
      </c>
      <c r="L37" s="24" t="inlineStr">
        <is>
          <t>Login-profile checklist; QA A-01, F-09</t>
        </is>
      </c>
      <c r="M37" s="24" t="inlineStr">
        <is>
          <t>Fail</t>
        </is>
      </c>
      <c r="N37" s="24" t="inlineStr">
        <is>
          <t>Local Fail · Staging Pass (partial) · Production Not run
local: add a delivery item — HTTP 409: This product is currently unavailable online. | expect(received).toContain(expected) // indexOf | Expected value: 409 | Received array: [200, 201]
staging: not covered: the notice is checked in-app; its email copy follows the customer's notification settings (notification specs)</t>
        </is>
      </c>
      <c r="O37" s="24" t="n"/>
      <c r="P37" s="24" t="inlineStr">
        <is>
          <t>2026-10-24 18:06</t>
        </is>
      </c>
    </row>
    <row r="38" ht="23.25" customHeight="1" s="13">
      <c r="A38" s="24" t="inlineStr">
        <is>
          <t>TC-AUTH-025</t>
        </is>
      </c>
      <c r="B38" s="24" t="inlineStr">
        <is>
          <t>Login, onboarding &amp; profile</t>
        </is>
      </c>
      <c r="C38" s="24" t="inlineStr">
        <is>
          <t>GS-001</t>
        </is>
      </c>
      <c r="D38" s="24" t="inlineStr">
        <is>
          <t>Change email with verification on the new address</t>
        </is>
      </c>
      <c r="E38" s="24" t="inlineStr">
        <is>
          <t>Positive</t>
        </is>
      </c>
      <c r="F38" s="24" t="inlineStr">
        <is>
          <t>P0</t>
        </is>
      </c>
      <c r="G38" s="24" t="inlineStr">
        <is>
          <t>Customer</t>
        </is>
      </c>
      <c r="H38" s="24" t="inlineStr">
        <is>
          <t>UI</t>
        </is>
      </c>
      <c r="I38" s="24" t="inlineStr">
        <is>
          <t>Inbox access for old and new address</t>
        </is>
      </c>
      <c r="J38" s="24" t="inlineStr">
        <is>
          <t>1. Start a change of email
2. Enter a wrong code
3. Enter the right code
4. Sign out and sign in with the new email</t>
        </is>
      </c>
      <c r="K38" s="24" t="inlineStr">
        <is>
          <t>Code goes to the NEW address. Wrong code: error, email unchanged. Right code: email updated and the OLD address receives a 'was changed' email. New email signs in.</t>
        </is>
      </c>
      <c r="L38" s="24" t="inlineStr">
        <is>
          <t>Login-profile checklist</t>
        </is>
      </c>
      <c r="M38" s="24" t="inlineStr">
        <is>
          <t>Pass</t>
        </is>
      </c>
      <c r="N38" s="24" t="inlineStr">
        <is>
          <t>Local Pass · Staging Not run (rule) · Production Not run
local: code to qa***@ ("NNNNNN is your Gokesari email confirmation code"); wrong code → error, email kept; right code → changed, old address mailed "was changed", audited; the new email signs in
staging: not run on staging: needs the server's database (local run only)</t>
        </is>
      </c>
      <c r="O38" s="24" t="n"/>
      <c r="P38" s="24" t="inlineStr">
        <is>
          <t>2026-10-24 17:05</t>
        </is>
      </c>
    </row>
    <row r="39" ht="23.25" customHeight="1" s="13">
      <c r="A39" s="24" t="inlineStr">
        <is>
          <t>TC-AUTH-026</t>
        </is>
      </c>
      <c r="B39" s="24" t="inlineStr">
        <is>
          <t>Login, onboarding &amp; profile</t>
        </is>
      </c>
      <c r="C39" s="24" t="inlineStr">
        <is>
          <t>GS-001</t>
        </is>
      </c>
      <c r="D39" s="24" t="inlineStr">
        <is>
          <t>Change email to one used by another account</t>
        </is>
      </c>
      <c r="E39" s="24" t="inlineStr">
        <is>
          <t>Negative</t>
        </is>
      </c>
      <c r="F39" s="24" t="inlineStr">
        <is>
          <t>P1</t>
        </is>
      </c>
      <c r="G39" s="24" t="inlineStr">
        <is>
          <t>Customer</t>
        </is>
      </c>
      <c r="H39" s="24" t="inlineStr">
        <is>
          <t>UI</t>
        </is>
      </c>
      <c r="I39" s="24" t="n"/>
      <c r="J39" s="24" t="inlineStr">
        <is>
          <t>1. Enter another account's email as the new email</t>
        </is>
      </c>
      <c r="K39" s="24" t="inlineStr">
        <is>
          <t>'This email address is already used by another account.'</t>
        </is>
      </c>
      <c r="L39" s="24" t="inlineStr">
        <is>
          <t>Login-profile checklist</t>
        </is>
      </c>
      <c r="M39" s="24" t="inlineStr">
        <is>
          <t>Pass</t>
        </is>
      </c>
      <c r="N39" s="24" t="inlineStr">
        <is>
          <t>Local Pass · Staging Pass · Production Not run
local: page and API (409) refuse qa***@test.local; email unchanged
staging: page and API (409) refuse sa***@gmail.com; email unchanged</t>
        </is>
      </c>
      <c r="O39" s="24" t="n"/>
      <c r="P39" s="24" t="inlineStr">
        <is>
          <t>2026-10-24 18:06</t>
        </is>
      </c>
    </row>
    <row r="40" ht="34.5" customHeight="1" s="13">
      <c r="A40" s="24" t="inlineStr">
        <is>
          <t>TC-AUTH-027</t>
        </is>
      </c>
      <c r="B40" s="24" t="inlineStr">
        <is>
          <t>Login, onboarding &amp; profile</t>
        </is>
      </c>
      <c r="C40" s="24" t="inlineStr">
        <is>
          <t>GS-001</t>
        </is>
      </c>
      <c r="D40" s="24" t="inlineStr">
        <is>
          <t>Suspended account cannot sign in</t>
        </is>
      </c>
      <c r="E40" s="24" t="inlineStr">
        <is>
          <t>Security</t>
        </is>
      </c>
      <c r="F40" s="24" t="inlineStr">
        <is>
          <t>P0</t>
        </is>
      </c>
      <c r="G40" s="24" t="inlineStr">
        <is>
          <t>Guest</t>
        </is>
      </c>
      <c r="H40" s="24" t="inlineStr">
        <is>
          <t>UI</t>
        </is>
      </c>
      <c r="I40" s="24" t="inlineStr">
        <is>
          <t>Account suspended by admin</t>
        </is>
      </c>
      <c r="J40" s="24" t="inlineStr">
        <is>
          <t>1. Try mobile, email-code and Google sign-in</t>
        </is>
      </c>
      <c r="K40" s="24" t="inlineStr">
        <is>
          <t>All refused; /signin?error=AccessDenied explains the account is suspended or closed with a link to the grievance form. No session is created.</t>
        </is>
      </c>
      <c r="L40" s="24" t="inlineStr">
        <is>
          <t>QA A-14; Dev log Phase 4.5</t>
        </is>
      </c>
      <c r="M40" s="24" t="inlineStr">
        <is>
          <t>Pass</t>
        </is>
      </c>
      <c r="N40" s="24" t="inlineStr">
        <is>
          <t>Passed, partly covered. Local Pass (partial) · Staging Not run (rule) · Production Not run
local: not covered: Google sign-in is not configured on the local server (needs a Google account and OAuth keys); the emailed link is the next check
staging: not run on staging: needs the server's database (local run only)</t>
        </is>
      </c>
      <c r="O40" s="24" t="inlineStr">
        <is>
          <t>D-19</t>
        </is>
      </c>
      <c r="P40" s="24" t="inlineStr">
        <is>
          <t>2026-10-24 17:05</t>
        </is>
      </c>
    </row>
    <row r="41" ht="34.5" customHeight="1" s="13">
      <c r="A41" s="24" t="inlineStr">
        <is>
          <t>TC-AUTH-028</t>
        </is>
      </c>
      <c r="B41" s="24" t="inlineStr">
        <is>
          <t>Login, onboarding &amp; profile</t>
        </is>
      </c>
      <c r="C41" s="24" t="inlineStr">
        <is>
          <t>GS-001, GS-067</t>
        </is>
      </c>
      <c r="D41" s="24" t="inlineStr">
        <is>
          <t>OTP events are audited and codes are never exposed</t>
        </is>
      </c>
      <c r="E41" s="24" t="inlineStr">
        <is>
          <t>Security</t>
        </is>
      </c>
      <c r="F41" s="24" t="inlineStr">
        <is>
          <t>P0</t>
        </is>
      </c>
      <c r="G41" s="24" t="inlineStr">
        <is>
          <t>Admin</t>
        </is>
      </c>
      <c r="H41" s="24" t="inlineStr">
        <is>
          <t>UI+DB</t>
        </is>
      </c>
      <c r="I41" s="24" t="n"/>
      <c r="J41" s="24" t="inlineStr">
        <is>
          <t>1. Admin audit log: search 'auth.otp_'
2. Inspect network responses of /api/otp/request
3. (DB if available) select code_hash from login_otps</t>
        </is>
      </c>
      <c r="K41" s="24" t="inlineStr">
        <is>
          <t>Requested / verified / failed / blocked rows exist; numbers are masked; no code appears in any response, page or log. code_hash looks like salt:hex.</t>
        </is>
      </c>
      <c r="L41" s="24" t="inlineStr">
        <is>
          <t>QA A-16, A-17</t>
        </is>
      </c>
      <c r="M41" s="24" t="inlineStr">
        <is>
          <t>Pass</t>
        </is>
      </c>
      <c r="N41" s="24" t="inlineStr">
        <is>
          <t>Passed, partly covered. Local Pass (partial) · Staging Not run (rule) · Production Not run
local: not covered: the admin audit page lists the latest 100 events and has no search box; SMS text, sender and template need an SMS vendor (Phase 2 — TC-AUTH-052's SMS half)
staging: not run on staging: needs the server's database (local run only)</t>
        </is>
      </c>
      <c r="O41" s="24" t="n"/>
      <c r="P41" s="24" t="inlineStr">
        <is>
          <t>2026-10-24 17:05</t>
        </is>
      </c>
    </row>
    <row r="42" ht="34.5" customHeight="1" s="13">
      <c r="A42" s="24" t="inlineStr">
        <is>
          <t>TC-AUTH-029</t>
        </is>
      </c>
      <c r="B42" s="24" t="inlineStr">
        <is>
          <t>Login, onboarding &amp; profile</t>
        </is>
      </c>
      <c r="C42" s="24" t="inlineStr">
        <is>
          <t>NEW-001, GS-001</t>
        </is>
      </c>
      <c r="D42" s="24" t="inlineStr">
        <is>
          <t>OTP limits follow /admin/settings</t>
        </is>
      </c>
      <c r="E42" s="24" t="inlineStr">
        <is>
          <t>Positive</t>
        </is>
      </c>
      <c r="F42" s="24" t="inlineStr">
        <is>
          <t>P1</t>
        </is>
      </c>
      <c r="G42" s="24" t="inlineStr">
        <is>
          <t>Admin</t>
        </is>
      </c>
      <c r="H42" s="24" t="inlineStr">
        <is>
          <t>UI</t>
        </is>
      </c>
      <c r="I42" s="24" t="n"/>
      <c r="J42" s="24" t="inlineStr">
        <is>
          <t>1. Set otp: expiry 1, attempts 2, cooldown 5
2. Repeat the wrong-code, expiry and resend cases
3. Restore default</t>
        </is>
      </c>
      <c r="K42" s="24" t="inlineStr">
        <is>
          <t>New limits apply within about 15 s; Restore default reverts them.</t>
        </is>
      </c>
      <c r="L42" s="24" t="inlineStr">
        <is>
          <t>QA A-15</t>
        </is>
      </c>
      <c r="M42" s="24" t="inlineStr">
        <is>
          <t>Pass</t>
        </is>
      </c>
      <c r="N42" s="24" t="inlineStr">
        <is>
          <t>Passed, partly covered. Local Pass (partial) · Staging Not run (rule) · Production Not run
local: not covered: the rule is set through the admin settings API (PUT/DELETE /api/admin/settings, the endpoint the /admin/settings form uses); the 1-minute expiry is read from the stored code rather than waited out
staging: not run on staging: needs the server's database (local run only)</t>
        </is>
      </c>
      <c r="O42" s="24" t="n"/>
      <c r="P42" s="24" t="inlineStr">
        <is>
          <t>2026-10-24 17:05</t>
        </is>
      </c>
    </row>
    <row r="43" ht="34.5" customHeight="1" s="13">
      <c r="A43" s="24" t="inlineStr">
        <is>
          <t>TC-AUTH-030</t>
        </is>
      </c>
      <c r="B43" s="24" t="inlineStr">
        <is>
          <t>Login, onboarding &amp; profile</t>
        </is>
      </c>
      <c r="C43" s="24" t="inlineStr">
        <is>
          <t>GS-001</t>
        </is>
      </c>
      <c r="D43" s="24" t="inlineStr">
        <is>
          <t>Sign out ends the session</t>
        </is>
      </c>
      <c r="E43" s="24" t="inlineStr">
        <is>
          <t>Security</t>
        </is>
      </c>
      <c r="F43" s="24" t="inlineStr">
        <is>
          <t>P1</t>
        </is>
      </c>
      <c r="G43" s="24" t="inlineStr">
        <is>
          <t>Customer</t>
        </is>
      </c>
      <c r="H43" s="24" t="inlineStr">
        <is>
          <t>UI+API</t>
        </is>
      </c>
      <c r="I43" s="24" t="n"/>
      <c r="J43" s="24" t="inlineStr">
        <is>
          <t>1. Sign out
2. Use the back button to /wallet
3. GET /api/wallet</t>
        </is>
      </c>
      <c r="K43" s="24" t="inlineStr">
        <is>
          <t>Redirected to sign in; API returns 401 UNAUTHENTICATED. Further log out cases: TC-AUTH-032 to TC-AUTH-045.</t>
        </is>
      </c>
      <c r="L43" s="24" t="inlineStr">
        <is>
          <t>e2e acceptance: access control; Updated 3-Oct</t>
        </is>
      </c>
      <c r="M43" s="24" t="inlineStr">
        <is>
          <t>Pass</t>
        </is>
      </c>
      <c r="N43" s="24" t="inlineStr">
        <is>
          <t>Local Pass · Staging Not run (rule) · Production Not run
local: after Sign out: Back → /signin; /wallet → /signin; API 401 UNAUTHENTICATED
staging: not run on staging: needs the server's database (local run only)</t>
        </is>
      </c>
      <c r="O43" s="24" t="n"/>
      <c r="P43" s="24" t="inlineStr">
        <is>
          <t>2026-10-24 18:08</t>
        </is>
      </c>
    </row>
    <row r="44" ht="23.25" customHeight="1" s="13">
      <c r="A44" s="24" t="inlineStr">
        <is>
          <t>TC-AUTH-031</t>
        </is>
      </c>
      <c r="B44" s="24" t="inlineStr">
        <is>
          <t>Login, onboarding &amp; profile</t>
        </is>
      </c>
      <c r="C44" s="24" t="inlineStr">
        <is>
          <t>GS-001</t>
        </is>
      </c>
      <c r="D44" s="24" t="inlineStr">
        <is>
          <t>Session persists across pages and reloads</t>
        </is>
      </c>
      <c r="E44" s="24" t="inlineStr">
        <is>
          <t>Positive</t>
        </is>
      </c>
      <c r="F44" s="24" t="inlineStr">
        <is>
          <t>P2</t>
        </is>
      </c>
      <c r="G44" s="24" t="inlineStr">
        <is>
          <t>Customer</t>
        </is>
      </c>
      <c r="H44" s="24" t="inlineStr">
        <is>
          <t>UI</t>
        </is>
      </c>
      <c r="I44" s="24" t="n"/>
      <c r="J44" s="24" t="inlineStr">
        <is>
          <t>1. Sign in
2. Visit /wallet, /orders, /profile
3. Reload each</t>
        </is>
      </c>
      <c r="K44" s="24" t="inlineStr">
        <is>
          <t>Stays signed in; no repeated prompts.</t>
        </is>
      </c>
      <c r="L44" s="24" t="inlineStr">
        <is>
          <t>Regression AUTH-03</t>
        </is>
      </c>
      <c r="M44" s="24" t="inlineStr">
        <is>
          <t>Pass</t>
        </is>
      </c>
      <c r="N44" s="24" t="inlineStr">
        <is>
          <t>Local Pass · Staging Pass · Production Not run
local: /wallet, /orders, /profile: stayed signed in through each reload ‖ [phone] /wallet, /orders, /profile: stayed signed in through each reload
staging: /wallet, /orders, /profile: stayed signed in through each reload ‖ [phone] /wallet, /orders, /profile: stayed signed in through each reload</t>
        </is>
      </c>
      <c r="O44" s="24" t="n"/>
      <c r="P44" s="24" t="inlineStr">
        <is>
          <t>2026-10-24 20:58</t>
        </is>
      </c>
    </row>
    <row r="45" ht="45.75" customHeight="1" s="13">
      <c r="A45" s="24" t="inlineStr">
        <is>
          <t>TC-AUTH-032</t>
        </is>
      </c>
      <c r="B45" s="24" t="inlineStr">
        <is>
          <t>Login, onboarding &amp; profile</t>
        </is>
      </c>
      <c r="C45" s="24" t="inlineStr">
        <is>
          <t>GS-001</t>
        </is>
      </c>
      <c r="D45" s="24" t="inlineStr">
        <is>
          <t>Log out from the header menu in every role</t>
        </is>
      </c>
      <c r="E45" s="24" t="inlineStr">
        <is>
          <t>Positive</t>
        </is>
      </c>
      <c r="F45" s="24" t="inlineStr">
        <is>
          <t>P0</t>
        </is>
      </c>
      <c r="G45" s="24" t="inlineStr">
        <is>
          <t>All</t>
        </is>
      </c>
      <c r="H45" s="24" t="inlineStr">
        <is>
          <t>UI</t>
        </is>
      </c>
      <c r="I45" s="24" t="inlineStr">
        <is>
          <t>One account per role signed in</t>
        </is>
      </c>
      <c r="J45" s="24" t="inlineStr">
        <is>
          <t>1. As customer, shop owner, rider, society admin, operator and admin in turn: open the account menu and choose Sign out</t>
        </is>
      </c>
      <c r="K45" s="24" t="inlineStr">
        <is>
          <t>Each role is signed out and lands on the home or sign-in page. The header shows Sign in and no name, role switcher or portal links.</t>
        </is>
      </c>
      <c r="L45" s="24" t="inlineStr">
        <is>
          <t>Request 3-Oct: log out / log off coverage</t>
        </is>
      </c>
      <c r="M45" s="24" t="inlineStr">
        <is>
          <t>Pass</t>
        </is>
      </c>
      <c r="N45" s="24" t="inlineStr">
        <is>
          <t>Local Pass · Staging Not run (rule) · Production Not run
local: customer (/, account-dropdown) → /; shop (/shop, seller-account-button) → /; rider (/delivery-partner, account-button) → /; society (/society, account-button) → /; ops (/admin, board-account) → /; admin (/admin, board-account) → /
staging: not run on staging: needs the server's database (local run only)</t>
        </is>
      </c>
      <c r="O45" s="24" t="n"/>
      <c r="P45" s="24" t="inlineStr">
        <is>
          <t>2026-10-24 18:09</t>
        </is>
      </c>
    </row>
    <row r="46" ht="23.25" customHeight="1" s="13">
      <c r="A46" s="24" t="inlineStr">
        <is>
          <t>TC-AUTH-033</t>
        </is>
      </c>
      <c r="B46" s="24" t="inlineStr">
        <is>
          <t>Login, onboarding &amp; profile</t>
        </is>
      </c>
      <c r="C46" s="24" t="inlineStr">
        <is>
          <t>GS-001, GS-002</t>
        </is>
      </c>
      <c r="D46" s="24" t="inlineStr">
        <is>
          <t>Protected pages are closed after log out</t>
        </is>
      </c>
      <c r="E46" s="24" t="inlineStr">
        <is>
          <t>Security</t>
        </is>
      </c>
      <c r="F46" s="24" t="inlineStr">
        <is>
          <t>P0</t>
        </is>
      </c>
      <c r="G46" s="24" t="inlineStr">
        <is>
          <t>All</t>
        </is>
      </c>
      <c r="H46" s="24" t="inlineStr">
        <is>
          <t>UI</t>
        </is>
      </c>
      <c r="I46" s="24" t="inlineStr">
        <is>
          <t>Just signed out</t>
        </is>
      </c>
      <c r="J46" s="24" t="inlineStr">
        <is>
          <t>1. Open /orders, /wallet, /profile, /cart
2. Open /shop, /shop/inventory, /shop/prices
3. Open the rider, society, operator and admin portals
4. Use the browser Back button to a page viewed while signed in</t>
        </is>
      </c>
      <c r="K46" s="24" t="inlineStr">
        <is>
          <t>Every page redirects to sign in. Back shows no cached personal, order, wallet or shop data.</t>
        </is>
      </c>
      <c r="L46" s="24" t="inlineStr">
        <is>
          <t>Request 3-Oct: log out / log off coverage; extends TC-AUTH-030</t>
        </is>
      </c>
      <c r="M46" s="24" t="inlineStr">
        <is>
          <t>Fail</t>
        </is>
      </c>
      <c r="N46" s="24" t="inlineStr">
        <is>
          <t>Local Pass (partial) · Staging Pass · Production Fail
local: not covered: the signed-out guest half of TC-AUTH-033 (every page) is in tests/qa/guest/access.spec.ts
staging: 194 signed-in pages and account APIs not closed to a guest: all refused
production: 7 of 194 signed-in pages and account APIs not closed to a guest: | /admin/dealers → 404 | /admin/dealers/analytics → 404 | /admin/dealers/claims → 404</t>
        </is>
      </c>
      <c r="O46" s="24" t="inlineStr">
        <is>
          <t>E-12</t>
        </is>
      </c>
      <c r="P46" s="24" t="inlineStr">
        <is>
          <t>2026-10-29 14:04</t>
        </is>
      </c>
    </row>
    <row r="47" ht="23.25" customHeight="1" s="13">
      <c r="A47" s="24" t="inlineStr">
        <is>
          <t>TC-AUTH-034</t>
        </is>
      </c>
      <c r="B47" s="24" t="inlineStr">
        <is>
          <t>Login, onboarding &amp; profile</t>
        </is>
      </c>
      <c r="C47" s="24" t="inlineStr">
        <is>
          <t>GS-001, GS-071</t>
        </is>
      </c>
      <c r="D47" s="24" t="inlineStr">
        <is>
          <t>Old session cannot be replayed after log out</t>
        </is>
      </c>
      <c r="E47" s="24" t="inlineStr">
        <is>
          <t>Security</t>
        </is>
      </c>
      <c r="F47" s="24" t="inlineStr">
        <is>
          <t>P0</t>
        </is>
      </c>
      <c r="G47" s="24" t="inlineStr">
        <is>
          <t>Customer</t>
        </is>
      </c>
      <c r="H47" s="24" t="inlineStr">
        <is>
          <t>API</t>
        </is>
      </c>
      <c r="I47" s="24" t="inlineStr">
        <is>
          <t>Session cookie copied before signing out</t>
        </is>
      </c>
      <c r="J47" s="24" t="inlineStr">
        <is>
          <t>1. Sign out
2. Send GET /api/wallet and POST /api/cart with the copied cookie</t>
        </is>
      </c>
      <c r="K47" s="24" t="inlineStr">
        <is>
          <t>401 UNAUTHENTICATED on both. The session is ended on the server, not only removed from the browser.</t>
        </is>
      </c>
      <c r="L47" s="24" t="inlineStr">
        <is>
          <t>Request 3-Oct: log out / log off coverage</t>
        </is>
      </c>
      <c r="M47" s="24" t="inlineStr">
        <is>
          <t>Pass</t>
        </is>
      </c>
      <c r="N47" s="24" t="inlineStr">
        <is>
          <t>Local Pass · Staging Not run (rule) · Production Not run
local: both refused with 401
staging: not run on staging: needs the server's database (local run only)</t>
        </is>
      </c>
      <c r="O47" s="24" t="inlineStr">
        <is>
          <t>D-17, D-99</t>
        </is>
      </c>
      <c r="P47" s="24" t="inlineStr">
        <is>
          <t>2026-10-24 18:09</t>
        </is>
      </c>
    </row>
    <row r="48" ht="23.25" customHeight="1" s="13">
      <c r="A48" s="24" t="inlineStr">
        <is>
          <t>TC-AUTH-035</t>
        </is>
      </c>
      <c r="B48" s="24" t="inlineStr">
        <is>
          <t>Login, onboarding &amp; profile</t>
        </is>
      </c>
      <c r="C48" s="24" t="inlineStr">
        <is>
          <t>GS-001</t>
        </is>
      </c>
      <c r="D48" s="24" t="inlineStr">
        <is>
          <t>Log out in one tab ends the other tabs</t>
        </is>
      </c>
      <c r="E48" s="24" t="inlineStr">
        <is>
          <t>Positive</t>
        </is>
      </c>
      <c r="F48" s="24" t="inlineStr">
        <is>
          <t>P1</t>
        </is>
      </c>
      <c r="G48" s="24" t="inlineStr">
        <is>
          <t>Customer</t>
        </is>
      </c>
      <c r="H48" s="24" t="inlineStr">
        <is>
          <t>UI</t>
        </is>
      </c>
      <c r="I48" s="24" t="inlineStr">
        <is>
          <t>Same account open in two tabs</t>
        </is>
      </c>
      <c r="J48" s="24" t="inlineStr">
        <is>
          <t>1. Sign out in tab 1
2. In tab 2 click a link and submit a form</t>
        </is>
      </c>
      <c r="K48" s="24" t="inlineStr">
        <is>
          <t>Tab 2 is sent to sign in on its next action. No write goes through.</t>
        </is>
      </c>
      <c r="L48" s="24" t="inlineStr">
        <is>
          <t>Request 3-Oct: log out / log off coverage</t>
        </is>
      </c>
      <c r="M48" s="24" t="inlineStr">
        <is>
          <t>Pass</t>
        </is>
      </c>
      <c r="N48" s="24" t="inlineStr">
        <is>
          <t>Local Pass · Staging Not run (rule) · Production Not run
local: tab 2: Save details refused (name unchanged), next link → /signin
staging: not run on staging: needs the server's database (local run only)</t>
        </is>
      </c>
      <c r="O48" s="24" t="n"/>
      <c r="P48" s="24" t="inlineStr">
        <is>
          <t>2026-10-24 18:09</t>
        </is>
      </c>
    </row>
    <row r="49" ht="34.5" customHeight="1" s="13">
      <c r="A49" s="24" t="inlineStr">
        <is>
          <t>TC-AUTH-036</t>
        </is>
      </c>
      <c r="B49" s="24" t="inlineStr">
        <is>
          <t>Login, onboarding &amp; profile</t>
        </is>
      </c>
      <c r="C49" s="24" t="inlineStr">
        <is>
          <t>GS-001</t>
        </is>
      </c>
      <c r="D49" s="24" t="inlineStr">
        <is>
          <t>Log out on one device and the session on another device</t>
        </is>
      </c>
      <c r="E49" s="24" t="inlineStr">
        <is>
          <t>Positive</t>
        </is>
      </c>
      <c r="F49" s="24" t="inlineStr">
        <is>
          <t>P2</t>
        </is>
      </c>
      <c r="G49" s="24" t="inlineStr">
        <is>
          <t>Customer</t>
        </is>
      </c>
      <c r="H49" s="24" t="inlineStr">
        <is>
          <t>UI</t>
        </is>
      </c>
      <c r="I49" s="24" t="inlineStr">
        <is>
          <t>Same account signed in on two browser profiles</t>
        </is>
      </c>
      <c r="J49" s="24" t="inlineStr">
        <is>
          <t>1. Sign out on device 1
2. Reload on device 2</t>
        </is>
      </c>
      <c r="K49" s="24" t="inlineStr">
        <is>
          <t>Record the behaviour: device 2 either stays signed in (per-device sessions) or is signed out. Whichever it is must be the same every time.</t>
        </is>
      </c>
      <c r="L49" s="24" t="inlineStr">
        <is>
          <t>Request 3-Oct: log out / log off coverage</t>
        </is>
      </c>
      <c r="M49" s="24" t="inlineStr">
        <is>
          <t>Pass</t>
        </is>
      </c>
      <c r="N49" s="24" t="inlineStr">
        <is>
          <t>Local Pass · Staging Not run (rule) · Production Not run
local: device 2 after device 1 signs out: still signed in, still signed in (per-device sessions)
staging: not run on staging: needs the server's database (local run only)</t>
        </is>
      </c>
      <c r="O49" s="24" t="n"/>
      <c r="P49" s="24" t="inlineStr">
        <is>
          <t>2026-10-24 18:09</t>
        </is>
      </c>
    </row>
    <row r="50" ht="45.75" customHeight="1" s="13">
      <c r="A50" s="24" t="inlineStr">
        <is>
          <t>TC-AUTH-037</t>
        </is>
      </c>
      <c r="B50" s="24" t="inlineStr">
        <is>
          <t>Login, onboarding &amp; profile</t>
        </is>
      </c>
      <c r="C50" s="24" t="inlineStr">
        <is>
          <t>GS-001, GS-024</t>
        </is>
      </c>
      <c r="D50" s="24" t="inlineStr">
        <is>
          <t>Cart is kept for the user and hidden from the next user</t>
        </is>
      </c>
      <c r="E50" s="24" t="inlineStr">
        <is>
          <t>Positive</t>
        </is>
      </c>
      <c r="F50" s="24" t="inlineStr">
        <is>
          <t>P1</t>
        </is>
      </c>
      <c r="G50" s="24" t="inlineStr">
        <is>
          <t>Customer</t>
        </is>
      </c>
      <c r="H50" s="24" t="inlineStr">
        <is>
          <t>UI</t>
        </is>
      </c>
      <c r="I50" s="24" t="inlineStr">
        <is>
          <t>Customer 1 has two items in the cart</t>
        </is>
      </c>
      <c r="J50" s="24" t="inlineStr">
        <is>
          <t>1. Customer 1 signs out
2. Customer 2 signs in on the same browser and opens the cart
3. Customer 2 signs out; Customer 1 signs in again</t>
        </is>
      </c>
      <c r="K50" s="24" t="inlineStr">
        <is>
          <t>Customer 2 sees only an own cart, never Customer 1 items. Customer 1 finds the two items again.</t>
        </is>
      </c>
      <c r="L50" s="24" t="inlineStr">
        <is>
          <t>Request 3-Oct: log out / log off coverage</t>
        </is>
      </c>
      <c r="M50" s="24" t="inlineStr">
        <is>
          <t>Fail</t>
        </is>
      </c>
      <c r="N50" s="24" t="inlineStr">
        <is>
          <t>Local Fail · Staging Not run (rule) · Production Not run
local: item 1 — HTTP 409: This product is currently unavailable online. | expect(received).toContain(expected) // indexOf | Expected value: 409 | Received array: [200, 201]
staging: not run on staging: needs the server's database (local run only)</t>
        </is>
      </c>
      <c r="O50" s="24" t="n"/>
      <c r="P50" s="24" t="inlineStr">
        <is>
          <t>2026-10-24 18:09</t>
        </is>
      </c>
    </row>
    <row r="51" ht="23.25" customHeight="1" s="13">
      <c r="A51" s="24" t="inlineStr">
        <is>
          <t>TC-AUTH-038</t>
        </is>
      </c>
      <c r="B51" s="24" t="inlineStr">
        <is>
          <t>Login, onboarding &amp; profile</t>
        </is>
      </c>
      <c r="C51" s="24" t="inlineStr">
        <is>
          <t>GS-001, GS-071</t>
        </is>
      </c>
      <c r="D51" s="24" t="inlineStr">
        <is>
          <t>Next user on a shared phone sees nothing of the previous user</t>
        </is>
      </c>
      <c r="E51" s="24" t="inlineStr">
        <is>
          <t>Security</t>
        </is>
      </c>
      <c r="F51" s="24" t="inlineStr">
        <is>
          <t>P0</t>
        </is>
      </c>
      <c r="G51" s="24" t="inlineStr">
        <is>
          <t>All</t>
        </is>
      </c>
      <c r="H51" s="24" t="inlineStr">
        <is>
          <t>UI</t>
        </is>
      </c>
      <c r="I51" s="24" t="inlineStr">
        <is>
          <t>Shop owner A just signed out on the browser</t>
        </is>
      </c>
      <c r="J51" s="24" t="inlineStr">
        <is>
          <t>1. Customer 2 signs in on the same browser
2. Check header name, delivery location, saved addresses, notifications, wallet and role switcher
3. Open /shop</t>
        </is>
      </c>
      <c r="K51" s="24" t="inlineStr">
        <is>
          <t>Everything shown belongs to Customer 2. No shop portal, role or location carried over from owner A. /shop is refused.</t>
        </is>
      </c>
      <c r="L51" s="24" t="inlineStr">
        <is>
          <t>Request 3-Oct: log out / log off coverage</t>
        </is>
      </c>
      <c r="M51" s="24" t="inlineStr">
        <is>
          <t>Pass</t>
        </is>
      </c>
      <c r="N51" s="24" t="inlineStr">
        <is>
          <t>Passed, partly covered. Local Pass (partial) · Staging Not run (rule) · Production Not run
local: not covered: the second person signs in with their own session cookie on the same browser (no emailed code in the signed-in tier)
staging: not run on staging: needs the server's database (local run only)</t>
        </is>
      </c>
      <c r="O51" s="24" t="inlineStr">
        <is>
          <t>D-21</t>
        </is>
      </c>
      <c r="P51" s="24" t="inlineStr">
        <is>
          <t>2026-10-24 18:09</t>
        </is>
      </c>
    </row>
    <row r="52" ht="34.5" customHeight="1" s="13">
      <c r="A52" s="24" t="inlineStr">
        <is>
          <t>TC-AUTH-039</t>
        </is>
      </c>
      <c r="B52" s="24" t="inlineStr">
        <is>
          <t>Login, onboarding &amp; profile</t>
        </is>
      </c>
      <c r="C52" s="24" t="inlineStr">
        <is>
          <t>GS-001, NAV-001</t>
        </is>
      </c>
      <c r="D52" s="24" t="inlineStr">
        <is>
          <t>Log out with unsaved changes on an edit screen</t>
        </is>
      </c>
      <c r="E52" s="24" t="inlineStr">
        <is>
          <t>Positive</t>
        </is>
      </c>
      <c r="F52" s="24" t="inlineStr">
        <is>
          <t>P2</t>
        </is>
      </c>
      <c r="G52" s="24" t="inlineStr">
        <is>
          <t>Shop</t>
        </is>
      </c>
      <c r="H52" s="24" t="inlineStr">
        <is>
          <t>UI</t>
        </is>
      </c>
      <c r="I52" s="24" t="inlineStr">
        <is>
          <t>A price field changed but not saved</t>
        </is>
      </c>
      <c r="J52" s="24" t="inlineStr">
        <is>
          <t>1. Choose Sign out</t>
        </is>
      </c>
      <c r="K52" s="24" t="inlineStr">
        <is>
          <t>A warning is shown before the changes are lost, or the user is signed out with the old value kept. Nothing half-saved.</t>
        </is>
      </c>
      <c r="L52" s="24" t="inlineStr">
        <is>
          <t>Request 3-Oct: log out / log off coverage; TC-UX-005</t>
        </is>
      </c>
      <c r="M52" s="24" t="inlineStr">
        <is>
          <t>Pass</t>
        </is>
      </c>
      <c r="N52" s="24" t="inlineStr">
        <is>
          <t>Local Pass · Staging Not run (rule) · Production Not run
local: edited the price of QA Butter 100 g mvmkyclr without saving, signed out without a warning; price still 5800 paise
staging: not run on staging: needs the server's database (local run only)</t>
        </is>
      </c>
      <c r="O52" s="24" t="n"/>
      <c r="P52" s="24" t="inlineStr">
        <is>
          <t>2026-10-24 18:09</t>
        </is>
      </c>
    </row>
    <row r="53" ht="23.25" customHeight="1" s="13">
      <c r="A53" s="24" t="inlineStr">
        <is>
          <t>TC-AUTH-040</t>
        </is>
      </c>
      <c r="B53" s="24" t="inlineStr">
        <is>
          <t>Login, onboarding &amp; profile</t>
        </is>
      </c>
      <c r="C53" s="24" t="inlineStr">
        <is>
          <t>GS-001, GS-038</t>
        </is>
      </c>
      <c r="D53" s="24" t="inlineStr">
        <is>
          <t>Rider logs out while online</t>
        </is>
      </c>
      <c r="E53" s="24" t="inlineStr">
        <is>
          <t>Positive</t>
        </is>
      </c>
      <c r="F53" s="24" t="inlineStr">
        <is>
          <t>P1</t>
        </is>
      </c>
      <c r="G53" s="24" t="inlineStr">
        <is>
          <t>Rider</t>
        </is>
      </c>
      <c r="H53" s="24" t="inlineStr">
        <is>
          <t>UI</t>
        </is>
      </c>
      <c r="I53" s="24" t="inlineStr">
        <is>
          <t>Rider 1 online with no active job</t>
        </is>
      </c>
      <c r="J53" s="24" t="inlineStr">
        <is>
          <t>1. Sign out
2. Mark an order READY at Shop A
3. Sign in again as the rider</t>
        </is>
      </c>
      <c r="K53" s="24" t="inlineStr">
        <is>
          <t>Record the behaviour and confirm it with the owner: expected is that a logged-out rider is not offered jobs (set offline, or offers lapse). The rider must not be left online and unreachable.</t>
        </is>
      </c>
      <c r="L53" s="24" t="inlineStr">
        <is>
          <t>Request 3-Oct: log out / log off coverage</t>
        </is>
      </c>
      <c r="M53" s="24" t="inlineStr">
        <is>
          <t>Blocked</t>
        </is>
      </c>
      <c r="N53" s="24" t="inlineStr">
        <is>
          <t>Local Blocked · Staging Not run (rule) · Production Not run
local: "QA Butter 100 g mvmkyclr" cannot be added to the cart — HTTP 409: This product is currently unavailable online.
staging: not run on staging: needs the server's database (local run only)</t>
        </is>
      </c>
      <c r="O53" s="24" t="inlineStr">
        <is>
          <t>D-20</t>
        </is>
      </c>
      <c r="P53" s="24" t="inlineStr">
        <is>
          <t>2026-10-24 18:09</t>
        </is>
      </c>
    </row>
    <row r="54" ht="23.25" customHeight="1" s="13">
      <c r="A54" s="24" t="inlineStr">
        <is>
          <t>TC-AUTH-041</t>
        </is>
      </c>
      <c r="B54" s="24" t="inlineStr">
        <is>
          <t>Login, onboarding &amp; profile</t>
        </is>
      </c>
      <c r="C54" s="24" t="inlineStr">
        <is>
          <t>GS-001, GS-003</t>
        </is>
      </c>
      <c r="D54" s="24" t="inlineStr">
        <is>
          <t>Log out while acting in a second role</t>
        </is>
      </c>
      <c r="E54" s="24" t="inlineStr">
        <is>
          <t>Positive</t>
        </is>
      </c>
      <c r="F54" s="24" t="inlineStr">
        <is>
          <t>P2</t>
        </is>
      </c>
      <c r="G54" s="24" t="inlineStr">
        <is>
          <t>Shop</t>
        </is>
      </c>
      <c r="H54" s="24" t="inlineStr">
        <is>
          <t>UI</t>
        </is>
      </c>
      <c r="I54" s="24" t="inlineStr">
        <is>
          <t>Multi-role user switched to the Shop role</t>
        </is>
      </c>
      <c r="J54" s="24" t="inlineStr">
        <is>
          <t>1. Sign out
2. Sign in again</t>
        </is>
      </c>
      <c r="K54" s="24" t="inlineStr">
        <is>
          <t>Sign-in works. Record which role is active on return; it must be a role the user holds.</t>
        </is>
      </c>
      <c r="L54" s="24" t="inlineStr">
        <is>
          <t>Request 3-Oct: log out / log off coverage</t>
        </is>
      </c>
      <c r="M54" s="24" t="inlineStr">
        <is>
          <t>Pass</t>
        </is>
      </c>
      <c r="N54" s="24" t="inlineStr">
        <is>
          <t>Passed, partly covered. Local Pass (partial) · Staging Not run (rule) · Production Not run
local: not covered: signing in again reuses the account's session (no emailed code in the signed-in tier)
staging: not run on staging: needs the server's database (local run only)</t>
        </is>
      </c>
      <c r="O54" s="24" t="n"/>
      <c r="P54" s="24" t="inlineStr">
        <is>
          <t>2026-10-24 18:09</t>
        </is>
      </c>
    </row>
    <row r="55" ht="23.25" customHeight="1" s="13">
      <c r="A55" s="24" t="inlineStr">
        <is>
          <t>TC-AUTH-042</t>
        </is>
      </c>
      <c r="B55" s="24" t="inlineStr">
        <is>
          <t>Login, onboarding &amp; profile</t>
        </is>
      </c>
      <c r="C55" s="24" t="inlineStr">
        <is>
          <t>GS-001, GS-071</t>
        </is>
      </c>
      <c r="D55" s="24" t="inlineStr">
        <is>
          <t>Log out cannot be triggered by another site</t>
        </is>
      </c>
      <c r="E55" s="24" t="inlineStr">
        <is>
          <t>Security</t>
        </is>
      </c>
      <c r="F55" s="24" t="inlineStr">
        <is>
          <t>P1</t>
        </is>
      </c>
      <c r="G55" s="24" t="inlineStr">
        <is>
          <t>Customer</t>
        </is>
      </c>
      <c r="H55" s="24" t="inlineStr">
        <is>
          <t>API</t>
        </is>
      </c>
      <c r="I55" s="24" t="inlineStr">
        <is>
          <t>Signed in</t>
        </is>
      </c>
      <c r="J55" s="24" t="inlineStr">
        <is>
          <t>1. From a different origin send a plain GET and a POST without the CSRF token to the sign-out address</t>
        </is>
      </c>
      <c r="K55" s="24" t="inlineStr">
        <is>
          <t>The user stays signed in. Only the real Sign out action ends the session.</t>
        </is>
      </c>
      <c r="L55" s="24" t="inlineStr">
        <is>
          <t>Request 3-Oct: log out / log off coverage</t>
        </is>
      </c>
      <c r="M55" s="24" t="inlineStr">
        <is>
          <t>Pass</t>
        </is>
      </c>
      <c r="N55" s="24" t="inlineStr">
        <is>
          <t>Passed, partly covered. Local Pass (partial) · Staging Not run (rule) · Production Not run
local: not covered: Next.js server actions (the menu's Sign out) are protected by Next's own origin check, not probed here
staging: not run on staging: needs the server's database (local run only)</t>
        </is>
      </c>
      <c r="O55" s="24" t="n"/>
      <c r="P55" s="24" t="inlineStr">
        <is>
          <t>2026-10-24 18:09</t>
        </is>
      </c>
    </row>
    <row r="56" ht="34.5" customHeight="1" s="13">
      <c r="A56" s="24" t="inlineStr">
        <is>
          <t>TC-AUTH-043</t>
        </is>
      </c>
      <c r="B56" s="24" t="inlineStr">
        <is>
          <t>Login, onboarding &amp; profile</t>
        </is>
      </c>
      <c r="C56" s="24" t="inlineStr">
        <is>
          <t>GS-001, NAV-001</t>
        </is>
      </c>
      <c r="D56" s="24" t="inlineStr">
        <is>
          <t>Log out is reachable on a phone screen</t>
        </is>
      </c>
      <c r="E56" s="24" t="inlineStr">
        <is>
          <t>Positive</t>
        </is>
      </c>
      <c r="F56" s="24" t="inlineStr">
        <is>
          <t>P1</t>
        </is>
      </c>
      <c r="G56" s="24" t="inlineStr">
        <is>
          <t>Customer</t>
        </is>
      </c>
      <c r="H56" s="24" t="inlineStr">
        <is>
          <t>UI</t>
        </is>
      </c>
      <c r="I56" s="24" t="inlineStr">
        <is>
          <t>Mobile viewport (360 px wide)</t>
        </is>
      </c>
      <c r="J56" s="24" t="inlineStr">
        <is>
          <t>1. Open the menu
2. Choose Sign out</t>
        </is>
      </c>
      <c r="K56" s="24" t="inlineStr">
        <is>
          <t>Sign out is visible without horizontal scrolling and works.</t>
        </is>
      </c>
      <c r="L56" s="24" t="inlineStr">
        <is>
          <t>Request 3-Oct: log out / log off coverage</t>
        </is>
      </c>
      <c r="M56" s="24" t="inlineStr">
        <is>
          <t>Pass</t>
        </is>
      </c>
      <c r="N56" s="24" t="inlineStr">
        <is>
          <t>Local Pass · Staging Not run (rule) · Production Not run
local: 360 px: menu → Sign out at x=12–298 px, no sideways scroll, signed out ‖ [phone] 360 px: menu → Sign out at x=12–298 px, no sideways scroll, signed out
staging: not run on staging: needs the server's database (local run only)</t>
        </is>
      </c>
      <c r="O56" s="24" t="n"/>
      <c r="P56" s="24" t="inlineStr">
        <is>
          <t>2026-10-24 20:58</t>
        </is>
      </c>
    </row>
    <row r="57" ht="34.5" customHeight="1" s="13">
      <c r="A57" s="24" t="inlineStr">
        <is>
          <t>TC-AUTH-044</t>
        </is>
      </c>
      <c r="B57" s="24" t="inlineStr">
        <is>
          <t>Login, onboarding &amp; profile</t>
        </is>
      </c>
      <c r="C57" s="24" t="inlineStr">
        <is>
          <t>GS-001</t>
        </is>
      </c>
      <c r="D57" s="24" t="inlineStr">
        <is>
          <t>Automatic log off after the session lifetime</t>
        </is>
      </c>
      <c r="E57" s="24" t="inlineStr">
        <is>
          <t>Boundary</t>
        </is>
      </c>
      <c r="F57" s="24" t="inlineStr">
        <is>
          <t>P1</t>
        </is>
      </c>
      <c r="G57" s="24" t="inlineStr">
        <is>
          <t>Customer</t>
        </is>
      </c>
      <c r="H57" s="24" t="inlineStr">
        <is>
          <t>UI</t>
        </is>
      </c>
      <c r="I57" s="24" t="inlineStr">
        <is>
          <t>Signed in; session lifetime known or shortened on test</t>
        </is>
      </c>
      <c r="J57" s="24" t="inlineStr">
        <is>
          <t>1. Leave the browser idle past the session lifetime
2. Click a link
3. Sign in again</t>
        </is>
      </c>
      <c r="K57" s="24" t="inlineStr">
        <is>
          <t>Record the lifetime. After it passes the user is sent to sign in, then returned to the page asked for. No error page.</t>
        </is>
      </c>
      <c r="L57" s="24" t="inlineStr">
        <is>
          <t>Request 3-Oct: log out / log off coverage</t>
        </is>
      </c>
      <c r="M57" s="24" t="inlineStr">
        <is>
          <t>Fail</t>
        </is>
      </c>
      <c r="N57" s="24" t="inlineStr">
        <is>
          <t>Local Fail · Staging Not run (rule) · Production Not run
local: signed in again; the sign-in page was /signin and after the code it went to /, not back to /wallet | expect(received).toBe(expected) // Object.is equality | Expected: "/wallet" | Received: "/"
staging: not run on staging: needs the server's database (local run only)</t>
        </is>
      </c>
      <c r="O57" s="24" t="inlineStr">
        <is>
          <t>D-23</t>
        </is>
      </c>
      <c r="P57" s="24" t="inlineStr">
        <is>
          <t>2026-10-24 17:05</t>
        </is>
      </c>
    </row>
    <row r="58" ht="23.25" customHeight="1" s="13">
      <c r="A58" s="24" t="inlineStr">
        <is>
          <t>TC-AUTH-045</t>
        </is>
      </c>
      <c r="B58" s="24" t="inlineStr">
        <is>
          <t>Login, onboarding &amp; profile</t>
        </is>
      </c>
      <c r="C58" s="24" t="inlineStr">
        <is>
          <t>GS-001, GS-067</t>
        </is>
      </c>
      <c r="D58" s="24" t="inlineStr">
        <is>
          <t>Log out and log in are recorded; repeated log out is harmless</t>
        </is>
      </c>
      <c r="E58" s="24" t="inlineStr">
        <is>
          <t>Positive</t>
        </is>
      </c>
      <c r="F58" s="24" t="inlineStr">
        <is>
          <t>P2</t>
        </is>
      </c>
      <c r="G58" s="24" t="inlineStr">
        <is>
          <t>Admin</t>
        </is>
      </c>
      <c r="H58" s="24" t="inlineStr">
        <is>
          <t>UI</t>
        </is>
      </c>
      <c r="I58" s="24" t="n"/>
      <c r="J58" s="24" t="inlineStr">
        <is>
          <t>1. A customer signs out and in again
2. Double-click Sign out; open the sign-out address when already signed out
3. Admin opens the sign-in activity / audit view</t>
        </is>
      </c>
      <c r="K58" s="24" t="inlineStr">
        <is>
          <t>Sign-in and sign-out events appear with time and user. Repeated or duplicate sign-out shows the home page, never an error.</t>
        </is>
      </c>
      <c r="L58" s="24" t="inlineStr">
        <is>
          <t>Request 3-Oct: log out / log off coverage</t>
        </is>
      </c>
      <c r="M58" s="24" t="inlineStr">
        <is>
          <t>Pass</t>
        </is>
      </c>
      <c r="N58" s="24" t="inlineStr">
        <is>
          <t>Passed, partly covered. Local Pass (partial) · Staging Not run (rule) · Production Not run
local: not covered: the sign-out address shows the Auth.js 'Sign out' confirmation page, not the home page; the recorded events are the next check ‖ not covered: read from the audit table the admin's audit view lists (/admin/console/audit-log)
staging: not run on staging: needs the server's database (local run only)</t>
        </is>
      </c>
      <c r="O58" s="24" t="inlineStr">
        <is>
          <t>D-22</t>
        </is>
      </c>
      <c r="P58" s="24" t="inlineStr">
        <is>
          <t>2026-10-24 17:05</t>
        </is>
      </c>
    </row>
    <row r="59" ht="34.5" customHeight="1" s="13">
      <c r="A59" s="24" t="inlineStr">
        <is>
          <t>TC-AUTH-046</t>
        </is>
      </c>
      <c r="B59" s="24" t="inlineStr">
        <is>
          <t>Login, onboarding &amp; profile</t>
        </is>
      </c>
      <c r="C59" s="24" t="inlineStr">
        <is>
          <t>GS-001</t>
        </is>
      </c>
      <c r="D59" s="24" t="inlineStr">
        <is>
          <t>New mobile sign-up receives the code by SMS</t>
        </is>
      </c>
      <c r="E59" s="24" t="inlineStr">
        <is>
          <t>Positive</t>
        </is>
      </c>
      <c r="F59" s="24" t="inlineStr">
        <is>
          <t>P0</t>
        </is>
      </c>
      <c r="G59" s="24" t="inlineStr">
        <is>
          <t>Guest</t>
        </is>
      </c>
      <c r="H59" s="24" t="inlineStr">
        <is>
          <t>UI</t>
        </is>
      </c>
      <c r="I59" s="24" t="inlineStr">
        <is>
          <t>Unused Indian mobile that can receive SMS</t>
        </is>
      </c>
      <c r="J59" s="24" t="inlineStr">
        <is>
          <t>1. Enter the mobile on /signin
2. Choose SMS
3. Enter the code from the SMS</t>
        </is>
      </c>
      <c r="K59" s="24" t="inlineStr">
        <is>
          <t>SMS arrives within a minute with the code. Sign-in succeeds, onboarding opens and the mobile is marked verified.</t>
        </is>
      </c>
      <c r="L59" s="24" t="inlineStr">
        <is>
          <t>Open features 3-Oct, treated as completed 4-Oct</t>
        </is>
      </c>
      <c r="M59" s="24" t="inlineStr">
        <is>
          <t>Blocked</t>
        </is>
      </c>
      <c r="N59" s="24" t="inlineStr">
        <is>
          <t>Manual (not automatable): Local Manual · Staging Not run (rule) · Production Not run
local: not automated: needs an SMS vendor in test mode and a real handset: SMS codes are a Phase 2 stub on this build (src/server/otp/providers.ts SmsOtpProvider; docs/decision-log.md D-A02, D-F08) and new mobiles sign up through email
staging: not run on staging: needs the server's database (local run only)</t>
        </is>
      </c>
      <c r="O59" s="24" t="n"/>
      <c r="P59" s="24" t="inlineStr">
        <is>
          <t>2026-10-24 17:05</t>
        </is>
      </c>
    </row>
    <row r="60" ht="45.75" customHeight="1" s="13">
      <c r="A60" s="24" t="inlineStr">
        <is>
          <t>TC-AUTH-047</t>
        </is>
      </c>
      <c r="B60" s="24" t="inlineStr">
        <is>
          <t>Login, onboarding &amp; profile</t>
        </is>
      </c>
      <c r="C60" s="24" t="inlineStr">
        <is>
          <t>GS-001</t>
        </is>
      </c>
      <c r="D60" s="24" t="inlineStr">
        <is>
          <t>Returning user chooses SMS or email for the code</t>
        </is>
      </c>
      <c r="E60" s="24" t="inlineStr">
        <is>
          <t>Positive</t>
        </is>
      </c>
      <c r="F60" s="24" t="inlineStr">
        <is>
          <t>P0</t>
        </is>
      </c>
      <c r="G60" s="24" t="inlineStr">
        <is>
          <t>Guest</t>
        </is>
      </c>
      <c r="H60" s="24" t="inlineStr">
        <is>
          <t>UI</t>
        </is>
      </c>
      <c r="I60" s="24" t="inlineStr">
        <is>
          <t>Account with mobile and email</t>
        </is>
      </c>
      <c r="J60" s="24" t="inlineStr">
        <is>
          <t>1. Enter the mobile
2. Choose SMS and sign in
3. Sign out and repeat choosing email</t>
        </is>
      </c>
      <c r="K60" s="24" t="inlineStr">
        <is>
          <t>Both channels are selectable and work. The destination is shown masked.</t>
        </is>
      </c>
      <c r="L60" s="24" t="inlineStr">
        <is>
          <t>Open features 3-Oct, treated as completed 4-Oct</t>
        </is>
      </c>
      <c r="M60" s="24" t="inlineStr">
        <is>
          <t>Pass</t>
        </is>
      </c>
      <c r="N60" s="24" t="inlineStr">
        <is>
          <t>Passed, partly covered. Local Pass (partial) · Staging Not run (rule) · Production Not run
local: not covered: SMS codes are a Phase 2 stub with no vendor (src/server/otp/providers.ts; docs/decision-log.md D-A02, D-F08), so no SMS option is offered and the SMS half needs a vendor and a handset
staging: not run on staging: needs the server's database (local run only)</t>
        </is>
      </c>
      <c r="O60" s="24" t="n"/>
      <c r="P60" s="24" t="inlineStr">
        <is>
          <t>2026-10-24 17:05</t>
        </is>
      </c>
    </row>
    <row r="61" ht="34.5" customHeight="1" s="13">
      <c r="A61" s="24" t="inlineStr">
        <is>
          <t>TC-AUTH-048</t>
        </is>
      </c>
      <c r="B61" s="24" t="inlineStr">
        <is>
          <t>Login, onboarding &amp; profile</t>
        </is>
      </c>
      <c r="C61" s="24" t="inlineStr">
        <is>
          <t>GS-001</t>
        </is>
      </c>
      <c r="D61" s="24" t="inlineStr">
        <is>
          <t>Wrong, expired and superseded SMS codes</t>
        </is>
      </c>
      <c r="E61" s="24" t="inlineStr">
        <is>
          <t>Negative</t>
        </is>
      </c>
      <c r="F61" s="24" t="inlineStr">
        <is>
          <t>P0</t>
        </is>
      </c>
      <c r="G61" s="24" t="inlineStr">
        <is>
          <t>Guest</t>
        </is>
      </c>
      <c r="H61" s="24" t="inlineStr">
        <is>
          <t>UI</t>
        </is>
      </c>
      <c r="I61" s="24" t="n"/>
      <c r="J61" s="24" t="inlineStr">
        <is>
          <t>1. Enter a wrong code 5 times
2. Request a new code and wait past its validity
3. Request two codes and enter the first</t>
        </is>
      </c>
      <c r="K61" s="24" t="inlineStr">
        <is>
          <t>Five wrong attempts lock the code. Expired and older codes are refused. Limits are the same as for email codes (/admin/settings).</t>
        </is>
      </c>
      <c r="L61" s="24" t="inlineStr">
        <is>
          <t>Open features 3-Oct, treated as completed 4-Oct</t>
        </is>
      </c>
      <c r="M61" s="24" t="inlineStr">
        <is>
          <t>Blocked</t>
        </is>
      </c>
      <c r="N61" s="24" t="inlineStr">
        <is>
          <t>Manual (not automatable): Local Manual · Staging Not run (rule) · Production Not run
local: not automated: needs an SMS vendor and a handset to read SMS codes; the same rules for emailed codes are TC-AUTH-012/013/014/029
staging: not run on staging: needs the server's database (local run only)</t>
        </is>
      </c>
      <c r="O61" s="24" t="n"/>
      <c r="P61" s="24" t="inlineStr">
        <is>
          <t>2026-10-24 17:05</t>
        </is>
      </c>
    </row>
    <row r="62" ht="23.25" customHeight="1" s="13">
      <c r="A62" s="24" t="inlineStr">
        <is>
          <t>TC-AUTH-049</t>
        </is>
      </c>
      <c r="B62" s="24" t="inlineStr">
        <is>
          <t>Login, onboarding &amp; profile</t>
        </is>
      </c>
      <c r="C62" s="24" t="inlineStr">
        <is>
          <t>GS-001</t>
        </is>
      </c>
      <c r="D62" s="24" t="inlineStr">
        <is>
          <t>SMS resend cooldown and hourly limit</t>
        </is>
      </c>
      <c r="E62" s="24" t="inlineStr">
        <is>
          <t>Boundary</t>
        </is>
      </c>
      <c r="F62" s="24" t="inlineStr">
        <is>
          <t>P1</t>
        </is>
      </c>
      <c r="G62" s="24" t="inlineStr">
        <is>
          <t>Guest</t>
        </is>
      </c>
      <c r="H62" s="24" t="inlineStr">
        <is>
          <t>UI+API</t>
        </is>
      </c>
      <c r="I62" s="24" t="n"/>
      <c r="J62" s="24" t="inlineStr">
        <is>
          <t>1. Tap Resend before the cooldown ends
2. Request codes until the hourly limit is passed</t>
        </is>
      </c>
      <c r="K62" s="24" t="inlineStr">
        <is>
          <t>Resend is disabled during the cooldown. Requests past the hourly limit are refused and no SMS is sent (no SMS cost run-up).</t>
        </is>
      </c>
      <c r="L62" s="24" t="inlineStr">
        <is>
          <t>Open features 3-Oct, treated as completed 4-Oct</t>
        </is>
      </c>
      <c r="M62" s="24" t="inlineStr">
        <is>
          <t>Blocked</t>
        </is>
      </c>
      <c r="N62" s="24" t="inlineStr">
        <is>
          <t>Manual (not automatable): Local Manual · Staging Not run (rule) · Production Not run
local: not automated: needs an SMS vendor and a handset (no SMS cost can be observed without one); the same limits for emailed codes are TC-AUTH-016/017
staging: not run on staging: needs the server's database (local run only)</t>
        </is>
      </c>
      <c r="O62" s="24" t="n"/>
      <c r="P62" s="24" t="inlineStr">
        <is>
          <t>2026-10-24 17:05</t>
        </is>
      </c>
    </row>
    <row r="63" ht="34.5" customHeight="1" s="13">
      <c r="A63" s="24" t="inlineStr">
        <is>
          <t>TC-AUTH-050</t>
        </is>
      </c>
      <c r="B63" s="24" t="inlineStr">
        <is>
          <t>Login, onboarding &amp; profile</t>
        </is>
      </c>
      <c r="C63" s="24" t="inlineStr">
        <is>
          <t>GS-001</t>
        </is>
      </c>
      <c r="D63" s="24" t="inlineStr">
        <is>
          <t>No SMS to invalid numbers and no account enumeration</t>
        </is>
      </c>
      <c r="E63" s="24" t="inlineStr">
        <is>
          <t>Security</t>
        </is>
      </c>
      <c r="F63" s="24" t="inlineStr">
        <is>
          <t>P0</t>
        </is>
      </c>
      <c r="G63" s="24" t="inlineStr">
        <is>
          <t>Guest</t>
        </is>
      </c>
      <c r="H63" s="24" t="inlineStr">
        <is>
          <t>UI+API</t>
        </is>
      </c>
      <c r="I63" s="24" t="n"/>
      <c r="J63" s="24" t="inlineStr">
        <is>
          <t>1. Enter 5876543210, a 9-digit number and a non-Indian number
2. Enter a valid number with no account and one with an account; compare responses</t>
        </is>
      </c>
      <c r="K63" s="24" t="inlineStr">
        <is>
          <t>No SMS is sent for invalid numbers. The responses for registered and unregistered numbers do not reveal which exists.</t>
        </is>
      </c>
      <c r="L63" s="24" t="inlineStr">
        <is>
          <t>Open features 3-Oct, treated as completed 4-Oct</t>
        </is>
      </c>
      <c r="M63" s="24" t="inlineStr">
        <is>
          <t>Pass</t>
        </is>
      </c>
      <c r="N63" s="24" t="inlineStr">
        <is>
          <t>Passed, partly covered. Local Pass (partial) · Staging Not run (rule) · Production Not run
local: not covered: SMS itself is not sent by this build (SMS codes are a Phase 2 stub — src/server/otp/providers.ts, docs/decision-log.md D-A02/D-F08); a handset is needed to prove no SMS goes out
staging: not run on staging: needs the server's database (local run only)</t>
        </is>
      </c>
      <c r="O63" s="24" t="n"/>
      <c r="P63" s="24" t="inlineStr">
        <is>
          <t>2026-10-24 17:05</t>
        </is>
      </c>
    </row>
    <row r="64" ht="45.75" customHeight="1" s="13">
      <c r="A64" s="24" t="inlineStr">
        <is>
          <t>TC-AUTH-051</t>
        </is>
      </c>
      <c r="B64" s="24" t="inlineStr">
        <is>
          <t>Login, onboarding &amp; profile</t>
        </is>
      </c>
      <c r="C64" s="24" t="inlineStr">
        <is>
          <t>GS-001, GS-074</t>
        </is>
      </c>
      <c r="D64" s="24" t="inlineStr">
        <is>
          <t>SMS provider failure during sign-in</t>
        </is>
      </c>
      <c r="E64" s="24" t="inlineStr">
        <is>
          <t>Negative</t>
        </is>
      </c>
      <c r="F64" s="24" t="inlineStr">
        <is>
          <t>P1</t>
        </is>
      </c>
      <c r="G64" s="24" t="inlineStr">
        <is>
          <t>Guest</t>
        </is>
      </c>
      <c r="H64" s="24" t="inlineStr">
        <is>
          <t>UI</t>
        </is>
      </c>
      <c r="I64" s="24" t="inlineStr">
        <is>
          <t>SMS provider switched off or failing on test</t>
        </is>
      </c>
      <c r="J64" s="24" t="inlineStr">
        <is>
          <t>1. Request a code by SMS</t>
        </is>
      </c>
      <c r="K64" s="24" t="inlineStr">
        <is>
          <t>The user is told the SMS could not be sent and is offered email. The failure is recorded; nothing claims an SMS was sent.</t>
        </is>
      </c>
      <c r="L64" s="24" t="inlineStr">
        <is>
          <t>Open features 3-Oct, treated as completed 4-Oct</t>
        </is>
      </c>
      <c r="M64" s="24" t="inlineStr">
        <is>
          <t>Pass</t>
        </is>
      </c>
      <c r="N64" s="24" t="inlineStr">
        <is>
          <t>Passed, partly covered. Local Pass (partial) · Staging Not run (rule) · Production Not run
local: not covered: telling the person that the SMS failed is not done: a mobile request always gets the same reply so it cannot reveal which numbers have accounts (expected result superseded by src/server/otp/service.ts requestLoginOtp and docs/login-profile/DEPLOY_AND_TEST.md); the generic text still mentions SMS as a possible channel
staging: not run on staging: needs the server's database (local run only)</t>
        </is>
      </c>
      <c r="O64" s="24" t="n"/>
      <c r="P64" s="24" t="inlineStr">
        <is>
          <t>2026-10-24 17:05</t>
        </is>
      </c>
    </row>
    <row r="65" ht="23.25" customHeight="1" s="13">
      <c r="A65" s="24" t="inlineStr">
        <is>
          <t>TC-AUTH-052</t>
        </is>
      </c>
      <c r="B65" s="24" t="inlineStr">
        <is>
          <t>Login, onboarding &amp; profile</t>
        </is>
      </c>
      <c r="C65" s="24" t="inlineStr">
        <is>
          <t>GS-001, GS-071</t>
        </is>
      </c>
      <c r="D65" s="24" t="inlineStr">
        <is>
          <t>SMS content and code secrecy</t>
        </is>
      </c>
      <c r="E65" s="24" t="inlineStr">
        <is>
          <t>Security</t>
        </is>
      </c>
      <c r="F65" s="24" t="inlineStr">
        <is>
          <t>P1</t>
        </is>
      </c>
      <c r="G65" s="24" t="inlineStr">
        <is>
          <t>Admin</t>
        </is>
      </c>
      <c r="H65" s="24" t="inlineStr">
        <is>
          <t>UI+DB</t>
        </is>
      </c>
      <c r="I65" s="24" t="n"/>
      <c r="J65" s="24" t="inlineStr">
        <is>
          <t>1. Read the SMS text and sender
2. Check the audit log and stored records for the code</t>
        </is>
      </c>
      <c r="K65" s="24" t="inlineStr">
        <is>
          <t>SMS uses the registered sender and template and carries only the code and validity. The code is never visible in the audit log, API responses or stored in plain text.</t>
        </is>
      </c>
      <c r="L65" s="24" t="inlineStr">
        <is>
          <t>Open features 3-Oct, treated as completed 4-Oct</t>
        </is>
      </c>
      <c r="M65" s="24" t="inlineStr">
        <is>
          <t>Pass</t>
        </is>
      </c>
      <c r="N65" s="24" t="inlineStr">
        <is>
          <t>Passed, partly covered. Local Pass (partial) · Staging Not run (rule) · Production Not run
local: not covered: the admin audit page lists the latest 100 events and has no search box; SMS text, sender and template need an SMS vendor (Phase 2 — TC-AUTH-052's SMS half)
staging: not run on staging: needs the server's database (local run only)</t>
        </is>
      </c>
      <c r="O65" s="24" t="n"/>
      <c r="P65" s="24" t="inlineStr">
        <is>
          <t>2026-10-24 17:05</t>
        </is>
      </c>
    </row>
    <row r="66" ht="34.5" customHeight="1" s="13">
      <c r="A66" s="24" t="inlineStr">
        <is>
          <t>TC-AUTH-053</t>
        </is>
      </c>
      <c r="B66" s="24" t="inlineStr">
        <is>
          <t>Login, onboarding &amp; profile</t>
        </is>
      </c>
      <c r="C66" s="24" t="inlineStr">
        <is>
          <t>GS-001</t>
        </is>
      </c>
      <c r="D66" s="24" t="inlineStr">
        <is>
          <t>Mobile change is proven by an SMS code to the new number</t>
        </is>
      </c>
      <c r="E66" s="24" t="inlineStr">
        <is>
          <t>Positive</t>
        </is>
      </c>
      <c r="F66" s="24" t="inlineStr">
        <is>
          <t>P0</t>
        </is>
      </c>
      <c r="G66" s="24" t="inlineStr">
        <is>
          <t>Customer</t>
        </is>
      </c>
      <c r="H66" s="24" t="inlineStr">
        <is>
          <t>UI</t>
        </is>
      </c>
      <c r="I66" s="24" t="n"/>
      <c r="J66" s="24" t="inlineStr">
        <is>
          <t>1. On My Profile enter a new mobile
2. Enter a wrong code, then the right one</t>
        </is>
      </c>
      <c r="K66" s="24" t="inlineStr">
        <is>
          <t>Code goes to the NEW number. Wrong code: mobile unchanged. Right code: mobile updated and marked verified.</t>
        </is>
      </c>
      <c r="L66" s="24" t="inlineStr">
        <is>
          <t>Open features 3-Oct, treated as completed 4-Oct</t>
        </is>
      </c>
      <c r="M66" s="24" t="inlineStr">
        <is>
          <t>Blocked</t>
        </is>
      </c>
      <c r="N66" s="24" t="inlineStr">
        <is>
          <t>Manual (not automatable): Local Manual · Staging Not run (rule) · Production Not run
local: not automated: needs an SMS vendor and a handset; on this build a profile mobile is saved unverified by design (docs/login-profile/DEPLOY_AND_TEST.md: 'Numbers are not SMS-verified'; src/server/otp/service.ts linkPhone) and an admin can release a wrongly claimed number (TC-AUTH-022)
staging: not run on staging: needs the server's database (local run only)</t>
        </is>
      </c>
      <c r="O66" s="24" t="n"/>
      <c r="P66" s="24" t="inlineStr">
        <is>
          <t>2026-10-24 17:05</t>
        </is>
      </c>
    </row>
    <row r="67" ht="45.75" customHeight="1" s="13">
      <c r="A67" s="24" t="inlineStr">
        <is>
          <t>TC-AUTH-054</t>
        </is>
      </c>
      <c r="B67" s="24" t="inlineStr">
        <is>
          <t>Login, onboarding &amp; profile</t>
        </is>
      </c>
      <c r="C67" s="24" t="inlineStr">
        <is>
          <t>GS-001</t>
        </is>
      </c>
      <c r="D67" s="24" t="inlineStr">
        <is>
          <t>A mobile cannot be taken over without its SMS code</t>
        </is>
      </c>
      <c r="E67" s="24" t="inlineStr">
        <is>
          <t>Security</t>
        </is>
      </c>
      <c r="F67" s="24" t="inlineStr">
        <is>
          <t>P0</t>
        </is>
      </c>
      <c r="G67" s="24" t="inlineStr">
        <is>
          <t>Customer</t>
        </is>
      </c>
      <c r="H67" s="24" t="inlineStr">
        <is>
          <t>UI+API</t>
        </is>
      </c>
      <c r="I67" s="24" t="inlineStr">
        <is>
          <t>Mobile X belongs to another account</t>
        </is>
      </c>
      <c r="J67" s="24" t="inlineStr">
        <is>
          <t>1. Try to add mobile X to this account
2. Send the change through the API without a code</t>
        </is>
      </c>
      <c r="K67" s="24" t="inlineStr">
        <is>
          <t>Refused both ways. The other account is unaffected.</t>
        </is>
      </c>
      <c r="L67" s="24" t="inlineStr">
        <is>
          <t>Open features 3-Oct, treated as completed 4-Oct</t>
        </is>
      </c>
      <c r="M67" s="24" t="inlineStr">
        <is>
          <t>Pass</t>
        </is>
      </c>
      <c r="N67" s="24" t="inlineStr">
        <is>
          <t>Passed, partly covered. Local Pass (partial) · Staging Blocked · Production Not run
local: not covered: the onboarding-form half (first-time details) is in tests/qa/local/auth-profile.spec.ts; TC-AUTH-054: a free number is saved without an SMS code by design (numbers are not SMS-verified — docs/login-profile/DEPLOY_AND_TEST.md), so only a number already linked elsewhere is protected
staging: customer 2 must have no mobile for the popup half</t>
        </is>
      </c>
      <c r="O67" s="24" t="n"/>
      <c r="P67" s="24" t="inlineStr">
        <is>
          <t>2026-10-24 18:06</t>
        </is>
      </c>
    </row>
    <row r="68" ht="34.5" customHeight="1" s="13">
      <c r="A68" s="24" t="inlineStr">
        <is>
          <t>TC-RBAC-001</t>
        </is>
      </c>
      <c r="B68" s="24" t="inlineStr">
        <is>
          <t>Roles &amp; access control</t>
        </is>
      </c>
      <c r="C68" s="24" t="inlineStr">
        <is>
          <t>GS-002, RBAC-001</t>
        </is>
      </c>
      <c r="D68" s="24" t="inlineStr">
        <is>
          <t>Guest can browse and search without signing in</t>
        </is>
      </c>
      <c r="E68" s="24" t="inlineStr">
        <is>
          <t>Positive</t>
        </is>
      </c>
      <c r="F68" s="24" t="inlineStr">
        <is>
          <t>P0</t>
        </is>
      </c>
      <c r="G68" s="24" t="inlineStr">
        <is>
          <t>Guest</t>
        </is>
      </c>
      <c r="H68" s="24" t="inlineStr">
        <is>
          <t>UI</t>
        </is>
      </c>
      <c r="I68" s="24" t="n"/>
      <c r="J68" s="24" t="inlineStr">
        <is>
          <t>1. Open /, /shops, /search, a shop page and a product comparison page</t>
        </is>
      </c>
      <c r="K68" s="24" t="inlineStr">
        <is>
          <t>All readable. Add to cart / subscribe prompts sign-in.</t>
        </is>
      </c>
      <c r="L68" s="24" t="inlineStr">
        <is>
          <t>RBAC Matrix: Browse/search</t>
        </is>
      </c>
      <c r="M68" s="24" t="inlineStr">
        <is>
          <t>Pass</t>
        </is>
      </c>
      <c r="N68" s="24" t="inlineStr">
        <is>
          <t>Passed, partly covered. Local Pass (partial) · Staging Pass (partial) · Production Pass (partial)
local: not covered: 'Add to cart / subscribe prompts sign-in' is checked in TC-RBAC-001 add-to-cart below ‖ not covered: browse/search and Add to cart are tests/qa/guest/storefront.spec.ts
staging: not covered: 'Add to cart / subscribe prompts sign-in' is checked in TC-RBAC-001 add-to-cart below
production: not covered: 'Add to cart / subscribe prompts sign-in' is checked in TC-RBAC-001 add-to-cart below</t>
        </is>
      </c>
      <c r="O68" s="24" t="n"/>
      <c r="P68" s="24" t="inlineStr">
        <is>
          <t>2026-10-29 14:00</t>
        </is>
      </c>
    </row>
    <row r="69" ht="15" customHeight="1" s="13">
      <c r="A69" s="24" t="inlineStr">
        <is>
          <t>TC-RBAC-002</t>
        </is>
      </c>
      <c r="B69" s="24" t="inlineStr">
        <is>
          <t>Roles &amp; access control</t>
        </is>
      </c>
      <c r="C69" s="24" t="inlineStr">
        <is>
          <t>GS-002, GS-071</t>
        </is>
      </c>
      <c r="D69" s="24" t="inlineStr">
        <is>
          <t>Guest is blocked from every signed-in area</t>
        </is>
      </c>
      <c r="E69" s="24" t="inlineStr">
        <is>
          <t>Security</t>
        </is>
      </c>
      <c r="F69" s="24" t="inlineStr">
        <is>
          <t>P0</t>
        </is>
      </c>
      <c r="G69" s="24" t="inlineStr">
        <is>
          <t>Guest</t>
        </is>
      </c>
      <c r="H69" s="24" t="inlineStr">
        <is>
          <t>UI+API</t>
        </is>
      </c>
      <c r="I69" s="24" t="n"/>
      <c r="J69" s="24" t="inlineStr">
        <is>
          <t>1. Open /wallet, /orders, /cart, /profile, /subscriptions, /shop, /delivery-partner, /society, /admin, /operator
2. GET /api/wallet, /api/orders, /api/cart, /api/notifications</t>
        </is>
      </c>
      <c r="K69" s="24" t="inlineStr">
        <is>
          <t>Pages redirect to sign-in. APIs return 401.</t>
        </is>
      </c>
      <c r="L69" s="24" t="inlineStr">
        <is>
          <t>e2e acceptance; QA section 13</t>
        </is>
      </c>
      <c r="M69" s="24" t="inlineStr">
        <is>
          <t>Fail</t>
        </is>
      </c>
      <c r="N69" s="24" t="inlineStr">
        <is>
          <t>Local Pass (partial) · Staging Pass · Production Fail
local: not covered: the no-cookie sweep of every page and write API is tests/qa/guest/access.spec.ts; known D-01 routes answer 404/422 there
staging: 194 signed-in pages and account APIs not closed to a guest: all refused ‖ 368 session-protected write endpoints not refusing a guest: all refused
production: 7 of 194 signed-in pages and account APIs not closed to a guest: | /admin/dealers → 404 | /admin/dealers/analytics → 404 | /admin/dealers/claims → 404 ‖ 25 of 368 session-protected write endpoints not refusing a guest: | POST /api/admin/dealer-analytics → 404 NOT_FOUND | POST /api/admin/dealer-commission → 404 NOT_FOUND | POST /api/admin/dealer-disputes/[id] → 404 NOT_FOUND</t>
        </is>
      </c>
      <c r="O69" s="24" t="inlineStr">
        <is>
          <t>D-01, E-12</t>
        </is>
      </c>
      <c r="P69" s="24" t="inlineStr">
        <is>
          <t>2026-10-29 14:06</t>
        </is>
      </c>
    </row>
    <row r="70" ht="23.25" customHeight="1" s="13">
      <c r="A70" s="24" t="inlineStr">
        <is>
          <t>TC-RBAC-003</t>
        </is>
      </c>
      <c r="B70" s="24" t="inlineStr">
        <is>
          <t>Roles &amp; access control</t>
        </is>
      </c>
      <c r="C70" s="24" t="inlineStr">
        <is>
          <t>GS-002</t>
        </is>
      </c>
      <c r="D70" s="24" t="inlineStr">
        <is>
          <t>Customer cannot reach shop, rider, society, operator or admin portals</t>
        </is>
      </c>
      <c r="E70" s="24" t="inlineStr">
        <is>
          <t>Security</t>
        </is>
      </c>
      <c r="F70" s="24" t="inlineStr">
        <is>
          <t>P0</t>
        </is>
      </c>
      <c r="G70" s="24" t="inlineStr">
        <is>
          <t>Customer</t>
        </is>
      </c>
      <c r="H70" s="24" t="inlineStr">
        <is>
          <t>UI+API</t>
        </is>
      </c>
      <c r="I70" s="24" t="n"/>
      <c r="J70" s="24" t="inlineStr">
        <is>
          <t>1. Open /admin and every /admin/* page from the preflight list, /operator, /shop/orders, /shop/finance, /shop/marketing, /shop/analytics, /delivery-partner, /gig/orders, /society/{id}
2. Call one write API from each area</t>
        </is>
      </c>
      <c r="K70" s="24" t="inlineStr">
        <is>
          <t>Each page redirects away (home or the apply/register page). APIs return 403 FORBIDDEN.</t>
        </is>
      </c>
      <c r="L70" s="24" t="inlineStr">
        <is>
          <t>e2e acceptance; RBAC Matrix</t>
        </is>
      </c>
      <c r="M70" s="24" t="inlineStr">
        <is>
          <t>Pass</t>
        </is>
      </c>
      <c r="N70" s="24" t="inlineStr">
        <is>
          <t>Passed, partly covered. Local Pass (partial) · Staging Pass (partial) · Production Not run
local: not covered: pages only; the write APIs of each area are the next check ‖ not covered: an empty body and an id that exists nowhere; the refusal must come before validation or a lookup
staging: not covered: pages only; the write APIs of each area are the next check ‖ not covered: an empty body and an id that exists nowhere; the refusal must come before validation or a lookup</t>
        </is>
      </c>
      <c r="O70" s="24" t="inlineStr">
        <is>
          <t>D-81</t>
        </is>
      </c>
      <c r="P70" s="24" t="inlineStr">
        <is>
          <t>2026-10-24 18:00</t>
        </is>
      </c>
    </row>
    <row r="71" ht="23.25" customHeight="1" s="13">
      <c r="A71" s="24" t="inlineStr">
        <is>
          <t>TC-RBAC-004</t>
        </is>
      </c>
      <c r="B71" s="24" t="inlineStr">
        <is>
          <t>Roles &amp; access control</t>
        </is>
      </c>
      <c r="C71" s="24" t="inlineStr">
        <is>
          <t>GS-002, RBAC-004, RBAC-005</t>
        </is>
      </c>
      <c r="D71" s="24" t="inlineStr">
        <is>
          <t>Shop owner limited to own shop</t>
        </is>
      </c>
      <c r="E71" s="24" t="inlineStr">
        <is>
          <t>Security</t>
        </is>
      </c>
      <c r="F71" s="24" t="inlineStr">
        <is>
          <t>P0</t>
        </is>
      </c>
      <c r="G71" s="24" t="inlineStr">
        <is>
          <t>Shop</t>
        </is>
      </c>
      <c r="H71" s="24" t="inlineStr">
        <is>
          <t>UI+API</t>
        </is>
      </c>
      <c r="I71" s="24" t="inlineStr">
        <is>
          <t>Shop owner A; Shop B belongs to another owner</t>
        </is>
      </c>
      <c r="J71" s="24" t="inlineStr">
        <is>
          <t>1. As A: open /shop pages
2. PATCH /api/shops/{B}, POST /api/shops/{B}/products, PATCH a shop-product of B, GET /api/shops/{B}/inventory, POST /api/excel-uploads for B</t>
        </is>
      </c>
      <c r="K71" s="24" t="inlineStr">
        <is>
          <t>Own shop works. Every call against B returns 403/404 and changes nothing.</t>
        </is>
      </c>
      <c r="L71" s="24" t="inlineStr">
        <is>
          <t>Regression RBAC-02; Test plan section 3</t>
        </is>
      </c>
      <c r="M71" s="24" t="inlineStr">
        <is>
          <t>Pass</t>
        </is>
      </c>
      <c r="N71" s="24" t="inlineStr">
        <is>
          <t>Passed, partly covered. Local Pass (partial) · Staging Blocked · Production Not run
local: not covered: empty bodies refused with 422 before the ownership check reveal field names only (the D-01 pattern, here for a signed-in owner); with a valid body each is refused
staging: needs shop B in this site's test data</t>
        </is>
      </c>
      <c r="O71" s="24" t="n"/>
      <c r="P71" s="24" t="inlineStr">
        <is>
          <t>2026-10-24 17:48</t>
        </is>
      </c>
    </row>
    <row r="72" ht="23.25" customHeight="1" s="13">
      <c r="A72" s="24" t="inlineStr">
        <is>
          <t>TC-RBAC-005</t>
        </is>
      </c>
      <c r="B72" s="24" t="inlineStr">
        <is>
          <t>Roles &amp; access control</t>
        </is>
      </c>
      <c r="C72" s="24" t="inlineStr">
        <is>
          <t>GS-002</t>
        </is>
      </c>
      <c r="D72" s="24" t="inlineStr">
        <is>
          <t>Shop owner cannot open admin or other roles' portals</t>
        </is>
      </c>
      <c r="E72" s="24" t="inlineStr">
        <is>
          <t>Security</t>
        </is>
      </c>
      <c r="F72" s="24" t="inlineStr">
        <is>
          <t>P0</t>
        </is>
      </c>
      <c r="G72" s="24" t="inlineStr">
        <is>
          <t>Shop</t>
        </is>
      </c>
      <c r="H72" s="24" t="inlineStr">
        <is>
          <t>UI+API</t>
        </is>
      </c>
      <c r="I72" s="24" t="n"/>
      <c r="J72" s="24" t="inlineStr">
        <is>
          <t>1. Open /admin/*, /delivery-partner (without rider role), /society/{id} of a society they do not manage</t>
        </is>
      </c>
      <c r="K72" s="24" t="inlineStr">
        <is>
          <t>Redirected / 403.</t>
        </is>
      </c>
      <c r="L72" s="24" t="inlineStr">
        <is>
          <t>RBAC Matrix</t>
        </is>
      </c>
      <c r="M72" s="24" t="inlineStr">
        <is>
          <t>Pass</t>
        </is>
      </c>
      <c r="N72" s="24" t="inlineStr">
        <is>
          <t>Local Pass · Staging Pass · Production Not run
local: 71 admin pages + /operator, /delivery-partner, /society/{id} refused (/operator 307→/admin; /delivery-partner 307→/delivery-partner/apply; /society/238274e0-6beb-4f5b-8a36-fc6da9efd430 404); settings API 403 ‖ 106 admin API calls: 403×106
staging: 71 admin pages + /operator, /delivery-partner refused (/admin/users/00000000-0000-4000-8000-000000000000/privileges 307→/; /operator 307→/admin; /delivery-partner 307→/delivery-partner/apply); settings API 403 ‖ 106 admin API calls: 403×106</t>
        </is>
      </c>
      <c r="O72" s="24" t="inlineStr">
        <is>
          <t>D-81</t>
        </is>
      </c>
      <c r="P72" s="24" t="inlineStr">
        <is>
          <t>2026-10-24 17:48</t>
        </is>
      </c>
    </row>
    <row r="73" ht="23.25" customHeight="1" s="13">
      <c r="A73" s="24" t="inlineStr">
        <is>
          <t>TC-RBAC-006</t>
        </is>
      </c>
      <c r="B73" s="24" t="inlineStr">
        <is>
          <t>Roles &amp; access control</t>
        </is>
      </c>
      <c r="C73" s="24" t="inlineStr">
        <is>
          <t>GS-002, RBAC-008</t>
        </is>
      </c>
      <c r="D73" s="24" t="inlineStr">
        <is>
          <t>Rider limited to own jobs and availability</t>
        </is>
      </c>
      <c r="E73" s="24" t="inlineStr">
        <is>
          <t>Security</t>
        </is>
      </c>
      <c r="F73" s="24" t="inlineStr">
        <is>
          <t>P0</t>
        </is>
      </c>
      <c r="G73" s="24" t="inlineStr">
        <is>
          <t>Rider</t>
        </is>
      </c>
      <c r="H73" s="24" t="inlineStr">
        <is>
          <t>UI+API</t>
        </is>
      </c>
      <c r="I73" s="24" t="n"/>
      <c r="J73" s="24" t="inlineStr">
        <is>
          <t>1. Open /delivery-partner
2. PATCH /api/delivery-orders/{id} for a delivery assigned to another rider
3. PATCH /api/delivery-partner/{otherId}</t>
        </is>
      </c>
      <c r="K73" s="24" t="inlineStr">
        <is>
          <t>Own dashboard works. Other riders' deliveries and profiles: 403/404.</t>
        </is>
      </c>
      <c r="L73" s="24" t="inlineStr">
        <is>
          <t>RBAC Matrix: Manage own availability</t>
        </is>
      </c>
      <c r="M73" s="24" t="inlineStr">
        <is>
          <t>Pass</t>
        </is>
      </c>
      <c r="N73" s="24" t="inlineStr">
        <is>
          <t>Passed, partly covered. Local Pass (partial) · Staging Blocked · Production Not run
local: not covered: locally the other riders go offline so the offer reaches rider 2; on the test site rider2 does not exist (blocked)
staging: needs a second rider account (rider2)</t>
        </is>
      </c>
      <c r="O73" s="24" t="n"/>
      <c r="P73" s="24" t="inlineStr">
        <is>
          <t>2026-10-24 17:48</t>
        </is>
      </c>
    </row>
    <row r="74" ht="23.25" customHeight="1" s="13">
      <c r="A74" s="24" t="inlineStr">
        <is>
          <t>TC-RBAC-007</t>
        </is>
      </c>
      <c r="B74" s="24" t="inlineStr">
        <is>
          <t>Roles &amp; access control</t>
        </is>
      </c>
      <c r="C74" s="24" t="inlineStr">
        <is>
          <t>RBAC-006, RBAC-014, RBAC-015</t>
        </is>
      </c>
      <c r="D74" s="24" t="inlineStr">
        <is>
          <t>Operator can verify shops but not admin-only functions</t>
        </is>
      </c>
      <c r="E74" s="24" t="inlineStr">
        <is>
          <t>Security</t>
        </is>
      </c>
      <c r="F74" s="24" t="inlineStr">
        <is>
          <t>P0</t>
        </is>
      </c>
      <c r="G74" s="24" t="inlineStr">
        <is>
          <t>Operator</t>
        </is>
      </c>
      <c r="H74" s="24" t="inlineStr">
        <is>
          <t>UI+API</t>
        </is>
      </c>
      <c r="I74" s="24" t="n"/>
      <c r="J74" s="24" t="inlineStr">
        <is>
          <t>1. Open /admin
2. Approve/reject a shop
3. Try /admin/settings, finance approve/pay, POST /api/users/{id}/suspend, PATCH /api/users/{id}/role, /admin/rider-earnings rules</t>
        </is>
      </c>
      <c r="K74" s="24" t="inlineStr">
        <is>
          <t>Shop verification works. /admin/settings redirects. Finance approve/pay, user suspend and role changes return 403. Audit log shows the limited view only.</t>
        </is>
      </c>
      <c r="L74" s="24" t="inlineStr">
        <is>
          <t>QA S-01; Dev log Slice 6 K; RBAC Matrix</t>
        </is>
      </c>
      <c r="M74" s="24" t="inlineStr">
        <is>
          <t>Pass</t>
        </is>
      </c>
      <c r="N74" s="24" t="inlineStr">
        <is>
          <t>Passed, partly covered. Local Pass (partial) · Staging Pass (partial) · Production Not run
local: not covered: the refusals of admin-only functions are the signed-tier TC-RBAC-007 check ‖ not covered: approving / rejecting a shop as operator is in tests/qa/local/access-roles.spec.ts; the limited audit view is TC-RBAC-021
staging: not covered: approving / rejecting a shop as operator is in tests/qa/local/access-roles.spec.ts; the limited audit view is TC-RBAC-021</t>
        </is>
      </c>
      <c r="O74" s="24" t="n"/>
      <c r="P74" s="24" t="inlineStr">
        <is>
          <t>2026-10-24 17:49</t>
        </is>
      </c>
    </row>
    <row r="75" ht="45.75" customHeight="1" s="13">
      <c r="A75" s="24" t="inlineStr">
        <is>
          <t>TC-RBAC-008</t>
        </is>
      </c>
      <c r="B75" s="24" t="inlineStr">
        <is>
          <t>Roles &amp; access control</t>
        </is>
      </c>
      <c r="C75" s="24" t="inlineStr">
        <is>
          <t>RBAC-003</t>
        </is>
      </c>
      <c r="D75" s="24" t="inlineStr">
        <is>
          <t>Operator 'Limited' shop management - record current behaviour</t>
        </is>
      </c>
      <c r="E75" s="24" t="inlineStr">
        <is>
          <t>Positive</t>
        </is>
      </c>
      <c r="F75" s="24" t="inlineStr">
        <is>
          <t>P2</t>
        </is>
      </c>
      <c r="G75" s="24" t="inlineStr">
        <is>
          <t>Operator</t>
        </is>
      </c>
      <c r="H75" s="24" t="inlineStr">
        <is>
          <t>UI+API</t>
        </is>
      </c>
      <c r="I75" s="24" t="inlineStr">
        <is>
          <t>Decision pending - not built</t>
        </is>
      </c>
      <c r="J75" s="24" t="inlineStr">
        <is>
          <t>1. As OPERATOR try PATCH /api/shops/{id} (name, hours, radius) and shop product edits</t>
        </is>
      </c>
      <c r="K75" s="24" t="inlineStr">
        <is>
          <t>Record exactly what an operator can and cannot change today. This is evidence for the pending decision, not a pass/fail.</t>
        </is>
      </c>
      <c r="L75" s="24" t="inlineStr">
        <is>
          <t>Open items: RBAC-003</t>
        </is>
      </c>
      <c r="M75" s="24" t="inlineStr">
        <is>
          <t>Pass</t>
        </is>
      </c>
      <c r="N75" s="24" t="inlineStr">
        <is>
          <t>Passed, partly covered. Local Pass (partial) · Staging Not run (rule) · Production Not run
local: not covered: evidence for the pending 'Limited' decision (TC-RBAC-008 is record-only): an operator holds SHOP_UPDATE_ANY and SHOP_PRODUCT_MANAGE_ANY
staging: not run on staging: needs the server's database (local run only)</t>
        </is>
      </c>
      <c r="O75" s="24" t="n"/>
      <c r="P75" s="24" t="inlineStr">
        <is>
          <t>2026-10-24 17:05</t>
        </is>
      </c>
    </row>
    <row r="76" ht="68.25" customHeight="1" s="13">
      <c r="A76" s="24" t="inlineStr">
        <is>
          <t>TC-RBAC-009</t>
        </is>
      </c>
      <c r="B76" s="24" t="inlineStr">
        <is>
          <t>Roles &amp; access control</t>
        </is>
      </c>
      <c r="C76" s="24" t="inlineStr">
        <is>
          <t>RBAC-013</t>
        </is>
      </c>
      <c r="D76" s="24" t="inlineStr">
        <is>
          <t>Admin sets a user's role</t>
        </is>
      </c>
      <c r="E76" s="24" t="inlineStr">
        <is>
          <t>Positive</t>
        </is>
      </c>
      <c r="F76" s="24" t="inlineStr">
        <is>
          <t>P0</t>
        </is>
      </c>
      <c r="G76" s="24" t="inlineStr">
        <is>
          <t>Admin</t>
        </is>
      </c>
      <c r="H76" s="24" t="inlineStr">
        <is>
          <t>UI</t>
        </is>
      </c>
      <c r="I76" s="24" t="inlineStr">
        <is>
          <t>A CUSTOMER account</t>
        </is>
      </c>
      <c r="J76" s="24" t="inlineStr">
        <is>
          <t>1. Open /admin/users/{id}
2. Grant OPERATOR
3. Sign in as that user</t>
        </is>
      </c>
      <c r="K76" s="24" t="inlineStr">
        <is>
          <t>Role saved with a Save confirmation; audited; a role-change security notification is sent. User now sees the operator console.</t>
        </is>
      </c>
      <c r="L76" s="24" t="inlineStr">
        <is>
          <t>Regression RBAC-03; QA F-09</t>
        </is>
      </c>
      <c r="M76" s="24" t="inlineStr">
        <is>
          <t>Pass</t>
        </is>
      </c>
      <c r="N76" s="24" t="inlineStr">
        <is>
          <t>Local Pass · Staging Not run (rule) · Production Not run
local: "Privileges updated for QA rbac009"; CUSTOMER→OPERATOR audited (user.privileges_updated); notification received; /admin 200
staging: not run on staging: needs the server's database (local run only)</t>
        </is>
      </c>
      <c r="O76" s="24" t="n"/>
      <c r="P76" s="24" t="inlineStr">
        <is>
          <t>2026-10-24 17:05</t>
        </is>
      </c>
    </row>
    <row r="77" ht="45.75" customHeight="1" s="13">
      <c r="A77" s="24" t="inlineStr">
        <is>
          <t>TC-RBAC-010</t>
        </is>
      </c>
      <c r="B77" s="24" t="inlineStr">
        <is>
          <t>Roles &amp; access control</t>
        </is>
      </c>
      <c r="C77" s="24" t="inlineStr">
        <is>
          <t>RBAC-013</t>
        </is>
      </c>
      <c r="D77" s="24" t="inlineStr">
        <is>
          <t>Admin privilege change needs confirmation and is audited</t>
        </is>
      </c>
      <c r="E77" s="24" t="inlineStr">
        <is>
          <t>Positive</t>
        </is>
      </c>
      <c r="F77" s="24" t="inlineStr">
        <is>
          <t>P1</t>
        </is>
      </c>
      <c r="G77" s="24" t="inlineStr">
        <is>
          <t>Admin</t>
        </is>
      </c>
      <c r="H77" s="24" t="inlineStr">
        <is>
          <t>UI</t>
        </is>
      </c>
      <c r="I77" s="24" t="n"/>
      <c r="J77" s="24" t="inlineStr">
        <is>
          <t>1. Open /admin/users/{id}/privileges
2. Change a privilege
3. Try to leave without saving
4. Save</t>
        </is>
      </c>
      <c r="K77" s="24" t="inlineStr">
        <is>
          <t>Save button enabled only after a change; unsaved-changes warning on leaving; confirmation before saving; success message; audit row with old and new values.</t>
        </is>
      </c>
      <c r="L77" s="24" t="inlineStr">
        <is>
          <t>tests admin-save-flows; chat brief 2-Oct</t>
        </is>
      </c>
      <c r="M77" s="24" t="inlineStr">
        <is>
          <t>Pass</t>
        </is>
      </c>
      <c r="N77" s="24" t="inlineStr">
        <is>
          <t>Passed, partly covered. Local Pass (partial) · Staging Not run (rule) · Production Not run
local: not covered: links outside the form (site header, 'Edit profile') leave without a prompt by design (src/components/unsaved-changes-guard.tsx: the guard is page-scoped)
staging: not run on staging: needs the server's database (local run only)</t>
        </is>
      </c>
      <c r="O77" s="24" t="n"/>
      <c r="P77" s="24" t="inlineStr">
        <is>
          <t>2026-10-24 17:05</t>
        </is>
      </c>
    </row>
    <row r="78" ht="23.25" customHeight="1" s="13">
      <c r="A78" s="24" t="inlineStr">
        <is>
          <t>TC-RBAC-011</t>
        </is>
      </c>
      <c r="B78" s="24" t="inlineStr">
        <is>
          <t>Roles &amp; access control</t>
        </is>
      </c>
      <c r="C78" s="24" t="inlineStr">
        <is>
          <t>GS-003</t>
        </is>
      </c>
      <c r="D78" s="24" t="inlineStr">
        <is>
          <t>User holds several roles and switches between them</t>
        </is>
      </c>
      <c r="E78" s="24" t="inlineStr">
        <is>
          <t>Positive</t>
        </is>
      </c>
      <c r="F78" s="24" t="inlineStr">
        <is>
          <t>P0</t>
        </is>
      </c>
      <c r="G78" s="24" t="inlineStr">
        <is>
          <t>Shop</t>
        </is>
      </c>
      <c r="H78" s="24" t="inlineStr">
        <is>
          <t>UI+API</t>
        </is>
      </c>
      <c r="I78" s="24" t="inlineStr">
        <is>
          <t>Shop owner applies as a rider and is approved</t>
        </is>
      </c>
      <c r="J78" s="24" t="inlineStr">
        <is>
          <t>1. Check the header role switcher
2. Switch SHOP_OWNER -&gt; DELIVERY_PARTNER -&gt; CUSTOMER
3. GET /api/me/roles</t>
        </is>
      </c>
      <c r="K78" s="24" t="inlineStr">
        <is>
          <t>Both roles are held; switching changes the portal and navigation. Active role is reflected by the API.</t>
        </is>
      </c>
      <c r="L78" s="24" t="inlineStr">
        <is>
          <t>Dev log Phase 3: GS-003</t>
        </is>
      </c>
      <c r="M78" s="24" t="inlineStr">
        <is>
          <t>Pass</t>
        </is>
      </c>
      <c r="N78" s="24" t="inlineStr">
        <is>
          <t>Local Pass · Staging Not run (rule) · Production Not run
local: held CUSTOMER+SHOP_OWNER+DELIVERY_PARTNER; DELIVERY_PARTNER→/delivery-partner; CUSTOMER→/; SHOP_OWNER→/shop
staging: not run on staging: needs the server's database (local run only)</t>
        </is>
      </c>
      <c r="O78" s="24" t="n"/>
      <c r="P78" s="24" t="inlineStr">
        <is>
          <t>2026-10-24 17:05</t>
        </is>
      </c>
    </row>
    <row r="79" ht="15" customHeight="1" s="13">
      <c r="A79" s="24" t="inlineStr">
        <is>
          <t>TC-RBAC-012</t>
        </is>
      </c>
      <c r="B79" s="24" t="inlineStr">
        <is>
          <t>Roles &amp; access control</t>
        </is>
      </c>
      <c r="C79" s="24" t="inlineStr">
        <is>
          <t>GS-003</t>
        </is>
      </c>
      <c r="D79" s="24" t="inlineStr">
        <is>
          <t>Cannot switch to a role not held</t>
        </is>
      </c>
      <c r="E79" s="24" t="inlineStr">
        <is>
          <t>Security</t>
        </is>
      </c>
      <c r="F79" s="24" t="inlineStr">
        <is>
          <t>P0</t>
        </is>
      </c>
      <c r="G79" s="24" t="inlineStr">
        <is>
          <t>Customer</t>
        </is>
      </c>
      <c r="H79" s="24" t="inlineStr">
        <is>
          <t>API</t>
        </is>
      </c>
      <c r="I79" s="24" t="n"/>
      <c r="J79" s="24" t="inlineStr">
        <is>
          <t>1. PUT /api/me/roles {role:'ADMIN'} and {role:'OPERATOR'}</t>
        </is>
      </c>
      <c r="K79" s="24" t="inlineStr">
        <is>
          <t>403/422; active role unchanged.</t>
        </is>
      </c>
      <c r="L79" s="24" t="inlineStr">
        <is>
          <t>Dev log Phase 3</t>
        </is>
      </c>
      <c r="M79" s="24" t="inlineStr">
        <is>
          <t>Pass</t>
        </is>
      </c>
      <c r="N79" s="24" t="inlineStr">
        <is>
          <t>Local Pass · Staging Pass · Production Not run
local: ADMIN 403, OPERATOR 403, SHOP_OWNER 403, NOT_A_ROLE 422; still CUSTOMER (["CUSTOMER"])
staging: ADMIN 403, OPERATOR 403, SHOP_OWNER 403, NOT_A_ROLE 422; still CUSTOMER (["CUSTOMER"])</t>
        </is>
      </c>
      <c r="O79" s="24" t="n"/>
      <c r="P79" s="24" t="inlineStr">
        <is>
          <t>2026-10-24 17:48</t>
        </is>
      </c>
    </row>
    <row r="80" ht="45.75" customHeight="1" s="13">
      <c r="A80" s="24" t="inlineStr">
        <is>
          <t>TC-RBAC-013</t>
        </is>
      </c>
      <c r="B80" s="24" t="inlineStr">
        <is>
          <t>Roles &amp; access control</t>
        </is>
      </c>
      <c r="C80" s="24" t="inlineStr">
        <is>
          <t>GS-003</t>
        </is>
      </c>
      <c r="D80" s="24" t="inlineStr">
        <is>
          <t>Revoking the active role falls back to CUSTOMER</t>
        </is>
      </c>
      <c r="E80" s="24" t="inlineStr">
        <is>
          <t>Positive</t>
        </is>
      </c>
      <c r="F80" s="24" t="inlineStr">
        <is>
          <t>P1</t>
        </is>
      </c>
      <c r="G80" s="24" t="inlineStr">
        <is>
          <t>Admin</t>
        </is>
      </c>
      <c r="H80" s="24" t="inlineStr">
        <is>
          <t>UI+API</t>
        </is>
      </c>
      <c r="I80" s="24" t="inlineStr">
        <is>
          <t>User with OPERATOR active</t>
        </is>
      </c>
      <c r="J80" s="24" t="inlineStr">
        <is>
          <t>1. Admin: DELETE /api/users/{id}/roles?role=OPERATOR
2. User reloads</t>
        </is>
      </c>
      <c r="K80" s="24" t="inlineStr">
        <is>
          <t>User becomes CUSTOMER immediately and loses console access.</t>
        </is>
      </c>
      <c r="L80" s="24" t="inlineStr">
        <is>
          <t>Dev log Phase 3</t>
        </is>
      </c>
      <c r="M80" s="24" t="inlineStr">
        <is>
          <t>Pass</t>
        </is>
      </c>
      <c r="N80" s="24" t="inlineStr">
        <is>
          <t>Local Pass · Staging Not run (rule) · Production Not run
local: OPERATOR → revoked → CUSTOMER at once; /admin now 307 → /
staging: not run on staging: needs the server's database (local run only)</t>
        </is>
      </c>
      <c r="O80" s="24" t="n"/>
      <c r="P80" s="24" t="inlineStr">
        <is>
          <t>2026-10-24 17:05</t>
        </is>
      </c>
    </row>
    <row r="81" ht="23.25" customHeight="1" s="13">
      <c r="A81" s="24" t="inlineStr">
        <is>
          <t>TC-RBAC-014</t>
        </is>
      </c>
      <c r="B81" s="24" t="inlineStr">
        <is>
          <t>Roles &amp; access control</t>
        </is>
      </c>
      <c r="C81" s="24" t="inlineStr">
        <is>
          <t>GS-003</t>
        </is>
      </c>
      <c r="D81" s="24" t="inlineStr">
        <is>
          <t>Staff roles are exclusive</t>
        </is>
      </c>
      <c r="E81" s="24" t="inlineStr">
        <is>
          <t>Negative</t>
        </is>
      </c>
      <c r="F81" s="24" t="inlineStr">
        <is>
          <t>P1</t>
        </is>
      </c>
      <c r="G81" s="24" t="inlineStr">
        <is>
          <t>Admin</t>
        </is>
      </c>
      <c r="H81" s="24" t="inlineStr">
        <is>
          <t>UI</t>
        </is>
      </c>
      <c r="I81" s="24" t="inlineStr">
        <is>
          <t>User who is a SHOP_OWNER</t>
        </is>
      </c>
      <c r="J81" s="24" t="inlineStr">
        <is>
          <t>1. Grant OPERATOR then ADMIN</t>
        </is>
      </c>
      <c r="K81" s="24" t="inlineStr">
        <is>
          <t>Staff roles replace each other rather than stack; behaviour matches 'staff roles exclusive'. Record the exact result.</t>
        </is>
      </c>
      <c r="L81" s="24" t="inlineStr">
        <is>
          <t>Dev log Phase 3</t>
        </is>
      </c>
      <c r="M81" s="24" t="inlineStr">
        <is>
          <t>Pass</t>
        </is>
      </c>
      <c r="N81" s="24" t="inlineStr">
        <is>
          <t>Local Pass · Staging Not run (rule) · Production Not run
local: after OPERATOR: CUSTOMER+SHOP_OWNER+OPERATOR (active OPERATOR); after ADMIN: CUSTOMER+SHOP_OWNER+ADMIN (active ADMIN); both at once → 422
staging: not run on staging: needs the server's database (local run only)</t>
        </is>
      </c>
      <c r="O81" s="24" t="n"/>
      <c r="P81" s="24" t="inlineStr">
        <is>
          <t>2026-10-24 17:05</t>
        </is>
      </c>
    </row>
    <row r="82" ht="23.25" customHeight="1" s="13">
      <c r="A82" s="24" t="inlineStr">
        <is>
          <t>TC-RBAC-015</t>
        </is>
      </c>
      <c r="B82" s="24" t="inlineStr">
        <is>
          <t>Roles &amp; access control</t>
        </is>
      </c>
      <c r="C82" s="24" t="inlineStr">
        <is>
          <t>GS-003</t>
        </is>
      </c>
      <c r="D82" s="24" t="inlineStr">
        <is>
          <t>Existing users kept access after migration backfill</t>
        </is>
      </c>
      <c r="E82" s="24" t="inlineStr">
        <is>
          <t>Regression</t>
        </is>
      </c>
      <c r="F82" s="24" t="inlineStr">
        <is>
          <t>P1</t>
        </is>
      </c>
      <c r="G82" s="24" t="inlineStr">
        <is>
          <t>All</t>
        </is>
      </c>
      <c r="H82" s="24" t="inlineStr">
        <is>
          <t>UI</t>
        </is>
      </c>
      <c r="I82" s="24" t="n"/>
      <c r="J82" s="24" t="inlineStr">
        <is>
          <t>1. Sign in as a pre-existing shop owner, rider and operator</t>
        </is>
      </c>
      <c r="K82" s="24" t="inlineStr">
        <is>
          <t>Each still reaches their portal; each has a grant for the role.</t>
        </is>
      </c>
      <c r="L82" s="24" t="inlineStr">
        <is>
          <t>Dev log Phase 3</t>
        </is>
      </c>
      <c r="M82" s="24" t="inlineStr">
        <is>
          <t>Pass</t>
        </is>
      </c>
      <c r="N82" s="24" t="inlineStr">
        <is>
          <t>Passed, partly covered. Local Pass (partial) · Staging Not run (rule) · Production Not run
local: not covered: the local database has no accounts from before the role-grant migration; the backfill is read from drizzle/0023 and the grant query is the one to run on the sites' databases
staging: not run on staging: needs the server's database (local run only)</t>
        </is>
      </c>
      <c r="O82" s="24" t="n"/>
      <c r="P82" s="24" t="inlineStr">
        <is>
          <t>2026-10-24 17:05</t>
        </is>
      </c>
    </row>
    <row r="83" ht="23.25" customHeight="1" s="13">
      <c r="A83" s="24" t="inlineStr">
        <is>
          <t>TC-RBAC-016</t>
        </is>
      </c>
      <c r="B83" s="24" t="inlineStr">
        <is>
          <t>Roles &amp; access control</t>
        </is>
      </c>
      <c r="C83" s="24" t="inlineStr">
        <is>
          <t>RBAC-002</t>
        </is>
      </c>
      <c r="D83" s="24" t="inlineStr">
        <is>
          <t>Every role can place a personal order</t>
        </is>
      </c>
      <c r="E83" s="24" t="inlineStr">
        <is>
          <t>Positive</t>
        </is>
      </c>
      <c r="F83" s="24" t="inlineStr">
        <is>
          <t>P0</t>
        </is>
      </c>
      <c r="G83" s="24" t="inlineStr">
        <is>
          <t>Shop</t>
        </is>
      </c>
      <c r="H83" s="24" t="inlineStr">
        <is>
          <t>UI</t>
        </is>
      </c>
      <c r="I83" s="24" t="inlineStr">
        <is>
          <t>Shop owner with wallet balance</t>
        </is>
      </c>
      <c r="J83" s="24" t="inlineStr">
        <is>
          <t>1. As SHOP_OWNER (and separately as rider, operator) add items from another shop and check out as PERSONAL</t>
        </is>
      </c>
      <c r="K83" s="24" t="inlineStr">
        <is>
          <t>Order placed normally.</t>
        </is>
      </c>
      <c r="L83" s="24" t="inlineStr">
        <is>
          <t>Wave 1 decision RBAC-002</t>
        </is>
      </c>
      <c r="M83" s="24" t="inlineStr">
        <is>
          <t>Pass</t>
        </is>
      </c>
      <c r="N83" s="24" t="inlineStr">
        <is>
          <t>Passed, partly covered. Local Pass (partial) · Staging Blocked · Production Not run
local: not covered: the shop owner's personal order is the signed-tier TC-RBAC-016 check; wallets topped up in the database first ‖ not covered: rider and operator personal orders need their wallets funded: tests/qa/local/access-roles.spec.ts
staging: needs shop A's location in this site's test data</t>
        </is>
      </c>
      <c r="O83" s="24" t="n"/>
      <c r="P83" s="24" t="inlineStr">
        <is>
          <t>2026-10-24 17:49</t>
        </is>
      </c>
    </row>
    <row r="84" ht="23.25" customHeight="1" s="13">
      <c r="A84" s="24" t="inlineStr">
        <is>
          <t>TC-RBAC-017</t>
        </is>
      </c>
      <c r="B84" s="24" t="inlineStr">
        <is>
          <t>Roles &amp; access control</t>
        </is>
      </c>
      <c r="C84" s="24" t="inlineStr">
        <is>
          <t>RBAC-002</t>
        </is>
      </c>
      <c r="D84" s="24" t="inlineStr">
        <is>
          <t>B2B order by a shop owner</t>
        </is>
      </c>
      <c r="E84" s="24" t="inlineStr">
        <is>
          <t>Positive</t>
        </is>
      </c>
      <c r="F84" s="24" t="inlineStr">
        <is>
          <t>P1</t>
        </is>
      </c>
      <c r="G84" s="24" t="inlineStr">
        <is>
          <t>Shop</t>
        </is>
      </c>
      <c r="H84" s="24" t="inlineStr">
        <is>
          <t>UI+API</t>
        </is>
      </c>
      <c r="I84" s="24" t="inlineStr">
        <is>
          <t>Owner's shop is APPROVED</t>
        </is>
      </c>
      <c r="J84" s="24" t="inlineStr">
        <is>
          <t>1. Check out with orderType B2B and buyerShopId = own shop, cart from another shop</t>
        </is>
      </c>
      <c r="K84" s="24" t="inlineStr">
        <is>
          <t>Order created with order_type B2B. Mobile/address rules for personal orders do not apply.</t>
        </is>
      </c>
      <c r="L84" s="24" t="inlineStr">
        <is>
          <t>API.md checkout</t>
        </is>
      </c>
      <c r="M84" s="24" t="inlineStr">
        <is>
          <t>Pass</t>
        </is>
      </c>
      <c r="N84" s="24" t="inlineStr">
        <is>
          <t>Local Pass · Staging Blocked · Production Not run
local: DB-20261024-J0FKXM B2B for QA Shop A mvmkyclr from QA Shop B mvmkyclr, no address sent, ₹45
staging: needs shop B in this site's test data</t>
        </is>
      </c>
      <c r="O84" s="24" t="n"/>
      <c r="P84" s="24" t="inlineStr">
        <is>
          <t>2026-10-24 17:49</t>
        </is>
      </c>
    </row>
    <row r="85" ht="23.25" customHeight="1" s="13">
      <c r="A85" s="24" t="inlineStr">
        <is>
          <t>TC-RBAC-018</t>
        </is>
      </c>
      <c r="B85" s="24" t="inlineStr">
        <is>
          <t>Roles &amp; access control</t>
        </is>
      </c>
      <c r="C85" s="24" t="inlineStr">
        <is>
          <t>RBAC-002</t>
        </is>
      </c>
      <c r="D85" s="24" t="inlineStr">
        <is>
          <t>B2B refused for a customer, for another owner's shop and for own-shop items</t>
        </is>
      </c>
      <c r="E85" s="24" t="inlineStr">
        <is>
          <t>Negative</t>
        </is>
      </c>
      <c r="F85" s="24" t="inlineStr">
        <is>
          <t>P1</t>
        </is>
      </c>
      <c r="G85" s="24" t="inlineStr">
        <is>
          <t>Customer</t>
        </is>
      </c>
      <c r="H85" s="24" t="inlineStr">
        <is>
          <t>API</t>
        </is>
      </c>
      <c r="I85" s="24" t="n"/>
      <c r="J85" s="24" t="inlineStr">
        <is>
          <t>1. POST /api/checkout B2B as CUSTOMER
2. As owner with buyerShopId of another shop
3. As owner with cart items from the same shop
4. PERSONAL with buyerShopId set</t>
        </is>
      </c>
      <c r="K85" s="24" t="inlineStr">
        <is>
          <t>403 / 422 each time; nothing created or debited.</t>
        </is>
      </c>
      <c r="L85" s="24" t="inlineStr">
        <is>
          <t>API.md checkout</t>
        </is>
      </c>
      <c r="M85" s="24" t="inlineStr">
        <is>
          <t>Fail</t>
        </is>
      </c>
      <c r="N85" s="24" t="inlineStr">
        <is>
          <t>Local Fail · Staging Pass (partial) · Production Not run
local: owner A, own shop's items: add to cart — HTTP 409: This product is currently unavailable online. | expect(received).toContain(expected) // indexOf | Expected value: 409 | Received array: [200, 201]
staging: blocked: needs shop B in this site's test data</t>
        </is>
      </c>
      <c r="O85" s="24" t="n"/>
      <c r="P85" s="24" t="inlineStr">
        <is>
          <t>2026-10-24 18:00</t>
        </is>
      </c>
    </row>
    <row r="86" ht="23.25" customHeight="1" s="13">
      <c r="A86" s="24" t="inlineStr">
        <is>
          <t>TC-RBAC-019</t>
        </is>
      </c>
      <c r="B86" s="24" t="inlineStr">
        <is>
          <t>Roles &amp; access control</t>
        </is>
      </c>
      <c r="C86" s="24" t="inlineStr">
        <is>
          <t>RBAC-010</t>
        </is>
      </c>
      <c r="D86" s="24" t="inlineStr">
        <is>
          <t>Order visibility is role-scoped</t>
        </is>
      </c>
      <c r="E86" s="24" t="inlineStr">
        <is>
          <t>Security</t>
        </is>
      </c>
      <c r="F86" s="24" t="inlineStr">
        <is>
          <t>P0</t>
        </is>
      </c>
      <c r="G86" s="24" t="inlineStr">
        <is>
          <t>All</t>
        </is>
      </c>
      <c r="H86" s="24" t="inlineStr">
        <is>
          <t>UI+API</t>
        </is>
      </c>
      <c r="I86" s="24" t="inlineStr">
        <is>
          <t>Orders exist for two customers and two shops</t>
        </is>
      </c>
      <c r="J86" s="24" t="inlineStr">
        <is>
          <t>1. Customer: /orders and GET /api/orders
2. Shop: /shop/orders
3. Rider: deliveries
4. Society admin: dashboard deliveries
5. Operator: /admin/orders
6. Admin: /admin/orders</t>
        </is>
      </c>
      <c r="K86" s="24" t="inlineStr">
        <is>
          <t>Customer sees own only; shop sees own shop only; rider own jobs; society sees society deliveries with no customer PII or order contents; operator and admin see all shops.</t>
        </is>
      </c>
      <c r="L86" s="24" t="inlineStr">
        <is>
          <t>RBAC Matrix: View all orders; Status report RBAC-010</t>
        </is>
      </c>
      <c r="M86" s="24" t="inlineStr">
        <is>
          <t>Pass</t>
        </is>
      </c>
      <c r="N86" s="24" t="inlineStr">
        <is>
          <t>Passed, partly covered. Local Pass (partial) · Staging Blocked · Production Not run
local: not covered: no order is delivered to a society address in this run, so the deliveries list is empty: the check proves the page and the absence of PII, not a populated list ‖ blocked: "QA Butter 100 g mvmkyclr" cannot be added to the cart — HTTP 409: This product is currently unavailable online.
staging: needs shop B in this site's test data ‖ needs a verified society in this site's test data</t>
        </is>
      </c>
      <c r="O86" s="24" t="n"/>
      <c r="P86" s="24" t="inlineStr">
        <is>
          <t>2026-10-24 17:50</t>
        </is>
      </c>
    </row>
    <row r="87" ht="23.25" customHeight="1" s="13">
      <c r="A87" s="24" t="inlineStr">
        <is>
          <t>TC-RBAC-020</t>
        </is>
      </c>
      <c r="B87" s="24" t="inlineStr">
        <is>
          <t>Roles &amp; access control</t>
        </is>
      </c>
      <c r="C87" s="24" t="inlineStr">
        <is>
          <t>RBAC-012</t>
        </is>
      </c>
      <c r="D87" s="24" t="inlineStr">
        <is>
          <t>Settlement visibility per role</t>
        </is>
      </c>
      <c r="E87" s="24" t="inlineStr">
        <is>
          <t>Security</t>
        </is>
      </c>
      <c r="F87" s="24" t="inlineStr">
        <is>
          <t>P0</t>
        </is>
      </c>
      <c r="G87" s="24" t="inlineStr">
        <is>
          <t>All</t>
        </is>
      </c>
      <c r="H87" s="24" t="inlineStr">
        <is>
          <t>UI+API</t>
        </is>
      </c>
      <c r="I87" s="24" t="n"/>
      <c r="J87" s="24" t="inlineStr">
        <is>
          <t>1. Shop: /shop/finance
2. Rider: earnings and payouts
3. Operator: /admin/finance and /admin/finance/exceptions
4. Customer: /shop/finance, /api/finance/summary</t>
        </is>
      </c>
      <c r="K87" s="24" t="inlineStr">
        <is>
          <t>Shop and rider see only their own statements. Operator sees exceptions only, with no settlement or payout totals. Customer is refused.</t>
        </is>
      </c>
      <c r="L87" s="24" t="inlineStr">
        <is>
          <t>Dev log Slice 6 K</t>
        </is>
      </c>
      <c r="M87" s="24" t="inlineStr">
        <is>
          <t>Pass</t>
        </is>
      </c>
      <c r="N87" s="24" t="inlineStr">
        <is>
          <t>Local Pass · Staging Blocked · Production Not run
local: shop /shop/finance 200 (own shop only); rider earnings 200 (own); operator: /admin/finance → exceptions; summary/settlements/payouts/ledger 403; exceptions 200; customer: /shop/finance refused, finance summary 403; owner A on B's wallet 403
staging: needs shop B in this site's test data</t>
        </is>
      </c>
      <c r="O87" s="24" t="n"/>
      <c r="P87" s="24" t="inlineStr">
        <is>
          <t>2026-10-24 17:50</t>
        </is>
      </c>
    </row>
    <row r="88" ht="23.25" customHeight="1" s="13">
      <c r="A88" s="24" t="inlineStr">
        <is>
          <t>TC-RBAC-021</t>
        </is>
      </c>
      <c r="B88" s="24" t="inlineStr">
        <is>
          <t>Roles &amp; access control</t>
        </is>
      </c>
      <c r="C88" s="24" t="inlineStr">
        <is>
          <t>RBAC-015, GS-067</t>
        </is>
      </c>
      <c r="D88" s="24" t="inlineStr">
        <is>
          <t>Audit log viewer: admin full, operator limited</t>
        </is>
      </c>
      <c r="E88" s="24" t="inlineStr">
        <is>
          <t>Positive</t>
        </is>
      </c>
      <c r="F88" s="24" t="inlineStr">
        <is>
          <t>P1</t>
        </is>
      </c>
      <c r="G88" s="24" t="inlineStr">
        <is>
          <t>Admin</t>
        </is>
      </c>
      <c r="H88" s="24" t="inlineStr">
        <is>
          <t>UI</t>
        </is>
      </c>
      <c r="I88" s="24" t="n"/>
      <c r="J88" s="24" t="inlineStr">
        <is>
          <t>1. Open the audit section as ADMIN then as OPERATOR</t>
        </is>
      </c>
      <c r="K88" s="24" t="inlineStr">
        <is>
          <t>Admin sees all actions with actor, role, old/new values. Operator sees the limited subset. Customer/shop cannot open it.</t>
        </is>
      </c>
      <c r="L88" s="24" t="inlineStr">
        <is>
          <t>RBAC plan Phase 11</t>
        </is>
      </c>
      <c r="M88" s="24" t="inlineStr">
        <is>
          <t>Pass</t>
        </is>
      </c>
      <c r="N88" s="24" t="inlineStr">
        <is>
          <t>Local Pass · Staging Pass · Production Not run
local: admin: also credit_note.issued, user.profile_updated, order.status_changed, order.placed, delivery_order.offered, delivery_order.accepted, with actor role and before/after; operator: 'operational entries' with shop.updated, no role or settings changes; customer and shop redirected
staging: admin: also wallet.topup_verified, user.profile_updated, order.status_changed, order.placed, consent.recorded, society.registered, with actor role and before/after; operator: 'operational entries' with shop.updated, no role or settings changes; customer and shop redirected</t>
        </is>
      </c>
      <c r="O88" s="24" t="n"/>
      <c r="P88" s="24" t="inlineStr">
        <is>
          <t>2026-10-24 17:50</t>
        </is>
      </c>
    </row>
    <row r="89" ht="57" customHeight="1" s="13">
      <c r="A89" s="24" t="inlineStr">
        <is>
          <t>TC-RBAC-022</t>
        </is>
      </c>
      <c r="B89" s="24" t="inlineStr">
        <is>
          <t>Roles &amp; access control</t>
        </is>
      </c>
      <c r="C89" s="24" t="inlineStr">
        <is>
          <t>GS-067</t>
        </is>
      </c>
      <c r="D89" s="24" t="inlineStr">
        <is>
          <t>Audit log is append-only</t>
        </is>
      </c>
      <c r="E89" s="24" t="inlineStr">
        <is>
          <t>Security</t>
        </is>
      </c>
      <c r="F89" s="24" t="inlineStr">
        <is>
          <t>P1</t>
        </is>
      </c>
      <c r="G89" s="24" t="inlineStr">
        <is>
          <t>Admin</t>
        </is>
      </c>
      <c r="H89" s="24" t="inlineStr">
        <is>
          <t>DB</t>
        </is>
      </c>
      <c r="I89" s="24" t="inlineStr">
        <is>
          <t>DB access to the TEST database only</t>
        </is>
      </c>
      <c r="J89" s="24" t="inlineStr">
        <is>
          <t>1. Attempt UPDATE and DELETE on one audit_logs row</t>
        </is>
      </c>
      <c r="K89" s="24" t="inlineStr">
        <is>
          <t>Both are refused by the database trigger.</t>
        </is>
      </c>
      <c r="L89" s="24" t="inlineStr">
        <is>
          <t>Dev log Wave 1</t>
        </is>
      </c>
      <c r="M89" s="24" t="inlineStr">
        <is>
          <t>Pass</t>
        </is>
      </c>
      <c r="N89" s="24" t="inlineStr">
        <is>
          <t>Local Pass · Staging Not run (rule) · Production Not run
local: update: refused (audit_logs is append-only: UPDATE is not allowed); delete: refused (audit_logs is append-only: DELETE is not allowed)
staging: not run on staging: needs the server's database (local run only)</t>
        </is>
      </c>
      <c r="O89" s="24" t="n"/>
      <c r="P89" s="24" t="inlineStr">
        <is>
          <t>2026-10-24 17:05</t>
        </is>
      </c>
    </row>
    <row r="90" ht="23.25" customHeight="1" s="13">
      <c r="A90" s="24" t="inlineStr">
        <is>
          <t>TC-RBAC-023</t>
        </is>
      </c>
      <c r="B90" s="24" t="inlineStr">
        <is>
          <t>Roles &amp; access control</t>
        </is>
      </c>
      <c r="C90" s="24" t="inlineStr">
        <is>
          <t>GS-071</t>
        </is>
      </c>
      <c r="D90" s="24" t="inlineStr">
        <is>
          <t>IDOR sweep on customer-owned resources</t>
        </is>
      </c>
      <c r="E90" s="24" t="inlineStr">
        <is>
          <t>Security</t>
        </is>
      </c>
      <c r="F90" s="24" t="inlineStr">
        <is>
          <t>P0</t>
        </is>
      </c>
      <c r="G90" s="24" t="inlineStr">
        <is>
          <t>Customer</t>
        </is>
      </c>
      <c r="H90" s="24" t="inlineStr">
        <is>
          <t>API</t>
        </is>
      </c>
      <c r="I90" s="24" t="inlineStr">
        <is>
          <t>Customer 2's address, order, subscription, return and notification ids</t>
        </is>
      </c>
      <c r="J90" s="24" t="inlineStr">
        <is>
          <t>1. As Customer 1 call GET/PATCH/DELETE on /api/addresses/{id}, /api/orders/{id}/status, /api/orders/{id}/rating, /api/orders/{id}/issue, /api/subscriptions/{id} (+pause/skip/calendar/history), /api/returns/{id}, /api/tracking/{orderId}</t>
        </is>
      </c>
      <c r="K90" s="24" t="inlineStr">
        <is>
          <t>Every call returns 403 or 404; nothing changes; no data of Customer 2 is returned.</t>
        </is>
      </c>
      <c r="L90" s="24" t="inlineStr">
        <is>
          <t>Test plan section 3 (IDOR); Dev log Phase 2 fix</t>
        </is>
      </c>
      <c r="M90" s="24" t="inlineStr">
        <is>
          <t>Blocked</t>
        </is>
      </c>
      <c r="N90" s="24" t="inlineStr">
        <is>
          <t>Local Blocked · Staging Blocked · Production Not run
local: "QA Butter 100 g mvmkyclr" cannot be added to the cart — HTTP 409: This product is currently unavailable online.
staging: no delivery offer reached the rider for order f82cbd1c-5874-4040-96c3-32c5a3e358df within 45 s (rider offline or busy?)</t>
        </is>
      </c>
      <c r="O90" s="24" t="n"/>
      <c r="P90" s="24" t="inlineStr">
        <is>
          <t>2026-10-24 17:54</t>
        </is>
      </c>
    </row>
    <row r="91" ht="23.25" customHeight="1" s="13">
      <c r="A91" s="24" t="inlineStr">
        <is>
          <t>TC-RBAC-024</t>
        </is>
      </c>
      <c r="B91" s="24" t="inlineStr">
        <is>
          <t>Roles &amp; access control</t>
        </is>
      </c>
      <c r="C91" s="24" t="inlineStr">
        <is>
          <t>GS-002</t>
        </is>
      </c>
      <c r="D91" s="24" t="inlineStr">
        <is>
          <t>Suspended user loses the session on the next request</t>
        </is>
      </c>
      <c r="E91" s="24" t="inlineStr">
        <is>
          <t>Security</t>
        </is>
      </c>
      <c r="F91" s="24" t="inlineStr">
        <is>
          <t>P0</t>
        </is>
      </c>
      <c r="G91" s="24" t="inlineStr">
        <is>
          <t>Admin</t>
        </is>
      </c>
      <c r="H91" s="24" t="inlineStr">
        <is>
          <t>UI</t>
        </is>
      </c>
      <c r="I91" s="24" t="inlineStr">
        <is>
          <t>Customer signed in on a second browser/profile</t>
        </is>
      </c>
      <c r="J91" s="24" t="inlineStr">
        <is>
          <t>1. Admin suspends the customer
2. Customer loads any page</t>
        </is>
      </c>
      <c r="K91" s="24" t="inlineStr">
        <is>
          <t>Customer is signed out on the next request and cannot sign in again.</t>
        </is>
      </c>
      <c r="L91" s="24" t="inlineStr">
        <is>
          <t>Dev log Phase 4.5</t>
        </is>
      </c>
      <c r="M91" s="24" t="inlineStr">
        <is>
          <t>Pass</t>
        </is>
      </c>
      <c r="N91" s="24" t="inlineStr">
        <is>
          <t>Local Pass · Staging Not run (rule) · Production Not run
local: suspended mid-session: /orders → /signin, /api/wallet 401; sign-in again refused: "no code step"
staging: not run on staging: needs the server's database (local run only)</t>
        </is>
      </c>
      <c r="O91" s="24" t="n"/>
      <c r="P91" s="24" t="inlineStr">
        <is>
          <t>2026-10-24 17:05</t>
        </is>
      </c>
    </row>
    <row r="92" ht="34.5" customHeight="1" s="13">
      <c r="A92" s="24" t="inlineStr">
        <is>
          <t>TC-LOC-001</t>
        </is>
      </c>
      <c r="B92" s="24" t="inlineStr">
        <is>
          <t>Location, addresses &amp; serviceability</t>
        </is>
      </c>
      <c r="C92" s="24" t="inlineStr">
        <is>
          <t>GS-004</t>
        </is>
      </c>
      <c r="D92" s="24" t="inlineStr">
        <is>
          <t>Set delivery location by PIN code</t>
        </is>
      </c>
      <c r="E92" s="24" t="inlineStr">
        <is>
          <t>Positive</t>
        </is>
      </c>
      <c r="F92" s="24" t="inlineStr">
        <is>
          <t>P0</t>
        </is>
      </c>
      <c r="G92" s="24" t="inlineStr">
        <is>
          <t>Guest</t>
        </is>
      </c>
      <c r="H92" s="24" t="inlineStr">
        <is>
          <t>UI</t>
        </is>
      </c>
      <c r="I92" s="24" t="n"/>
      <c r="J92" s="24" t="inlineStr">
        <is>
          <t>1. Home -&gt; 'Deliver to' -&gt; Change -&gt; enter a valid 6-digit PIN</t>
        </is>
      </c>
      <c r="K92" s="24" t="inlineStr">
        <is>
          <t>Label updates. 'Shops that deliver to you' refreshes. Choice persists across pages and reloads (gk_location cookie).</t>
        </is>
      </c>
      <c r="L92" s="24" t="inlineStr">
        <is>
          <t>Dev log Slice 1 handoff; QA B-03</t>
        </is>
      </c>
      <c r="M92" s="24" t="inlineStr">
        <is>
          <t>Fail</t>
        </is>
      </c>
      <c r="N92" s="24" t="inlineStr">
        <is>
          <t>Local Fail · Staging Pass · Production Pass
local: expect(locator).toBeVisible() failed | Locator: getByTestId('home-shops').getByTestId('shop-card').filter({ hasText: 'QA Shop A mvmkyclr' }).first() | Expected: visible | Timeout: 15000ms
staging: PIN 411038 set from the location bar, then cleared
production: PIN 411038 set from the location bar, then cleared</t>
        </is>
      </c>
      <c r="O92" s="24" t="n"/>
      <c r="P92" s="24" t="inlineStr">
        <is>
          <t>2026-10-29 14:02</t>
        </is>
      </c>
    </row>
    <row r="93" ht="23.25" customHeight="1" s="13">
      <c r="A93" s="24" t="inlineStr">
        <is>
          <t>TC-LOC-002</t>
        </is>
      </c>
      <c r="B93" s="24" t="inlineStr">
        <is>
          <t>Location, addresses &amp; serviceability</t>
        </is>
      </c>
      <c r="C93" s="24" t="inlineStr">
        <is>
          <t>GS-004</t>
        </is>
      </c>
      <c r="D93" s="24" t="inlineStr">
        <is>
          <t>Invalid PIN is rejected</t>
        </is>
      </c>
      <c r="E93" s="24" t="inlineStr">
        <is>
          <t>Negative</t>
        </is>
      </c>
      <c r="F93" s="24" t="inlineStr">
        <is>
          <t>P1</t>
        </is>
      </c>
      <c r="G93" s="24" t="inlineStr">
        <is>
          <t>Guest</t>
        </is>
      </c>
      <c r="H93" s="24" t="inlineStr">
        <is>
          <t>UI+API</t>
        </is>
      </c>
      <c r="I93" s="24" t="n"/>
      <c r="J93" s="24" t="inlineStr">
        <is>
          <t>1. Enter 12345, 1234567, abcdef, 000000</t>
        </is>
      </c>
      <c r="K93" s="24" t="inlineStr">
        <is>
          <t>Field error; location unchanged; POST /api/location returns 422.</t>
        </is>
      </c>
      <c r="L93" s="24" t="inlineStr">
        <is>
          <t>Dev log Slice 1 handoff</t>
        </is>
      </c>
      <c r="M93" s="24" t="inlineStr">
        <is>
          <t>Pass</t>
        </is>
      </c>
      <c r="N93" s="24" t="inlineStr">
        <is>
          <t>Local Pass (partial) · Staging Pass · Production Pass
local: not covered: PINs starting with 0 (000000, 011001) are accepted — known defect D-04, asserted by the guest check in guest/storefront.spec.ts
staging: 7 digits cut to 6; refused on the field: 12345, 011001, abcdef; API 000000 → 422
production: 7 digits cut to 6; refused on the field: 12345, 011001, abcdef; API 000000 → 422</t>
        </is>
      </c>
      <c r="O93" s="24" t="inlineStr">
        <is>
          <t>D-04</t>
        </is>
      </c>
      <c r="P93" s="24" t="inlineStr">
        <is>
          <t>2026-10-29 14:02</t>
        </is>
      </c>
    </row>
    <row r="94" ht="23.25" customHeight="1" s="13">
      <c r="A94" s="24" t="inlineStr">
        <is>
          <t>TC-LOC-003</t>
        </is>
      </c>
      <c r="B94" s="24" t="inlineStr">
        <is>
          <t>Location, addresses &amp; serviceability</t>
        </is>
      </c>
      <c r="C94" s="24" t="inlineStr">
        <is>
          <t>GS-004</t>
        </is>
      </c>
      <c r="D94" s="24" t="inlineStr">
        <is>
          <t>Set location from device position - allow and deny</t>
        </is>
      </c>
      <c r="E94" s="24" t="inlineStr">
        <is>
          <t>Positive</t>
        </is>
      </c>
      <c r="F94" s="24" t="inlineStr">
        <is>
          <t>P1</t>
        </is>
      </c>
      <c r="G94" s="24" t="inlineStr">
        <is>
          <t>Guest</t>
        </is>
      </c>
      <c r="H94" s="24" t="inlineStr">
        <is>
          <t>UI</t>
        </is>
      </c>
      <c r="I94" s="24" t="n"/>
      <c r="J94" s="24" t="inlineStr">
        <is>
          <t>1. Choose 'Use my current location' and allow
2. Repeat and deny the browser prompt</t>
        </is>
      </c>
      <c r="K94" s="24" t="inlineStr">
        <is>
          <t>Allow: location set (coordinates rounded to 4 decimals). Deny: a clear message and the previous location is kept.</t>
        </is>
      </c>
      <c r="L94" s="24" t="inlineStr">
        <is>
          <t>Dev log Slice 1 handoff</t>
        </is>
      </c>
      <c r="M94" s="24" t="inlineStr">
        <is>
          <t>Pass</t>
        </is>
      </c>
      <c r="N94" s="24" t="inlineStr">
        <is>
          <t>Local Pass · Staging Blocked · Production Not run
local: allowed: 18.50745678,73.80771234 stored as 18.5075,73.8077; denied: "Location permission was not given…", PIN 411038 kept ‖ [phone] allowed: 18.50745678,73.80771234 stored as 18.5075,73.8077; denied: "Location permission was not given…", PIN 411038 kept
staging: needs the test data's location (shop A's coordinates)</t>
        </is>
      </c>
      <c r="O94" s="24" t="n"/>
      <c r="P94" s="24" t="inlineStr">
        <is>
          <t>2026-10-24 21:56</t>
        </is>
      </c>
    </row>
    <row r="95" ht="23.25" customHeight="1" s="13">
      <c r="A95" s="24" t="inlineStr">
        <is>
          <t>TC-LOC-004</t>
        </is>
      </c>
      <c r="B95" s="24" t="inlineStr">
        <is>
          <t>Location, addresses &amp; serviceability</t>
        </is>
      </c>
      <c r="C95" s="24" t="inlineStr">
        <is>
          <t>GS-004</t>
        </is>
      </c>
      <c r="D95" s="24" t="inlineStr">
        <is>
          <t>Set location from a saved address</t>
        </is>
      </c>
      <c r="E95" s="24" t="inlineStr">
        <is>
          <t>Positive</t>
        </is>
      </c>
      <c r="F95" s="24" t="inlineStr">
        <is>
          <t>P0</t>
        </is>
      </c>
      <c r="G95" s="24" t="inlineStr">
        <is>
          <t>Customer</t>
        </is>
      </c>
      <c r="H95" s="24" t="inlineStr">
        <is>
          <t>UI</t>
        </is>
      </c>
      <c r="I95" s="24" t="inlineStr">
        <is>
          <t>Two saved addresses</t>
        </is>
      </c>
      <c r="J95" s="24" t="inlineStr">
        <is>
          <t>1. Pick each saved address in the location picker</t>
        </is>
      </c>
      <c r="K95" s="24" t="inlineStr">
        <is>
          <t>List of delivering shops changes accordingly; the cart preselects that address.</t>
        </is>
      </c>
      <c r="L95" s="24" t="inlineStr">
        <is>
          <t>QA B-03</t>
        </is>
      </c>
      <c r="M95" s="24" t="inlineStr">
        <is>
          <t>Pass</t>
        </is>
      </c>
      <c r="N95" s="24" t="inlineStr">
        <is>
          <t>Passed, partly covered. Local Pass (partial) · Staging Blocked · Production Not run
local: blocked: "QA Butter 100 g mvmkyclr" cannot be added — HTTP 409: This product is currently unavailable online.
staging: needs the "packaged" listing of the test data</t>
        </is>
      </c>
      <c r="O95" s="24" t="n"/>
      <c r="P95" s="24" t="inlineStr">
        <is>
          <t>2026-10-24 21:56</t>
        </is>
      </c>
    </row>
    <row r="96" ht="23.25" customHeight="1" s="13">
      <c r="A96" s="24" t="inlineStr">
        <is>
          <t>TC-LOC-005</t>
        </is>
      </c>
      <c r="B96" s="24" t="inlineStr">
        <is>
          <t>Location, addresses &amp; serviceability</t>
        </is>
      </c>
      <c r="C96" s="24" t="inlineStr">
        <is>
          <t>GS-004</t>
        </is>
      </c>
      <c r="D96" s="24" t="inlineStr">
        <is>
          <t>Signed-in customer defaults to the default address</t>
        </is>
      </c>
      <c r="E96" s="24" t="inlineStr">
        <is>
          <t>Positive</t>
        </is>
      </c>
      <c r="F96" s="24" t="inlineStr">
        <is>
          <t>P1</t>
        </is>
      </c>
      <c r="G96" s="24" t="inlineStr">
        <is>
          <t>Customer</t>
        </is>
      </c>
      <c r="H96" s="24" t="inlineStr">
        <is>
          <t>UI</t>
        </is>
      </c>
      <c r="I96" s="24" t="inlineStr">
        <is>
          <t>Default address set; no location cookie</t>
        </is>
      </c>
      <c r="J96" s="24" t="inlineStr">
        <is>
          <t>1. Clear the location
2. Reload home</t>
        </is>
      </c>
      <c r="K96" s="24" t="inlineStr">
        <is>
          <t>Discovery uses the default address.</t>
        </is>
      </c>
      <c r="L96" s="24" t="inlineStr">
        <is>
          <t>Dev log Slice 1 handoff</t>
        </is>
      </c>
      <c r="M96" s="24" t="inlineStr">
        <is>
          <t>Pass</t>
        </is>
      </c>
      <c r="N96" s="24" t="inlineStr">
        <is>
          <t>Passed, partly covered. Local Pass (partial) · Staging Blocked · Production Not run
local: not covered: TC-LOC-007's guest half (all shops / a prompt) is guest/storefront.spec.ts
staging: needs the test data's location (shop A's coordinates)</t>
        </is>
      </c>
      <c r="O96" s="24" t="n"/>
      <c r="P96" s="24" t="inlineStr">
        <is>
          <t>2026-10-24 21:56</t>
        </is>
      </c>
    </row>
    <row r="97" ht="23.25" customHeight="1" s="13">
      <c r="A97" s="24" t="inlineStr">
        <is>
          <t>TC-LOC-006</t>
        </is>
      </c>
      <c r="B97" s="24" t="inlineStr">
        <is>
          <t>Location, addresses &amp; serviceability</t>
        </is>
      </c>
      <c r="C97" s="24" t="inlineStr">
        <is>
          <t>GS-004, GS-072</t>
        </is>
      </c>
      <c r="D97" s="24" t="inlineStr">
        <is>
          <t>Search an address with Places and save it</t>
        </is>
      </c>
      <c r="E97" s="24" t="inlineStr">
        <is>
          <t>Positive</t>
        </is>
      </c>
      <c r="F97" s="24" t="inlineStr">
        <is>
          <t>P1</t>
        </is>
      </c>
      <c r="G97" s="24" t="inlineStr">
        <is>
          <t>Customer</t>
        </is>
      </c>
      <c r="H97" s="24" t="inlineStr">
        <is>
          <t>UI</t>
        </is>
      </c>
      <c r="I97" s="24" t="inlineStr">
        <is>
          <t>Maps key configured</t>
        </is>
      </c>
      <c r="J97" s="24" t="inlineStr">
        <is>
          <t>1. Change -&gt; 'Search an address' -&gt; pick a result
2. Accept the offer to save it</t>
        </is>
      </c>
      <c r="K97" s="24" t="inlineStr">
        <is>
          <t>Location label updates; shop list refreshes; the place is saved as an address.</t>
        </is>
      </c>
      <c r="L97" s="24" t="inlineStr">
        <is>
          <t>QA B-02</t>
        </is>
      </c>
      <c r="M97" s="24" t="inlineStr">
        <is>
          <t>Blocked</t>
        </is>
      </c>
      <c r="N97" s="24" t="inlineStr">
        <is>
          <t>Local Blocked · Staging Blocked · Production Not run
local: Google Maps is not configured on this site (NEXT_PUBLIC_GOOGLE_MAPS_API_KEY unset): the chooser offers no 'Search an address'
staging: the Places search box needs live Google Places suggestions, which this run cannot reach</t>
        </is>
      </c>
      <c r="O97" s="24" t="n"/>
      <c r="P97" s="24" t="inlineStr">
        <is>
          <t>2026-10-24 20:46</t>
        </is>
      </c>
    </row>
    <row r="98" ht="23.25" customHeight="1" s="13">
      <c r="A98" s="24" t="inlineStr">
        <is>
          <t>TC-LOC-007</t>
        </is>
      </c>
      <c r="B98" s="24" t="inlineStr">
        <is>
          <t>Location, addresses &amp; serviceability</t>
        </is>
      </c>
      <c r="C98" s="24" t="inlineStr">
        <is>
          <t>GS-004</t>
        </is>
      </c>
      <c r="D98" s="24" t="inlineStr">
        <is>
          <t>Clear location</t>
        </is>
      </c>
      <c r="E98" s="24" t="inlineStr">
        <is>
          <t>Positive</t>
        </is>
      </c>
      <c r="F98" s="24" t="inlineStr">
        <is>
          <t>P2</t>
        </is>
      </c>
      <c r="G98" s="24" t="inlineStr">
        <is>
          <t>Guest</t>
        </is>
      </c>
      <c r="H98" s="24" t="inlineStr">
        <is>
          <t>UI+API</t>
        </is>
      </c>
      <c r="I98" s="24" t="n"/>
      <c r="J98" s="24" t="inlineStr">
        <is>
          <t>1. Clear the location (DELETE /api/location)</t>
        </is>
      </c>
      <c r="K98" s="24" t="inlineStr">
        <is>
          <t>Cookie cleared; pages show all shops or ask for a location.</t>
        </is>
      </c>
      <c r="L98" s="24" t="inlineStr">
        <is>
          <t>API.md</t>
        </is>
      </c>
      <c r="M98" s="24" t="inlineStr">
        <is>
          <t>Pass</t>
        </is>
      </c>
      <c r="N98" s="24" t="inlineStr">
        <is>
          <t>Local Pass (partial) · Staging Pass · Production Pass
local: not covered: TC-LOC-007's guest half (all shops / a prompt) is guest/storefront.spec.ts
staging: PIN 411038 set from the location bar, then cleared
production: PIN 411038 set from the location bar, then cleared</t>
        </is>
      </c>
      <c r="O98" s="24" t="n"/>
      <c r="P98" s="24" t="inlineStr">
        <is>
          <t>2026-10-29 14:02</t>
        </is>
      </c>
    </row>
    <row r="99" ht="23.25" customHeight="1" s="13">
      <c r="A99" s="24" t="inlineStr">
        <is>
          <t>TC-LOC-008</t>
        </is>
      </c>
      <c r="B99" s="24" t="inlineStr">
        <is>
          <t>Location, addresses &amp; serviceability</t>
        </is>
      </c>
      <c r="C99" s="24" t="inlineStr">
        <is>
          <t>GS-004</t>
        </is>
      </c>
      <c r="D99" s="24" t="inlineStr">
        <is>
          <t>Address book: create, edit, set default, delete</t>
        </is>
      </c>
      <c r="E99" s="24" t="inlineStr">
        <is>
          <t>Positive</t>
        </is>
      </c>
      <c r="F99" s="24" t="inlineStr">
        <is>
          <t>P0</t>
        </is>
      </c>
      <c r="G99" s="24" t="inlineStr">
        <is>
          <t>Customer</t>
        </is>
      </c>
      <c r="H99" s="24" t="inlineStr">
        <is>
          <t>UI</t>
        </is>
      </c>
      <c r="I99" s="24" t="n"/>
      <c r="J99" s="24" t="inlineStr">
        <is>
          <t>1. /profile/addresses -&gt; add with type Home/Work/Other, recipient name and mobile, landmark, PIN, map pin
2. Edit
3. Set default
4. Delete a non-default address</t>
        </is>
      </c>
      <c r="K99" s="24" t="inlineStr">
        <is>
          <t>All fields persist and display. Default flag moves. Deleted address disappears and is no longer selectable in the cart.</t>
        </is>
      </c>
      <c r="L99" s="24" t="inlineStr">
        <is>
          <t>QA B-01; Regression CUS-01</t>
        </is>
      </c>
      <c r="M99" s="24" t="inlineStr">
        <is>
          <t>Pass</t>
        </is>
      </c>
      <c r="N99" s="24" t="inlineStr">
        <is>
          <t>Passed, partly covered. Local Pass (partial) · Staging Blocked · Production Not run
local: blocked: "QA Butter 100 g mvmkyclr" cannot be added — HTTP 409: This product is currently unavailable online.
staging: needs the test data's location (shop A's coordinates)</t>
        </is>
      </c>
      <c r="O99" s="24" t="n"/>
      <c r="P99" s="24" t="inlineStr">
        <is>
          <t>2026-10-24 21:56</t>
        </is>
      </c>
    </row>
    <row r="100" ht="23.25" customHeight="1" s="13">
      <c r="A100" s="24" t="inlineStr">
        <is>
          <t>TC-LOC-009</t>
        </is>
      </c>
      <c r="B100" s="24" t="inlineStr">
        <is>
          <t>Location, addresses &amp; serviceability</t>
        </is>
      </c>
      <c r="C100" s="24" t="inlineStr">
        <is>
          <t>GS-004</t>
        </is>
      </c>
      <c r="D100" s="24" t="inlineStr">
        <is>
          <t>Invalid recipient mobile on an address</t>
        </is>
      </c>
      <c r="E100" s="24" t="inlineStr">
        <is>
          <t>Negative</t>
        </is>
      </c>
      <c r="F100" s="24" t="inlineStr">
        <is>
          <t>P1</t>
        </is>
      </c>
      <c r="G100" s="24" t="inlineStr">
        <is>
          <t>Customer</t>
        </is>
      </c>
      <c r="H100" s="24" t="inlineStr">
        <is>
          <t>UI</t>
        </is>
      </c>
      <c r="I100" s="24" t="n"/>
      <c r="J100" s="24" t="inlineStr">
        <is>
          <t>1. Save an address with recipient mobile 12345</t>
        </is>
      </c>
      <c r="K100" s="24" t="inlineStr">
        <is>
          <t>Rejected with a field message.</t>
        </is>
      </c>
      <c r="L100" s="24" t="inlineStr">
        <is>
          <t>QA B-01</t>
        </is>
      </c>
      <c r="M100" s="24" t="inlineStr">
        <is>
          <t>Pass</t>
        </is>
      </c>
      <c r="N100" s="24" t="inlineStr">
        <is>
          <t>Passed, partly covered. Local Pass (partial) · Staging Blocked · Production Not run
local: not covered: blank is accepted: the field is labelled '(optional)' in src/components/address-manager.tsx (expected result superseded)
staging: needs the test data's location (shop A's coordinates)</t>
        </is>
      </c>
      <c r="O100" s="24" t="inlineStr">
        <is>
          <t>D-09</t>
        </is>
      </c>
      <c r="P100" s="24" t="inlineStr">
        <is>
          <t>2026-10-24 20:46</t>
        </is>
      </c>
    </row>
    <row r="101" ht="23.25" customHeight="1" s="13">
      <c r="A101" s="24" t="inlineStr">
        <is>
          <t>TC-LOC-010</t>
        </is>
      </c>
      <c r="B101" s="24" t="inlineStr">
        <is>
          <t>Location, addresses &amp; serviceability</t>
        </is>
      </c>
      <c r="C101" s="24" t="inlineStr">
        <is>
          <t>GS-004, GS-072</t>
        </is>
      </c>
      <c r="D101" s="24" t="inlineStr">
        <is>
          <t>Re-pin an address on the map</t>
        </is>
      </c>
      <c r="E101" s="24" t="inlineStr">
        <is>
          <t>Positive</t>
        </is>
      </c>
      <c r="F101" s="24" t="inlineStr">
        <is>
          <t>P2</t>
        </is>
      </c>
      <c r="G101" s="24" t="inlineStr">
        <is>
          <t>Customer</t>
        </is>
      </c>
      <c r="H101" s="24" t="inlineStr">
        <is>
          <t>UI</t>
        </is>
      </c>
      <c r="I101" s="24" t="n"/>
      <c r="J101" s="24" t="inlineStr">
        <is>
          <t>1. Edit an address and move the pin / use current location</t>
        </is>
      </c>
      <c r="K101" s="24" t="inlineStr">
        <is>
          <t>New coordinates saved; 'Geo-tagged at' updates.</t>
        </is>
      </c>
      <c r="L101" s="24" t="inlineStr">
        <is>
          <t>Login-profile checklist</t>
        </is>
      </c>
      <c r="M101" s="24" t="inlineStr">
        <is>
          <t>Pass</t>
        </is>
      </c>
      <c r="N101" s="24" t="inlineStr">
        <is>
          <t>Passed, partly covered. Local Pass (partial) · Staging Blocked · Production Not run
local: not covered: the map itself (drag the pin) needs a Google Maps key; the device position path is used
staging: needs the test data's location (shop A's coordinates)</t>
        </is>
      </c>
      <c r="O101" s="24" t="n"/>
      <c r="P101" s="24" t="inlineStr">
        <is>
          <t>2026-10-24 20:46</t>
        </is>
      </c>
    </row>
    <row r="102" ht="23.25" customHeight="1" s="13">
      <c r="A102" s="24" t="inlineStr">
        <is>
          <t>TC-LOC-011</t>
        </is>
      </c>
      <c r="B102" s="24" t="inlineStr">
        <is>
          <t>Location, addresses &amp; serviceability</t>
        </is>
      </c>
      <c r="C102" s="24" t="inlineStr">
        <is>
          <t>GS-010</t>
        </is>
      </c>
      <c r="D102" s="24" t="inlineStr">
        <is>
          <t>Shop sets delivery radius</t>
        </is>
      </c>
      <c r="E102" s="24" t="inlineStr">
        <is>
          <t>Positive</t>
        </is>
      </c>
      <c r="F102" s="24" t="inlineStr">
        <is>
          <t>P0</t>
        </is>
      </c>
      <c r="G102" s="24" t="inlineStr">
        <is>
          <t>Shop</t>
        </is>
      </c>
      <c r="H102" s="24" t="inlineStr">
        <is>
          <t>UI</t>
        </is>
      </c>
      <c r="I102" s="24" t="n"/>
      <c r="J102" s="24" t="inlineStr">
        <is>
          <t>1. /shop -&gt; Location card -&gt; set radius 2 km, save
2. Set 50
3. Set 1</t>
        </is>
      </c>
      <c r="K102" s="24" t="inlineStr">
        <is>
          <t>Saved each time; audit entry records the previous value.</t>
        </is>
      </c>
      <c r="L102" s="24" t="inlineStr">
        <is>
          <t>Dev log Slice 1 handoff</t>
        </is>
      </c>
      <c r="M102" s="24" t="inlineStr">
        <is>
          <t>Pass</t>
        </is>
      </c>
      <c r="N102" s="24" t="inlineStr">
        <is>
          <t>Passed, partly covered. Local Pass (partial) · Staging Blocked · Production Not run
local: not covered: the audit entry with the previous value is checked in local/shopping-rules.spec.ts (needs the database)
staging: needs the id of shop A (local test data)</t>
        </is>
      </c>
      <c r="O102" s="24" t="n"/>
      <c r="P102" s="24" t="inlineStr">
        <is>
          <t>2026-10-24 20:46</t>
        </is>
      </c>
    </row>
    <row r="103" ht="45.75" customHeight="1" s="13">
      <c r="A103" s="24" t="inlineStr">
        <is>
          <t>TC-LOC-012</t>
        </is>
      </c>
      <c r="B103" s="24" t="inlineStr">
        <is>
          <t>Location, addresses &amp; serviceability</t>
        </is>
      </c>
      <c r="C103" s="24" t="inlineStr">
        <is>
          <t>GS-010</t>
        </is>
      </c>
      <c r="D103" s="24" t="inlineStr">
        <is>
          <t>Radius boundaries rejected</t>
        </is>
      </c>
      <c r="E103" s="24" t="inlineStr">
        <is>
          <t>Boundary</t>
        </is>
      </c>
      <c r="F103" s="24" t="inlineStr">
        <is>
          <t>P1</t>
        </is>
      </c>
      <c r="G103" s="24" t="inlineStr">
        <is>
          <t>Shop</t>
        </is>
      </c>
      <c r="H103" s="24" t="inlineStr">
        <is>
          <t>UI+API</t>
        </is>
      </c>
      <c r="I103" s="24" t="n"/>
      <c r="J103" s="24" t="inlineStr">
        <is>
          <t>1. Try 0, 51, 2.5, -1, empty</t>
        </is>
      </c>
      <c r="K103" s="24" t="inlineStr">
        <is>
          <t>Each rejected (422); stored value unchanged.</t>
        </is>
      </c>
      <c r="L103" s="24" t="inlineStr">
        <is>
          <t>Dev log Slice 1 handoff</t>
        </is>
      </c>
      <c r="M103" s="24" t="inlineStr">
        <is>
          <t>Pass</t>
        </is>
      </c>
      <c r="N103" s="24" t="inlineStr">
        <is>
          <t>Local Pass · Staging Blocked · Production Not run
local: 0→422, 51→422, 2.5→422, -1→422, ""→422, null→422; the form shows an error for 51; radius stays 5 km
staging: needs the id of shop A (local test data)</t>
        </is>
      </c>
      <c r="O103" s="24" t="n"/>
      <c r="P103" s="24" t="inlineStr">
        <is>
          <t>2026-10-24 20:46</t>
        </is>
      </c>
    </row>
    <row r="104" ht="34.5" customHeight="1" s="13">
      <c r="A104" s="24" t="inlineStr">
        <is>
          <t>TC-LOC-013</t>
        </is>
      </c>
      <c r="B104" s="24" t="inlineStr">
        <is>
          <t>Location, addresses &amp; serviceability</t>
        </is>
      </c>
      <c r="C104" s="24" t="inlineStr">
        <is>
          <t>GS-010, GS-019</t>
        </is>
      </c>
      <c r="D104" s="24" t="inlineStr">
        <is>
          <t>Customer outside the radius does not see the shop</t>
        </is>
      </c>
      <c r="E104" s="24" t="inlineStr">
        <is>
          <t>Positive</t>
        </is>
      </c>
      <c r="F104" s="24" t="inlineStr">
        <is>
          <t>P0</t>
        </is>
      </c>
      <c r="G104" s="24" t="inlineStr">
        <is>
          <t>Customer</t>
        </is>
      </c>
      <c r="H104" s="24" t="inlineStr">
        <is>
          <t>UI</t>
        </is>
      </c>
      <c r="I104" s="24" t="inlineStr">
        <is>
          <t>Shop radius 2 km; customer address about 5 km away</t>
        </is>
      </c>
      <c r="J104" s="24" t="inlineStr">
        <is>
          <t>1. Set location to that address
2. Open home, /shops and /search</t>
        </is>
      </c>
      <c r="K104" s="24" t="inlineStr">
        <is>
          <t>Shop absent from 'Shops that deliver to you' and from filtered lists.</t>
        </is>
      </c>
      <c r="L104" s="24" t="inlineStr">
        <is>
          <t>QA B-04</t>
        </is>
      </c>
      <c r="M104" s="24" t="inlineStr">
        <is>
          <t>Pass</t>
        </is>
      </c>
      <c r="N104" s="24" t="inlineStr">
        <is>
          <t>Passed, partly covered. Local Pass (partial) · Staging Blocked · Production Not run
local: not covered: 'Shops that deliver to you' is now 'Shops near you', which also lists nearby non-delivering shops marked 'Pickup · outside its delivery area' (src/app/shops/page.tsx, nearby-referral-2026-10)
staging: needs the "packaged" listing of the test data</t>
        </is>
      </c>
      <c r="O104" s="24" t="n"/>
      <c r="P104" s="24" t="inlineStr">
        <is>
          <t>2026-10-24 21:56</t>
        </is>
      </c>
    </row>
    <row r="105" ht="45.75" customHeight="1" s="13">
      <c r="A105" s="24" t="inlineStr">
        <is>
          <t>TC-LOC-014</t>
        </is>
      </c>
      <c r="B105" s="24" t="inlineStr">
        <is>
          <t>Location, addresses &amp; serviceability</t>
        </is>
      </c>
      <c r="C105" s="24" t="inlineStr">
        <is>
          <t>GS-010</t>
        </is>
      </c>
      <c r="D105" s="24" t="inlineStr">
        <is>
          <t>Customer exactly at / just inside / just outside the radius</t>
        </is>
      </c>
      <c r="E105" s="24" t="inlineStr">
        <is>
          <t>Boundary</t>
        </is>
      </c>
      <c r="F105" s="24" t="inlineStr">
        <is>
          <t>P2</t>
        </is>
      </c>
      <c r="G105" s="24" t="inlineStr">
        <is>
          <t>Customer</t>
        </is>
      </c>
      <c r="H105" s="24" t="inlineStr">
        <is>
          <t>UI</t>
        </is>
      </c>
      <c r="I105" s="24" t="inlineStr">
        <is>
          <t>Addresses at about 1.9, 2.0 and 2.1 km (straight line)</t>
        </is>
      </c>
      <c r="J105" s="24" t="inlineStr">
        <is>
          <t>1. Check shop visibility for each</t>
        </is>
      </c>
      <c r="K105" s="24" t="inlineStr">
        <is>
          <t>Inside and at the radius: listed. Outside: not listed. Distance shown matches straight-line distance.</t>
        </is>
      </c>
      <c r="L105" s="24" t="inlineStr">
        <is>
          <t>Dev log Slice 1 handoff</t>
        </is>
      </c>
      <c r="M105" s="24" t="inlineStr">
        <is>
          <t>Blocked</t>
        </is>
      </c>
      <c r="N105" s="24" t="inlineStr">
        <is>
          <t>Local Blocked · Staging Blocked · Production Not run
local: "QA Butter 100 g mvmkyclr" cannot be added — HTTP 409: This product is currently unavailable online.
staging: needs the "packaged" listing of the test data</t>
        </is>
      </c>
      <c r="O105" s="24" t="n"/>
      <c r="P105" s="24" t="inlineStr">
        <is>
          <t>2026-10-24 20:46</t>
        </is>
      </c>
    </row>
    <row r="106" ht="34.5" customHeight="1" s="13">
      <c r="A106" s="24" t="inlineStr">
        <is>
          <t>TC-LOC-015</t>
        </is>
      </c>
      <c r="B106" s="24" t="inlineStr">
        <is>
          <t>Location, addresses &amp; serviceability</t>
        </is>
      </c>
      <c r="C106" s="24" t="inlineStr">
        <is>
          <t>NEW-005, GS-010</t>
        </is>
      </c>
      <c r="D106" s="24" t="inlineStr">
        <is>
          <t>Extra delivery PIN zone beyond the radius</t>
        </is>
      </c>
      <c r="E106" s="24" t="inlineStr">
        <is>
          <t>Positive</t>
        </is>
      </c>
      <c r="F106" s="24" t="inlineStr">
        <is>
          <t>P1</t>
        </is>
      </c>
      <c r="G106" s="24" t="inlineStr">
        <is>
          <t>Shop</t>
        </is>
      </c>
      <c r="H106" s="24" t="inlineStr">
        <is>
          <t>UI</t>
        </is>
      </c>
      <c r="I106" s="24" t="inlineStr">
        <is>
          <t>Customer PIN outside the radius</t>
        </is>
      </c>
      <c r="J106" s="24" t="inlineStr">
        <is>
          <t>1. Shop adds the customer's PIN to extra delivery zones
2. Customer reloads</t>
        </is>
      </c>
      <c r="K106" s="24" t="inlineStr">
        <is>
          <t>Shop now appears for that PIN and checkout is allowed.</t>
        </is>
      </c>
      <c r="L106" s="24" t="inlineStr">
        <is>
          <t>QA B-05</t>
        </is>
      </c>
      <c r="M106" s="24" t="inlineStr">
        <is>
          <t>Blocked</t>
        </is>
      </c>
      <c r="N106" s="24" t="inlineStr">
        <is>
          <t>Local Blocked · Staging Blocked · Production Not run
local: "QA Butter 100 g mvmkyclr" cannot be added — HTTP 409: This product is currently unavailable online.
staging: needs the "packaged" listing of the test data</t>
        </is>
      </c>
      <c r="O106" s="24" t="n"/>
      <c r="P106" s="24" t="inlineStr">
        <is>
          <t>2026-10-24 20:46</t>
        </is>
      </c>
    </row>
    <row r="107" ht="23.25" customHeight="1" s="13">
      <c r="A107" s="24" t="inlineStr">
        <is>
          <t>TC-LOC-016</t>
        </is>
      </c>
      <c r="B107" s="24" t="inlineStr">
        <is>
          <t>Location, addresses &amp; serviceability</t>
        </is>
      </c>
      <c r="C107" s="24" t="inlineStr">
        <is>
          <t>GS-010</t>
        </is>
      </c>
      <c r="D107" s="24" t="inlineStr">
        <is>
          <t>Shop without coordinates matches by PIN only</t>
        </is>
      </c>
      <c r="E107" s="24" t="inlineStr">
        <is>
          <t>Positive</t>
        </is>
      </c>
      <c r="F107" s="24" t="inlineStr">
        <is>
          <t>P2</t>
        </is>
      </c>
      <c r="G107" s="24" t="inlineStr">
        <is>
          <t>Customer</t>
        </is>
      </c>
      <c r="H107" s="24" t="inlineStr">
        <is>
          <t>UI</t>
        </is>
      </c>
      <c r="I107" s="24" t="inlineStr">
        <is>
          <t>A shop with no pinned location</t>
        </is>
      </c>
      <c r="J107" s="24" t="inlineStr">
        <is>
          <t>1. Set location to the same PIN, then a different PIN</t>
        </is>
      </c>
      <c r="K107" s="24" t="inlineStr">
        <is>
          <t>Listed only when the PIN matches exactly.</t>
        </is>
      </c>
      <c r="L107" s="24" t="inlineStr">
        <is>
          <t>Dev log Slice 1 serviceability rule</t>
        </is>
      </c>
      <c r="M107" s="24" t="inlineStr">
        <is>
          <t>Pass</t>
        </is>
      </c>
      <c r="N107" s="24" t="inlineStr">
        <is>
          <t>Local Pass · Staging Not run (rule) · Production Not run
local: PIN 411038: listed, delivers, no distance; PIN 411045: not listed
staging: not run on staging: needs the server's database (local run only)</t>
        </is>
      </c>
      <c r="O107" s="24" t="n"/>
      <c r="P107" s="24" t="inlineStr">
        <is>
          <t>2026-10-24 17:07</t>
        </is>
      </c>
    </row>
    <row r="108" ht="23.25" customHeight="1" s="13">
      <c r="A108" s="24" t="inlineStr">
        <is>
          <t>TC-LOC-017</t>
        </is>
      </c>
      <c r="B108" s="24" t="inlineStr">
        <is>
          <t>Location, addresses &amp; serviceability</t>
        </is>
      </c>
      <c r="C108" s="24" t="inlineStr">
        <is>
          <t>GS-019</t>
        </is>
      </c>
      <c r="D108" s="24" t="inlineStr">
        <is>
          <t>Shop with delivery off or not approved is never listed as delivering</t>
        </is>
      </c>
      <c r="E108" s="24" t="inlineStr">
        <is>
          <t>Negative</t>
        </is>
      </c>
      <c r="F108" s="24" t="inlineStr">
        <is>
          <t>P0</t>
        </is>
      </c>
      <c r="G108" s="24" t="inlineStr">
        <is>
          <t>Customer</t>
        </is>
      </c>
      <c r="H108" s="24" t="inlineStr">
        <is>
          <t>UI</t>
        </is>
      </c>
      <c r="I108" s="24" t="inlineStr">
        <is>
          <t>One shop delivery off; one PENDING; one SUSPENDED</t>
        </is>
      </c>
      <c r="J108" s="24" t="inlineStr">
        <is>
          <t>1. Browse with a location set</t>
        </is>
      </c>
      <c r="K108" s="24" t="inlineStr">
        <is>
          <t>None appears in delivering lists. Pending/suspended shops do not appear at all, including with ?all=1.</t>
        </is>
      </c>
      <c r="L108" s="24" t="inlineStr">
        <is>
          <t>Dev log Slice 1 handoff</t>
        </is>
      </c>
      <c r="M108" s="24" t="inlineStr">
        <is>
          <t>Pass</t>
        </is>
      </c>
      <c r="N108" s="24" t="inlineStr">
        <is>
          <t>Local Pass · Staging Not run (rule) · Production Not run
local: delivery off: 'Pickup only', not in the delivering filter; pending: absent from /shops, ?all=1, search and the API; its page 404; suspended: absent everywhere
staging: not run on staging: needs the server's database (local run only)</t>
        </is>
      </c>
      <c r="O108" s="24" t="n"/>
      <c r="P108" s="24" t="inlineStr">
        <is>
          <t>2026-10-24 17:07</t>
        </is>
      </c>
    </row>
    <row r="109" ht="23.25" customHeight="1" s="13">
      <c r="A109" s="24" t="inlineStr">
        <is>
          <t>TC-LOC-018</t>
        </is>
      </c>
      <c r="B109" s="24" t="inlineStr">
        <is>
          <t>Location, addresses &amp; serviceability</t>
        </is>
      </c>
      <c r="C109" s="24" t="inlineStr">
        <is>
          <t>GS-026</t>
        </is>
      </c>
      <c r="D109" s="24" t="inlineStr">
        <is>
          <t>Cart warns when a shop does not deliver to the address</t>
        </is>
      </c>
      <c r="E109" s="24" t="inlineStr">
        <is>
          <t>Positive</t>
        </is>
      </c>
      <c r="F109" s="24" t="inlineStr">
        <is>
          <t>P0</t>
        </is>
      </c>
      <c r="G109" s="24" t="inlineStr">
        <is>
          <t>Customer</t>
        </is>
      </c>
      <c r="H109" s="24" t="inlineStr">
        <is>
          <t>UI</t>
        </is>
      </c>
      <c r="I109" s="24" t="inlineStr">
        <is>
          <t>Cart has items from an out-of-zone shop</t>
        </is>
      </c>
      <c r="J109" s="24" t="inlineStr">
        <is>
          <t>1. Open /cart</t>
        </is>
      </c>
      <c r="K109" s="24" t="inlineStr">
        <is>
          <t>That shop's group shows 'does not deliver' with a 'Change address' action; pay button disabled.</t>
        </is>
      </c>
      <c r="L109" s="24" t="inlineStr">
        <is>
          <t>QA B-04</t>
        </is>
      </c>
      <c r="M109" s="24" t="inlineStr">
        <is>
          <t>Pass</t>
        </is>
      </c>
      <c r="N109" s="24" t="inlineStr">
        <is>
          <t>Passed, partly covered. Local Pass (partial) · Staging Blocked · Production Not run
local: not covered: the delivery fee does not depend on the address in this build (computeDeliveryFee uses the subtotal only), so only issues and eligibility change ‖ blocked: "QA Butter 100 g mvmkyclr" cannot be added — HTTP 409: This product is currently unavailable online.
staging: needs the "packaged" listing of the test data</t>
        </is>
      </c>
      <c r="O109" s="24" t="n"/>
      <c r="P109" s="24" t="inlineStr">
        <is>
          <t>2026-10-24 21:56</t>
        </is>
      </c>
    </row>
    <row r="110" ht="34.5" customHeight="1" s="13">
      <c r="A110" s="24" t="inlineStr">
        <is>
          <t>TC-LOC-019</t>
        </is>
      </c>
      <c r="B110" s="24" t="inlineStr">
        <is>
          <t>Location, addresses &amp; serviceability</t>
        </is>
      </c>
      <c r="C110" s="24" t="inlineStr">
        <is>
          <t>GS-026</t>
        </is>
      </c>
      <c r="D110" s="24" t="inlineStr">
        <is>
          <t>Checkout hard block via API</t>
        </is>
      </c>
      <c r="E110" s="24" t="inlineStr">
        <is>
          <t>Security</t>
        </is>
      </c>
      <c r="F110" s="24" t="inlineStr">
        <is>
          <t>P0</t>
        </is>
      </c>
      <c r="G110" s="24" t="inlineStr">
        <is>
          <t>Customer</t>
        </is>
      </c>
      <c r="H110" s="24" t="inlineStr">
        <is>
          <t>API</t>
        </is>
      </c>
      <c r="I110" s="24" t="inlineStr">
        <is>
          <t>Same cart</t>
        </is>
      </c>
      <c r="J110" s="24" t="inlineStr">
        <is>
          <t>1. POST /api/checkout with the out-of-zone addressId</t>
        </is>
      </c>
      <c r="K110" s="24" t="inlineStr">
        <is>
          <t>Validation error naming the shop; no order, no debit, no stock change.</t>
        </is>
      </c>
      <c r="L110" s="24" t="inlineStr">
        <is>
          <t>Dev log Phase 2 handoff</t>
        </is>
      </c>
      <c r="M110" s="24" t="inlineStr">
        <is>
          <t>Blocked</t>
        </is>
      </c>
      <c r="N110" s="24" t="inlineStr">
        <is>
          <t>Local Blocked · Staging Blocked · Production Not run
local: "QA Butter 100 g mvmkyclr" cannot be added — HTTP 409: This product is currently unavailable online.
staging: needs the "packaged" listing of the test data</t>
        </is>
      </c>
      <c r="O110" s="24" t="n"/>
      <c r="P110" s="24" t="inlineStr">
        <is>
          <t>2026-10-24 20:46</t>
        </is>
      </c>
    </row>
    <row r="111" ht="23.25" customHeight="1" s="13">
      <c r="A111" s="24" t="inlineStr">
        <is>
          <t>TC-LOC-020</t>
        </is>
      </c>
      <c r="B111" s="24" t="inlineStr">
        <is>
          <t>Location, addresses &amp; serviceability</t>
        </is>
      </c>
      <c r="C111" s="24" t="inlineStr">
        <is>
          <t>GS-026</t>
        </is>
      </c>
      <c r="D111" s="24" t="inlineStr">
        <is>
          <t>Cart re-validates when the address changes</t>
        </is>
      </c>
      <c r="E111" s="24" t="inlineStr">
        <is>
          <t>Positive</t>
        </is>
      </c>
      <c r="F111" s="24" t="inlineStr">
        <is>
          <t>P1</t>
        </is>
      </c>
      <c r="G111" s="24" t="inlineStr">
        <is>
          <t>Customer</t>
        </is>
      </c>
      <c r="H111" s="24" t="inlineStr">
        <is>
          <t>UI</t>
        </is>
      </c>
      <c r="I111" s="24" t="inlineStr">
        <is>
          <t>Two addresses, one serviceable</t>
        </is>
      </c>
      <c r="J111" s="24" t="inlineStr">
        <is>
          <t>1. Switch the address in the cart dropdown</t>
        </is>
      </c>
      <c r="K111" s="24" t="inlineStr">
        <is>
          <t>Issues, delivery fee and eligibility update without a page reload.</t>
        </is>
      </c>
      <c r="L111" s="24" t="inlineStr">
        <is>
          <t>QA B-09</t>
        </is>
      </c>
      <c r="M111" s="24" t="inlineStr">
        <is>
          <t>Pass</t>
        </is>
      </c>
      <c r="N111" s="24" t="inlineStr">
        <is>
          <t>Passed, partly covered. Local Pass (partial) · Staging Blocked · Production Not run
local: not covered: the delivery fee does not depend on the address in this build (computeDeliveryFee uses the subtotal only), so only issues and eligibility change ‖ blocked: "QA Butter 100 g mvmkyclr" cannot be added — HTTP 409: This product is currently unavailable online.
staging: needs the "packaged" listing of the test data</t>
        </is>
      </c>
      <c r="O111" s="24" t="n"/>
      <c r="P111" s="24" t="inlineStr">
        <is>
          <t>2026-10-24 21:56</t>
        </is>
      </c>
    </row>
    <row r="112" ht="23.25" customHeight="1" s="13">
      <c r="A112" s="24" t="inlineStr">
        <is>
          <t>TC-LOC-021</t>
        </is>
      </c>
      <c r="B112" s="24" t="inlineStr">
        <is>
          <t>Location, addresses &amp; serviceability</t>
        </is>
      </c>
      <c r="C112" s="24" t="inlineStr">
        <is>
          <t>GS-026</t>
        </is>
      </c>
      <c r="D112" s="24" t="inlineStr">
        <is>
          <t>Mixed cart: only the affected shop is flagged</t>
        </is>
      </c>
      <c r="E112" s="24" t="inlineStr">
        <is>
          <t>Positive</t>
        </is>
      </c>
      <c r="F112" s="24" t="inlineStr">
        <is>
          <t>P1</t>
        </is>
      </c>
      <c r="G112" s="24" t="inlineStr">
        <is>
          <t>Customer</t>
        </is>
      </c>
      <c r="H112" s="24" t="inlineStr">
        <is>
          <t>UI</t>
        </is>
      </c>
      <c r="I112" s="24" t="inlineStr">
        <is>
          <t>Cart with items from two shops; one cannot deliver</t>
        </is>
      </c>
      <c r="J112" s="24" t="inlineStr">
        <is>
          <t>1. Open cart
2. Click 'Remove these items' on the flagged group</t>
        </is>
      </c>
      <c r="K112" s="24" t="inlineStr">
        <is>
          <t>Only that shop's lines are removed; the other shop's lines remain and checkout becomes available.</t>
        </is>
      </c>
      <c r="L112" s="24" t="inlineStr">
        <is>
          <t>QA B-08</t>
        </is>
      </c>
      <c r="M112" s="24" t="inlineStr">
        <is>
          <t>Pass</t>
        </is>
      </c>
      <c r="N112" s="24" t="inlineStr">
        <is>
          <t>Passed, partly covered. Local Pass (partial) · Staging Blocked · Production Not run
local: not covered: an out-of-zone group offers 'Change address' (not a remove) — that path is TC-LOC-018; here the flagged shop is one not taking orders ‖ blocked: "QA Butter 100 g mvmkyclr" cannot be added — HTTP 409: This product is currently unavailable online.
staging: needs the "packaged" listing of the test data</t>
        </is>
      </c>
      <c r="O112" s="24" t="n"/>
      <c r="P112" s="24" t="inlineStr">
        <is>
          <t>2026-10-24 21:56</t>
        </is>
      </c>
    </row>
    <row r="113" ht="23.25" customHeight="1" s="13">
      <c r="A113" s="24" t="inlineStr">
        <is>
          <t>TC-LOC-022</t>
        </is>
      </c>
      <c r="B113" s="24" t="inlineStr">
        <is>
          <t>Location, addresses &amp; serviceability</t>
        </is>
      </c>
      <c r="C113" s="24" t="inlineStr">
        <is>
          <t>NEW-005</t>
        </is>
      </c>
      <c r="D113" s="24" t="inlineStr">
        <is>
          <t>Minimum order value</t>
        </is>
      </c>
      <c r="E113" s="24" t="inlineStr">
        <is>
          <t>Boundary</t>
        </is>
      </c>
      <c r="F113" s="24" t="inlineStr">
        <is>
          <t>P0</t>
        </is>
      </c>
      <c r="G113" s="24" t="inlineStr">
        <is>
          <t>Customer</t>
        </is>
      </c>
      <c r="H113" s="24" t="inlineStr">
        <is>
          <t>UI+API</t>
        </is>
      </c>
      <c r="I113" s="24" t="inlineStr">
        <is>
          <t>Shop minimum Rs 200</t>
        </is>
      </c>
      <c r="J113" s="24" t="inlineStr">
        <is>
          <t>1. Cart Rs 100 -&gt; open cart
2. Call checkout API directly
3. Raise the cart to exactly Rs 200
4. Pickup order (no address) with Rs 100</t>
        </is>
      </c>
      <c r="K113" s="24" t="inlineStr">
        <is>
          <t>Below: 'needs a minimum order ... add Rs 100 more' with 'Add items', pay disabled, API validation error. Exactly Rs 200: allowed. Pickup orders are exempt.</t>
        </is>
      </c>
      <c r="L113" s="24" t="inlineStr">
        <is>
          <t>QA B-06</t>
        </is>
      </c>
      <c r="M113" s="24" t="inlineStr">
        <is>
          <t>Pass</t>
        </is>
      </c>
      <c r="N113" s="24" t="inlineStr">
        <is>
          <t>Passed, partly covered. Local Pass (partial) · Staging Blocked · Production Not run
local: not covered: the pickup exemption is TC-CART-016 in shopping-cart.spec.ts; ₹200 is rounded up to a whole number of the ₹40 test bread (₹200) ‖ blocked: "QA Butter 100 g mvmkyclr" cannot be added — HTTP 409: This product is currently unavailable online.
staging: needs the "packaged" listing of the test data ‖ needs the "sharedA" listing of the test data</t>
        </is>
      </c>
      <c r="O113" s="24" t="n"/>
      <c r="P113" s="24" t="inlineStr">
        <is>
          <t>2026-10-24 20:46</t>
        </is>
      </c>
    </row>
    <row r="114" ht="23.25" customHeight="1" s="13">
      <c r="A114" s="24" t="inlineStr">
        <is>
          <t>TC-LOC-023</t>
        </is>
      </c>
      <c r="B114" s="24" t="inlineStr">
        <is>
          <t>Location, addresses &amp; serviceability</t>
        </is>
      </c>
      <c r="C114" s="24" t="inlineStr">
        <is>
          <t>NEW-005</t>
        </is>
      </c>
      <c r="D114" s="24" t="inlineStr">
        <is>
          <t>Pause new orders</t>
        </is>
      </c>
      <c r="E114" s="24" t="inlineStr">
        <is>
          <t>Positive</t>
        </is>
      </c>
      <c r="F114" s="24" t="inlineStr">
        <is>
          <t>P0</t>
        </is>
      </c>
      <c r="G114" s="24" t="inlineStr">
        <is>
          <t>Shop</t>
        </is>
      </c>
      <c r="H114" s="24" t="inlineStr">
        <is>
          <t>UI</t>
        </is>
      </c>
      <c r="I114" s="24" t="n"/>
      <c r="J114" s="24" t="inlineStr">
        <is>
          <t>1. Shop ticks 'Pause new orders'
2. Customer checks lists and cart
3. Shop un-pauses</t>
        </is>
      </c>
      <c r="K114" s="24" t="inlineStr">
        <is>
          <t>Shop leaves delivery lists; cart shows 'not taking new orders' with 'Remove these items'; checkout refuses. Un-pause restores everything.</t>
        </is>
      </c>
      <c r="L114" s="24" t="inlineStr">
        <is>
          <t>QA B-07</t>
        </is>
      </c>
      <c r="M114" s="24" t="inlineStr">
        <is>
          <t>Blocked</t>
        </is>
      </c>
      <c r="N114" s="24" t="inlineStr">
        <is>
          <t>Local Blocked · Staging Blocked · Production Not run
local: "QA Butter 100 g mvmkyclr" cannot be added — HTTP 409: This product is currently unavailable online.
staging: needs the "packaged" listing of the test data</t>
        </is>
      </c>
      <c r="O114" s="24" t="n"/>
      <c r="P114" s="24" t="inlineStr">
        <is>
          <t>2026-10-24 20:47</t>
        </is>
      </c>
    </row>
    <row r="115" ht="23.25" customHeight="1" s="13">
      <c r="A115" s="24" t="inlineStr">
        <is>
          <t>TC-LOC-024</t>
        </is>
      </c>
      <c r="B115" s="24" t="inlineStr">
        <is>
          <t>Location, addresses &amp; serviceability</t>
        </is>
      </c>
      <c r="C115" s="24" t="inlineStr">
        <is>
          <t>NEW-003</t>
        </is>
      </c>
      <c r="D115" s="24" t="inlineStr">
        <is>
          <t>Ordering from a closed shop needs confirmation</t>
        </is>
      </c>
      <c r="E115" s="24" t="inlineStr">
        <is>
          <t>Positive</t>
        </is>
      </c>
      <c r="F115" s="24" t="inlineStr">
        <is>
          <t>P0</t>
        </is>
      </c>
      <c r="G115" s="24" t="inlineStr">
        <is>
          <t>Customer</t>
        </is>
      </c>
      <c r="H115" s="24" t="inlineStr">
        <is>
          <t>UI+API</t>
        </is>
      </c>
      <c r="I115" s="24" t="inlineStr">
        <is>
          <t>Shop currently outside its opening hours (IST)</t>
        </is>
      </c>
      <c r="J115" s="24" t="inlineStr">
        <is>
          <t>1. Add items, open cart
2. Click pay, answer No
3. Click pay, answer Yes
4. Call checkout API without acknowledgeClosedShopIds</t>
        </is>
      </c>
      <c r="K115" s="24" t="inlineStr">
        <is>
          <t>Cart shows 'might be closed ... opens &lt;day time&gt;'. No keeps the cart. Yes places the order. API without acknowledgement returns 409.</t>
        </is>
      </c>
      <c r="L115" s="24" t="inlineStr">
        <is>
          <t>Dev log 2-Oct handoff; QA B-10</t>
        </is>
      </c>
      <c r="M115" s="24" t="inlineStr">
        <is>
          <t>Pass</t>
        </is>
      </c>
      <c r="N115" s="24" t="inlineStr">
        <is>
          <t>Passed, partly covered. Local Pass (partial) · Staging Blocked · Production Not run
local: blocked: "QA Butter 100 g mvmkyclr" cannot be added — HTTP 409: This product is currently unavailable online.
staging: needs the "packaged" listing of the test data</t>
        </is>
      </c>
      <c r="O115" s="24" t="n"/>
      <c r="P115" s="24" t="inlineStr">
        <is>
          <t>2026-10-24 21:56</t>
        </is>
      </c>
    </row>
    <row r="116" ht="23.25" customHeight="1" s="13">
      <c r="A116" s="24" t="inlineStr">
        <is>
          <t>TC-LOC-025</t>
        </is>
      </c>
      <c r="B116" s="24" t="inlineStr">
        <is>
          <t>Location, addresses &amp; serviceability</t>
        </is>
      </c>
      <c r="C116" s="24" t="inlineStr">
        <is>
          <t>NEW-003, GS-055</t>
        </is>
      </c>
      <c r="D116" s="24" t="inlineStr">
        <is>
          <t>Closed-shop alerts are sent once</t>
        </is>
      </c>
      <c r="E116" s="24" t="inlineStr">
        <is>
          <t>Positive</t>
        </is>
      </c>
      <c r="F116" s="24" t="inlineStr">
        <is>
          <t>P1</t>
        </is>
      </c>
      <c r="G116" s="24" t="inlineStr">
        <is>
          <t>Shop</t>
        </is>
      </c>
      <c r="H116" s="24" t="inlineStr">
        <is>
          <t>UI</t>
        </is>
      </c>
      <c r="I116" s="24" t="inlineStr">
        <is>
          <t>Order placed while closed; notifications cron running</t>
        </is>
      </c>
      <c r="J116" s="24" t="inlineStr">
        <is>
          <t>1. Check shop and customer notifications immediately
2. Check again just after the shop's opening time</t>
        </is>
      </c>
      <c r="K116" s="24" t="inlineStr">
        <is>
          <t>Immediately: shop gets 'order while closed' (in-app + email) and customer gets 'queued'. On opening: one 'orders waiting' to the shop and one 'shop now open' to the customer - never duplicated.</t>
        </is>
      </c>
      <c r="L116" s="24" t="inlineStr">
        <is>
          <t>Dev log 2-Oct handoff</t>
        </is>
      </c>
      <c r="M116" s="24" t="inlineStr">
        <is>
          <t>Pass</t>
        </is>
      </c>
      <c r="N116" s="24" t="inlineStr">
        <is>
          <t>Passed, partly covered. Local Pass (partial) · Staging Not run (rule) · Production Not run
local: not covered: e-mail delivery is recorded in the detail (count of mails to the shop owner), not asserted
staging: not run on staging: needs the server's database (local run only)</t>
        </is>
      </c>
      <c r="O116" s="24" t="n"/>
      <c r="P116" s="24" t="inlineStr">
        <is>
          <t>2026-10-24 17:07</t>
        </is>
      </c>
    </row>
    <row r="117" ht="23.25" customHeight="1" s="13">
      <c r="A117" s="24" t="inlineStr">
        <is>
          <t>TC-LOC-026</t>
        </is>
      </c>
      <c r="B117" s="24" t="inlineStr">
        <is>
          <t>Location, addresses &amp; serviceability</t>
        </is>
      </c>
      <c r="C117" s="24" t="inlineStr">
        <is>
          <t>NEW-003</t>
        </is>
      </c>
      <c r="D117" s="24" t="inlineStr">
        <is>
          <t>Opening-hours edge cases use IST</t>
        </is>
      </c>
      <c r="E117" s="24" t="inlineStr">
        <is>
          <t>Boundary</t>
        </is>
      </c>
      <c r="F117" s="24" t="inlineStr">
        <is>
          <t>P2</t>
        </is>
      </c>
      <c r="G117" s="24" t="inlineStr">
        <is>
          <t>Customer</t>
        </is>
      </c>
      <c r="H117" s="24" t="inlineStr">
        <is>
          <t>UI</t>
        </is>
      </c>
      <c r="I117" s="24" t="n"/>
      <c r="J117" s="24" t="inlineStr">
        <is>
          <t>1. Check a shop with no hours set, a shop closed on Sunday, and one whose hours cross midnight, at times either side of the boundary</t>
        </is>
      </c>
      <c r="K117" s="24" t="inlineStr">
        <is>
          <t>No hours = always open. Closed days and midnight boundaries are judged in IST regardless of the browser's timezone. No hydration error on the shop grid.</t>
        </is>
      </c>
      <c r="L117" s="24" t="inlineStr">
        <is>
          <t>Dev log 2-Oct handoff</t>
        </is>
      </c>
      <c r="M117" s="24" t="inlineStr">
        <is>
          <t>Pass</t>
        </is>
      </c>
      <c r="N117" s="24" t="inlineStr">
        <is>
          <t>Passed, partly covered. Local Pass (partial) · Staging Blocked · Production Not run
local: not covered: hours that cross midnight: next check
staging: needs the id of shop A (local test data) ‖ needs the slug of shop A</t>
        </is>
      </c>
      <c r="O117" s="24" t="inlineStr">
        <is>
          <t>D-10</t>
        </is>
      </c>
      <c r="P117" s="24" t="inlineStr">
        <is>
          <t>2026-10-24 21:56</t>
        </is>
      </c>
    </row>
    <row r="118" ht="23.25" customHeight="1" s="13">
      <c r="A118" s="24" t="inlineStr">
        <is>
          <t>TC-LOC-027</t>
        </is>
      </c>
      <c r="B118" s="24" t="inlineStr">
        <is>
          <t>Location, addresses &amp; serviceability</t>
        </is>
      </c>
      <c r="C118" s="24" t="inlineStr">
        <is>
          <t>GS-005</t>
        </is>
      </c>
      <c r="D118" s="24" t="inlineStr">
        <is>
          <t>Link an address to a society</t>
        </is>
      </c>
      <c r="E118" s="24" t="inlineStr">
        <is>
          <t>Positive</t>
        </is>
      </c>
      <c r="F118" s="24" t="inlineStr">
        <is>
          <t>P1</t>
        </is>
      </c>
      <c r="G118" s="24" t="inlineStr">
        <is>
          <t>Customer</t>
        </is>
      </c>
      <c r="H118" s="24" t="inlineStr">
        <is>
          <t>UI+API</t>
        </is>
      </c>
      <c r="I118" s="24" t="inlineStr">
        <is>
          <t>Customer is an approved member of a VERIFIED society</t>
        </is>
      </c>
      <c r="J118" s="24" t="inlineStr">
        <is>
          <t>1. Link an address to that society
2. Place an order to it</t>
        </is>
      </c>
      <c r="K118" s="24" t="inlineStr">
        <is>
          <t>Link saved; the order carries the society (visible on the society dashboard deliveries).</t>
        </is>
      </c>
      <c r="L118" s="24" t="inlineStr">
        <is>
          <t>Dev log Phase 2 handoff</t>
        </is>
      </c>
      <c r="M118" s="24" t="inlineStr">
        <is>
          <t>Blocked</t>
        </is>
      </c>
      <c r="N118" s="24" t="inlineStr">
        <is>
          <t>Local Blocked · Staging Blocked · Production Not run
local: "QA Butter 100 g mvmkyclr" cannot be added — HTTP 409: This product is currently unavailable online.
staging: needs a verified society in the test data</t>
        </is>
      </c>
      <c r="O118" s="24" t="n"/>
      <c r="P118" s="24" t="inlineStr">
        <is>
          <t>2026-10-24 20:46</t>
        </is>
      </c>
    </row>
    <row r="119" ht="23.25" customHeight="1" s="13">
      <c r="A119" s="24" t="inlineStr">
        <is>
          <t>TC-LOC-028</t>
        </is>
      </c>
      <c r="B119" s="24" t="inlineStr">
        <is>
          <t>Location, addresses &amp; serviceability</t>
        </is>
      </c>
      <c r="C119" s="24" t="inlineStr">
        <is>
          <t>GS-005</t>
        </is>
      </c>
      <c r="D119" s="24" t="inlineStr">
        <is>
          <t>Cannot link an address to a society you do not belong to</t>
        </is>
      </c>
      <c r="E119" s="24" t="inlineStr">
        <is>
          <t>Negative</t>
        </is>
      </c>
      <c r="F119" s="24" t="inlineStr">
        <is>
          <t>P1</t>
        </is>
      </c>
      <c r="G119" s="24" t="inlineStr">
        <is>
          <t>Customer</t>
        </is>
      </c>
      <c r="H119" s="24" t="inlineStr">
        <is>
          <t>API</t>
        </is>
      </c>
      <c r="I119" s="24" t="n"/>
      <c r="J119" s="24" t="inlineStr">
        <is>
          <t>1. PUT /api/addresses/{id}/society with an unverified society, and with a verified society the user is not an active member of</t>
        </is>
      </c>
      <c r="K119" s="24" t="inlineStr">
        <is>
          <t>Refused; no link.</t>
        </is>
      </c>
      <c r="L119" s="24" t="inlineStr">
        <is>
          <t>Dev log Phase 2 handoff</t>
        </is>
      </c>
      <c r="M119" s="24" t="inlineStr">
        <is>
          <t>Pass</t>
        </is>
      </c>
      <c r="N119" s="24" t="inlineStr">
        <is>
          <t>Passed, partly covered. Local Pass (partial) · Staging Blocked · Production Not run
local: not covered: TC-FLD-019 'each listed option saves' is TC-LOC-027
staging: needs a verified society in the test data</t>
        </is>
      </c>
      <c r="O119" s="24" t="n"/>
      <c r="P119" s="24" t="inlineStr">
        <is>
          <t>2026-10-24 20:46</t>
        </is>
      </c>
    </row>
    <row r="120" ht="23.25" customHeight="1" s="13">
      <c r="A120" s="24" t="inlineStr">
        <is>
          <t>TC-LOC-029</t>
        </is>
      </c>
      <c r="B120" s="24" t="inlineStr">
        <is>
          <t>Location, addresses &amp; serviceability</t>
        </is>
      </c>
      <c r="C120" s="24" t="inlineStr">
        <is>
          <t>GS-072</t>
        </is>
      </c>
      <c r="D120" s="24" t="inlineStr">
        <is>
          <t>Road distance and routed ETA</t>
        </is>
      </c>
      <c r="E120" s="24" t="inlineStr">
        <is>
          <t>Positive</t>
        </is>
      </c>
      <c r="F120" s="24" t="inlineStr">
        <is>
          <t>P1</t>
        </is>
      </c>
      <c r="G120" s="24" t="inlineStr">
        <is>
          <t>Customer</t>
        </is>
      </c>
      <c r="H120" s="24" t="inlineStr">
        <is>
          <t>UI</t>
        </is>
      </c>
      <c r="I120" s="24" t="inlineStr">
        <is>
          <t>Maps keys configured</t>
        </is>
      </c>
      <c r="J120" s="24" t="inlineStr">
        <is>
          <t>1. Check the delivery estimate at checkout
2. Rider opens the job</t>
        </is>
      </c>
      <c r="K120" s="24" t="inlineStr">
        <is>
          <t>ETA comes from the road route and is the same for customer and rider within rounding.</t>
        </is>
      </c>
      <c r="L120" s="24" t="inlineStr">
        <is>
          <t>Open features 3-Oct, treated as completed 4-Oct</t>
        </is>
      </c>
      <c r="M120" s="24" t="inlineStr">
        <is>
          <t>Blocked</t>
        </is>
      </c>
      <c r="N120" s="24" t="inlineStr">
        <is>
          <t>Local Blocked · Staging Not run (rule) · Production Not run
local: needs a routing provider: GOOGLE_MAPS_SERVER_API_KEY (Google Routes) or a reachable OSRM server — the local server has neither and no outbound internet; the straight-line fallback is TC-LOC-031
staging: not run on staging: needs the server's database (local run only)</t>
        </is>
      </c>
      <c r="O120" s="24" t="n"/>
      <c r="P120" s="24" t="inlineStr">
        <is>
          <t>2026-10-24 17:07</t>
        </is>
      </c>
    </row>
    <row r="121" ht="23.25" customHeight="1" s="13">
      <c r="A121" s="24" t="inlineStr">
        <is>
          <t>TC-LOC-030</t>
        </is>
      </c>
      <c r="B121" s="24" t="inlineStr">
        <is>
          <t>Location, addresses &amp; serviceability</t>
        </is>
      </c>
      <c r="C121" s="24" t="inlineStr">
        <is>
          <t>GS-072</t>
        </is>
      </c>
      <c r="D121" s="24" t="inlineStr">
        <is>
          <t>In-app navigation for the rider</t>
        </is>
      </c>
      <c r="E121" s="24" t="inlineStr">
        <is>
          <t>Positive</t>
        </is>
      </c>
      <c r="F121" s="24" t="inlineStr">
        <is>
          <t>P2</t>
        </is>
      </c>
      <c r="G121" s="24" t="inlineStr">
        <is>
          <t>Rider</t>
        </is>
      </c>
      <c r="H121" s="24" t="inlineStr">
        <is>
          <t>UI</t>
        </is>
      </c>
      <c r="I121" s="24" t="n"/>
      <c r="J121" s="24" t="inlineStr">
        <is>
          <t>1. Start navigation to the shop, then to the customer
2. Leave the route</t>
        </is>
      </c>
      <c r="K121" s="24" t="inlineStr">
        <is>
          <t>Route is drawn in the app and recalculated after leaving it. The customer address appears only after pickup.</t>
        </is>
      </c>
      <c r="L121" s="24" t="inlineStr">
        <is>
          <t>Open features 3-Oct, treated as completed 4-Oct</t>
        </is>
      </c>
      <c r="M121" s="24" t="inlineStr">
        <is>
          <t>Blocked</t>
        </is>
      </c>
      <c r="N121" s="24" t="inlineStr">
        <is>
          <t>Local Blocked · Staging Not run (rule) · Production Not run
local: no delivery offer reached the rider for order b2ada76a-1996-46c1-8d76-201fd5041c68 within 45 s (rider offline or busy?)
staging: not run on staging: needs the server's database (local run only)</t>
        </is>
      </c>
      <c r="O121" s="24" t="n"/>
      <c r="P121" s="24" t="inlineStr">
        <is>
          <t>2026-10-24 17:07</t>
        </is>
      </c>
    </row>
    <row r="122" ht="34.5" customHeight="1" s="13">
      <c r="A122" s="24" t="inlineStr">
        <is>
          <t>TC-LOC-031</t>
        </is>
      </c>
      <c r="B122" s="24" t="inlineStr">
        <is>
          <t>Location, addresses &amp; serviceability</t>
        </is>
      </c>
      <c r="C122" s="24" t="inlineStr">
        <is>
          <t>GS-072</t>
        </is>
      </c>
      <c r="D122" s="24" t="inlineStr">
        <is>
          <t>Routing service unavailable or over quota</t>
        </is>
      </c>
      <c r="E122" s="24" t="inlineStr">
        <is>
          <t>Negative</t>
        </is>
      </c>
      <c r="F122" s="24" t="inlineStr">
        <is>
          <t>P1</t>
        </is>
      </c>
      <c r="G122" s="24" t="inlineStr">
        <is>
          <t>Customer</t>
        </is>
      </c>
      <c r="H122" s="24" t="inlineStr">
        <is>
          <t>UI</t>
        </is>
      </c>
      <c r="I122" s="24" t="inlineStr">
        <is>
          <t>Routing key disabled on test</t>
        </is>
      </c>
      <c r="J122" s="24" t="inlineStr">
        <is>
          <t>1. Go to checkout
2. Rider opens a job</t>
        </is>
      </c>
      <c r="K122" s="24" t="inlineStr">
        <is>
          <t>Checkout still works with a straight-line estimate marked approximate. Rider gets the Google Maps link. No 500.</t>
        </is>
      </c>
      <c r="L122" s="24" t="inlineStr">
        <is>
          <t>Open features 3-Oct, treated as completed 4-Oct</t>
        </is>
      </c>
      <c r="M122" s="24" t="inlineStr">
        <is>
          <t>Blocked</t>
        </is>
      </c>
      <c r="N122" s="24" t="inlineStr">
        <is>
          <t>Local Blocked · Staging Not run (rule) · Production Not run
local: no delivery offer reached the rider for order b2ada76a-1996-46c1-8d76-201fd5041c68 within 45 s (rider offline or busy?)
staging: not run on staging: needs the server's database (local run only)</t>
        </is>
      </c>
      <c r="O122" s="24" t="n"/>
      <c r="P122" s="24" t="inlineStr">
        <is>
          <t>2026-10-24 17:07</t>
        </is>
      </c>
    </row>
    <row r="123" ht="23.25" customHeight="1" s="13">
      <c r="A123" s="24" t="inlineStr">
        <is>
          <t>TC-LOC-032</t>
        </is>
      </c>
      <c r="B123" s="24" t="inlineStr">
        <is>
          <t>Location, addresses &amp; serviceability</t>
        </is>
      </c>
      <c r="C123" s="24" t="inlineStr">
        <is>
          <t>GS-072, GS-010</t>
        </is>
      </c>
      <c r="D123" s="24" t="inlineStr">
        <is>
          <t>Serviceability rule stays consistent with routing on</t>
        </is>
      </c>
      <c r="E123" s="24" t="inlineStr">
        <is>
          <t>Boundary</t>
        </is>
      </c>
      <c r="F123" s="24" t="inlineStr">
        <is>
          <t>P2</t>
        </is>
      </c>
      <c r="G123" s="24" t="inlineStr">
        <is>
          <t>Customer</t>
        </is>
      </c>
      <c r="H123" s="24" t="inlineStr">
        <is>
          <t>UI</t>
        </is>
      </c>
      <c r="I123" s="24" t="inlineStr">
        <is>
          <t>Address inside the radius but far by road</t>
        </is>
      </c>
      <c r="J123" s="24" t="inlineStr">
        <is>
          <t>1. Check whether the shop is listed and orderable</t>
        </is>
      </c>
      <c r="K123" s="24" t="inlineStr">
        <is>
          <t>Record which distance decides serviceability; list, cart and checkout must all use the same one.</t>
        </is>
      </c>
      <c r="L123" s="24" t="inlineStr">
        <is>
          <t>Open features 3-Oct, treated as completed 4-Oct</t>
        </is>
      </c>
      <c r="M123" s="24" t="inlineStr">
        <is>
          <t>Blocked</t>
        </is>
      </c>
      <c r="N123" s="24" t="inlineStr">
        <is>
          <t>Local Blocked · Staging Not run (rule) · Production Not run
local: no delivery offer reached the rider for order b2ada76a-1996-46c1-8d76-201fd5041c68 within 45 s (rider offline or busy?)
staging: not run on staging: needs the server's database (local run only)</t>
        </is>
      </c>
      <c r="O123" s="24" t="n"/>
      <c r="P123" s="24" t="inlineStr">
        <is>
          <t>2026-10-24 17:07</t>
        </is>
      </c>
    </row>
    <row r="124" ht="23.25" customHeight="1" s="13">
      <c r="A124" s="24" t="inlineStr">
        <is>
          <t>TC-DISC-001</t>
        </is>
      </c>
      <c r="B124" s="24" t="inlineStr">
        <is>
          <t>Discovery, search &amp; price comparison</t>
        </is>
      </c>
      <c r="C124" s="24" t="inlineStr">
        <is>
          <t>NAV-001</t>
        </is>
      </c>
      <c r="D124" s="24" t="inlineStr">
        <is>
          <t>Home page content</t>
        </is>
      </c>
      <c r="E124" s="24" t="inlineStr">
        <is>
          <t>Positive</t>
        </is>
      </c>
      <c r="F124" s="24" t="inlineStr">
        <is>
          <t>P0</t>
        </is>
      </c>
      <c r="G124" s="24" t="inlineStr">
        <is>
          <t>Guest</t>
        </is>
      </c>
      <c r="H124" s="24" t="inlineStr">
        <is>
          <t>UI</t>
        </is>
      </c>
      <c r="I124" s="24" t="n"/>
      <c r="J124" s="24" t="inlineStr">
        <is>
          <t>1. Open home with a location set</t>
        </is>
      </c>
      <c r="K124" s="24" t="inlineStr">
        <is>
          <t>Location bar, product-search-first hero, 'Shops that deliver to you', featured / Kesari / Green shelves. No duplicate shop cards.</t>
        </is>
      </c>
      <c r="L124" s="24" t="inlineStr">
        <is>
          <t>Status report NAV-001; earlier session noted a duplicated Featured shop</t>
        </is>
      </c>
      <c r="M124" s="24" t="inlineStr">
        <is>
          <t>Fail</t>
        </is>
      </c>
      <c r="N124" s="24" t="inlineStr">
        <is>
          <t>Local Fail · Staging Pass · Production Pass
local: shop A is near the customer | expect(received).toBe(expected) // Object.is equality | Expected: true | Received: false
staging: home: search box, categories, 6 shop cards
production: home: search box, categories, 6 shop cards</t>
        </is>
      </c>
      <c r="O124" s="24" t="n"/>
      <c r="P124" s="24" t="inlineStr">
        <is>
          <t>2026-10-29 14:00</t>
        </is>
      </c>
    </row>
    <row r="125" ht="34.5" customHeight="1" s="13">
      <c r="A125" s="24" t="inlineStr">
        <is>
          <t>TC-DISC-002</t>
        </is>
      </c>
      <c r="B125" s="24" t="inlineStr">
        <is>
          <t>Discovery, search &amp; price comparison</t>
        </is>
      </c>
      <c r="C125" s="24" t="inlineStr">
        <is>
          <t>GS-019</t>
        </is>
      </c>
      <c r="D125" s="24" t="inlineStr">
        <is>
          <t>Shop list is filtered to the location and sorted nearest first</t>
        </is>
      </c>
      <c r="E125" s="24" t="inlineStr">
        <is>
          <t>Positive</t>
        </is>
      </c>
      <c r="F125" s="24" t="inlineStr">
        <is>
          <t>P0</t>
        </is>
      </c>
      <c r="G125" s="24" t="inlineStr">
        <is>
          <t>Customer</t>
        </is>
      </c>
      <c r="H125" s="24" t="inlineStr">
        <is>
          <t>UI</t>
        </is>
      </c>
      <c r="I125" s="24" t="inlineStr">
        <is>
          <t>Three delivering shops at different distances</t>
        </is>
      </c>
      <c r="J125" s="24" t="inlineStr">
        <is>
          <t>1. Open /shops</t>
        </is>
      </c>
      <c r="K125" s="24" t="inlineStr">
        <is>
          <t>Only delivering shops, nearest first, each with a distance.</t>
        </is>
      </c>
      <c r="L125" s="24" t="inlineStr">
        <is>
          <t>Dev log Slice 1 handoff</t>
        </is>
      </c>
      <c r="M125" s="24" t="inlineStr">
        <is>
          <t>Fail</t>
        </is>
      </c>
      <c r="N125" s="24" t="inlineStr">
        <is>
          <t>Local Fail · Staging Blocked · Production Not run
local: delivering shops first | expect(received).toBe(expected) // Object.is equality | Expected: true | Received: false
staging: needs shop B</t>
        </is>
      </c>
      <c r="O125" s="24" t="n"/>
      <c r="P125" s="24" t="inlineStr">
        <is>
          <t>2026-10-24 21:54</t>
        </is>
      </c>
    </row>
    <row r="126" ht="23.25" customHeight="1" s="13">
      <c r="A126" s="24" t="inlineStr">
        <is>
          <t>TC-DISC-003</t>
        </is>
      </c>
      <c r="B126" s="24" t="inlineStr">
        <is>
          <t>Discovery, search &amp; price comparison</t>
        </is>
      </c>
      <c r="C126" s="24" t="inlineStr">
        <is>
          <t>GS-019</t>
        </is>
      </c>
      <c r="D126" s="24" t="inlineStr">
        <is>
          <t>'Show all shops' toggle keeps other filters</t>
        </is>
      </c>
      <c r="E126" s="24" t="inlineStr">
        <is>
          <t>Positive</t>
        </is>
      </c>
      <c r="F126" s="24" t="inlineStr">
        <is>
          <t>P1</t>
        </is>
      </c>
      <c r="G126" s="24" t="inlineStr">
        <is>
          <t>Customer</t>
        </is>
      </c>
      <c r="H126" s="24" t="inlineStr">
        <is>
          <t>UI</t>
        </is>
      </c>
      <c r="I126" s="24" t="n"/>
      <c r="J126" s="24" t="inlineStr">
        <is>
          <t>1. On /shops apply a type filter
2. Toggle 'Show all shops' (?all=1)</t>
        </is>
      </c>
      <c r="K126" s="24" t="inlineStr">
        <is>
          <t>All approved shops of that type shown; the filter is preserved.</t>
        </is>
      </c>
      <c r="L126" s="24" t="inlineStr">
        <is>
          <t>Dev log Slice 1 handoff</t>
        </is>
      </c>
      <c r="M126" s="24" t="inlineStr">
        <is>
          <t>Pass</t>
        </is>
      </c>
      <c r="N126" s="24" t="inlineStr">
        <is>
          <t>Local Pass · Staging Pass · Production Not run
local: ?type=DAIRY → Show all → ?type=DAIRY&amp;all=1&amp;city=Pune, 13 dairy shops
staging: ?type=DAIRY → Show all → ?type=DAIRY&amp;all=1&amp;city=Pune, 1 dairy shops</t>
        </is>
      </c>
      <c r="O126" s="24" t="inlineStr">
        <is>
          <t>D-13</t>
        </is>
      </c>
      <c r="P126" s="24" t="inlineStr">
        <is>
          <t>2026-10-24 20:45</t>
        </is>
      </c>
    </row>
    <row r="127" ht="23.25" customHeight="1" s="13">
      <c r="A127" s="24" t="inlineStr">
        <is>
          <t>TC-DISC-004</t>
        </is>
      </c>
      <c r="B127" s="24" t="inlineStr">
        <is>
          <t>Discovery, search &amp; price comparison</t>
        </is>
      </c>
      <c r="C127" s="24" t="inlineStr">
        <is>
          <t>GS-019</t>
        </is>
      </c>
      <c r="D127" s="24" t="inlineStr">
        <is>
          <t>Shop search by name, category, area and PIN</t>
        </is>
      </c>
      <c r="E127" s="24" t="inlineStr">
        <is>
          <t>Positive</t>
        </is>
      </c>
      <c r="F127" s="24" t="inlineStr">
        <is>
          <t>P0</t>
        </is>
      </c>
      <c r="G127" s="24" t="inlineStr">
        <is>
          <t>Guest</t>
        </is>
      </c>
      <c r="H127" s="24" t="inlineStr">
        <is>
          <t>UI</t>
        </is>
      </c>
      <c r="I127" s="24" t="n"/>
      <c r="J127" s="24" t="inlineStr">
        <is>
          <t>1. Search by a shop name, a partial name, a shop type, an area and a PIN</t>
        </is>
      </c>
      <c r="K127" s="24" t="inlineStr">
        <is>
          <t>Matching approved shops returned for each. Empty result shows a helpful empty state.</t>
        </is>
      </c>
      <c r="L127" s="24" t="inlineStr">
        <is>
          <t>Regression CUS-05/CUS-08</t>
        </is>
      </c>
      <c r="M127" s="24" t="inlineStr">
        <is>
          <t>Pass</t>
        </is>
      </c>
      <c r="N127" s="24" t="inlineStr">
        <is>
          <t>Passed, partly covered. Local Pass (partial) · Staging Blocked · Production Blocked
local: not covered: the Kesari/Green filter is not offered on the page (removed from the cards, src/components/shop-grid.tsx); it is checked on /api/shops ‖ not covered: search by shop type and area: TC-DISC-005 filters
staging: /search?q=%3Cscript%3Ealert(1)%3C%2Fscript%3E: the host firewall answered 403 for 80 s, not the app (E-01)
production: /search?q=%3Cscript%3Ealert(1)%3C%2Fscript%3E: the host firewall answered 403 for 80 s, not the app (E-01)</t>
        </is>
      </c>
      <c r="O127" s="24" t="inlineStr">
        <is>
          <t>D-06</t>
        </is>
      </c>
      <c r="P127" s="24" t="inlineStr">
        <is>
          <t>2026-10-29 14:02</t>
        </is>
      </c>
    </row>
    <row r="128" ht="23.25" customHeight="1" s="13">
      <c r="A128" s="24" t="inlineStr">
        <is>
          <t>TC-DISC-005</t>
        </is>
      </c>
      <c r="B128" s="24" t="inlineStr">
        <is>
          <t>Discovery, search &amp; price comparison</t>
        </is>
      </c>
      <c r="C128" s="24" t="inlineStr">
        <is>
          <t>GS-019</t>
        </is>
      </c>
      <c r="D128" s="24" t="inlineStr">
        <is>
          <t>Shop filters: type, classification, delivery</t>
        </is>
      </c>
      <c r="E128" s="24" t="inlineStr">
        <is>
          <t>Positive</t>
        </is>
      </c>
      <c r="F128" s="24" t="inlineStr">
        <is>
          <t>P1</t>
        </is>
      </c>
      <c r="G128" s="24" t="inlineStr">
        <is>
          <t>Guest</t>
        </is>
      </c>
      <c r="H128" s="24" t="inlineStr">
        <is>
          <t>UI</t>
        </is>
      </c>
      <c r="I128" s="24" t="n"/>
      <c r="J128" s="24" t="inlineStr">
        <is>
          <t>1. Filter by DAIRY/BAKERY/other type, KESARI/GREEN, delivery only</t>
        </is>
      </c>
      <c r="K128" s="24" t="inlineStr">
        <is>
          <t>Results honour each filter and combinations.</t>
        </is>
      </c>
      <c r="L128" s="24" t="inlineStr">
        <is>
          <t>API.md GET /api/shops</t>
        </is>
      </c>
      <c r="M128" s="24" t="inlineStr">
        <is>
          <t>Pass</t>
        </is>
      </c>
      <c r="N128" s="24" t="inlineStr">
        <is>
          <t>Passed, partly covered. Local Pass (partial) · Staging Pass (partial) · Production Pass (partial)
local: not covered: the Kesari/Green filter is not offered on the page (removed from the cards, src/components/shop-grid.tsx); it is checked on /api/shops ‖ not covered: checks the filters load; that every listed shop matches the filter needs known shop data (signed-in tier)
staging: not covered: checks the filters load; that every listed shop matches the filter needs known shop data (signed-in tier)
production: not covered: checks the filters load; that every listed shop matches the filter needs known shop data (signed-in tier)</t>
        </is>
      </c>
      <c r="O128" s="24" t="n"/>
      <c r="P128" s="24" t="inlineStr">
        <is>
          <t>2026-10-29 14:02</t>
        </is>
      </c>
    </row>
    <row r="129" ht="34.5" customHeight="1" s="13">
      <c r="A129" s="24" t="inlineStr">
        <is>
          <t>TC-DISC-006</t>
        </is>
      </c>
      <c r="B129" s="24" t="inlineStr">
        <is>
          <t>Discovery, search &amp; price comparison</t>
        </is>
      </c>
      <c r="C129" s="24" t="inlineStr">
        <is>
          <t>GS-020</t>
        </is>
      </c>
      <c r="D129" s="24" t="inlineStr">
        <is>
          <t>Product search limited to serviceable shops</t>
        </is>
      </c>
      <c r="E129" s="24" t="inlineStr">
        <is>
          <t>Positive</t>
        </is>
      </c>
      <c r="F129" s="24" t="inlineStr">
        <is>
          <t>P0</t>
        </is>
      </c>
      <c r="G129" s="24" t="inlineStr">
        <is>
          <t>Customer</t>
        </is>
      </c>
      <c r="H129" s="24" t="inlineStr">
        <is>
          <t>UI</t>
        </is>
      </c>
      <c r="I129" s="24" t="inlineStr">
        <is>
          <t>Product sold by an in-zone and an out-of-zone shop</t>
        </is>
      </c>
      <c r="J129" s="24" t="inlineStr">
        <is>
          <t>1. Search the product name</t>
        </is>
      </c>
      <c r="K129" s="24" t="inlineStr">
        <is>
          <t>Only in-zone offers listed, nearest first, distance on each card; 'Compare prices' link present.</t>
        </is>
      </c>
      <c r="L129" s="24" t="inlineStr">
        <is>
          <t>Dev log Slice 1 handoff</t>
        </is>
      </c>
      <c r="M129" s="24" t="inlineStr">
        <is>
          <t>Fail</t>
        </is>
      </c>
      <c r="N129" s="24" t="inlineStr">
        <is>
          <t>Local Fail · Staging Blocked · Production Not run
local: expect(locator).toContainText(expected) failed | Locator: getByTestId('product-card').filter({ hasText: 'QA Bread mvmkyclr' }).filter({ hasText: 'QA Shop A mvmkyclr' }).first() | Expected pattern: /· [\d.]+ km/ | Timeout: 15000ms ‖ [phone] expect(locator).toBeVisible() failed | Locator: getByTestId('product-card').filter({ hasText: 'QA Bread mvmkzw75' }).filter({ hasText: 'QA Shop A mvmkzw75' }).first().getByRole('link', { name: /Compare prices/ }) | Expected: visible | Timeout: 15000ms
staging: needs the "sharedA" listing of the test data</t>
        </is>
      </c>
      <c r="O129" s="24" t="n"/>
      <c r="P129" s="24" t="inlineStr">
        <is>
          <t>2026-10-24 21:54</t>
        </is>
      </c>
    </row>
    <row r="130" ht="23.25" customHeight="1" s="13">
      <c r="A130" s="24" t="inlineStr">
        <is>
          <t>TC-DISC-007</t>
        </is>
      </c>
      <c r="B130" s="24" t="inlineStr">
        <is>
          <t>Discovery, search &amp; price comparison</t>
        </is>
      </c>
      <c r="C130" s="24" t="inlineStr">
        <is>
          <t>GS-020</t>
        </is>
      </c>
      <c r="D130" s="24" t="inlineStr">
        <is>
          <t>Search edge cases</t>
        </is>
      </c>
      <c r="E130" s="24" t="inlineStr">
        <is>
          <t>Negative</t>
        </is>
      </c>
      <c r="F130" s="24" t="inlineStr">
        <is>
          <t>P1</t>
        </is>
      </c>
      <c r="G130" s="24" t="inlineStr">
        <is>
          <t>Guest</t>
        </is>
      </c>
      <c r="H130" s="24" t="inlineStr">
        <is>
          <t>UI</t>
        </is>
      </c>
      <c r="I130" s="24" t="n"/>
      <c r="J130" s="24" t="inlineStr">
        <is>
          <t>1. Search: empty string, one character, a very long string, special characters (&lt;script&gt;, %, '), a product that does not exist</t>
        </is>
      </c>
      <c r="K130" s="24" t="inlineStr">
        <is>
          <t>No error page; empty state for no results; input is displayed escaped (no script runs).</t>
        </is>
      </c>
      <c r="L130" s="24" t="inlineStr">
        <is>
          <t>Test plan section 3 negative</t>
        </is>
      </c>
      <c r="M130" s="24" t="inlineStr">
        <is>
          <t>Fail</t>
        </is>
      </c>
      <c r="N130" s="24" t="inlineStr">
        <is>
          <t>Local Fail · Staging Pass (partial) · Production Pass (partial)
local: symbols act as LIKE wildcards and match every product/shop: "%" → 6 results; "_" → 0 results (no-results message); "%%_" → 0 results (no-results message) | expect(received).toBe(expected) // Object.is equality | Expected: 0 | Received: 6
staging: not covered: public routes only; signed-in id routes are swept in the signed-in tier ‖ blocked: /search?q=%3Cscript%3Ealert(1)%3C%2Fscript%3E: the host firewall answered 403 for 80 s, not the app (E-01)
production: not covered: public routes only; signed-in id routes are swept in the signed-in tier ‖ blocked: /search?q=%3Cscript%3Ealert(1)%3C%2Fscript%3E: the host firewall answered 403 for 80 s, not the app (E-01)</t>
        </is>
      </c>
      <c r="O130" s="24" t="inlineStr">
        <is>
          <t>D-02, D-14</t>
        </is>
      </c>
      <c r="P130" s="24" t="inlineStr">
        <is>
          <t>2026-10-29 14:02</t>
        </is>
      </c>
    </row>
    <row r="131" ht="23.25" customHeight="1" s="13">
      <c r="A131" s="24" t="inlineStr">
        <is>
          <t>TC-DISC-008</t>
        </is>
      </c>
      <c r="B131" s="24" t="inlineStr">
        <is>
          <t>Discovery, search &amp; price comparison</t>
        </is>
      </c>
      <c r="C131" s="24" t="inlineStr">
        <is>
          <t>GS-021</t>
        </is>
      </c>
      <c r="D131" s="24" t="inlineStr">
        <is>
          <t>Product page lists every shop selling the product</t>
        </is>
      </c>
      <c r="E131" s="24" t="inlineStr">
        <is>
          <t>Positive</t>
        </is>
      </c>
      <c r="F131" s="24" t="inlineStr">
        <is>
          <t>P0</t>
        </is>
      </c>
      <c r="G131" s="24" t="inlineStr">
        <is>
          <t>Customer</t>
        </is>
      </c>
      <c r="H131" s="24" t="inlineStr">
        <is>
          <t>UI</t>
        </is>
      </c>
      <c r="I131" s="24" t="inlineStr">
        <is>
          <t>Master product sold by Shop A and Shop B</t>
        </is>
      </c>
      <c r="J131" s="24" t="inlineStr">
        <is>
          <t>1. Open /products/{id} from a 'Compare prices' link</t>
        </is>
      </c>
      <c r="K131" s="24" t="inlineStr">
        <is>
          <t>Both shops listed with price, distance and delivers-to-you status.</t>
        </is>
      </c>
      <c r="L131" s="24" t="inlineStr">
        <is>
          <t>Dev log Slice 1 handoff</t>
        </is>
      </c>
      <c r="M131" s="24" t="inlineStr">
        <is>
          <t>Pass</t>
        </is>
      </c>
      <c r="N131" s="24" t="inlineStr">
        <is>
          <t>Passed, partly covered. Local Pass (partial) · Staging Blocked · Production Not run
local: not covered: the plan's 'Shop B cheaper' data is the other way round here (A ₹40, B ₹45): the same rule is asserted on the cheaper shop
staging: needs the "sharedA" listing of the test data</t>
        </is>
      </c>
      <c r="O131" s="24" t="n"/>
      <c r="P131" s="24" t="inlineStr">
        <is>
          <t>2026-10-24 21:54</t>
        </is>
      </c>
    </row>
    <row r="132" ht="23.25" customHeight="1" s="13">
      <c r="A132" s="24" t="inlineStr">
        <is>
          <t>TC-DISC-009</t>
        </is>
      </c>
      <c r="B132" s="24" t="inlineStr">
        <is>
          <t>Discovery, search &amp; price comparison</t>
        </is>
      </c>
      <c r="C132" s="24" t="inlineStr">
        <is>
          <t>GS-022</t>
        </is>
      </c>
      <c r="D132" s="24" t="inlineStr">
        <is>
          <t>Local price comparison ordering and badge</t>
        </is>
      </c>
      <c r="E132" s="24" t="inlineStr">
        <is>
          <t>Positive</t>
        </is>
      </c>
      <c r="F132" s="24" t="inlineStr">
        <is>
          <t>P0</t>
        </is>
      </c>
      <c r="G132" s="24" t="inlineStr">
        <is>
          <t>Customer</t>
        </is>
      </c>
      <c r="H132" s="24" t="inlineStr">
        <is>
          <t>UI</t>
        </is>
      </c>
      <c r="I132" s="24" t="inlineStr">
        <is>
          <t>Shop A Rs 70, Shop B Rs 66 for the same pack</t>
        </is>
      </c>
      <c r="J132" s="24" t="inlineStr">
        <is>
          <t>1. Open the comparison page</t>
        </is>
      </c>
      <c r="K132" s="24" t="inlineStr">
        <is>
          <t>Sort: deliverable+buyable first, then price, then distance. Shop B carries the 'Lowest price' badge.</t>
        </is>
      </c>
      <c r="L132" s="24" t="inlineStr">
        <is>
          <t>Dev log Slice 1 handoff</t>
        </is>
      </c>
      <c r="M132" s="24" t="inlineStr">
        <is>
          <t>Pass</t>
        </is>
      </c>
      <c r="N132" s="24" t="inlineStr">
        <is>
          <t>Passed, partly covered. Local Pass (partial) · Staging Blocked · Production Not run
local: not covered: the plan's 'Shop B cheaper' data is the other way round here (A ₹40, B ₹45): the same rule is asserted on the cheaper shop
staging: needs the "sharedA" listing of the test data</t>
        </is>
      </c>
      <c r="O132" s="24" t="n"/>
      <c r="P132" s="24" t="inlineStr">
        <is>
          <t>2026-10-24 21:54</t>
        </is>
      </c>
    </row>
    <row r="133" ht="23.25" customHeight="1" s="13">
      <c r="A133" s="24" t="inlineStr">
        <is>
          <t>TC-DISC-010</t>
        </is>
      </c>
      <c r="B133" s="24" t="inlineStr">
        <is>
          <t>Discovery, search &amp; price comparison</t>
        </is>
      </c>
      <c r="C133" s="24" t="inlineStr">
        <is>
          <t>GS-022</t>
        </is>
      </c>
      <c r="D133" s="24" t="inlineStr">
        <is>
          <t>Per-unit and per-pack price normalisation</t>
        </is>
      </c>
      <c r="E133" s="24" t="inlineStr">
        <is>
          <t>Positive</t>
        </is>
      </c>
      <c r="F133" s="24" t="inlineStr">
        <is>
          <t>P1</t>
        </is>
      </c>
      <c r="G133" s="24" t="inlineStr">
        <is>
          <t>Customer</t>
        </is>
      </c>
      <c r="H133" s="24" t="inlineStr">
        <is>
          <t>UI</t>
        </is>
      </c>
      <c r="I133" s="24" t="inlineStr">
        <is>
          <t>Same product in 500 ml and 1 L packs</t>
        </is>
      </c>
      <c r="J133" s="24" t="inlineStr">
        <is>
          <t>1. Open the comparison page</t>
        </is>
      </c>
      <c r="K133" s="24" t="inlineStr">
        <is>
          <t>Per-unit price is shown alongside pack price so different pack sizes compare fairly.</t>
        </is>
      </c>
      <c r="L133" s="24" t="inlineStr">
        <is>
          <t>Feature Master GS-022 (normalize pack/unit)</t>
        </is>
      </c>
      <c r="M133" s="24" t="inlineStr">
        <is>
          <t>Pass</t>
        </is>
      </c>
      <c r="N133" s="24" t="inlineStr">
        <is>
          <t>Passed, partly covered. Local Pass (partial) · Staging Not run (rule) · Production Not run
local: not covered: a 500 ml and a 1 L pack are two catalogue products, so they never meet on one comparison; each row shows the per-unit and the pack price so they compare fairly
staging: not run on staging: needs the server's database (local run only)</t>
        </is>
      </c>
      <c r="O133" s="24" t="n"/>
      <c r="P133" s="24" t="inlineStr">
        <is>
          <t>2026-10-24 17:07</t>
        </is>
      </c>
    </row>
    <row r="134" ht="34.5" customHeight="1" s="13">
      <c r="A134" s="24" t="inlineStr">
        <is>
          <t>TC-DISC-011</t>
        </is>
      </c>
      <c r="B134" s="24" t="inlineStr">
        <is>
          <t>Discovery, search &amp; price comparison</t>
        </is>
      </c>
      <c r="C134" s="24" t="inlineStr">
        <is>
          <t>GS-022, NEW-008</t>
        </is>
      </c>
      <c r="D134" s="24" t="inlineStr">
        <is>
          <t>Out-of-stock and in-shop-only rows</t>
        </is>
      </c>
      <c r="E134" s="24" t="inlineStr">
        <is>
          <t>Positive</t>
        </is>
      </c>
      <c r="F134" s="24" t="inlineStr">
        <is>
          <t>P1</t>
        </is>
      </c>
      <c r="G134" s="24" t="inlineStr">
        <is>
          <t>Customer</t>
        </is>
      </c>
      <c r="H134" s="24" t="inlineStr">
        <is>
          <t>UI</t>
        </is>
      </c>
      <c r="I134" s="24" t="inlineStr">
        <is>
          <t>One shop out of stock; one offline-only</t>
        </is>
      </c>
      <c r="J134" s="24" t="inlineStr">
        <is>
          <t>1. Open the comparison page</t>
        </is>
      </c>
      <c r="K134" s="24" t="inlineStr">
        <is>
          <t>Rows are shown but clearly marked and not buyable; they sort after buyable rows. Rows with no price set behave the same (TC-CAT-034).</t>
        </is>
      </c>
      <c r="L134" s="24" t="inlineStr">
        <is>
          <t>Dev log Slice 1 handoff; Updated 3-Oct</t>
        </is>
      </c>
      <c r="M134" s="24" t="inlineStr">
        <is>
          <t>Pass</t>
        </is>
      </c>
      <c r="N134" s="24" t="inlineStr">
        <is>
          <t>Local Pass · Staging Blocked · Production Not run
local: bread: B out of stock → marked, after A; ghee: B in-shop only → marked, after A; sugar (no price): marked, no 'Buy from' ‖ [phone] bread: B out of stock → marked, after A; ghee: B in-shop only → marked, after A; sugar (no price): marked, no 'Buy from'
staging: needs the "sharedA" listing of the test data</t>
        </is>
      </c>
      <c r="O134" s="24" t="n"/>
      <c r="P134" s="24" t="inlineStr">
        <is>
          <t>2026-10-24 21:54</t>
        </is>
      </c>
    </row>
    <row r="135" ht="23.25" customHeight="1" s="13">
      <c r="A135" s="24" t="inlineStr">
        <is>
          <t>TC-DISC-012</t>
        </is>
      </c>
      <c r="B135" s="24" t="inlineStr">
        <is>
          <t>Discovery, search &amp; price comparison</t>
        </is>
      </c>
      <c r="C135" s="24" t="inlineStr">
        <is>
          <t>GS-021</t>
        </is>
      </c>
      <c r="D135" s="24" t="inlineStr">
        <is>
          <t>Bad product id</t>
        </is>
      </c>
      <c r="E135" s="24" t="inlineStr">
        <is>
          <t>Negative</t>
        </is>
      </c>
      <c r="F135" s="24" t="inlineStr">
        <is>
          <t>P2</t>
        </is>
      </c>
      <c r="G135" s="24" t="inlineStr">
        <is>
          <t>Guest</t>
        </is>
      </c>
      <c r="H135" s="24" t="inlineStr">
        <is>
          <t>UI</t>
        </is>
      </c>
      <c r="I135" s="24" t="n"/>
      <c r="J135" s="24" t="inlineStr">
        <is>
          <t>1. Open /products/not-a-uuid and /products/{random uuid}</t>
        </is>
      </c>
      <c r="K135" s="24" t="inlineStr">
        <is>
          <t>404 page, not a 500.</t>
        </is>
      </c>
      <c r="L135" s="24" t="inlineStr">
        <is>
          <t>Dev log Slice 1 handoff</t>
        </is>
      </c>
      <c r="M135" s="24" t="inlineStr">
        <is>
          <t>Pass</t>
        </is>
      </c>
      <c r="N135" s="24" t="inlineStr">
        <is>
          <t>Local Pass · Staging Pass · Production Pass
local: /products/not-a-uuid and a random uuid → 404 (signed in) ‖ 404 pages are branded with a way home
staging: 404 pages are branded with a way home
production: 404 pages are branded with a way home</t>
        </is>
      </c>
      <c r="O135" s="24" t="n"/>
      <c r="P135" s="24" t="inlineStr">
        <is>
          <t>2026-10-29 14:02</t>
        </is>
      </c>
    </row>
    <row r="136" ht="23.25" customHeight="1" s="13">
      <c r="A136" s="24" t="inlineStr">
        <is>
          <t>TC-DISC-013</t>
        </is>
      </c>
      <c r="B136" s="24" t="inlineStr">
        <is>
          <t>Discovery, search &amp; price comparison</t>
        </is>
      </c>
      <c r="C136" s="24" t="inlineStr">
        <is>
          <t>NAV-002</t>
        </is>
      </c>
      <c r="D136" s="24" t="inlineStr">
        <is>
          <t>Shop page content</t>
        </is>
      </c>
      <c r="E136" s="24" t="inlineStr">
        <is>
          <t>Positive</t>
        </is>
      </c>
      <c r="F136" s="24" t="inlineStr">
        <is>
          <t>P0</t>
        </is>
      </c>
      <c r="G136" s="24" t="inlineStr">
        <is>
          <t>Guest</t>
        </is>
      </c>
      <c r="H136" s="24" t="inlineStr">
        <is>
          <t>UI</t>
        </is>
      </c>
      <c r="I136" s="24" t="n"/>
      <c r="J136" s="24" t="inlineStr">
        <is>
          <t>1. Open /shops/{slug}</t>
        </is>
      </c>
      <c r="K136" s="24" t="inlineStr">
        <is>
          <t>Shop profile, catalogue, rating with recent reviews, opening hours with closed-now state, delivery options (fee, free-above threshold, pickup-only, minimum order).</t>
        </is>
      </c>
      <c r="L136" s="24" t="inlineStr">
        <is>
          <t>Status report NAV-002</t>
        </is>
      </c>
      <c r="M136" s="24" t="inlineStr">
        <is>
          <t>Pass</t>
        </is>
      </c>
      <c r="N136" s="24" t="inlineStr">
        <is>
          <t>Passed, partly covered. Local Pass (partial) · Staging Pass (partial) · Production Pass (partial)
local: not covered: rating with recent reviews needs a delivered, rated order: local/shopping-delivery-leg.spec.ts; minimum order: next check ‖ not covered: contact form submission needs sign-in (signed-in tier) ‖ blocked: needs the order placed by TC-FLD-028 in this run
staging: not covered: contact form submission needs sign-in (signed-in tier)
production: not covered: contact form submission needs sign-in (signed-in tier)</t>
        </is>
      </c>
      <c r="O136" s="24" t="inlineStr">
        <is>
          <t>D-15</t>
        </is>
      </c>
      <c r="P136" s="24" t="inlineStr">
        <is>
          <t>2026-10-29 14:02</t>
        </is>
      </c>
    </row>
    <row r="137" ht="34.5" customHeight="1" s="13">
      <c r="A137" s="24" t="inlineStr">
        <is>
          <t>TC-DISC-014</t>
        </is>
      </c>
      <c r="B137" s="24" t="inlineStr">
        <is>
          <t>Discovery, search &amp; price comparison</t>
        </is>
      </c>
      <c r="C137" s="24" t="inlineStr">
        <is>
          <t>GS-012</t>
        </is>
      </c>
      <c r="D137" s="24" t="inlineStr">
        <is>
          <t>Offline-only product is visible but not buyable</t>
        </is>
      </c>
      <c r="E137" s="24" t="inlineStr">
        <is>
          <t>Regression</t>
        </is>
      </c>
      <c r="F137" s="24" t="inlineStr">
        <is>
          <t>P0</t>
        </is>
      </c>
      <c r="G137" s="24" t="inlineStr">
        <is>
          <t>Customer</t>
        </is>
      </c>
      <c r="H137" s="24" t="inlineStr">
        <is>
          <t>UI</t>
        </is>
      </c>
      <c r="I137" s="24" t="inlineStr">
        <is>
          <t>A product seeded as offline-only</t>
        </is>
      </c>
      <c r="J137" s="24" t="inlineStr">
        <is>
          <t>1. Open the shop page</t>
        </is>
      </c>
      <c r="K137" s="24" t="inlineStr">
        <is>
          <t>Product shows 'In-shop only' with a disabled control and no 'Add to cart'.</t>
        </is>
      </c>
      <c r="L137" s="24" t="inlineStr">
        <is>
          <t>e2e acceptance spec</t>
        </is>
      </c>
      <c r="M137" s="24" t="inlineStr">
        <is>
          <t>Pass</t>
        </is>
      </c>
      <c r="N137" s="24" t="inlineStr">
        <is>
          <t>Passed, partly covered. Local Pass (partial) · Staging Blocked · Production Not run
local: blocked: "QA Ghee 1 L mvmkyclr" is not on shop B's page
staging: needs the "offlineOnly" listing of the test data</t>
        </is>
      </c>
      <c r="O137" s="24" t="n"/>
      <c r="P137" s="24" t="inlineStr">
        <is>
          <t>2026-10-24 21:55</t>
        </is>
      </c>
    </row>
    <row r="138" ht="23.25" customHeight="1" s="13">
      <c r="A138" s="24" t="inlineStr">
        <is>
          <t>TC-DISC-015</t>
        </is>
      </c>
      <c r="B138" s="24" t="inlineStr">
        <is>
          <t>Discovery, search &amp; price comparison</t>
        </is>
      </c>
      <c r="C138" s="24" t="inlineStr">
        <is>
          <t>GS-023</t>
        </is>
      </c>
      <c r="D138" s="24" t="inlineStr">
        <is>
          <t>External reference prices shown by default</t>
        </is>
      </c>
      <c r="E138" s="24" t="inlineStr">
        <is>
          <t>Positive</t>
        </is>
      </c>
      <c r="F138" s="24" t="inlineStr">
        <is>
          <t>P1</t>
        </is>
      </c>
      <c r="G138" s="24" t="inlineStr">
        <is>
          <t>Customer</t>
        </is>
      </c>
      <c r="H138" s="24" t="inlineStr">
        <is>
          <t>UI</t>
        </is>
      </c>
      <c r="I138" s="24" t="inlineStr">
        <is>
          <t>A verified reference exists; rule showToCustomers = true (default)</t>
        </is>
      </c>
      <c r="J138" s="24" t="inlineStr">
        <is>
          <t>1. Open the product page</t>
        </is>
      </c>
      <c r="K138" s="24" t="inlineStr">
        <is>
          <t>The 'Reference prices' block is shown. MRP and shop prices are shown separately.</t>
        </is>
      </c>
      <c r="L138" s="24" t="inlineStr">
        <is>
          <t>QA I-02; Updated 4-Oct (feature treated as completed)</t>
        </is>
      </c>
      <c r="M138" s="24" t="inlineStr">
        <is>
          <t>Fail</t>
        </is>
      </c>
      <c r="N138" s="24" t="inlineStr">
        <is>
          <t>Local Fail · Staging Not run (rule) · Production Not run
local: expect(locator).toContainText(expected) failed | Locator: getByTestId('product-mrp') | Expected substring: "₹60" | Received string:    "MRP ₹65"
staging: not run on staging: needs the server's database (local run only)</t>
        </is>
      </c>
      <c r="O138" s="24" t="n"/>
      <c r="P138" s="24" t="inlineStr">
        <is>
          <t>2026-10-24 17:07</t>
        </is>
      </c>
    </row>
    <row r="139" ht="23.25" customHeight="1" s="13">
      <c r="A139" s="24" t="inlineStr">
        <is>
          <t>TC-DISC-016</t>
        </is>
      </c>
      <c r="B139" s="24" t="inlineStr">
        <is>
          <t>Discovery, search &amp; price comparison</t>
        </is>
      </c>
      <c r="C139" s="24" t="inlineStr">
        <is>
          <t>GS-023</t>
        </is>
      </c>
      <c r="D139" s="24" t="inlineStr">
        <is>
          <t>Reference prices hidden when the rule is off</t>
        </is>
      </c>
      <c r="E139" s="24" t="inlineStr">
        <is>
          <t>Positive</t>
        </is>
      </c>
      <c r="F139" s="24" t="inlineStr">
        <is>
          <t>P2</t>
        </is>
      </c>
      <c r="G139" s="24" t="inlineStr">
        <is>
          <t>Admin</t>
        </is>
      </c>
      <c r="H139" s="24" t="inlineStr">
        <is>
          <t>UI</t>
        </is>
      </c>
      <c r="I139" s="24" t="n"/>
      <c r="J139" s="24" t="inlineStr">
        <is>
          <t>1. Set externalPrices.showToCustomers false
2. Open the product page
3. Restore default</t>
        </is>
      </c>
      <c r="K139" s="24" t="inlineStr">
        <is>
          <t>No 'Reference prices' block while the rule is off.</t>
        </is>
      </c>
      <c r="L139" s="24" t="inlineStr">
        <is>
          <t>QA I-03; Updated 4-Oct (feature treated as completed)</t>
        </is>
      </c>
      <c r="M139" s="24" t="inlineStr">
        <is>
          <t>Fail</t>
        </is>
      </c>
      <c r="N139" s="24" t="inlineStr">
        <is>
          <t>Local Fail · Staging Not run (rule) · Production Not run
local: expect(locator).toContainText(expected) failed | Locator: getByTestId('product-mrp') | Expected substring: "₹60" | Received string:    "MRP ₹65"
staging: not run on staging: needs the server's database (local run only)</t>
        </is>
      </c>
      <c r="O139" s="24" t="n"/>
      <c r="P139" s="24" t="inlineStr">
        <is>
          <t>2026-10-24 17:07</t>
        </is>
      </c>
    </row>
    <row r="140" ht="23.25" customHeight="1" s="13">
      <c r="A140" s="24" t="inlineStr">
        <is>
          <t>TC-DISC-017</t>
        </is>
      </c>
      <c r="B140" s="24" t="inlineStr">
        <is>
          <t>Discovery, search &amp; price comparison</t>
        </is>
      </c>
      <c r="C140" s="24" t="inlineStr">
        <is>
          <t>RBAC-001</t>
        </is>
      </c>
      <c r="D140" s="24" t="inlineStr">
        <is>
          <t>Category and department pages</t>
        </is>
      </c>
      <c r="E140" s="24" t="inlineStr">
        <is>
          <t>Regression</t>
        </is>
      </c>
      <c r="F140" s="24" t="inlineStr">
        <is>
          <t>P1</t>
        </is>
      </c>
      <c r="G140" s="24" t="inlineStr">
        <is>
          <t>Guest</t>
        </is>
      </c>
      <c r="H140" s="24" t="inlineStr">
        <is>
          <t>UI</t>
        </is>
      </c>
      <c r="I140" s="24" t="n"/>
      <c r="J140" s="24" t="inlineStr">
        <is>
          <t>1. Open /categories, /category/{type}, /dairy, /bakery</t>
        </is>
      </c>
      <c r="K140" s="24" t="inlineStr">
        <is>
          <t>Pages list the right shops/products; links work.</t>
        </is>
      </c>
      <c r="L140" s="24" t="inlineStr">
        <is>
          <t>Regression CUS-04</t>
        </is>
      </c>
      <c r="M140" s="24" t="inlineStr">
        <is>
          <t>Pass</t>
        </is>
      </c>
      <c r="N140" s="24" t="inlineStr">
        <is>
          <t>Local Pass (partial) · Staging Pass · Production Pass
local: not covered: the category page lists products of every shop, not only the ones near the customer (src/app/category/[type]/page.tsx)
staging: categories, DAIRY, BAKERY, /dairy and /bakery redirects load
production: categories, DAIRY, BAKERY, /dairy and /bakery redirects load</t>
        </is>
      </c>
      <c r="O140" s="24" t="n"/>
      <c r="P140" s="24" t="inlineStr">
        <is>
          <t>2026-10-29 14:02</t>
        </is>
      </c>
    </row>
    <row r="141" ht="15" customHeight="1" s="13">
      <c r="A141" s="24" t="inlineStr">
        <is>
          <t>TC-DISC-018</t>
        </is>
      </c>
      <c r="B141" s="24" t="inlineStr">
        <is>
          <t>Discovery, search &amp; price comparison</t>
        </is>
      </c>
      <c r="C141" s="24" t="inlineStr">
        <is>
          <t>GS-014</t>
        </is>
      </c>
      <c r="D141" s="24" t="inlineStr">
        <is>
          <t>Product without an image shows a neutral placeholder</t>
        </is>
      </c>
      <c r="E141" s="24" t="inlineStr">
        <is>
          <t>Positive</t>
        </is>
      </c>
      <c r="F141" s="24" t="inlineStr">
        <is>
          <t>P2</t>
        </is>
      </c>
      <c r="G141" s="24" t="inlineStr">
        <is>
          <t>Guest</t>
        </is>
      </c>
      <c r="H141" s="24" t="inlineStr">
        <is>
          <t>UI</t>
        </is>
      </c>
      <c r="I141" s="24" t="n"/>
      <c r="J141" s="24" t="inlineStr">
        <is>
          <t>1. Find a product with no image and one with a broken URL</t>
        </is>
      </c>
      <c r="K141" s="24" t="inlineStr">
        <is>
          <t>Neutral placeholder; never a broken-image icon.</t>
        </is>
      </c>
      <c r="L141" s="24" t="inlineStr">
        <is>
          <t>QA I-15</t>
        </is>
      </c>
      <c r="M141" s="24" t="inlineStr">
        <is>
          <t>Fail</t>
        </is>
      </c>
      <c r="N141" s="24" t="inlineStr">
        <is>
          <t>Local Fail · Staging Pass · Production Pass
local: locator.scrollIntoViewIfNeeded: Timeout 15000ms exceeded. | Call log: | - waiting for locator('[data-testid="product-card"][data-product-name="QA Butter 100 g mvmkyclr"]').first()
staging: Agtci: no broken images
production: Agtci: no broken images</t>
        </is>
      </c>
      <c r="O141" s="24" t="inlineStr">
        <is>
          <t>D-16</t>
        </is>
      </c>
      <c r="P141" s="24" t="inlineStr">
        <is>
          <t>2026-10-29 14:03</t>
        </is>
      </c>
    </row>
    <row r="142" ht="23.25" customHeight="1" s="13">
      <c r="A142" s="24" t="inlineStr">
        <is>
          <t>TC-DISC-019</t>
        </is>
      </c>
      <c r="B142" s="24" t="inlineStr">
        <is>
          <t>Discovery, search &amp; price comparison</t>
        </is>
      </c>
      <c r="C142" s="24" t="inlineStr">
        <is>
          <t>GS-023</t>
        </is>
      </c>
      <c r="D142" s="24" t="inlineStr">
        <is>
          <t>Reference prices are shown to customers</t>
        </is>
      </c>
      <c r="E142" s="24" t="inlineStr">
        <is>
          <t>Positive</t>
        </is>
      </c>
      <c r="F142" s="24" t="inlineStr">
        <is>
          <t>P1</t>
        </is>
      </c>
      <c r="G142" s="24" t="inlineStr">
        <is>
          <t>Customer</t>
        </is>
      </c>
      <c r="H142" s="24" t="inlineStr">
        <is>
          <t>UI</t>
        </is>
      </c>
      <c r="I142" s="24" t="inlineStr">
        <is>
          <t>Verified, recent reference for a product</t>
        </is>
      </c>
      <c r="J142" s="24" t="inlineStr">
        <is>
          <t>1. Open the product page</t>
        </is>
      </c>
      <c r="K142" s="24" t="inlineStr">
        <is>
          <t>A 'Reference prices' block shows source, price and time with a note that it is neither the MRP nor a shop price.</t>
        </is>
      </c>
      <c r="L142" s="24" t="inlineStr">
        <is>
          <t>Open features 3-Oct, treated as completed 4-Oct</t>
        </is>
      </c>
      <c r="M142" s="24" t="inlineStr">
        <is>
          <t>Fail</t>
        </is>
      </c>
      <c r="N142" s="24" t="inlineStr">
        <is>
          <t>Local Fail · Staging Not run (rule) · Production Not run
local: expect(locator).toContainText(expected) failed | Locator: getByTestId('product-mrp') | Expected substring: "₹60" | Received string:    "MRP ₹65"
staging: not run on staging: needs the server's database (local run only)</t>
        </is>
      </c>
      <c r="O142" s="24" t="n"/>
      <c r="P142" s="24" t="inlineStr">
        <is>
          <t>2026-10-24 17:07</t>
        </is>
      </c>
    </row>
    <row r="143" ht="23.25" customHeight="1" s="13">
      <c r="A143" s="24" t="inlineStr">
        <is>
          <t>TC-DISC-020</t>
        </is>
      </c>
      <c r="B143" s="24" t="inlineStr">
        <is>
          <t>Discovery, search &amp; price comparison</t>
        </is>
      </c>
      <c r="C143" s="24" t="inlineStr">
        <is>
          <t>GS-023</t>
        </is>
      </c>
      <c r="D143" s="24" t="inlineStr">
        <is>
          <t>Unverified, rejected or stale references are hidden</t>
        </is>
      </c>
      <c r="E143" s="24" t="inlineStr">
        <is>
          <t>Negative</t>
        </is>
      </c>
      <c r="F143" s="24" t="inlineStr">
        <is>
          <t>P1</t>
        </is>
      </c>
      <c r="G143" s="24" t="inlineStr">
        <is>
          <t>Customer</t>
        </is>
      </c>
      <c r="H143" s="24" t="inlineStr">
        <is>
          <t>UI</t>
        </is>
      </c>
      <c r="I143" s="24" t="inlineStr">
        <is>
          <t>Product with only unverified / rejected / old references; another with none</t>
        </is>
      </c>
      <c r="J143" s="24" t="inlineStr">
        <is>
          <t>1. Open both product pages</t>
        </is>
      </c>
      <c r="K143" s="24" t="inlineStr">
        <is>
          <t>No reference block. No reference ever changes a shop price or MRP.</t>
        </is>
      </c>
      <c r="L143" s="24" t="inlineStr">
        <is>
          <t>Open features 3-Oct, treated as completed 4-Oct</t>
        </is>
      </c>
      <c r="M143" s="24" t="inlineStr">
        <is>
          <t>Fail</t>
        </is>
      </c>
      <c r="N143" s="24" t="inlineStr">
        <is>
          <t>Local Fail · Staging Not run (rule) · Production Not run
local: expect(locator).toContainText(expected) failed | Locator: getByTestId('product-mrp') | Expected substring: "₹60" | Received string:    "MRP ₹65"
staging: not run on staging: needs the server's database (local run only)</t>
        </is>
      </c>
      <c r="O143" s="24" t="n"/>
      <c r="P143" s="24" t="inlineStr">
        <is>
          <t>2026-10-24 17:07</t>
        </is>
      </c>
    </row>
    <row r="144" ht="23.25" customHeight="1" s="13">
      <c r="A144" s="24" t="inlineStr">
        <is>
          <t>TC-DISC-021</t>
        </is>
      </c>
      <c r="B144" s="24" t="inlineStr">
        <is>
          <t>Discovery, search &amp; price comparison</t>
        </is>
      </c>
      <c r="C144" s="24" t="inlineStr">
        <is>
          <t>NAV-001, GS-022</t>
        </is>
      </c>
      <c r="D144" s="24" t="inlineStr">
        <is>
          <t>Home page price-comparison widgets</t>
        </is>
      </c>
      <c r="E144" s="24" t="inlineStr">
        <is>
          <t>Positive</t>
        </is>
      </c>
      <c r="F144" s="24" t="inlineStr">
        <is>
          <t>P1</t>
        </is>
      </c>
      <c r="G144" s="24" t="inlineStr">
        <is>
          <t>Customer</t>
        </is>
      </c>
      <c r="H144" s="24" t="inlineStr">
        <is>
          <t>UI</t>
        </is>
      </c>
      <c r="I144" s="24" t="inlineStr">
        <is>
          <t>Location set; a product sold by two delivering shops</t>
        </is>
      </c>
      <c r="J144" s="24" t="inlineStr">
        <is>
          <t>1. Open the home page</t>
        </is>
      </c>
      <c r="K144" s="24" t="inlineStr">
        <is>
          <t>Widgets show products with the lowest local price and the shop, and link to the comparison page. Prices match the product page.</t>
        </is>
      </c>
      <c r="L144" s="24" t="inlineStr">
        <is>
          <t>Open features 3-Oct, treated as completed 4-Oct</t>
        </is>
      </c>
      <c r="M144" s="24" t="inlineStr">
        <is>
          <t>Fail</t>
        </is>
      </c>
      <c r="N144" s="24" t="inlineStr">
        <is>
          <t>Local Fail · Staging Not run (rule) · Production Not run
local: expect(locator).toBeVisible() failed | Locator: getByTestId('home-price-comparison').locator('div.flex-col').filter({ hasText: 'QA Bread mvmkyclr' }).first() | Expected: visible | Timeout: 15000ms
staging: not run on staging: needs the server's database (local run only)</t>
        </is>
      </c>
      <c r="O144" s="24" t="n"/>
      <c r="P144" s="24" t="inlineStr">
        <is>
          <t>2026-10-24 20:52</t>
        </is>
      </c>
    </row>
    <row r="145" ht="23.25" customHeight="1" s="13">
      <c r="A145" s="24" t="inlineStr">
        <is>
          <t>TC-DISC-022</t>
        </is>
      </c>
      <c r="B145" s="24" t="inlineStr">
        <is>
          <t>Discovery, search &amp; price comparison</t>
        </is>
      </c>
      <c r="C145" s="24" t="inlineStr">
        <is>
          <t>NAV-001, NEW-008</t>
        </is>
      </c>
      <c r="D145" s="24" t="inlineStr">
        <is>
          <t>Home widgets with no location, no shops or unpriced products</t>
        </is>
      </c>
      <c r="E145" s="24" t="inlineStr">
        <is>
          <t>Negative</t>
        </is>
      </c>
      <c r="F145" s="24" t="inlineStr">
        <is>
          <t>P1</t>
        </is>
      </c>
      <c r="G145" s="24" t="inlineStr">
        <is>
          <t>Guest</t>
        </is>
      </c>
      <c r="H145" s="24" t="inlineStr">
        <is>
          <t>UI</t>
        </is>
      </c>
      <c r="I145" s="24" t="n"/>
      <c r="J145" s="24" t="inlineStr">
        <is>
          <t>1. Open home with no location
2. Set a PIN with no delivering shop
3. Include a product that only has unpriced listings</t>
        </is>
      </c>
      <c r="K145" s="24" t="inlineStr">
        <is>
          <t>A prompt to set the location, then a clear empty state. Unpriced, out-of-stock and non-delivering listings never appear as an offer.</t>
        </is>
      </c>
      <c r="L145" s="24" t="inlineStr">
        <is>
          <t>Open features 3-Oct, treated as completed 4-Oct</t>
        </is>
      </c>
      <c r="M145" s="24" t="inlineStr">
        <is>
          <t>Fail</t>
        </is>
      </c>
      <c r="N145" s="24" t="inlineStr">
        <is>
          <t>Local Fail · Staging Pass · Production Pass
local: in-shop-only at B leaves ghee with one online offer | expect(locator).not.toContainText(expected) failed | Locator: getByTestId('home-price-comparison') | Expected substring: not "QA Ghee 1 L mvmkyclr"
staging: no location: 'Set your location' prompt shown
production: no location: 'Set your location' prompt shown</t>
        </is>
      </c>
      <c r="O145" s="24" t="n"/>
      <c r="P145" s="24" t="inlineStr">
        <is>
          <t>2026-10-29 14:03</t>
        </is>
      </c>
    </row>
    <row r="146" ht="15" customHeight="1" s="13">
      <c r="A146" s="24" t="inlineStr">
        <is>
          <t>TC-DISC-023</t>
        </is>
      </c>
      <c r="B146" s="24" t="inlineStr">
        <is>
          <t>Discovery, search &amp; price comparison</t>
        </is>
      </c>
      <c r="C146" s="24" t="inlineStr">
        <is>
          <t>NAV-002, GS-053</t>
        </is>
      </c>
      <c r="D146" s="24" t="inlineStr">
        <is>
          <t>Offers on the shop page</t>
        </is>
      </c>
      <c r="E146" s="24" t="inlineStr">
        <is>
          <t>Positive</t>
        </is>
      </c>
      <c r="F146" s="24" t="inlineStr">
        <is>
          <t>P1</t>
        </is>
      </c>
      <c r="G146" s="24" t="inlineStr">
        <is>
          <t>Customer</t>
        </is>
      </c>
      <c r="H146" s="24" t="inlineStr">
        <is>
          <t>UI</t>
        </is>
      </c>
      <c r="I146" s="24" t="inlineStr">
        <is>
          <t>Shop A has an active offer</t>
        </is>
      </c>
      <c r="J146" s="24" t="inlineStr">
        <is>
          <t>1. Open the Shop A page
2. Use the offer at checkout</t>
        </is>
      </c>
      <c r="K146" s="24" t="inlineStr">
        <is>
          <t>Active offers are listed with terms and expiry and apply at checkout.</t>
        </is>
      </c>
      <c r="L146" s="24" t="inlineStr">
        <is>
          <t>Open features 3-Oct, treated as completed 4-Oct</t>
        </is>
      </c>
      <c r="M146" s="24" t="inlineStr">
        <is>
          <t>Pass</t>
        </is>
      </c>
      <c r="N146" s="24" t="inlineStr">
        <is>
          <t>Local Pass · Staging Not run (rule) · Production Not run
local: "QA 10% off mvmmkt59" on the shop page (10% off on QA Butter 100 g mvmkyclr, until …); cart and order at ₹52.20 instead of ₹58 ‖ [phone] "QA 10% off mvml1c7h" on the shop page (10% off on QA Butter 100 g mvmkzw75, until …); cart and order at ₹52.20 instead of ₹58
staging: not run on staging: needs the server's database (local run only)</t>
        </is>
      </c>
      <c r="O146" s="24" t="n"/>
      <c r="P146" s="24" t="inlineStr">
        <is>
          <t>2026-10-24 20:52</t>
        </is>
      </c>
    </row>
    <row r="147" ht="23.25" customHeight="1" s="13">
      <c r="A147" s="24" t="inlineStr">
        <is>
          <t>TC-DISC-024</t>
        </is>
      </c>
      <c r="B147" s="24" t="inlineStr">
        <is>
          <t>Discovery, search &amp; price comparison</t>
        </is>
      </c>
      <c r="C147" s="24" t="inlineStr">
        <is>
          <t>NAV-002</t>
        </is>
      </c>
      <c r="D147" s="24" t="inlineStr">
        <is>
          <t>Expired, paused and other-shop offers</t>
        </is>
      </c>
      <c r="E147" s="24" t="inlineStr">
        <is>
          <t>Negative</t>
        </is>
      </c>
      <c r="F147" s="24" t="inlineStr">
        <is>
          <t>P1</t>
        </is>
      </c>
      <c r="G147" s="24" t="inlineStr">
        <is>
          <t>Customer</t>
        </is>
      </c>
      <c r="H147" s="24" t="inlineStr">
        <is>
          <t>UI</t>
        </is>
      </c>
      <c r="I147" s="24" t="n"/>
      <c r="J147" s="24" t="inlineStr">
        <is>
          <t>1. Open a shop whose offer expired, one with a paused offer and one with none</t>
        </is>
      </c>
      <c r="K147" s="24" t="inlineStr">
        <is>
          <t>None of these is shown. No empty offers box.</t>
        </is>
      </c>
      <c r="L147" s="24" t="inlineStr">
        <is>
          <t>Open features 3-Oct, treated as completed 4-Oct</t>
        </is>
      </c>
      <c r="M147" s="24" t="inlineStr">
        <is>
          <t>Pass</t>
        </is>
      </c>
      <c r="N147" s="24" t="inlineStr">
        <is>
          <t>Local Pass · Staging Not run (rule) · Production Not run
local: expired and paused offers hidden on shop A (no offers box), none on shop C, cart at the list price
staging: not run on staging: needs the server's database (local run only)</t>
        </is>
      </c>
      <c r="O147" s="24" t="n"/>
      <c r="P147" s="24" t="inlineStr">
        <is>
          <t>2026-10-24 17:07</t>
        </is>
      </c>
    </row>
    <row r="148" ht="23.25" customHeight="1" s="13">
      <c r="A148" s="24" t="inlineStr">
        <is>
          <t>TC-CART-001</t>
        </is>
      </c>
      <c r="B148" s="24" t="inlineStr">
        <is>
          <t>Cart &amp; checkout</t>
        </is>
      </c>
      <c r="C148" s="24" t="inlineStr">
        <is>
          <t>GS-024</t>
        </is>
      </c>
      <c r="D148" s="24" t="inlineStr">
        <is>
          <t>Add to cart from a single shop</t>
        </is>
      </c>
      <c r="E148" s="24" t="inlineStr">
        <is>
          <t>Positive</t>
        </is>
      </c>
      <c r="F148" s="24" t="inlineStr">
        <is>
          <t>P0</t>
        </is>
      </c>
      <c r="G148" s="24" t="inlineStr">
        <is>
          <t>Customer</t>
        </is>
      </c>
      <c r="H148" s="24" t="inlineStr">
        <is>
          <t>UI</t>
        </is>
      </c>
      <c r="I148" s="24" t="n"/>
      <c r="J148" s="24" t="inlineStr">
        <is>
          <t>1. Add two products from Shop A
2. Open /cart</t>
        </is>
      </c>
      <c r="K148" s="24" t="inlineStr">
        <is>
          <t>Lines grouped under Shop A with live prices, quantities, per-shop delivery fee and total.</t>
        </is>
      </c>
      <c r="L148" s="24" t="inlineStr">
        <is>
          <t>Regression CUS-12</t>
        </is>
      </c>
      <c r="M148" s="24" t="inlineStr">
        <is>
          <t>Fail</t>
        </is>
      </c>
      <c r="N148" s="24" t="inlineStr">
        <is>
          <t>Local Fail · Staging Pass (partial) · Production Not run
local: add first line — HTTP 409: This product is currently unavailable online. | expect(received).toContain(expected) // indexOf | Expected value: 409 | Received array: [200, 201]
staging: not covered: second product and the /cart page's grouping and empty state are UI checks in cart-ui.spec.ts ‖ blocked: needs the "packaged" listing of the test data</t>
        </is>
      </c>
      <c r="O148" s="24" t="inlineStr">
        <is>
          <t>D-102</t>
        </is>
      </c>
      <c r="P148" s="24" t="inlineStr">
        <is>
          <t>2026-10-24 21:53</t>
        </is>
      </c>
    </row>
    <row r="149" ht="23.25" customHeight="1" s="13">
      <c r="A149" s="24" t="inlineStr">
        <is>
          <t>TC-CART-002</t>
        </is>
      </c>
      <c r="B149" s="24" t="inlineStr">
        <is>
          <t>Cart &amp; checkout</t>
        </is>
      </c>
      <c r="C149" s="24" t="inlineStr">
        <is>
          <t>GS-024</t>
        </is>
      </c>
      <c r="D149" s="24" t="inlineStr">
        <is>
          <t>Change quantity and remove a line</t>
        </is>
      </c>
      <c r="E149" s="24" t="inlineStr">
        <is>
          <t>Positive</t>
        </is>
      </c>
      <c r="F149" s="24" t="inlineStr">
        <is>
          <t>P0</t>
        </is>
      </c>
      <c r="G149" s="24" t="inlineStr">
        <is>
          <t>Customer</t>
        </is>
      </c>
      <c r="H149" s="24" t="inlineStr">
        <is>
          <t>UI</t>
        </is>
      </c>
      <c r="I149" s="24" t="n"/>
      <c r="J149" s="24" t="inlineStr">
        <is>
          <t>1. Increase and decrease quantity
2. Remove a line
3. Clear the cart</t>
        </is>
      </c>
      <c r="K149" s="24" t="inlineStr">
        <is>
          <t>Totals recompute each time; removed lines disappear; empty cart shows an empty state.</t>
        </is>
      </c>
      <c r="L149" s="24" t="inlineStr">
        <is>
          <t>API.md Cart</t>
        </is>
      </c>
      <c r="M149" s="24" t="inlineStr">
        <is>
          <t>Fail</t>
        </is>
      </c>
      <c r="N149" s="24" t="inlineStr">
        <is>
          <t>Local Fail · Staging Pass (partial) · Production Not run
local: add first line — HTTP 409: This product is currently unavailable online. | expect(received).toContain(expected) // indexOf | Expected value: 409 | Received array: [200, 201]
staging: not covered: second product and the /cart page's grouping and empty state are UI checks in cart-ui.spec.ts ‖ blocked: needs the "packaged" listing of the test data</t>
        </is>
      </c>
      <c r="O149" s="24" t="n"/>
      <c r="P149" s="24" t="inlineStr">
        <is>
          <t>2026-10-24 21:53</t>
        </is>
      </c>
    </row>
    <row r="150" ht="34.5" customHeight="1" s="13">
      <c r="A150" s="24" t="inlineStr">
        <is>
          <t>TC-CART-003</t>
        </is>
      </c>
      <c r="B150" s="24" t="inlineStr">
        <is>
          <t>Cart &amp; checkout</t>
        </is>
      </c>
      <c r="C150" s="24" t="inlineStr">
        <is>
          <t>GS-016, GS-024</t>
        </is>
      </c>
      <c r="D150" s="24" t="inlineStr">
        <is>
          <t>Cannot add more than the stock</t>
        </is>
      </c>
      <c r="E150" s="24" t="inlineStr">
        <is>
          <t>Negative</t>
        </is>
      </c>
      <c r="F150" s="24" t="inlineStr">
        <is>
          <t>P0</t>
        </is>
      </c>
      <c r="G150" s="24" t="inlineStr">
        <is>
          <t>Customer</t>
        </is>
      </c>
      <c r="H150" s="24" t="inlineStr">
        <is>
          <t>UI+API</t>
        </is>
      </c>
      <c r="I150" s="24" t="inlineStr">
        <is>
          <t>Product with stock 3</t>
        </is>
      </c>
      <c r="J150" s="24" t="inlineStr">
        <is>
          <t>1. Add 3 then try to add 1 more
2. POST /api/cart with quantity 99</t>
        </is>
      </c>
      <c r="K150" s="24" t="inlineStr">
        <is>
          <t>Refused with OUT_OF_STOCK; the check is against the total resulting quantity.</t>
        </is>
      </c>
      <c r="L150" s="24" t="inlineStr">
        <is>
          <t>API.md Cart</t>
        </is>
      </c>
      <c r="M150" s="24" t="inlineStr">
        <is>
          <t>Pass</t>
        </is>
      </c>
      <c r="N150" s="24" t="inlineStr">
        <is>
          <t>Passed, partly covered. Local Pass (partial) · Staging Blocked · Production Not run
local: not covered: the cart has −/+ buttons, not a typed quantity field, so blank/text/decimal are API-only here
staging: needs the "lowStock" listing of the test data</t>
        </is>
      </c>
      <c r="O150" s="24" t="n"/>
      <c r="P150" s="24" t="inlineStr">
        <is>
          <t>2026-10-24 20:42</t>
        </is>
      </c>
    </row>
    <row r="151" ht="23.25" customHeight="1" s="13">
      <c r="A151" s="24" t="inlineStr">
        <is>
          <t>TC-CART-004</t>
        </is>
      </c>
      <c r="B151" s="24" t="inlineStr">
        <is>
          <t>Cart &amp; checkout</t>
        </is>
      </c>
      <c r="C151" s="24" t="inlineStr">
        <is>
          <t>GS-024</t>
        </is>
      </c>
      <c r="D151" s="24" t="inlineStr">
        <is>
          <t>Invalid quantities</t>
        </is>
      </c>
      <c r="E151" s="24" t="inlineStr">
        <is>
          <t>Negative</t>
        </is>
      </c>
      <c r="F151" s="24" t="inlineStr">
        <is>
          <t>P1</t>
        </is>
      </c>
      <c r="G151" s="24" t="inlineStr">
        <is>
          <t>Customer</t>
        </is>
      </c>
      <c r="H151" s="24" t="inlineStr">
        <is>
          <t>API</t>
        </is>
      </c>
      <c r="I151" s="24" t="n"/>
      <c r="J151" s="24" t="inlineStr">
        <is>
          <t>1. POST /api/cart with quantity 0, -1, 1.5, a string, and a random shopProductId</t>
        </is>
      </c>
      <c r="K151" s="24" t="inlineStr">
        <is>
          <t>422 / 404; cart unchanged.</t>
        </is>
      </c>
      <c r="L151" s="24" t="inlineStr">
        <is>
          <t>Test plan section 3 negative</t>
        </is>
      </c>
      <c r="M151" s="24" t="inlineStr">
        <is>
          <t>Blocked</t>
        </is>
      </c>
      <c r="N151" s="24" t="inlineStr">
        <is>
          <t>Local Blocked · Staging Blocked · Production Not run
local: "QA Butter 100 g mvmkyclr" cannot be added — HTTP 409: This product is currently unavailable online.
staging: needs the "packaged" listing of the test data</t>
        </is>
      </c>
      <c r="O151" s="24" t="n"/>
      <c r="P151" s="24" t="inlineStr">
        <is>
          <t>2026-10-24 20:42</t>
        </is>
      </c>
    </row>
    <row r="152" ht="23.25" customHeight="1" s="13">
      <c r="A152" s="24" t="inlineStr">
        <is>
          <t>TC-CART-005</t>
        </is>
      </c>
      <c r="B152" s="24" t="inlineStr">
        <is>
          <t>Cart &amp; checkout</t>
        </is>
      </c>
      <c r="C152" s="24" t="inlineStr">
        <is>
          <t>GS-025</t>
        </is>
      </c>
      <c r="D152" s="24" t="inlineStr">
        <is>
          <t>Multi-shop cart groups by shop</t>
        </is>
      </c>
      <c r="E152" s="24" t="inlineStr">
        <is>
          <t>Positive</t>
        </is>
      </c>
      <c r="F152" s="24" t="inlineStr">
        <is>
          <t>P0</t>
        </is>
      </c>
      <c r="G152" s="24" t="inlineStr">
        <is>
          <t>Customer</t>
        </is>
      </c>
      <c r="H152" s="24" t="inlineStr">
        <is>
          <t>UI</t>
        </is>
      </c>
      <c r="I152" s="24" t="n"/>
      <c r="J152" s="24" t="inlineStr">
        <is>
          <t>1. Add items from Shop A and Shop B</t>
        </is>
      </c>
      <c r="K152" s="24" t="inlineStr">
        <is>
          <t>Two groups, each with its own delivery fee and subtotal; grand total is the sum.</t>
        </is>
      </c>
      <c r="L152" s="24" t="inlineStr">
        <is>
          <t>Regression ORD-02</t>
        </is>
      </c>
      <c r="M152" s="24" t="inlineStr">
        <is>
          <t>Pass</t>
        </is>
      </c>
      <c r="N152" s="24" t="inlineStr">
        <is>
          <t>Passed, partly covered. Local Pass (partial) · Staging Blocked · Production Not run
local: blocked: "QA Butter 100 g mvmkyclr" cannot be added — HTTP 409: This product is currently unavailable online.
staging: needs the "packaged" listing of the test data</t>
        </is>
      </c>
      <c r="O152" s="24" t="n"/>
      <c r="P152" s="24" t="inlineStr">
        <is>
          <t>2026-10-24 21:53</t>
        </is>
      </c>
    </row>
    <row r="153" ht="15" customHeight="1" s="13">
      <c r="A153" s="24" t="inlineStr">
        <is>
          <t>TC-CART-006</t>
        </is>
      </c>
      <c r="B153" s="24" t="inlineStr">
        <is>
          <t>Cart &amp; checkout</t>
        </is>
      </c>
      <c r="C153" s="24" t="inlineStr">
        <is>
          <t>GS-015, GS-024</t>
        </is>
      </c>
      <c r="D153" s="24" t="inlineStr">
        <is>
          <t>Cart shows the live price after the shop changes it</t>
        </is>
      </c>
      <c r="E153" s="24" t="inlineStr">
        <is>
          <t>Positive</t>
        </is>
      </c>
      <c r="F153" s="24" t="inlineStr">
        <is>
          <t>P1</t>
        </is>
      </c>
      <c r="G153" s="24" t="inlineStr">
        <is>
          <t>Customer</t>
        </is>
      </c>
      <c r="H153" s="24" t="inlineStr">
        <is>
          <t>UI</t>
        </is>
      </c>
      <c r="I153" s="24" t="inlineStr">
        <is>
          <t>Item in cart</t>
        </is>
      </c>
      <c r="J153" s="24" t="inlineStr">
        <is>
          <t>1. Shop owner changes the online price
2. Customer reloads the cart and checks out</t>
        </is>
      </c>
      <c r="K153" s="24" t="inlineStr">
        <is>
          <t>Cart shows the new price; the order is charged at the server-recomputed price.</t>
        </is>
      </c>
      <c r="L153" s="24" t="inlineStr">
        <is>
          <t>API.md checkout</t>
        </is>
      </c>
      <c r="M153" s="24" t="inlineStr">
        <is>
          <t>Blocked</t>
        </is>
      </c>
      <c r="N153" s="24" t="inlineStr">
        <is>
          <t>Local Blocked · Staging Blocked · Production Not run
local: "QA Butter 100 g mvmkyclr" cannot be added — HTTP 409: This product is currently unavailable online.
staging: needs the "packaged" listing of the test data</t>
        </is>
      </c>
      <c r="O153" s="24" t="n"/>
      <c r="P153" s="24" t="inlineStr">
        <is>
          <t>2026-10-24 20:42</t>
        </is>
      </c>
    </row>
    <row r="154" ht="15" customHeight="1" s="13">
      <c r="A154" s="24" t="inlineStr">
        <is>
          <t>TC-CART-007</t>
        </is>
      </c>
      <c r="B154" s="24" t="inlineStr">
        <is>
          <t>Cart &amp; checkout</t>
        </is>
      </c>
      <c r="C154" s="24" t="inlineStr">
        <is>
          <t>GS-024, NEW-008</t>
        </is>
      </c>
      <c r="D154" s="24" t="inlineStr">
        <is>
          <t>Line becomes unavailable while in the cart</t>
        </is>
      </c>
      <c r="E154" s="24" t="inlineStr">
        <is>
          <t>Negative</t>
        </is>
      </c>
      <c r="F154" s="24" t="inlineStr">
        <is>
          <t>P1</t>
        </is>
      </c>
      <c r="G154" s="24" t="inlineStr">
        <is>
          <t>Customer</t>
        </is>
      </c>
      <c r="H154" s="24" t="inlineStr">
        <is>
          <t>UI</t>
        </is>
      </c>
      <c r="I154" s="24" t="inlineStr">
        <is>
          <t>Item in cart</t>
        </is>
      </c>
      <c r="J154" s="24" t="inlineStr">
        <is>
          <t>1. Shop disables online sale (or stock goes to 0)
2. Customer reloads the cart Also: the owner clears the price of a loose product (TC-CAT-035).</t>
        </is>
      </c>
      <c r="K154" s="24" t="inlineStr">
        <is>
          <t>Line flagged not purchasable with a reason; pay disabled until it is removed.</t>
        </is>
      </c>
      <c r="L154" s="24" t="inlineStr">
        <is>
          <t>API.md Cart; Updated 3-Oct</t>
        </is>
      </c>
      <c r="M154" s="24" t="inlineStr">
        <is>
          <t>Pass</t>
        </is>
      </c>
      <c r="N154" s="24" t="inlineStr">
        <is>
          <t>Passed, partly covered. Local Pass (partial) · Staging Blocked · Production Not run
local: blocked: "QA Butter 100 g mvmkyclr" cannot be added — HTTP 409: This product is currently unavailable online.
staging: needs the "packaged" listing of the test data</t>
        </is>
      </c>
      <c r="O154" s="24" t="n"/>
      <c r="P154" s="24" t="inlineStr">
        <is>
          <t>2026-10-24 21:53</t>
        </is>
      </c>
    </row>
    <row r="155" ht="34.5" customHeight="1" s="13">
      <c r="A155" s="24" t="inlineStr">
        <is>
          <t>TC-CART-008</t>
        </is>
      </c>
      <c r="B155" s="24" t="inlineStr">
        <is>
          <t>Cart &amp; checkout</t>
        </is>
      </c>
      <c r="C155" s="24" t="inlineStr">
        <is>
          <t>GS-027</t>
        </is>
      </c>
      <c r="D155" s="24" t="inlineStr">
        <is>
          <t>Delivery window choices and feasibility</t>
        </is>
      </c>
      <c r="E155" s="24" t="inlineStr">
        <is>
          <t>Positive</t>
        </is>
      </c>
      <c r="F155" s="24" t="inlineStr">
        <is>
          <t>P1</t>
        </is>
      </c>
      <c r="G155" s="24" t="inlineStr">
        <is>
          <t>Customer</t>
        </is>
      </c>
      <c r="H155" s="24" t="inlineStr">
        <is>
          <t>UI+API</t>
        </is>
      </c>
      <c r="I155" s="24" t="n"/>
      <c r="J155" s="24" t="inlineStr">
        <is>
          <t>1. At checkout view Express 30 / Standard 60 / Scheduled
2. GET /api/checkout/delivery-windows</t>
        </is>
      </c>
      <c r="K155" s="24" t="inlineStr">
        <is>
          <t>Only windows the system can back are offered, each with an estimated-minutes figure. Record what is shown when no rider is online.</t>
        </is>
      </c>
      <c r="L155" s="24" t="inlineStr">
        <is>
          <t>Regression CUS-14; Status report GS-027</t>
        </is>
      </c>
      <c r="M155" s="24" t="inlineStr">
        <is>
          <t>Pass</t>
        </is>
      </c>
      <c r="N155" s="24" t="inlineStr">
        <is>
          <t>Passed, partly covered. Local Pass (partial) · Staging Blocked · Production Not run
local: blocked: "QA Butter 100 g mvmkyclr" cannot be added — HTTP 409: This product is currently unavailable online.
staging: needs the "packaged" listing of the test data</t>
        </is>
      </c>
      <c r="O155" s="24" t="n"/>
      <c r="P155" s="24" t="inlineStr">
        <is>
          <t>2026-10-24 20:42</t>
        </is>
      </c>
    </row>
    <row r="156" ht="23.25" customHeight="1" s="13">
      <c r="A156" s="24" t="inlineStr">
        <is>
          <t>TC-CART-009</t>
        </is>
      </c>
      <c r="B156" s="24" t="inlineStr">
        <is>
          <t>Cart &amp; checkout</t>
        </is>
      </c>
      <c r="C156" s="24" t="inlineStr">
        <is>
          <t>GS-032, NAV-003</t>
        </is>
      </c>
      <c r="D156" s="24" t="inlineStr">
        <is>
          <t>Wallet checkout - single shop</t>
        </is>
      </c>
      <c r="E156" s="24" t="inlineStr">
        <is>
          <t>Positive</t>
        </is>
      </c>
      <c r="F156" s="24" t="inlineStr">
        <is>
          <t>P0</t>
        </is>
      </c>
      <c r="G156" s="24" t="inlineStr">
        <is>
          <t>Customer</t>
        </is>
      </c>
      <c r="H156" s="24" t="inlineStr">
        <is>
          <t>UI</t>
        </is>
      </c>
      <c r="I156" s="24" t="inlineStr">
        <is>
          <t>Wallet &gt;= total; mobile and address on the account</t>
        </is>
      </c>
      <c r="J156" s="24" t="inlineStr">
        <is>
          <t>1. Pay from the cart</t>
        </is>
      </c>
      <c r="K156" s="24" t="inlineStr">
        <is>
          <t>One order created as CONFIRMED; wallet debited by exactly the total; stock reduced; order appears on /orders; cart emptied; shop notified.</t>
        </is>
      </c>
      <c r="L156" s="24" t="inlineStr">
        <is>
          <t>Regression CUS-13; e2e journey</t>
        </is>
      </c>
      <c r="M156" s="24" t="inlineStr">
        <is>
          <t>Pass</t>
        </is>
      </c>
      <c r="N156" s="24" t="inlineStr">
        <is>
          <t>Passed, partly covered. Local Pass (partial) · Staging Pass (partial) · Production Not run
local: blocked: "QA Butter 100 g mvmkyclr" cannot be added — HTTP 409: This product is currently unavailable online. ‖ blocked: "QA Butter 100 g mvmkyclr" cannot be added to the cart — HTTP 409: This product is currently unavailable online.
staging: not covered: stock reduction and the shop notification are checked in the inventory and notification specs ‖ blocked: needs the "packaged" listing of the test data</t>
        </is>
      </c>
      <c r="O156" s="24" t="n"/>
      <c r="P156" s="24" t="inlineStr">
        <is>
          <t>2026-10-24 21:53</t>
        </is>
      </c>
    </row>
    <row r="157" ht="23.25" customHeight="1" s="13">
      <c r="A157" s="24" t="inlineStr">
        <is>
          <t>TC-CART-010</t>
        </is>
      </c>
      <c r="B157" s="24" t="inlineStr">
        <is>
          <t>Cart &amp; checkout</t>
        </is>
      </c>
      <c r="C157" s="24" t="inlineStr">
        <is>
          <t>GS-033, GS-025</t>
        </is>
      </c>
      <c r="D157" s="24" t="inlineStr">
        <is>
          <t>Wallet checkout - multi-shop split</t>
        </is>
      </c>
      <c r="E157" s="24" t="inlineStr">
        <is>
          <t>Positive</t>
        </is>
      </c>
      <c r="F157" s="24" t="inlineStr">
        <is>
          <t>P0</t>
        </is>
      </c>
      <c r="G157" s="24" t="inlineStr">
        <is>
          <t>Customer</t>
        </is>
      </c>
      <c r="H157" s="24" t="inlineStr">
        <is>
          <t>UI</t>
        </is>
      </c>
      <c r="I157" s="24" t="inlineStr">
        <is>
          <t>Cart from two shops</t>
        </is>
      </c>
      <c r="J157" s="24" t="inlineStr">
        <is>
          <t>1. Pay</t>
        </is>
      </c>
      <c r="K157" s="24" t="inlineStr">
        <is>
          <t>Two independent orders, one per shop, one wallet debit each, each with its own delivery fee. (No master order yet - record the customer-facing references.)</t>
        </is>
      </c>
      <c r="L157" s="24" t="inlineStr">
        <is>
          <t>Regression ORD-02; Status report GS-033</t>
        </is>
      </c>
      <c r="M157" s="24" t="inlineStr">
        <is>
          <t>Blocked</t>
        </is>
      </c>
      <c r="N157" s="24" t="inlineStr">
        <is>
          <t>Local Blocked · Staging Blocked · Production Not run
local: "QA Butter 100 g mvmkyclr" cannot be added — HTTP 409: This product is currently unavailable online.
staging: needs the "packaged" listing of the test data</t>
        </is>
      </c>
      <c r="O157" s="24" t="n"/>
      <c r="P157" s="24" t="inlineStr">
        <is>
          <t>2026-10-24 20:42</t>
        </is>
      </c>
    </row>
    <row r="158" ht="23.25" customHeight="1" s="13">
      <c r="A158" s="24" t="inlineStr">
        <is>
          <t>TC-CART-011</t>
        </is>
      </c>
      <c r="B158" s="24" t="inlineStr">
        <is>
          <t>Cart &amp; checkout</t>
        </is>
      </c>
      <c r="C158" s="24" t="inlineStr">
        <is>
          <t>GS-029, GS-032</t>
        </is>
      </c>
      <c r="D158" s="24" t="inlineStr">
        <is>
          <t>Insufficient wallet balance</t>
        </is>
      </c>
      <c r="E158" s="24" t="inlineStr">
        <is>
          <t>Negative</t>
        </is>
      </c>
      <c r="F158" s="24" t="inlineStr">
        <is>
          <t>P0</t>
        </is>
      </c>
      <c r="G158" s="24" t="inlineStr">
        <is>
          <t>Customer</t>
        </is>
      </c>
      <c r="H158" s="24" t="inlineStr">
        <is>
          <t>UI+API</t>
        </is>
      </c>
      <c r="I158" s="24" t="inlineStr">
        <is>
          <t>Wallet below the total</t>
        </is>
      </c>
      <c r="J158" s="24" t="inlineStr">
        <is>
          <t>1. Pay</t>
        </is>
      </c>
      <c r="K158" s="24" t="inlineStr">
        <is>
          <t>402 INSUFFICIENT_BALANCE with the shortfall shown and a top-up prompt. No order, no debit, no stock consumed.</t>
        </is>
      </c>
      <c r="L158" s="24" t="inlineStr">
        <is>
          <t>API.md checkout</t>
        </is>
      </c>
      <c r="M158" s="24" t="inlineStr">
        <is>
          <t>Pass</t>
        </is>
      </c>
      <c r="N158" s="24" t="inlineStr">
        <is>
          <t>Passed, partly covered. Local Pass (partial) · Staging Blocked · Production Not run
local: not covered: the top-up prompt on the page is a UI check in cart-ui.spec.ts
staging: the wallet (468000 paise) needs 79 units to exceed — too many for one cart line ‖ needs the "premium" listing of the test data</t>
        </is>
      </c>
      <c r="O158" s="24" t="n"/>
      <c r="P158" s="24" t="inlineStr">
        <is>
          <t>2026-10-24 21:53</t>
        </is>
      </c>
    </row>
    <row r="159" ht="23.25" customHeight="1" s="13">
      <c r="A159" s="24" t="inlineStr">
        <is>
          <t>TC-CART-012</t>
        </is>
      </c>
      <c r="B159" s="24" t="inlineStr">
        <is>
          <t>Cart &amp; checkout</t>
        </is>
      </c>
      <c r="C159" s="24" t="inlineStr">
        <is>
          <t>GS-032</t>
        </is>
      </c>
      <c r="D159" s="24" t="inlineStr">
        <is>
          <t>Idempotent checkout</t>
        </is>
      </c>
      <c r="E159" s="24" t="inlineStr">
        <is>
          <t>Security</t>
        </is>
      </c>
      <c r="F159" s="24" t="inlineStr">
        <is>
          <t>P0</t>
        </is>
      </c>
      <c r="G159" s="24" t="inlineStr">
        <is>
          <t>Customer</t>
        </is>
      </c>
      <c r="H159" s="24" t="inlineStr">
        <is>
          <t>UI+API</t>
        </is>
      </c>
      <c r="I159" s="24" t="n"/>
      <c r="J159" s="24" t="inlineStr">
        <is>
          <t>1. Double-click pay
2. Re-send POST /api/checkout with the same requestId</t>
        </is>
      </c>
      <c r="K159" s="24" t="inlineStr">
        <is>
          <t>Exactly one set of orders and one debit; the replay returns the original orders with deduplicated: true.</t>
        </is>
      </c>
      <c r="L159" s="24" t="inlineStr">
        <is>
          <t>Regression ORD-04</t>
        </is>
      </c>
      <c r="M159" s="24" t="inlineStr">
        <is>
          <t>Pass</t>
        </is>
      </c>
      <c r="N159" s="24" t="inlineStr">
        <is>
          <t>Passed, partly covered. Local Pass (partial) · Staging Pass (partial) · Production Not run
local: blocked: "QA Butter 100 g mvmkyclr" cannot be added — HTTP 409: This product is currently unavailable online. ‖ blocked: needs the order placed by TC-CART-009 in this run
staging: blocked: needs the "packaged" listing of the test data</t>
        </is>
      </c>
      <c r="O159" s="24" t="n"/>
      <c r="P159" s="24" t="inlineStr">
        <is>
          <t>2026-10-24 21:53</t>
        </is>
      </c>
    </row>
    <row r="160" ht="57" customHeight="1" s="13">
      <c r="A160" s="24" t="inlineStr">
        <is>
          <t>TC-CART-013</t>
        </is>
      </c>
      <c r="B160" s="24" t="inlineStr">
        <is>
          <t>Cart &amp; checkout</t>
        </is>
      </c>
      <c r="C160" s="24" t="inlineStr">
        <is>
          <t>GS-032</t>
        </is>
      </c>
      <c r="D160" s="24" t="inlineStr">
        <is>
          <t>Stock race between two customers</t>
        </is>
      </c>
      <c r="E160" s="24" t="inlineStr">
        <is>
          <t>Boundary</t>
        </is>
      </c>
      <c r="F160" s="24" t="inlineStr">
        <is>
          <t>P1</t>
        </is>
      </c>
      <c r="G160" s="24" t="inlineStr">
        <is>
          <t>Customer</t>
        </is>
      </c>
      <c r="H160" s="24" t="inlineStr">
        <is>
          <t>UI</t>
        </is>
      </c>
      <c r="I160" s="24" t="inlineStr">
        <is>
          <t>Stock 1; two customers with it in their carts</t>
        </is>
      </c>
      <c r="J160" s="24" t="inlineStr">
        <is>
          <t>1. Both pay as close together as possible</t>
        </is>
      </c>
      <c r="K160" s="24" t="inlineStr">
        <is>
          <t>One succeeds; the other gets OUT_OF_STOCK with no debit.</t>
        </is>
      </c>
      <c r="L160" s="24" t="inlineStr">
        <is>
          <t>Test plan section 3 (concurrency)</t>
        </is>
      </c>
      <c r="M160" s="24" t="inlineStr">
        <is>
          <t>Pass</t>
        </is>
      </c>
      <c r="N160" s="24" t="inlineStr">
        <is>
          <t>Local Pass · Staging Not run (rule) · Production Not run
local: stock 1: one 201, the other 409 OUT_OF_STOCK "This product is currently unavailable online.", loser's wallet unchanged
staging: not run on staging: needs the server's database (local run only)</t>
        </is>
      </c>
      <c r="O160" s="24" t="n"/>
      <c r="P160" s="24" t="inlineStr">
        <is>
          <t>2026-10-24 17:07</t>
        </is>
      </c>
    </row>
    <row r="161" ht="23.25" customHeight="1" s="13">
      <c r="A161" s="24" t="inlineStr">
        <is>
          <t>TC-CART-014</t>
        </is>
      </c>
      <c r="B161" s="24" t="inlineStr">
        <is>
          <t>Cart &amp; checkout</t>
        </is>
      </c>
      <c r="C161" s="24" t="inlineStr">
        <is>
          <t>GS-032</t>
        </is>
      </c>
      <c r="D161" s="24" t="inlineStr">
        <is>
          <t>Checkout rate limit</t>
        </is>
      </c>
      <c r="E161" s="24" t="inlineStr">
        <is>
          <t>Boundary</t>
        </is>
      </c>
      <c r="F161" s="24" t="inlineStr">
        <is>
          <t>P2</t>
        </is>
      </c>
      <c r="G161" s="24" t="inlineStr">
        <is>
          <t>Customer</t>
        </is>
      </c>
      <c r="H161" s="24" t="inlineStr">
        <is>
          <t>API</t>
        </is>
      </c>
      <c r="I161" s="24" t="n"/>
      <c r="J161" s="24" t="inlineStr">
        <is>
          <t>1. Send more than 15 checkout requests in a minute</t>
        </is>
      </c>
      <c r="K161" s="24" t="inlineStr">
        <is>
          <t>429 RATE_LIMITED with retryAfterSeconds after the 15th.</t>
        </is>
      </c>
      <c r="L161" s="24" t="inlineStr">
        <is>
          <t>API.md rate limits</t>
        </is>
      </c>
      <c r="M161" s="24" t="inlineStr">
        <is>
          <t>Pass</t>
        </is>
      </c>
      <c r="N161" s="24" t="inlineStr">
        <is>
          <t>Local Pass · Staging Pass · Production Not run
local: shopC: requests 1–15 → 422, 16th → 429 RATE_LIMITED, retryAfterSeconds 60
staging: customer2: requests 1–15 → 422, 16th → 429 RATE_LIMITED, retryAfterSeconds 10</t>
        </is>
      </c>
      <c r="O161" s="24" t="n"/>
      <c r="P161" s="24" t="inlineStr">
        <is>
          <t>2026-10-24 20:44</t>
        </is>
      </c>
    </row>
    <row r="162" ht="23.25" customHeight="1" s="13">
      <c r="A162" s="24" t="inlineStr">
        <is>
          <t>TC-CART-015</t>
        </is>
      </c>
      <c r="B162" s="24" t="inlineStr">
        <is>
          <t>Cart &amp; checkout</t>
        </is>
      </c>
      <c r="C162" s="24" t="inlineStr">
        <is>
          <t>GS-001, GS-032</t>
        </is>
      </c>
      <c r="D162" s="24" t="inlineStr">
        <is>
          <t>Order needs a mobile number and, for delivery, an address</t>
        </is>
      </c>
      <c r="E162" s="24" t="inlineStr">
        <is>
          <t>Negative</t>
        </is>
      </c>
      <c r="F162" s="24" t="inlineStr">
        <is>
          <t>P0</t>
        </is>
      </c>
      <c r="G162" s="24" t="inlineStr">
        <is>
          <t>Customer</t>
        </is>
      </c>
      <c r="H162" s="24" t="inlineStr">
        <is>
          <t>UI+API</t>
        </is>
      </c>
      <c r="I162" s="24" t="inlineStr">
        <is>
          <t>Account without mobile / without address</t>
        </is>
      </c>
      <c r="J162" s="24" t="inlineStr">
        <is>
          <t>1. Open cart
2. POST /api/checkout directly</t>
        </is>
      </c>
      <c r="K162" s="24" t="inlineStr">
        <is>
          <t>Cart shows prompts instead of pay. API refuses. Pickup-only shops need no address; B2B is unchanged.</t>
        </is>
      </c>
      <c r="L162" s="24" t="inlineStr">
        <is>
          <t>Login-profile DEPLOY_AND_TEST</t>
        </is>
      </c>
      <c r="M162" s="24" t="inlineStr">
        <is>
          <t>Pass</t>
        </is>
      </c>
      <c r="N162" s="24" t="inlineStr">
        <is>
          <t>Passed, partly covered. Local Pass (partial) · Staging Blocked · Production Not run
local: blocked: "QA Butter 100 g mvmkyclr" cannot be added — HTTP 409: This product is currently unavailable online.
staging: needs the "sharedB" listing of the test data ‖ needs the "packaged" listing of the test data</t>
        </is>
      </c>
      <c r="O162" s="24" t="n"/>
      <c r="P162" s="24" t="inlineStr">
        <is>
          <t>2026-10-24 20:42</t>
        </is>
      </c>
    </row>
    <row r="163" ht="15" customHeight="1" s="13">
      <c r="A163" s="24" t="inlineStr">
        <is>
          <t>TC-CART-016</t>
        </is>
      </c>
      <c r="B163" s="24" t="inlineStr">
        <is>
          <t>Cart &amp; checkout</t>
        </is>
      </c>
      <c r="C163" s="24" t="inlineStr">
        <is>
          <t>GS-032</t>
        </is>
      </c>
      <c r="D163" s="24" t="inlineStr">
        <is>
          <t>Pickup order from a shop that does not deliver</t>
        </is>
      </c>
      <c r="E163" s="24" t="inlineStr">
        <is>
          <t>Positive</t>
        </is>
      </c>
      <c r="F163" s="24" t="inlineStr">
        <is>
          <t>P1</t>
        </is>
      </c>
      <c r="G163" s="24" t="inlineStr">
        <is>
          <t>Customer</t>
        </is>
      </c>
      <c r="H163" s="24" t="inlineStr">
        <is>
          <t>UI</t>
        </is>
      </c>
      <c r="I163" s="24" t="inlineStr">
        <is>
          <t>Pickup-only shop</t>
        </is>
      </c>
      <c r="J163" s="24" t="inlineStr">
        <is>
          <t>1. Order without an address</t>
        </is>
      </c>
      <c r="K163" s="24" t="inlineStr">
        <is>
          <t>Order placed; no delivery fee; no rider dispatch at READY; shop completes READY -&gt; DELIVERED itself.</t>
        </is>
      </c>
      <c r="L163" s="24" t="inlineStr">
        <is>
          <t>Dev log Slices 3-4 compatibility</t>
        </is>
      </c>
      <c r="M163" s="24" t="inlineStr">
        <is>
          <t>Blocked</t>
        </is>
      </c>
      <c r="N163" s="24" t="inlineStr">
        <is>
          <t>Local Blocked · Staging Blocked · Production Not run
local: "QA Butter 100 g mvmkyclr" cannot be added — HTTP 409: This product is currently unavailable online.
staging: needs the "packaged" listing of the test data</t>
        </is>
      </c>
      <c r="O163" s="24" t="n"/>
      <c r="P163" s="24" t="inlineStr">
        <is>
          <t>2026-10-24 20:42</t>
        </is>
      </c>
    </row>
    <row r="164" ht="23.25" customHeight="1" s="13">
      <c r="A164" s="24" t="inlineStr">
        <is>
          <t>TC-CART-017</t>
        </is>
      </c>
      <c r="B164" s="24" t="inlineStr">
        <is>
          <t>Cart &amp; checkout</t>
        </is>
      </c>
      <c r="C164" s="24" t="inlineStr">
        <is>
          <t>GS-032</t>
        </is>
      </c>
      <c r="D164" s="24" t="inlineStr">
        <is>
          <t>Order notes and delivery instructions carried through</t>
        </is>
      </c>
      <c r="E164" s="24" t="inlineStr">
        <is>
          <t>Positive</t>
        </is>
      </c>
      <c r="F164" s="24" t="inlineStr">
        <is>
          <t>P2</t>
        </is>
      </c>
      <c r="G164" s="24" t="inlineStr">
        <is>
          <t>Customer</t>
        </is>
      </c>
      <c r="H164" s="24" t="inlineStr">
        <is>
          <t>UI</t>
        </is>
      </c>
      <c r="I164" s="24" t="n"/>
      <c r="J164" s="24" t="inlineStr">
        <is>
          <t>1. Add order notes and an address landmark
2. Place the order</t>
        </is>
      </c>
      <c r="K164" s="24" t="inlineStr">
        <is>
          <t>Notes visible to the shop; landmark/instructions visible to the rider only on the active job after pickup.</t>
        </is>
      </c>
      <c r="L164" s="24" t="inlineStr">
        <is>
          <t>Dev log Phase 2: GS-047</t>
        </is>
      </c>
      <c r="M164" s="24" t="inlineStr">
        <is>
          <t>Blocked</t>
        </is>
      </c>
      <c r="N164" s="24" t="inlineStr">
        <is>
          <t>Local Blocked · Staging Blocked · Production Not run
local: needs the order placed by TC-FLD-028 in this run ‖ "QA Butter 100 g mvmkyclr" cannot be added — HTTP 409: This product is currently unavailable online.
staging: needs the order placed by TC-FLD-028 in this run ‖ needs the test data's location (shop A's coordinates)</t>
        </is>
      </c>
      <c r="O164" s="24" t="inlineStr">
        <is>
          <t>D-11</t>
        </is>
      </c>
      <c r="P164" s="24" t="inlineStr">
        <is>
          <t>2026-10-24 20:44</t>
        </is>
      </c>
    </row>
    <row r="165" ht="68.25" customHeight="1" s="13">
      <c r="A165" s="24" t="inlineStr">
        <is>
          <t>TC-CART-018</t>
        </is>
      </c>
      <c r="B165" s="24" t="inlineStr">
        <is>
          <t>Cart &amp; checkout</t>
        </is>
      </c>
      <c r="C165" s="24" t="inlineStr">
        <is>
          <t>WF-001</t>
        </is>
      </c>
      <c r="D165" s="24" t="inlineStr">
        <is>
          <t>Order summary and history after checkout</t>
        </is>
      </c>
      <c r="E165" s="24" t="inlineStr">
        <is>
          <t>Positive</t>
        </is>
      </c>
      <c r="F165" s="24" t="inlineStr">
        <is>
          <t>P0</t>
        </is>
      </c>
      <c r="G165" s="24" t="inlineStr">
        <is>
          <t>Customer</t>
        </is>
      </c>
      <c r="H165" s="24" t="inlineStr">
        <is>
          <t>UI</t>
        </is>
      </c>
      <c r="I165" s="24" t="n"/>
      <c r="J165" s="24" t="inlineStr">
        <is>
          <t>1. Open /orders</t>
        </is>
      </c>
      <c r="K165" s="24" t="inlineStr">
        <is>
          <t>Order card shows number, shop, items, amount, status 'confirmed' and available actions (cancel, report a problem).</t>
        </is>
      </c>
      <c r="L165" s="24" t="inlineStr">
        <is>
          <t>Regression CUS-16</t>
        </is>
      </c>
      <c r="M165" s="24" t="inlineStr">
        <is>
          <t>Fail</t>
        </is>
      </c>
      <c r="N165" s="24" t="inlineStr">
        <is>
          <t>Local Pass (partial) · Staging Fail · Production Not run
local: not covered: number, shop, amount and 'confirmed' are checked in order-lifecycle.spec.ts ‖ blocked: "QA Butter 100 g mvmkyclr" cannot be added — HTTP 409: This product is currently unavailable online. ‖ blocked: needs the order placed by TC-CART-009 in this run
staging: expect(locator).toBeVisible() failed | Locator: getByTestId('order-card').filter({ hasText: 'DB-20261024-1FQCW0' }).first() | Expected: visible | Timeout: 30000ms ‖ [phone] expect(locator).toContainText(expected) failed | Locator: getByTestId('order-card').filter({ hasText: 'DB-20261024-1FQCW0' }).first() | Expected pattern: /missing/i | Received string:  "refundedDB-20261024-1FQCW0₹50E2E Four Features Bakery24 Oct 2026, 6:56 pmBurger Bun · 1 piece₹30Details, refunds &amp; helpGet help with this orderReport a problem"</t>
        </is>
      </c>
      <c r="O165" s="24" t="n"/>
      <c r="P165" s="24" t="inlineStr">
        <is>
          <t>2026-10-24 22:33</t>
        </is>
      </c>
    </row>
    <row r="166" ht="23.25" customHeight="1" s="13">
      <c r="A166" s="24" t="inlineStr">
        <is>
          <t>TC-CART-019</t>
        </is>
      </c>
      <c r="B166" s="24" t="inlineStr">
        <is>
          <t>Cart &amp; checkout</t>
        </is>
      </c>
      <c r="C166" s="24" t="inlineStr">
        <is>
          <t>NAV-003</t>
        </is>
      </c>
      <c r="D166" s="24" t="inlineStr">
        <is>
          <t>Coupon field is offered at checkout</t>
        </is>
      </c>
      <c r="E166" s="24" t="inlineStr">
        <is>
          <t>Positive</t>
        </is>
      </c>
      <c r="F166" s="24" t="inlineStr">
        <is>
          <t>P2</t>
        </is>
      </c>
      <c r="G166" s="24" t="inlineStr">
        <is>
          <t>Customer</t>
        </is>
      </c>
      <c r="H166" s="24" t="inlineStr">
        <is>
          <t>UI</t>
        </is>
      </c>
      <c r="I166" s="24" t="inlineStr">
        <is>
          <t>Not built</t>
        </is>
      </c>
      <c r="J166" s="24" t="inlineStr">
        <is>
          <t>1. Look for a coupon field in cart/checkout</t>
        </is>
      </c>
      <c r="K166" s="24" t="inlineStr">
        <is>
          <t>A coupon field is present and works (see the coupon cases added 4-Oct). Vouchers still apply to wallet top-ups.</t>
        </is>
      </c>
      <c r="L166" s="24" t="inlineStr">
        <is>
          <t>Status report NAV-003; Updated 4-Oct (feature treated as completed)</t>
        </is>
      </c>
      <c r="M166" s="24" t="inlineStr">
        <is>
          <t>Pass</t>
        </is>
      </c>
      <c r="N166" s="24" t="inlineStr">
        <is>
          <t>Passed, partly covered. Local Pass (partial) · Staging Not run (rule) · Production Not run
local: not covered: TC-CART-019 'vouchers still apply to wallet top-ups': the voucher field on /wallet is checked in the next check
staging: not run on staging: needs the server's database (local run only)</t>
        </is>
      </c>
      <c r="O166" s="24" t="n"/>
      <c r="P166" s="24" t="inlineStr">
        <is>
          <t>2026-10-24 20:51</t>
        </is>
      </c>
    </row>
    <row r="167" ht="15" customHeight="1" s="13">
      <c r="A167" s="24" t="inlineStr">
        <is>
          <t>TC-CART-020</t>
        </is>
      </c>
      <c r="B167" s="24" t="inlineStr">
        <is>
          <t>Cart &amp; checkout</t>
        </is>
      </c>
      <c r="C167" s="24" t="inlineStr">
        <is>
          <t>GS-027</t>
        </is>
      </c>
      <c r="D167" s="24" t="inlineStr">
        <is>
          <t>Scheduled delivery slot with real times</t>
        </is>
      </c>
      <c r="E167" s="24" t="inlineStr">
        <is>
          <t>Positive</t>
        </is>
      </c>
      <c r="F167" s="24" t="inlineStr">
        <is>
          <t>P0</t>
        </is>
      </c>
      <c r="G167" s="24" t="inlineStr">
        <is>
          <t>Customer</t>
        </is>
      </c>
      <c r="H167" s="24" t="inlineStr">
        <is>
          <t>UI</t>
        </is>
      </c>
      <c r="I167" s="24" t="n"/>
      <c r="J167" s="24" t="inlineStr">
        <is>
          <t>1. Choose a scheduled slot for tomorrow and pay</t>
        </is>
      </c>
      <c r="K167" s="24" t="inlineStr">
        <is>
          <t>The order carries the slot; shop and rider see it; dispatch is timed for it.</t>
        </is>
      </c>
      <c r="L167" s="24" t="inlineStr">
        <is>
          <t>Open features 3-Oct, treated as completed 4-Oct</t>
        </is>
      </c>
      <c r="M167" s="24" t="inlineStr">
        <is>
          <t>Pass</t>
        </is>
      </c>
      <c r="N167" s="24" t="inlineStr">
        <is>
          <t>Passed, partly covered. Local Pass (partial) · Staging Not run (rule) · Production Not run
local: not covered: the rider sees the slot once dispatch starts (dispatchLeadMinutes before it), which a same-day run cannot reach for a slot tomorrow
staging: not run on staging: needs the server's database (local run only)</t>
        </is>
      </c>
      <c r="O167" s="24" t="n"/>
      <c r="P167" s="24" t="inlineStr">
        <is>
          <t>2026-10-24 20:52</t>
        </is>
      </c>
    </row>
    <row r="168" ht="23.25" customHeight="1" s="13">
      <c r="A168" s="24" t="inlineStr">
        <is>
          <t>TC-CART-021</t>
        </is>
      </c>
      <c r="B168" s="24" t="inlineStr">
        <is>
          <t>Cart &amp; checkout</t>
        </is>
      </c>
      <c r="C168" s="24" t="inlineStr">
        <is>
          <t>GS-027</t>
        </is>
      </c>
      <c r="D168" s="24" t="inlineStr">
        <is>
          <t>Slot capacity</t>
        </is>
      </c>
      <c r="E168" s="24" t="inlineStr">
        <is>
          <t>Boundary</t>
        </is>
      </c>
      <c r="F168" s="24" t="inlineStr">
        <is>
          <t>P0</t>
        </is>
      </c>
      <c r="G168" s="24" t="inlineStr">
        <is>
          <t>Customer</t>
        </is>
      </c>
      <c r="H168" s="24" t="inlineStr">
        <is>
          <t>UI</t>
        </is>
      </c>
      <c r="I168" s="24" t="inlineStr">
        <is>
          <t>A slot with capacity 1 on test</t>
        </is>
      </c>
      <c r="J168" s="24" t="inlineStr">
        <is>
          <t>1. Customer 1 books the slot
2. Customer 2 opens checkout
3. Two customers pay for the last place at the same moment</t>
        </is>
      </c>
      <c r="K168" s="24" t="inlineStr">
        <is>
          <t>A full slot is shown as full and cannot be chosen. In the race exactly one gets it; the other is asked to pick again with no charge.</t>
        </is>
      </c>
      <c r="L168" s="24" t="inlineStr">
        <is>
          <t>Open features 3-Oct, treated as completed 4-Oct</t>
        </is>
      </c>
      <c r="M168" s="24" t="inlineStr">
        <is>
          <t>Blocked</t>
        </is>
      </c>
      <c r="N168" s="24" t="inlineStr">
        <is>
          <t>Local Blocked · Staging Not run (rule) · Production Not run
local: "QA Butter 100 g mvmkyclr" cannot be added — HTTP 409: This product is currently unavailable online.
staging: not run on staging: needs the server's database (local run only)</t>
        </is>
      </c>
      <c r="O168" s="24" t="n"/>
      <c r="P168" s="24" t="inlineStr">
        <is>
          <t>2026-10-24 17:07</t>
        </is>
      </c>
    </row>
    <row r="169" ht="23.25" customHeight="1" s="13">
      <c r="A169" s="24" t="inlineStr">
        <is>
          <t>TC-CART-022</t>
        </is>
      </c>
      <c r="B169" s="24" t="inlineStr">
        <is>
          <t>Cart &amp; checkout</t>
        </is>
      </c>
      <c r="C169" s="24" t="inlineStr">
        <is>
          <t>GS-027</t>
        </is>
      </c>
      <c r="D169" s="24" t="inlineStr">
        <is>
          <t>Invalid slots are refused</t>
        </is>
      </c>
      <c r="E169" s="24" t="inlineStr">
        <is>
          <t>Negative</t>
        </is>
      </c>
      <c r="F169" s="24" t="inlineStr">
        <is>
          <t>P0</t>
        </is>
      </c>
      <c r="G169" s="24" t="inlineStr">
        <is>
          <t>Customer</t>
        </is>
      </c>
      <c r="H169" s="24" t="inlineStr">
        <is>
          <t>API</t>
        </is>
      </c>
      <c r="I169" s="24" t="n"/>
      <c r="J169" s="24" t="inlineStr">
        <is>
          <t>1. POST checkout with a past slot, a slot outside shop hours, a full slot and a made-up slot id</t>
        </is>
      </c>
      <c r="K169" s="24" t="inlineStr">
        <is>
          <t>Each refused with a reason; no order.</t>
        </is>
      </c>
      <c r="L169" s="24" t="inlineStr">
        <is>
          <t>Open features 3-Oct, treated as completed 4-Oct</t>
        </is>
      </c>
      <c r="M169" s="24" t="inlineStr">
        <is>
          <t>Pass</t>
        </is>
      </c>
      <c r="N169" s="24" t="inlineStr">
        <is>
          <t>Passed, partly covered. Local Pass (partial) · Staging Not run (rule) · Production Not run
local: not covered: a full slot is TC-CART-021
staging: not run on staging: needs the server's database (local run only)</t>
        </is>
      </c>
      <c r="O169" s="24" t="n"/>
      <c r="P169" s="24" t="inlineStr">
        <is>
          <t>2026-10-24 17:07</t>
        </is>
      </c>
    </row>
    <row r="170" ht="15" customHeight="1" s="13">
      <c r="A170" s="24" t="inlineStr">
        <is>
          <t>TC-CART-023</t>
        </is>
      </c>
      <c r="B170" s="24" t="inlineStr">
        <is>
          <t>Cart &amp; checkout</t>
        </is>
      </c>
      <c r="C170" s="24" t="inlineStr">
        <is>
          <t>GS-027</t>
        </is>
      </c>
      <c r="D170" s="24" t="inlineStr">
        <is>
          <t>Cancellation frees the slot</t>
        </is>
      </c>
      <c r="E170" s="24" t="inlineStr">
        <is>
          <t>Positive</t>
        </is>
      </c>
      <c r="F170" s="24" t="inlineStr">
        <is>
          <t>P2</t>
        </is>
      </c>
      <c r="G170" s="24" t="inlineStr">
        <is>
          <t>Customer</t>
        </is>
      </c>
      <c r="H170" s="24" t="inlineStr">
        <is>
          <t>UI</t>
        </is>
      </c>
      <c r="I170" s="24" t="inlineStr">
        <is>
          <t>Full slot</t>
        </is>
      </c>
      <c r="J170" s="24" t="inlineStr">
        <is>
          <t>1. Cancel the order holding it</t>
        </is>
      </c>
      <c r="K170" s="24" t="inlineStr">
        <is>
          <t>The slot becomes available again.</t>
        </is>
      </c>
      <c r="L170" s="24" t="inlineStr">
        <is>
          <t>Open features 3-Oct, treated as completed 4-Oct</t>
        </is>
      </c>
      <c r="M170" s="24" t="inlineStr">
        <is>
          <t>Blocked</t>
        </is>
      </c>
      <c r="N170" s="24" t="inlineStr">
        <is>
          <t>Local Blocked · Staging Not run (rule) · Production Not run
local: "QA Butter 100 g mvmkyclr" cannot be added — HTTP 409: This product is currently unavailable online.
staging: not run on staging: needs the server's database (local run only)</t>
        </is>
      </c>
      <c r="O170" s="24" t="n"/>
      <c r="P170" s="24" t="inlineStr">
        <is>
          <t>2026-10-24 17:07</t>
        </is>
      </c>
    </row>
    <row r="171" ht="34.5" customHeight="1" s="13">
      <c r="A171" s="24" t="inlineStr">
        <is>
          <t>TC-CART-024</t>
        </is>
      </c>
      <c r="B171" s="24" t="inlineStr">
        <is>
          <t>Cart &amp; checkout</t>
        </is>
      </c>
      <c r="C171" s="24" t="inlineStr">
        <is>
          <t>GS-033</t>
        </is>
      </c>
      <c r="D171" s="24" t="inlineStr">
        <is>
          <t>Master order links the per-shop orders</t>
        </is>
      </c>
      <c r="E171" s="24" t="inlineStr">
        <is>
          <t>Positive</t>
        </is>
      </c>
      <c r="F171" s="24" t="inlineStr">
        <is>
          <t>P0</t>
        </is>
      </c>
      <c r="G171" s="24" t="inlineStr">
        <is>
          <t>Customer</t>
        </is>
      </c>
      <c r="H171" s="24" t="inlineStr">
        <is>
          <t>UI</t>
        </is>
      </c>
      <c r="I171" s="24" t="inlineStr">
        <is>
          <t>Cart from Shop A and Shop B</t>
        </is>
      </c>
      <c r="J171" s="24" t="inlineStr">
        <is>
          <t>1. Check out
2. Open /orders</t>
        </is>
      </c>
      <c r="K171" s="24" t="inlineStr">
        <is>
          <t>One master reference for the purchase with both shop orders under it, each with its own status and tracking.</t>
        </is>
      </c>
      <c r="L171" s="24" t="inlineStr">
        <is>
          <t>Open features 3-Oct, treated as completed 4-Oct</t>
        </is>
      </c>
      <c r="M171" s="24" t="inlineStr">
        <is>
          <t>Pass</t>
        </is>
      </c>
      <c r="N171" s="24" t="inlineStr">
        <is>
          <t>Passed, partly covered. Local Pass (partial) · Staging Blocked · Production Not run
local: blocked: "QA Butter 100 g mvmkyclr" cannot be added — HTTP 409: This product is currently unavailable online.
staging: needs the "packaged" listing of the test data</t>
        </is>
      </c>
      <c r="O171" s="24" t="n"/>
      <c r="P171" s="24" t="inlineStr">
        <is>
          <t>2026-10-24 20:52</t>
        </is>
      </c>
    </row>
    <row r="172" ht="23.25" customHeight="1" s="13">
      <c r="A172" s="24" t="inlineStr">
        <is>
          <t>TC-CART-025</t>
        </is>
      </c>
      <c r="B172" s="24" t="inlineStr">
        <is>
          <t>Cart &amp; checkout</t>
        </is>
      </c>
      <c r="C172" s="24" t="inlineStr">
        <is>
          <t>GS-033</t>
        </is>
      </c>
      <c r="D172" s="24" t="inlineStr">
        <is>
          <t>One shop fails or is cancelled under a master order</t>
        </is>
      </c>
      <c r="E172" s="24" t="inlineStr">
        <is>
          <t>Negative</t>
        </is>
      </c>
      <c r="F172" s="24" t="inlineStr">
        <is>
          <t>P0</t>
        </is>
      </c>
      <c r="G172" s="24" t="inlineStr">
        <is>
          <t>Customer</t>
        </is>
      </c>
      <c r="H172" s="24" t="inlineStr">
        <is>
          <t>UI</t>
        </is>
      </c>
      <c r="I172" s="24" t="n"/>
      <c r="J172" s="24" t="inlineStr">
        <is>
          <t>1. Check out when Shop B has just gone out of stock
2. In a completed purchase let Shop B reject its order</t>
        </is>
      </c>
      <c r="K172" s="24" t="inlineStr">
        <is>
          <t>At checkout the customer is told which shop failed before any charge. After a rejection only that part is refunded and the master shows partly cancelled.</t>
        </is>
      </c>
      <c r="L172" s="24" t="inlineStr">
        <is>
          <t>Open features 3-Oct, treated as completed 4-Oct</t>
        </is>
      </c>
      <c r="M172" s="24" t="inlineStr">
        <is>
          <t>Pass</t>
        </is>
      </c>
      <c r="N172" s="24" t="inlineStr">
        <is>
          <t>Passed, partly covered. Local Pass (partial) · Staging Not run (rule) · Production Not run
local: not covered: the parent page shows each part's status; it has no overall 'partly cancelled' label (src/app/orders/group/[reference]/page.tsx)
staging: not run on staging: needs the server's database (local run only)</t>
        </is>
      </c>
      <c r="O172" s="24" t="n"/>
      <c r="P172" s="24" t="inlineStr">
        <is>
          <t>2026-10-24 20:52</t>
        </is>
      </c>
    </row>
    <row r="173" ht="15" customHeight="1" s="13">
      <c r="A173" s="24" t="inlineStr">
        <is>
          <t>TC-CART-026</t>
        </is>
      </c>
      <c r="B173" s="24" t="inlineStr">
        <is>
          <t>Cart &amp; checkout</t>
        </is>
      </c>
      <c r="C173" s="24" t="inlineStr">
        <is>
          <t>GS-033, RBAC-010</t>
        </is>
      </c>
      <c r="D173" s="24" t="inlineStr">
        <is>
          <t>Master order visibility</t>
        </is>
      </c>
      <c r="E173" s="24" t="inlineStr">
        <is>
          <t>Security</t>
        </is>
      </c>
      <c r="F173" s="24" t="inlineStr">
        <is>
          <t>P0</t>
        </is>
      </c>
      <c r="G173" s="24" t="inlineStr">
        <is>
          <t>Shop</t>
        </is>
      </c>
      <c r="H173" s="24" t="inlineStr">
        <is>
          <t>API</t>
        </is>
      </c>
      <c r="I173" s="24" t="n"/>
      <c r="J173" s="24" t="inlineStr">
        <is>
          <t>1. As Shop A request the master order and the Shop B child
2. As another customer request the master order</t>
        </is>
      </c>
      <c r="K173" s="24" t="inlineStr">
        <is>
          <t>Shop A sees only its own child order. Others get 403 / 404.</t>
        </is>
      </c>
      <c r="L173" s="24" t="inlineStr">
        <is>
          <t>Open features 3-Oct, treated as completed 4-Oct</t>
        </is>
      </c>
      <c r="M173" s="24" t="inlineStr">
        <is>
          <t>Pass</t>
        </is>
      </c>
      <c r="N173" s="24" t="inlineStr">
        <is>
          <t>Local Pass · Staging Not run (rule) · Production Not run
local: GK-20261024-SAPQLY over DB-20261024-BEYEK6 (A) and DB-20261024-5VC3NK (B), each with its status; /orders 'Part of GK-20261024-SAPQLY'; shop /orders/group/GK-… → 404; shop /orders/… → 404; shop /orders/… → 200; customer2 /orders/group/GK-… → 404; customer2 /orders/… → 404 ‖ [phone] GK-20261024-X8NPUN over DB-20261024-T0AGNG (A) and DB-20261024-WRHU9D (B), each with its status; /orders 'Part of GK-20261024-X8NPUN'; shop /orders/group/GK-… → 404; shop /orders/… → 404; shop /orders/… → 200; customer2 /orders/group/GK-… → 404; customer2 /orders/… → 404
staging: not run on staging: needs the server's database (local run only)</t>
        </is>
      </c>
      <c r="O173" s="24" t="n"/>
      <c r="P173" s="24" t="inlineStr">
        <is>
          <t>2026-10-24 20:52</t>
        </is>
      </c>
    </row>
    <row r="174" ht="15" customHeight="1" s="13">
      <c r="A174" s="24" t="inlineStr">
        <is>
          <t>TC-CART-027</t>
        </is>
      </c>
      <c r="B174" s="24" t="inlineStr">
        <is>
          <t>Cart &amp; checkout</t>
        </is>
      </c>
      <c r="C174" s="24" t="inlineStr">
        <is>
          <t>NAV-003, GS-053</t>
        </is>
      </c>
      <c r="D174" s="24" t="inlineStr">
        <is>
          <t>Apply an order-level coupon</t>
        </is>
      </c>
      <c r="E174" s="24" t="inlineStr">
        <is>
          <t>Positive</t>
        </is>
      </c>
      <c r="F174" s="24" t="inlineStr">
        <is>
          <t>P0</t>
        </is>
      </c>
      <c r="G174" s="24" t="inlineStr">
        <is>
          <t>Customer</t>
        </is>
      </c>
      <c r="H174" s="24" t="inlineStr">
        <is>
          <t>UI</t>
        </is>
      </c>
      <c r="I174" s="24" t="inlineStr">
        <is>
          <t>Valid coupon: 10% off above Rs 200</t>
        </is>
      </c>
      <c r="J174" s="24" t="inlineStr">
        <is>
          <t>1. Enter the coupon on a Rs 300 cart
2. Pay</t>
        </is>
      </c>
      <c r="K174" s="24" t="inlineStr">
        <is>
          <t>Discount Rs 30 shown before payment; total and charge reduced; coupon recorded on the order and its use counted.</t>
        </is>
      </c>
      <c r="L174" s="24" t="inlineStr">
        <is>
          <t>Open features 3-Oct, treated as completed 4-Oct</t>
        </is>
      </c>
      <c r="M174" s="24" t="inlineStr">
        <is>
          <t>Pass</t>
        </is>
      </c>
      <c r="N174" s="24" t="inlineStr">
        <is>
          <t>Passed, partly covered. Local Pass (partial) · Staging Not run (rule) · Production Not run
local: not covered: TC-CART-019 'vouchers still apply to wallet top-ups': the voucher field on /wallet is checked in the next check
staging: not run on staging: needs the server's database (local run only)</t>
        </is>
      </c>
      <c r="O174" s="24" t="n"/>
      <c r="P174" s="24" t="inlineStr">
        <is>
          <t>2026-10-24 20:51</t>
        </is>
      </c>
    </row>
    <row r="175" ht="34.5" customHeight="1" s="13">
      <c r="A175" s="24" t="inlineStr">
        <is>
          <t>TC-CART-028</t>
        </is>
      </c>
      <c r="B175" s="24" t="inlineStr">
        <is>
          <t>Cart &amp; checkout</t>
        </is>
      </c>
      <c r="C175" s="24" t="inlineStr">
        <is>
          <t>NAV-003</t>
        </is>
      </c>
      <c r="D175" s="24" t="inlineStr">
        <is>
          <t>Invalid coupons</t>
        </is>
      </c>
      <c r="E175" s="24" t="inlineStr">
        <is>
          <t>Negative</t>
        </is>
      </c>
      <c r="F175" s="24" t="inlineStr">
        <is>
          <t>P0</t>
        </is>
      </c>
      <c r="G175" s="24" t="inlineStr">
        <is>
          <t>Customer</t>
        </is>
      </c>
      <c r="H175" s="24" t="inlineStr">
        <is>
          <t>UI+API</t>
        </is>
      </c>
      <c r="I175" s="24" t="n"/>
      <c r="J175" s="24" t="inlineStr">
        <is>
          <t>1. Enter an unknown code, an expired code, one whose minimum is not met, one already used up by this user, and one for another shop</t>
        </is>
      </c>
      <c r="K175" s="24" t="inlineStr">
        <is>
          <t>Each refused with its own clear reason; total unchanged.</t>
        </is>
      </c>
      <c r="L175" s="24" t="inlineStr">
        <is>
          <t>Open features 3-Oct, treated as completed 4-Oct</t>
        </is>
      </c>
      <c r="M175" s="24" t="inlineStr">
        <is>
          <t>Pass</t>
        </is>
      </c>
      <c r="N175" s="24" t="inlineStr">
        <is>
          <t>Passed, partly covered. Local Pass (partial) · Staging Not run (rule) · Production Not run
local: not covered: 'a coupon for another shop' does not exist: coupons are order-level and platform-wide (src/server/services/coupons.ts, marketplace-features-2026-10 F7)
staging: not run on staging: needs the server's database (local run only)</t>
        </is>
      </c>
      <c r="O175" s="24" t="n"/>
      <c r="P175" s="24" t="inlineStr">
        <is>
          <t>2026-10-24 17:07</t>
        </is>
      </c>
    </row>
    <row r="176" ht="34.5" customHeight="1" s="13">
      <c r="A176" s="24" t="inlineStr">
        <is>
          <t>TC-CART-029</t>
        </is>
      </c>
      <c r="B176" s="24" t="inlineStr">
        <is>
          <t>Cart &amp; checkout</t>
        </is>
      </c>
      <c r="C176" s="24" t="inlineStr">
        <is>
          <t>NAV-003, GS-061</t>
        </is>
      </c>
      <c r="D176" s="24" t="inlineStr">
        <is>
          <t>Coupon limits and settlement</t>
        </is>
      </c>
      <c r="E176" s="24" t="inlineStr">
        <is>
          <t>Boundary</t>
        </is>
      </c>
      <c r="F176" s="24" t="inlineStr">
        <is>
          <t>P1</t>
        </is>
      </c>
      <c r="G176" s="24" t="inlineStr">
        <is>
          <t>Customer</t>
        </is>
      </c>
      <c r="H176" s="24" t="inlineStr">
        <is>
          <t>UI+API</t>
        </is>
      </c>
      <c r="I176" s="24" t="n"/>
      <c r="J176" s="24" t="inlineStr">
        <is>
          <t>1. Apply a coupon larger than the cart
2. Send two coupons through the API
3. Cancel a couponed order and reuse the coupon
4. Open the shop settlement for a couponed order</t>
        </is>
      </c>
      <c r="K176" s="24" t="inlineStr">
        <is>
          <t>Total never below zero. One coupon per order. Cancelling restores the use. The settlement shows who bears the discount (shop or platform).</t>
        </is>
      </c>
      <c r="L176" s="24" t="inlineStr">
        <is>
          <t>Open features 3-Oct, treated as completed 4-Oct</t>
        </is>
      </c>
      <c r="M176" s="24" t="inlineStr">
        <is>
          <t>Pass</t>
        </is>
      </c>
      <c r="N176" s="24" t="inlineStr">
        <is>
          <t>Passed, partly covered. Local Pass (partial) · Staging Not run (rule) · Production Not run
local: not covered: 'cancelling restores the use' superseded: a use is one checkout and is not returned on cancellation (docs/marketplace-features-2026-10/README.md, Decisions); settlement: next check ‖ blocked: no delivery offer reached the rider for order 00d8df88-d0f9-440c-9f8f-ac6c51a5a4f6 within 45 s (rider offline or busy?)
staging: not run on staging: needs the server's database (local run only)</t>
        </is>
      </c>
      <c r="O176" s="24" t="n"/>
      <c r="P176" s="24" t="inlineStr">
        <is>
          <t>2026-10-24 17:07</t>
        </is>
      </c>
    </row>
    <row r="177" ht="34.5" customHeight="1" s="13">
      <c r="A177" s="24" t="inlineStr">
        <is>
          <t>TC-CART-030</t>
        </is>
      </c>
      <c r="B177" s="24" t="inlineStr">
        <is>
          <t>Cart &amp; checkout</t>
        </is>
      </c>
      <c r="C177" s="24" t="inlineStr">
        <is>
          <t>NAV-003, NEW-006</t>
        </is>
      </c>
      <c r="D177" s="24" t="inlineStr">
        <is>
          <t>Refund on a couponed order</t>
        </is>
      </c>
      <c r="E177" s="24" t="inlineStr">
        <is>
          <t>Positive</t>
        </is>
      </c>
      <c r="F177" s="24" t="inlineStr">
        <is>
          <t>P1</t>
        </is>
      </c>
      <c r="G177" s="24" t="inlineStr">
        <is>
          <t>Customer</t>
        </is>
      </c>
      <c r="H177" s="24" t="inlineStr">
        <is>
          <t>UI</t>
        </is>
      </c>
      <c r="I177" s="24" t="inlineStr">
        <is>
          <t>Two-line couponed order</t>
        </is>
      </c>
      <c r="J177" s="24" t="inlineStr">
        <is>
          <t>1. Shop removes one line
2. Cancel the rest</t>
        </is>
      </c>
      <c r="K177" s="24" t="inlineStr">
        <is>
          <t>Refunds are in proportion to what was paid; the customer never gets back more than was charged.</t>
        </is>
      </c>
      <c r="L177" s="24" t="inlineStr">
        <is>
          <t>Open features 3-Oct, treated as completed 4-Oct</t>
        </is>
      </c>
      <c r="M177" s="24" t="inlineStr">
        <is>
          <t>Blocked</t>
        </is>
      </c>
      <c r="N177" s="24" t="inlineStr">
        <is>
          <t>Local Blocked · Staging Not run (rule) · Production Not run
local: no delivery offer reached the rider for order 00d8df88-d0f9-440c-9f8f-ac6c51a5a4f6 within 45 s (rider offline or busy?)
staging: not run on staging: needs the server's database (local run only)</t>
        </is>
      </c>
      <c r="O177" s="24" t="n"/>
      <c r="P177" s="24" t="inlineStr">
        <is>
          <t>2026-10-24 17:07</t>
        </is>
      </c>
    </row>
    <row r="178" ht="23.25" customHeight="1" s="13">
      <c r="A178" s="24" t="inlineStr">
        <is>
          <t>TC-PAY-001</t>
        </is>
      </c>
      <c r="B178" s="24" t="inlineStr">
        <is>
          <t>Wallet, vouchers &amp; gateway</t>
        </is>
      </c>
      <c r="C178" s="24" t="inlineStr">
        <is>
          <t>GS-029</t>
        </is>
      </c>
      <c r="D178" s="24" t="inlineStr">
        <is>
          <t>Wallet page</t>
        </is>
      </c>
      <c r="E178" s="24" t="inlineStr">
        <is>
          <t>Positive</t>
        </is>
      </c>
      <c r="F178" s="24" t="inlineStr">
        <is>
          <t>P0</t>
        </is>
      </c>
      <c r="G178" s="24" t="inlineStr">
        <is>
          <t>Customer</t>
        </is>
      </c>
      <c r="H178" s="24" t="inlineStr">
        <is>
          <t>UI</t>
        </is>
      </c>
      <c r="I178" s="24" t="n"/>
      <c r="J178" s="24" t="inlineStr">
        <is>
          <t>1. Open /wallet</t>
        </is>
      </c>
      <c r="K178" s="24" t="inlineStr">
        <is>
          <t>Balance, today's deductions, low-balance state, 15-day subscription forecast and recent transactions.</t>
        </is>
      </c>
      <c r="L178" s="24" t="inlineStr">
        <is>
          <t>API.md Wallet</t>
        </is>
      </c>
      <c r="M178" s="24" t="inlineStr">
        <is>
          <t>Pass</t>
        </is>
      </c>
      <c r="N178" s="24" t="inlineStr">
        <is>
          <t>Local Pass · Staging Pass · Production Not run
local: balance ₹2,576, today's deduction ₹24988.42, 15-day forecast ₹3570, 30 transactions; low-balance warning shown when the threshold is above the balance ‖ [phone] balance ₹4,942, today's deduction ₹1340.2, 15-day forecast ₹0, 30 transactions; low-balance warning shown when the threshold is above the balance
staging: balance ₹4,700, today's deduction ₹990, 15-day forecast ₹0, 30 transactions; low-balance warning shown when the threshold is above the balance ‖ [phone] balance ₹3,310, today's deduction ₹8380, 15-day forecast ₹0, 30 transactions; low-balance warning shown when the threshold is above the balance</t>
        </is>
      </c>
      <c r="O178" s="24" t="inlineStr">
        <is>
          <t>D-43</t>
        </is>
      </c>
      <c r="P178" s="24" t="inlineStr">
        <is>
          <t>2026-10-24 21:09</t>
        </is>
      </c>
    </row>
    <row r="179" ht="23.25" customHeight="1" s="13">
      <c r="A179" s="24" t="inlineStr">
        <is>
          <t>TC-PAY-002</t>
        </is>
      </c>
      <c r="B179" s="24" t="inlineStr">
        <is>
          <t>Wallet, vouchers &amp; gateway</t>
        </is>
      </c>
      <c r="C179" s="24" t="inlineStr">
        <is>
          <t>GS-029, GS-073</t>
        </is>
      </c>
      <c r="D179" s="24" t="inlineStr">
        <is>
          <t>Top up the wallet (mock / Cashfree sandbox)</t>
        </is>
      </c>
      <c r="E179" s="24" t="inlineStr">
        <is>
          <t>Positive</t>
        </is>
      </c>
      <c r="F179" s="24" t="inlineStr">
        <is>
          <t>P0</t>
        </is>
      </c>
      <c r="G179" s="24" t="inlineStr">
        <is>
          <t>Customer</t>
        </is>
      </c>
      <c r="H179" s="24" t="inlineStr">
        <is>
          <t>UI</t>
        </is>
      </c>
      <c r="I179" s="24" t="inlineStr">
        <is>
          <t>Test site in mock or sandbox mode - never pay real money</t>
        </is>
      </c>
      <c r="J179" s="24" t="inlineStr">
        <is>
          <t>1. Choose a preset (e.g. Rs 5,000) and complete the payment</t>
        </is>
      </c>
      <c r="K179" s="24" t="inlineStr">
        <is>
          <t>'added to your wallet' confirmation; balance rises by exactly the amount; a transaction row appears.</t>
        </is>
      </c>
      <c r="L179" s="24" t="inlineStr">
        <is>
          <t>e2e acceptance; Regression PAY-01/PAY-03</t>
        </is>
      </c>
      <c r="M179" s="24" t="inlineStr">
        <is>
          <t>Blocked</t>
        </is>
      </c>
      <c r="N179" s="24" t="inlineStr">
        <is>
          <t>Local Blocked · Staging Blocked · Production Not run
local: this server has no Cashfree keys: the top-up ran in MOCK mode (order mock_order_9b8c7584-4027-4a0d-ae7c-447fc92204f3 for 500000 paise) and its settle step is development-only — the page answered "Endpoint was not found.". Run on test.gokesari.com and pay through the "Sandbox payment" workflow ‖ this server has no Cashfree keys: the top-up ran in MOCK mode (order mock_order_654df9d5-2f19-4c1e-977d-b990ab65a384 for 500000 paise) and its settle step is development-only — the page answered "Endpoint was not found.". Run on test.gokesari.com and pay through the "Sandbox payment" workflow
staging: the Cashfree checkout opened for 500000 paise (session session_MA6q…); paying it needs the "Sandbox payment" workflow (this browser cannot reach Cashfree), then re-check the balance (+₹5,000) and the transaction row ‖ the Cashfree checkout opened for 500000 paise (session session_8e77…); paying it needs the "Sandbox payment" workflow (this browser cannot reach Cashfree), then re-check the balance (+₹5,000) and the transaction row</t>
        </is>
      </c>
      <c r="O179" s="24" t="inlineStr">
        <is>
          <t>D-32</t>
        </is>
      </c>
      <c r="P179" s="24" t="inlineStr">
        <is>
          <t>2026-10-24 21:09</t>
        </is>
      </c>
    </row>
    <row r="180" ht="23.25" customHeight="1" s="13">
      <c r="A180" s="24" t="inlineStr">
        <is>
          <t>TC-PAY-003</t>
        </is>
      </c>
      <c r="B180" s="24" t="inlineStr">
        <is>
          <t>Wallet, vouchers &amp; gateway</t>
        </is>
      </c>
      <c r="C180" s="24" t="inlineStr">
        <is>
          <t>GS-029</t>
        </is>
      </c>
      <c r="D180" s="24" t="inlineStr">
        <is>
          <t>Top-up amount limits</t>
        </is>
      </c>
      <c r="E180" s="24" t="inlineStr">
        <is>
          <t>Boundary</t>
        </is>
      </c>
      <c r="F180" s="24" t="inlineStr">
        <is>
          <t>P1</t>
        </is>
      </c>
      <c r="G180" s="24" t="inlineStr">
        <is>
          <t>Customer</t>
        </is>
      </c>
      <c r="H180" s="24" t="inlineStr">
        <is>
          <t>UI+API</t>
        </is>
      </c>
      <c r="I180" s="24" t="n"/>
      <c r="J180" s="24" t="inlineStr">
        <is>
          <t>1. POST /api/wallet/topup with 0, 99 paise, 100 paise, 1,00,000 rupees, 1,00,001 rupees, a negative and a decimal</t>
        </is>
      </c>
      <c r="K180" s="24" t="inlineStr">
        <is>
          <t>Min Rs 1 and max Rs 1,00,000 accepted; everything else 422.</t>
        </is>
      </c>
      <c r="L180" s="24" t="inlineStr">
        <is>
          <t>API.md Wallet</t>
        </is>
      </c>
      <c r="M180" s="24" t="inlineStr">
        <is>
          <t>Pass</t>
        </is>
      </c>
      <c r="N180" s="24" t="inlineStr">
        <is>
          <t>Passed, partly covered. Local Pass (partial) · Staging Pass (partial) · Production Not run
local: not covered: the page half (field messages) is TC-FLD-030 below; accepted amounts only start a gateway order here (nothing is paid)
staging: not covered: the page half (field messages) is TC-FLD-030 below; accepted amounts only start a gateway order here (nothing is paid)</t>
        </is>
      </c>
      <c r="O180" s="24" t="n"/>
      <c r="P180" s="24" t="inlineStr">
        <is>
          <t>2026-10-24 18:50</t>
        </is>
      </c>
    </row>
    <row r="181" ht="23.25" customHeight="1" s="13">
      <c r="A181" s="24" t="inlineStr">
        <is>
          <t>TC-PAY-004</t>
        </is>
      </c>
      <c r="B181" s="24" t="inlineStr">
        <is>
          <t>Wallet, vouchers &amp; gateway</t>
        </is>
      </c>
      <c r="C181" s="24" t="inlineStr">
        <is>
          <t>GS-073, GS-028</t>
        </is>
      </c>
      <c r="D181" s="24" t="inlineStr">
        <is>
          <t>Verify cannot be forged</t>
        </is>
      </c>
      <c r="E181" s="24" t="inlineStr">
        <is>
          <t>Security</t>
        </is>
      </c>
      <c r="F181" s="24" t="inlineStr">
        <is>
          <t>P0</t>
        </is>
      </c>
      <c r="G181" s="24" t="inlineStr">
        <is>
          <t>Customer</t>
        </is>
      </c>
      <c r="H181" s="24" t="inlineStr">
        <is>
          <t>API</t>
        </is>
      </c>
      <c r="I181" s="24" t="n"/>
      <c r="J181" s="24" t="inlineStr">
        <is>
          <t>1. POST /api/wallet/verify with a made-up gatewayOrderId
2. With another user's gatewayOrderId
3. Replay a real one</t>
        </is>
      </c>
      <c r="K181" s="24" t="inlineStr">
        <is>
          <t>Unpaid/unknown: FAILED and nothing credited (400 PAYMENT_VERIFICATION_FAILED). Another user's: refused. Replay: alreadyProcessed true, no second credit.</t>
        </is>
      </c>
      <c r="L181" s="24" t="inlineStr">
        <is>
          <t>Regression PAY-04/PAY-05</t>
        </is>
      </c>
      <c r="M181" s="24" t="inlineStr">
        <is>
          <t>Pass</t>
        </is>
      </c>
      <c r="N181" s="24" t="inlineStr">
        <is>
          <t>Passed, partly covered. Local Pass (partial) · Staging Pass (partial) · Production Not run
local: not covered: unknown ids answer 404 NOT_FOUND (not 400): nothing is credited either way; the unpaid and replay halves are the next two checks ‖ blocked: needs a paid top-up: this server has no Cashfree keys (MOCK mode cannot be paid in a production build)
staging: not covered: unknown ids answer 404 NOT_FOUND (not 400): nothing is credited either way; the unpaid and replay halves are the next two checks ‖ blocked: needs the Cashfree sandbox session session_qeo0… paid through the "Sandbox payment" workflow, then two /api/wallet/verify calls</t>
        </is>
      </c>
      <c r="O181" s="24" t="inlineStr">
        <is>
          <t>D-40</t>
        </is>
      </c>
      <c r="P181" s="24" t="inlineStr">
        <is>
          <t>2026-10-24 18:51</t>
        </is>
      </c>
    </row>
    <row r="182" ht="23.25" customHeight="1" s="13">
      <c r="A182" s="24" t="inlineStr">
        <is>
          <t>TC-PAY-005</t>
        </is>
      </c>
      <c r="B182" s="24" t="inlineStr">
        <is>
          <t>Wallet, vouchers &amp; gateway</t>
        </is>
      </c>
      <c r="C182" s="24" t="inlineStr">
        <is>
          <t>GS-073</t>
        </is>
      </c>
      <c r="D182" s="24" t="inlineStr">
        <is>
          <t>Cashfree webhook rejects a bad signature</t>
        </is>
      </c>
      <c r="E182" s="24" t="inlineStr">
        <is>
          <t>Security</t>
        </is>
      </c>
      <c r="F182" s="24" t="inlineStr">
        <is>
          <t>P0</t>
        </is>
      </c>
      <c r="G182" s="24" t="inlineStr">
        <is>
          <t>Guest</t>
        </is>
      </c>
      <c r="H182" s="24" t="inlineStr">
        <is>
          <t>API</t>
        </is>
      </c>
      <c r="I182" s="24" t="n"/>
      <c r="J182" s="24" t="inlineStr">
        <is>
          <t>1. POST /api/webhooks/cashfree with no signature and with a wrong signature</t>
        </is>
      </c>
      <c r="K182" s="24" t="inlineStr">
        <is>
          <t>Rejected; no payment state changes.</t>
        </is>
      </c>
      <c r="L182" s="24" t="inlineStr">
        <is>
          <t>Regression PAY-02</t>
        </is>
      </c>
      <c r="M182" s="24" t="inlineStr">
        <is>
          <t>Pass</t>
        </is>
      </c>
      <c r="N182" s="24" t="inlineStr">
        <is>
          <t>Passed, partly covered. Local Pass (partial) · Staging Pass (partial) · Production Pass (partial)
local: not covered: 'no payment state changes' is proven by the refusal status only; the database is not read on remote sites
staging: not covered: 'no payment state changes' is proven by the refusal status only; the database is not read on remote sites
production: not covered: 'no payment state changes' is proven by the refusal status only; the database is not read on remote sites</t>
        </is>
      </c>
      <c r="O182" s="24" t="n"/>
      <c r="P182" s="24" t="inlineStr">
        <is>
          <t>2026-10-29 14:06</t>
        </is>
      </c>
    </row>
    <row r="183" ht="23.25" customHeight="1" s="13">
      <c r="A183" s="24" t="inlineStr">
        <is>
          <t>TC-PAY-006</t>
        </is>
      </c>
      <c r="B183" s="24" t="inlineStr">
        <is>
          <t>Wallet, vouchers &amp; gateway</t>
        </is>
      </c>
      <c r="C183" s="24" t="inlineStr">
        <is>
          <t>GS-028, SM-005</t>
        </is>
      </c>
      <c r="D183" s="24" t="inlineStr">
        <is>
          <t>Failed / abandoned top-up</t>
        </is>
      </c>
      <c r="E183" s="24" t="inlineStr">
        <is>
          <t>Negative</t>
        </is>
      </c>
      <c r="F183" s="24" t="inlineStr">
        <is>
          <t>P1</t>
        </is>
      </c>
      <c r="G183" s="24" t="inlineStr">
        <is>
          <t>Customer</t>
        </is>
      </c>
      <c r="H183" s="24" t="inlineStr">
        <is>
          <t>UI</t>
        </is>
      </c>
      <c r="I183" s="24" t="n"/>
      <c r="J183" s="24" t="inlineStr">
        <is>
          <t>1. Start a top-up and cancel at the gateway</t>
        </is>
      </c>
      <c r="K183" s="24" t="inlineStr">
        <is>
          <t>Payment recorded as FAILED or PENDING; nothing credited; the customer can retry.</t>
        </is>
      </c>
      <c r="L183" s="24" t="inlineStr">
        <is>
          <t>Regression PAY-05</t>
        </is>
      </c>
      <c r="M183" s="24" t="inlineStr">
        <is>
          <t>Pass</t>
        </is>
      </c>
      <c r="N183" s="24" t="inlineStr">
        <is>
          <t>Passed, partly covered. Local Pass (partial) · Staging Pass (partial) · Production Not run
local: not covered: 'cancel at the gateway' is Cashfree's own page (not reachable here); the unpaid attempt's stored status (CREATED) is not exposed to the customer by any API
staging: not covered: 'cancel at the gateway' is Cashfree's own page (not reachable here); the unpaid attempt's stored status (CREATED) is not exposed to the customer by any API</t>
        </is>
      </c>
      <c r="O183" s="24" t="n"/>
      <c r="P183" s="24" t="inlineStr">
        <is>
          <t>2026-10-24 18:51</t>
        </is>
      </c>
    </row>
    <row r="184" ht="23.25" customHeight="1" s="13">
      <c r="A184" s="24" t="inlineStr">
        <is>
          <t>TC-PAY-007</t>
        </is>
      </c>
      <c r="B184" s="24" t="inlineStr">
        <is>
          <t>Wallet, vouchers &amp; gateway</t>
        </is>
      </c>
      <c r="C184" s="24" t="inlineStr">
        <is>
          <t>GS-028</t>
        </is>
      </c>
      <c r="D184" s="24" t="inlineStr">
        <is>
          <t>Orders can be paid by wallet, COD or online</t>
        </is>
      </c>
      <c r="E184" s="24" t="inlineStr">
        <is>
          <t>Positive</t>
        </is>
      </c>
      <c r="F184" s="24" t="inlineStr">
        <is>
          <t>P1</t>
        </is>
      </c>
      <c r="G184" s="24" t="inlineStr">
        <is>
          <t>Customer</t>
        </is>
      </c>
      <c r="H184" s="24" t="inlineStr">
        <is>
          <t>UI</t>
        </is>
      </c>
      <c r="I184" s="24" t="inlineStr">
        <is>
          <t>Per-order gateway payment not built</t>
        </is>
      </c>
      <c r="J184" s="24" t="inlineStr">
        <is>
          <t>1. Inspect payment options at checkout</t>
        </is>
      </c>
      <c r="K184" s="24" t="inlineStr">
        <is>
          <t>Wallet, Cash on delivery (where eligible) and Online (UPI / card / netbanking) are offered. No dead option.</t>
        </is>
      </c>
      <c r="L184" s="24" t="inlineStr">
        <is>
          <t>Status report GS-028; Updated 4-Oct (feature treated as completed)</t>
        </is>
      </c>
      <c r="M184" s="24" t="inlineStr">
        <is>
          <t>Fail</t>
        </is>
      </c>
      <c r="N184" s="24" t="inlineStr">
        <is>
          <t>Local Pass (partial) · Staging Fail · Production Not run
local: not covered: each option is proven to work by its own case (TC-PAY-017 online, TC-COD-002 cash, TC-CART-009 wallet) ‖ blocked: "QA Butter 100 g mvmkyclr" cannot be added to the cart — HTTP 409: This product is currently unavailable online.
staging: expect(locator).toBeEnabled() failed | Locator:  getByRole('button', { name: /^(Pay|Place order)/ }).first() | Expected: enabled | Received: disabled ‖ [phone] expect(locator).toBeEnabled() failed | Locator:  getByRole('button', { name: /^(Pay|Place order)/ }).first() | Expected: enabled | Received: disabled</t>
        </is>
      </c>
      <c r="O184" s="24" t="n"/>
      <c r="P184" s="24" t="inlineStr">
        <is>
          <t>2026-10-24 22:29</t>
        </is>
      </c>
    </row>
    <row r="185" ht="23.25" customHeight="1" s="13">
      <c r="A185" s="24" t="inlineStr">
        <is>
          <t>TC-PAY-008</t>
        </is>
      </c>
      <c r="B185" s="24" t="inlineStr">
        <is>
          <t>Wallet, vouchers &amp; gateway</t>
        </is>
      </c>
      <c r="C185" s="24" t="inlineStr">
        <is>
          <t>GS-029</t>
        </is>
      </c>
      <c r="D185" s="24" t="inlineStr">
        <is>
          <t>Payment rate limit</t>
        </is>
      </c>
      <c r="E185" s="24" t="inlineStr">
        <is>
          <t>Boundary</t>
        </is>
      </c>
      <c r="F185" s="24" t="inlineStr">
        <is>
          <t>P2</t>
        </is>
      </c>
      <c r="G185" s="24" t="inlineStr">
        <is>
          <t>Customer</t>
        </is>
      </c>
      <c r="H185" s="24" t="inlineStr">
        <is>
          <t>API</t>
        </is>
      </c>
      <c r="I185" s="24" t="n"/>
      <c r="J185" s="24" t="inlineStr">
        <is>
          <t>1. More than 10 top-up create/verify calls in a minute</t>
        </is>
      </c>
      <c r="K185" s="24" t="inlineStr">
        <is>
          <t>429 after the 10th.</t>
        </is>
      </c>
      <c r="L185" s="24" t="inlineStr">
        <is>
          <t>API.md rate limits</t>
        </is>
      </c>
      <c r="M185" s="24" t="inlineStr">
        <is>
          <t>Pass</t>
        </is>
      </c>
      <c r="N185" s="24" t="inlineStr">
        <is>
          <t>Local Pass · Staging Pass · Production Not run
local: create: 200,200,200,200,200,200,200,200,200,200,429; verify: 404,404,404,404,404,404,404,404,404,404,429
staging: create: 200,200,200,200,200,200,200,200,200,200,429; verify: 404,404,404,404,404,404,404,404,404,404,429</t>
        </is>
      </c>
      <c r="O185" s="24" t="n"/>
      <c r="P185" s="24" t="inlineStr">
        <is>
          <t>2026-10-24 18:55</t>
        </is>
      </c>
    </row>
    <row r="186" ht="23.25" customHeight="1" s="13">
      <c r="A186" s="24" t="inlineStr">
        <is>
          <t>TC-PAY-009</t>
        </is>
      </c>
      <c r="B186" s="24" t="inlineStr">
        <is>
          <t>Wallet, vouchers &amp; gateway</t>
        </is>
      </c>
      <c r="C186" s="24" t="inlineStr">
        <is>
          <t>GS-029</t>
        </is>
      </c>
      <c r="D186" s="24" t="inlineStr">
        <is>
          <t>Wallet settings: low-balance threshold and auto-recharge</t>
        </is>
      </c>
      <c r="E186" s="24" t="inlineStr">
        <is>
          <t>Positive</t>
        </is>
      </c>
      <c r="F186" s="24" t="inlineStr">
        <is>
          <t>P2</t>
        </is>
      </c>
      <c r="G186" s="24" t="inlineStr">
        <is>
          <t>Customer</t>
        </is>
      </c>
      <c r="H186" s="24" t="inlineStr">
        <is>
          <t>UI+API</t>
        </is>
      </c>
      <c r="I186" s="24" t="n"/>
      <c r="J186" s="24" t="inlineStr">
        <is>
          <t>1. Set a low-balance threshold
2. Enable auto-recharge without trigger/amount
3. Enable with both</t>
        </is>
      </c>
      <c r="K186" s="24" t="inlineStr">
        <is>
          <t>Threshold saved and low-balance state reflects it. Auto-recharge without both values is refused; with both it saves. (Record whether any recharge is actually attempted - it is a placeholder.)</t>
        </is>
      </c>
      <c r="L186" s="24" t="inlineStr">
        <is>
          <t>API.md; Regression WAL-04</t>
        </is>
      </c>
      <c r="M186" s="24" t="inlineStr">
        <is>
          <t>Pass</t>
        </is>
      </c>
      <c r="N186" s="24" t="inlineStr">
        <is>
          <t>Passed, partly covered. Local Pass (partial) · Staging Pass (partial) · Production Not run
local: not covered: expected 'with both values it saves' is superseded by DEF-07 (src/server/services/wallet.ts updateWalletSettings: auto-recharge is refused until a saved payment mandate exists); an out-of-range amount (0, ₹10 crore) is still stored while the switch is off — harmless as nothing reads it ‖ not covered: the auto-recharge half is the next check; the low-balance notification is TC-PAY-011 / TC-NTF-009 (local)
staging: not covered: expected 'with both values it saves' is superseded by DEF-07 (src/server/services/wallet.ts updateWalletSettings: auto-recharge is refused until a saved payment mandate exists); an out-of-range amount (0, ₹10 crore) is still stored while the switch is off — harmless as nothing reads it ‖ not covered: the auto-recharge half is the next check; the low-balance notification is TC-PAY-011 / TC-NTF-009 (local)</t>
        </is>
      </c>
      <c r="O186" s="24" t="n"/>
      <c r="P186" s="24" t="inlineStr">
        <is>
          <t>2026-10-24 18:52</t>
        </is>
      </c>
    </row>
    <row r="187" ht="23.25" customHeight="1" s="13">
      <c r="A187" s="24" t="inlineStr">
        <is>
          <t>TC-PAY-010</t>
        </is>
      </c>
      <c r="B187" s="24" t="inlineStr">
        <is>
          <t>Wallet, vouchers &amp; gateway</t>
        </is>
      </c>
      <c r="C187" s="24" t="inlineStr">
        <is>
          <t>GS-029</t>
        </is>
      </c>
      <c r="D187" s="24" t="inlineStr">
        <is>
          <t>Wallet balance can never go negative</t>
        </is>
      </c>
      <c r="E187" s="24" t="inlineStr">
        <is>
          <t>Security</t>
        </is>
      </c>
      <c r="F187" s="24" t="inlineStr">
        <is>
          <t>P0</t>
        </is>
      </c>
      <c r="G187" s="24" t="inlineStr">
        <is>
          <t>Customer</t>
        </is>
      </c>
      <c r="H187" s="24" t="inlineStr">
        <is>
          <t>UI</t>
        </is>
      </c>
      <c r="I187" s="24" t="inlineStr">
        <is>
          <t>Balance Rs 100; two orders of Rs 80 in two tabs</t>
        </is>
      </c>
      <c r="J187" s="24" t="inlineStr">
        <is>
          <t>1. Pay both as close together as possible</t>
        </is>
      </c>
      <c r="K187" s="24" t="inlineStr">
        <is>
          <t>One succeeds, one gets INSUFFICIENT_BALANCE; balance ends at Rs 20.</t>
        </is>
      </c>
      <c r="L187" s="24" t="inlineStr">
        <is>
          <t>Regression WAL-01</t>
        </is>
      </c>
      <c r="M187" s="24" t="inlineStr">
        <is>
          <t>Pass</t>
        </is>
      </c>
      <c r="N187" s="24" t="inlineStr">
        <is>
          <t>Passed, partly covered. Local Pass (partial) · Staging Pass (partial) · Production Not run
local: not covered: one cart per customer: the second tab checks out the same cart, so its refusal is the cart already used or INSUFFICIENT_BALANCE — two separate ₹80 orders cannot be open at once to show INSUFFICIENT_BALANCE itself
staging: not covered: one cart per customer: the second tab checks out the same cart, so its refusal is the cart already used or INSUFFICIENT_BALANCE — two separate ₹80 orders cannot be open at once to show INSUFFICIENT_BALANCE itself</t>
        </is>
      </c>
      <c r="O187" s="24" t="n"/>
      <c r="P187" s="24" t="inlineStr">
        <is>
          <t>2026-10-24 18:53</t>
        </is>
      </c>
    </row>
    <row r="188" ht="23.25" customHeight="1" s="13">
      <c r="A188" s="24" t="inlineStr">
        <is>
          <t>TC-PAY-011</t>
        </is>
      </c>
      <c r="B188" s="24" t="inlineStr">
        <is>
          <t>Wallet, vouchers &amp; gateway</t>
        </is>
      </c>
      <c r="C188" s="24" t="inlineStr">
        <is>
          <t>GS-029</t>
        </is>
      </c>
      <c r="D188" s="24" t="inlineStr">
        <is>
          <t>Low-balance warning for subscriptions</t>
        </is>
      </c>
      <c r="E188" s="24" t="inlineStr">
        <is>
          <t>Positive</t>
        </is>
      </c>
      <c r="F188" s="24" t="inlineStr">
        <is>
          <t>P2</t>
        </is>
      </c>
      <c r="G188" s="24" t="inlineStr">
        <is>
          <t>Customer</t>
        </is>
      </c>
      <c r="H188" s="24" t="inlineStr">
        <is>
          <t>UI</t>
        </is>
      </c>
      <c r="I188" s="24" t="inlineStr">
        <is>
          <t>Active subscription; balance below the forecast</t>
        </is>
      </c>
      <c r="J188" s="24" t="inlineStr">
        <is>
          <t>1. Open /wallet</t>
        </is>
      </c>
      <c r="K188" s="24" t="inlineStr">
        <is>
          <t>Low-balance warning with forecast; only one notification for the same condition.</t>
        </is>
      </c>
      <c r="L188" s="24" t="inlineStr">
        <is>
          <t>Regression WAL-03; QA F-08</t>
        </is>
      </c>
      <c r="M188" s="24" t="inlineStr">
        <is>
          <t>Pass</t>
        </is>
      </c>
      <c r="N188" s="24" t="inlineStr">
        <is>
          <t>Local Pass · Staging Not run (rule) · Production Not run
local: two deductions of ₹140 from threshold+₹100 → 1 "Low wallet balance" notice ("Your wallet balance is ₹360.00 but your next 15 days of subscriptions need ₹3,780.00. We recommend adding ₹3,5"); /wallet shows "Low balance" and the forecast warning
staging: not run on staging: needs the server's database (local run only)</t>
        </is>
      </c>
      <c r="O188" s="24" t="n"/>
      <c r="P188" s="24" t="inlineStr">
        <is>
          <t>2026-10-24 17:05</t>
        </is>
      </c>
    </row>
    <row r="189" ht="23.25" customHeight="1" s="13">
      <c r="A189" s="24" t="inlineStr">
        <is>
          <t>TC-PAY-012</t>
        </is>
      </c>
      <c r="B189" s="24" t="inlineStr">
        <is>
          <t>Wallet, vouchers &amp; gateway</t>
        </is>
      </c>
      <c r="C189" s="24" t="inlineStr">
        <is>
          <t>GS-053</t>
        </is>
      </c>
      <c r="D189" s="24" t="inlineStr">
        <is>
          <t>Voucher bonus on top-up - code</t>
        </is>
      </c>
      <c r="E189" s="24" t="inlineStr">
        <is>
          <t>Positive</t>
        </is>
      </c>
      <c r="F189" s="24" t="inlineStr">
        <is>
          <t>P1</t>
        </is>
      </c>
      <c r="G189" s="24" t="inlineStr">
        <is>
          <t>Customer</t>
        </is>
      </c>
      <c r="H189" s="24" t="inlineStr">
        <is>
          <t>UI</t>
        </is>
      </c>
      <c r="I189" s="24" t="inlineStr">
        <is>
          <t>An ACTIVE voucher code</t>
        </is>
      </c>
      <c r="J189" s="24" t="inlineStr">
        <is>
          <t>1. Preview the voucher on the wallet page
2. Top up with the code</t>
        </is>
      </c>
      <c r="K189" s="24" t="inlineStr">
        <is>
          <t>Preview shows the bonus. Bonus credited as promotional balance; a redemption row is recorded.</t>
        </is>
      </c>
      <c r="L189" s="24" t="inlineStr">
        <is>
          <t>Regression CUS-21; tests vouchers</t>
        </is>
      </c>
      <c r="M189" s="24" t="inlineStr">
        <is>
          <t>Pass</t>
        </is>
      </c>
      <c r="N189" s="24" t="inlineStr">
        <is>
          <t>Passed, partly covered. Local Pass (partial) · Staging Not run (rule) · Production Not run
local: not covered: the promotional credit and the redemption row are written when the top-up is paid — next check (blocked here) ‖ blocked: needs a paid top-up: this server has no Cashfree keys (MOCK mode; its settle step is development-only and 404 in a production build). On test.gokesari.com pay a ₹1,000 top-up with a 10% code through the 'Sandbox payment' workflow, then check promotionalBalancePaise +₹100 and a voucher_redemptions row (APPLIED)
staging: not run on staging: needs the server's database (local run only)</t>
        </is>
      </c>
      <c r="O189" s="24" t="n"/>
      <c r="P189" s="24" t="inlineStr">
        <is>
          <t>2026-10-24 17:05</t>
        </is>
      </c>
    </row>
    <row r="190" ht="23.25" customHeight="1" s="13">
      <c r="A190" s="24" t="inlineStr">
        <is>
          <t>TC-PAY-013</t>
        </is>
      </c>
      <c r="B190" s="24" t="inlineStr">
        <is>
          <t>Wallet, vouchers &amp; gateway</t>
        </is>
      </c>
      <c r="C190" s="24" t="inlineStr">
        <is>
          <t>GS-053</t>
        </is>
      </c>
      <c r="D190" s="24" t="inlineStr">
        <is>
          <t>Voucher rules: expired, budget exhausted, per-user limit, minimum amount</t>
        </is>
      </c>
      <c r="E190" s="24" t="inlineStr">
        <is>
          <t>Negative</t>
        </is>
      </c>
      <c r="F190" s="24" t="inlineStr">
        <is>
          <t>P1</t>
        </is>
      </c>
      <c r="G190" s="24" t="inlineStr">
        <is>
          <t>Customer</t>
        </is>
      </c>
      <c r="H190" s="24" t="inlineStr">
        <is>
          <t>UI</t>
        </is>
      </c>
      <c r="I190" s="24" t="inlineStr">
        <is>
          <t>Vouchers in each state</t>
        </is>
      </c>
      <c r="J190" s="24" t="inlineStr">
        <is>
          <t>1. Try each</t>
        </is>
      </c>
      <c r="K190" s="24" t="inlineStr">
        <is>
          <t>Each refused with a specific message; top-up itself still works without the bonus.</t>
        </is>
      </c>
      <c r="L190" s="24" t="inlineStr">
        <is>
          <t>tests vouchers / payments-voucher</t>
        </is>
      </c>
      <c r="M190" s="24" t="inlineStr">
        <is>
          <t>Pass</t>
        </is>
      </c>
      <c r="N190" s="24" t="inlineStr">
        <is>
          <t>Local Pass · Staging Not run (rule) · Production Not run
local: expired → 422 "This voucher has expired."; budget used up → 422 "This voucher is no longer available — its usage limit or budget has been reached."; already used → 422 "You have already used this voucher the maximum number of times."; below ₹500 minimum → 422 "This voucher requires a minimum top-up of ₹500."; top-up with the expired code → 422; without a code → 200
staging: not run on staging: needs the server's database (local run only)</t>
        </is>
      </c>
      <c r="O190" s="24" t="n"/>
      <c r="P190" s="24" t="inlineStr">
        <is>
          <t>2026-10-24 17:05</t>
        </is>
      </c>
    </row>
    <row r="191" ht="23.25" customHeight="1" s="13">
      <c r="A191" s="24" t="inlineStr">
        <is>
          <t>TC-PAY-014</t>
        </is>
      </c>
      <c r="B191" s="24" t="inlineStr">
        <is>
          <t>Wallet, vouchers &amp; gateway</t>
        </is>
      </c>
      <c r="C191" s="24" t="inlineStr">
        <is>
          <t>GS-053</t>
        </is>
      </c>
      <c r="D191" s="24" t="inlineStr">
        <is>
          <t>Admin voucher management and bulk upload</t>
        </is>
      </c>
      <c r="E191" s="24" t="inlineStr">
        <is>
          <t>Positive</t>
        </is>
      </c>
      <c r="F191" s="24" t="inlineStr">
        <is>
          <t>P2</t>
        </is>
      </c>
      <c r="G191" s="24" t="inlineStr">
        <is>
          <t>Admin</t>
        </is>
      </c>
      <c r="H191" s="24" t="inlineStr">
        <is>
          <t>UI</t>
        </is>
      </c>
      <c r="I191" s="24" t="n"/>
      <c r="J191" s="24" t="inlineStr">
        <is>
          <t>1. Create a voucher
2. Change status
3. Download the template and upload a sheet with one valid and one invalid row
4. Apply</t>
        </is>
      </c>
      <c r="K191" s="24" t="inlineStr">
        <is>
          <t>Voucher created/paused. Upload previews row statuses, rejects the bad row and applies the good one. Dashboard and redemptions update.</t>
        </is>
      </c>
      <c r="L191" s="24" t="inlineStr">
        <is>
          <t>tests vouchers; routes /api/voucher-uploads</t>
        </is>
      </c>
      <c r="M191" s="24" t="inlineStr">
        <is>
          <t>Pass</t>
        </is>
      </c>
      <c r="N191" s="24" t="inlineStr">
        <is>
          <t>Passed, partly covered. Local Pass (partial) · Staging Not run (rule) · Production Not run
local: not covered: redemptions only appear after a paid top-up (not possible here), so the redemptions report is only shown to load
staging: not run on staging: needs the server's database (local run only)</t>
        </is>
      </c>
      <c r="O191" s="24" t="n"/>
      <c r="P191" s="24" t="inlineStr">
        <is>
          <t>2026-10-24 17:06</t>
        </is>
      </c>
    </row>
    <row r="192" ht="23.25" customHeight="1" s="13">
      <c r="A192" s="24" t="inlineStr">
        <is>
          <t>TC-PAY-015</t>
        </is>
      </c>
      <c r="B192" s="24" t="inlineStr">
        <is>
          <t>Wallet, vouchers &amp; gateway</t>
        </is>
      </c>
      <c r="C192" s="24" t="inlineStr">
        <is>
          <t>GS-029</t>
        </is>
      </c>
      <c r="D192" s="24" t="inlineStr">
        <is>
          <t>Promotional balance survives a refund correctly</t>
        </is>
      </c>
      <c r="E192" s="24" t="inlineStr">
        <is>
          <t>Positive</t>
        </is>
      </c>
      <c r="F192" s="24" t="inlineStr">
        <is>
          <t>P2</t>
        </is>
      </c>
      <c r="G192" s="24" t="inlineStr">
        <is>
          <t>Customer</t>
        </is>
      </c>
      <c r="H192" s="24" t="inlineStr">
        <is>
          <t>UI</t>
        </is>
      </c>
      <c r="I192" s="24" t="inlineStr">
        <is>
          <t>Order paid partly from promotional credit</t>
        </is>
      </c>
      <c r="J192" s="24" t="inlineStr">
        <is>
          <t>1. Cancel the order</t>
        </is>
      </c>
      <c r="K192" s="24" t="inlineStr">
        <is>
          <t>Refund restores the promotional and customer-funded parts separately.</t>
        </is>
      </c>
      <c r="L192" s="24" t="inlineStr">
        <is>
          <t>Regression WAL-02; tests wallet-promotional</t>
        </is>
      </c>
      <c r="M192" s="24" t="inlineStr">
        <is>
          <t>Pass</t>
        </is>
      </c>
      <c r="N192" s="24" t="inlineStr">
        <is>
          <t>Passed, partly covered. Local Pass (partial) · Staging Not run (rule) · Production Not run
local: not covered: the promotional balance is set on the local wallet (a voucher bonus needs a paid top-up)
staging: not run on staging: needs the server's database (local run only)</t>
        </is>
      </c>
      <c r="O192" s="24" t="n"/>
      <c r="P192" s="24" t="inlineStr">
        <is>
          <t>2026-10-24 17:06</t>
        </is>
      </c>
    </row>
    <row r="193" ht="23.25" customHeight="1" s="13">
      <c r="A193" s="24" t="inlineStr">
        <is>
          <t>TC-PAY-016</t>
        </is>
      </c>
      <c r="B193" s="24" t="inlineStr">
        <is>
          <t>Wallet, vouchers &amp; gateway</t>
        </is>
      </c>
      <c r="C193" s="24" t="inlineStr">
        <is>
          <t>GS-029</t>
        </is>
      </c>
      <c r="D193" s="24" t="inlineStr">
        <is>
          <t>Dev top-up endpoint is not usable</t>
        </is>
      </c>
      <c r="E193" s="24" t="inlineStr">
        <is>
          <t>Security</t>
        </is>
      </c>
      <c r="F193" s="24" t="inlineStr">
        <is>
          <t>P0</t>
        </is>
      </c>
      <c r="G193" s="24" t="inlineStr">
        <is>
          <t>Customer</t>
        </is>
      </c>
      <c r="H193" s="24" t="inlineStr">
        <is>
          <t>API</t>
        </is>
      </c>
      <c r="I193" s="24" t="n"/>
      <c r="J193" s="24" t="inlineStr">
        <is>
          <t>1. POST /api/dev/settle-topup on test and (read-only check) confirm it is not available on production</t>
        </is>
      </c>
      <c r="K193" s="24" t="inlineStr">
        <is>
          <t>Refused outside development. Record the status code on both hosts.</t>
        </is>
      </c>
      <c r="L193" s="24" t="inlineStr">
        <is>
          <t>Route list: /api/dev/settle-topup</t>
        </is>
      </c>
      <c r="M193" s="24" t="inlineStr">
        <is>
          <t>Pass</t>
        </is>
      </c>
      <c r="N193" s="24" t="inlineStr">
        <is>
          <t>Passed, partly covered. Local Pass (partial) · Staging Pass (partial) · Production Pass (partial)
local: not covered: checked signed out; the signed-in half is in tests/qa/signed-in ‖ not covered: the production half (read-only) is the guest check in tests/qa/guest/access.spec.ts
staging: not covered: checked signed out; the signed-in half is in tests/qa/signed-in
production: not covered: checked signed out; the signed-in half is in tests/qa/signed-in</t>
        </is>
      </c>
      <c r="O193" s="24" t="n"/>
      <c r="P193" s="24" t="inlineStr">
        <is>
          <t>2026-10-29 14:06</t>
        </is>
      </c>
    </row>
    <row r="194" ht="23.25" customHeight="1" s="13">
      <c r="A194" s="24" t="inlineStr">
        <is>
          <t>TC-PAY-017</t>
        </is>
      </c>
      <c r="B194" s="24" t="inlineStr">
        <is>
          <t>Wallet, vouchers &amp; gateway</t>
        </is>
      </c>
      <c r="C194" s="24" t="inlineStr">
        <is>
          <t>GS-028, NEW-007, WF-001</t>
        </is>
      </c>
      <c r="D194" s="24" t="inlineStr">
        <is>
          <t>Pay for an order by UPI</t>
        </is>
      </c>
      <c r="E194" s="24" t="inlineStr">
        <is>
          <t>Positive</t>
        </is>
      </c>
      <c r="F194" s="24" t="inlineStr">
        <is>
          <t>P0</t>
        </is>
      </c>
      <c r="G194" s="24" t="inlineStr">
        <is>
          <t>Customer</t>
        </is>
      </c>
      <c r="H194" s="24" t="inlineStr">
        <is>
          <t>UI</t>
        </is>
      </c>
      <c r="I194" s="24" t="inlineStr">
        <is>
          <t>Cashfree sandbox; cart from Shop A</t>
        </is>
      </c>
      <c r="J194" s="24" t="inlineStr">
        <is>
          <t>1. Choose Online at checkout
2. Complete a successful UPI payment in the hosted checkout</t>
        </is>
      </c>
      <c r="K194" s="24" t="inlineStr">
        <is>
          <t>Returned to the order page. Order CONFIRMED with payment method ONLINE; wallet untouched; stock reduced; shop alerted.</t>
        </is>
      </c>
      <c r="L194" s="24" t="inlineStr">
        <is>
          <t>Open features 3-Oct, treated as completed 4-Oct</t>
        </is>
      </c>
      <c r="M194" s="24" t="inlineStr">
        <is>
          <t>Fail</t>
        </is>
      </c>
      <c r="N194" s="24" t="inlineStr">
        <is>
          <t>Local Pass (partial) · Staging Fail · Production Not run
local: not covered: the gateway returns to /orders/payment-return (shows 'Payment received' and the order), not to the order's own page ‖ blocked: "QA Butter 100 g mvmkyclr" cannot be added to the cart — HTTP 409: This product is currently unavailable online.
staging: locator.click: Timeout 30000ms exceeded. | Call log: | - waiting for getByRole('button', { name: /^(Pay|Place order)/ }).first() | - locator resolved to &lt;button disabled type="button" title="Choose a delivery time for your scheduled delivery" class="inline-flex items-center justify-center gap-1.5 rounded-lg font-medium transition-colors disabled:cursor-not-allowed bg-kesari-600 text-white hover:bg-kesari-800 disabled:bg-cream-2 ‖ [phone] locator.click: Timeout 30000ms exceeded. | Call log: | - waiting for getByRole('button', { name: /^(Pay|Place order)/ }).first() | - locator resolved to &lt;button disabled type="button" title="Choose a delivery time for your scheduled delivery" class="inline-flex items-center justify-center gap-1.5 rounded-lg font-medium transition-colors disabled:cursor-not-allowed bg-kesari-600 text-white hover:bg-kesari-800 disabled:bg-cream-2</t>
        </is>
      </c>
      <c r="O194" s="24" t="n"/>
      <c r="P194" s="24" t="inlineStr">
        <is>
          <t>2026-10-24 22:30</t>
        </is>
      </c>
    </row>
    <row r="195" ht="23.25" customHeight="1" s="13">
      <c r="A195" s="24" t="inlineStr">
        <is>
          <t>TC-PAY-018</t>
        </is>
      </c>
      <c r="B195" s="24" t="inlineStr">
        <is>
          <t>Wallet, vouchers &amp; gateway</t>
        </is>
      </c>
      <c r="C195" s="24" t="inlineStr">
        <is>
          <t>GS-028, NEW-007</t>
        </is>
      </c>
      <c r="D195" s="24" t="inlineStr">
        <is>
          <t>Pay for an order by card and by netbanking</t>
        </is>
      </c>
      <c r="E195" s="24" t="inlineStr">
        <is>
          <t>Positive</t>
        </is>
      </c>
      <c r="F195" s="24" t="inlineStr">
        <is>
          <t>P0</t>
        </is>
      </c>
      <c r="G195" s="24" t="inlineStr">
        <is>
          <t>Customer</t>
        </is>
      </c>
      <c r="H195" s="24" t="inlineStr">
        <is>
          <t>UI</t>
        </is>
      </c>
      <c r="I195" s="24" t="inlineStr">
        <is>
          <t>Sandbox test card and bank</t>
        </is>
      </c>
      <c r="J195" s="24" t="inlineStr">
        <is>
          <t>1. Pay one order by card
2. Pay another by netbanking</t>
        </is>
      </c>
      <c r="K195" s="24" t="inlineStr">
        <is>
          <t>Both orders CONFIRMED and paid.</t>
        </is>
      </c>
      <c r="L195" s="24" t="inlineStr">
        <is>
          <t>Open features 3-Oct, treated as completed 4-Oct</t>
        </is>
      </c>
      <c r="M195" s="24" t="inlineStr">
        <is>
          <t>Pass</t>
        </is>
      </c>
      <c r="N195" s="24" t="inlineStr">
        <is>
          <t>Local Blocked · Staging Pass · Production Not run
local: "QA Butter 100 g mvmkyclr" cannot be added to the cart — HTTP 409: This product is currently unavailable online.
staging: Card: DB-20261024-J3984S CONFIRMED; Netbanking: DB-20261024-T4MH7B CONFIRMED</t>
        </is>
      </c>
      <c r="O195" s="24" t="n"/>
      <c r="P195" s="24" t="inlineStr">
        <is>
          <t>2026-10-24 18:40</t>
        </is>
      </c>
    </row>
    <row r="196" ht="23.25" customHeight="1" s="13">
      <c r="A196" s="24" t="inlineStr">
        <is>
          <t>TC-PAY-019</t>
        </is>
      </c>
      <c r="B196" s="24" t="inlineStr">
        <is>
          <t>Wallet, vouchers &amp; gateway</t>
        </is>
      </c>
      <c r="C196" s="24" t="inlineStr">
        <is>
          <t>GS-028, SM-005</t>
        </is>
      </c>
      <c r="D196" s="24" t="inlineStr">
        <is>
          <t>Payment declined</t>
        </is>
      </c>
      <c r="E196" s="24" t="inlineStr">
        <is>
          <t>Negative</t>
        </is>
      </c>
      <c r="F196" s="24" t="inlineStr">
        <is>
          <t>P0</t>
        </is>
      </c>
      <c r="G196" s="24" t="inlineStr">
        <is>
          <t>Customer</t>
        </is>
      </c>
      <c r="H196" s="24" t="inlineStr">
        <is>
          <t>UI</t>
        </is>
      </c>
      <c r="I196" s="24" t="n"/>
      <c r="J196" s="24" t="inlineStr">
        <is>
          <t>1. Pay with a sandbox instrument that fails</t>
        </is>
      </c>
      <c r="K196" s="24" t="inlineStr">
        <is>
          <t>Clear failure message. Order is not confirmed, stock is released, the cart is kept and the customer can retry or choose another method.</t>
        </is>
      </c>
      <c r="L196" s="24" t="inlineStr">
        <is>
          <t>Open features 3-Oct, treated as completed 4-Oct</t>
        </is>
      </c>
      <c r="M196" s="24" t="inlineStr">
        <is>
          <t>Pass</t>
        </is>
      </c>
      <c r="N196" s="24" t="inlineStr">
        <is>
          <t>Passed, partly covered. Local Blocked · Staging Pass (partial) · Production Not run
local: "QA Butter 100 g mvmkyclr" cannot be added to the cart — HTTP 409: This product is currently unavailable online.
staging: not covered: expected 'the cart is kept' is superseded by docs/payments-gateway-2026-10.md §2 / decision D-A07: checkout clears the cart and the order itself waits (PAYMENT_FAILED) for 'Retry payment'; switching that order to another method is not offered (cancel and re-order)</t>
        </is>
      </c>
      <c r="O196" s="24" t="n"/>
      <c r="P196" s="24" t="inlineStr">
        <is>
          <t>2026-10-24 18:43</t>
        </is>
      </c>
    </row>
    <row r="197" ht="23.25" customHeight="1" s="13">
      <c r="A197" s="24" t="inlineStr">
        <is>
          <t>TC-PAY-020</t>
        </is>
      </c>
      <c r="B197" s="24" t="inlineStr">
        <is>
          <t>Wallet, vouchers &amp; gateway</t>
        </is>
      </c>
      <c r="C197" s="24" t="inlineStr">
        <is>
          <t>GS-028, SM-005</t>
        </is>
      </c>
      <c r="D197" s="24" t="inlineStr">
        <is>
          <t>Hosted checkout abandoned</t>
        </is>
      </c>
      <c r="E197" s="24" t="inlineStr">
        <is>
          <t>Negative</t>
        </is>
      </c>
      <c r="F197" s="24" t="inlineStr">
        <is>
          <t>P0</t>
        </is>
      </c>
      <c r="G197" s="24" t="inlineStr">
        <is>
          <t>Customer</t>
        </is>
      </c>
      <c r="H197" s="24" t="inlineStr">
        <is>
          <t>UI</t>
        </is>
      </c>
      <c r="I197" s="24" t="n"/>
      <c r="J197" s="24" t="inlineStr">
        <is>
          <t>1. Start an online payment and close the tab
2. Return to the site
3. Wait for the pending payment to expire</t>
        </is>
      </c>
      <c r="K197" s="24" t="inlineStr">
        <is>
          <t>No confirmed order and no charge. The pending payment expires, stock is released and the cart is still there.</t>
        </is>
      </c>
      <c r="L197" s="24" t="inlineStr">
        <is>
          <t>Open features 3-Oct, treated as completed 4-Oct</t>
        </is>
      </c>
      <c r="M197" s="24" t="inlineStr">
        <is>
          <t>Pass</t>
        </is>
      </c>
      <c r="N197" s="24" t="inlineStr">
        <is>
          <t>Passed, partly covered. Local Pass (partial) · Staging Pass (partial) · Production Not run
local: not covered: 'the cart is still there' is superseded by D-A07 (docs/decision-log.md): the cart is cleared at checkout and the order waits for Retry payment ‖ blocked: "QA Butter 100 g mvmkyclr" cannot be added to the cart — HTTP 409: This product is currently unavailable online.
staging: not covered: expiry is the gateway's 'Let it expire' here; the time-based expiry by the reconciliation job is TC-PAY-020 in tests/qa/local/money-gateway.spec.ts. 'The cart is still there' is superseded (D-A07: the order waits for Retry payment)</t>
        </is>
      </c>
      <c r="O197" s="24" t="n"/>
      <c r="P197" s="24" t="inlineStr">
        <is>
          <t>2026-10-24 18:44</t>
        </is>
      </c>
    </row>
    <row r="198" ht="23.25" customHeight="1" s="13">
      <c r="A198" s="24" t="inlineStr">
        <is>
          <t>TC-PAY-021</t>
        </is>
      </c>
      <c r="B198" s="24" t="inlineStr">
        <is>
          <t>Wallet, vouchers &amp; gateway</t>
        </is>
      </c>
      <c r="C198" s="24" t="inlineStr">
        <is>
          <t>GS-028, GS-071</t>
        </is>
      </c>
      <c r="D198" s="24" t="inlineStr">
        <is>
          <t>Order cannot be confirmed by a forged or altered payment</t>
        </is>
      </c>
      <c r="E198" s="24" t="inlineStr">
        <is>
          <t>Security</t>
        </is>
      </c>
      <c r="F198" s="24" t="inlineStr">
        <is>
          <t>P0</t>
        </is>
      </c>
      <c r="G198" s="24" t="inlineStr">
        <is>
          <t>Customer</t>
        </is>
      </c>
      <c r="H198" s="24" t="inlineStr">
        <is>
          <t>API</t>
        </is>
      </c>
      <c r="I198" s="24" t="n"/>
      <c r="J198" s="24" t="inlineStr">
        <is>
          <t>1. Call the verify / return address with a made-up payment id
2. Replay the return of an earlier paid order
3. Change the amount in the browser before paying</t>
        </is>
      </c>
      <c r="K198" s="24" t="inlineStr">
        <is>
          <t>Each refused. The server verifies status and amount with the gateway; an amount mismatch never confirms the order.</t>
        </is>
      </c>
      <c r="L198" s="24" t="inlineStr">
        <is>
          <t>Open features 3-Oct, treated as completed 4-Oct</t>
        </is>
      </c>
      <c r="M198" s="24" t="inlineStr">
        <is>
          <t>Pass</t>
        </is>
      </c>
      <c r="N198" s="24" t="inlineStr">
        <is>
          <t>Passed, partly covered. Local Pass (partial) · Staging Blocked · Production Not run
local: blocked: needs the order paid online by TC-PAY-017 in this run
staging: needs the order paid online by TC-PAY-017 in this run</t>
        </is>
      </c>
      <c r="O198" s="24" t="n"/>
      <c r="P198" s="24" t="inlineStr">
        <is>
          <t>2026-10-24 18:44</t>
        </is>
      </c>
    </row>
    <row r="199" ht="23.25" customHeight="1" s="13">
      <c r="A199" s="24" t="inlineStr">
        <is>
          <t>TC-PAY-022</t>
        </is>
      </c>
      <c r="B199" s="24" t="inlineStr">
        <is>
          <t>Wallet, vouchers &amp; gateway</t>
        </is>
      </c>
      <c r="C199" s="24" t="inlineStr">
        <is>
          <t>GS-073</t>
        </is>
      </c>
      <c r="D199" s="24" t="inlineStr">
        <is>
          <t>Order-payment webhook: bad signature and duplicates</t>
        </is>
      </c>
      <c r="E199" s="24" t="inlineStr">
        <is>
          <t>Security</t>
        </is>
      </c>
      <c r="F199" s="24" t="inlineStr">
        <is>
          <t>P0</t>
        </is>
      </c>
      <c r="G199" s="24" t="inlineStr">
        <is>
          <t>Guest</t>
        </is>
      </c>
      <c r="H199" s="24" t="inlineStr">
        <is>
          <t>API</t>
        </is>
      </c>
      <c r="I199" s="24" t="n"/>
      <c r="J199" s="24" t="inlineStr">
        <is>
          <t>1. POST a webhook with a wrong signature
2. Send the same valid webhook twice</t>
        </is>
      </c>
      <c r="K199" s="24" t="inlineStr">
        <is>
          <t>Bad signature rejected. The duplicate is acknowledged and changes nothing (one order, one payment).</t>
        </is>
      </c>
      <c r="L199" s="24" t="inlineStr">
        <is>
          <t>Open features 3-Oct, treated as completed 4-Oct</t>
        </is>
      </c>
      <c r="M199" s="24" t="inlineStr">
        <is>
          <t>Pass</t>
        </is>
      </c>
      <c r="N199" s="24" t="inlineStr">
        <is>
          <t>Passed, partly covered. Local Pass (partial) · Staging Pass (partial) · Production Pass (partial)
local: not covered: the duplicate-valid-webhook half needs a signed webhook (gateway secret): covered by tests/integration/cashfree-order-confirmation.test.ts
staging: not covered: the duplicate-valid-webhook half needs a signed webhook (gateway secret): covered by tests/integration/cashfree-order-confirmation.test.ts
production: not covered: the duplicate-valid-webhook half needs a signed webhook (gateway secret): covered by tests/integration/cashfree-order-confirmation.test.ts</t>
        </is>
      </c>
      <c r="O199" s="24" t="n"/>
      <c r="P199" s="24" t="inlineStr">
        <is>
          <t>2026-10-29 14:06</t>
        </is>
      </c>
    </row>
    <row r="200" ht="23.25" customHeight="1" s="13">
      <c r="A200" s="24" t="inlineStr">
        <is>
          <t>TC-PAY-023</t>
        </is>
      </c>
      <c r="B200" s="24" t="inlineStr">
        <is>
          <t>Wallet, vouchers &amp; gateway</t>
        </is>
      </c>
      <c r="C200" s="24" t="inlineStr">
        <is>
          <t>GS-073, SM-005</t>
        </is>
      </c>
      <c r="D200" s="24" t="inlineStr">
        <is>
          <t>Webhook confirms the order when the browser never returns</t>
        </is>
      </c>
      <c r="E200" s="24" t="inlineStr">
        <is>
          <t>Positive</t>
        </is>
      </c>
      <c r="F200" s="24" t="inlineStr">
        <is>
          <t>P1</t>
        </is>
      </c>
      <c r="G200" s="24" t="inlineStr">
        <is>
          <t>Customer</t>
        </is>
      </c>
      <c r="H200" s="24" t="inlineStr">
        <is>
          <t>UI</t>
        </is>
      </c>
      <c r="I200" s="24" t="n"/>
      <c r="J200" s="24" t="inlineStr">
        <is>
          <t>1. Pay successfully, then close the browser before the redirect</t>
        </is>
      </c>
      <c r="K200" s="24" t="inlineStr">
        <is>
          <t>The order is confirmed by the webhook and appears on /orders with a notification.</t>
        </is>
      </c>
      <c r="L200" s="24" t="inlineStr">
        <is>
          <t>Open features 3-Oct, treated as completed 4-Oct</t>
        </is>
      </c>
      <c r="M200" s="24" t="inlineStr">
        <is>
          <t>Pass</t>
        </is>
      </c>
      <c r="N200" s="24" t="inlineStr">
        <is>
          <t>Local Pass · Staging Not run (rule) · Production Not run
local: DB-20261024-0CP8RS: gateway ledger CAPTURED + signed webhook → CONFIRMED; "Payment received"; /orders card shows it confirmed
staging: not run on staging: needs the server's database (local run only)</t>
        </is>
      </c>
      <c r="O200" s="24" t="n"/>
      <c r="P200" s="24" t="inlineStr">
        <is>
          <t>2026-10-24 17:05</t>
        </is>
      </c>
    </row>
    <row r="201" ht="23.25" customHeight="1" s="13">
      <c r="A201" s="24" t="inlineStr">
        <is>
          <t>TC-PAY-024</t>
        </is>
      </c>
      <c r="B201" s="24" t="inlineStr">
        <is>
          <t>Wallet, vouchers &amp; gateway</t>
        </is>
      </c>
      <c r="C201" s="24" t="inlineStr">
        <is>
          <t>GS-028</t>
        </is>
      </c>
      <c r="D201" s="24" t="inlineStr">
        <is>
          <t>Same order paid twice from two tabs</t>
        </is>
      </c>
      <c r="E201" s="24" t="inlineStr">
        <is>
          <t>Negative</t>
        </is>
      </c>
      <c r="F201" s="24" t="inlineStr">
        <is>
          <t>P0</t>
        </is>
      </c>
      <c r="G201" s="24" t="inlineStr">
        <is>
          <t>Customer</t>
        </is>
      </c>
      <c r="H201" s="24" t="inlineStr">
        <is>
          <t>UI</t>
        </is>
      </c>
      <c r="I201" s="24" t="n"/>
      <c r="J201" s="24" t="inlineStr">
        <is>
          <t>1. Open checkout in two tabs
2. Pay in both</t>
        </is>
      </c>
      <c r="K201" s="24" t="inlineStr">
        <is>
          <t>One order and one captured payment. The second attempt is blocked, or captured and refunded automatically.</t>
        </is>
      </c>
      <c r="L201" s="24" t="inlineStr">
        <is>
          <t>Open features 3-Oct, treated as completed 4-Oct</t>
        </is>
      </c>
      <c r="M201" s="24" t="inlineStr">
        <is>
          <t>Pass</t>
        </is>
      </c>
      <c r="N201" s="24" t="inlineStr">
        <is>
          <t>Passed, partly covered. Local Blocked · Staging Pass (partial) · Production Not run
local: "QA Butter 100 g mvmkyclr" cannot be added to the cart — HTTP 409: This product is currently unavailable online.
staging: not covered: one captured payment is read from the customer's payment view; the gateway ledger itself is checked in the local tier (TC-PAY-022)</t>
        </is>
      </c>
      <c r="O201" s="24" t="n"/>
      <c r="P201" s="24" t="inlineStr">
        <is>
          <t>2026-10-24 18:46</t>
        </is>
      </c>
    </row>
    <row r="202" ht="23.25" customHeight="1" s="13">
      <c r="A202" s="24" t="inlineStr">
        <is>
          <t>TC-PAY-025</t>
        </is>
      </c>
      <c r="B202" s="24" t="inlineStr">
        <is>
          <t>Wallet, vouchers &amp; gateway</t>
        </is>
      </c>
      <c r="C202" s="24" t="inlineStr">
        <is>
          <t>GS-028, GS-033</t>
        </is>
      </c>
      <c r="D202" s="24" t="inlineStr">
        <is>
          <t>Multi-shop cart paid online once</t>
        </is>
      </c>
      <c r="E202" s="24" t="inlineStr">
        <is>
          <t>Positive</t>
        </is>
      </c>
      <c r="F202" s="24" t="inlineStr">
        <is>
          <t>P0</t>
        </is>
      </c>
      <c r="G202" s="24" t="inlineStr">
        <is>
          <t>Customer</t>
        </is>
      </c>
      <c r="H202" s="24" t="inlineStr">
        <is>
          <t>UI</t>
        </is>
      </c>
      <c r="I202" s="24" t="inlineStr">
        <is>
          <t>Cart from Shop A and Shop B</t>
        </is>
      </c>
      <c r="J202" s="24" t="inlineStr">
        <is>
          <t>1. Pay online</t>
        </is>
      </c>
      <c r="K202" s="24" t="inlineStr">
        <is>
          <t>One payment for the full amount; one order per shop under one master reference; each shop sees only its part.</t>
        </is>
      </c>
      <c r="L202" s="24" t="inlineStr">
        <is>
          <t>Open features 3-Oct, treated as completed 4-Oct</t>
        </is>
      </c>
      <c r="M202" s="24" t="inlineStr">
        <is>
          <t>Blocked</t>
        </is>
      </c>
      <c r="N202" s="24" t="inlineStr">
        <is>
          <t>Local Blocked · Staging Blocked · Production Not run
local: "QA Butter 100 g mvmkyclr" cannot be added to the cart — HTTP 409: This product is currently unavailable online.
staging: needs a second shop (shop B) in this site's test data</t>
        </is>
      </c>
      <c r="O202" s="24" t="n"/>
      <c r="P202" s="24" t="inlineStr">
        <is>
          <t>2026-10-24 18:46</t>
        </is>
      </c>
    </row>
    <row r="203" ht="23.25" customHeight="1" s="13">
      <c r="A203" s="24" t="inlineStr">
        <is>
          <t>TC-PAY-026</t>
        </is>
      </c>
      <c r="B203" s="24" t="inlineStr">
        <is>
          <t>Wallet, vouchers &amp; gateway</t>
        </is>
      </c>
      <c r="C203" s="24" t="inlineStr">
        <is>
          <t>SM-005</t>
        </is>
      </c>
      <c r="D203" s="24" t="inlineStr">
        <is>
          <t>Payment states through the lifecycle</t>
        </is>
      </c>
      <c r="E203" s="24" t="inlineStr">
        <is>
          <t>Positive</t>
        </is>
      </c>
      <c r="F203" s="24" t="inlineStr">
        <is>
          <t>P1</t>
        </is>
      </c>
      <c r="G203" s="24" t="inlineStr">
        <is>
          <t>Admin</t>
        </is>
      </c>
      <c r="H203" s="24" t="inlineStr">
        <is>
          <t>UI+API</t>
        </is>
      </c>
      <c r="I203" s="24" t="inlineStr">
        <is>
          <t>A paid online order</t>
        </is>
      </c>
      <c r="J203" s="24" t="inlineStr">
        <is>
          <t>1. Open the payment in the admin money trace through authorisation, capture and reconciliation</t>
        </is>
      </c>
      <c r="K203" s="24" t="inlineStr">
        <is>
          <t>States move CREATED -&gt; AUTHORIZED -&gt; CAPTURED -&gt; RECONCILED with time stamps. Wallet and COD orders are unaffected.</t>
        </is>
      </c>
      <c r="L203" s="24" t="inlineStr">
        <is>
          <t>Open features 3-Oct, treated as completed 4-Oct</t>
        </is>
      </c>
      <c r="M203" s="24" t="inlineStr">
        <is>
          <t>Pass</t>
        </is>
      </c>
      <c r="N203" s="24" t="inlineStr">
        <is>
          <t>Passed, partly covered. Local Pass (partial) · Staging Not run (rule) · Production Not run
local: not covered: the expected AUTHORIZED / RECONCILED states are superseded by D-A06 (CREATED → … → CAPTURED; reconciliation is a separate record); wallet and COD orders are unaffected by construction (no intent)
staging: not run on staging: needs the server's database (local run only)</t>
        </is>
      </c>
      <c r="O203" s="24" t="inlineStr">
        <is>
          <t>D-33</t>
        </is>
      </c>
      <c r="P203" s="24" t="inlineStr">
        <is>
          <t>2026-10-24 17:05</t>
        </is>
      </c>
    </row>
    <row r="204" ht="23.25" customHeight="1" s="13">
      <c r="A204" s="24" t="inlineStr">
        <is>
          <t>TC-PAY-027</t>
        </is>
      </c>
      <c r="B204" s="24" t="inlineStr">
        <is>
          <t>Wallet, vouchers &amp; gateway</t>
        </is>
      </c>
      <c r="C204" s="24" t="inlineStr">
        <is>
          <t>SM-005</t>
        </is>
      </c>
      <c r="D204" s="24" t="inlineStr">
        <is>
          <t>Illegal payment transitions are refused</t>
        </is>
      </c>
      <c r="E204" s="24" t="inlineStr">
        <is>
          <t>Negative</t>
        </is>
      </c>
      <c r="F204" s="24" t="inlineStr">
        <is>
          <t>P1</t>
        </is>
      </c>
      <c r="G204" s="24" t="inlineStr">
        <is>
          <t>Admin</t>
        </is>
      </c>
      <c r="H204" s="24" t="inlineStr">
        <is>
          <t>API</t>
        </is>
      </c>
      <c r="I204" s="24" t="n"/>
      <c r="J204" s="24" t="inlineStr">
        <is>
          <t>1. Try FAILED -&gt; CAPTURED, REFUNDED -&gt; CAPTURED and RECONCILED -&gt; CREATED through the API</t>
        </is>
      </c>
      <c r="K204" s="24" t="inlineStr">
        <is>
          <t>Each refused; the state is unchanged.</t>
        </is>
      </c>
      <c r="L204" s="24" t="inlineStr">
        <is>
          <t>Open features 3-Oct, treated as completed 4-Oct</t>
        </is>
      </c>
      <c r="M204" s="24" t="inlineStr">
        <is>
          <t>Pass</t>
        </is>
      </c>
      <c r="N204" s="24" t="inlineStr">
        <is>
          <t>Passed, partly covered. Local Pass (partial) · Staging Not run (rule) · Production Not run
local: not covered: 'RECONCILED → CREATED' is tested as CAPTURED → CREATED: the documented state machine (D-A06, docs/payments-gateway-2026-10.md §2) has no RECONCILED state; no API moves a payment by hand, so the gateway's word (webhook) is the only way in
staging: not run on staging: needs the server's database (local run only)</t>
        </is>
      </c>
      <c r="O204" s="24" t="n"/>
      <c r="P204" s="24" t="inlineStr">
        <is>
          <t>2026-10-24 17:05</t>
        </is>
      </c>
    </row>
    <row r="205" ht="23.25" customHeight="1" s="13">
      <c r="A205" s="24" t="inlineStr">
        <is>
          <t>TC-PAY-028</t>
        </is>
      </c>
      <c r="B205" s="24" t="inlineStr">
        <is>
          <t>Wallet, vouchers &amp; gateway</t>
        </is>
      </c>
      <c r="C205" s="24" t="inlineStr">
        <is>
          <t>GS-073, NEW-006</t>
        </is>
      </c>
      <c r="D205" s="24" t="inlineStr">
        <is>
          <t>Full refund to the original payment method</t>
        </is>
      </c>
      <c r="E205" s="24" t="inlineStr">
        <is>
          <t>Positive</t>
        </is>
      </c>
      <c r="F205" s="24" t="inlineStr">
        <is>
          <t>P0</t>
        </is>
      </c>
      <c r="G205" s="24" t="inlineStr">
        <is>
          <t>Customer</t>
        </is>
      </c>
      <c r="H205" s="24" t="inlineStr">
        <is>
          <t>UI</t>
        </is>
      </c>
      <c r="I205" s="24" t="inlineStr">
        <is>
          <t>Online-paid order CONFIRMED</t>
        </is>
      </c>
      <c r="J205" s="24" t="inlineStr">
        <is>
          <t>1. Cancel the order before the shop accepts</t>
        </is>
      </c>
      <c r="K205" s="24" t="inlineStr">
        <is>
          <t>Full refund is sent to the source instrument (not the wallet), shown with a reference and expected time. Stock restored.</t>
        </is>
      </c>
      <c r="L205" s="24" t="inlineStr">
        <is>
          <t>Open features 3-Oct, treated as completed 4-Oct</t>
        </is>
      </c>
      <c r="M205" s="24" t="inlineStr">
        <is>
          <t>Blocked</t>
        </is>
      </c>
      <c r="N205" s="24" t="inlineStr">
        <is>
          <t>Local Blocked · Staging Blocked · Production Not run
local: needs the order paid online by TC-PAY-017 in this run
staging: needs the order paid online by TC-PAY-017 in this run</t>
        </is>
      </c>
      <c r="O205" s="24" t="n"/>
      <c r="P205" s="24" t="inlineStr">
        <is>
          <t>2026-10-24 18:46</t>
        </is>
      </c>
    </row>
    <row r="206" ht="23.25" customHeight="1" s="13">
      <c r="A206" s="24" t="inlineStr">
        <is>
          <t>TC-PAY-029</t>
        </is>
      </c>
      <c r="B206" s="24" t="inlineStr">
        <is>
          <t>Wallet, vouchers &amp; gateway</t>
        </is>
      </c>
      <c r="C206" s="24" t="inlineStr">
        <is>
          <t>GS-073, GS-035</t>
        </is>
      </c>
      <c r="D206" s="24" t="inlineStr">
        <is>
          <t>Partial refund to source</t>
        </is>
      </c>
      <c r="E206" s="24" t="inlineStr">
        <is>
          <t>Positive</t>
        </is>
      </c>
      <c r="F206" s="24" t="inlineStr">
        <is>
          <t>P0</t>
        </is>
      </c>
      <c r="G206" s="24" t="inlineStr">
        <is>
          <t>Customer</t>
        </is>
      </c>
      <c r="H206" s="24" t="inlineStr">
        <is>
          <t>UI</t>
        </is>
      </c>
      <c r="I206" s="24" t="inlineStr">
        <is>
          <t>Online-paid order</t>
        </is>
      </c>
      <c r="J206" s="24" t="inlineStr">
        <is>
          <t>1. Shop removes one line
2. Later a cheaper substitute is approved on another order
3. A return is approved on a delivered order</t>
        </is>
      </c>
      <c r="K206" s="24" t="inlineStr">
        <is>
          <t>Each difference is refunded to the source for the exact amount. Order totals and refund history agree.</t>
        </is>
      </c>
      <c r="L206" s="24" t="inlineStr">
        <is>
          <t>Open features 3-Oct, treated as completed 4-Oct</t>
        </is>
      </c>
      <c r="M206" s="24" t="inlineStr">
        <is>
          <t>Blocked</t>
        </is>
      </c>
      <c r="N206" s="24" t="inlineStr">
        <is>
          <t>Local Blocked · Staging Blocked · Production Not run
local: "QA Butter 100 g mvmkyclr" cannot be added to the cart — HTTP 409: This product is currently unavailable online.
staging: needs a second sellable product at shop A (sharedA)</t>
        </is>
      </c>
      <c r="O206" s="24" t="inlineStr">
        <is>
          <t>D-30</t>
        </is>
      </c>
      <c r="P206" s="24" t="inlineStr">
        <is>
          <t>2026-10-24 18:46</t>
        </is>
      </c>
    </row>
    <row r="207" ht="23.25" customHeight="1" s="13">
      <c r="A207" s="24" t="inlineStr">
        <is>
          <t>TC-PAY-030</t>
        </is>
      </c>
      <c r="B207" s="24" t="inlineStr">
        <is>
          <t>Wallet, vouchers &amp; gateway</t>
        </is>
      </c>
      <c r="C207" s="24" t="inlineStr">
        <is>
          <t>GS-073, RBAC-011</t>
        </is>
      </c>
      <c r="D207" s="24" t="inlineStr">
        <is>
          <t>Over-refund, refund replay and gateway refund failure</t>
        </is>
      </c>
      <c r="E207" s="24" t="inlineStr">
        <is>
          <t>Negative</t>
        </is>
      </c>
      <c r="F207" s="24" t="inlineStr">
        <is>
          <t>P0</t>
        </is>
      </c>
      <c r="G207" s="24" t="inlineStr">
        <is>
          <t>Operator</t>
        </is>
      </c>
      <c r="H207" s="24" t="inlineStr">
        <is>
          <t>API</t>
        </is>
      </c>
      <c r="I207" s="24" t="n"/>
      <c r="J207" s="24" t="inlineStr">
        <is>
          <t>1. Refund more than was captured
2. Repeat a refund request with the same key
3. Make the gateway refund fail on test</t>
        </is>
      </c>
      <c r="K207" s="24" t="inlineStr">
        <is>
          <t>Over-refund refused. Replay returns the first result with no second refund. A failed gateway refund is retried and raised as a finance exception, never shown as done.</t>
        </is>
      </c>
      <c r="L207" s="24" t="inlineStr">
        <is>
          <t>Open features 3-Oct, treated as completed 4-Oct</t>
        </is>
      </c>
      <c r="M207" s="24" t="inlineStr">
        <is>
          <t>Pass</t>
        </is>
      </c>
      <c r="N207" s="24" t="inlineStr">
        <is>
          <t>Passed, partly covered. Local Pass (partial) · Staging Not run (rule) · Production Not run
local: not covered: the failing refund is retried by payments-reconcile and support is alerted after onlinePayments.maxReconcileAttempts (48) checks (D-A09) — whether a finance exception is listed meanwhile is recorded in the detail, not asserted
staging: not run on staging: needs the server's database (local run only)</t>
        </is>
      </c>
      <c r="O207" s="24" t="n"/>
      <c r="P207" s="24" t="inlineStr">
        <is>
          <t>2026-10-24 17:05</t>
        </is>
      </c>
    </row>
    <row r="208" ht="23.25" customHeight="1" s="13">
      <c r="A208" s="24" t="inlineStr">
        <is>
          <t>TC-PAY-031</t>
        </is>
      </c>
      <c r="B208" s="24" t="inlineStr">
        <is>
          <t>Wallet, vouchers &amp; gateway</t>
        </is>
      </c>
      <c r="C208" s="24" t="inlineStr">
        <is>
          <t>SM-005, GS-031</t>
        </is>
      </c>
      <c r="D208" s="24" t="inlineStr">
        <is>
          <t>Chargeback</t>
        </is>
      </c>
      <c r="E208" s="24" t="inlineStr">
        <is>
          <t>Positive</t>
        </is>
      </c>
      <c r="F208" s="24" t="inlineStr">
        <is>
          <t>P1</t>
        </is>
      </c>
      <c r="G208" s="24" t="inlineStr">
        <is>
          <t>Admin</t>
        </is>
      </c>
      <c r="H208" s="24" t="inlineStr">
        <is>
          <t>UI</t>
        </is>
      </c>
      <c r="I208" s="24" t="inlineStr">
        <is>
          <t>Sandbox chargeback event</t>
        </is>
      </c>
      <c r="J208" s="24" t="inlineStr">
        <is>
          <t>1. Receive a chargeback for a delivered order</t>
        </is>
      </c>
      <c r="K208" s="24" t="inlineStr">
        <is>
          <t>Payment moves to CHARGEBACK; the order is flagged; a finance exception is opened; the shop settlement for it is held.</t>
        </is>
      </c>
      <c r="L208" s="24" t="inlineStr">
        <is>
          <t>Open features 3-Oct, treated as completed 4-Oct</t>
        </is>
      </c>
      <c r="M208" s="24" t="inlineStr">
        <is>
          <t>Blocked</t>
        </is>
      </c>
      <c r="N208" s="24" t="inlineStr">
        <is>
          <t>Manual (not automatable): Local Manual · Staging Not run (rule) · Production Not run
local: not automated: needs a gateway chargeback (dispute) event: the sandbox gateway cannot raise one and the documented payment state machine (D-A06) has no CHARGEBACK state or handler — to be run with the live/sandbox gateway's dispute simulator once chargeback handling exists
staging: not run on staging: needs the server's database (local run only)</t>
        </is>
      </c>
      <c r="O208" s="24" t="n"/>
      <c r="P208" s="24" t="inlineStr">
        <is>
          <t>2026-10-24 17:05</t>
        </is>
      </c>
    </row>
    <row r="209" ht="23.25" customHeight="1" s="13">
      <c r="A209" s="24" t="inlineStr">
        <is>
          <t>TC-PAY-032</t>
        </is>
      </c>
      <c r="B209" s="24" t="inlineStr">
        <is>
          <t>Wallet, vouchers &amp; gateway</t>
        </is>
      </c>
      <c r="C209" s="24" t="inlineStr">
        <is>
          <t>GS-031, SM-005</t>
        </is>
      </c>
      <c r="D209" s="24" t="inlineStr">
        <is>
          <t>Reconciliation of online order payments</t>
        </is>
      </c>
      <c r="E209" s="24" t="inlineStr">
        <is>
          <t>Positive</t>
        </is>
      </c>
      <c r="F209" s="24" t="inlineStr">
        <is>
          <t>P1</t>
        </is>
      </c>
      <c r="G209" s="24" t="inlineStr">
        <is>
          <t>Admin</t>
        </is>
      </c>
      <c r="H209" s="24" t="inlineStr">
        <is>
          <t>UI</t>
        </is>
      </c>
      <c r="I209" s="24" t="n"/>
      <c r="J209" s="24" t="inlineStr">
        <is>
          <t>1. Run reconciliation for a day with online orders
2. Introduce one mismatch on test</t>
        </is>
      </c>
      <c r="K209" s="24" t="inlineStr">
        <is>
          <t>Matched payments become RECONCILED. The mismatch is listed as an exception with both amounts.</t>
        </is>
      </c>
      <c r="L209" s="24" t="inlineStr">
        <is>
          <t>Open features 3-Oct, treated as completed 4-Oct</t>
        </is>
      </c>
      <c r="M209" s="24" t="inlineStr">
        <is>
          <t>Pass</t>
        </is>
      </c>
      <c r="N209" s="24" t="inlineStr">
        <is>
          <t>Local Pass · Staging Not run (rule) · Production Not run
local: wallet-paid DB-20261024-BX4AND MATCHED (expected 5800, actual 5800); online-paid DB-20261024-0CP8RS MATCHED (expected 5800, actual 5800); altered DB-20261024-UQQAV6 PARTIAL (expected 5900, actual 5800)
staging: not run on staging: needs the server's database (local run only)</t>
        </is>
      </c>
      <c r="O209" s="24" t="inlineStr">
        <is>
          <t>D-29</t>
        </is>
      </c>
      <c r="P209" s="24" t="inlineStr">
        <is>
          <t>2026-10-24 17:05</t>
        </is>
      </c>
    </row>
    <row r="210" ht="23.25" customHeight="1" s="13">
      <c r="A210" s="24" t="inlineStr">
        <is>
          <t>TC-PAY-033</t>
        </is>
      </c>
      <c r="B210" s="24" t="inlineStr">
        <is>
          <t>Wallet, vouchers &amp; gateway</t>
        </is>
      </c>
      <c r="C210" s="24" t="inlineStr">
        <is>
          <t>GS-028</t>
        </is>
      </c>
      <c r="D210" s="24" t="inlineStr">
        <is>
          <t>Amount limits for online payment</t>
        </is>
      </c>
      <c r="E210" s="24" t="inlineStr">
        <is>
          <t>Boundary</t>
        </is>
      </c>
      <c r="F210" s="24" t="inlineStr">
        <is>
          <t>P2</t>
        </is>
      </c>
      <c r="G210" s="24" t="inlineStr">
        <is>
          <t>Customer</t>
        </is>
      </c>
      <c r="H210" s="24" t="inlineStr">
        <is>
          <t>UI+API</t>
        </is>
      </c>
      <c r="I210" s="24" t="n"/>
      <c r="J210" s="24" t="inlineStr">
        <is>
          <t>1. Pay the smallest order the shop allows
2. Try an order above the gateway maximum</t>
        </is>
      </c>
      <c r="K210" s="24" t="inlineStr">
        <is>
          <t>Within limits works. Above the maximum the customer is told before payment starts.</t>
        </is>
      </c>
      <c r="L210" s="24" t="inlineStr">
        <is>
          <t>Open features 3-Oct, treated as completed 4-Oct</t>
        </is>
      </c>
      <c r="M210" s="24" t="inlineStr">
        <is>
          <t>Pass</t>
        </is>
      </c>
      <c r="N210" s="24" t="inlineStr">
        <is>
          <t>Passed, partly covered. Local Blocked · Staging Pass (partial) · Production Not run
local: "QA Butter 100 g mvmkyclr" cannot be added to the cart — HTTP 409: This product is currently unavailable online.
staging: not covered: 'above the gateway maximum the customer is told before payment starts' is not testable: no maximum is configured (rule onlinePayments has no amount cap and the sandbox accepts any amount) — owner to set the cap the live gateway enforces</t>
        </is>
      </c>
      <c r="O210" s="24" t="n"/>
      <c r="P210" s="24" t="inlineStr">
        <is>
          <t>2026-10-24 18:48</t>
        </is>
      </c>
    </row>
    <row r="211" ht="23.25" customHeight="1" s="13">
      <c r="A211" s="24" t="inlineStr">
        <is>
          <t>TC-PAY-034</t>
        </is>
      </c>
      <c r="B211" s="24" t="inlineStr">
        <is>
          <t>Wallet, vouchers &amp; gateway</t>
        </is>
      </c>
      <c r="C211" s="24" t="inlineStr">
        <is>
          <t>GS-028, GS-071</t>
        </is>
      </c>
      <c r="D211" s="24" t="inlineStr">
        <is>
          <t>No card or UPI details are held by GoKesari</t>
        </is>
      </c>
      <c r="E211" s="24" t="inlineStr">
        <is>
          <t>Security</t>
        </is>
      </c>
      <c r="F211" s="24" t="inlineStr">
        <is>
          <t>P0</t>
        </is>
      </c>
      <c r="G211" s="24" t="inlineStr">
        <is>
          <t>Admin</t>
        </is>
      </c>
      <c r="H211" s="24" t="inlineStr">
        <is>
          <t>UI+DB</t>
        </is>
      </c>
      <c r="I211" s="24" t="n"/>
      <c r="J211" s="24" t="inlineStr">
        <is>
          <t>1. Inspect API responses, logs and stored payment records after a card payment</t>
        </is>
      </c>
      <c r="K211" s="24" t="inlineStr">
        <is>
          <t>Only gateway references and masked details are present. No card number, CVV or UPI PIN anywhere.</t>
        </is>
      </c>
      <c r="L211" s="24" t="inlineStr">
        <is>
          <t>Open features 3-Oct, treated as completed 4-Oct</t>
        </is>
      </c>
      <c r="M211" s="24" t="inlineStr">
        <is>
          <t>Pass</t>
        </is>
      </c>
      <c r="N211" s="24" t="inlineStr">
        <is>
          <t>Passed, partly covered. Local Pass (partial) · Staging Not run (rule) · Production Not run
local: not covered: a real card payment happens on the gateway's page (Cashfree sandbox on staging); here the sandbox stands in, so 'after a card payment' is the sandbox Card method
staging: not run on staging: needs the server's database (local run only)</t>
        </is>
      </c>
      <c r="O211" s="24" t="n"/>
      <c r="P211" s="24" t="inlineStr">
        <is>
          <t>2026-10-24 17:05</t>
        </is>
      </c>
    </row>
    <row r="212" ht="23.25" customHeight="1" s="13">
      <c r="A212" s="24" t="inlineStr">
        <is>
          <t>TC-PAY-035</t>
        </is>
      </c>
      <c r="B212" s="24" t="inlineStr">
        <is>
          <t>Wallet, vouchers &amp; gateway</t>
        </is>
      </c>
      <c r="C212" s="24" t="inlineStr">
        <is>
          <t>GS-028, GS-026</t>
        </is>
      </c>
      <c r="D212" s="24" t="inlineStr">
        <is>
          <t>Payment is not started for an order that cannot be placed</t>
        </is>
      </c>
      <c r="E212" s="24" t="inlineStr">
        <is>
          <t>Negative</t>
        </is>
      </c>
      <c r="F212" s="24" t="inlineStr">
        <is>
          <t>P0</t>
        </is>
      </c>
      <c r="G212" s="24" t="inlineStr">
        <is>
          <t>Customer</t>
        </is>
      </c>
      <c r="H212" s="24" t="inlineStr">
        <is>
          <t>UI+API</t>
        </is>
      </c>
      <c r="I212" s="24" t="n"/>
      <c r="J212" s="24" t="inlineStr">
        <is>
          <t>1. Go to pay online with: an out-of-zone address, an out-of-stock line, a suspended shop, a paused shop, a total under the minimum order</t>
        </is>
      </c>
      <c r="K212" s="24" t="inlineStr">
        <is>
          <t>Each is stopped before the gateway opens, with the reason. No charge.</t>
        </is>
      </c>
      <c r="L212" s="24" t="inlineStr">
        <is>
          <t>Open features 3-Oct, treated as completed 4-Oct</t>
        </is>
      </c>
      <c r="M212" s="24" t="inlineStr">
        <is>
          <t>Pass</t>
        </is>
      </c>
      <c r="N212" s="24" t="inlineStr">
        <is>
          <t>Passed, partly covered. Local Pass (partial) · Staging Pass (partial) · Production Not run
local: blocked: "QA Butter 100 g mvmkyclr" cannot be added to the cart — HTTP 409: This product is currently unavailable online.
staging: not covered: a suspended shop is TC-PAY-035 in tests/qa/local/money-gateway.spec.ts (suspending is an operator action)</t>
        </is>
      </c>
      <c r="O212" s="24" t="n"/>
      <c r="P212" s="24" t="inlineStr">
        <is>
          <t>2026-10-24 18:49</t>
        </is>
      </c>
    </row>
    <row r="213" ht="23.25" customHeight="1" s="13">
      <c r="A213" s="24" t="inlineStr">
        <is>
          <t>TC-COD-001</t>
        </is>
      </c>
      <c r="B213" s="24" t="inlineStr">
        <is>
          <t>Cash on delivery</t>
        </is>
      </c>
      <c r="C213" s="24" t="inlineStr">
        <is>
          <t>GS-030</t>
        </is>
      </c>
      <c r="D213" s="24" t="inlineStr">
        <is>
          <t>Shop opts in to COD</t>
        </is>
      </c>
      <c r="E213" s="24" t="inlineStr">
        <is>
          <t>Positive</t>
        </is>
      </c>
      <c r="F213" s="24" t="inlineStr">
        <is>
          <t>P1</t>
        </is>
      </c>
      <c r="G213" s="24" t="inlineStr">
        <is>
          <t>Shop</t>
        </is>
      </c>
      <c r="H213" s="24" t="inlineStr">
        <is>
          <t>UI</t>
        </is>
      </c>
      <c r="I213" s="24" t="n"/>
      <c r="J213" s="24" t="inlineStr">
        <is>
          <t>1. /shop/marketing (COD setting) -&gt; enable</t>
        </is>
      </c>
      <c r="K213" s="24" t="inlineStr">
        <is>
          <t>Saved; COD becomes available to eligible customers of this shop.</t>
        </is>
      </c>
      <c r="L213" s="24" t="inlineStr">
        <is>
          <t>Dev log Phase 3</t>
        </is>
      </c>
      <c r="M213" s="24" t="inlineStr">
        <is>
          <t>Fail</t>
        </is>
      </c>
      <c r="N213" s="24" t="inlineStr">
        <is>
          <t>Local Pass (partial) · Staging Fail · Production Not run
local: blocked: "QA Butter 100 g mvmkyclr" cannot be added to the cart — HTTP 409: This product is currently unavailable online.
staging: expect(locator).not.toBeChecked() failed | Locator:  getByTestId('cod-toggle') | Expected: not checked | Received: checked ‖ [phone] expect(locator).not.toBeChecked() failed | Locator:  getByTestId('cod-toggle') | Expected: not checked | Received: checked</t>
        </is>
      </c>
      <c r="O213" s="24" t="n"/>
      <c r="P213" s="24" t="inlineStr">
        <is>
          <t>2026-10-24 22:26</t>
        </is>
      </c>
    </row>
    <row r="214" ht="23.25" customHeight="1" s="13">
      <c r="A214" s="24" t="inlineStr">
        <is>
          <t>TC-COD-002</t>
        </is>
      </c>
      <c r="B214" s="24" t="inlineStr">
        <is>
          <t>Cash on delivery</t>
        </is>
      </c>
      <c r="C214" s="24" t="inlineStr">
        <is>
          <t>GS-030</t>
        </is>
      </c>
      <c r="D214" s="24" t="inlineStr">
        <is>
          <t>COD order placed and confirmed unpaid</t>
        </is>
      </c>
      <c r="E214" s="24" t="inlineStr">
        <is>
          <t>Positive</t>
        </is>
      </c>
      <c r="F214" s="24" t="inlineStr">
        <is>
          <t>P0</t>
        </is>
      </c>
      <c r="G214" s="24" t="inlineStr">
        <is>
          <t>Customer</t>
        </is>
      </c>
      <c r="H214" s="24" t="inlineStr">
        <is>
          <t>UI</t>
        </is>
      </c>
      <c r="I214" s="24" t="inlineStr">
        <is>
          <t>Shop opted in; order &lt;= Rs 2,000; saved address</t>
        </is>
      </c>
      <c r="J214" s="24" t="inlineStr">
        <is>
          <t>1. Choose Cash on delivery and place the order</t>
        </is>
      </c>
      <c r="K214" s="24" t="inlineStr">
        <is>
          <t>Order CONFIRMED with payment method COD; wallet not debited; stock reduced.</t>
        </is>
      </c>
      <c r="L214" s="24" t="inlineStr">
        <is>
          <t>Dev log Phase 3 handoff</t>
        </is>
      </c>
      <c r="M214" s="24" t="inlineStr">
        <is>
          <t>Fail</t>
        </is>
      </c>
      <c r="N214" s="24" t="inlineStr">
        <is>
          <t>Local Pass (partial) · Staging Fail · Production Not run
local: blocked: "QA Butter 100 g mvmkyclr" cannot be added to the cart — HTTP 409: This product is currently unavailable online.
staging: locator.click: Timeout 30000ms exceeded. | Call log: | - waiting for getByRole('button', { name: 'Place order — pay cash on delivery' }) | - locator resolved to &lt;button disabled type="button" title="Choose a delivery time for your scheduled delivery" class="inline-flex items-center justify-center gap-1.5 rounded-lg font-medium transition-colors disabled:cursor-not-allowed bg-kesari-600 text-white hover:bg-kesari-800 disabled:bg-cream-2 ‖ [phone] locator.click: Timeout 30000ms exceeded. | Call log: | - waiting for getByRole('button', { name: 'Place order — pay cash on delivery' }) | - locator resolved to &lt;button disabled type="button" title="Choose a delivery time for your scheduled delivery" class="inline-flex items-center justify-center gap-1.5 rounded-lg font-medium transition-colors disabled:cursor-not-allowed bg-kesari-600 text-white hover:bg-kesari-800 disabled:bg-cream-2</t>
        </is>
      </c>
      <c r="O214" s="24" t="n"/>
      <c r="P214" s="24" t="inlineStr">
        <is>
          <t>2026-10-24 22:27</t>
        </is>
      </c>
    </row>
    <row r="215" ht="23.25" customHeight="1" s="13">
      <c r="A215" s="24" t="inlineStr">
        <is>
          <t>TC-COD-003</t>
        </is>
      </c>
      <c r="B215" s="24" t="inlineStr">
        <is>
          <t>Cash on delivery</t>
        </is>
      </c>
      <c r="C215" s="24" t="inlineStr">
        <is>
          <t>GS-030</t>
        </is>
      </c>
      <c r="D215" s="24" t="inlineStr">
        <is>
          <t>COD eligibility refusals</t>
        </is>
      </c>
      <c r="E215" s="24" t="inlineStr">
        <is>
          <t>Negative</t>
        </is>
      </c>
      <c r="F215" s="24" t="inlineStr">
        <is>
          <t>P0</t>
        </is>
      </c>
      <c r="G215" s="24" t="inlineStr">
        <is>
          <t>Customer</t>
        </is>
      </c>
      <c r="H215" s="24" t="inlineStr">
        <is>
          <t>UI+API</t>
        </is>
      </c>
      <c r="I215" s="24" t="n"/>
      <c r="J215" s="24" t="inlineStr">
        <is>
          <t>1. Try COD: for a B2B order
2. without an address
3. from a shop not opted in
4. total Rs 2,000.01+
5. as a 3rd open COD order
6. GET /api/cod/eligibility in each case</t>
        </is>
      </c>
      <c r="K215" s="24" t="inlineStr">
        <is>
          <t>Each refused with the reason; eligibility endpoint explains why not. Exactly Rs 2,000 is allowed.</t>
        </is>
      </c>
      <c r="L215" s="24" t="inlineStr">
        <is>
          <t>Dev log Phase 3 handoff</t>
        </is>
      </c>
      <c r="M215" s="24" t="inlineStr">
        <is>
          <t>Pass</t>
        </is>
      </c>
      <c r="N215" s="24" t="inlineStr">
        <is>
          <t>Passed, partly covered. Local Pass (partial) · Staging Pass (partial) · Production Not run
local: blocked: "QA Butter 100 g mvmkyclr" cannot be added to the cart — HTTP 409: This product is currently unavailable online.
staging: not covered: GET /api/cod/eligibility is customer-level by design (src/server/services/cod.ts getCodEligibility: shop opt-in and amount are checked per order at checkout and shown on the cart page), so it explains only the open-orders / risk refusals; 'exactly ₹2,000 is allowed' is TC-COD-003 in tests/qa/local/money-cod.spec.ts</t>
        </is>
      </c>
      <c r="O215" s="24" t="n"/>
      <c r="P215" s="24" t="inlineStr">
        <is>
          <t>2026-10-24 18:23</t>
        </is>
      </c>
    </row>
    <row r="216" ht="23.25" customHeight="1" s="13">
      <c r="A216" s="24" t="inlineStr">
        <is>
          <t>TC-COD-004</t>
        </is>
      </c>
      <c r="B216" s="24" t="inlineStr">
        <is>
          <t>Cash on delivery</t>
        </is>
      </c>
      <c r="C216" s="24" t="inlineStr">
        <is>
          <t>GS-030, GS-068</t>
        </is>
      </c>
      <c r="D216" s="24" t="inlineStr">
        <is>
          <t>COD paused after failed COD deliveries or a HIGH risk flag</t>
        </is>
      </c>
      <c r="E216" s="24" t="inlineStr">
        <is>
          <t>Negative</t>
        </is>
      </c>
      <c r="F216" s="24" t="inlineStr">
        <is>
          <t>P1</t>
        </is>
      </c>
      <c r="G216" s="24" t="inlineStr">
        <is>
          <t>Customer</t>
        </is>
      </c>
      <c r="H216" s="24" t="inlineStr">
        <is>
          <t>UI</t>
        </is>
      </c>
      <c r="I216" s="24" t="inlineStr">
        <is>
          <t>Customer with 2 failed COD deliveries in 90 days, or an open HIGH flag</t>
        </is>
      </c>
      <c r="J216" s="24" t="inlineStr">
        <is>
          <t>1. Try COD</t>
        </is>
      </c>
      <c r="K216" s="24" t="inlineStr">
        <is>
          <t>Refused with the reason.</t>
        </is>
      </c>
      <c r="L216" s="24" t="inlineStr">
        <is>
          <t>Dev log Phase 3 handoff</t>
        </is>
      </c>
      <c r="M216" s="24" t="inlineStr">
        <is>
          <t>Pass</t>
        </is>
      </c>
      <c r="N216" s="24" t="inlineStr">
        <is>
          <t>Passed, partly covered. Local Pass (partial) · Staging Not run (rule) · Production Not run
local: not covered: the two failed deliveries are status-history rows arranged in the database (a rider's 'fail' twice would leave the customer paused for 90 days), removed afterwards
staging: not run on staging: needs the server's database (local run only)</t>
        </is>
      </c>
      <c r="O216" s="24" t="n"/>
      <c r="P216" s="24" t="inlineStr">
        <is>
          <t>2026-10-24 17:05</t>
        </is>
      </c>
    </row>
    <row r="217" ht="23.25" customHeight="1" s="13">
      <c r="A217" s="24" t="inlineStr">
        <is>
          <t>TC-COD-005</t>
        </is>
      </c>
      <c r="B217" s="24" t="inlineStr">
        <is>
          <t>Cash on delivery</t>
        </is>
      </c>
      <c r="C217" s="24" t="inlineStr">
        <is>
          <t>GS-030</t>
        </is>
      </c>
      <c r="D217" s="24" t="inlineStr">
        <is>
          <t>Cancel a COD order before delivery</t>
        </is>
      </c>
      <c r="E217" s="24" t="inlineStr">
        <is>
          <t>Positive</t>
        </is>
      </c>
      <c r="F217" s="24" t="inlineStr">
        <is>
          <t>P1</t>
        </is>
      </c>
      <c r="G217" s="24" t="inlineStr">
        <is>
          <t>Customer</t>
        </is>
      </c>
      <c r="H217" s="24" t="inlineStr">
        <is>
          <t>UI</t>
        </is>
      </c>
      <c r="I217" s="24" t="inlineStr">
        <is>
          <t>COD order CONFIRMED</t>
        </is>
      </c>
      <c r="J217" s="24" t="inlineStr">
        <is>
          <t>1. Cancel</t>
        </is>
      </c>
      <c r="K217" s="24" t="inlineStr">
        <is>
          <t>No wallet refund (nothing was paid); stock restored.</t>
        </is>
      </c>
      <c r="L217" s="24" t="inlineStr">
        <is>
          <t>Dev log Phase 3 handoff</t>
        </is>
      </c>
      <c r="M217" s="24" t="inlineStr">
        <is>
          <t>Blocked</t>
        </is>
      </c>
      <c r="N217" s="24" t="inlineStr">
        <is>
          <t>Local Blocked · Staging Blocked · Production Not run
local: needs the COD order of TC-COD-002
staging: needs the COD order of TC-COD-002</t>
        </is>
      </c>
      <c r="O217" s="24" t="n"/>
      <c r="P217" s="24" t="inlineStr">
        <is>
          <t>2026-10-24 18:18</t>
        </is>
      </c>
    </row>
    <row r="218" ht="23.25" customHeight="1" s="13">
      <c r="A218" s="24" t="inlineStr">
        <is>
          <t>TC-COD-006</t>
        </is>
      </c>
      <c r="B218" s="24" t="inlineStr">
        <is>
          <t>Cash on delivery</t>
        </is>
      </c>
      <c r="C218" s="24" t="inlineStr">
        <is>
          <t>GS-030</t>
        </is>
      </c>
      <c r="D218" s="24" t="inlineStr">
        <is>
          <t>Rider must confirm cash to complete a COD delivery</t>
        </is>
      </c>
      <c r="E218" s="24" t="inlineStr">
        <is>
          <t>Positive</t>
        </is>
      </c>
      <c r="F218" s="24" t="inlineStr">
        <is>
          <t>P0</t>
        </is>
      </c>
      <c r="G218" s="24" t="inlineStr">
        <is>
          <t>Rider</t>
        </is>
      </c>
      <c r="H218" s="24" t="inlineStr">
        <is>
          <t>UI+API</t>
        </is>
      </c>
      <c r="I218" s="24" t="inlineStr">
        <is>
          <t>COD order out for delivery</t>
        </is>
      </c>
      <c r="J218" s="24" t="inlineStr">
        <is>
          <t>1. Try deliver with OTP but without cashCollected
2. Deliver with OTP and cash confirmed</t>
        </is>
      </c>
      <c r="K218" s="24" t="inlineStr">
        <is>
          <t>First refused. Second: DELIVERED, order becomes paid, a COD_CASH_COLLECTED adjustment (-total) is recorded against the rider.</t>
        </is>
      </c>
      <c r="L218" s="24" t="inlineStr">
        <is>
          <t>Dev log Phase 3 handoff</t>
        </is>
      </c>
      <c r="M218" s="24" t="inlineStr">
        <is>
          <t>Blocked</t>
        </is>
      </c>
      <c r="N218" s="24" t="inlineStr">
        <is>
          <t>Local Blocked · Staging Blocked · Production Not run
local: "QA Butter 100 g mvmkyclr" cannot be added to the cart — HTTP 409: This product is currently unavailable online.
staging: no delivery offer reached the rider for order 3a906748-c483-4e89-8247-2c6e959fd620 within 45 s (rider offline or busy?)</t>
        </is>
      </c>
      <c r="O218" s="24" t="n"/>
      <c r="P218" s="24" t="inlineStr">
        <is>
          <t>2026-10-24 18:26</t>
        </is>
      </c>
    </row>
    <row r="219" ht="34.5" customHeight="1" s="13">
      <c r="A219" s="24" t="inlineStr">
        <is>
          <t>TC-COD-007</t>
        </is>
      </c>
      <c r="B219" s="24" t="inlineStr">
        <is>
          <t>Cash on delivery</t>
        </is>
      </c>
      <c r="C219" s="24" t="inlineStr">
        <is>
          <t>GS-030</t>
        </is>
      </c>
      <c r="D219" s="24" t="inlineStr">
        <is>
          <t>Operator override on COD needs cashCollected</t>
        </is>
      </c>
      <c r="E219" s="24" t="inlineStr">
        <is>
          <t>Negative</t>
        </is>
      </c>
      <c r="F219" s="24" t="inlineStr">
        <is>
          <t>P1</t>
        </is>
      </c>
      <c r="G219" s="24" t="inlineStr">
        <is>
          <t>Operator</t>
        </is>
      </c>
      <c r="H219" s="24" t="inlineStr">
        <is>
          <t>API</t>
        </is>
      </c>
      <c r="I219" s="24" t="n"/>
      <c r="J219" s="24" t="inlineStr">
        <is>
          <t>1. POST confirm-delivery with proofNote only
2. With cashCollected true</t>
        </is>
      </c>
      <c r="K219" s="24" t="inlineStr">
        <is>
          <t>First refused; second completes and is audited.</t>
        </is>
      </c>
      <c r="L219" s="24" t="inlineStr">
        <is>
          <t>API.md COD</t>
        </is>
      </c>
      <c r="M219" s="24" t="inlineStr">
        <is>
          <t>Pass</t>
        </is>
      </c>
      <c r="N219" s="24" t="inlineStr">
        <is>
          <t>Passed, partly covered. Local Pass (partial) · Staging Blocked · Production Not run
local: blocked: "QA Butter 100 g mvmkyclr" cannot be added to the cart — HTTP 409: This product is currently unavailable online.
staging: no delivery offer reached the rider for order 556cc1c9-a7fc-423b-825d-d2a3e3bbf29a within 45 s (rider offline or busy?)</t>
        </is>
      </c>
      <c r="O219" s="24" t="n"/>
      <c r="P219" s="24" t="inlineStr">
        <is>
          <t>2026-10-24 18:29</t>
        </is>
      </c>
    </row>
    <row r="220" ht="23.25" customHeight="1" s="13">
      <c r="A220" s="24" t="inlineStr">
        <is>
          <t>TC-COD-008</t>
        </is>
      </c>
      <c r="B220" s="24" t="inlineStr">
        <is>
          <t>Cash on delivery</t>
        </is>
      </c>
      <c r="C220" s="24" t="inlineStr">
        <is>
          <t>GS-030</t>
        </is>
      </c>
      <c r="D220" s="24" t="inlineStr">
        <is>
          <t>Shop self-delivery collects as SHOP</t>
        </is>
      </c>
      <c r="E220" s="24" t="inlineStr">
        <is>
          <t>Positive</t>
        </is>
      </c>
      <c r="F220" s="24" t="inlineStr">
        <is>
          <t>P2</t>
        </is>
      </c>
      <c r="G220" s="24" t="inlineStr">
        <is>
          <t>Shop</t>
        </is>
      </c>
      <c r="H220" s="24" t="inlineStr">
        <is>
          <t>UI</t>
        </is>
      </c>
      <c r="I220" s="24" t="inlineStr">
        <is>
          <t>Pickup/self-delivering shop with COD</t>
        </is>
      </c>
      <c r="J220" s="24" t="inlineStr">
        <is>
          <t>1. Shop marks delivered with cash</t>
        </is>
      </c>
      <c r="K220" s="24" t="inlineStr">
        <is>
          <t>Cash is held against the shop, not a rider.</t>
        </is>
      </c>
      <c r="L220" s="24" t="inlineStr">
        <is>
          <t>Dev log Phase 3 handoff</t>
        </is>
      </c>
      <c r="M220" s="24" t="inlineStr">
        <is>
          <t>Pass</t>
        </is>
      </c>
      <c r="N220" s="24" t="inlineStr">
        <is>
          <t>Local Pass · Staging Not run (rule) · Production Not run
local: DB-20261024-8AXBEY: own delivery; deliver without cash → 422; with cash → DELIVERED; the shop holds +5800 (0 → 5800), adjustment party SHOP, no rider
staging: not run on staging: needs the server's database (local run only)</t>
        </is>
      </c>
      <c r="O220" s="24" t="n"/>
      <c r="P220" s="24" t="inlineStr">
        <is>
          <t>2026-10-24 17:05</t>
        </is>
      </c>
    </row>
    <row r="221" ht="34.5" customHeight="1" s="13">
      <c r="A221" s="24" t="inlineStr">
        <is>
          <t>TC-COD-009</t>
        </is>
      </c>
      <c r="B221" s="24" t="inlineStr">
        <is>
          <t>Cash on delivery</t>
        </is>
      </c>
      <c r="C221" s="24" t="inlineStr">
        <is>
          <t>GS-030</t>
        </is>
      </c>
      <c r="D221" s="24" t="inlineStr">
        <is>
          <t>Record a cash deposit</t>
        </is>
      </c>
      <c r="E221" s="24" t="inlineStr">
        <is>
          <t>Positive</t>
        </is>
      </c>
      <c r="F221" s="24" t="inlineStr">
        <is>
          <t>P1</t>
        </is>
      </c>
      <c r="G221" s="24" t="inlineStr">
        <is>
          <t>Admin</t>
        </is>
      </c>
      <c r="H221" s="24" t="inlineStr">
        <is>
          <t>UI</t>
        </is>
      </c>
      <c r="I221" s="24" t="inlineStr">
        <is>
          <t>Rider holds COD cash</t>
        </is>
      </c>
      <c r="J221" s="24" t="inlineStr">
        <is>
          <t>1. /admin/cod -&gt; record a deposit &lt;= held with a reference
2. Try a deposit &gt; held
3. Re-submit the same requestId</t>
        </is>
      </c>
      <c r="K221" s="24" t="inlineStr">
        <is>
          <t>Deposit recorded (+); held amount falls. Over-deposit refused. Replay does not double-count.</t>
        </is>
      </c>
      <c r="L221" s="24" t="inlineStr">
        <is>
          <t>Dev log Phase 3 handoff</t>
        </is>
      </c>
      <c r="M221" s="24" t="inlineStr">
        <is>
          <t>Blocked</t>
        </is>
      </c>
      <c r="N221" s="24" t="inlineStr">
        <is>
          <t>Local Blocked · Staging Blocked · Production Not run
local: needs the COD delivery of TC-COD-006
staging: needs the COD delivery of TC-COD-006</t>
        </is>
      </c>
      <c r="O221" s="24" t="n"/>
      <c r="P221" s="24" t="inlineStr">
        <is>
          <t>2026-10-24 18:29</t>
        </is>
      </c>
    </row>
    <row r="222" ht="23.25" customHeight="1" s="13">
      <c r="A222" s="24" t="inlineStr">
        <is>
          <t>TC-COD-010</t>
        </is>
      </c>
      <c r="B222" s="24" t="inlineStr">
        <is>
          <t>Cash on delivery</t>
        </is>
      </c>
      <c r="C222" s="24" t="inlineStr">
        <is>
          <t>GS-030, GS-064</t>
        </is>
      </c>
      <c r="D222" s="24" t="inlineStr">
        <is>
          <t>Held cash is netted in the next payout / settlement</t>
        </is>
      </c>
      <c r="E222" s="24" t="inlineStr">
        <is>
          <t>Positive</t>
        </is>
      </c>
      <c r="F222" s="24" t="inlineStr">
        <is>
          <t>P1</t>
        </is>
      </c>
      <c r="G222" s="24" t="inlineStr">
        <is>
          <t>Admin</t>
        </is>
      </c>
      <c r="H222" s="24" t="inlineStr">
        <is>
          <t>UI</t>
        </is>
      </c>
      <c r="I222" s="24" t="inlineStr">
        <is>
          <t>Rider with held cash and earnings</t>
        </is>
      </c>
      <c r="J222" s="24" t="inlineStr">
        <is>
          <t>1. Prepare the weekly payout</t>
        </is>
      </c>
      <c r="K222" s="24" t="inlineStr">
        <is>
          <t>Net = earnings - cash still held. A negative batch is possible and is flagged for manual collection.</t>
        </is>
      </c>
      <c r="L222" s="24" t="inlineStr">
        <is>
          <t>Dev log Phase 3 decisions</t>
        </is>
      </c>
      <c r="M222" s="24" t="inlineStr">
        <is>
          <t>Fail</t>
        </is>
      </c>
      <c r="N222" s="24" t="inlineStr">
        <is>
          <t>Local Fail · Staging Not run (rule) · Production Not run
local: adjustments -242250 do not take the 243750 paise of cash held — rider held 243750, earnings 125119, payout {"id":"59d80d7f-fad9-4aa3-a020-f4fd2b6a627b","deliveryPartnerId":"9d6d9265-8659-4d73-8924-ecabbfdd3df5","periodStart":"2026-10-19","periodEnd":"2026-10-26","earningsCount":43,"grossPaise":125119,"adjustmentsPaise":-242250,"amountPaise":-117131,"status":"PENDING","paymentReference":null,"failureReason":null,"approvedBy":null,"approvedAt":null,"processingAt":null,"paidBy":null,"paidAt":null,"failedAt":null,"reversedAt":null,"createdBy":"8704fde5-0320-4df7-955c-79a473e4c9f3","createdAt":"2026-10-24T16:22:35.041Z","updatedAt":"2026-10-24T16:22:35.041Z"} | expect(received).toEqual(expected) // deep equality | - Expected  - 1 | + Received  + 3
staging: not run on staging: needs the server's database (local run only)</t>
        </is>
      </c>
      <c r="O222" s="24" t="inlineStr">
        <is>
          <t>D-36</t>
        </is>
      </c>
      <c r="P222" s="24" t="inlineStr">
        <is>
          <t>2026-10-24 17:05</t>
        </is>
      </c>
    </row>
    <row r="223" ht="34.5" customHeight="1" s="13">
      <c r="A223" s="24" t="inlineStr">
        <is>
          <t>TC-COD-011</t>
        </is>
      </c>
      <c r="B223" s="24" t="inlineStr">
        <is>
          <t>Cash on delivery</t>
        </is>
      </c>
      <c r="C223" s="24" t="inlineStr">
        <is>
          <t>GS-030, GS-057</t>
        </is>
      </c>
      <c r="D223" s="24" t="inlineStr">
        <is>
          <t>Refund of a delivered COD order</t>
        </is>
      </c>
      <c r="E223" s="24" t="inlineStr">
        <is>
          <t>Positive</t>
        </is>
      </c>
      <c r="F223" s="24" t="inlineStr">
        <is>
          <t>P2</t>
        </is>
      </c>
      <c r="G223" s="24" t="inlineStr">
        <is>
          <t>Operator</t>
        </is>
      </c>
      <c r="H223" s="24" t="inlineStr">
        <is>
          <t>UI</t>
        </is>
      </c>
      <c r="I223" s="24" t="n"/>
      <c r="J223" s="24" t="inlineStr">
        <is>
          <t>1. Refund the order</t>
        </is>
      </c>
      <c r="K223" s="24" t="inlineStr">
        <is>
          <t>Refund is a wallet credit; reconciliation treats collected cash as the payment.</t>
        </is>
      </c>
      <c r="L223" s="24" t="inlineStr">
        <is>
          <t>Dev log Phase 3 handoff</t>
        </is>
      </c>
      <c r="M223" s="24" t="inlineStr">
        <is>
          <t>Pass</t>
        </is>
      </c>
      <c r="N223" s="24" t="inlineStr">
        <is>
          <t>Passed, partly covered. Local Pass (partial) · Staging Blocked · Production Not run
local: not covered: the refund-as-wallet-credit half is TC-COD-011 in tests/qa/signed-in/money-cod.spec.ts ‖ blocked: needs the COD delivery of TC-COD-006
staging: needs the COD delivery of TC-COD-006</t>
        </is>
      </c>
      <c r="O223" s="24" t="inlineStr">
        <is>
          <t>D-29</t>
        </is>
      </c>
      <c r="P223" s="24" t="inlineStr">
        <is>
          <t>2026-10-24 18:29</t>
        </is>
      </c>
    </row>
    <row r="224" ht="34.5" customHeight="1" s="13">
      <c r="A224" s="24" t="inlineStr">
        <is>
          <t>TC-COD-012</t>
        </is>
      </c>
      <c r="B224" s="24" t="inlineStr">
        <is>
          <t>Cash on delivery</t>
        </is>
      </c>
      <c r="C224" s="24" t="inlineStr">
        <is>
          <t>GS-030</t>
        </is>
      </c>
      <c r="D224" s="24" t="inlineStr">
        <is>
          <t>COD checkout replay</t>
        </is>
      </c>
      <c r="E224" s="24" t="inlineStr">
        <is>
          <t>Security</t>
        </is>
      </c>
      <c r="F224" s="24" t="inlineStr">
        <is>
          <t>P1</t>
        </is>
      </c>
      <c r="G224" s="24" t="inlineStr">
        <is>
          <t>Customer</t>
        </is>
      </c>
      <c r="H224" s="24" t="inlineStr">
        <is>
          <t>API</t>
        </is>
      </c>
      <c r="I224" s="24" t="n"/>
      <c r="J224" s="24" t="inlineStr">
        <is>
          <t>1. Re-send the COD checkout with the same requestId</t>
        </is>
      </c>
      <c r="K224" s="24" t="inlineStr">
        <is>
          <t>Same orders returned; no duplicates.</t>
        </is>
      </c>
      <c r="L224" s="24" t="inlineStr">
        <is>
          <t>Dev log Phase 3 handoff</t>
        </is>
      </c>
      <c r="M224" s="24" t="inlineStr">
        <is>
          <t>Pass</t>
        </is>
      </c>
      <c r="N224" s="24" t="inlineStr">
        <is>
          <t>Local Blocked · Staging Pass · Production Not run
local: "QA Butter 100 g mvmkyclr" cannot be added to the cart — HTTP 409: This product is currently unavailable online.
staging: replay of qa-mvmq2pby-c3dbbc90 → deduplicated, same order DB-20261024-H8XVA2; one order stored</t>
        </is>
      </c>
      <c r="O224" s="24" t="n"/>
      <c r="P224" s="24" t="inlineStr">
        <is>
          <t>2026-10-24 18:20</t>
        </is>
      </c>
    </row>
    <row r="225" ht="23.25" customHeight="1" s="13">
      <c r="A225" s="24" t="inlineStr">
        <is>
          <t>TC-ORD-001</t>
        </is>
      </c>
      <c r="B225" s="24" t="inlineStr">
        <is>
          <t>Order state machine &amp; cancellation</t>
        </is>
      </c>
      <c r="C225" s="24" t="inlineStr">
        <is>
          <t>SM-001</t>
        </is>
      </c>
      <c r="D225" s="24" t="inlineStr">
        <is>
          <t>Happy-path status sequence with history</t>
        </is>
      </c>
      <c r="E225" s="24" t="inlineStr">
        <is>
          <t>Positive</t>
        </is>
      </c>
      <c r="F225" s="24" t="inlineStr">
        <is>
          <t>P0</t>
        </is>
      </c>
      <c r="G225" s="24" t="inlineStr">
        <is>
          <t>All</t>
        </is>
      </c>
      <c r="H225" s="24" t="inlineStr">
        <is>
          <t>UI</t>
        </is>
      </c>
      <c r="I225" s="24" t="inlineStr">
        <is>
          <t>Delivering shop, rider online</t>
        </is>
      </c>
      <c r="J225" s="24" t="inlineStr">
        <is>
          <t>1. Drive one order CONFIRMED -&gt; ACCEPTED -&gt; PREPARING -&gt; READY -&gt; ASSIGNED -&gt; PICKED_UP -&gt; OUT_FOR_DELIVERY -&gt; DELIVERED
2. Check the customer's order view after each step</t>
        </is>
      </c>
      <c r="K225" s="24" t="inlineStr">
        <is>
          <t>Each status appears in order with a timestamp; the customer sees the matching label; a history row and audit entry exist per change.</t>
        </is>
      </c>
      <c r="L225" s="24" t="inlineStr">
        <is>
          <t>Dev log Slices 3-4 handoff; State Machines sheet</t>
        </is>
      </c>
      <c r="M225" s="24" t="inlineStr">
        <is>
          <t>Pass</t>
        </is>
      </c>
      <c r="N225" s="24" t="inlineStr">
        <is>
          <t>Passed, partly covered. Local Pass (partial) · Staging Pass (partial) · Production Not run
local: not covered: the customer's label per step is TC-ORD-001 in signed-in/orders-cancel.spec.ts ‖ not covered: per-change history rows and audit entries with timestamps are checked by TC-ORD-001 in local/orders-rules.spec.ts ‖ blocked: "QA Butter 100 g mvmkyclr" cannot be added to the cart — HTTP 409: This product is currently unavailable online.
staging: not covered: stock reduction and the shop notification are checked in the inventory and notification specs ‖ blocked: needs the delivery from TC-DEL-001 ‖ blocked: no delivery offer reached the rider for order a3bd0d5f-8965-42d5-8a15-09e6dcbb9ec7 within 30 s (rider offline or busy?)</t>
        </is>
      </c>
      <c r="O225" s="24" t="n"/>
      <c r="P225" s="24" t="inlineStr">
        <is>
          <t>2026-10-24 21:14</t>
        </is>
      </c>
    </row>
    <row r="226" ht="23.25" customHeight="1" s="13">
      <c r="A226" s="24" t="inlineStr">
        <is>
          <t>TC-ORD-002</t>
        </is>
      </c>
      <c r="B226" s="24" t="inlineStr">
        <is>
          <t>Order state machine &amp; cancellation</t>
        </is>
      </c>
      <c r="C226" s="24" t="inlineStr">
        <is>
          <t>SM-001</t>
        </is>
      </c>
      <c r="D226" s="24" t="inlineStr">
        <is>
          <t>Illegal transitions are refused</t>
        </is>
      </c>
      <c r="E226" s="24" t="inlineStr">
        <is>
          <t>Negative</t>
        </is>
      </c>
      <c r="F226" s="24" t="inlineStr">
        <is>
          <t>P0</t>
        </is>
      </c>
      <c r="G226" s="24" t="inlineStr">
        <is>
          <t>Shop</t>
        </is>
      </c>
      <c r="H226" s="24" t="inlineStr">
        <is>
          <t>API</t>
        </is>
      </c>
      <c r="I226" s="24" t="n"/>
      <c r="J226" s="24" t="inlineStr">
        <is>
          <t>1. PATCH /api/orders/{id}/status: CONFIRMED -&gt; DELIVERED, DELIVERED -&gt; PREPARING, CANCELLED -&gt; PREPARING, READY -&gt; ACCEPTED, and an unknown status</t>
        </is>
      </c>
      <c r="K226" s="24" t="inlineStr">
        <is>
          <t>409 INVALID_STATE_TRANSITION (422 for the unknown value); order unchanged.</t>
        </is>
      </c>
      <c r="L226" s="24" t="inlineStr">
        <is>
          <t>API.md; tests orders-status-route</t>
        </is>
      </c>
      <c r="M226" s="24" t="inlineStr">
        <is>
          <t>Blocked</t>
        </is>
      </c>
      <c r="N226" s="24" t="inlineStr">
        <is>
          <t>Local Blocked · Staging Blocked · Production Not run
local: "QA Butter 100 g mvmkyclr" cannot be added to the cart — HTTP 409: This product is currently unavailable online.
staging: needs the order delivered by the TC-ORD-001 check in this run</t>
        </is>
      </c>
      <c r="O226" s="24" t="n"/>
      <c r="P226" s="24" t="inlineStr">
        <is>
          <t>2026-10-24 19:06</t>
        </is>
      </c>
    </row>
    <row r="227" ht="23.25" customHeight="1" s="13">
      <c r="A227" s="24" t="inlineStr">
        <is>
          <t>TC-ORD-003</t>
        </is>
      </c>
      <c r="B227" s="24" t="inlineStr">
        <is>
          <t>Order state machine &amp; cancellation</t>
        </is>
      </c>
      <c r="C227" s="24" t="inlineStr">
        <is>
          <t>SM-001</t>
        </is>
      </c>
      <c r="D227" s="24" t="inlineStr">
        <is>
          <t>Unpaid order cannot be confirmed by hand</t>
        </is>
      </c>
      <c r="E227" s="24" t="inlineStr">
        <is>
          <t>Security</t>
        </is>
      </c>
      <c r="F227" s="24" t="inlineStr">
        <is>
          <t>P0</t>
        </is>
      </c>
      <c r="G227" s="24" t="inlineStr">
        <is>
          <t>Shop</t>
        </is>
      </c>
      <c r="H227" s="24" t="inlineStr">
        <is>
          <t>API</t>
        </is>
      </c>
      <c r="I227" s="24" t="inlineStr">
        <is>
          <t>An order in PENDING / PAYMENT_FAILED / WALLET_INSUFFICIENT</t>
        </is>
      </c>
      <c r="J227" s="24" t="inlineStr">
        <is>
          <t>1. Try to set CONFIRMED or PREPARING</t>
        </is>
      </c>
      <c r="K227" s="24" t="inlineStr">
        <is>
          <t>Refused.</t>
        </is>
      </c>
      <c r="L227" s="24" t="inlineStr">
        <is>
          <t>Regression ORD-06 (DEF-06)</t>
        </is>
      </c>
      <c r="M227" s="24" t="inlineStr">
        <is>
          <t>Pass</t>
        </is>
      </c>
      <c r="N227" s="24" t="inlineStr">
        <is>
          <t>Passed, partly covered. Local Pass (partial) · Staging Not run (rule) · Production Not run
local: not covered: WALLET_INSUFFICIENT (subscription renewals) is not produced; CONFIRMED is not a target of /status at all (DEF-06) — 422
staging: not run on staging: needs the server's database (local run only)</t>
        </is>
      </c>
      <c r="O227" s="24" t="n"/>
      <c r="P227" s="24" t="inlineStr">
        <is>
          <t>2026-10-24 17:06</t>
        </is>
      </c>
    </row>
    <row r="228" ht="23.25" customHeight="1" s="13">
      <c r="A228" s="24" t="inlineStr">
        <is>
          <t>TC-ORD-004</t>
        </is>
      </c>
      <c r="B228" s="24" t="inlineStr">
        <is>
          <t>Order state machine &amp; cancellation</t>
        </is>
      </c>
      <c r="C228" s="24" t="inlineStr">
        <is>
          <t>SM-001</t>
        </is>
      </c>
      <c r="D228" s="24" t="inlineStr">
        <is>
          <t>DISPUTED is operations-only</t>
        </is>
      </c>
      <c r="E228" s="24" t="inlineStr">
        <is>
          <t>Security</t>
        </is>
      </c>
      <c r="F228" s="24" t="inlineStr">
        <is>
          <t>P1</t>
        </is>
      </c>
      <c r="G228" s="24" t="inlineStr">
        <is>
          <t>Shop</t>
        </is>
      </c>
      <c r="H228" s="24" t="inlineStr">
        <is>
          <t>API</t>
        </is>
      </c>
      <c r="I228" s="24" t="n"/>
      <c r="J228" s="24" t="inlineStr">
        <is>
          <t>1. Shop sets DISPUTED
2. Operator sets DISPUTED</t>
        </is>
      </c>
      <c r="K228" s="24" t="inlineStr">
        <is>
          <t>Shop refused; operator succeeds; a disputed order is excluded from settlement.</t>
        </is>
      </c>
      <c r="L228" s="24" t="inlineStr">
        <is>
          <t>API.md</t>
        </is>
      </c>
      <c r="M228" s="24" t="inlineStr">
        <is>
          <t>Pass</t>
        </is>
      </c>
      <c r="N228" s="24" t="inlineStr">
        <is>
          <t>Passed, partly covered. Local Pass (partial) · Staging Blocked · Production Not run
local: not covered: the delivery date is moved into last week (only a finished week is settled, TC-FLD-118); the batches are prepared through the API the Finance page's button uses ‖ blocked: needs the order delivered by the TC-ORD-001 check in this run
staging: needs the order delivered by the TC-ORD-001 check in this run</t>
        </is>
      </c>
      <c r="O228" s="24" t="n"/>
      <c r="P228" s="24" t="inlineStr">
        <is>
          <t>2026-10-24 19:06</t>
        </is>
      </c>
    </row>
    <row r="229" ht="34.5" customHeight="1" s="13">
      <c r="A229" s="24" t="inlineStr">
        <is>
          <t>TC-ORD-005</t>
        </is>
      </c>
      <c r="B229" s="24" t="inlineStr">
        <is>
          <t>Order state machine &amp; cancellation</t>
        </is>
      </c>
      <c r="C229" s="24" t="inlineStr">
        <is>
          <t>SM-001</t>
        </is>
      </c>
      <c r="D229" s="24" t="inlineStr">
        <is>
          <t>RETURNED only after a failed delivery</t>
        </is>
      </c>
      <c r="E229" s="24" t="inlineStr">
        <is>
          <t>Negative</t>
        </is>
      </c>
      <c r="F229" s="24" t="inlineStr">
        <is>
          <t>P1</t>
        </is>
      </c>
      <c r="G229" s="24" t="inlineStr">
        <is>
          <t>Shop</t>
        </is>
      </c>
      <c r="H229" s="24" t="inlineStr">
        <is>
          <t>API</t>
        </is>
      </c>
      <c r="I229" s="24" t="n"/>
      <c r="J229" s="24" t="inlineStr">
        <is>
          <t>1. Set RETURNED on a READY order, then on a FAILED order</t>
        </is>
      </c>
      <c r="K229" s="24" t="inlineStr">
        <is>
          <t>First refused; second allowed, leading to cancel and refund.</t>
        </is>
      </c>
      <c r="L229" s="24" t="inlineStr">
        <is>
          <t>Dev log Slices 3-4</t>
        </is>
      </c>
      <c r="M229" s="24" t="inlineStr">
        <is>
          <t>Blocked</t>
        </is>
      </c>
      <c r="N229" s="24" t="inlineStr">
        <is>
          <t>Local Blocked · Staging Blocked · Production Not run
local: "QA Butter 100 g mvmkyclr" cannot be added to the cart — HTTP 409: This product is currently unavailable online.
staging: no delivery offer reached the rider for order 16c46c17-d8b8-4cf8-8526-3fc6b17d7811 within 30 s (rider offline or busy?)</t>
        </is>
      </c>
      <c r="O229" s="24" t="n"/>
      <c r="P229" s="24" t="inlineStr">
        <is>
          <t>2026-10-24 19:08</t>
        </is>
      </c>
    </row>
    <row r="230" ht="34.5" customHeight="1" s="13">
      <c r="A230" s="24" t="inlineStr">
        <is>
          <t>TC-ORD-006</t>
        </is>
      </c>
      <c r="B230" s="24" t="inlineStr">
        <is>
          <t>Order state machine &amp; cancellation</t>
        </is>
      </c>
      <c r="C230" s="24" t="inlineStr">
        <is>
          <t>NEW-006</t>
        </is>
      </c>
      <c r="D230" s="24" t="inlineStr">
        <is>
          <t>Customer cancels a CONFIRMED order</t>
        </is>
      </c>
      <c r="E230" s="24" t="inlineStr">
        <is>
          <t>Positive</t>
        </is>
      </c>
      <c r="F230" s="24" t="inlineStr">
        <is>
          <t>P0</t>
        </is>
      </c>
      <c r="G230" s="24" t="inlineStr">
        <is>
          <t>Customer</t>
        </is>
      </c>
      <c r="H230" s="24" t="inlineStr">
        <is>
          <t>UI</t>
        </is>
      </c>
      <c r="I230" s="24" t="n"/>
      <c r="J230" s="24" t="inlineStr">
        <is>
          <t>1. Cancel before the shop accepts</t>
        </is>
      </c>
      <c r="K230" s="24" t="inlineStr">
        <is>
          <t>Full refund (goods + delivery fee) to the wallet; stock returned; status CANCELLED; shop notified.</t>
        </is>
      </c>
      <c r="L230" s="24" t="inlineStr">
        <is>
          <t>QA H-01</t>
        </is>
      </c>
      <c r="M230" s="24" t="inlineStr">
        <is>
          <t>Pass</t>
        </is>
      </c>
      <c r="N230" s="24" t="inlineStr">
        <is>
          <t>Passed, partly covered. Local Pass (partial) · Staging Pass (partial) · Production Not run
local: not covered: 'shop notified' superseded by src/server/events/catalog.ts (order.cancelled, D10): a customer cancelling before the shop accepts is not announced to the shop ‖ blocked: "QA Butter 100 g mvmkyclr" cannot be added to the cart — HTTP 409: This product is currently unavailable online.
staging: not covered: 'shop notified' superseded by src/server/events/catalog.ts (order.cancelled, D10): a customer cancelling before the shop accepts is not announced to the shop ‖ not covered: stock return and the shop notification are checked in inventory.spec.ts</t>
        </is>
      </c>
      <c r="O230" s="24" t="n"/>
      <c r="P230" s="24" t="inlineStr">
        <is>
          <t>2026-10-24 21:16</t>
        </is>
      </c>
    </row>
    <row r="231" ht="23.25" customHeight="1" s="13">
      <c r="A231" s="24" t="inlineStr">
        <is>
          <t>TC-ORD-007</t>
        </is>
      </c>
      <c r="B231" s="24" t="inlineStr">
        <is>
          <t>Order state machine &amp; cancellation</t>
        </is>
      </c>
      <c r="C231" s="24" t="inlineStr">
        <is>
          <t>NEW-006</t>
        </is>
      </c>
      <c r="D231" s="24" t="inlineStr">
        <is>
          <t>Customer cannot cancel while ACCEPTED / PREPARING / READY / ASSIGNED</t>
        </is>
      </c>
      <c r="E231" s="24" t="inlineStr">
        <is>
          <t>Negative</t>
        </is>
      </c>
      <c r="F231" s="24" t="inlineStr">
        <is>
          <t>P0</t>
        </is>
      </c>
      <c r="G231" s="24" t="inlineStr">
        <is>
          <t>Customer</t>
        </is>
      </c>
      <c r="H231" s="24" t="inlineStr">
        <is>
          <t>UI+API</t>
        </is>
      </c>
      <c r="I231" s="24" t="n"/>
      <c r="J231" s="24" t="inlineStr">
        <is>
          <t>1. Try to cancel at each of the four stages</t>
        </is>
      </c>
      <c r="K231" s="24" t="inlineStr">
        <is>
          <t>Blocked: 'already being prepared - contact the shop'. No refund.</t>
        </is>
      </c>
      <c r="L231" s="24" t="inlineStr">
        <is>
          <t>QA H-02; D10</t>
        </is>
      </c>
      <c r="M231" s="24" t="inlineStr">
        <is>
          <t>Fail</t>
        </is>
      </c>
      <c r="N231" s="24" t="inlineStr">
        <is>
          <t>Local Pass (partial) · Staging Fail · Production Not run
local: blocked: "QA Butter 100 g mvmkyclr" cannot be added to the cart — HTTP 409: This product is currently unavailable online. ‖ blocked: needs the order placed by TC-CART-009 in this run
staging: no Cancel button at READY | expect(locator).toHaveCount(expected) failed | Locator:  getByTestId('order-card').filter({ hasText: 'DB-20261024-5J36V8' }).first().getByRole('button', { name: 'Cancel order' }) | Expected: 0 ‖ expect(received).toBe(expected) // Object.is equality | Expected: "READY" | Received: "missing" ‖ shop accepts — HTTP 409: Cannot change status from Refunded to Accepted by shop. | expect(received).toContain(expected) // indexOf | Expected value: 409 | Received array: [200]</t>
        </is>
      </c>
      <c r="O231" s="24" t="n"/>
      <c r="P231" s="24" t="inlineStr">
        <is>
          <t>2026-10-24 22:36</t>
        </is>
      </c>
    </row>
    <row r="232" ht="15" customHeight="1" s="13">
      <c r="A232" s="24" t="inlineStr">
        <is>
          <t>TC-ORD-008</t>
        </is>
      </c>
      <c r="B232" s="24" t="inlineStr">
        <is>
          <t>Order state machine &amp; cancellation</t>
        </is>
      </c>
      <c r="C232" s="24" t="inlineStr">
        <is>
          <t>NEW-006</t>
        </is>
      </c>
      <c r="D232" s="24" t="inlineStr">
        <is>
          <t>Customer cancels after pickup</t>
        </is>
      </c>
      <c r="E232" s="24" t="inlineStr">
        <is>
          <t>Positive</t>
        </is>
      </c>
      <c r="F232" s="24" t="inlineStr">
        <is>
          <t>P1</t>
        </is>
      </c>
      <c r="G232" s="24" t="inlineStr">
        <is>
          <t>Customer</t>
        </is>
      </c>
      <c r="H232" s="24" t="inlineStr">
        <is>
          <t>UI</t>
        </is>
      </c>
      <c r="I232" s="24" t="inlineStr">
        <is>
          <t>Order PICKED_UP or OUT_FOR_DELIVERY</t>
        </is>
      </c>
      <c r="J232" s="24" t="inlineStr">
        <is>
          <t>1. Cancel</t>
        </is>
      </c>
      <c r="K232" s="24" t="inlineStr">
        <is>
          <t>Goods-only refund; delivery fee kept; rider still paid; assignment cancelled; ledger shows a DELIVERY_FEE credit for the platform.</t>
        </is>
      </c>
      <c r="L232" s="24" t="inlineStr">
        <is>
          <t>QA H-03</t>
        </is>
      </c>
      <c r="M232" s="24" t="inlineStr">
        <is>
          <t>Pass</t>
        </is>
      </c>
      <c r="N232" s="24" t="inlineStr">
        <is>
          <t>Passed, partly covered. Local Pass (partial) · Staging Blocked · Production Not run
local: blocked: "QA Butter 100 g mvmkyclr" cannot be added to the cart — HTTP 409: This product is currently unavailable online.
staging: no delivery offer reached the rider for order 6e8d8c38-8ab5-4080-ad89-35fb2557d02a within 30 s (rider offline or busy?) ‖ no delivery offer reached the rider for order f659ef23-2c28-4f3c-8e14-b524a4286bb2 within 30 s (rider offline or busy?)</t>
        </is>
      </c>
      <c r="O232" s="24" t="inlineStr">
        <is>
          <t>D-46</t>
        </is>
      </c>
      <c r="P232" s="24" t="inlineStr">
        <is>
          <t>2026-10-24 21:23</t>
        </is>
      </c>
    </row>
    <row r="233" ht="23.25" customHeight="1" s="13">
      <c r="A233" s="24" t="inlineStr">
        <is>
          <t>TC-ORD-009</t>
        </is>
      </c>
      <c r="B233" s="24" t="inlineStr">
        <is>
          <t>Order state machine &amp; cancellation</t>
        </is>
      </c>
      <c r="C233" s="24" t="inlineStr">
        <is>
          <t>NEW-006</t>
        </is>
      </c>
      <c r="D233" s="24" t="inlineStr">
        <is>
          <t>Customer cannot self-cancel FAILED / RETURNED / DISPUTED / DELIVERED</t>
        </is>
      </c>
      <c r="E233" s="24" t="inlineStr">
        <is>
          <t>Negative</t>
        </is>
      </c>
      <c r="F233" s="24" t="inlineStr">
        <is>
          <t>P1</t>
        </is>
      </c>
      <c r="G233" s="24" t="inlineStr">
        <is>
          <t>Customer</t>
        </is>
      </c>
      <c r="H233" s="24" t="inlineStr">
        <is>
          <t>UI+API</t>
        </is>
      </c>
      <c r="I233" s="24" t="n"/>
      <c r="J233" s="24" t="inlineStr">
        <is>
          <t>1. Try to cancel in each state</t>
        </is>
      </c>
      <c r="K233" s="24" t="inlineStr">
        <is>
          <t>Refused; directed to support.</t>
        </is>
      </c>
      <c r="L233" s="24" t="inlineStr">
        <is>
          <t>Dev log pending confirmation D10</t>
        </is>
      </c>
      <c r="M233" s="24" t="inlineStr">
        <is>
          <t>Blocked</t>
        </is>
      </c>
      <c r="N233" s="24" t="inlineStr">
        <is>
          <t>Local Blocked · Staging Blocked · Production Not run
local: "QA Butter 100 g mvmkyclr" cannot be added to the cart — HTTP 409: This product is currently unavailable online. ‖ needs the order delivered by the TC-ORD-001 check in this run
staging: no delivery offer reached the rider for order 16c46c17-d8b8-4cf8-8526-3fc6b17d7811 within 30 s (rider offline or busy?) ‖ needs the order delivered by the TC-ORD-001 check in this run</t>
        </is>
      </c>
      <c r="O233" s="24" t="n"/>
      <c r="P233" s="24" t="inlineStr">
        <is>
          <t>2026-10-24 19:08</t>
        </is>
      </c>
    </row>
    <row r="234" ht="23.25" customHeight="1" s="13">
      <c r="A234" s="24" t="inlineStr">
        <is>
          <t>TC-ORD-010</t>
        </is>
      </c>
      <c r="B234" s="24" t="inlineStr">
        <is>
          <t>Order state machine &amp; cancellation</t>
        </is>
      </c>
      <c r="C234" s="24" t="inlineStr">
        <is>
          <t>NEW-006, GS-034</t>
        </is>
      </c>
      <c r="D234" s="24" t="inlineStr">
        <is>
          <t>Shop or operator cancels at each stage</t>
        </is>
      </c>
      <c r="E234" s="24" t="inlineStr">
        <is>
          <t>Positive</t>
        </is>
      </c>
      <c r="F234" s="24" t="inlineStr">
        <is>
          <t>P0</t>
        </is>
      </c>
      <c r="G234" s="24" t="inlineStr">
        <is>
          <t>Shop</t>
        </is>
      </c>
      <c r="H234" s="24" t="inlineStr">
        <is>
          <t>UI</t>
        </is>
      </c>
      <c r="I234" s="24" t="n"/>
      <c r="J234" s="24" t="inlineStr">
        <is>
          <t>1. Cancel orders at CONFIRMED, ACCEPTED, PREPARING, READY, ASSIGNED and after pickup</t>
        </is>
      </c>
      <c r="K234" s="24" t="inlineStr">
        <is>
          <t>Full refund every time; stock returned; rider paid only if goods had been picked up.</t>
        </is>
      </c>
      <c r="L234" s="24" t="inlineStr">
        <is>
          <t>QA H-04</t>
        </is>
      </c>
      <c r="M234" s="24" t="inlineStr">
        <is>
          <t>Fail</t>
        </is>
      </c>
      <c r="N234" s="24" t="inlineStr">
        <is>
          <t>Local Blocked · Staging Fail · Production Not run
local: "QA Butter 100 g mvmkyclr" cannot be added to the cart — HTTP 409: This product is currently unavailable online.
staging: checkout — HTTP 500: Something went wrong. Please try again. | expect(received).toContain(expected) // indexOf | Expected value: 500 | Received array: [201]</t>
        </is>
      </c>
      <c r="O234" s="24" t="n"/>
      <c r="P234" s="24" t="inlineStr">
        <is>
          <t>2026-10-24 22:39</t>
        </is>
      </c>
    </row>
    <row r="235" ht="23.25" customHeight="1" s="13">
      <c r="A235" s="24" t="inlineStr">
        <is>
          <t>TC-ORD-011</t>
        </is>
      </c>
      <c r="B235" s="24" t="inlineStr">
        <is>
          <t>Order state machine &amp; cancellation</t>
        </is>
      </c>
      <c r="C235" s="24" t="inlineStr">
        <is>
          <t>NEW-006</t>
        </is>
      </c>
      <c r="D235" s="24" t="inlineStr">
        <is>
          <t>Cancel after a partial refund</t>
        </is>
      </c>
      <c r="E235" s="24" t="inlineStr">
        <is>
          <t>Positive</t>
        </is>
      </c>
      <c r="F235" s="24" t="inlineStr">
        <is>
          <t>P1</t>
        </is>
      </c>
      <c r="G235" s="24" t="inlineStr">
        <is>
          <t>Shop</t>
        </is>
      </c>
      <c r="H235" s="24" t="inlineStr">
        <is>
          <t>UI</t>
        </is>
      </c>
      <c r="I235" s="24" t="inlineStr">
        <is>
          <t>Order with one line removed earlier</t>
        </is>
      </c>
      <c r="J235" s="24" t="inlineStr">
        <is>
          <t>1. Cancel the order</t>
        </is>
      </c>
      <c r="K235" s="24" t="inlineStr">
        <is>
          <t>Refund equals what is still held (no double refund); the removed line is not restocked; a substituted line restocks the substitute.</t>
        </is>
      </c>
      <c r="L235" s="24" t="inlineStr">
        <is>
          <t>QA H-05</t>
        </is>
      </c>
      <c r="M235" s="24" t="inlineStr">
        <is>
          <t>Blocked</t>
        </is>
      </c>
      <c r="N235" s="24" t="inlineStr">
        <is>
          <t>Local Blocked · Staging Blocked · Production Not run
local: "QA Butter 100 g mvmkyclr" cannot be added to the cart — HTTP 409: This product is currently unavailable online.
staging: needs the "sharedA" listing in this site's test data</t>
        </is>
      </c>
      <c r="O235" s="24" t="n"/>
      <c r="P235" s="24" t="inlineStr">
        <is>
          <t>2026-10-24 19:26</t>
        </is>
      </c>
    </row>
    <row r="236" ht="23.25" customHeight="1" s="13">
      <c r="A236" s="24" t="inlineStr">
        <is>
          <t>TC-ORD-012</t>
        </is>
      </c>
      <c r="B236" s="24" t="inlineStr">
        <is>
          <t>Order state machine &amp; cancellation</t>
        </is>
      </c>
      <c r="C236" s="24" t="inlineStr">
        <is>
          <t>GS-016, NEW-006</t>
        </is>
      </c>
      <c r="D236" s="24" t="inlineStr">
        <is>
          <t>Stock is restored on cancellation</t>
        </is>
      </c>
      <c r="E236" s="24" t="inlineStr">
        <is>
          <t>Regression</t>
        </is>
      </c>
      <c r="F236" s="24" t="inlineStr">
        <is>
          <t>P0</t>
        </is>
      </c>
      <c r="G236" s="24" t="inlineStr">
        <is>
          <t>Shop</t>
        </is>
      </c>
      <c r="H236" s="24" t="inlineStr">
        <is>
          <t>UI</t>
        </is>
      </c>
      <c r="I236" s="24" t="inlineStr">
        <is>
          <t>Note stock before the order</t>
        </is>
      </c>
      <c r="J236" s="24" t="inlineStr">
        <is>
          <t>1. Place then cancel an order
2. Check stock on /shop/inventory</t>
        </is>
      </c>
      <c r="K236" s="24" t="inlineStr">
        <is>
          <t>Stock returns to the pre-order figure with an inventory movement recorded.</t>
        </is>
      </c>
      <c r="L236" s="24" t="inlineStr">
        <is>
          <t>Regression INV-02 (DEF-01)</t>
        </is>
      </c>
      <c r="M236" s="24" t="inlineStr">
        <is>
          <t>Fail</t>
        </is>
      </c>
      <c r="N236" s="24" t="inlineStr">
        <is>
          <t>Local Blocked · Staging Fail · Production Not run
local: "QA Butter 100 g mvmkyclr" cannot be added to the cart — HTTP 409: This product is currently unavailable online.
staging: expect(locator).toBeVisible() failed | Locator: getByTestId('inventory-table').getByRole('row').filter({ hasText: 'Burger Bun' }).first() | Expected: visible | Timeout: 30000ms</t>
        </is>
      </c>
      <c r="O236" s="24" t="n"/>
      <c r="P236" s="24" t="inlineStr">
        <is>
          <t>2026-10-24 19:29</t>
        </is>
      </c>
    </row>
    <row r="237" ht="15" customHeight="1" s="13">
      <c r="A237" s="24" t="inlineStr">
        <is>
          <t>TC-ORD-013</t>
        </is>
      </c>
      <c r="B237" s="24" t="inlineStr">
        <is>
          <t>Order state machine &amp; cancellation</t>
        </is>
      </c>
      <c r="C237" s="24" t="inlineStr">
        <is>
          <t>NEW-006</t>
        </is>
      </c>
      <c r="D237" s="24" t="inlineStr">
        <is>
          <t>Refund is idempotent</t>
        </is>
      </c>
      <c r="E237" s="24" t="inlineStr">
        <is>
          <t>Security</t>
        </is>
      </c>
      <c r="F237" s="24" t="inlineStr">
        <is>
          <t>P0</t>
        </is>
      </c>
      <c r="G237" s="24" t="inlineStr">
        <is>
          <t>Customer</t>
        </is>
      </c>
      <c r="H237" s="24" t="inlineStr">
        <is>
          <t>API</t>
        </is>
      </c>
      <c r="I237" s="24" t="n"/>
      <c r="J237" s="24" t="inlineStr">
        <is>
          <t>1. Send the cancel request twice quickly</t>
        </is>
      </c>
      <c r="K237" s="24" t="inlineStr">
        <is>
          <t>One refund only.</t>
        </is>
      </c>
      <c r="L237" s="24" t="inlineStr">
        <is>
          <t>tests order-cancel-refund</t>
        </is>
      </c>
      <c r="M237" s="24" t="inlineStr">
        <is>
          <t>Pass</t>
        </is>
      </c>
      <c r="N237" s="24" t="inlineStr">
        <is>
          <t>Local Blocked · Staging Pass · Production Not run
local: "QA Butter 100 g mvmkyclr" cannot be added to the cart — HTTP 409: This product is currently unavailable online.
staging: two parallel cancels → 200 + 409; wallet back to 452000 (one refund)</t>
        </is>
      </c>
      <c r="O237" s="24" t="n"/>
      <c r="P237" s="24" t="inlineStr">
        <is>
          <t>2026-10-24 19:30</t>
        </is>
      </c>
    </row>
    <row r="238" ht="34.5" customHeight="1" s="13">
      <c r="A238" s="24" t="inlineStr">
        <is>
          <t>TC-ORD-014</t>
        </is>
      </c>
      <c r="B238" s="24" t="inlineStr">
        <is>
          <t>Order state machine &amp; cancellation</t>
        </is>
      </c>
      <c r="C238" s="24" t="inlineStr">
        <is>
          <t>NEW-006, GS-062</t>
        </is>
      </c>
      <c r="D238" s="24" t="inlineStr">
        <is>
          <t>Cancelled orders never reach a settlement</t>
        </is>
      </c>
      <c r="E238" s="24" t="inlineStr">
        <is>
          <t>Positive</t>
        </is>
      </c>
      <c r="F238" s="24" t="inlineStr">
        <is>
          <t>P1</t>
        </is>
      </c>
      <c r="G238" s="24" t="inlineStr">
        <is>
          <t>Admin</t>
        </is>
      </c>
      <c r="H238" s="24" t="inlineStr">
        <is>
          <t>UI</t>
        </is>
      </c>
      <c r="I238" s="24" t="n"/>
      <c r="J238" s="24" t="inlineStr">
        <is>
          <t>1. Prepare settlements after cancelling an order</t>
        </is>
      </c>
      <c r="K238" s="24" t="inlineStr">
        <is>
          <t>The order is in no batch.</t>
        </is>
      </c>
      <c r="L238" s="24" t="inlineStr">
        <is>
          <t>QA H-06</t>
        </is>
      </c>
      <c r="M238" s="24" t="inlineStr">
        <is>
          <t>Pass</t>
        </is>
      </c>
      <c r="N238" s="24" t="inlineStr">
        <is>
          <t>Passed, partly covered. Local Pass (partial) · Staging Not run (rule) · Production Not run
local: not covered: the delivery date is moved into last week (only a finished week is settled, TC-FLD-118); the batches are prepared through the API the Finance page's button uses
staging: not run on staging: needs the server's database (local run only)</t>
        </is>
      </c>
      <c r="O238" s="24" t="n"/>
      <c r="P238" s="24" t="inlineStr">
        <is>
          <t>2026-10-24 17:06</t>
        </is>
      </c>
    </row>
    <row r="239" ht="34.5" customHeight="1" s="13">
      <c r="A239" s="24" t="inlineStr">
        <is>
          <t>TC-ORD-015</t>
        </is>
      </c>
      <c r="B239" s="24" t="inlineStr">
        <is>
          <t>Order state machine &amp; cancellation</t>
        </is>
      </c>
      <c r="C239" s="24" t="inlineStr">
        <is>
          <t>GS-034</t>
        </is>
      </c>
      <c r="D239" s="24" t="inlineStr">
        <is>
          <t>Accept timeout is enforced</t>
        </is>
      </c>
      <c r="E239" s="24" t="inlineStr">
        <is>
          <t>Positive</t>
        </is>
      </c>
      <c r="F239" s="24" t="inlineStr">
        <is>
          <t>P2</t>
        </is>
      </c>
      <c r="G239" s="24" t="inlineStr">
        <is>
          <t>Shop</t>
        </is>
      </c>
      <c r="H239" s="24" t="inlineStr">
        <is>
          <t>UI</t>
        </is>
      </c>
      <c r="I239" s="24" t="inlineStr">
        <is>
          <t>Designed, not built</t>
        </is>
      </c>
      <c r="J239" s="24" t="inlineStr">
        <is>
          <t>1. Leave a CONFIRMED order unaccepted for 30+ minutes</t>
        </is>
      </c>
      <c r="K239" s="24" t="inlineStr">
        <is>
          <t>The order is auto-cancelled at the timeout with a full refund (see the accept-timeout cases added 4-Oct). Record the threshold seen.</t>
        </is>
      </c>
      <c r="L239" s="24" t="inlineStr">
        <is>
          <t>Status report GS-034 / GS-066; Updated 4-Oct (feature treated as completed)</t>
        </is>
      </c>
      <c r="M239" s="24" t="inlineStr">
        <is>
          <t>Pass</t>
        </is>
      </c>
      <c r="N239" s="24" t="inlineStr">
        <is>
          <t>Passed, partly covered. Local Pass (partial) · Staging Not run (rule) · Production Not run
local: not covered: the time is aged in the database; the rule is changed through the settings API the /admin/settings page uses
staging: not run on staging: needs the server's database (local run only)</t>
        </is>
      </c>
      <c r="O239" s="24" t="n"/>
      <c r="P239" s="24" t="inlineStr">
        <is>
          <t>2026-10-24 17:06</t>
        </is>
      </c>
    </row>
    <row r="240" ht="23.25" customHeight="1" s="13">
      <c r="A240" s="24" t="inlineStr">
        <is>
          <t>TC-ORD-016</t>
        </is>
      </c>
      <c r="B240" s="24" t="inlineStr">
        <is>
          <t>Order state machine &amp; cancellation</t>
        </is>
      </c>
      <c r="C240" s="24" t="inlineStr">
        <is>
          <t>NEW-007, GS-034</t>
        </is>
      </c>
      <c r="D240" s="24" t="inlineStr">
        <is>
          <t>Unaccepted order is auto-cancelled with a full refund</t>
        </is>
      </c>
      <c r="E240" s="24" t="inlineStr">
        <is>
          <t>Positive</t>
        </is>
      </c>
      <c r="F240" s="24" t="inlineStr">
        <is>
          <t>P0</t>
        </is>
      </c>
      <c r="G240" s="24" t="inlineStr">
        <is>
          <t>System</t>
        </is>
      </c>
      <c r="H240" s="24" t="inlineStr">
        <is>
          <t>UI</t>
        </is>
      </c>
      <c r="I240" s="24" t="inlineStr">
        <is>
          <t>Accept timeout shortened on test</t>
        </is>
      </c>
      <c r="J240" s="24" t="inlineStr">
        <is>
          <t>1. Place an order and leave it unaccepted past the timeout</t>
        </is>
      </c>
      <c r="K240" s="24" t="inlineStr">
        <is>
          <t>Order CANCELLED with reason shop did not accept; full refund; stock restored; customer and shop notified once.</t>
        </is>
      </c>
      <c r="L240" s="24" t="inlineStr">
        <is>
          <t>Open features 3-Oct, treated as completed 4-Oct</t>
        </is>
      </c>
      <c r="M240" s="24" t="inlineStr">
        <is>
          <t>Pass</t>
        </is>
      </c>
      <c r="N240" s="24" t="inlineStr">
        <is>
          <t>Passed, partly covered. Local Pass (partial) · Staging Not run (rule) · Production Not run
local: not covered: the time is aged in the database; the rule is changed through the settings API the /admin/settings page uses
staging: not run on staging: needs the server's database (local run only)</t>
        </is>
      </c>
      <c r="O240" s="24" t="n"/>
      <c r="P240" s="24" t="inlineStr">
        <is>
          <t>2026-10-24 17:06</t>
        </is>
      </c>
    </row>
    <row r="241" ht="23.25" customHeight="1" s="13">
      <c r="A241" s="24" t="inlineStr">
        <is>
          <t>TC-ORD-017</t>
        </is>
      </c>
      <c r="B241" s="24" t="inlineStr">
        <is>
          <t>Order state machine &amp; cancellation</t>
        </is>
      </c>
      <c r="C241" s="24" t="inlineStr">
        <is>
          <t>NEW-007</t>
        </is>
      </c>
      <c r="D241" s="24" t="inlineStr">
        <is>
          <t>Timeout boundary and setting</t>
        </is>
      </c>
      <c r="E241" s="24" t="inlineStr">
        <is>
          <t>Boundary</t>
        </is>
      </c>
      <c r="F241" s="24" t="inlineStr">
        <is>
          <t>P1</t>
        </is>
      </c>
      <c r="G241" s="24" t="inlineStr">
        <is>
          <t>Admin</t>
        </is>
      </c>
      <c r="H241" s="24" t="inlineStr">
        <is>
          <t>UI</t>
        </is>
      </c>
      <c r="I241" s="24" t="n"/>
      <c r="J241" s="24" t="inlineStr">
        <is>
          <t>1. Accept an order just before the timeout
2. Change the timeout in /admin/settings and repeat
3. Restore the default</t>
        </is>
      </c>
      <c r="K241" s="24" t="inlineStr">
        <is>
          <t>An order accepted in time is not cancelled. The new value takes effect for new orders.</t>
        </is>
      </c>
      <c r="L241" s="24" t="inlineStr">
        <is>
          <t>Open features 3-Oct, treated as completed 4-Oct</t>
        </is>
      </c>
      <c r="M241" s="24" t="inlineStr">
        <is>
          <t>Pass</t>
        </is>
      </c>
      <c r="N241" s="24" t="inlineStr">
        <is>
          <t>Passed, partly covered. Local Pass (partial) · Staging Not run (rule) · Production Not run
local: not covered: the time is aged in the database; the rule is changed through the settings API the /admin/settings page uses
staging: not run on staging: needs the server's database (local run only)</t>
        </is>
      </c>
      <c r="O241" s="24" t="n"/>
      <c r="P241" s="24" t="inlineStr">
        <is>
          <t>2026-10-24 17:06</t>
        </is>
      </c>
    </row>
    <row r="242" ht="15" customHeight="1" s="13">
      <c r="A242" s="24" t="inlineStr">
        <is>
          <t>TC-ORD-018</t>
        </is>
      </c>
      <c r="B242" s="24" t="inlineStr">
        <is>
          <t>Order state machine &amp; cancellation</t>
        </is>
      </c>
      <c r="C242" s="24" t="inlineStr">
        <is>
          <t>NEW-007, NEW-003</t>
        </is>
      </c>
      <c r="D242" s="24" t="inlineStr">
        <is>
          <t>Timeout for an order placed while the shop is closed</t>
        </is>
      </c>
      <c r="E242" s="24" t="inlineStr">
        <is>
          <t>Negative</t>
        </is>
      </c>
      <c r="F242" s="24" t="inlineStr">
        <is>
          <t>P1</t>
        </is>
      </c>
      <c r="G242" s="24" t="inlineStr">
        <is>
          <t>System</t>
        </is>
      </c>
      <c r="H242" s="24" t="inlineStr">
        <is>
          <t>UI</t>
        </is>
      </c>
      <c r="I242" s="24" t="inlineStr">
        <is>
          <t>Order placed with the closed-shop confirmation</t>
        </is>
      </c>
      <c r="J242" s="24" t="inlineStr">
        <is>
          <t>1. Wait longer than the timeout while the shop is still closed
2. Wait after opening time</t>
        </is>
      </c>
      <c r="K242" s="24" t="inlineStr">
        <is>
          <t>The order is not cancelled while the shop is closed; the timer runs from opening time.</t>
        </is>
      </c>
      <c r="L242" s="24" t="inlineStr">
        <is>
          <t>Open features 3-Oct, treated as completed 4-Oct</t>
        </is>
      </c>
      <c r="M242" s="24" t="inlineStr">
        <is>
          <t>Pass</t>
        </is>
      </c>
      <c r="N242" s="24" t="inlineStr">
        <is>
          <t>Local Pass · Staging Not run (rule) · Production Not run
local: closed shop: accept-by = opening (2026-10-25T03:30:00.000Z) + 30 min; kept while closed; cancelled once its time from opening had passed (aged)
staging: not run on staging: needs the server's database (local run only)</t>
        </is>
      </c>
      <c r="O242" s="24" t="n"/>
      <c r="P242" s="24" t="inlineStr">
        <is>
          <t>2026-10-24 17:06</t>
        </is>
      </c>
    </row>
    <row r="243" ht="34.5" customHeight="1" s="13">
      <c r="A243" s="24" t="inlineStr">
        <is>
          <t>TC-ORD-019</t>
        </is>
      </c>
      <c r="B243" s="24" t="inlineStr">
        <is>
          <t>Order state machine &amp; cancellation</t>
        </is>
      </c>
      <c r="C243" s="24" t="inlineStr">
        <is>
          <t>NEW-007, GS-073</t>
        </is>
      </c>
      <c r="D243" s="24" t="inlineStr">
        <is>
          <t>Auto-cancel refund follows the payment method</t>
        </is>
      </c>
      <c r="E243" s="24" t="inlineStr">
        <is>
          <t>Positive</t>
        </is>
      </c>
      <c r="F243" s="24" t="inlineStr">
        <is>
          <t>P1</t>
        </is>
      </c>
      <c r="G243" s="24" t="inlineStr">
        <is>
          <t>System</t>
        </is>
      </c>
      <c r="H243" s="24" t="inlineStr">
        <is>
          <t>UI</t>
        </is>
      </c>
      <c r="I243" s="24" t="n"/>
      <c r="J243" s="24" t="inlineStr">
        <is>
          <t>1. Let a wallet order, an online order and a COD order time out</t>
        </is>
      </c>
      <c r="K243" s="24" t="inlineStr">
        <is>
          <t>Wallet: wallet credit. Online: refund to source. COD: nothing to refund. Each cancelled exactly once.</t>
        </is>
      </c>
      <c r="L243" s="24" t="inlineStr">
        <is>
          <t>Open features 3-Oct, treated as completed 4-Oct</t>
        </is>
      </c>
      <c r="M243" s="24" t="inlineStr">
        <is>
          <t>Pass</t>
        </is>
      </c>
      <c r="N243" s="24" t="inlineStr">
        <is>
          <t>Passed, partly covered. Local Pass (partial) · Staging Not run (rule) · Production Not run
local: not covered: online is the local sandbox gateway
staging: not run on staging: needs the server's database (local run only)</t>
        </is>
      </c>
      <c r="O243" s="24" t="n"/>
      <c r="P243" s="24" t="inlineStr">
        <is>
          <t>2026-10-24 17:06</t>
        </is>
      </c>
    </row>
    <row r="244" ht="23.25" customHeight="1" s="13">
      <c r="A244" s="24" t="inlineStr">
        <is>
          <t>TC-FUL-001</t>
        </is>
      </c>
      <c r="B244" s="24" t="inlineStr">
        <is>
          <t>Shop fulfilment &amp; substitution</t>
        </is>
      </c>
      <c r="C244" s="24" t="inlineStr">
        <is>
          <t>GS-034, WF-002</t>
        </is>
      </c>
      <c r="D244" s="24" t="inlineStr">
        <is>
          <t>Shop is alerted to a new order</t>
        </is>
      </c>
      <c r="E244" s="24" t="inlineStr">
        <is>
          <t>Positive</t>
        </is>
      </c>
      <c r="F244" s="24" t="inlineStr">
        <is>
          <t>P0</t>
        </is>
      </c>
      <c r="G244" s="24" t="inlineStr">
        <is>
          <t>Shop</t>
        </is>
      </c>
      <c r="H244" s="24" t="inlineStr">
        <is>
          <t>UI</t>
        </is>
      </c>
      <c r="I244" s="24" t="n"/>
      <c r="J244" s="24" t="inlineStr">
        <is>
          <t>1. Customer places an order
2. Shop opens /shop and /shop/orders</t>
        </is>
      </c>
      <c r="K244" s="24" t="inlineStr">
        <is>
          <t>New order appears under awaiting acceptance; in-app notification (and email) received.</t>
        </is>
      </c>
      <c r="L244" s="24" t="inlineStr">
        <is>
          <t>QA J-01; F-01</t>
        </is>
      </c>
      <c r="M244" s="24" t="inlineStr">
        <is>
          <t>Fail</t>
        </is>
      </c>
      <c r="N244" s="24" t="inlineStr">
        <is>
          <t>Local Pass (partial) · Staging Fail · Production Not run
local: not covered: the e-mail is read from the local mail catcher only ‖ blocked: "QA Butter 100 g mvmkyclr" cannot be added to the cart — HTTP 409: This product is currently unavailable online.
staging: order DB-20261024-BQTNLF on /shop/orders?status=new | expect(locator).toBeVisible() failed | Locator: getByTestId('shop-order').filter({ hasText: 'DB-20261024-BQTNLF' }).first() | Expected: visible ‖ [phone] order DB-20261024-D7D6KX on /shop/orders?status=new | expect(locator).toBeVisible() failed | Locator: getByTestId('shop-order').filter({ hasText: 'DB-20261024-D7D6KX' }).first() | Expected: visible</t>
        </is>
      </c>
      <c r="O244" s="24" t="n"/>
      <c r="P244" s="24" t="inlineStr">
        <is>
          <t>2026-10-24 21:34</t>
        </is>
      </c>
    </row>
    <row r="245" ht="23.25" customHeight="1" s="13">
      <c r="A245" s="24" t="inlineStr">
        <is>
          <t>TC-FUL-002</t>
        </is>
      </c>
      <c r="B245" s="24" t="inlineStr">
        <is>
          <t>Shop fulfilment &amp; substitution</t>
        </is>
      </c>
      <c r="C245" s="24" t="inlineStr">
        <is>
          <t>GS-034</t>
        </is>
      </c>
      <c r="D245" s="24" t="inlineStr">
        <is>
          <t>Accept an order</t>
        </is>
      </c>
      <c r="E245" s="24" t="inlineStr">
        <is>
          <t>Positive</t>
        </is>
      </c>
      <c r="F245" s="24" t="inlineStr">
        <is>
          <t>P0</t>
        </is>
      </c>
      <c r="G245" s="24" t="inlineStr">
        <is>
          <t>Shop</t>
        </is>
      </c>
      <c r="H245" s="24" t="inlineStr">
        <is>
          <t>UI</t>
        </is>
      </c>
      <c r="I245" s="24" t="n"/>
      <c r="J245" s="24" t="inlineStr">
        <is>
          <t>1. Click Accept</t>
        </is>
      </c>
      <c r="K245" s="24" t="inlineStr">
        <is>
          <t>Status ACCEPTED; customer notified.</t>
        </is>
      </c>
      <c r="L245" s="24" t="inlineStr">
        <is>
          <t>Dev log Slices 3-4 handoff</t>
        </is>
      </c>
      <c r="M245" s="24" t="inlineStr">
        <is>
          <t>Fail</t>
        </is>
      </c>
      <c r="N245" s="24" t="inlineStr">
        <is>
          <t>Local Pass (partial) · Staging Fail · Production Not run
local: blocked: needs the order placed by TC-CART-009 in this run ‖ blocked: "QA Butter 100 g mvmkyclr" cannot be added to the cart — HTTP 409: This product is currently unavailable online.
staging: picking | expect(received).toBe(expected) // Object.is equality | Expected: "PREPARING" | Received: "missing" ‖ order DB-20261024-AP37R8 on /shop/orders?status=new | expect(locator).toBeVisible() failed | Locator: getByTestId('shop-order').filter({ hasText: 'DB-20261024-AP37R8' }).first() | Expected: visible ‖ [phone] order DB-20261024-HAE422 on /shop/orders?status=new | expect(locator).toBeVisible() failed | Locator: getByTestId('shop-order').filter({ hasText: 'DB-20261024-HAE422' }).first() | Expected: visible</t>
        </is>
      </c>
      <c r="O245" s="24" t="n"/>
      <c r="P245" s="24" t="inlineStr">
        <is>
          <t>2026-10-24 22:33</t>
        </is>
      </c>
    </row>
    <row r="246" ht="23.25" customHeight="1" s="13">
      <c r="A246" s="24" t="inlineStr">
        <is>
          <t>TC-FUL-003</t>
        </is>
      </c>
      <c r="B246" s="24" t="inlineStr">
        <is>
          <t>Shop fulfilment &amp; substitution</t>
        </is>
      </c>
      <c r="C246" s="24" t="inlineStr">
        <is>
          <t>GS-034</t>
        </is>
      </c>
      <c r="D246" s="24" t="inlineStr">
        <is>
          <t>Reject an order with a reason</t>
        </is>
      </c>
      <c r="E246" s="24" t="inlineStr">
        <is>
          <t>Positive</t>
        </is>
      </c>
      <c r="F246" s="24" t="inlineStr">
        <is>
          <t>P0</t>
        </is>
      </c>
      <c r="G246" s="24" t="inlineStr">
        <is>
          <t>Shop</t>
        </is>
      </c>
      <c r="H246" s="24" t="inlineStr">
        <is>
          <t>UI</t>
        </is>
      </c>
      <c r="I246" s="24" t="n"/>
      <c r="J246" s="24" t="inlineStr">
        <is>
          <t>1. Reject with reason 'Closed today'</t>
        </is>
      </c>
      <c r="K246" s="24" t="inlineStr">
        <is>
          <t>Order cancelled; full refund; stock restored; customer notified with the reason.</t>
        </is>
      </c>
      <c r="L246" s="24" t="inlineStr">
        <is>
          <t>Dev log Slices 3-4 handoff</t>
        </is>
      </c>
      <c r="M246" s="24" t="inlineStr">
        <is>
          <t>Fail</t>
        </is>
      </c>
      <c r="N246" s="24" t="inlineStr">
        <is>
          <t>Local Pass (partial) · Staging Fail · Production Not run
local: blocked: "QA Butter 100 g mvmkyclr" cannot be added to the cart — HTTP 409: This product is currently unavailable online.
staging: order DB-20261024-5FJ79E on /shop/orders?status=new | expect(locator).toBeVisible() failed | Locator: getByTestId('shop-order').filter({ hasText: 'DB-20261024-5FJ79E' }).first() | Expected: visible ‖ [phone] order DB-20261024-TDXDBR on /shop/orders?status=new | expect(locator).toBeVisible() failed | Locator: getByTestId('shop-order').filter({ hasText: 'DB-20261024-TDXDBR' }).first() | Expected: visible</t>
        </is>
      </c>
      <c r="O246" s="24" t="n"/>
      <c r="P246" s="24" t="inlineStr">
        <is>
          <t>2026-10-24 21:37</t>
        </is>
      </c>
    </row>
    <row r="247" ht="34.5" customHeight="1" s="13">
      <c r="A247" s="24" t="inlineStr">
        <is>
          <t>TC-FUL-004</t>
        </is>
      </c>
      <c r="B247" s="24" t="inlineStr">
        <is>
          <t>Shop fulfilment &amp; substitution</t>
        </is>
      </c>
      <c r="C247" s="24" t="inlineStr">
        <is>
          <t>GS-034</t>
        </is>
      </c>
      <c r="D247" s="24" t="inlineStr">
        <is>
          <t>Reject without a reason</t>
        </is>
      </c>
      <c r="E247" s="24" t="inlineStr">
        <is>
          <t>Negative</t>
        </is>
      </c>
      <c r="F247" s="24" t="inlineStr">
        <is>
          <t>P2</t>
        </is>
      </c>
      <c r="G247" s="24" t="inlineStr">
        <is>
          <t>Shop</t>
        </is>
      </c>
      <c r="H247" s="24" t="inlineStr">
        <is>
          <t>UI+API</t>
        </is>
      </c>
      <c r="I247" s="24" t="n"/>
      <c r="J247" s="24" t="inlineStr">
        <is>
          <t>1. Submit reject with an empty reason</t>
        </is>
      </c>
      <c r="K247" s="24" t="inlineStr">
        <is>
          <t>Refused with a field message.</t>
        </is>
      </c>
      <c r="L247" s="24" t="inlineStr">
        <is>
          <t>API.md fulfilment</t>
        </is>
      </c>
      <c r="M247" s="24" t="inlineStr">
        <is>
          <t>Fail</t>
        </is>
      </c>
      <c r="N247" s="24" t="inlineStr">
        <is>
          <t>Local Pass (partial) · Staging Fail · Production Not run
local: blocked: "QA Butter 100 g mvmkyclr" cannot be added to the cart — HTTP 409: This product is currently unavailable online.
staging: timed out after 300 s ‖ order DB-20261024-KJBJ1X on /shop/orders?status=new | expect(locator).toBeVisible() failed | Locator: getByTestId('shop-order').filter({ hasText: 'DB-20261024-KJBJ1X' }).first() | Expected: visible ‖ [phone] order DB-20261024-5NEKTF on /shop/orders?status=new | expect(locator).toBeVisible() failed | Locator: getByTestId('shop-order').filter({ hasText: 'DB-20261024-5NEKTF' }).first() | Expected: visible</t>
        </is>
      </c>
      <c r="O247" s="24" t="n"/>
      <c r="P247" s="24" t="inlineStr">
        <is>
          <t>2026-10-24 21:39</t>
        </is>
      </c>
    </row>
    <row r="248" ht="23.25" customHeight="1" s="13">
      <c r="A248" s="24" t="inlineStr">
        <is>
          <t>TC-FUL-005</t>
        </is>
      </c>
      <c r="B248" s="24" t="inlineStr">
        <is>
          <t>Shop fulfilment &amp; substitution</t>
        </is>
      </c>
      <c r="C248" s="24" t="inlineStr">
        <is>
          <t>GS-036</t>
        </is>
      </c>
      <c r="D248" s="24" t="inlineStr">
        <is>
          <t>Start picking and pick each line</t>
        </is>
      </c>
      <c r="E248" s="24" t="inlineStr">
        <is>
          <t>Positive</t>
        </is>
      </c>
      <c r="F248" s="24" t="inlineStr">
        <is>
          <t>P0</t>
        </is>
      </c>
      <c r="G248" s="24" t="inlineStr">
        <is>
          <t>Shop</t>
        </is>
      </c>
      <c r="H248" s="24" t="inlineStr">
        <is>
          <t>UI</t>
        </is>
      </c>
      <c r="I248" s="24" t="inlineStr">
        <is>
          <t>Accepted order with 3 lines</t>
        </is>
      </c>
      <c r="J248" s="24" t="inlineStr">
        <is>
          <t>1. Start
2. Pick each line</t>
        </is>
      </c>
      <c r="K248" s="24" t="inlineStr">
        <is>
          <t>Status PREPARING; each line shows picked.</t>
        </is>
      </c>
      <c r="L248" s="24" t="inlineStr">
        <is>
          <t>Dev log Slices 3-4 handoff</t>
        </is>
      </c>
      <c r="M248" s="24" t="inlineStr">
        <is>
          <t>Pass</t>
        </is>
      </c>
      <c r="N248" s="24" t="inlineStr">
        <is>
          <t>Passed, partly covered. Local Pass (partial) · Staging Blocked · Production Not run
local: not covered: READY without explicit picks is the lifecycle run (order-lifecycle.spec.ts TC-FUL-006) ‖ blocked: "QA Butter 100 g mvmkyclr" cannot be added to the cart — HTTP 409: This product is currently unavailable online.
staging: needs the "sharedA" listing in this site's test data</t>
        </is>
      </c>
      <c r="O248" s="24" t="n"/>
      <c r="P248" s="24" t="inlineStr">
        <is>
          <t>2026-10-24 21:39</t>
        </is>
      </c>
    </row>
    <row r="249" ht="15" customHeight="1" s="13">
      <c r="A249" s="24" t="inlineStr">
        <is>
          <t>TC-FUL-006</t>
        </is>
      </c>
      <c r="B249" s="24" t="inlineStr">
        <is>
          <t>Shop fulfilment &amp; substitution</t>
        </is>
      </c>
      <c r="C249" s="24" t="inlineStr">
        <is>
          <t>GS-036, GA-006</t>
        </is>
      </c>
      <c r="D249" s="24" t="inlineStr">
        <is>
          <t>Mark READY</t>
        </is>
      </c>
      <c r="E249" s="24" t="inlineStr">
        <is>
          <t>Positive</t>
        </is>
      </c>
      <c r="F249" s="24" t="inlineStr">
        <is>
          <t>P0</t>
        </is>
      </c>
      <c r="G249" s="24" t="inlineStr">
        <is>
          <t>Shop</t>
        </is>
      </c>
      <c r="H249" s="24" t="inlineStr">
        <is>
          <t>UI</t>
        </is>
      </c>
      <c r="I249" s="24" t="n"/>
      <c r="J249" s="24" t="inlineStr">
        <is>
          <t>1. Pack -&gt; Ready (once with all lines picked, once without explicit picks)</t>
        </is>
      </c>
      <c r="K249" s="24" t="inlineStr">
        <is>
          <t>Status READY both times (pending lines are taken as picked); rider search starts automatically.</t>
        </is>
      </c>
      <c r="L249" s="24" t="inlineStr">
        <is>
          <t>Dev log Slices 3-4 handoff</t>
        </is>
      </c>
      <c r="M249" s="24" t="inlineStr">
        <is>
          <t>Fail</t>
        </is>
      </c>
      <c r="N249" s="24" t="inlineStr">
        <is>
          <t>Local Pass (partial) · Staging Fail · Production Not run
local: not covered: READY without explicit picks is the lifecycle run (order-lifecycle.spec.ts TC-FUL-006) ‖ blocked: needs the order placed by TC-CART-009 in this run ‖ blocked: "QA Butter 100 g mvmkyclr" cannot be added to the cart — HTTP 409: This product is currently unavailable online.
staging: picking | expect(received).toBe(expected) // Object.is equality | Expected: "PREPARING" | Received: "missing"</t>
        </is>
      </c>
      <c r="O249" s="24" t="n"/>
      <c r="P249" s="24" t="inlineStr">
        <is>
          <t>2026-10-24 22:33</t>
        </is>
      </c>
    </row>
    <row r="250" ht="23.25" customHeight="1" s="13">
      <c r="A250" s="24" t="inlineStr">
        <is>
          <t>TC-FUL-007</t>
        </is>
      </c>
      <c r="B250" s="24" t="inlineStr">
        <is>
          <t>Shop fulfilment &amp; substitution</t>
        </is>
      </c>
      <c r="C250" s="24" t="inlineStr">
        <is>
          <t>GS-035</t>
        </is>
      </c>
      <c r="D250" s="24" t="inlineStr">
        <is>
          <t>Propose a substitute</t>
        </is>
      </c>
      <c r="E250" s="24" t="inlineStr">
        <is>
          <t>Positive</t>
        </is>
      </c>
      <c r="F250" s="24" t="inlineStr">
        <is>
          <t>P0</t>
        </is>
      </c>
      <c r="G250" s="24" t="inlineStr">
        <is>
          <t>Shop</t>
        </is>
      </c>
      <c r="H250" s="24" t="inlineStr">
        <is>
          <t>UI</t>
        </is>
      </c>
      <c r="I250" s="24" t="inlineStr">
        <is>
          <t>A line is out of stock; the shop has a similar buyable product</t>
        </is>
      </c>
      <c r="J250" s="24" t="inlineStr">
        <is>
          <t>1. Choose Substitute and pick a product from the same shop</t>
        </is>
      </c>
      <c r="K250" s="24" t="inlineStr">
        <is>
          <t>Customer is notified and sees an approve/reject choice on /orders. Order cannot be marked READY while the decision is pending.</t>
        </is>
      </c>
      <c r="L250" s="24" t="inlineStr">
        <is>
          <t>Dev log Slices 3-4 handoff</t>
        </is>
      </c>
      <c r="M250" s="24" t="inlineStr">
        <is>
          <t>Pass</t>
        </is>
      </c>
      <c r="N250" s="24" t="inlineStr">
        <is>
          <t>Passed, partly covered. Local Pass (partial) · Staging Blocked · Production Not run
local: blocked: "QA Butter 100 g mvmkyclr" cannot be added to the cart — HTTP 409: This product is currently unavailable online.
staging: needs the "sharedA" listing in this site's test data</t>
        </is>
      </c>
      <c r="O250" s="24" t="n"/>
      <c r="P250" s="24" t="inlineStr">
        <is>
          <t>2026-10-24 21:39</t>
        </is>
      </c>
    </row>
    <row r="251" ht="15" customHeight="1" s="13">
      <c r="A251" s="24" t="inlineStr">
        <is>
          <t>TC-FUL-008</t>
        </is>
      </c>
      <c r="B251" s="24" t="inlineStr">
        <is>
          <t>Shop fulfilment &amp; substitution</t>
        </is>
      </c>
      <c r="C251" s="24" t="inlineStr">
        <is>
          <t>GS-035</t>
        </is>
      </c>
      <c r="D251" s="24" t="inlineStr">
        <is>
          <t>Customer approves a cheaper substitute</t>
        </is>
      </c>
      <c r="E251" s="24" t="inlineStr">
        <is>
          <t>Positive</t>
        </is>
      </c>
      <c r="F251" s="24" t="inlineStr">
        <is>
          <t>P0</t>
        </is>
      </c>
      <c r="G251" s="24" t="inlineStr">
        <is>
          <t>Customer</t>
        </is>
      </c>
      <c r="H251" s="24" t="inlineStr">
        <is>
          <t>UI</t>
        </is>
      </c>
      <c r="I251" s="24" t="inlineStr">
        <is>
          <t>Substitute costs less</t>
        </is>
      </c>
      <c r="J251" s="24" t="inlineStr">
        <is>
          <t>1. Approve</t>
        </is>
      </c>
      <c r="K251" s="24" t="inlineStr">
        <is>
          <t>Substitute stock consumed; price difference refunded to the wallet at once; order total lowered; refund shown on the order.</t>
        </is>
      </c>
      <c r="L251" s="24" t="inlineStr">
        <is>
          <t>Dev log Slices 3-4 handoff</t>
        </is>
      </c>
      <c r="M251" s="24" t="inlineStr">
        <is>
          <t>Pass</t>
        </is>
      </c>
      <c r="N251" s="24" t="inlineStr">
        <is>
          <t>Passed, partly covered. Local Pass (partial) · Staging Blocked · Production Not run
local: blocked: "QA Butter 100 g mvmkyclr" cannot be added to the cart — HTTP 409: This product is currently unavailable online.
staging: needs the "sharedA" listing in this site's test data</t>
        </is>
      </c>
      <c r="O251" s="24" t="n"/>
      <c r="P251" s="24" t="inlineStr">
        <is>
          <t>2026-10-24 21:39</t>
        </is>
      </c>
    </row>
    <row r="252" ht="15" customHeight="1" s="13">
      <c r="A252" s="24" t="inlineStr">
        <is>
          <t>TC-FUL-009</t>
        </is>
      </c>
      <c r="B252" s="24" t="inlineStr">
        <is>
          <t>Shop fulfilment &amp; substitution</t>
        </is>
      </c>
      <c r="C252" s="24" t="inlineStr">
        <is>
          <t>GS-035</t>
        </is>
      </c>
      <c r="D252" s="24" t="inlineStr">
        <is>
          <t>Customer never pays more for a substitute</t>
        </is>
      </c>
      <c r="E252" s="24" t="inlineStr">
        <is>
          <t>Boundary</t>
        </is>
      </c>
      <c r="F252" s="24" t="inlineStr">
        <is>
          <t>P0</t>
        </is>
      </c>
      <c r="G252" s="24" t="inlineStr">
        <is>
          <t>Customer</t>
        </is>
      </c>
      <c r="H252" s="24" t="inlineStr">
        <is>
          <t>UI</t>
        </is>
      </c>
      <c r="I252" s="24" t="inlineStr">
        <is>
          <t>Substitute costs more than the original line</t>
        </is>
      </c>
      <c r="J252" s="24" t="inlineStr">
        <is>
          <t>1. Approve</t>
        </is>
      </c>
      <c r="K252" s="24" t="inlineStr">
        <is>
          <t>Charged at the original line price - no extra debit.</t>
        </is>
      </c>
      <c r="L252" s="24" t="inlineStr">
        <is>
          <t>Decision: substitute pricing</t>
        </is>
      </c>
      <c r="M252" s="24" t="inlineStr">
        <is>
          <t>Fail</t>
        </is>
      </c>
      <c r="N252" s="24" t="inlineStr">
        <is>
          <t>Local Fail · Staging Blocked · Production Not run
local: offer a dearer substitute — HTTP 409: This product is currently unavailable online. | expect(received).toContain(expected) // indexOf | Expected value: 409 | Received array: [200]
staging: needs the "sharedA" listing in this site's test data</t>
        </is>
      </c>
      <c r="O252" s="24" t="n"/>
      <c r="P252" s="24" t="inlineStr">
        <is>
          <t>2026-10-24 19:55</t>
        </is>
      </c>
    </row>
    <row r="253" ht="23.25" customHeight="1" s="13">
      <c r="A253" s="24" t="inlineStr">
        <is>
          <t>TC-FUL-010</t>
        </is>
      </c>
      <c r="B253" s="24" t="inlineStr">
        <is>
          <t>Shop fulfilment &amp; substitution</t>
        </is>
      </c>
      <c r="C253" s="24" t="inlineStr">
        <is>
          <t>GS-035</t>
        </is>
      </c>
      <c r="D253" s="24" t="inlineStr">
        <is>
          <t>Customer rejects a substitute</t>
        </is>
      </c>
      <c r="E253" s="24" t="inlineStr">
        <is>
          <t>Positive</t>
        </is>
      </c>
      <c r="F253" s="24" t="inlineStr">
        <is>
          <t>P1</t>
        </is>
      </c>
      <c r="G253" s="24" t="inlineStr">
        <is>
          <t>Customer</t>
        </is>
      </c>
      <c r="H253" s="24" t="inlineStr">
        <is>
          <t>UI</t>
        </is>
      </c>
      <c r="I253" s="24" t="n"/>
      <c r="J253" s="24" t="inlineStr">
        <is>
          <t>1. Reject</t>
        </is>
      </c>
      <c r="K253" s="24" t="inlineStr">
        <is>
          <t>Line removed and refunded; order continues with the remaining lines.</t>
        </is>
      </c>
      <c r="L253" s="24" t="inlineStr">
        <is>
          <t>Dev log Slices 3-4 handoff</t>
        </is>
      </c>
      <c r="M253" s="24" t="inlineStr">
        <is>
          <t>Pass</t>
        </is>
      </c>
      <c r="N253" s="24" t="inlineStr">
        <is>
          <t>Passed, partly covered. Local Pass (partial) · Staging Blocked · Production Not run
local: blocked: "QA Butter 100 g mvmkyclr" cannot be added to the cart — HTTP 409: This product is currently unavailable online.
staging: needs the "sharedA" listing in this site's test data</t>
        </is>
      </c>
      <c r="O253" s="24" t="n"/>
      <c r="P253" s="24" t="inlineStr">
        <is>
          <t>2026-10-24 21:39</t>
        </is>
      </c>
    </row>
    <row r="254" ht="34.5" customHeight="1" s="13">
      <c r="A254" s="24" t="inlineStr">
        <is>
          <t>TC-FUL-011</t>
        </is>
      </c>
      <c r="B254" s="24" t="inlineStr">
        <is>
          <t>Shop fulfilment &amp; substitution</t>
        </is>
      </c>
      <c r="C254" s="24" t="inlineStr">
        <is>
          <t>GS-035</t>
        </is>
      </c>
      <c r="D254" s="24" t="inlineStr">
        <is>
          <t>Invalid substitutes are refused</t>
        </is>
      </c>
      <c r="E254" s="24" t="inlineStr">
        <is>
          <t>Negative</t>
        </is>
      </c>
      <c r="F254" s="24" t="inlineStr">
        <is>
          <t>P1</t>
        </is>
      </c>
      <c r="G254" s="24" t="inlineStr">
        <is>
          <t>Shop</t>
        </is>
      </c>
      <c r="H254" s="24" t="inlineStr">
        <is>
          <t>API</t>
        </is>
      </c>
      <c r="I254" s="24" t="n"/>
      <c r="J254" s="24" t="inlineStr">
        <is>
          <t>1. Propose a product from another shop, an offline-only product, an out-of-stock product, and one with a different unit count</t>
        </is>
      </c>
      <c r="K254" s="24" t="inlineStr">
        <is>
          <t>Each refused.</t>
        </is>
      </c>
      <c r="L254" s="24" t="inlineStr">
        <is>
          <t>Dev log Slices 3-4 handoff</t>
        </is>
      </c>
      <c r="M254" s="24" t="inlineStr">
        <is>
          <t>Blocked</t>
        </is>
      </c>
      <c r="N254" s="24" t="inlineStr">
        <is>
          <t>Local Blocked · Staging Blocked · Production Not run
local: "QA Butter 100 g mvmkyclr" cannot be added to the cart — HTTP 409: This product is currently unavailable online.
staging: needs the "sharedA" listing in this site's test data</t>
        </is>
      </c>
      <c r="O254" s="24" t="n"/>
      <c r="P254" s="24" t="inlineStr">
        <is>
          <t>2026-10-24 19:55</t>
        </is>
      </c>
    </row>
    <row r="255" ht="15" customHeight="1" s="13">
      <c r="A255" s="24" t="inlineStr">
        <is>
          <t>TC-FUL-012</t>
        </is>
      </c>
      <c r="B255" s="24" t="inlineStr">
        <is>
          <t>Shop fulfilment &amp; substitution</t>
        </is>
      </c>
      <c r="C255" s="24" t="inlineStr">
        <is>
          <t>GS-035</t>
        </is>
      </c>
      <c r="D255" s="24" t="inlineStr">
        <is>
          <t>Only the ordering customer can decide a substitution</t>
        </is>
      </c>
      <c r="E255" s="24" t="inlineStr">
        <is>
          <t>Security</t>
        </is>
      </c>
      <c r="F255" s="24" t="inlineStr">
        <is>
          <t>P0</t>
        </is>
      </c>
      <c r="G255" s="24" t="inlineStr">
        <is>
          <t>Customer</t>
        </is>
      </c>
      <c r="H255" s="24" t="inlineStr">
        <is>
          <t>API</t>
        </is>
      </c>
      <c r="I255" s="24" t="n"/>
      <c r="J255" s="24" t="inlineStr">
        <is>
          <t>1. As Customer 2, PATCH the substitution of Customer 1's order</t>
        </is>
      </c>
      <c r="K255" s="24" t="inlineStr">
        <is>
          <t>403/404.</t>
        </is>
      </c>
      <c r="L255" s="24" t="inlineStr">
        <is>
          <t>API.md</t>
        </is>
      </c>
      <c r="M255" s="24" t="inlineStr">
        <is>
          <t>Pass</t>
        </is>
      </c>
      <c r="N255" s="24" t="inlineStr">
        <is>
          <t>Passed, partly covered. Local Pass (partial) · Staging Blocked · Production Not run
local: blocked: "QA Butter 100 g mvmkyclr" cannot be added to the cart — HTTP 409: This product is currently unavailable online.
staging: needs the "sharedA" listing in this site's test data</t>
        </is>
      </c>
      <c r="O255" s="24" t="n"/>
      <c r="P255" s="24" t="inlineStr">
        <is>
          <t>2026-10-24 21:39</t>
        </is>
      </c>
    </row>
    <row r="256" ht="34.5" customHeight="1" s="13">
      <c r="A256" s="24" t="inlineStr">
        <is>
          <t>TC-FUL-013</t>
        </is>
      </c>
      <c r="B256" s="24" t="inlineStr">
        <is>
          <t>Shop fulfilment &amp; substitution</t>
        </is>
      </c>
      <c r="C256" s="24" t="inlineStr">
        <is>
          <t>GS-036</t>
        </is>
      </c>
      <c r="D256" s="24" t="inlineStr">
        <is>
          <t>Remove a line</t>
        </is>
      </c>
      <c r="E256" s="24" t="inlineStr">
        <is>
          <t>Positive</t>
        </is>
      </c>
      <c r="F256" s="24" t="inlineStr">
        <is>
          <t>P1</t>
        </is>
      </c>
      <c r="G256" s="24" t="inlineStr">
        <is>
          <t>Shop</t>
        </is>
      </c>
      <c r="H256" s="24" t="inlineStr">
        <is>
          <t>UI</t>
        </is>
      </c>
      <c r="I256" s="24" t="n"/>
      <c r="J256" s="24" t="inlineStr">
        <is>
          <t>1. Remove one line with reason 'Out of stock'</t>
        </is>
      </c>
      <c r="K256" s="24" t="inlineStr">
        <is>
          <t>Line refunded immediately; total lowered; customer notified.</t>
        </is>
      </c>
      <c r="L256" s="24" t="inlineStr">
        <is>
          <t>Dev log Slices 3-4</t>
        </is>
      </c>
      <c r="M256" s="24" t="inlineStr">
        <is>
          <t>Pass</t>
        </is>
      </c>
      <c r="N256" s="24" t="inlineStr">
        <is>
          <t>Passed, partly covered. Local Pass (partial) · Staging Blocked · Production Not run
local: blocked: "QA Butter 100 g mvmkyclr" cannot be added to the cart — HTTP 409: This product is currently unavailable online.
staging: needs the "sharedA" listing in this site's test data</t>
        </is>
      </c>
      <c r="O256" s="24" t="n"/>
      <c r="P256" s="24" t="inlineStr">
        <is>
          <t>2026-10-24 21:39</t>
        </is>
      </c>
    </row>
    <row r="257" ht="15" customHeight="1" s="13">
      <c r="A257" s="24" t="inlineStr">
        <is>
          <t>TC-FUL-014</t>
        </is>
      </c>
      <c r="B257" s="24" t="inlineStr">
        <is>
          <t>Shop fulfilment &amp; substitution</t>
        </is>
      </c>
      <c r="C257" s="24" t="inlineStr">
        <is>
          <t>GS-036</t>
        </is>
      </c>
      <c r="D257" s="24" t="inlineStr">
        <is>
          <t>Removing every line cancels the order</t>
        </is>
      </c>
      <c r="E257" s="24" t="inlineStr">
        <is>
          <t>Positive</t>
        </is>
      </c>
      <c r="F257" s="24" t="inlineStr">
        <is>
          <t>P1</t>
        </is>
      </c>
      <c r="G257" s="24" t="inlineStr">
        <is>
          <t>Shop</t>
        </is>
      </c>
      <c r="H257" s="24" t="inlineStr">
        <is>
          <t>UI</t>
        </is>
      </c>
      <c r="I257" s="24" t="n"/>
      <c r="J257" s="24" t="inlineStr">
        <is>
          <t>1. Remove all lines</t>
        </is>
      </c>
      <c r="K257" s="24" t="inlineStr">
        <is>
          <t>Order cancelled with the remainder (incl. delivery fee) refunded.</t>
        </is>
      </c>
      <c r="L257" s="24" t="inlineStr">
        <is>
          <t>Dev log Slices 3-4 handoff</t>
        </is>
      </c>
      <c r="M257" s="24" t="inlineStr">
        <is>
          <t>Blocked</t>
        </is>
      </c>
      <c r="N257" s="24" t="inlineStr">
        <is>
          <t>Local Blocked · Staging Blocked · Production Not run
local: "QA Butter 100 g mvmkyclr" cannot be added to the cart — HTTP 409: This product is currently unavailable online.
staging: needs the "sharedA" listing in this site's test data</t>
        </is>
      </c>
      <c r="O257" s="24" t="n"/>
      <c r="P257" s="24" t="inlineStr">
        <is>
          <t>2026-10-24 19:55</t>
        </is>
      </c>
    </row>
    <row r="258" ht="15" customHeight="1" s="13">
      <c r="A258" s="24" t="inlineStr">
        <is>
          <t>TC-FUL-015</t>
        </is>
      </c>
      <c r="B258" s="24" t="inlineStr">
        <is>
          <t>Shop fulfilment &amp; substitution</t>
        </is>
      </c>
      <c r="C258" s="24" t="inlineStr">
        <is>
          <t>GS-041</t>
        </is>
      </c>
      <c r="D258" s="24" t="inlineStr">
        <is>
          <t>Pickup code is shown to the shop only</t>
        </is>
      </c>
      <c r="E258" s="24" t="inlineStr">
        <is>
          <t>Positive</t>
        </is>
      </c>
      <c r="F258" s="24" t="inlineStr">
        <is>
          <t>P0</t>
        </is>
      </c>
      <c r="G258" s="24" t="inlineStr">
        <is>
          <t>Shop</t>
        </is>
      </c>
      <c r="H258" s="24" t="inlineStr">
        <is>
          <t>UI</t>
        </is>
      </c>
      <c r="I258" s="24" t="inlineStr">
        <is>
          <t>Rider has accepted</t>
        </is>
      </c>
      <c r="J258" s="24" t="inlineStr">
        <is>
          <t>1. Open the order on /shop/orders</t>
        </is>
      </c>
      <c r="K258" s="24" t="inlineStr">
        <is>
          <t>Pickup code visible to the shop. The delivery OTP is never visible to the shop.</t>
        </is>
      </c>
      <c r="L258" s="24" t="inlineStr">
        <is>
          <t>Dev log Slices 3-4 handoff</t>
        </is>
      </c>
      <c r="M258" s="24" t="inlineStr">
        <is>
          <t>Pass</t>
        </is>
      </c>
      <c r="N258" s="24" t="inlineStr">
        <is>
          <t>Passed, partly covered. Local Pass (partial) · Staging Blocked · Production Not run
local: blocked: "QA Butter 100 g mvmkyclr" cannot be added to the cart — HTTP 409: This product is currently unavailable online.
staging: no delivery offer reached the rider for order 7416631a-ca0e-49b4-b0c2-b67f139b1939 within 30 s (rider offline or busy?) ‖ no delivery offer reached the rider for order 706bc2e1-bdb8-4bda-b0fa-f54a9712a43f within 30 s (rider offline or busy?)</t>
        </is>
      </c>
      <c r="O258" s="24" t="n"/>
      <c r="P258" s="24" t="inlineStr">
        <is>
          <t>2026-10-24 21:42</t>
        </is>
      </c>
    </row>
    <row r="259" ht="15" customHeight="1" s="13">
      <c r="A259" s="24" t="inlineStr">
        <is>
          <t>TC-FUL-016</t>
        </is>
      </c>
      <c r="B259" s="24" t="inlineStr">
        <is>
          <t>Shop fulfilment &amp; substitution</t>
        </is>
      </c>
      <c r="C259" s="24" t="inlineStr">
        <is>
          <t>WF-002</t>
        </is>
      </c>
      <c r="D259" s="24" t="inlineStr">
        <is>
          <t>Subscription order still follows the one-click path</t>
        </is>
      </c>
      <c r="E259" s="24" t="inlineStr">
        <is>
          <t>Regression</t>
        </is>
      </c>
      <c r="F259" s="24" t="inlineStr">
        <is>
          <t>P1</t>
        </is>
      </c>
      <c r="G259" s="24" t="inlineStr">
        <is>
          <t>Shop</t>
        </is>
      </c>
      <c r="H259" s="24" t="inlineStr">
        <is>
          <t>UI</t>
        </is>
      </c>
      <c r="I259" s="24" t="inlineStr">
        <is>
          <t>A subscription-generated order</t>
        </is>
      </c>
      <c r="J259" s="24" t="inlineStr">
        <is>
          <t>1. CONFIRMED -&gt; PREPARING directly</t>
        </is>
      </c>
      <c r="K259" s="24" t="inlineStr">
        <is>
          <t>Allowed.</t>
        </is>
      </c>
      <c r="L259" s="24" t="inlineStr">
        <is>
          <t>Dev log compatibility</t>
        </is>
      </c>
      <c r="M259" s="24" t="inlineStr">
        <is>
          <t>Pass</t>
        </is>
      </c>
      <c r="N259" s="24" t="inlineStr">
        <is>
          <t>Passed, partly covered. Local Pass (partial) · Staging Not run (rule) · Production Not run
local: not covered: the order is marked a subscription order in the database rather than generated by the daily subscription run
staging: not run on staging: needs the server's database (local run only)</t>
        </is>
      </c>
      <c r="O259" s="24" t="n"/>
      <c r="P259" s="24" t="inlineStr">
        <is>
          <t>2026-10-24 17:06</t>
        </is>
      </c>
    </row>
    <row r="260" ht="34.5" customHeight="1" s="13">
      <c r="A260" s="24" t="inlineStr">
        <is>
          <t>TC-FUL-017</t>
        </is>
      </c>
      <c r="B260" s="24" t="inlineStr">
        <is>
          <t>Shop fulfilment &amp; substitution</t>
        </is>
      </c>
      <c r="C260" s="24" t="inlineStr">
        <is>
          <t>NAV-008</t>
        </is>
      </c>
      <c r="D260" s="24" t="inlineStr">
        <is>
          <t>Shop order tabs</t>
        </is>
      </c>
      <c r="E260" s="24" t="inlineStr">
        <is>
          <t>Regression</t>
        </is>
      </c>
      <c r="F260" s="24" t="inlineStr">
        <is>
          <t>P1</t>
        </is>
      </c>
      <c r="G260" s="24" t="inlineStr">
        <is>
          <t>Shop</t>
        </is>
      </c>
      <c r="H260" s="24" t="inlineStr">
        <is>
          <t>UI</t>
        </is>
      </c>
      <c r="I260" s="24" t="n"/>
      <c r="J260" s="24" t="inlineStr">
        <is>
          <t>1. Check new, accepted, preparing, ready, completed and cancelled views</t>
        </is>
      </c>
      <c r="K260" s="24" t="inlineStr">
        <is>
          <t>Each order appears in exactly one view matching its status.</t>
        </is>
      </c>
      <c r="L260" s="24" t="inlineStr">
        <is>
          <t>Navigation sheet</t>
        </is>
      </c>
      <c r="M260" s="24" t="inlineStr">
        <is>
          <t>Fail</t>
        </is>
      </c>
      <c r="N260" s="24" t="inlineStr">
        <is>
          <t>Local Blocked · Staging Fail · Production Not run
local: "QA Butter 100 g mvmkyclr" cannot be added to the cart — HTTP 409: This product is currently unavailable online.
staging: timed out after 360 s</t>
        </is>
      </c>
      <c r="O260" s="24" t="n"/>
      <c r="P260" s="24" t="inlineStr">
        <is>
          <t>2026-10-24 20:04</t>
        </is>
      </c>
    </row>
    <row r="261" ht="23.25" customHeight="1" s="13">
      <c r="A261" s="24" t="inlineStr">
        <is>
          <t>TC-FUL-018</t>
        </is>
      </c>
      <c r="B261" s="24" t="inlineStr">
        <is>
          <t>Shop fulfilment &amp; substitution</t>
        </is>
      </c>
      <c r="C261" s="24" t="inlineStr">
        <is>
          <t>NEW-002</t>
        </is>
      </c>
      <c r="D261" s="24" t="inlineStr">
        <is>
          <t>Shop on a held order cannot advance it</t>
        </is>
      </c>
      <c r="E261" s="24" t="inlineStr">
        <is>
          <t>Negative</t>
        </is>
      </c>
      <c r="F261" s="24" t="inlineStr">
        <is>
          <t>P1</t>
        </is>
      </c>
      <c r="G261" s="24" t="inlineStr">
        <is>
          <t>Shop</t>
        </is>
      </c>
      <c r="H261" s="24" t="inlineStr">
        <is>
          <t>UI</t>
        </is>
      </c>
      <c r="I261" s="24" t="inlineStr">
        <is>
          <t>Shop suspended with held orders</t>
        </is>
      </c>
      <c r="J261" s="24" t="inlineStr">
        <is>
          <t>1. Try to accept a new order or advance a held order</t>
        </is>
      </c>
      <c r="K261" s="24" t="inlineStr">
        <is>
          <t>Refused with a clear message; orders left to continue can be completed.</t>
        </is>
      </c>
      <c r="L261" s="24" t="inlineStr">
        <is>
          <t>QA G-05</t>
        </is>
      </c>
      <c r="M261" s="24" t="inlineStr">
        <is>
          <t>Pass</t>
        </is>
      </c>
      <c r="N261" s="24" t="inlineStr">
        <is>
          <t>Passed, partly covered. Local Pass (partial) · Staging Not run (rule) · Production Not run
local: not covered: with the default suspension policy (CONFIRMED cancel+refund, ACCEPTED–ASSIGNED review, PICKED_UP/OUT_FOR_DELIVERY continue)
staging: not run on staging: needs the server's database (local run only)</t>
        </is>
      </c>
      <c r="O261" s="24" t="n"/>
      <c r="P261" s="24" t="inlineStr">
        <is>
          <t>2026-10-24 17:06</t>
        </is>
      </c>
    </row>
    <row r="262" ht="15" customHeight="1" s="13">
      <c r="A262" s="24" t="inlineStr">
        <is>
          <t>TC-DSP-001</t>
        </is>
      </c>
      <c r="B262" s="24" t="inlineStr">
        <is>
          <t>Rider dispatch &amp; assignment rules</t>
        </is>
      </c>
      <c r="C262" s="24" t="inlineStr">
        <is>
          <t>GS-039, GA-006</t>
        </is>
      </c>
      <c r="D262" s="24" t="inlineStr">
        <is>
          <t>READY triggers an offer automatically</t>
        </is>
      </c>
      <c r="E262" s="24" t="inlineStr">
        <is>
          <t>Positive</t>
        </is>
      </c>
      <c r="F262" s="24" t="inlineStr">
        <is>
          <t>P0</t>
        </is>
      </c>
      <c r="G262" s="24" t="inlineStr">
        <is>
          <t>Rider</t>
        </is>
      </c>
      <c r="H262" s="24" t="inlineStr">
        <is>
          <t>UI</t>
        </is>
      </c>
      <c r="I262" s="24" t="inlineStr">
        <is>
          <t>One approved rider online within range</t>
        </is>
      </c>
      <c r="J262" s="24" t="inlineStr">
        <is>
          <t>1. Shop marks READY</t>
        </is>
      </c>
      <c r="K262" s="24" t="inlineStr">
        <is>
          <t>Rider receives an offer within seconds without the shop pressing anything.</t>
        </is>
      </c>
      <c r="L262" s="24" t="inlineStr">
        <is>
          <t>Dev log Slices 3-4 handoff</t>
        </is>
      </c>
      <c r="M262" s="24" t="inlineStr">
        <is>
          <t>Pass</t>
        </is>
      </c>
      <c r="N262" s="24" t="inlineStr">
        <is>
          <t>Passed, partly covered. Local Pass (partial) · Staging Not run (rule) · Production Not run
local: not covered: an open dashboard shows a new offer after a reload (it does not refresh itself while broadcast offers are off); 'offers resume' is shown with the dispatch sweep (it runs every minute on the sites)
staging: not run on staging: needs the server's database (local run only)</t>
        </is>
      </c>
      <c r="O262" s="24" t="n"/>
      <c r="P262" s="24" t="inlineStr">
        <is>
          <t>2026-10-24 20:51</t>
        </is>
      </c>
    </row>
    <row r="263" ht="45.75" customHeight="1" s="13">
      <c r="A263" s="24" t="inlineStr">
        <is>
          <t>TC-DSP-002</t>
        </is>
      </c>
      <c r="B263" s="24" t="inlineStr">
        <is>
          <t>Rider dispatch &amp; assignment rules</t>
        </is>
      </c>
      <c r="C263" s="24" t="inlineStr">
        <is>
          <t>GA-004</t>
        </is>
      </c>
      <c r="D263" s="24" t="inlineStr">
        <is>
          <t>Only online, approved riders are offered</t>
        </is>
      </c>
      <c r="E263" s="24" t="inlineStr">
        <is>
          <t>Positive</t>
        </is>
      </c>
      <c r="F263" s="24" t="inlineStr">
        <is>
          <t>P0</t>
        </is>
      </c>
      <c r="G263" s="24" t="inlineStr">
        <is>
          <t>Rider</t>
        </is>
      </c>
      <c r="H263" s="24" t="inlineStr">
        <is>
          <t>UI</t>
        </is>
      </c>
      <c r="I263" s="24" t="inlineStr">
        <is>
          <t>Rider A offline, Rider B online</t>
        </is>
      </c>
      <c r="J263" s="24" t="inlineStr">
        <is>
          <t>1. Mark READY</t>
        </is>
      </c>
      <c r="K263" s="24" t="inlineStr">
        <is>
          <t>Only B is offered. A suspended or unapproved rider is never offered.</t>
        </is>
      </c>
      <c r="L263" s="24" t="inlineStr">
        <is>
          <t>Gig Assignment Rules GA-004</t>
        </is>
      </c>
      <c r="M263" s="24" t="inlineStr">
        <is>
          <t>Pass</t>
        </is>
      </c>
      <c r="N263" s="24" t="inlineStr">
        <is>
          <t>Local Pass · Staging Not run (rule) · Production Not run
local: rider offline, rider 2 online → rider 2 offered; suspended + REGISTERED riders flagged online → NO_RIDER
staging: not run on staging: needs the server's database (local run only)</t>
        </is>
      </c>
      <c r="O263" s="24" t="n"/>
      <c r="P263" s="24" t="inlineStr">
        <is>
          <t>2026-10-24 17:06</t>
        </is>
      </c>
    </row>
    <row r="264" ht="34.5" customHeight="1" s="13">
      <c r="A264" s="24" t="inlineStr">
        <is>
          <t>TC-DSP-003</t>
        </is>
      </c>
      <c r="B264" s="24" t="inlineStr">
        <is>
          <t>Rider dispatch &amp; assignment rules</t>
        </is>
      </c>
      <c r="C264" s="24" t="inlineStr">
        <is>
          <t>GA-003</t>
        </is>
      </c>
      <c r="D264" s="24" t="inlineStr">
        <is>
          <t>Nearer rider is preferred</t>
        </is>
      </c>
      <c r="E264" s="24" t="inlineStr">
        <is>
          <t>Positive</t>
        </is>
      </c>
      <c r="F264" s="24" t="inlineStr">
        <is>
          <t>P1</t>
        </is>
      </c>
      <c r="G264" s="24" t="inlineStr">
        <is>
          <t>Rider</t>
        </is>
      </c>
      <c r="H264" s="24" t="inlineStr">
        <is>
          <t>UI</t>
        </is>
      </c>
      <c r="I264" s="24" t="inlineStr">
        <is>
          <t>Two online riders with equal history at different distances</t>
        </is>
      </c>
      <c r="J264" s="24" t="inlineStr">
        <is>
          <t>1. Mark READY</t>
        </is>
      </c>
      <c r="K264" s="24" t="inlineStr">
        <is>
          <t>The nearer rider gets the first offer.</t>
        </is>
      </c>
      <c r="L264" s="24" t="inlineStr">
        <is>
          <t>Gig Assignment Rules GA-003</t>
        </is>
      </c>
      <c r="M264" s="24" t="inlineStr">
        <is>
          <t>Pass</t>
        </is>
      </c>
      <c r="N264" s="24" t="inlineStr">
        <is>
          <t>Local Pass · Staging Not run (rule) · Production Not run
local: near rider offered first: rider, then (swapped) rider2
staging: not run on staging: needs the server's database (local run only)</t>
        </is>
      </c>
      <c r="O264" s="24" t="n"/>
      <c r="P264" s="24" t="inlineStr">
        <is>
          <t>2026-10-24 17:06</t>
        </is>
      </c>
    </row>
    <row r="265" ht="23.25" customHeight="1" s="13">
      <c r="A265" s="24" t="inlineStr">
        <is>
          <t>TC-DSP-004</t>
        </is>
      </c>
      <c r="B265" s="24" t="inlineStr">
        <is>
          <t>Rider dispatch &amp; assignment rules</t>
        </is>
      </c>
      <c r="C265" s="24" t="inlineStr">
        <is>
          <t>GA-005</t>
        </is>
      </c>
      <c r="D265" s="24" t="inlineStr">
        <is>
          <t>Busy rider is ranked lower</t>
        </is>
      </c>
      <c r="E265" s="24" t="inlineStr">
        <is>
          <t>Positive</t>
        </is>
      </c>
      <c r="F265" s="24" t="inlineStr">
        <is>
          <t>P1</t>
        </is>
      </c>
      <c r="G265" s="24" t="inlineStr">
        <is>
          <t>Rider</t>
        </is>
      </c>
      <c r="H265" s="24" t="inlineStr">
        <is>
          <t>UI</t>
        </is>
      </c>
      <c r="I265" s="24" t="inlineStr">
        <is>
          <t>Rider A on an active delivery, Rider B free</t>
        </is>
      </c>
      <c r="J265" s="24" t="inlineStr">
        <is>
          <t>1. Mark a second order READY</t>
        </is>
      </c>
      <c r="K265" s="24" t="inlineStr">
        <is>
          <t>A free rider is preferred. A busy rider is ranked lower instead of excluded (see the GA-005 cases added 4-Oct).</t>
        </is>
      </c>
      <c r="L265" s="24" t="inlineStr">
        <is>
          <t>Status report GA-005; Updated 4-Oct (feature treated as completed)</t>
        </is>
      </c>
      <c r="M265" s="24" t="inlineStr">
        <is>
          <t>Pass</t>
        </is>
      </c>
      <c r="N265" s="24" t="inlineStr">
        <is>
          <t>Passed, partly covered. Local Pass (partial) · Staging Not run (rule) · Production Not run
local: not covered: with rule dispatch.busyRidersAsFallback on (GA-005/F3, off by default — off, a busy rider is excluded, as before)
staging: not run on staging: needs the server's database (local run only)</t>
        </is>
      </c>
      <c r="O265" s="24" t="n"/>
      <c r="P265" s="24" t="inlineStr">
        <is>
          <t>2026-10-24 17:06</t>
        </is>
      </c>
    </row>
    <row r="266" ht="34.5" customHeight="1" s="13">
      <c r="A266" s="24" t="inlineStr">
        <is>
          <t>TC-DSP-005</t>
        </is>
      </c>
      <c r="B266" s="24" t="inlineStr">
        <is>
          <t>Rider dispatch &amp; assignment rules</t>
        </is>
      </c>
      <c r="C266" s="24" t="inlineStr">
        <is>
          <t>GS-039, GA-009</t>
        </is>
      </c>
      <c r="D266" s="24" t="inlineStr">
        <is>
          <t>Offer expires after 2 minutes</t>
        </is>
      </c>
      <c r="E266" s="24" t="inlineStr">
        <is>
          <t>Boundary</t>
        </is>
      </c>
      <c r="F266" s="24" t="inlineStr">
        <is>
          <t>P0</t>
        </is>
      </c>
      <c r="G266" s="24" t="inlineStr">
        <is>
          <t>Rider</t>
        </is>
      </c>
      <c r="H266" s="24" t="inlineStr">
        <is>
          <t>UI</t>
        </is>
      </c>
      <c r="I266" s="24" t="inlineStr">
        <is>
          <t>Cron running</t>
        </is>
      </c>
      <c r="J266" s="24" t="inlineStr">
        <is>
          <t>1. Let the offer lapse</t>
        </is>
      </c>
      <c r="K266" s="24" t="inlineStr">
        <is>
          <t>Offer disappears after about 120 s and the next rider is tried.</t>
        </is>
      </c>
      <c r="L266" s="24" t="inlineStr">
        <is>
          <t>QA C-11</t>
        </is>
      </c>
      <c r="M266" s="24" t="inlineStr">
        <is>
          <t>Pass</t>
        </is>
      </c>
      <c r="N266" s="24" t="inlineStr">
        <is>
          <t>Passed, partly covered. Local Pass (partial) · Staging Not run (rule) · Production Not run
local: not covered: the 2 minutes are aged in the database, not waited for
staging: not run on staging: needs the server's database (local run only)</t>
        </is>
      </c>
      <c r="O266" s="24" t="n"/>
      <c r="P266" s="24" t="inlineStr">
        <is>
          <t>2026-10-24 17:06</t>
        </is>
      </c>
    </row>
    <row r="267" ht="23.25" customHeight="1" s="13">
      <c r="A267" s="24" t="inlineStr">
        <is>
          <t>TC-DSP-006</t>
        </is>
      </c>
      <c r="B267" s="24" t="inlineStr">
        <is>
          <t>Rider dispatch &amp; assignment rules</t>
        </is>
      </c>
      <c r="C267" s="24" t="inlineStr">
        <is>
          <t>GA-009</t>
        </is>
      </c>
      <c r="D267" s="24" t="inlineStr">
        <is>
          <t>Decliner is never re-offered the same order</t>
        </is>
      </c>
      <c r="E267" s="24" t="inlineStr">
        <is>
          <t>Positive</t>
        </is>
      </c>
      <c r="F267" s="24" t="inlineStr">
        <is>
          <t>P0</t>
        </is>
      </c>
      <c r="G267" s="24" t="inlineStr">
        <is>
          <t>Rider</t>
        </is>
      </c>
      <c r="H267" s="24" t="inlineStr">
        <is>
          <t>UI</t>
        </is>
      </c>
      <c r="I267" s="24" t="inlineStr">
        <is>
          <t>Two riders</t>
        </is>
      </c>
      <c r="J267" s="24" t="inlineStr">
        <is>
          <t>1. Rider A declines</t>
        </is>
      </c>
      <c r="K267" s="24" t="inlineStr">
        <is>
          <t>Rider B is offered; A never sees that order again. No order ever has two active assignments.</t>
        </is>
      </c>
      <c r="L267" s="24" t="inlineStr">
        <is>
          <t>QA C-11</t>
        </is>
      </c>
      <c r="M267" s="24" t="inlineStr">
        <is>
          <t>Pass</t>
        </is>
      </c>
      <c r="N267" s="24" t="inlineStr">
        <is>
          <t>Local Pass · Staging Not run (rule) · Production Not run
local: rider declined → rider2 offered → declined; sweep offered nobody again; 1 row, 2 decliners remembered; no order with two live assignments
staging: not run on staging: needs the server's database (local run only)</t>
        </is>
      </c>
      <c r="O267" s="24" t="n"/>
      <c r="P267" s="24" t="inlineStr">
        <is>
          <t>2026-10-24 17:06</t>
        </is>
      </c>
    </row>
    <row r="268" ht="45.75" customHeight="1" s="13">
      <c r="A268" s="24" t="inlineStr">
        <is>
          <t>TC-DSP-007</t>
        </is>
      </c>
      <c r="B268" s="24" t="inlineStr">
        <is>
          <t>Rider dispatch &amp; assignment rules</t>
        </is>
      </c>
      <c r="C268" s="24" t="inlineStr">
        <is>
          <t>GA-009</t>
        </is>
      </c>
      <c r="D268" s="24" t="inlineStr">
        <is>
          <t>No rider available: bounded search</t>
        </is>
      </c>
      <c r="E268" s="24" t="inlineStr">
        <is>
          <t>Positive</t>
        </is>
      </c>
      <c r="F268" s="24" t="inlineStr">
        <is>
          <t>P0</t>
        </is>
      </c>
      <c r="G268" s="24" t="inlineStr">
        <is>
          <t>Shop</t>
        </is>
      </c>
      <c r="H268" s="24" t="inlineStr">
        <is>
          <t>UI</t>
        </is>
      </c>
      <c r="I268" s="24" t="inlineStr">
        <is>
          <t>No riders online</t>
        </is>
      </c>
      <c r="J268" s="24" t="inlineStr">
        <is>
          <t>1. Mark READY and watch</t>
        </is>
      </c>
      <c r="K268" s="24" t="inlineStr">
        <is>
          <t>'Looking for a rider - attempt 1 of 10...' and one 'Looking for a rider' notification. Attempts continue every retry interval (60 s).</t>
        </is>
      </c>
      <c r="L268" s="24" t="inlineStr">
        <is>
          <t>QA C-06, C-07</t>
        </is>
      </c>
      <c r="M268" s="24" t="inlineStr">
        <is>
          <t>Pass</t>
        </is>
      </c>
      <c r="N268" s="24" t="inlineStr">
        <is>
          <t>Local Pass · Staging Not run (rule) · Production Not run
local: "Looking for a rider — attempt 1 of 10; the next try is automatic."; next try +60 s; one notice; attempt 2 after the interval; Find rider now right after an attempt → 'Please wait …s'; after the 30 s cooldown the press runs attempt 3 ‖ [phone] "Looking for a rider — attempt 1 of 10; the next try is automatic."; next try +60 s; one notice; attempt 2 after the interval; Find rider now right after an attempt → 'Please wait …s'; after the 30 s cooldown the press runs attempt 3
staging: not run on staging: needs the server's database (local run only)</t>
        </is>
      </c>
      <c r="O268" s="24" t="n"/>
      <c r="P268" s="24" t="inlineStr">
        <is>
          <t>2026-10-24 20:51</t>
        </is>
      </c>
    </row>
    <row r="269" ht="23.25" customHeight="1" s="13">
      <c r="A269" s="24" t="inlineStr">
        <is>
          <t>TC-DSP-008</t>
        </is>
      </c>
      <c r="B269" s="24" t="inlineStr">
        <is>
          <t>Rider dispatch &amp; assignment rules</t>
        </is>
      </c>
      <c r="C269" s="24" t="inlineStr">
        <is>
          <t>GA-009</t>
        </is>
      </c>
      <c r="D269" s="24" t="inlineStr">
        <is>
          <t>Search stops at the limit</t>
        </is>
      </c>
      <c r="E269" s="24" t="inlineStr">
        <is>
          <t>Boundary</t>
        </is>
      </c>
      <c r="F269" s="24" t="inlineStr">
        <is>
          <t>P1</t>
        </is>
      </c>
      <c r="G269" s="24" t="inlineStr">
        <is>
          <t>Shop</t>
        </is>
      </c>
      <c r="H269" s="24" t="inlineStr">
        <is>
          <t>UI</t>
        </is>
      </c>
      <c r="I269" s="24" t="n"/>
      <c r="J269" s="24" t="inlineStr">
        <is>
          <t>1. Leave it until 10 attempts / 30 min, or promised time + 15 min</t>
        </is>
      </c>
      <c r="K269" s="24" t="inlineStr">
        <is>
          <t>Search stops; status says why; shop notified once ('No rider found'); button becomes 'Try finding a rider again'.</t>
        </is>
      </c>
      <c r="L269" s="24" t="inlineStr">
        <is>
          <t>QA C-08</t>
        </is>
      </c>
      <c r="M269" s="24" t="inlineStr">
        <is>
          <t>Pass</t>
        </is>
      </c>
      <c r="N269" s="24" t="inlineStr">
        <is>
          <t>Passed, partly covered. Local Pass (partial) · Staging Not run (rule) · Production Not run
local: not covered: the limit is lowered to 2 attempts for the run (rule dispatch.maxAttempts, restored); 10 attempts / 30 min are the defaults; the promised-time stop (window + 15 min) needs a delivery window and is not exercised
staging: not run on staging: needs the server's database (local run only)</t>
        </is>
      </c>
      <c r="O269" s="24" t="n"/>
      <c r="P269" s="24" t="inlineStr">
        <is>
          <t>2026-10-24 20:51</t>
        </is>
      </c>
    </row>
    <row r="270" ht="23.25" customHeight="1" s="13">
      <c r="A270" s="24" t="inlineStr">
        <is>
          <t>TC-DSP-009</t>
        </is>
      </c>
      <c r="B270" s="24" t="inlineStr">
        <is>
          <t>Rider dispatch &amp; assignment rules</t>
        </is>
      </c>
      <c r="C270" s="24" t="inlineStr">
        <is>
          <t>RBAC-007</t>
        </is>
      </c>
      <c r="D270" s="24" t="inlineStr">
        <is>
          <t>'Find rider now' respects the manual cooldown</t>
        </is>
      </c>
      <c r="E270" s="24" t="inlineStr">
        <is>
          <t>Boundary</t>
        </is>
      </c>
      <c r="F270" s="24" t="inlineStr">
        <is>
          <t>P1</t>
        </is>
      </c>
      <c r="G270" s="24" t="inlineStr">
        <is>
          <t>Shop</t>
        </is>
      </c>
      <c r="H270" s="24" t="inlineStr">
        <is>
          <t>UI</t>
        </is>
      </c>
      <c r="I270" s="24" t="n"/>
      <c r="J270" s="24" t="inlineStr">
        <is>
          <t>1. Press 'Find rider now' twice within 30 s</t>
        </is>
      </c>
      <c r="K270" s="24" t="inlineStr">
        <is>
          <t>Second press is refused / disabled until the cooldown ends.</t>
        </is>
      </c>
      <c r="L270" s="24" t="inlineStr">
        <is>
          <t>QA C-07</t>
        </is>
      </c>
      <c r="M270" s="24" t="inlineStr">
        <is>
          <t>Pass</t>
        </is>
      </c>
      <c r="N270" s="24" t="inlineStr">
        <is>
          <t>Local Pass · Staging Not run (rule) · Production Not run
local: "Looking for a rider — attempt 1 of 10; the next try is automatic."; next try +60 s; one notice; attempt 2 after the interval; Find rider now right after an attempt → 'Please wait …s'; after the 30 s cooldown the press runs attempt 3 ‖ [phone] "Looking for a rider — attempt 1 of 10; the next try is automatic."; next try +60 s; one notice; attempt 2 after the interval; Find rider now right after an attempt → 'Please wait …s'; after the 30 s cooldown the press runs attempt 3
staging: not run on staging: needs the server's database (local run only)</t>
        </is>
      </c>
      <c r="O270" s="24" t="n"/>
      <c r="P270" s="24" t="inlineStr">
        <is>
          <t>2026-10-24 20:51</t>
        </is>
      </c>
    </row>
    <row r="271" ht="23.25" customHeight="1" s="13">
      <c r="A271" s="24" t="inlineStr">
        <is>
          <t>TC-DSP-010</t>
        </is>
      </c>
      <c r="B271" s="24" t="inlineStr">
        <is>
          <t>Rider dispatch &amp; assignment rules</t>
        </is>
      </c>
      <c r="C271" s="24" t="inlineStr">
        <is>
          <t>RBAC-007</t>
        </is>
      </c>
      <c r="D271" s="24" t="inlineStr">
        <is>
          <t>Restart and stop a search</t>
        </is>
      </c>
      <c r="E271" s="24" t="inlineStr">
        <is>
          <t>Positive</t>
        </is>
      </c>
      <c r="F271" s="24" t="inlineStr">
        <is>
          <t>P1</t>
        </is>
      </c>
      <c r="G271" s="24" t="inlineStr">
        <is>
          <t>Shop</t>
        </is>
      </c>
      <c r="H271" s="24" t="inlineStr">
        <is>
          <t>UI</t>
        </is>
      </c>
      <c r="I271" s="24" t="inlineStr">
        <is>
          <t>Search stopped; a rider now online</t>
        </is>
      </c>
      <c r="J271" s="24" t="inlineStr">
        <is>
          <t>1. Press 'Try finding a rider again'
2. In another run press 'Stop searching'</t>
        </is>
      </c>
      <c r="K271" s="24" t="inlineStr">
        <is>
          <t>Restart resets the attempt counter and offers the rider. Stop ends the search ('You stopped the search').</t>
        </is>
      </c>
      <c r="L271" s="24" t="inlineStr">
        <is>
          <t>QA C-09, C-12</t>
        </is>
      </c>
      <c r="M271" s="24" t="inlineStr">
        <is>
          <t>Pass</t>
        </is>
      </c>
      <c r="N271" s="24" t="inlineStr">
        <is>
          <t>Passed, partly covered. Local Pass (partial) · Staging Not run (rule) · Production Not run
local: not covered: the limit is lowered to 2 attempts for the run (rule dispatch.maxAttempts, restored); 10 attempts / 30 min are the defaults; the promised-time stop (window + 15 min) needs a delivery window and is not exercised
staging: not run on staging: needs the server's database (local run only)</t>
        </is>
      </c>
      <c r="O271" s="24" t="n"/>
      <c r="P271" s="24" t="inlineStr">
        <is>
          <t>2026-10-24 20:51</t>
        </is>
      </c>
    </row>
    <row r="272" ht="23.25" customHeight="1" s="13">
      <c r="A272" s="24" t="inlineStr">
        <is>
          <t>TC-DSP-011</t>
        </is>
      </c>
      <c r="B272" s="24" t="inlineStr">
        <is>
          <t>Rider dispatch &amp; assignment rules</t>
        </is>
      </c>
      <c r="C272" s="24" t="inlineStr">
        <is>
          <t>GA-009</t>
        </is>
      </c>
      <c r="D272" s="24" t="inlineStr">
        <is>
          <t>Cancelling the order ends the search</t>
        </is>
      </c>
      <c r="E272" s="24" t="inlineStr">
        <is>
          <t>Positive</t>
        </is>
      </c>
      <c r="F272" s="24" t="inlineStr">
        <is>
          <t>P1</t>
        </is>
      </c>
      <c r="G272" s="24" t="inlineStr">
        <is>
          <t>Shop</t>
        </is>
      </c>
      <c r="H272" s="24" t="inlineStr">
        <is>
          <t>UI</t>
        </is>
      </c>
      <c r="I272" s="24" t="n"/>
      <c r="J272" s="24" t="inlineStr">
        <is>
          <t>1. Cancel during a search</t>
        </is>
      </c>
      <c r="K272" s="24" t="inlineStr">
        <is>
          <t>Search closes as 'order cancelled'; no further offers.</t>
        </is>
      </c>
      <c r="L272" s="24" t="inlineStr">
        <is>
          <t>QA C-10</t>
        </is>
      </c>
      <c r="M272" s="24" t="inlineStr">
        <is>
          <t>Pass</t>
        </is>
      </c>
      <c r="N272" s="24" t="inlineStr">
        <is>
          <t>Local Pass · Staging Not run (rule) · Production Not run
local: after cancel: STOPPED / ORDER_CANCELLED; no offer
staging: not run on staging: needs the server's database (local run only)</t>
        </is>
      </c>
      <c r="O272" s="24" t="inlineStr">
        <is>
          <t>D-52</t>
        </is>
      </c>
      <c r="P272" s="24" t="inlineStr">
        <is>
          <t>2026-10-24 17:06</t>
        </is>
      </c>
    </row>
    <row r="273" ht="34.5" customHeight="1" s="13">
      <c r="A273" s="24" t="inlineStr">
        <is>
          <t>TC-DSP-012</t>
        </is>
      </c>
      <c r="B273" s="24" t="inlineStr">
        <is>
          <t>Rider dispatch &amp; assignment rules</t>
        </is>
      </c>
      <c r="C273" s="24" t="inlineStr">
        <is>
          <t>NEW-001, GS-039</t>
        </is>
      </c>
      <c r="D273" s="24" t="inlineStr">
        <is>
          <t>Dispatch rule changes take effect</t>
        </is>
      </c>
      <c r="E273" s="24" t="inlineStr">
        <is>
          <t>Positive</t>
        </is>
      </c>
      <c r="F273" s="24" t="inlineStr">
        <is>
          <t>P2</t>
        </is>
      </c>
      <c r="G273" s="24" t="inlineStr">
        <is>
          <t>Admin</t>
        </is>
      </c>
      <c r="H273" s="24" t="inlineStr">
        <is>
          <t>UI</t>
        </is>
      </c>
      <c r="I273" s="24" t="n"/>
      <c r="J273" s="24" t="inlineStr">
        <is>
          <t>1. Change dispatch retry interval / limits in /admin/settings
2. Start a new search
3. Restore default</t>
        </is>
      </c>
      <c r="K273" s="24" t="inlineStr">
        <is>
          <t>New values apply to the new search.</t>
        </is>
      </c>
      <c r="L273" s="24" t="inlineStr">
        <is>
          <t>QA C-13</t>
        </is>
      </c>
      <c r="M273" s="24" t="inlineStr">
        <is>
          <t>Pass</t>
        </is>
      </c>
      <c r="N273" s="24" t="inlineStr">
        <is>
          <t>Passed, partly covered. Local Pass (partial) · Staging Not run (rule) · Production Not run
local: not covered: changed through the settings API the /admin/settings page uses
staging: not run on staging: needs the server's database (local run only)</t>
        </is>
      </c>
      <c r="O273" s="24" t="n"/>
      <c r="P273" s="24" t="inlineStr">
        <is>
          <t>2026-10-24 17:06</t>
        </is>
      </c>
    </row>
    <row r="274" ht="15" customHeight="1" s="13">
      <c r="A274" s="24" t="inlineStr">
        <is>
          <t>TC-DSP-013</t>
        </is>
      </c>
      <c r="B274" s="24" t="inlineStr">
        <is>
          <t>Rider dispatch &amp; assignment rules</t>
        </is>
      </c>
      <c r="C274" s="24" t="inlineStr">
        <is>
          <t>GA-009</t>
        </is>
      </c>
      <c r="D274" s="24" t="inlineStr">
        <is>
          <t>Concurrent orders do not double-book a rider</t>
        </is>
      </c>
      <c r="E274" s="24" t="inlineStr">
        <is>
          <t>Security</t>
        </is>
      </c>
      <c r="F274" s="24" t="inlineStr">
        <is>
          <t>P1</t>
        </is>
      </c>
      <c r="G274" s="24" t="inlineStr">
        <is>
          <t>Rider</t>
        </is>
      </c>
      <c r="H274" s="24" t="inlineStr">
        <is>
          <t>UI</t>
        </is>
      </c>
      <c r="I274" s="24" t="inlineStr">
        <is>
          <t>One rider, two shops</t>
        </is>
      </c>
      <c r="J274" s="24" t="inlineStr">
        <is>
          <t>1. Mark two orders READY at the same moment</t>
        </is>
      </c>
      <c r="K274" s="24" t="inlineStr">
        <is>
          <t>Rider is offered one; the other waits or goes to the next rider.</t>
        </is>
      </c>
      <c r="L274" s="24" t="inlineStr">
        <is>
          <t>Dev log Slices 3-4 handoff</t>
        </is>
      </c>
      <c r="M274" s="24" t="inlineStr">
        <is>
          <t>Pass</t>
        </is>
      </c>
      <c r="N274" s="24" t="inlineStr">
        <is>
          <t>Local Pass · Staging Not run (rule) · Production Not run
local: simultaneous READY at shops A and B → rider holds 1 offer; DB-20261024-FBAP1I waits
staging: not run on staging: needs the server's database (local run only)</t>
        </is>
      </c>
      <c r="O274" s="24" t="n"/>
      <c r="P274" s="24" t="inlineStr">
        <is>
          <t>2026-10-24 17:06</t>
        </is>
      </c>
    </row>
    <row r="275" ht="15" customHeight="1" s="13">
      <c r="A275" s="24" t="inlineStr">
        <is>
          <t>TC-DSP-014</t>
        </is>
      </c>
      <c r="B275" s="24" t="inlineStr">
        <is>
          <t>Rider dispatch &amp; assignment rules</t>
        </is>
      </c>
      <c r="C275" s="24" t="inlineStr">
        <is>
          <t>RBAC-007, NAV-016</t>
        </is>
      </c>
      <c r="D275" s="24" t="inlineStr">
        <is>
          <t>Operator assigns and reassigns</t>
        </is>
      </c>
      <c r="E275" s="24" t="inlineStr">
        <is>
          <t>Positive</t>
        </is>
      </c>
      <c r="F275" s="24" t="inlineStr">
        <is>
          <t>P0</t>
        </is>
      </c>
      <c r="G275" s="24" t="inlineStr">
        <is>
          <t>Operator</t>
        </is>
      </c>
      <c r="H275" s="24" t="inlineStr">
        <is>
          <t>UI</t>
        </is>
      </c>
      <c r="I275" s="24" t="n"/>
      <c r="J275" s="24" t="inlineStr">
        <is>
          <t>1. /admin/orders: 'Assign rider' on a READY order
2. 'Reassign' with a reason on a live delivery
3. Reassign after pickup</t>
        </is>
      </c>
      <c r="K275" s="24" t="inlineStr">
        <is>
          <t>Assign and reassign work (ASSIGNED -&gt; READY -&gt; new offer). Reassign after pickup is blocked.</t>
        </is>
      </c>
      <c r="L275" s="24" t="inlineStr">
        <is>
          <t>Dev log Phase 4.3 handoff</t>
        </is>
      </c>
      <c r="M275" s="24" t="inlineStr">
        <is>
          <t>Pass</t>
        </is>
      </c>
      <c r="N275" s="24" t="inlineStr">
        <is>
          <t>Local Pass · Staging Not run (rule) · Production Not run
local: Assign rider → offered; Reassign (ACCEPTED → cancelled) → READY with the reason → new offer; after pickup: no button, API 409 "This order has already been picked up and cannot be reassigned."
staging: not run on staging: needs the server's database (local run only)</t>
        </is>
      </c>
      <c r="O275" s="24" t="n"/>
      <c r="P275" s="24" t="inlineStr">
        <is>
          <t>2026-10-24 17:06</t>
        </is>
      </c>
    </row>
    <row r="276" ht="15" customHeight="1" s="13">
      <c r="A276" s="24" t="inlineStr">
        <is>
          <t>TC-DSP-015</t>
        </is>
      </c>
      <c r="B276" s="24" t="inlineStr">
        <is>
          <t>Rider dispatch &amp; assignment rules</t>
        </is>
      </c>
      <c r="C276" s="24" t="inlineStr">
        <is>
          <t>RBAC-007</t>
        </is>
      </c>
      <c r="D276" s="24" t="inlineStr">
        <is>
          <t>Shop/customer cannot call the assign API</t>
        </is>
      </c>
      <c r="E276" s="24" t="inlineStr">
        <is>
          <t>Security</t>
        </is>
      </c>
      <c r="F276" s="24" t="inlineStr">
        <is>
          <t>P0</t>
        </is>
      </c>
      <c r="G276" s="24" t="inlineStr">
        <is>
          <t>Shop</t>
        </is>
      </c>
      <c r="H276" s="24" t="inlineStr">
        <is>
          <t>API</t>
        </is>
      </c>
      <c r="I276" s="24" t="n"/>
      <c r="J276" s="24" t="inlineStr">
        <is>
          <t>1. POST /api/orders/{id}/assign as shop owner of another shop and as customer</t>
        </is>
      </c>
      <c r="K276" s="24" t="inlineStr">
        <is>
          <t>403.</t>
        </is>
      </c>
      <c r="L276" s="24" t="inlineStr">
        <is>
          <t>RBAC Matrix: Assign delivery</t>
        </is>
      </c>
      <c r="M276" s="24" t="inlineStr">
        <is>
          <t>Blocked</t>
        </is>
      </c>
      <c r="N276" s="24" t="inlineStr">
        <is>
          <t>Local Blocked · Staging Blocked · Production Not run
local: "QA Butter 100 g mvmkyclr" cannot be added to the cart — HTTP 409: This product is currently unavailable online.
staging: needs a second shop owner</t>
        </is>
      </c>
      <c r="O276" s="24" t="n"/>
      <c r="P276" s="24" t="inlineStr">
        <is>
          <t>2026-10-24 19:48</t>
        </is>
      </c>
    </row>
    <row r="277" ht="34.5" customHeight="1" s="13">
      <c r="A277" s="24" t="inlineStr">
        <is>
          <t>TC-DSP-016</t>
        </is>
      </c>
      <c r="B277" s="24" t="inlineStr">
        <is>
          <t>Rider dispatch &amp; assignment rules</t>
        </is>
      </c>
      <c r="C277" s="24" t="inlineStr">
        <is>
          <t>GA-001, GS-040</t>
        </is>
      </c>
      <c r="D277" s="24" t="inlineStr">
        <is>
          <t>Exclusive society: only listed riders are offered</t>
        </is>
      </c>
      <c r="E277" s="24" t="inlineStr">
        <is>
          <t>Positive</t>
        </is>
      </c>
      <c r="F277" s="24" t="inlineStr">
        <is>
          <t>P0</t>
        </is>
      </c>
      <c r="G277" s="24" t="inlineStr">
        <is>
          <t>Rider</t>
        </is>
      </c>
      <c r="H277" s="24" t="inlineStr">
        <is>
          <t>UI</t>
        </is>
      </c>
      <c r="I277" s="24" t="inlineStr">
        <is>
          <t>Society with exclusive riders and a non-empty list; listed rider L and unlisted rider U online</t>
        </is>
      </c>
      <c r="J277" s="24" t="inlineStr">
        <is>
          <t>1. Order to a society address reaches READY</t>
        </is>
      </c>
      <c r="K277" s="24" t="inlineStr">
        <is>
          <t>Only L is offered. If L is offline, U is still not offered and the shop is told (society wording).</t>
        </is>
      </c>
      <c r="L277" s="24" t="inlineStr">
        <is>
          <t>Dev log Phase 2 handoff</t>
        </is>
      </c>
      <c r="M277" s="24" t="inlineStr">
        <is>
          <t>Pass</t>
        </is>
      </c>
      <c r="N277" s="24" t="inlineStr">
        <is>
          <t>Local Pass · Staging Not run (rule) · Production Not run
local: listed rider 2 (2.2 km) offered, unlisted rider 1 (55 m) not; arrival notice: "Order DB-20261024-O6RMMD: Your rider is at the gate. Security may call you to approve entry — please pick up."; listed rider offline → nobody; shop told "No rider has taken order DB-20261024-QO0P1L yet — we keep trying automatically (attempt 1 of 10). No delivery partner allowed by this society is currently available for this order."
staging: not run on staging: needs the server's database (local run only)</t>
        </is>
      </c>
      <c r="O277" s="24" t="n"/>
      <c r="P277" s="24" t="inlineStr">
        <is>
          <t>2026-10-24 17:06</t>
        </is>
      </c>
    </row>
    <row r="278" ht="15" customHeight="1" s="13">
      <c r="A278" s="24" t="inlineStr">
        <is>
          <t>TC-DSP-017</t>
        </is>
      </c>
      <c r="B278" s="24" t="inlineStr">
        <is>
          <t>Rider dispatch &amp; assignment rules</t>
        </is>
      </c>
      <c r="C278" s="24" t="inlineStr">
        <is>
          <t>GA-002, GS-040</t>
        </is>
      </c>
      <c r="D278" s="24" t="inlineStr">
        <is>
          <t>Non-exclusive society: listed and preferred riders first</t>
        </is>
      </c>
      <c r="E278" s="24" t="inlineStr">
        <is>
          <t>Positive</t>
        </is>
      </c>
      <c r="F278" s="24" t="inlineStr">
        <is>
          <t>P1</t>
        </is>
      </c>
      <c r="G278" s="24" t="inlineStr">
        <is>
          <t>Rider</t>
        </is>
      </c>
      <c r="H278" s="24" t="inlineStr">
        <is>
          <t>UI</t>
        </is>
      </c>
      <c r="I278" s="24" t="inlineStr">
        <is>
          <t>Non-exclusive society; riders preferred P, listed L, unlisted U all online at similar distance</t>
        </is>
      </c>
      <c r="J278" s="24" t="inlineStr">
        <is>
          <t>1. Mark READY; let each offer lapse in turn</t>
        </is>
      </c>
      <c r="K278" s="24" t="inlineStr">
        <is>
          <t>Offer order: P, then L, then U.</t>
        </is>
      </c>
      <c r="L278" s="24" t="inlineStr">
        <is>
          <t>Dev log Phase 2 handoff</t>
        </is>
      </c>
      <c r="M278" s="24" t="inlineStr">
        <is>
          <t>Pass</t>
        </is>
      </c>
      <c r="N278" s="24" t="inlineStr">
        <is>
          <t>Local Pass · Staging Not run (rule) · Production Not run
local: offers in turn: preferred → listed → unlisted (the unlisted rider was slightly nearer)
staging: not run on staging: needs the server's database (local run only)</t>
        </is>
      </c>
      <c r="O278" s="24" t="n"/>
      <c r="P278" s="24" t="inlineStr">
        <is>
          <t>2026-10-24 17:06</t>
        </is>
      </c>
    </row>
    <row r="279" ht="23.25" customHeight="1" s="13">
      <c r="A279" s="24" t="inlineStr">
        <is>
          <t>TC-DSP-018</t>
        </is>
      </c>
      <c r="B279" s="24" t="inlineStr">
        <is>
          <t>Rider dispatch &amp; assignment rules</t>
        </is>
      </c>
      <c r="C279" s="24" t="inlineStr">
        <is>
          <t>GA-001</t>
        </is>
      </c>
      <c r="D279" s="24" t="inlineStr">
        <is>
          <t>Empty rider list never blocks dispatch</t>
        </is>
      </c>
      <c r="E279" s="24" t="inlineStr">
        <is>
          <t>Boundary</t>
        </is>
      </c>
      <c r="F279" s="24" t="inlineStr">
        <is>
          <t>P1</t>
        </is>
      </c>
      <c r="G279" s="24" t="inlineStr">
        <is>
          <t>Rider</t>
        </is>
      </c>
      <c r="H279" s="24" t="inlineStr">
        <is>
          <t>UI</t>
        </is>
      </c>
      <c r="I279" s="24" t="inlineStr">
        <is>
          <t>Exclusive society with an empty list</t>
        </is>
      </c>
      <c r="J279" s="24" t="inlineStr">
        <is>
          <t>1. Mark READY</t>
        </is>
      </c>
      <c r="K279" s="24" t="inlineStr">
        <is>
          <t>Any eligible rider is offered.</t>
        </is>
      </c>
      <c r="L279" s="24" t="inlineStr">
        <is>
          <t>Dev log Phase 2 handoff</t>
        </is>
      </c>
      <c r="M279" s="24" t="inlineStr">
        <is>
          <t>Pass</t>
        </is>
      </c>
      <c r="N279" s="24" t="inlineStr">
        <is>
          <t>Local Pass · Staging Not run (rule) · Production Not run
local: exclusive society, no listed riders → the nearest rider offered
staging: not run on staging: needs the server's database (local run only)</t>
        </is>
      </c>
      <c r="O279" s="24" t="n"/>
      <c r="P279" s="24" t="inlineStr">
        <is>
          <t>2026-10-24 17:06</t>
        </is>
      </c>
    </row>
    <row r="280" ht="34.5" customHeight="1" s="13">
      <c r="A280" s="24" t="inlineStr">
        <is>
          <t>TC-DSP-019</t>
        </is>
      </c>
      <c r="B280" s="24" t="inlineStr">
        <is>
          <t>Rider dispatch &amp; assignment rules</t>
        </is>
      </c>
      <c r="C280" s="24" t="inlineStr">
        <is>
          <t>GS-045, GA-001</t>
        </is>
      </c>
      <c r="D280" s="24" t="inlineStr">
        <is>
          <t>Revoking a rider takes effect immediately</t>
        </is>
      </c>
      <c r="E280" s="24" t="inlineStr">
        <is>
          <t>Positive</t>
        </is>
      </c>
      <c r="F280" s="24" t="inlineStr">
        <is>
          <t>P1</t>
        </is>
      </c>
      <c r="G280" s="24" t="inlineStr">
        <is>
          <t>Society</t>
        </is>
      </c>
      <c r="H280" s="24" t="inlineStr">
        <is>
          <t>UI</t>
        </is>
      </c>
      <c r="I280" s="24" t="n"/>
      <c r="J280" s="24" t="inlineStr">
        <is>
          <t>1. Revoke L, then mark a new order READY</t>
        </is>
      </c>
      <c r="K280" s="24" t="inlineStr">
        <is>
          <t>L is not offered.</t>
        </is>
      </c>
      <c r="L280" s="24" t="inlineStr">
        <is>
          <t>Feature Master GS-045</t>
        </is>
      </c>
      <c r="M280" s="24" t="inlineStr">
        <is>
          <t>Pass</t>
        </is>
      </c>
      <c r="N280" s="24" t="inlineStr">
        <is>
          <t>Local Pass · Staging Not run (rule) · Production Not run
local: rider 1 revoked → the order went to rider 2 although rider 1 was nearer
staging: not run on staging: needs the server's database (local run only)</t>
        </is>
      </c>
      <c r="O280" s="24" t="n"/>
      <c r="P280" s="24" t="inlineStr">
        <is>
          <t>2026-10-24 17:06</t>
        </is>
      </c>
    </row>
    <row r="281" ht="15" customHeight="1" s="13">
      <c r="A281" s="24" t="inlineStr">
        <is>
          <t>TC-DSP-020</t>
        </is>
      </c>
      <c r="B281" s="24" t="inlineStr">
        <is>
          <t>Rider dispatch &amp; assignment rules</t>
        </is>
      </c>
      <c r="C281" s="24" t="inlineStr">
        <is>
          <t>GA-007</t>
        </is>
      </c>
      <c r="D281" s="24" t="inlineStr">
        <is>
          <t>Reliability influences ranking</t>
        </is>
      </c>
      <c r="E281" s="24" t="inlineStr">
        <is>
          <t>Positive</t>
        </is>
      </c>
      <c r="F281" s="24" t="inlineStr">
        <is>
          <t>P2</t>
        </is>
      </c>
      <c r="G281" s="24" t="inlineStr">
        <is>
          <t>Rider</t>
        </is>
      </c>
      <c r="H281" s="24" t="inlineStr">
        <is>
          <t>UI</t>
        </is>
      </c>
      <c r="I281" s="24" t="inlineStr">
        <is>
          <t>Two riders at equal distance; one with recent failures/declines</t>
        </is>
      </c>
      <c r="J281" s="24" t="inlineStr">
        <is>
          <t>1. Mark READY</t>
        </is>
      </c>
      <c r="K281" s="24" t="inlineStr">
        <is>
          <t>The more reliable rider is offered first.</t>
        </is>
      </c>
      <c r="L281" s="24" t="inlineStr">
        <is>
          <t>Dev log Phase 2: GA-007</t>
        </is>
      </c>
      <c r="M281" s="24" t="inlineStr">
        <is>
          <t>Pass</t>
        </is>
      </c>
      <c r="N281" s="24" t="inlineStr">
        <is>
          <t>Passed, partly covered. Local Pass (partial) · Staging Not run (rule) · Production Not run
local: not covered: the declines are dated to yesterday so that only reliability (not today's offer count) differs; run both ways round so a fixed tie order cannot pass it
staging: not run on staging: needs the server's database (local run only)</t>
        </is>
      </c>
      <c r="O281" s="24" t="inlineStr">
        <is>
          <t>D-45</t>
        </is>
      </c>
      <c r="P281" s="24" t="inlineStr">
        <is>
          <t>2026-10-24 17:06</t>
        </is>
      </c>
    </row>
    <row r="282" ht="23.25" customHeight="1" s="13">
      <c r="A282" s="24" t="inlineStr">
        <is>
          <t>TC-DSP-021</t>
        </is>
      </c>
      <c r="B282" s="24" t="inlineStr">
        <is>
          <t>Rider dispatch &amp; assignment rules</t>
        </is>
      </c>
      <c r="C282" s="24" t="inlineStr">
        <is>
          <t>GA-008</t>
        </is>
      </c>
      <c r="D282" s="24" t="inlineStr">
        <is>
          <t>Fairness: riders with fewer offers today are favoured</t>
        </is>
      </c>
      <c r="E282" s="24" t="inlineStr">
        <is>
          <t>Positive</t>
        </is>
      </c>
      <c r="F282" s="24" t="inlineStr">
        <is>
          <t>P2</t>
        </is>
      </c>
      <c r="G282" s="24" t="inlineStr">
        <is>
          <t>Rider</t>
        </is>
      </c>
      <c r="H282" s="24" t="inlineStr">
        <is>
          <t>UI</t>
        </is>
      </c>
      <c r="I282" s="24" t="inlineStr">
        <is>
          <t>Two equal riders; one already received several offers today</t>
        </is>
      </c>
      <c r="J282" s="24" t="inlineStr">
        <is>
          <t>1. Mark READY</t>
        </is>
      </c>
      <c r="K282" s="24" t="inlineStr">
        <is>
          <t>The rider with fewer offers today is offered first; nobody is starved over several orders.</t>
        </is>
      </c>
      <c r="L282" s="24" t="inlineStr">
        <is>
          <t>Dev log Phase 2: GA-008</t>
        </is>
      </c>
      <c r="M282" s="24" t="inlineStr">
        <is>
          <t>Pass</t>
        </is>
      </c>
      <c r="N282" s="24" t="inlineStr">
        <is>
          <t>Passed, partly covered. Local Pass (partial) · Staging Not run (rule) · Production Not run
local: not covered: run both ways round so a fixed tie order cannot pass it; 'nobody is starved over several orders' follows from the same weight
staging: not run on staging: needs the server's database (local run only)</t>
        </is>
      </c>
      <c r="O282" s="24" t="inlineStr">
        <is>
          <t>D-45</t>
        </is>
      </c>
      <c r="P282" s="24" t="inlineStr">
        <is>
          <t>2026-10-24 17:06</t>
        </is>
      </c>
    </row>
    <row r="283" ht="23.25" customHeight="1" s="13">
      <c r="A283" s="24" t="inlineStr">
        <is>
          <t>TC-DSP-022</t>
        </is>
      </c>
      <c r="B283" s="24" t="inlineStr">
        <is>
          <t>Rider dispatch &amp; assignment rules</t>
        </is>
      </c>
      <c r="C283" s="24" t="inlineStr">
        <is>
          <t>WF-003</t>
        </is>
      </c>
      <c r="D283" s="24" t="inlineStr">
        <is>
          <t>Dispatch cron endpoint is protected</t>
        </is>
      </c>
      <c r="E283" s="24" t="inlineStr">
        <is>
          <t>Security</t>
        </is>
      </c>
      <c r="F283" s="24" t="inlineStr">
        <is>
          <t>P0</t>
        </is>
      </c>
      <c r="G283" s="24" t="inlineStr">
        <is>
          <t>Guest</t>
        </is>
      </c>
      <c r="H283" s="24" t="inlineStr">
        <is>
          <t>API</t>
        </is>
      </c>
      <c r="I283" s="24" t="n"/>
      <c r="J283" s="24" t="inlineStr">
        <is>
          <t>1. POST /api/cron/delivery-dispatch, /api/cron/notifications, /api/cron/risk-rules, /api/cron/finance-weekly, /api/cron/daily-orders with no token and with a wrong token</t>
        </is>
      </c>
      <c r="K283" s="24" t="inlineStr">
        <is>
          <t>403 each; nothing runs.</t>
        </is>
      </c>
      <c r="L283" s="24" t="inlineStr">
        <is>
          <t>e2e acceptance; Dev log</t>
        </is>
      </c>
      <c r="M283" s="24" t="inlineStr">
        <is>
          <t>Pass</t>
        </is>
      </c>
      <c r="N283" s="24" t="inlineStr">
        <is>
          <t>Passed, partly covered. Local Pass (partial) · Staging Pass (partial) · Production Pass (partial)
local: not covered: 'nothing runs' is proven by the refusal; the POST of GET-capable crons is not sent, to leave the shared cron rate limit to the real runs ‖ not covered: guest half (GET probes of every cron) in guest/access.spec.ts
staging: not covered: 'nothing runs' is proven by the refusal; the POST of GET-capable crons is not sent, to leave the shared cron rate limit to the real runs
production: not covered: 'nothing runs' is proven by the refusal; the POST of GET-capable crons is not sent, to leave the shared cron rate limit to the real runs</t>
        </is>
      </c>
      <c r="O283" s="24" t="inlineStr">
        <is>
          <t>E-12</t>
        </is>
      </c>
      <c r="P283" s="24" t="inlineStr">
        <is>
          <t>2026-10-29 14:06</t>
        </is>
      </c>
    </row>
    <row r="284" ht="23.25" customHeight="1" s="13">
      <c r="A284" s="24" t="inlineStr">
        <is>
          <t>TC-DSP-023</t>
        </is>
      </c>
      <c r="B284" s="24" t="inlineStr">
        <is>
          <t>Rider dispatch &amp; assignment rules</t>
        </is>
      </c>
      <c r="C284" s="24" t="inlineStr">
        <is>
          <t>GA-005</t>
        </is>
      </c>
      <c r="D284" s="24" t="inlineStr">
        <is>
          <t>Busy rider is ranked lower, not excluded</t>
        </is>
      </c>
      <c r="E284" s="24" t="inlineStr">
        <is>
          <t>Positive</t>
        </is>
      </c>
      <c r="F284" s="24" t="inlineStr">
        <is>
          <t>P1</t>
        </is>
      </c>
      <c r="G284" s="24" t="inlineStr">
        <is>
          <t>Rider</t>
        </is>
      </c>
      <c r="H284" s="24" t="inlineStr">
        <is>
          <t>UI</t>
        </is>
      </c>
      <c r="I284" s="24" t="inlineStr">
        <is>
          <t>Rider 1 on a delivery; Rider 2 free</t>
        </is>
      </c>
      <c r="J284" s="24" t="inlineStr">
        <is>
          <t>1. Mark an order READY
2. Repeat with only Rider 1 online</t>
        </is>
      </c>
      <c r="K284" s="24" t="inlineStr">
        <is>
          <t>Rider 2 is offered first. With only the busy rider online, Rider 1 is offered instead of the search failing.</t>
        </is>
      </c>
      <c r="L284" s="24" t="inlineStr">
        <is>
          <t>Open features 3-Oct, treated as completed 4-Oct</t>
        </is>
      </c>
      <c r="M284" s="24" t="inlineStr">
        <is>
          <t>Pass</t>
        </is>
      </c>
      <c r="N284" s="24" t="inlineStr">
        <is>
          <t>Passed, partly covered. Local Pass (partial) · Staging Not run (rule) · Production Not run
local: not covered: with rule dispatch.busyRidersAsFallback on (GA-005/F3, off by default — off, a busy rider is excluded, as before)
staging: not run on staging: needs the server's database (local run only)</t>
        </is>
      </c>
      <c r="O284" s="24" t="n"/>
      <c r="P284" s="24" t="inlineStr">
        <is>
          <t>2026-10-24 17:06</t>
        </is>
      </c>
    </row>
    <row r="285" ht="23.25" customHeight="1" s="13">
      <c r="A285" s="24" t="inlineStr">
        <is>
          <t>TC-DSP-024</t>
        </is>
      </c>
      <c r="B285" s="24" t="inlineStr">
        <is>
          <t>Rider dispatch &amp; assignment rules</t>
        </is>
      </c>
      <c r="C285" s="24" t="inlineStr">
        <is>
          <t>GA-005, WF-003</t>
        </is>
      </c>
      <c r="D285" s="24" t="inlineStr">
        <is>
          <t>Two orders batched to one rider</t>
        </is>
      </c>
      <c r="E285" s="24" t="inlineStr">
        <is>
          <t>Positive</t>
        </is>
      </c>
      <c r="F285" s="24" t="inlineStr">
        <is>
          <t>P1</t>
        </is>
      </c>
      <c r="G285" s="24" t="inlineStr">
        <is>
          <t>Rider</t>
        </is>
      </c>
      <c r="H285" s="24" t="inlineStr">
        <is>
          <t>UI</t>
        </is>
      </c>
      <c r="I285" s="24" t="inlineStr">
        <is>
          <t>Two READY orders at Shop A for nearby addresses</t>
        </is>
      </c>
      <c r="J285" s="24" t="inlineStr">
        <is>
          <t>1. Let dispatch run
2. Rider picks up both and delivers in sequence</t>
        </is>
      </c>
      <c r="K285" s="24" t="inlineStr">
        <is>
          <t>Both offered as one trip; each order keeps its own pickup code and delivery OTP; earnings recorded per order.</t>
        </is>
      </c>
      <c r="L285" s="24" t="inlineStr">
        <is>
          <t>Open features 3-Oct, treated as completed 4-Oct</t>
        </is>
      </c>
      <c r="M285" s="24" t="inlineStr">
        <is>
          <t>Pass</t>
        </is>
      </c>
      <c r="N285" s="24" t="inlineStr">
        <is>
          <t>Passed, partly covered. Local Pass (partial) · Staging Not run (rule) · Production Not run
local: not covered: with rule batching on (GA-005, off by default)
staging: not run on staging: needs the server's database (local run only)</t>
        </is>
      </c>
      <c r="O285" s="24" t="n"/>
      <c r="P285" s="24" t="inlineStr">
        <is>
          <t>2026-10-24 17:06</t>
        </is>
      </c>
    </row>
    <row r="286" ht="15" customHeight="1" s="13">
      <c r="A286" s="24" t="inlineStr">
        <is>
          <t>TC-DSP-025</t>
        </is>
      </c>
      <c r="B286" s="24" t="inlineStr">
        <is>
          <t>Rider dispatch &amp; assignment rules</t>
        </is>
      </c>
      <c r="C286" s="24" t="inlineStr">
        <is>
          <t>GA-005</t>
        </is>
      </c>
      <c r="D286" s="24" t="inlineStr">
        <is>
          <t>Batching limits</t>
        </is>
      </c>
      <c r="E286" s="24" t="inlineStr">
        <is>
          <t>Negative</t>
        </is>
      </c>
      <c r="F286" s="24" t="inlineStr">
        <is>
          <t>P1</t>
        </is>
      </c>
      <c r="G286" s="24" t="inlineStr">
        <is>
          <t>Rider</t>
        </is>
      </c>
      <c r="H286" s="24" t="inlineStr">
        <is>
          <t>UI</t>
        </is>
      </c>
      <c r="I286" s="24" t="n"/>
      <c r="J286" s="24" t="inlineStr">
        <is>
          <t>1. Create more READY orders than the batch limit
2. Create two orders in opposite directions
3. Cancel one order of a batch after pickup</t>
        </is>
      </c>
      <c r="K286" s="24" t="inlineStr">
        <is>
          <t>No batch above the limit; far-apart drops are not batched; the remaining order still completes and the cancelled one follows the cancellation rules.</t>
        </is>
      </c>
      <c r="L286" s="24" t="inlineStr">
        <is>
          <t>Open features 3-Oct, treated as completed 4-Oct</t>
        </is>
      </c>
      <c r="M286" s="24" t="inlineStr">
        <is>
          <t>Pass</t>
        </is>
      </c>
      <c r="N286" s="24" t="inlineStr">
        <is>
          <t>Passed, partly covered. Local Pass (partial) · Staging Not run (rule) · Production Not run
local: not covered: with rule batching on (GA-005, off by default)
staging: not run on staging: needs the server's database (local run only)</t>
        </is>
      </c>
      <c r="O286" s="24" t="n"/>
      <c r="P286" s="24" t="inlineStr">
        <is>
          <t>2026-10-24 17:06</t>
        </is>
      </c>
    </row>
    <row r="287" ht="15" customHeight="1" s="13">
      <c r="A287" s="24" t="inlineStr">
        <is>
          <t>TC-DSP-026</t>
        </is>
      </c>
      <c r="B287" s="24" t="inlineStr">
        <is>
          <t>Rider dispatch &amp; assignment rules</t>
        </is>
      </c>
      <c r="C287" s="24" t="inlineStr">
        <is>
          <t>GA-005, GS-071</t>
        </is>
      </c>
      <c r="D287" s="24" t="inlineStr">
        <is>
          <t>Rider on a batch sees only the current drop</t>
        </is>
      </c>
      <c r="E287" s="24" t="inlineStr">
        <is>
          <t>Security</t>
        </is>
      </c>
      <c r="F287" s="24" t="inlineStr">
        <is>
          <t>P1</t>
        </is>
      </c>
      <c r="G287" s="24" t="inlineStr">
        <is>
          <t>Rider</t>
        </is>
      </c>
      <c r="H287" s="24" t="inlineStr">
        <is>
          <t>UI+API</t>
        </is>
      </c>
      <c r="I287" s="24" t="n"/>
      <c r="J287" s="24" t="inlineStr">
        <is>
          <t>1. During drop 1 request the details of drop 2</t>
        </is>
      </c>
      <c r="K287" s="24" t="inlineStr">
        <is>
          <t>Address and contact of the next drop are revealed only when it becomes the active drop.</t>
        </is>
      </c>
      <c r="L287" s="24" t="inlineStr">
        <is>
          <t>Open features 3-Oct, treated as completed 4-Oct</t>
        </is>
      </c>
      <c r="M287" s="24" t="inlineStr">
        <is>
          <t>Pass</t>
        </is>
      </c>
      <c r="N287" s="24" t="inlineStr">
        <is>
          <t>Passed, partly covered. Local Pass (partial) · Staging Not run (rule) · Production Not run
local: not covered: with rule batching on (GA-005, off by default)
staging: not run on staging: needs the server's database (local run only)</t>
        </is>
      </c>
      <c r="O287" s="24" t="n"/>
      <c r="P287" s="24" t="inlineStr">
        <is>
          <t>2026-10-24 17:06</t>
        </is>
      </c>
    </row>
    <row r="288" ht="15" customHeight="1" s="13">
      <c r="A288" s="24" t="inlineStr">
        <is>
          <t>TC-DEL-001</t>
        </is>
      </c>
      <c r="B288" s="24" t="inlineStr">
        <is>
          <t>Rider delivery &amp; handover</t>
        </is>
      </c>
      <c r="C288" s="24" t="inlineStr">
        <is>
          <t>NAV-011, GS-039</t>
        </is>
      </c>
      <c r="D288" s="24" t="inlineStr">
        <is>
          <t>Rider accepts an offer</t>
        </is>
      </c>
      <c r="E288" s="24" t="inlineStr">
        <is>
          <t>Positive</t>
        </is>
      </c>
      <c r="F288" s="24" t="inlineStr">
        <is>
          <t>P0</t>
        </is>
      </c>
      <c r="G288" s="24" t="inlineStr">
        <is>
          <t>Rider</t>
        </is>
      </c>
      <c r="H288" s="24" t="inlineStr">
        <is>
          <t>UI</t>
        </is>
      </c>
      <c r="I288" s="24" t="n"/>
      <c r="J288" s="24" t="inlineStr">
        <is>
          <t>1. Accept within 2 minutes</t>
        </is>
      </c>
      <c r="K288" s="24" t="inlineStr">
        <is>
          <t>Order ASSIGNED; progress chips shown; pickup has a 'Navigate to the shop' link; drop shows area only with a note that the full address appears after pickup.</t>
        </is>
      </c>
      <c r="L288" s="24" t="inlineStr">
        <is>
          <t>QA C-01</t>
        </is>
      </c>
      <c r="M288" s="24" t="inlineStr">
        <is>
          <t>Pass</t>
        </is>
      </c>
      <c r="N288" s="24" t="inlineStr">
        <is>
          <t>Passed, partly covered. Local Pass (partial) · Staging Blocked · Production Not run
local: not covered: Google Maps itself is not opened (no outside network in the run): the deep link and its destination are checked; the customer's phone is checked on the local run ‖ blocked: "QA Butter 100 g mvmkyclr" cannot be added to the cart — HTTP 409: This product is currently unavailable online. ‖ blocked: needs the order placed by TC-CART-009 in this run
staging: needs the shop A location in this site's test data ‖ needs the delivery offer from TC-FUL-006</t>
        </is>
      </c>
      <c r="O288" s="24" t="n"/>
      <c r="P288" s="24" t="inlineStr">
        <is>
          <t>2026-10-24 21:23</t>
        </is>
      </c>
    </row>
    <row r="289" ht="23.25" customHeight="1" s="13">
      <c r="A289" s="24" t="inlineStr">
        <is>
          <t>TC-DEL-002</t>
        </is>
      </c>
      <c r="B289" s="24" t="inlineStr">
        <is>
          <t>Rider delivery &amp; handover</t>
        </is>
      </c>
      <c r="C289" s="24" t="inlineStr">
        <is>
          <t>GS-039</t>
        </is>
      </c>
      <c r="D289" s="24" t="inlineStr">
        <is>
          <t>Accept after expiry or when the order is no longer READY</t>
        </is>
      </c>
      <c r="E289" s="24" t="inlineStr">
        <is>
          <t>Negative</t>
        </is>
      </c>
      <c r="F289" s="24" t="inlineStr">
        <is>
          <t>P1</t>
        </is>
      </c>
      <c r="G289" s="24" t="inlineStr">
        <is>
          <t>Rider</t>
        </is>
      </c>
      <c r="H289" s="24" t="inlineStr">
        <is>
          <t>API</t>
        </is>
      </c>
      <c r="I289" s="24" t="n"/>
      <c r="J289" s="24" t="inlineStr">
        <is>
          <t>1. Accept an expired offer
2. Accept after the order was cancelled</t>
        </is>
      </c>
      <c r="K289" s="24" t="inlineStr">
        <is>
          <t>Refused.</t>
        </is>
      </c>
      <c r="L289" s="24" t="inlineStr">
        <is>
          <t>Dev log Slices 3-4 handoff</t>
        </is>
      </c>
      <c r="M289" s="24" t="inlineStr">
        <is>
          <t>Pass</t>
        </is>
      </c>
      <c r="N289" s="24" t="inlineStr">
        <is>
          <t>Passed, partly covered. Local Pass (partial) · Staging Not run (rule) · Production Not run
local: not covered: the 2 minutes are aged in the database, not waited for
staging: not run on staging: needs the server's database (local run only)</t>
        </is>
      </c>
      <c r="O289" s="24" t="n"/>
      <c r="P289" s="24" t="inlineStr">
        <is>
          <t>2026-10-24 17:06</t>
        </is>
      </c>
    </row>
    <row r="290" ht="34.5" customHeight="1" s="13">
      <c r="A290" s="24" t="inlineStr">
        <is>
          <t>TC-DEL-003</t>
        </is>
      </c>
      <c r="B290" s="24" t="inlineStr">
        <is>
          <t>Rider delivery &amp; handover</t>
        </is>
      </c>
      <c r="C290" s="24" t="inlineStr">
        <is>
          <t>NEW-004</t>
        </is>
      </c>
      <c r="D290" s="24" t="inlineStr">
        <is>
          <t>Arrived at the shop</t>
        </is>
      </c>
      <c r="E290" s="24" t="inlineStr">
        <is>
          <t>Positive</t>
        </is>
      </c>
      <c r="F290" s="24" t="inlineStr">
        <is>
          <t>P1</t>
        </is>
      </c>
      <c r="G290" s="24" t="inlineStr">
        <is>
          <t>Rider</t>
        </is>
      </c>
      <c r="H290" s="24" t="inlineStr">
        <is>
          <t>UI</t>
        </is>
      </c>
      <c r="I290" s="24" t="n"/>
      <c r="J290" s="24" t="inlineStr">
        <is>
          <t>1. Tap 'I've arrived at the shop' twice</t>
        </is>
      </c>
      <c r="K290" s="24" t="inlineStr">
        <is>
          <t>Chip ticks; shop notified once; the second tap is harmless.</t>
        </is>
      </c>
      <c r="L290" s="24" t="inlineStr">
        <is>
          <t>QA C-02</t>
        </is>
      </c>
      <c r="M290" s="24" t="inlineStr">
        <is>
          <t>Pass</t>
        </is>
      </c>
      <c r="N290" s="24" t="inlineStr">
        <is>
          <t>Passed, partly covered. Local Pass (partial) · Staging Blocked · Production Not run
local: blocked: "QA Butter 100 g mvmkyclr" cannot be added to the cart — HTTP 409: This product is currently unavailable online.
staging: needs the shop A location in this site's test data</t>
        </is>
      </c>
      <c r="O290" s="24" t="n"/>
      <c r="P290" s="24" t="inlineStr">
        <is>
          <t>2026-10-24 21:24</t>
        </is>
      </c>
    </row>
    <row r="291" ht="23.25" customHeight="1" s="13">
      <c r="A291" s="24" t="inlineStr">
        <is>
          <t>TC-DEL-004</t>
        </is>
      </c>
      <c r="B291" s="24" t="inlineStr">
        <is>
          <t>Rider delivery &amp; handover</t>
        </is>
      </c>
      <c r="C291" s="24" t="inlineStr">
        <is>
          <t>GS-041</t>
        </is>
      </c>
      <c r="D291" s="24" t="inlineStr">
        <is>
          <t>Pickup with the wrong then the right code</t>
        </is>
      </c>
      <c r="E291" s="24" t="inlineStr">
        <is>
          <t>Positive</t>
        </is>
      </c>
      <c r="F291" s="24" t="inlineStr">
        <is>
          <t>P0</t>
        </is>
      </c>
      <c r="G291" s="24" t="inlineStr">
        <is>
          <t>Rider</t>
        </is>
      </c>
      <c r="H291" s="24" t="inlineStr">
        <is>
          <t>UI</t>
        </is>
      </c>
      <c r="I291" s="24" t="n"/>
      <c r="J291" s="24" t="inlineStr">
        <is>
          <t>1. Enter a wrong pickup code
2. Enter the code read out by the shop</t>
        </is>
      </c>
      <c r="K291" s="24" t="inlineStr">
        <is>
          <t>Wrong refused. Right: PICKED_UP; shop and customer notified.</t>
        </is>
      </c>
      <c r="L291" s="24" t="inlineStr">
        <is>
          <t>Dev log Slices 3-4 handoff</t>
        </is>
      </c>
      <c r="M291" s="24" t="inlineStr">
        <is>
          <t>Pass</t>
        </is>
      </c>
      <c r="N291" s="24" t="inlineStr">
        <is>
          <t>Passed, partly covered. Local Pass (partial) · Staging Blocked · Production Not run
local: not covered: wrong pickup codes are not counted at all — there is no attempt limit on the pickup code (only the delivery code locks) ‖ blocked: needs the order placed by TC-CART-009 in this run ‖ blocked: "QA Butter 100 g mvmkyclr" cannot be added to the cart — HTTP 409: This product is currently unavailable online.
staging: needs the delivery from TC-DEL-001 ‖ needs the shop A location in this site's test data</t>
        </is>
      </c>
      <c r="O291" s="24" t="n"/>
      <c r="P291" s="24" t="inlineStr">
        <is>
          <t>2026-10-24 21:25</t>
        </is>
      </c>
    </row>
    <row r="292" ht="34.5" customHeight="1" s="13">
      <c r="A292" s="24" t="inlineStr">
        <is>
          <t>TC-DEL-005</t>
        </is>
      </c>
      <c r="B292" s="24" t="inlineStr">
        <is>
          <t>Rider delivery &amp; handover</t>
        </is>
      </c>
      <c r="C292" s="24" t="inlineStr">
        <is>
          <t>WF-005</t>
        </is>
      </c>
      <c r="D292" s="24" t="inlineStr">
        <is>
          <t>Start delivery reveals the drop details</t>
        </is>
      </c>
      <c r="E292" s="24" t="inlineStr">
        <is>
          <t>Positive</t>
        </is>
      </c>
      <c r="F292" s="24" t="inlineStr">
        <is>
          <t>P0</t>
        </is>
      </c>
      <c r="G292" s="24" t="inlineStr">
        <is>
          <t>Rider</t>
        </is>
      </c>
      <c r="H292" s="24" t="inlineStr">
        <is>
          <t>UI</t>
        </is>
      </c>
      <c r="I292" s="24" t="n"/>
      <c r="J292" s="24" t="inlineStr">
        <is>
          <t>1. Tap 'Start delivery'</t>
        </is>
      </c>
      <c r="K292" s="24" t="inlineStr">
        <is>
          <t>Status OUT_FOR_DELIVERY; full address, landmark/instructions and 'Navigate to the customer' appear; customer now sees a delivery OTP on My Orders.</t>
        </is>
      </c>
      <c r="L292" s="24" t="inlineStr">
        <is>
          <t>QA C-03</t>
        </is>
      </c>
      <c r="M292" s="24" t="inlineStr">
        <is>
          <t>Pass</t>
        </is>
      </c>
      <c r="N292" s="24" t="inlineStr">
        <is>
          <t>Passed, partly covered. Local Pass (partial) · Staging Blocked · Production Not run
local: not covered: the full address, notes and the customer link appear at pickup rather than at Start delivery (src/server/services/delivery-assignment.ts getMyActiveDeliveryDetail: 'from PICKED_UP'); the code itself is e-mailed and shown on the card on request (after the 60 s resend cooldown); the society wording of the arrival notice is checked with a society order in local/orders-dispatch.spec.ts; landmark/instructions are arranged and checked on the local run only ‖ blocked: "QA Butter 100 g mvmkyclr" cannot be added to the cart — HTTP 409: This product is currently unavailable online.
staging: needs the shop A location in this site's test data</t>
        </is>
      </c>
      <c r="O292" s="24" t="n"/>
      <c r="P292" s="24" t="inlineStr">
        <is>
          <t>2026-10-24 21:26</t>
        </is>
      </c>
    </row>
    <row r="293" ht="15" customHeight="1" s="13">
      <c r="A293" s="24" t="inlineStr">
        <is>
          <t>TC-DEL-006</t>
        </is>
      </c>
      <c r="B293" s="24" t="inlineStr">
        <is>
          <t>Rider delivery &amp; handover</t>
        </is>
      </c>
      <c r="C293" s="24" t="inlineStr">
        <is>
          <t>NEW-004</t>
        </is>
      </c>
      <c r="D293" s="24" t="inlineStr">
        <is>
          <t>Arrived at the customer</t>
        </is>
      </c>
      <c r="E293" s="24" t="inlineStr">
        <is>
          <t>Positive</t>
        </is>
      </c>
      <c r="F293" s="24" t="inlineStr">
        <is>
          <t>P1</t>
        </is>
      </c>
      <c r="G293" s="24" t="inlineStr">
        <is>
          <t>Rider</t>
        </is>
      </c>
      <c r="H293" s="24" t="inlineStr">
        <is>
          <t>UI</t>
        </is>
      </c>
      <c r="I293" s="24" t="n"/>
      <c r="J293" s="24" t="inlineStr">
        <is>
          <t>1. Tap 'I've arrived at the customer'</t>
        </is>
      </c>
      <c r="K293" s="24" t="inlineStr">
        <is>
          <t>Customer notified 'Your rider has arrived'; for a society order the wording follows the entry mode.</t>
        </is>
      </c>
      <c r="L293" s="24" t="inlineStr">
        <is>
          <t>QA C-04</t>
        </is>
      </c>
      <c r="M293" s="24" t="inlineStr">
        <is>
          <t>Pass</t>
        </is>
      </c>
      <c r="N293" s="24" t="inlineStr">
        <is>
          <t>Passed, partly covered. Local Pass (partial) · Staging Blocked · Production Not run
local: not covered: the full address, notes and the customer link appear at pickup rather than at Start delivery (src/server/services/delivery-assignment.ts getMyActiveDeliveryDetail: 'from PICKED_UP'); the code itself is e-mailed and shown on the card on request (after the 60 s resend cooldown); the society wording of the arrival notice is checked with a society order in local/orders-dispatch.spec.ts; landmark/instructions are arranged and checked on the local run only ‖ blocked: "QA Butter 100 g mvmkyclr" cannot be added to the cart — HTTP 409: This product is currently unavailable online.
staging: needs the shop A location in this site's test data</t>
        </is>
      </c>
      <c r="O293" s="24" t="n"/>
      <c r="P293" s="24" t="inlineStr">
        <is>
          <t>2026-10-24 21:26</t>
        </is>
      </c>
    </row>
    <row r="294" ht="23.25" customHeight="1" s="13">
      <c r="A294" s="24" t="inlineStr">
        <is>
          <t>TC-DEL-007</t>
        </is>
      </c>
      <c r="B294" s="24" t="inlineStr">
        <is>
          <t>Rider delivery &amp; handover</t>
        </is>
      </c>
      <c r="C294" s="24" t="inlineStr">
        <is>
          <t>GS-043</t>
        </is>
      </c>
      <c r="D294" s="24" t="inlineStr">
        <is>
          <t>Deliver with the customer OTP</t>
        </is>
      </c>
      <c r="E294" s="24" t="inlineStr">
        <is>
          <t>Positive</t>
        </is>
      </c>
      <c r="F294" s="24" t="inlineStr">
        <is>
          <t>P0</t>
        </is>
      </c>
      <c r="G294" s="24" t="inlineStr">
        <is>
          <t>Rider</t>
        </is>
      </c>
      <c r="H294" s="24" t="inlineStr">
        <is>
          <t>UI</t>
        </is>
      </c>
      <c r="I294" s="24" t="n"/>
      <c r="J294" s="24" t="inlineStr">
        <is>
          <t>1. Enter the OTP the customer reads out</t>
        </is>
      </c>
      <c r="K294" s="24" t="inlineStr">
        <is>
          <t>DELIVERED; rider earning credited; customer and shop notified; finance snapshot created.</t>
        </is>
      </c>
      <c r="L294" s="24" t="inlineStr">
        <is>
          <t>Dev log Slices 3-4 handoff</t>
        </is>
      </c>
      <c r="M294" s="24" t="inlineStr">
        <is>
          <t>Blocked</t>
        </is>
      </c>
      <c r="N294" s="24" t="inlineStr">
        <is>
          <t>Local Blocked · Staging Blocked · Production Not run
local: "QA Butter 100 g mvmkyclr" cannot be added to the cart — HTTP 409: This product is currently unavailable online. ‖ needs the order placed by TC-CART-009 in this run
staging: no delivery offer reached the rider for order 25036ead-a7de-46df-9702-ad1aac839968 within 30 s (rider offline or busy?) ‖ needs the delivery from TC-DEL-001</t>
        </is>
      </c>
      <c r="O294" s="24" t="n"/>
      <c r="P294" s="24" t="inlineStr">
        <is>
          <t>2026-10-24 19:36</t>
        </is>
      </c>
    </row>
    <row r="295" ht="23.25" customHeight="1" s="13">
      <c r="A295" s="24" t="inlineStr">
        <is>
          <t>TC-DEL-008</t>
        </is>
      </c>
      <c r="B295" s="24" t="inlineStr">
        <is>
          <t>Rider delivery &amp; handover</t>
        </is>
      </c>
      <c r="C295" s="24" t="inlineStr">
        <is>
          <t>GS-043</t>
        </is>
      </c>
      <c r="D295" s="24" t="inlineStr">
        <is>
          <t>Wrong OTP five times locks the delivery</t>
        </is>
      </c>
      <c r="E295" s="24" t="inlineStr">
        <is>
          <t>Boundary</t>
        </is>
      </c>
      <c r="F295" s="24" t="inlineStr">
        <is>
          <t>P0</t>
        </is>
      </c>
      <c r="G295" s="24" t="inlineStr">
        <is>
          <t>Rider</t>
        </is>
      </c>
      <c r="H295" s="24" t="inlineStr">
        <is>
          <t>UI</t>
        </is>
      </c>
      <c r="I295" s="24" t="n"/>
      <c r="J295" s="24" t="inlineStr">
        <is>
          <t>1. Enter a wrong OTP 5 times, then the right one</t>
        </is>
      </c>
      <c r="K295" s="24" t="inlineStr">
        <is>
          <t>After 5 the right OTP is refused; only operations can complete it.</t>
        </is>
      </c>
      <c r="L295" s="24" t="inlineStr">
        <is>
          <t>Dev log Slices 3-4 handoff</t>
        </is>
      </c>
      <c r="M295" s="24" t="inlineStr">
        <is>
          <t>Blocked</t>
        </is>
      </c>
      <c r="N295" s="24" t="inlineStr">
        <is>
          <t>Local Blocked · Staging Blocked · Production Not run
local: "QA Butter 100 g mvmkyclr" cannot be added to the cart — HTTP 409: This product is currently unavailable online.
staging: no delivery offer reached the rider for order eaf73e59-db5a-4787-b02b-8a2ff536a4e4 within 30 s (rider offline or busy?)</t>
        </is>
      </c>
      <c r="O295" s="24" t="n"/>
      <c r="P295" s="24" t="inlineStr">
        <is>
          <t>2026-10-24 19:39</t>
        </is>
      </c>
    </row>
    <row r="296" ht="15" customHeight="1" s="13">
      <c r="A296" s="24" t="inlineStr">
        <is>
          <t>TC-DEL-009</t>
        </is>
      </c>
      <c r="B296" s="24" t="inlineStr">
        <is>
          <t>Rider delivery &amp; handover</t>
        </is>
      </c>
      <c r="C296" s="24" t="inlineStr">
        <is>
          <t>GS-043</t>
        </is>
      </c>
      <c r="D296" s="24" t="inlineStr">
        <is>
          <t>Operations override with a proof note</t>
        </is>
      </c>
      <c r="E296" s="24" t="inlineStr">
        <is>
          <t>Positive</t>
        </is>
      </c>
      <c r="F296" s="24" t="inlineStr">
        <is>
          <t>P1</t>
        </is>
      </c>
      <c r="G296" s="24" t="inlineStr">
        <is>
          <t>Operator</t>
        </is>
      </c>
      <c r="H296" s="24" t="inlineStr">
        <is>
          <t>UI+API</t>
        </is>
      </c>
      <c r="I296" s="24" t="inlineStr">
        <is>
          <t>Locked or OTP-less delivery after pickup</t>
        </is>
      </c>
      <c r="J296" s="24" t="inlineStr">
        <is>
          <t>1. POST confirm-delivery with a proofNote
2. Without a note
3. As shop owner</t>
        </is>
      </c>
      <c r="K296" s="24" t="inlineStr">
        <is>
          <t>With note: DELIVERED and audited. Without: 422. Shop owner: 403.</t>
        </is>
      </c>
      <c r="L296" s="24" t="inlineStr">
        <is>
          <t>Dev log Slices 3-4 handoff</t>
        </is>
      </c>
      <c r="M296" s="24" t="inlineStr">
        <is>
          <t>Blocked</t>
        </is>
      </c>
      <c r="N296" s="24" t="inlineStr">
        <is>
          <t>Local Blocked · Staging Blocked · Production Not run
local: "QA Butter 100 g mvmkyclr" cannot be added to the cart — HTTP 409: This product is currently unavailable online.
staging: no delivery offer reached the rider for order eaf73e59-db5a-4787-b02b-8a2ff536a4e4 within 30 s (rider offline or busy?)</t>
        </is>
      </c>
      <c r="O296" s="24" t="n"/>
      <c r="P296" s="24" t="inlineStr">
        <is>
          <t>2026-10-24 19:39</t>
        </is>
      </c>
    </row>
    <row r="297" ht="23.25" customHeight="1" s="13">
      <c r="A297" s="24" t="inlineStr">
        <is>
          <t>TC-DEL-010</t>
        </is>
      </c>
      <c r="B297" s="24" t="inlineStr">
        <is>
          <t>Rider delivery &amp; handover</t>
        </is>
      </c>
      <c r="C297" s="24" t="inlineStr">
        <is>
          <t>GS-041, GS-043, GS-071</t>
        </is>
      </c>
      <c r="D297" s="24" t="inlineStr">
        <is>
          <t>Rider never receives codes or customer identity</t>
        </is>
      </c>
      <c r="E297" s="24" t="inlineStr">
        <is>
          <t>Security</t>
        </is>
      </c>
      <c r="F297" s="24" t="inlineStr">
        <is>
          <t>P0</t>
        </is>
      </c>
      <c r="G297" s="24" t="inlineStr">
        <is>
          <t>Rider</t>
        </is>
      </c>
      <c r="H297" s="24" t="inlineStr">
        <is>
          <t>UI+API</t>
        </is>
      </c>
      <c r="I297" s="24" t="n"/>
      <c r="J297" s="24" t="inlineStr">
        <is>
          <t>1. Inspect the rider dashboard and the JSON of /api/delivery-partner/deliveries and PATCH /api/delivery-orders/{id} at every stage</t>
        </is>
      </c>
      <c r="K297" s="24" t="inlineStr">
        <is>
          <t>No pickupCode, deliveryOtp or handoverCode, and no customer name or phone, in any page or response - only needsPickupCode / needsDeliveryOtp flags.</t>
        </is>
      </c>
      <c r="L297" s="24" t="inlineStr">
        <is>
          <t>QA C-01, C-03, section 13</t>
        </is>
      </c>
      <c r="M297" s="24" t="inlineStr">
        <is>
          <t>Pass</t>
        </is>
      </c>
      <c r="N297" s="24" t="inlineStr">
        <is>
          <t>Passed, partly covered. Local Pass (partial) · Staging Blocked · Production Not run
local: not covered: Google Maps itself is not opened (no outside network in the run): the deep link and its destination are checked; the customer's phone is checked on the local run ‖ blocked: "QA Butter 100 g mvmkyclr" cannot be added to the cart — HTTP 409: This product is currently unavailable online. ‖ blocked: needs the order placed by TC-CART-009 in this run
staging: needs the shop A location in this site's test data ‖ needs the delivery offer from TC-FUL-006</t>
        </is>
      </c>
      <c r="O297" s="24" t="n"/>
      <c r="P297" s="24" t="inlineStr">
        <is>
          <t>2026-10-24 21:23</t>
        </is>
      </c>
    </row>
    <row r="298" ht="45.75" customHeight="1" s="13">
      <c r="A298" s="24" t="inlineStr">
        <is>
          <t>TC-DEL-011</t>
        </is>
      </c>
      <c r="B298" s="24" t="inlineStr">
        <is>
          <t>Rider delivery &amp; handover</t>
        </is>
      </c>
      <c r="C298" s="24" t="inlineStr">
        <is>
          <t>WF-005</t>
        </is>
      </c>
      <c r="D298" s="24" t="inlineStr">
        <is>
          <t>Failed delivery</t>
        </is>
      </c>
      <c r="E298" s="24" t="inlineStr">
        <is>
          <t>Positive</t>
        </is>
      </c>
      <c r="F298" s="24" t="inlineStr">
        <is>
          <t>P0</t>
        </is>
      </c>
      <c r="G298" s="24" t="inlineStr">
        <is>
          <t>Rider</t>
        </is>
      </c>
      <c r="H298" s="24" t="inlineStr">
        <is>
          <t>UI</t>
        </is>
      </c>
      <c r="I298" s="24" t="inlineStr">
        <is>
          <t>Out for delivery</t>
        </is>
      </c>
      <c r="J298" s="24" t="inlineStr">
        <is>
          <t>1. Report 'Customer not reachable'</t>
        </is>
      </c>
      <c r="K298" s="24" t="inlineStr">
        <is>
          <t>Order FAILED; shop notified; rider earning credited per the failed-delivery rule; shop can mark RETURNED which cancels and refunds.</t>
        </is>
      </c>
      <c r="L298" s="24" t="inlineStr">
        <is>
          <t>Dev log Slices 3-4 handoff</t>
        </is>
      </c>
      <c r="M298" s="24" t="inlineStr">
        <is>
          <t>Blocked</t>
        </is>
      </c>
      <c r="N298" s="24" t="inlineStr">
        <is>
          <t>Local Blocked · Staging Blocked · Production Not run
local: "QA Butter 100 g mvmkyclr" cannot be added to the cart — HTTP 409: This product is currently unavailable online.
staging: no delivery offer reached the rider for order 16c46c17-d8b8-4cf8-8526-3fc6b17d7811 within 30 s (rider offline or busy?)</t>
        </is>
      </c>
      <c r="O298" s="24" t="n"/>
      <c r="P298" s="24" t="inlineStr">
        <is>
          <t>2026-10-24 19:08</t>
        </is>
      </c>
    </row>
    <row r="299" ht="23.25" customHeight="1" s="13">
      <c r="A299" s="24" t="inlineStr">
        <is>
          <t>TC-DEL-012</t>
        </is>
      </c>
      <c r="B299" s="24" t="inlineStr">
        <is>
          <t>Rider delivery &amp; handover</t>
        </is>
      </c>
      <c r="C299" s="24" t="inlineStr">
        <is>
          <t>GS-072</t>
        </is>
      </c>
      <c r="D299" s="24" t="inlineStr">
        <is>
          <t>Navigation links open Google Maps</t>
        </is>
      </c>
      <c r="E299" s="24" t="inlineStr">
        <is>
          <t>Positive</t>
        </is>
      </c>
      <c r="F299" s="24" t="inlineStr">
        <is>
          <t>P2</t>
        </is>
      </c>
      <c r="G299" s="24" t="inlineStr">
        <is>
          <t>Rider</t>
        </is>
      </c>
      <c r="H299" s="24" t="inlineStr">
        <is>
          <t>UI</t>
        </is>
      </c>
      <c r="I299" s="24" t="n"/>
      <c r="J299" s="24" t="inlineStr">
        <is>
          <t>1. Tap both Navigate links</t>
        </is>
      </c>
      <c r="K299" s="24" t="inlineStr">
        <is>
          <t>Google Maps opens with the right destination (deep link; no in-app navigation).</t>
        </is>
      </c>
      <c r="L299" s="24" t="inlineStr">
        <is>
          <t>Status report GS-072</t>
        </is>
      </c>
      <c r="M299" s="24" t="inlineStr">
        <is>
          <t>Pass</t>
        </is>
      </c>
      <c r="N299" s="24" t="inlineStr">
        <is>
          <t>Passed, partly covered. Local Pass (partial) · Staging Blocked · Production Not run
local: not covered: Google Maps itself is not opened (no outside network in the run): the deep link and its destination are checked; the customer's phone is checked on the local run ‖ blocked: "QA Butter 100 g mvmkyclr" cannot be added to the cart — HTTP 409: This product is currently unavailable online.
staging: needs the shop A location in this site's test data</t>
        </is>
      </c>
      <c r="O299" s="24" t="n"/>
      <c r="P299" s="24" t="inlineStr">
        <is>
          <t>2026-10-24 21:23</t>
        </is>
      </c>
    </row>
    <row r="300" ht="23.25" customHeight="1" s="13">
      <c r="A300" s="24" t="inlineStr">
        <is>
          <t>TC-DEL-013</t>
        </is>
      </c>
      <c r="B300" s="24" t="inlineStr">
        <is>
          <t>Rider delivery &amp; handover</t>
        </is>
      </c>
      <c r="C300" s="24" t="inlineStr">
        <is>
          <t>GS-038</t>
        </is>
      </c>
      <c r="D300" s="24" t="inlineStr">
        <is>
          <t>Online / offline toggle</t>
        </is>
      </c>
      <c r="E300" s="24" t="inlineStr">
        <is>
          <t>Regression</t>
        </is>
      </c>
      <c r="F300" s="24" t="inlineStr">
        <is>
          <t>P0</t>
        </is>
      </c>
      <c r="G300" s="24" t="inlineStr">
        <is>
          <t>Rider</t>
        </is>
      </c>
      <c r="H300" s="24" t="inlineStr">
        <is>
          <t>UI</t>
        </is>
      </c>
      <c r="I300" s="24" t="n"/>
      <c r="J300" s="24" t="inlineStr">
        <is>
          <t>1. Go offline, mark an order READY, go online</t>
        </is>
      </c>
      <c r="K300" s="24" t="inlineStr">
        <is>
          <t>No offer while offline; offers resume when online.</t>
        </is>
      </c>
      <c r="L300" s="24" t="inlineStr">
        <is>
          <t>Regression DEL-03</t>
        </is>
      </c>
      <c r="M300" s="24" t="inlineStr">
        <is>
          <t>Pass</t>
        </is>
      </c>
      <c r="N300" s="24" t="inlineStr">
        <is>
          <t>Passed, partly covered. Local Pass (partial) · Staging Not run (rule) · Production Not run
local: not covered: an open dashboard shows a new offer after a reload (it does not refresh itself while broadcast offers are off); 'offers resume' is shown with the dispatch sweep (it runs every minute on the sites)
staging: not run on staging: needs the server's database (local run only)</t>
        </is>
      </c>
      <c r="O300" s="24" t="n"/>
      <c r="P300" s="24" t="inlineStr">
        <is>
          <t>2026-10-24 20:51</t>
        </is>
      </c>
    </row>
    <row r="301" ht="15" customHeight="1" s="13">
      <c r="A301" s="24" t="inlineStr">
        <is>
          <t>TC-DEL-014</t>
        </is>
      </c>
      <c r="B301" s="24" t="inlineStr">
        <is>
          <t>Rider delivery &amp; handover</t>
        </is>
      </c>
      <c r="C301" s="24" t="inlineStr">
        <is>
          <t>GS-037</t>
        </is>
      </c>
      <c r="D301" s="24" t="inlineStr">
        <is>
          <t>Rider application</t>
        </is>
      </c>
      <c r="E301" s="24" t="inlineStr">
        <is>
          <t>Regression</t>
        </is>
      </c>
      <c r="F301" s="24" t="inlineStr">
        <is>
          <t>P0</t>
        </is>
      </c>
      <c r="G301" s="24" t="inlineStr">
        <is>
          <t>Customer</t>
        </is>
      </c>
      <c r="H301" s="24" t="inlineStr">
        <is>
          <t>UI</t>
        </is>
      </c>
      <c r="I301" s="24" t="n"/>
      <c r="J301" s="24" t="inlineStr">
        <is>
          <t>1. Open /delivery-partner/apply or /register
2. Submit with required profile, vehicle, KYC and bank details
3. Submit with a missing required field</t>
        </is>
      </c>
      <c r="K301" s="24" t="inlineStr">
        <is>
          <t>Application created for review; missing fields flagged.</t>
        </is>
      </c>
      <c r="L301" s="24" t="inlineStr">
        <is>
          <t>Regression DEL-01</t>
        </is>
      </c>
      <c r="M301" s="24" t="inlineStr">
        <is>
          <t>Pass</t>
        </is>
      </c>
      <c r="N301" s="24" t="inlineStr">
        <is>
          <t>Local Pass · Staging Not run (rule) · Production Not run
local: empty submit flagged fullName, mobile, vehicleType (nothing created; API 422 names fullName, mobile, vehicleType); complete application → REGISTERED, "waiting to be reviewed", KYC/bank in *_encrypted columns only
staging: not run on staging: needs the server's database (local run only)</t>
        </is>
      </c>
      <c r="O301" s="24" t="n"/>
      <c r="P301" s="24" t="inlineStr">
        <is>
          <t>2026-10-24 17:06</t>
        </is>
      </c>
    </row>
    <row r="302" ht="45.75" customHeight="1" s="13">
      <c r="A302" s="24" t="inlineStr">
        <is>
          <t>TC-DEL-015</t>
        </is>
      </c>
      <c r="B302" s="24" t="inlineStr">
        <is>
          <t>Rider delivery &amp; handover</t>
        </is>
      </c>
      <c r="C302" s="24" t="inlineStr">
        <is>
          <t>GS-037, SM-003</t>
        </is>
      </c>
      <c r="D302" s="24" t="inlineStr">
        <is>
          <t>Admin reviews a rider</t>
        </is>
      </c>
      <c r="E302" s="24" t="inlineStr">
        <is>
          <t>Regression</t>
        </is>
      </c>
      <c r="F302" s="24" t="inlineStr">
        <is>
          <t>P0</t>
        </is>
      </c>
      <c r="G302" s="24" t="inlineStr">
        <is>
          <t>Operator</t>
        </is>
      </c>
      <c r="H302" s="24" t="inlineStr">
        <is>
          <t>UI</t>
        </is>
      </c>
      <c r="I302" s="24" t="n"/>
      <c r="J302" s="24" t="inlineStr">
        <is>
          <t>1. Move an application to under review, approve; reject another with a reason; suspend, reactivate and deactivate an approved rider</t>
        </is>
      </c>
      <c r="K302" s="24" t="inlineStr">
        <is>
          <t>Each transition works and is audited; the rider is notified; only APPROVED riders can go online.</t>
        </is>
      </c>
      <c r="L302" s="24" t="inlineStr">
        <is>
          <t>Regression DEL-02</t>
        </is>
      </c>
      <c r="M302" s="24" t="inlineStr">
        <is>
          <t>Pass</t>
        </is>
      </c>
      <c r="N302" s="24" t="inlineStr">
        <is>
          <t>Passed, partly covered. Local Pass (partial) · Staging Not run (rule) · Production Not run
local: not covered: the rider notices are checked in the next check
staging: not run on staging: needs the server's database (local run only)</t>
        </is>
      </c>
      <c r="O302" s="24" t="inlineStr">
        <is>
          <t>D-50</t>
        </is>
      </c>
      <c r="P302" s="24" t="inlineStr">
        <is>
          <t>2026-10-24 17:06</t>
        </is>
      </c>
    </row>
    <row r="303" ht="15" customHeight="1" s="13">
      <c r="A303" s="24" t="inlineStr">
        <is>
          <t>TC-DEL-016</t>
        </is>
      </c>
      <c r="B303" s="24" t="inlineStr">
        <is>
          <t>Rider delivery &amp; handover</t>
        </is>
      </c>
      <c r="C303" s="24" t="inlineStr">
        <is>
          <t>GS-037</t>
        </is>
      </c>
      <c r="D303" s="24" t="inlineStr">
        <is>
          <t>Rider KYC is stored encrypted and not displayed</t>
        </is>
      </c>
      <c r="E303" s="24" t="inlineStr">
        <is>
          <t>Security</t>
        </is>
      </c>
      <c r="F303" s="24" t="inlineStr">
        <is>
          <t>P1</t>
        </is>
      </c>
      <c r="G303" s="24" t="inlineStr">
        <is>
          <t>Rider</t>
        </is>
      </c>
      <c r="H303" s="24" t="inlineStr">
        <is>
          <t>UI</t>
        </is>
      </c>
      <c r="I303" s="24" t="n"/>
      <c r="J303" s="24" t="inlineStr">
        <is>
          <t>1. Open /gig/profile</t>
        </is>
      </c>
      <c r="K303" s="24" t="inlineStr">
        <is>
          <t>Vehicle type and registration shown; identity and bank details are not displayed. Profile is read-only.</t>
        </is>
      </c>
      <c r="L303" s="24" t="inlineStr">
        <is>
          <t>Status report NAV-013</t>
        </is>
      </c>
      <c r="M303" s="24" t="inlineStr">
        <is>
          <t>Pass</t>
        </is>
      </c>
      <c r="N303" s="24" t="inlineStr">
        <is>
          <t>Passed, partly covered. Local Pass (partial) · Staging Not run (rule) · Production Not run
local: not covered: "Profile is read-only" is superseded by F2 (docs/marketplace-features-2026-10/README.md, src/server/services/rider-profile.ts): everyday details are editable, identity/bank changes go to admin review — see TC-DEL-028/029
staging: not run on staging: needs the server's database (local run only)</t>
        </is>
      </c>
      <c r="O303" s="24" t="n"/>
      <c r="P303" s="24" t="inlineStr">
        <is>
          <t>2026-10-24 17:06</t>
        </is>
      </c>
    </row>
    <row r="304" ht="15" customHeight="1" s="13">
      <c r="A304" s="24" t="inlineStr">
        <is>
          <t>TC-DEL-017</t>
        </is>
      </c>
      <c r="B304" s="24" t="inlineStr">
        <is>
          <t>Rider delivery &amp; handover</t>
        </is>
      </c>
      <c r="C304" s="24" t="inlineStr">
        <is>
          <t>NAV-013</t>
        </is>
      </c>
      <c r="D304" s="24" t="inlineStr">
        <is>
          <t>Gig portal pages</t>
        </is>
      </c>
      <c r="E304" s="24" t="inlineStr">
        <is>
          <t>Positive</t>
        </is>
      </c>
      <c r="F304" s="24" t="inlineStr">
        <is>
          <t>P2</t>
        </is>
      </c>
      <c r="G304" s="24" t="inlineStr">
        <is>
          <t>Rider</t>
        </is>
      </c>
      <c r="H304" s="24" t="inlineStr">
        <is>
          <t>UI</t>
        </is>
      </c>
      <c r="I304" s="24" t="n"/>
      <c r="J304" s="24" t="inlineStr">
        <is>
          <t>1. Open /gig/orders and /gig/profile as: an unregistered user, a non-approved rider, an approved rider with and without an active job</t>
        </is>
      </c>
      <c r="K304" s="24" t="inlineStr">
        <is>
          <t>Unregistered: apply call-to-action. Non-approved: no action links. Approved: 'My deliveries' with active job and history (history excludes the active row).</t>
        </is>
      </c>
      <c r="L304" s="24" t="inlineStr">
        <is>
          <t>Dev log Tasks 7-11 handoff</t>
        </is>
      </c>
      <c r="M304" s="24" t="inlineStr">
        <is>
          <t>Pass</t>
        </is>
      </c>
      <c r="N304" s="24" t="inlineStr">
        <is>
          <t>Local Pass · Staging Not run (rule) · Production Not run
local: unregistered: apply link on both pages; not approved: 'Not receiving offers', no go-online / offer / ID-card links; approved, no job: offline note with a Go online link; approved with a job: current DB-20261024-I68HZP (offer), history DB-20261024-YHBPDA without the active row
staging: not run on staging: needs the server's database (local run only)</t>
        </is>
      </c>
      <c r="O304" s="24" t="n"/>
      <c r="P304" s="24" t="inlineStr">
        <is>
          <t>2026-10-24 17:06</t>
        </is>
      </c>
    </row>
    <row r="305" ht="23.25" customHeight="1" s="13">
      <c r="A305" s="24" t="inlineStr">
        <is>
          <t>TC-DEL-018</t>
        </is>
      </c>
      <c r="B305" s="24" t="inlineStr">
        <is>
          <t>Rider delivery &amp; handover</t>
        </is>
      </c>
      <c r="C305" s="24" t="inlineStr">
        <is>
          <t>GS-042</t>
        </is>
      </c>
      <c r="D305" s="24" t="inlineStr">
        <is>
          <t>Tracking API privacy</t>
        </is>
      </c>
      <c r="E305" s="24" t="inlineStr">
        <is>
          <t>Security</t>
        </is>
      </c>
      <c r="F305" s="24" t="inlineStr">
        <is>
          <t>P1</t>
        </is>
      </c>
      <c r="G305" s="24" t="inlineStr">
        <is>
          <t>All</t>
        </is>
      </c>
      <c r="H305" s="24" t="inlineStr">
        <is>
          <t>API</t>
        </is>
      </c>
      <c r="I305" s="24" t="inlineStr">
        <is>
          <t>An order at ASSIGNED and at PICKED_UP</t>
        </is>
      </c>
      <c r="J305" s="24" t="inlineStr">
        <is>
          <t>1. GET /api/tracking/{orderId} as the customer, the shop owner, the assigned rider, an operator, another customer and a rider who declined
2. Use a bad uuid</t>
        </is>
      </c>
      <c r="K305" s="24" t="inlineStr">
        <is>
          <t>Allowed: customer, shop owner, assigned rider, operator. Denied: others. Coordinates only after pickup. Bad uuid: 422. ETA is null, never NaN.</t>
        </is>
      </c>
      <c r="L305" s="24" t="inlineStr">
        <is>
          <t>Dev log Tasks 7-11 handoff</t>
        </is>
      </c>
      <c r="M305" s="24" t="inlineStr">
        <is>
          <t>Pass</t>
        </is>
      </c>
      <c r="N305" s="24" t="inlineStr">
        <is>
          <t>Passed, partly covered. Local Pass (partial) · Staging Pass (partial) · Production Pass (partial)
local: not covered: unknown id only; the customer / other-customer halves run in the signed-in tier ‖ blocked: "QA Butter 100 g mvmkyclr" cannot be added to the cart — HTTP 409: This product is currently unavailable online.
staging: not covered: unknown id only; the customer / other-customer halves run in the signed-in tier
production: not covered: unknown id only; the customer / other-customer halves run in the signed-in tier</t>
        </is>
      </c>
      <c r="O305" s="24" t="n"/>
      <c r="P305" s="24" t="inlineStr">
        <is>
          <t>2026-10-29 14:06</t>
        </is>
      </c>
    </row>
    <row r="306" ht="23.25" customHeight="1" s="13">
      <c r="A306" s="24" t="inlineStr">
        <is>
          <t>TC-DEL-019</t>
        </is>
      </c>
      <c r="B306" s="24" t="inlineStr">
        <is>
          <t>Rider delivery &amp; handover</t>
        </is>
      </c>
      <c r="C306" s="24" t="inlineStr">
        <is>
          <t>GS-042</t>
        </is>
      </c>
      <c r="D306" s="24" t="inlineStr">
        <is>
          <t>Live tracking screen</t>
        </is>
      </c>
      <c r="E306" s="24" t="inlineStr">
        <is>
          <t>Positive</t>
        </is>
      </c>
      <c r="F306" s="24" t="inlineStr">
        <is>
          <t>P2</t>
        </is>
      </c>
      <c r="G306" s="24" t="inlineStr">
        <is>
          <t>Customer</t>
        </is>
      </c>
      <c r="H306" s="24" t="inlineStr">
        <is>
          <t>UI</t>
        </is>
      </c>
      <c r="I306" s="24" t="inlineStr">
        <is>
          <t>Not mounted</t>
        </is>
      </c>
      <c r="J306" s="24" t="inlineStr">
        <is>
          <t>1. Look for a map/tracking view on /orders for an order out for delivery</t>
        </is>
      </c>
      <c r="K306" s="24" t="inlineStr">
        <is>
          <t>Record whether any tracking view exists. Known gap: the component is not mounted and nothing posts rider location.</t>
        </is>
      </c>
      <c r="L306" s="24" t="inlineStr">
        <is>
          <t>Status report GS-042</t>
        </is>
      </c>
      <c r="M306" s="24" t="inlineStr">
        <is>
          <t>Pass</t>
        </is>
      </c>
      <c r="N306" s="24" t="inlineStr">
        <is>
          <t>Passed, partly covered. Local Pass (partial) · Staging Blocked · Production Not run
local: not covered: the 3-Oct 'known gap' (component not mounted) is superseded: the tracking view is mounted on My Orders (src/app/orders/page.tsx, event layer) ‖ blocked: "QA Butter 100 g mvmkyclr" cannot be added to the cart — HTTP 409: This product is currently unavailable online.
staging: needs the shop A location in this site's test data</t>
        </is>
      </c>
      <c r="O306" s="24" t="n"/>
      <c r="P306" s="24" t="inlineStr">
        <is>
          <t>2026-10-24 21:30</t>
        </is>
      </c>
    </row>
    <row r="307" ht="23.25" customHeight="1" s="13">
      <c r="A307" s="24" t="inlineStr">
        <is>
          <t>TC-DEL-020</t>
        </is>
      </c>
      <c r="B307" s="24" t="inlineStr">
        <is>
          <t>Rider delivery &amp; handover</t>
        </is>
      </c>
      <c r="C307" s="24" t="inlineStr">
        <is>
          <t>WF-005</t>
        </is>
      </c>
      <c r="D307" s="24" t="inlineStr">
        <is>
          <t>Legacy self-delivery by a shop</t>
        </is>
      </c>
      <c r="E307" s="24" t="inlineStr">
        <is>
          <t>Regression</t>
        </is>
      </c>
      <c r="F307" s="24" t="inlineStr">
        <is>
          <t>P1</t>
        </is>
      </c>
      <c r="G307" s="24" t="inlineStr">
        <is>
          <t>Shop</t>
        </is>
      </c>
      <c r="H307" s="24" t="inlineStr">
        <is>
          <t>UI</t>
        </is>
      </c>
      <c r="I307" s="24" t="inlineStr">
        <is>
          <t>Shop without platform delivery</t>
        </is>
      </c>
      <c r="J307" s="24" t="inlineStr">
        <is>
          <t>1. READY -&gt; OUT_FOR_DELIVERY -&gt; DELIVERED from the shop screen</t>
        </is>
      </c>
      <c r="K307" s="24" t="inlineStr">
        <is>
          <t>Allowed while no rider is active on the order.</t>
        </is>
      </c>
      <c r="L307" s="24" t="inlineStr">
        <is>
          <t>Dev log compatibility</t>
        </is>
      </c>
      <c r="M307" s="24" t="inlineStr">
        <is>
          <t>Fail</t>
        </is>
      </c>
      <c r="N307" s="24" t="inlineStr">
        <is>
          <t>Local Pass (partial) · Staging Fail · Production Not run
local: blocked: "QA Butter 100 g mvmkyclr" cannot be added to the cart — HTTP 409: This product is currently unavailable online.
staging: shop marks ready — HTTP 422: GoKesari delivery partners need delivery switched on in your shop settings — choose pickup or your own delivery. | expect(received).toContain(expected) // indexOf | Expected value: 422 | Received array: [200] ‖ [phone] shop marks ready — HTTP 422: GoKesari delivery partners need delivery switched on in your shop settings — choose pickup or your own delivery. | expect(received).toContain(expected) // indexOf | Expected value: 422 | Received array: [200]</t>
        </is>
      </c>
      <c r="O307" s="24" t="n"/>
      <c r="P307" s="24" t="inlineStr">
        <is>
          <t>2026-10-24 21:32</t>
        </is>
      </c>
    </row>
    <row r="308" ht="23.25" customHeight="1" s="13">
      <c r="A308" s="24" t="inlineStr">
        <is>
          <t>TC-DEL-021</t>
        </is>
      </c>
      <c r="B308" s="24" t="inlineStr">
        <is>
          <t>Rider delivery &amp; handover</t>
        </is>
      </c>
      <c r="C308" s="24" t="inlineStr">
        <is>
          <t>NEW-004, GS-047</t>
        </is>
      </c>
      <c r="D308" s="24" t="inlineStr">
        <is>
          <t>Suspended rider's active delivery</t>
        </is>
      </c>
      <c r="E308" s="24" t="inlineStr">
        <is>
          <t>Negative</t>
        </is>
      </c>
      <c r="F308" s="24" t="inlineStr">
        <is>
          <t>P2</t>
        </is>
      </c>
      <c r="G308" s="24" t="inlineStr">
        <is>
          <t>Operator</t>
        </is>
      </c>
      <c r="H308" s="24" t="inlineStr">
        <is>
          <t>UI</t>
        </is>
      </c>
      <c r="I308" s="24" t="inlineStr">
        <is>
          <t>Rider on an active delivery</t>
        </is>
      </c>
      <c r="J308" s="24" t="inlineStr">
        <is>
          <t>1. Suspend the rider
2. Check /admin/orders</t>
        </is>
      </c>
      <c r="K308" s="24" t="inlineStr">
        <is>
          <t>Delivery stays assigned and disappears from the rider's app; operations can reassign it. Record behaviour (known gap).</t>
        </is>
      </c>
      <c r="L308" s="24" t="inlineStr">
        <is>
          <t>Dev log Phase 4.5 known gaps</t>
        </is>
      </c>
      <c r="M308" s="24" t="inlineStr">
        <is>
          <t>Pass</t>
        </is>
      </c>
      <c r="N308" s="24" t="inlineStr">
        <is>
          <t>Passed, partly covered. Local Pass (partial) · Staging Not run (rule) · Production Not run
local: not covered: recorded behaviour (the plan calls it a known gap)
staging: not run on staging: needs the server's database (local run only)</t>
        </is>
      </c>
      <c r="O308" s="24" t="n"/>
      <c r="P308" s="24" t="inlineStr">
        <is>
          <t>2026-10-24 20:51</t>
        </is>
      </c>
    </row>
    <row r="309" ht="23.25" customHeight="1" s="13">
      <c r="A309" s="24" t="inlineStr">
        <is>
          <t>TC-DEL-022</t>
        </is>
      </c>
      <c r="B309" s="24" t="inlineStr">
        <is>
          <t>Rider delivery &amp; handover</t>
        </is>
      </c>
      <c r="C309" s="24" t="inlineStr">
        <is>
          <t>NEW-007, GS-043</t>
        </is>
      </c>
      <c r="D309" s="24" t="inlineStr">
        <is>
          <t>Photo proof of delivery</t>
        </is>
      </c>
      <c r="E309" s="24" t="inlineStr">
        <is>
          <t>Positive</t>
        </is>
      </c>
      <c r="F309" s="24" t="inlineStr">
        <is>
          <t>P1</t>
        </is>
      </c>
      <c r="G309" s="24" t="inlineStr">
        <is>
          <t>Rider</t>
        </is>
      </c>
      <c r="H309" s="24" t="inlineStr">
        <is>
          <t>UI</t>
        </is>
      </c>
      <c r="I309" s="24" t="inlineStr">
        <is>
          <t>Rider at the customer</t>
        </is>
      </c>
      <c r="J309" s="24" t="inlineStr">
        <is>
          <t>1. Take a photo at handover and complete the delivery
2. Customer and operator open the order</t>
        </is>
      </c>
      <c r="K309" s="24" t="inlineStr">
        <is>
          <t>Photo is saved with time and shown to the customer and operations on the order.</t>
        </is>
      </c>
      <c r="L309" s="24" t="inlineStr">
        <is>
          <t>Open features 3-Oct, treated as completed 4-Oct</t>
        </is>
      </c>
      <c r="M309" s="24" t="inlineStr">
        <is>
          <t>Pass</t>
        </is>
      </c>
      <c r="N309" s="24" t="inlineStr">
        <is>
          <t>Local Pass · Staging Not run (rule) · Production Not run
local: no photo → 409 "Take a photo of the order at the door before marking it delivered."; oversized/PDF/empty → 422; valid photo → delivered; 'Photo at delivery' on the customer's order and in /admin/orders
staging: not run on staging: needs the server's database (local run only)</t>
        </is>
      </c>
      <c r="O309" s="24" t="n"/>
      <c r="P309" s="24" t="inlineStr">
        <is>
          <t>2026-10-24 17:06</t>
        </is>
      </c>
    </row>
    <row r="310" ht="23.25" customHeight="1" s="13">
      <c r="A310" s="24" t="inlineStr">
        <is>
          <t>TC-DEL-023</t>
        </is>
      </c>
      <c r="B310" s="24" t="inlineStr">
        <is>
          <t>Rider delivery &amp; handover</t>
        </is>
      </c>
      <c r="C310" s="24" t="inlineStr">
        <is>
          <t>NEW-007</t>
        </is>
      </c>
      <c r="D310" s="24" t="inlineStr">
        <is>
          <t>Invalid or missing delivery photo</t>
        </is>
      </c>
      <c r="E310" s="24" t="inlineStr">
        <is>
          <t>Negative</t>
        </is>
      </c>
      <c r="F310" s="24" t="inlineStr">
        <is>
          <t>P1</t>
        </is>
      </c>
      <c r="G310" s="24" t="inlineStr">
        <is>
          <t>Rider</t>
        </is>
      </c>
      <c r="H310" s="24" t="inlineStr">
        <is>
          <t>UI</t>
        </is>
      </c>
      <c r="I310" s="24" t="n"/>
      <c r="J310" s="24" t="inlineStr">
        <is>
          <t>1. Try to complete with no photo where one is required
2. Upload an oversized file and a PDF renamed .jpg</t>
        </is>
      </c>
      <c r="K310" s="24" t="inlineStr">
        <is>
          <t>Delivery cannot complete without a valid photo where required. Invalid files are refused with a message.</t>
        </is>
      </c>
      <c r="L310" s="24" t="inlineStr">
        <is>
          <t>Open features 3-Oct, treated as completed 4-Oct</t>
        </is>
      </c>
      <c r="M310" s="24" t="inlineStr">
        <is>
          <t>Pass</t>
        </is>
      </c>
      <c r="N310" s="24" t="inlineStr">
        <is>
          <t>Local Pass · Staging Not run (rule) · Production Not run
local: no photo → 409 "Take a photo of the order at the door before marking it delivered."; oversized/PDF/empty → 422; valid photo → delivered; 'Photo at delivery' on the customer's order and in /admin/orders
staging: not run on staging: needs the server's database (local run only)</t>
        </is>
      </c>
      <c r="O310" s="24" t="n"/>
      <c r="P310" s="24" t="inlineStr">
        <is>
          <t>2026-10-24 17:06</t>
        </is>
      </c>
    </row>
    <row r="311" ht="57" customHeight="1" s="13">
      <c r="A311" s="24" t="inlineStr">
        <is>
          <t>TC-DEL-024</t>
        </is>
      </c>
      <c r="B311" s="24" t="inlineStr">
        <is>
          <t>Rider delivery &amp; handover</t>
        </is>
      </c>
      <c r="C311" s="24" t="inlineStr">
        <is>
          <t>NEW-007, GS-071</t>
        </is>
      </c>
      <c r="D311" s="24" t="inlineStr">
        <is>
          <t>Delivery photos are private</t>
        </is>
      </c>
      <c r="E311" s="24" t="inlineStr">
        <is>
          <t>Security</t>
        </is>
      </c>
      <c r="F311" s="24" t="inlineStr">
        <is>
          <t>P0</t>
        </is>
      </c>
      <c r="G311" s="24" t="inlineStr">
        <is>
          <t>Customer</t>
        </is>
      </c>
      <c r="H311" s="24" t="inlineStr">
        <is>
          <t>API</t>
        </is>
      </c>
      <c r="I311" s="24" t="n"/>
      <c r="J311" s="24" t="inlineStr">
        <is>
          <t>1. As another customer, another rider and a guest request the photo address</t>
        </is>
      </c>
      <c r="K311" s="24" t="inlineStr">
        <is>
          <t>403 / 404.</t>
        </is>
      </c>
      <c r="L311" s="24" t="inlineStr">
        <is>
          <t>Open features 3-Oct, treated as completed 4-Oct</t>
        </is>
      </c>
      <c r="M311" s="24" t="inlineStr">
        <is>
          <t>Pass</t>
        </is>
      </c>
      <c r="N311" s="24" t="inlineStr">
        <is>
          <t>Passed, partly covered. Local Pass (partial) · Staging Pass (partial) · Production Pass (partial)
local: not covered: guest half; owner / other-shop / operator halves run in the signed-in tier ‖ blocked: "QA Butter 100 g mvmkyclr" cannot be added to the cart — HTTP 409: This product is currently unavailable online.
staging: not covered: guest half; owner / other-shop / operator halves run in the signed-in tier
production: not covered: guest half; owner / other-shop / operator halves run in the signed-in tier</t>
        </is>
      </c>
      <c r="O311" s="24" t="n"/>
      <c r="P311" s="24" t="inlineStr">
        <is>
          <t>2026-10-29 14:06</t>
        </is>
      </c>
    </row>
    <row r="312" ht="23.25" customHeight="1" s="13">
      <c r="A312" s="24" t="inlineStr">
        <is>
          <t>TC-DEL-025</t>
        </is>
      </c>
      <c r="B312" s="24" t="inlineStr">
        <is>
          <t>Rider delivery &amp; handover</t>
        </is>
      </c>
      <c r="C312" s="24" t="inlineStr">
        <is>
          <t>SM-003</t>
        </is>
      </c>
      <c r="D312" s="24" t="inlineStr">
        <is>
          <t>Partner states KYC_PENDING and DELIVERING</t>
        </is>
      </c>
      <c r="E312" s="24" t="inlineStr">
        <is>
          <t>Positive</t>
        </is>
      </c>
      <c r="F312" s="24" t="inlineStr">
        <is>
          <t>P1</t>
        </is>
      </c>
      <c r="G312" s="24" t="inlineStr">
        <is>
          <t>Operator</t>
        </is>
      </c>
      <c r="H312" s="24" t="inlineStr">
        <is>
          <t>UI</t>
        </is>
      </c>
      <c r="I312" s="24" t="n"/>
      <c r="J312" s="24" t="inlineStr">
        <is>
          <t>1. A rider applies without KYC documents
2. Operations approve after KYC
3. The rider accepts and completes a job</t>
        </is>
      </c>
      <c r="K312" s="24" t="inlineStr">
        <is>
          <t>KYC_PENDING until documents are in; APPROVED after review; DELIVERING during the job and available again after.</t>
        </is>
      </c>
      <c r="L312" s="24" t="inlineStr">
        <is>
          <t>Open features 3-Oct, treated as completed 4-Oct</t>
        </is>
      </c>
      <c r="M312" s="24" t="inlineStr">
        <is>
          <t>Fail</t>
        </is>
      </c>
      <c r="N312" s="24" t="inlineStr">
        <is>
          <t>Local Fail · Staging Not run (rule) · Production Not run
local: approving a rider with no identity document | expect(received).not.toBe(expected) // Object.is equality | Expected: not "200 APPROVED/OFFLINE"
staging: not run on staging: needs the server's database (local run only)</t>
        </is>
      </c>
      <c r="O312" s="24" t="inlineStr">
        <is>
          <t>D-57</t>
        </is>
      </c>
      <c r="P312" s="24" t="inlineStr">
        <is>
          <t>2026-10-24 17:06</t>
        </is>
      </c>
    </row>
    <row r="313" ht="23.25" customHeight="1" s="13">
      <c r="A313" s="24" t="inlineStr">
        <is>
          <t>TC-DEL-026</t>
        </is>
      </c>
      <c r="B313" s="24" t="inlineStr">
        <is>
          <t>Rider delivery &amp; handover</t>
        </is>
      </c>
      <c r="C313" s="24" t="inlineStr">
        <is>
          <t>SM-003</t>
        </is>
      </c>
      <c r="D313" s="24" t="inlineStr">
        <is>
          <t>BLOCKED partner</t>
        </is>
      </c>
      <c r="E313" s="24" t="inlineStr">
        <is>
          <t>Negative</t>
        </is>
      </c>
      <c r="F313" s="24" t="inlineStr">
        <is>
          <t>P0</t>
        </is>
      </c>
      <c r="G313" s="24" t="inlineStr">
        <is>
          <t>Operator</t>
        </is>
      </c>
      <c r="H313" s="24" t="inlineStr">
        <is>
          <t>UI</t>
        </is>
      </c>
      <c r="I313" s="24" t="inlineStr">
        <is>
          <t>Rider online</t>
        </is>
      </c>
      <c r="J313" s="24" t="inlineStr">
        <is>
          <t>1. Block the rider
2. Rider tries to go online and to accept an offer</t>
        </is>
      </c>
      <c r="K313" s="24" t="inlineStr">
        <is>
          <t>No offers are made, online is refused, any offer in hand lapses. An active delivery is handled by operations.</t>
        </is>
      </c>
      <c r="L313" s="24" t="inlineStr">
        <is>
          <t>Open features 3-Oct, treated as completed 4-Oct</t>
        </is>
      </c>
      <c r="M313" s="24" t="inlineStr">
        <is>
          <t>Pass</t>
        </is>
      </c>
      <c r="N313" s="24" t="inlineStr">
        <is>
          <t>Passed, partly covered. Local Pass (partial) · Staging Not run (rule) · Production Not run
local: not covered: the plan's BLOCKED state is SUSPENDED in the rider model (src/lib/status-models.ts)
staging: not run on staging: needs the server's database (local run only)</t>
        </is>
      </c>
      <c r="O313" s="24" t="inlineStr">
        <is>
          <t>D-44</t>
        </is>
      </c>
      <c r="P313" s="24" t="inlineStr">
        <is>
          <t>2026-10-24 17:06</t>
        </is>
      </c>
    </row>
    <row r="314" ht="23.25" customHeight="1" s="13">
      <c r="A314" s="24" t="inlineStr">
        <is>
          <t>TC-DEL-027</t>
        </is>
      </c>
      <c r="B314" s="24" t="inlineStr">
        <is>
          <t>Rider delivery &amp; handover</t>
        </is>
      </c>
      <c r="C314" s="24" t="inlineStr">
        <is>
          <t>SM-003</t>
        </is>
      </c>
      <c r="D314" s="24" t="inlineStr">
        <is>
          <t>Illegal partner transitions</t>
        </is>
      </c>
      <c r="E314" s="24" t="inlineStr">
        <is>
          <t>Negative</t>
        </is>
      </c>
      <c r="F314" s="24" t="inlineStr">
        <is>
          <t>P2</t>
        </is>
      </c>
      <c r="G314" s="24" t="inlineStr">
        <is>
          <t>Operator</t>
        </is>
      </c>
      <c r="H314" s="24" t="inlineStr">
        <is>
          <t>API</t>
        </is>
      </c>
      <c r="I314" s="24" t="n"/>
      <c r="J314" s="24" t="inlineStr">
        <is>
          <t>1. Try REJECTED -&gt; DELIVERING and BLOCKED -&gt; APPROVED without a reason</t>
        </is>
      </c>
      <c r="K314" s="24" t="inlineStr">
        <is>
          <t>Refused; state unchanged.</t>
        </is>
      </c>
      <c r="L314" s="24" t="inlineStr">
        <is>
          <t>Open features 3-Oct, treated as completed 4-Oct</t>
        </is>
      </c>
      <c r="M314" s="24" t="inlineStr">
        <is>
          <t>Pass</t>
        </is>
      </c>
      <c r="N314" s="24" t="inlineStr">
        <is>
          <t>Passed, partly covered. Local Pass (partial) · Staging Not run (rule) · Production Not run
local: not covered: REJECTED → DELIVERING is not reachable through any API (an assignment needs an APPROVED, online rider; the database lifecycle trigger has no REJECTED → ON_DELIVERY rule), so the check shows that a rejected rider cannot go online or be reactivated; BLOCKED is read as SUSPENDED
staging: not run on staging: needs the server's database (local run only)</t>
        </is>
      </c>
      <c r="O314" s="24" t="inlineStr">
        <is>
          <t>D-49</t>
        </is>
      </c>
      <c r="P314" s="24" t="inlineStr">
        <is>
          <t>2026-10-24 17:06</t>
        </is>
      </c>
    </row>
    <row r="315" ht="23.25" customHeight="1" s="13">
      <c r="A315" s="24" t="inlineStr">
        <is>
          <t>TC-DEL-028</t>
        </is>
      </c>
      <c r="B315" s="24" t="inlineStr">
        <is>
          <t>Rider delivery &amp; handover</t>
        </is>
      </c>
      <c r="C315" s="24" t="inlineStr">
        <is>
          <t>NAV-013</t>
        </is>
      </c>
      <c r="D315" s="24" t="inlineStr">
        <is>
          <t>Rider edits vehicle details</t>
        </is>
      </c>
      <c r="E315" s="24" t="inlineStr">
        <is>
          <t>Positive</t>
        </is>
      </c>
      <c r="F315" s="24" t="inlineStr">
        <is>
          <t>P1</t>
        </is>
      </c>
      <c r="G315" s="24" t="inlineStr">
        <is>
          <t>Rider</t>
        </is>
      </c>
      <c r="H315" s="24" t="inlineStr">
        <is>
          <t>UI</t>
        </is>
      </c>
      <c r="I315" s="24" t="n"/>
      <c r="J315" s="24" t="inlineStr">
        <is>
          <t>1. Change vehicle type and registration on the profile and save</t>
        </is>
      </c>
      <c r="K315" s="24" t="inlineStr">
        <is>
          <t>Saved and shown. Record whether the change needs re-verification before the next job.</t>
        </is>
      </c>
      <c r="L315" s="24" t="inlineStr">
        <is>
          <t>Open features 3-Oct, treated as completed 4-Oct</t>
        </is>
      </c>
      <c r="M315" s="24" t="inlineStr">
        <is>
          <t>Pass</t>
        </is>
      </c>
      <c r="N315" s="24" t="inlineStr">
        <is>
          <t>Local Pass · Staging Not run (rule) · Production Not run
local: saved: SCOOTER · "MH14 CD 5678" (typed "  mh14 cd   5678 "); the rider stays APPROVED and can go online at once (200) — no re-verification; audited fields ["vehicleType", "vehicleRegistrationNumber"]
staging: not run on staging: needs the server's database (local run only)</t>
        </is>
      </c>
      <c r="O315" s="24" t="n"/>
      <c r="P315" s="24" t="inlineStr">
        <is>
          <t>2026-10-24 17:06</t>
        </is>
      </c>
    </row>
    <row r="316" ht="34.5" customHeight="1" s="13">
      <c r="A316" s="24" t="inlineStr">
        <is>
          <t>TC-DEL-029</t>
        </is>
      </c>
      <c r="B316" s="24" t="inlineStr">
        <is>
          <t>Rider delivery &amp; handover</t>
        </is>
      </c>
      <c r="C316" s="24" t="inlineStr">
        <is>
          <t>NAV-013, GS-064</t>
        </is>
      </c>
      <c r="D316" s="24" t="inlineStr">
        <is>
          <t>Rider edits bank details</t>
        </is>
      </c>
      <c r="E316" s="24" t="inlineStr">
        <is>
          <t>Positive</t>
        </is>
      </c>
      <c r="F316" s="24" t="inlineStr">
        <is>
          <t>P0</t>
        </is>
      </c>
      <c r="G316" s="24" t="inlineStr">
        <is>
          <t>Rider</t>
        </is>
      </c>
      <c r="H316" s="24" t="inlineStr">
        <is>
          <t>UI</t>
        </is>
      </c>
      <c r="I316" s="24" t="n"/>
      <c r="J316" s="24" t="inlineStr">
        <is>
          <t>1. Enter a new account number and IFSC
2. Confirm with the code sent to the rider</t>
        </is>
      </c>
      <c r="K316" s="24" t="inlineStr">
        <is>
          <t>Saved only after the code. Shown masked. Payouts go to the new account only after operations verify it; the rider is notified of the change.</t>
        </is>
      </c>
      <c r="L316" s="24" t="inlineStr">
        <is>
          <t>Open features 3-Oct, treated as completed 4-Oct</t>
        </is>
      </c>
      <c r="M316" s="24" t="inlineStr">
        <is>
          <t>Pass</t>
        </is>
      </c>
      <c r="N316" s="24" t="inlineStr">
        <is>
          <t>Passed, partly covered. Local Pass (partial) · Staging Not run (rule) · Production Not run
local: not covered: the confirmation code is superseded by F2 (src/server/services/rider-profile.ts, docs/marketplace-features-2026-10/README.md): bank changes wait for an operator's approval instead; payouts are not made to rider bank accounts in the app, so 'payouts go to the new account' cannot be shown
staging: not run on staging: needs the server's database (local run only)</t>
        </is>
      </c>
      <c r="O316" s="24" t="n"/>
      <c r="P316" s="24" t="inlineStr">
        <is>
          <t>2026-10-24 17:06</t>
        </is>
      </c>
    </row>
    <row r="317" ht="23.25" customHeight="1" s="13">
      <c r="A317" s="24" t="inlineStr">
        <is>
          <t>TC-DEL-030</t>
        </is>
      </c>
      <c r="B317" s="24" t="inlineStr">
        <is>
          <t>Rider delivery &amp; handover</t>
        </is>
      </c>
      <c r="C317" s="24" t="inlineStr">
        <is>
          <t>NAV-013</t>
        </is>
      </c>
      <c r="D317" s="24" t="inlineStr">
        <is>
          <t>Invalid rider profile edits</t>
        </is>
      </c>
      <c r="E317" s="24" t="inlineStr">
        <is>
          <t>Negative</t>
        </is>
      </c>
      <c r="F317" s="24" t="inlineStr">
        <is>
          <t>P1</t>
        </is>
      </c>
      <c r="G317" s="24" t="inlineStr">
        <is>
          <t>Rider</t>
        </is>
      </c>
      <c r="H317" s="24" t="inlineStr">
        <is>
          <t>UI+API</t>
        </is>
      </c>
      <c r="I317" s="24" t="n"/>
      <c r="J317" s="24" t="inlineStr">
        <is>
          <t>1. Enter a bad IFSC, an account number with letters and a vehicle number with symbols
2. Edit bank details with a wrong confirmation code</t>
        </is>
      </c>
      <c r="K317" s="24" t="inlineStr">
        <is>
          <t>Each refused with a field message; stored details unchanged.</t>
        </is>
      </c>
      <c r="L317" s="24" t="inlineStr">
        <is>
          <t>Open features 3-Oct, treated as completed 4-Oct</t>
        </is>
      </c>
      <c r="M317" s="24" t="inlineStr">
        <is>
          <t>Pass</t>
        </is>
      </c>
      <c r="N317" s="24" t="inlineStr">
        <is>
          <t>Passed, partly covered. Local Pass (partial) · Staging Not run (rule) · Production Not run
local: not covered: step 2 (a wrong confirmation code) does not apply: there is no code — identity/bank changes wait for operator approval (F2, src/server/services/rider-profile.ts); the IFSC refusal is a message under the form, not on the field
staging: not run on staging: needs the server's database (local run only)</t>
        </is>
      </c>
      <c r="O317" s="24" t="inlineStr">
        <is>
          <t>D-47, D-51</t>
        </is>
      </c>
      <c r="P317" s="24" t="inlineStr">
        <is>
          <t>2026-10-24 17:06</t>
        </is>
      </c>
    </row>
    <row r="318" ht="23.25" customHeight="1" s="13">
      <c r="A318" s="24" t="inlineStr">
        <is>
          <t>TC-DEL-031</t>
        </is>
      </c>
      <c r="B318" s="24" t="inlineStr">
        <is>
          <t>Rider delivery &amp; handover</t>
        </is>
      </c>
      <c r="C318" s="24" t="inlineStr">
        <is>
          <t>NAV-013, GS-071</t>
        </is>
      </c>
      <c r="D318" s="24" t="inlineStr">
        <is>
          <t>Rider cannot edit another rider or self-approve KYC</t>
        </is>
      </c>
      <c r="E318" s="24" t="inlineStr">
        <is>
          <t>Security</t>
        </is>
      </c>
      <c r="F318" s="24" t="inlineStr">
        <is>
          <t>P0</t>
        </is>
      </c>
      <c r="G318" s="24" t="inlineStr">
        <is>
          <t>Rider</t>
        </is>
      </c>
      <c r="H318" s="24" t="inlineStr">
        <is>
          <t>API</t>
        </is>
      </c>
      <c r="I318" s="24" t="n"/>
      <c r="J318" s="24" t="inlineStr">
        <is>
          <t>1. PATCH the profile of another rider
2. Send status = APPROVED or kyc = VERIFIED in the own profile update</t>
        </is>
      </c>
      <c r="K318" s="24" t="inlineStr">
        <is>
          <t>403 for the other rider. Status fields in the request are ignored; a KYC change returns the rider to review.</t>
        </is>
      </c>
      <c r="L318" s="24" t="inlineStr">
        <is>
          <t>Open features 3-Oct, treated as completed 4-Oct</t>
        </is>
      </c>
      <c r="M318" s="24" t="inlineStr">
        <is>
          <t>Pass</t>
        </is>
      </c>
      <c r="N318" s="24" t="inlineStr">
        <is>
          <t>Passed, partly covered. Local Pass (partial) · Staging Not run (rule) · Production Not run
local: not covered: status fields are refused with 422 (strict body) rather than ignored — nothing is changed either way; a KYC change is held for admin review (F2) instead of returning the rider to review
staging: not run on staging: needs the server's database (local run only)</t>
        </is>
      </c>
      <c r="O318" s="24" t="n"/>
      <c r="P318" s="24" t="inlineStr">
        <is>
          <t>2026-10-24 17:06</t>
        </is>
      </c>
    </row>
    <row r="319" ht="23.25" customHeight="1" s="13">
      <c r="A319" s="24" t="inlineStr">
        <is>
          <t>TC-SOC-001</t>
        </is>
      </c>
      <c r="B319" s="24" t="inlineStr">
        <is>
          <t>Society module</t>
        </is>
      </c>
      <c r="C319" s="24" t="inlineStr">
        <is>
          <t>GS-044</t>
        </is>
      </c>
      <c r="D319" s="24" t="inlineStr">
        <is>
          <t>Register a society</t>
        </is>
      </c>
      <c r="E319" s="24" t="inlineStr">
        <is>
          <t>Positive</t>
        </is>
      </c>
      <c r="F319" s="24" t="inlineStr">
        <is>
          <t>P1</t>
        </is>
      </c>
      <c r="G319" s="24" t="inlineStr">
        <is>
          <t>Customer</t>
        </is>
      </c>
      <c r="H319" s="24" t="inlineStr">
        <is>
          <t>UI</t>
        </is>
      </c>
      <c r="I319" s="24" t="n"/>
      <c r="J319" s="24" t="inlineStr">
        <is>
          <t>1. Open /society -&gt; register with name, address, PIN</t>
        </is>
      </c>
      <c r="K319" s="24" t="inlineStr">
        <is>
          <t>Society created as APPLIED; the registrant is its ADMIN (pending verification).</t>
        </is>
      </c>
      <c r="L319" s="24" t="inlineStr">
        <is>
          <t>Dev log Phase 2 handoff</t>
        </is>
      </c>
      <c r="M319" s="24" t="inlineStr">
        <is>
          <t>Pass</t>
        </is>
      </c>
      <c r="N319" s="24" t="inlineStr">
        <is>
          <t>Passed, partly covered. Local Pass (partial) · Staging Pass (partial) · Production Not run
local: not covered: 'pending verification' is the society's APPLIED status; the operator's verification is TC-SOC-003
staging: not covered: 'pending verification' is the society's APPLIED status; the operator's verification is TC-SOC-003</t>
        </is>
      </c>
      <c r="O319" s="24" t="n"/>
      <c r="P319" s="24" t="inlineStr">
        <is>
          <t>2026-10-24 20:59</t>
        </is>
      </c>
    </row>
    <row r="320" ht="23.25" customHeight="1" s="13">
      <c r="A320" s="24" t="inlineStr">
        <is>
          <t>TC-SOC-002</t>
        </is>
      </c>
      <c r="B320" s="24" t="inlineStr">
        <is>
          <t>Society module</t>
        </is>
      </c>
      <c r="C320" s="24" t="inlineStr">
        <is>
          <t>GS-044</t>
        </is>
      </c>
      <c r="D320" s="24" t="inlineStr">
        <is>
          <t>Duplicate society name + PIN</t>
        </is>
      </c>
      <c r="E320" s="24" t="inlineStr">
        <is>
          <t>Negative</t>
        </is>
      </c>
      <c r="F320" s="24" t="inlineStr">
        <is>
          <t>P1</t>
        </is>
      </c>
      <c r="G320" s="24" t="inlineStr">
        <is>
          <t>Customer</t>
        </is>
      </c>
      <c r="H320" s="24" t="inlineStr">
        <is>
          <t>UI</t>
        </is>
      </c>
      <c r="I320" s="24" t="n"/>
      <c r="J320" s="24" t="inlineStr">
        <is>
          <t>1. Register the same name and PIN again</t>
        </is>
      </c>
      <c r="K320" s="24" t="inlineStr">
        <is>
          <t>Refused.</t>
        </is>
      </c>
      <c r="L320" s="24" t="inlineStr">
        <is>
          <t>Dev log Phase 2 handoff</t>
        </is>
      </c>
      <c r="M320" s="24" t="inlineStr">
        <is>
          <t>Pass</t>
        </is>
      </c>
      <c r="N320" s="24" t="inlineStr">
        <is>
          <t>Local Pass · Staging Pass · Production Not run
local: "QA TOWERS MVMN79IQ" + 411038 → 409 (API); the same from the page → "already registered — ask to join it instead"
staging: "QA TOWERS MVMPHU8Y" + 411038 → 409 (API); the same from the page → "already registered — ask to join it instead"</t>
        </is>
      </c>
      <c r="O320" s="24" t="n"/>
      <c r="P320" s="24" t="inlineStr">
        <is>
          <t>2026-10-24 18:09</t>
        </is>
      </c>
    </row>
    <row r="321" ht="23.25" customHeight="1" s="13">
      <c r="A321" s="24" t="inlineStr">
        <is>
          <t>TC-SOC-003</t>
        </is>
      </c>
      <c r="B321" s="24" t="inlineStr">
        <is>
          <t>Society module</t>
        </is>
      </c>
      <c r="C321" s="24" t="inlineStr">
        <is>
          <t>GS-044</t>
        </is>
      </c>
      <c r="D321" s="24" t="inlineStr">
        <is>
          <t>Operator verifies, rejects, suspends and reinstates</t>
        </is>
      </c>
      <c r="E321" s="24" t="inlineStr">
        <is>
          <t>Positive</t>
        </is>
      </c>
      <c r="F321" s="24" t="inlineStr">
        <is>
          <t>P1</t>
        </is>
      </c>
      <c r="G321" s="24" t="inlineStr">
        <is>
          <t>Operator</t>
        </is>
      </c>
      <c r="H321" s="24" t="inlineStr">
        <is>
          <t>UI</t>
        </is>
      </c>
      <c r="I321" s="24" t="n"/>
      <c r="J321" s="24" t="inlineStr">
        <is>
          <t>1. /admin/societies -&gt; verify one, reject one with a reason, suspend then reinstate the verified one</t>
        </is>
      </c>
      <c r="K321" s="24" t="inlineStr">
        <is>
          <t>Status changes each time and is audited. On verification the registrant gets the SOCIETY_ADMIN navigation role.</t>
        </is>
      </c>
      <c r="L321" s="24" t="inlineStr">
        <is>
          <t>Dev log Phase 2 handoff</t>
        </is>
      </c>
      <c r="M321" s="24" t="inlineStr">
        <is>
          <t>Pass</t>
        </is>
      </c>
      <c r="N321" s="24" t="inlineStr">
        <is>
          <t>Local Pass · Staging Not run (rule) · Production Not run
local: audited A:APPLIED→VERIFIED, B:APPLIED→REJECTED, A:VERIFIED→SUSPENDED, A:SUSPENDED→VERIFIED; registrant of A now holds CUSTOMER, SOCIETY_ADMIN
staging: not run on staging: needs the server's database (local run only)</t>
        </is>
      </c>
      <c r="O321" s="24" t="n"/>
      <c r="P321" s="24" t="inlineStr">
        <is>
          <t>2026-10-24 17:05</t>
        </is>
      </c>
    </row>
    <row r="322" ht="23.25" customHeight="1" s="13">
      <c r="A322" s="24" t="inlineStr">
        <is>
          <t>TC-SOC-004</t>
        </is>
      </c>
      <c r="B322" s="24" t="inlineStr">
        <is>
          <t>Society module</t>
        </is>
      </c>
      <c r="C322" s="24" t="inlineStr">
        <is>
          <t>GS-005</t>
        </is>
      </c>
      <c r="D322" s="24" t="inlineStr">
        <is>
          <t>Resident asks to join and is approved</t>
        </is>
      </c>
      <c r="E322" s="24" t="inlineStr">
        <is>
          <t>Positive</t>
        </is>
      </c>
      <c r="F322" s="24" t="inlineStr">
        <is>
          <t>P1</t>
        </is>
      </c>
      <c r="G322" s="24" t="inlineStr">
        <is>
          <t>Customer</t>
        </is>
      </c>
      <c r="H322" s="24" t="inlineStr">
        <is>
          <t>UI</t>
        </is>
      </c>
      <c r="I322" s="24" t="inlineStr">
        <is>
          <t>Verified society</t>
        </is>
      </c>
      <c r="J322" s="24" t="inlineStr">
        <is>
          <t>1. Customer requests to join with a unit label
2. Society admin approves
3. Another request is declined</t>
        </is>
      </c>
      <c r="K322" s="24" t="inlineStr">
        <is>
          <t>Membership PENDING then ACTIVE; declined request cannot link addresses.</t>
        </is>
      </c>
      <c r="L322" s="24" t="inlineStr">
        <is>
          <t>Dev log Phase 2 handoff</t>
        </is>
      </c>
      <c r="M322" s="24" t="inlineStr">
        <is>
          <t>Pass</t>
        </is>
      </c>
      <c r="N322" s="24" t="inlineStr">
        <is>
          <t>Passed, partly covered. Local Pass (partial) · Staging Blocked · Production Not run
local: not covered: the resident's dashboard page answers 404 (it does not reveal the society) rather than 403; the API answers 403
staging: needs a verified society in this site's test data</t>
        </is>
      </c>
      <c r="O322" s="24" t="n"/>
      <c r="P322" s="24" t="inlineStr">
        <is>
          <t>2026-10-24 18:10</t>
        </is>
      </c>
    </row>
    <row r="323" ht="23.25" customHeight="1" s="13">
      <c r="A323" s="24" t="inlineStr">
        <is>
          <t>TC-SOC-005</t>
        </is>
      </c>
      <c r="B323" s="24" t="inlineStr">
        <is>
          <t>Society module</t>
        </is>
      </c>
      <c r="C323" s="24" t="inlineStr">
        <is>
          <t>GS-005</t>
        </is>
      </c>
      <c r="D323" s="24" t="inlineStr">
        <is>
          <t>Cannot join an unverified society</t>
        </is>
      </c>
      <c r="E323" s="24" t="inlineStr">
        <is>
          <t>Negative</t>
        </is>
      </c>
      <c r="F323" s="24" t="inlineStr">
        <is>
          <t>P2</t>
        </is>
      </c>
      <c r="G323" s="24" t="inlineStr">
        <is>
          <t>Customer</t>
        </is>
      </c>
      <c r="H323" s="24" t="inlineStr">
        <is>
          <t>API</t>
        </is>
      </c>
      <c r="I323" s="24" t="n"/>
      <c r="J323" s="24" t="inlineStr">
        <is>
          <t>1. POST /api/societies/{id}/members for an APPLIED society</t>
        </is>
      </c>
      <c r="K323" s="24" t="inlineStr">
        <is>
          <t>Refused.</t>
        </is>
      </c>
      <c r="L323" s="24" t="inlineStr">
        <is>
          <t>Dev log Phase 2 handoff</t>
        </is>
      </c>
      <c r="M323" s="24" t="inlineStr">
        <is>
          <t>Pass</t>
        </is>
      </c>
      <c r="N323" s="24" t="inlineStr">
        <is>
          <t>Local Pass · Staging Pass · Production Not run
local: POST /api/societies/{APPLIED}/members → 409 "This society is not open for residents yet."
staging: POST /api/societies/{APPLIED}/members → 409 "This society is not open for residents yet."</t>
        </is>
      </c>
      <c r="O323" s="24" t="n"/>
      <c r="P323" s="24" t="inlineStr">
        <is>
          <t>2026-10-24 18:10</t>
        </is>
      </c>
    </row>
    <row r="324" ht="23.25" customHeight="1" s="13">
      <c r="A324" s="24" t="inlineStr">
        <is>
          <t>TC-SOC-006</t>
        </is>
      </c>
      <c r="B324" s="24" t="inlineStr">
        <is>
          <t>Society module</t>
        </is>
      </c>
      <c r="C324" s="24" t="inlineStr">
        <is>
          <t>RBAC-009</t>
        </is>
      </c>
      <c r="D324" s="24" t="inlineStr">
        <is>
          <t>Member role management and last-admin protection</t>
        </is>
      </c>
      <c r="E324" s="24" t="inlineStr">
        <is>
          <t>Positive</t>
        </is>
      </c>
      <c r="F324" s="24" t="inlineStr">
        <is>
          <t>P1</t>
        </is>
      </c>
      <c r="G324" s="24" t="inlineStr">
        <is>
          <t>Society</t>
        </is>
      </c>
      <c r="H324" s="24" t="inlineStr">
        <is>
          <t>UI+API</t>
        </is>
      </c>
      <c r="I324" s="24" t="n"/>
      <c r="J324" s="24" t="inlineStr">
        <is>
          <t>1. ADMIN promotes a member to OPERATOR
2. OPERATOR tries to change a role
3. The only ADMIN tries to leave or demote themselves</t>
        </is>
      </c>
      <c r="K324" s="24" t="inlineStr">
        <is>
          <t>Role change by ADMIN works; OPERATOR is refused; the last admin cannot be removed.</t>
        </is>
      </c>
      <c r="L324" s="24" t="inlineStr">
        <is>
          <t>Dev log Phase 2 handoff</t>
        </is>
      </c>
      <c r="M324" s="24" t="inlineStr">
        <is>
          <t>Pass</t>
        </is>
      </c>
      <c r="N324" s="24" t="inlineStr">
        <is>
          <t>Local Pass · Staging Not run (rule) · Production Not run
local: B → OPERATOR by the admin; B changing C's role → 403; last admin demote → 409 "A society needs at least one admin.", leave → 409 "A society needs at least one admin — hand over first."
staging: not run on staging: needs the server's database (local run only)</t>
        </is>
      </c>
      <c r="O324" s="24" t="n"/>
      <c r="P324" s="24" t="inlineStr">
        <is>
          <t>2026-10-24 17:05</t>
        </is>
      </c>
    </row>
    <row r="325" ht="23.25" customHeight="1" s="13">
      <c r="A325" s="24" t="inlineStr">
        <is>
          <t>TC-SOC-007</t>
        </is>
      </c>
      <c r="B325" s="24" t="inlineStr">
        <is>
          <t>Society module</t>
        </is>
      </c>
      <c r="C325" s="24" t="inlineStr">
        <is>
          <t>GS-005</t>
        </is>
      </c>
      <c r="D325" s="24" t="inlineStr">
        <is>
          <t>Leaving a society clears address links</t>
        </is>
      </c>
      <c r="E325" s="24" t="inlineStr">
        <is>
          <t>Positive</t>
        </is>
      </c>
      <c r="F325" s="24" t="inlineStr">
        <is>
          <t>P2</t>
        </is>
      </c>
      <c r="G325" s="24" t="inlineStr">
        <is>
          <t>Customer</t>
        </is>
      </c>
      <c r="H325" s="24" t="inlineStr">
        <is>
          <t>UI</t>
        </is>
      </c>
      <c r="I325" s="24" t="inlineStr">
        <is>
          <t>Member with a linked address</t>
        </is>
      </c>
      <c r="J325" s="24" t="inlineStr">
        <is>
          <t>1. Leave the society</t>
        </is>
      </c>
      <c r="K325" s="24" t="inlineStr">
        <is>
          <t>Address is no longer linked; future orders carry no society.</t>
        </is>
      </c>
      <c r="L325" s="24" t="inlineStr">
        <is>
          <t>Dev log Phase 2 handoff</t>
        </is>
      </c>
      <c r="M325" s="24" t="inlineStr">
        <is>
          <t>Pass</t>
        </is>
      </c>
      <c r="N325" s="24" t="inlineStr">
        <is>
          <t>Local Pass · Staging Not run (rule) · Production Not run
local: left QA Society mvmkyclr from /society; the address link cleared; DB-20261024-TJWUJI carries no society
staging: not run on staging: needs the server's database (local run only)</t>
        </is>
      </c>
      <c r="O325" s="24" t="n"/>
      <c r="P325" s="24" t="inlineStr">
        <is>
          <t>2026-10-24 17:05</t>
        </is>
      </c>
    </row>
    <row r="326" ht="23.25" customHeight="1" s="13">
      <c r="A326" s="24" t="inlineStr">
        <is>
          <t>TC-SOC-008</t>
        </is>
      </c>
      <c r="B326" s="24" t="inlineStr">
        <is>
          <t>Society module</t>
        </is>
      </c>
      <c r="C326" s="24" t="inlineStr">
        <is>
          <t>NAV-014</t>
        </is>
      </c>
      <c r="D326" s="24" t="inlineStr">
        <is>
          <t>Society dashboard</t>
        </is>
      </c>
      <c r="E326" s="24" t="inlineStr">
        <is>
          <t>Positive</t>
        </is>
      </c>
      <c r="F326" s="24" t="inlineStr">
        <is>
          <t>P1</t>
        </is>
      </c>
      <c r="G326" s="24" t="inlineStr">
        <is>
          <t>Society</t>
        </is>
      </c>
      <c r="H326" s="24" t="inlineStr">
        <is>
          <t>UI</t>
        </is>
      </c>
      <c r="I326" s="24" t="n"/>
      <c r="J326" s="24" t="inlineStr">
        <is>
          <t>1. Open /society/{id}</t>
        </is>
      </c>
      <c r="K326" s="24" t="inlineStr">
        <is>
          <t>Sections: rules, residents, authorised riders, partner shops, deliveries.</t>
        </is>
      </c>
      <c r="L326" s="24" t="inlineStr">
        <is>
          <t>Dev log Phase 2</t>
        </is>
      </c>
      <c r="M326" s="24" t="inlineStr">
        <is>
          <t>Pass</t>
        </is>
      </c>
      <c r="N326" s="24" t="inlineStr">
        <is>
          <t>Local Pass · Staging Blocked · Production Not run
local: QA Society mvmkyclr: Rules &amp; instructions, /^Residents \(\d+\)$/, Authorised riders, Shops for our residents, Deliveries to the society (last 7 days) ‖ [phone] QA Society mvmkzw75: Rules &amp; instructions, /^Residents \(\d+\)$/, Authorised riders, Shops for our residents, Deliveries to the society (last 7 days)
staging: needs a verified society in this site's test data</t>
        </is>
      </c>
      <c r="O326" s="24" t="n"/>
      <c r="P326" s="24" t="inlineStr">
        <is>
          <t>2026-10-24 20:59</t>
        </is>
      </c>
    </row>
    <row r="327" ht="23.25" customHeight="1" s="13">
      <c r="A327" s="24" t="inlineStr">
        <is>
          <t>TC-SOC-009</t>
        </is>
      </c>
      <c r="B327" s="24" t="inlineStr">
        <is>
          <t>Society module</t>
        </is>
      </c>
      <c r="C327" s="24" t="inlineStr">
        <is>
          <t>RBAC-009, RBAC-010</t>
        </is>
      </c>
      <c r="D327" s="24" t="inlineStr">
        <is>
          <t>Society dashboard shows no customer PII</t>
        </is>
      </c>
      <c r="E327" s="24" t="inlineStr">
        <is>
          <t>Security</t>
        </is>
      </c>
      <c r="F327" s="24" t="inlineStr">
        <is>
          <t>P0</t>
        </is>
      </c>
      <c r="G327" s="24" t="inlineStr">
        <is>
          <t>Society</t>
        </is>
      </c>
      <c r="H327" s="24" t="inlineStr">
        <is>
          <t>UI+API</t>
        </is>
      </c>
      <c r="I327" s="24" t="inlineStr">
        <is>
          <t>Deliveries exist for the society</t>
        </is>
      </c>
      <c r="J327" s="24" t="inlineStr">
        <is>
          <t>1. Inspect the deliveries list and GET /api/societies/{id}</t>
        </is>
      </c>
      <c r="K327" s="24" t="inlineStr">
        <is>
          <t>No resident contact details and no order contents.</t>
        </is>
      </c>
      <c r="L327" s="24" t="inlineStr">
        <is>
          <t>API.md Society</t>
        </is>
      </c>
      <c r="M327" s="24" t="inlineStr">
        <is>
          <t>Pass</t>
        </is>
      </c>
      <c r="N327" s="24" t="inlineStr">
        <is>
          <t>Local Pass · Staging Not run (rule) · Production Not run
local: DB-20261024-1T64UK listed with number, status, shop, rider and unit only; no resident email, mobile or items in the API or the page
staging: not run on staging: needs the server's database (local run only)</t>
        </is>
      </c>
      <c r="O327" s="24" t="n"/>
      <c r="P327" s="24" t="inlineStr">
        <is>
          <t>2026-10-24 17:05</t>
        </is>
      </c>
    </row>
    <row r="328" ht="23.25" customHeight="1" s="13">
      <c r="A328" s="24" t="inlineStr">
        <is>
          <t>TC-SOC-010</t>
        </is>
      </c>
      <c r="B328" s="24" t="inlineStr">
        <is>
          <t>Society module</t>
        </is>
      </c>
      <c r="C328" s="24" t="inlineStr">
        <is>
          <t>RBAC-009</t>
        </is>
      </c>
      <c r="D328" s="24" t="inlineStr">
        <is>
          <t>Residents and other societies' staff are kept out</t>
        </is>
      </c>
      <c r="E328" s="24" t="inlineStr">
        <is>
          <t>Security</t>
        </is>
      </c>
      <c r="F328" s="24" t="inlineStr">
        <is>
          <t>P0</t>
        </is>
      </c>
      <c r="G328" s="24" t="inlineStr">
        <is>
          <t>Customer</t>
        </is>
      </c>
      <c r="H328" s="24" t="inlineStr">
        <is>
          <t>UI+API</t>
        </is>
      </c>
      <c r="I328" s="24" t="n"/>
      <c r="J328" s="24" t="inlineStr">
        <is>
          <t>1. As a RESIDENT open /society/{id} and call PATCH /api/societies/{id}
2. As admin of society X act on society Y
3. As platform operator act on any</t>
        </is>
      </c>
      <c r="K328" s="24" t="inlineStr">
        <is>
          <t>Resident and cross-society staff: 403. Platform operator: allowed.</t>
        </is>
      </c>
      <c r="L328" s="24" t="inlineStr">
        <is>
          <t>Dev log Phase 2 handoff</t>
        </is>
      </c>
      <c r="M328" s="24" t="inlineStr">
        <is>
          <t>Pass</t>
        </is>
      </c>
      <c r="N328" s="24" t="inlineStr">
        <is>
          <t>Passed, partly covered. Local Pass (partial) · Staging Blocked · Production Not run
local: not covered: the resident's dashboard page answers 404 (it does not reveal the society) rather than 403; the API answers 403
staging: needs a verified society in this site's test data</t>
        </is>
      </c>
      <c r="O328" s="24" t="n"/>
      <c r="P328" s="24" t="inlineStr">
        <is>
          <t>2026-10-24 18:10</t>
        </is>
      </c>
    </row>
    <row r="329" ht="23.25" customHeight="1" s="13">
      <c r="A329" s="24" t="inlineStr">
        <is>
          <t>TC-SOC-011</t>
        </is>
      </c>
      <c r="B329" s="24" t="inlineStr">
        <is>
          <t>Society module</t>
        </is>
      </c>
      <c r="C329" s="24" t="inlineStr">
        <is>
          <t>GS-045</t>
        </is>
      </c>
      <c r="D329" s="24" t="inlineStr">
        <is>
          <t>Add an authorised rider by mobile</t>
        </is>
      </c>
      <c r="E329" s="24" t="inlineStr">
        <is>
          <t>Positive</t>
        </is>
      </c>
      <c r="F329" s="24" t="inlineStr">
        <is>
          <t>P0</t>
        </is>
      </c>
      <c r="G329" s="24" t="inlineStr">
        <is>
          <t>Society</t>
        </is>
      </c>
      <c r="H329" s="24" t="inlineStr">
        <is>
          <t>UI</t>
        </is>
      </c>
      <c r="I329" s="24" t="inlineStr">
        <is>
          <t>Approved rider's mobile</t>
        </is>
      </c>
      <c r="J329" s="24" t="inlineStr">
        <is>
          <t>1. Add the mobile; mark preferred; add an unknown mobile</t>
        </is>
      </c>
      <c r="K329" s="24" t="inlineStr">
        <is>
          <t>Rider listed (and preferred); unknown mobile refused with a message. Each change audited.</t>
        </is>
      </c>
      <c r="L329" s="24" t="inlineStr">
        <is>
          <t>Dev log Phase 2: GS-045</t>
        </is>
      </c>
      <c r="M329" s="24" t="inlineStr">
        <is>
          <t>Pass</t>
        </is>
      </c>
      <c r="N329" s="24" t="inlineStr">
        <is>
          <t>Passed, partly covered. Local Pass (partial) · Staging Not run (rule) · Production Not run
local: not covered: the riders' mobile numbers are made unique first (the seeded riders share 9876543210)
staging: not run on staging: needs the server's database (local run only)</t>
        </is>
      </c>
      <c r="O329" s="24" t="n"/>
      <c r="P329" s="24" t="inlineStr">
        <is>
          <t>2026-10-24 17:05</t>
        </is>
      </c>
    </row>
    <row r="330" ht="23.25" customHeight="1" s="13">
      <c r="A330" s="24" t="inlineStr">
        <is>
          <t>TC-SOC-012</t>
        </is>
      </c>
      <c r="B330" s="24" t="inlineStr">
        <is>
          <t>Society module</t>
        </is>
      </c>
      <c r="C330" s="24" t="inlineStr">
        <is>
          <t>GS-045</t>
        </is>
      </c>
      <c r="D330" s="24" t="inlineStr">
        <is>
          <t>Revoke a rider</t>
        </is>
      </c>
      <c r="E330" s="24" t="inlineStr">
        <is>
          <t>Positive</t>
        </is>
      </c>
      <c r="F330" s="24" t="inlineStr">
        <is>
          <t>P0</t>
        </is>
      </c>
      <c r="G330" s="24" t="inlineStr">
        <is>
          <t>Society</t>
        </is>
      </c>
      <c r="H330" s="24" t="inlineStr">
        <is>
          <t>UI</t>
        </is>
      </c>
      <c r="I330" s="24" t="n"/>
      <c r="J330" s="24" t="inlineStr">
        <is>
          <t>1. Revoke</t>
        </is>
      </c>
      <c r="K330" s="24" t="inlineStr">
        <is>
          <t>Removed from the list immediately and audited.</t>
        </is>
      </c>
      <c r="L330" s="24" t="inlineStr">
        <is>
          <t>Feature Master GS-045</t>
        </is>
      </c>
      <c r="M330" s="24" t="inlineStr">
        <is>
          <t>Pass</t>
        </is>
      </c>
      <c r="N330" s="24" t="inlineStr">
        <is>
          <t>Passed, partly covered. Local Pass (partial) · Staging Not run (rule) · Production Not run
local: not covered: the dashboard keeps the revoked rider on its list, marked 'revoked' (no longer authorised), rather than removing the row
staging: not run on staging: needs the server's database (local run only)</t>
        </is>
      </c>
      <c r="O330" s="24" t="n"/>
      <c r="P330" s="24" t="inlineStr">
        <is>
          <t>2026-10-24 17:05</t>
        </is>
      </c>
    </row>
    <row r="331" ht="23.25" customHeight="1" s="13">
      <c r="A331" s="24" t="inlineStr">
        <is>
          <t>TC-SOC-013</t>
        </is>
      </c>
      <c r="B331" s="24" t="inlineStr">
        <is>
          <t>Society module</t>
        </is>
      </c>
      <c r="C331" s="24" t="inlineStr">
        <is>
          <t>GS-047</t>
        </is>
      </c>
      <c r="D331" s="24" t="inlineStr">
        <is>
          <t>Society rules: gate notes, entry mode, security desk</t>
        </is>
      </c>
      <c r="E331" s="24" t="inlineStr">
        <is>
          <t>Positive</t>
        </is>
      </c>
      <c r="F331" s="24" t="inlineStr">
        <is>
          <t>P1</t>
        </is>
      </c>
      <c r="G331" s="24" t="inlineStr">
        <is>
          <t>Society</t>
        </is>
      </c>
      <c r="H331" s="24" t="inlineStr">
        <is>
          <t>UI</t>
        </is>
      </c>
      <c r="I331" s="24" t="n"/>
      <c r="J331" s="24" t="inlineStr">
        <is>
          <t>1. Set delivery instructions, entry mode 'Security calls the resident', a security-desk contact, 'show to rider' on, 'tell resident at gate' on
2. Rider takes a job to the society
3. Turn 'show to rider' off</t>
        </is>
      </c>
      <c r="K331" s="24" t="inlineStr">
        <is>
          <t>Rider sees the gate mode, notes and a tap-to-call desk number on the active job only. With 'show to rider' off the number is hidden.</t>
        </is>
      </c>
      <c r="L331" s="24" t="inlineStr">
        <is>
          <t>QA C-05</t>
        </is>
      </c>
      <c r="M331" s="24" t="inlineStr">
        <is>
          <t>Pass</t>
        </is>
      </c>
      <c r="N331" s="24" t="inlineStr">
        <is>
          <t>Passed, partly covered. Local Pass (partial) · Staging Not run (rule) · Production Not run
local: not covered: the dashboard's view of the delivery (no PII) is TC-SOC-009 below
staging: not run on staging: needs the server's database (local run only)</t>
        </is>
      </c>
      <c r="O331" s="24" t="n"/>
      <c r="P331" s="24" t="inlineStr">
        <is>
          <t>2026-10-24 17:05</t>
        </is>
      </c>
    </row>
    <row r="332" ht="45.75" customHeight="1" s="13">
      <c r="A332" s="24" t="inlineStr">
        <is>
          <t>TC-SOC-014</t>
        </is>
      </c>
      <c r="B332" s="24" t="inlineStr">
        <is>
          <t>Society module</t>
        </is>
      </c>
      <c r="C332" s="24" t="inlineStr">
        <is>
          <t>GS-046</t>
        </is>
      </c>
      <c r="D332" s="24" t="inlineStr">
        <is>
          <t>Security notification on rider acceptance (opt-in)</t>
        </is>
      </c>
      <c r="E332" s="24" t="inlineStr">
        <is>
          <t>Positive</t>
        </is>
      </c>
      <c r="F332" s="24" t="inlineStr">
        <is>
          <t>P1</t>
        </is>
      </c>
      <c r="G332" s="24" t="inlineStr">
        <is>
          <t>Society</t>
        </is>
      </c>
      <c r="H332" s="24" t="inlineStr">
        <is>
          <t>UI</t>
        </is>
      </c>
      <c r="I332" s="24" t="n"/>
      <c r="J332" s="24" t="inlineStr">
        <is>
          <t>1. Enable security notifications
2. A rider accepts a society order
3. Disable and repeat</t>
        </is>
      </c>
      <c r="K332" s="24" t="inlineStr">
        <is>
          <t>Society staff notified only when enabled.</t>
        </is>
      </c>
      <c r="L332" s="24" t="inlineStr">
        <is>
          <t>Dev log Phase 2 handoff</t>
        </is>
      </c>
      <c r="M332" s="24" t="inlineStr">
        <is>
          <t>Pass</t>
        </is>
      </c>
      <c r="N332" s="24" t="inlineStr">
        <is>
          <t>Passed, partly covered. Local Pass (partial) · Staging Not run (rule) · Production Not run
local: not covered: the notice when switched on is checked by TC-SOC-016 above ‖ not covered: the dashboard's view of the delivery (no PII) is TC-SOC-009 below
staging: not run on staging: needs the server's database (local run only)</t>
        </is>
      </c>
      <c r="O332" s="24" t="n"/>
      <c r="P332" s="24" t="inlineStr">
        <is>
          <t>2026-10-24 17:05</t>
        </is>
      </c>
    </row>
    <row r="333" ht="23.25" customHeight="1" s="13">
      <c r="A333" s="24" t="inlineStr">
        <is>
          <t>TC-SOC-015</t>
        </is>
      </c>
      <c r="B333" s="24" t="inlineStr">
        <is>
          <t>Society module</t>
        </is>
      </c>
      <c r="C333" s="24" t="inlineStr">
        <is>
          <t>GS-005, GS-019</t>
        </is>
      </c>
      <c r="D333" s="24" t="inlineStr">
        <is>
          <t>Partner shops are recommended to residents</t>
        </is>
      </c>
      <c r="E333" s="24" t="inlineStr">
        <is>
          <t>Positive</t>
        </is>
      </c>
      <c r="F333" s="24" t="inlineStr">
        <is>
          <t>P2</t>
        </is>
      </c>
      <c r="G333" s="24" t="inlineStr">
        <is>
          <t>Society</t>
        </is>
      </c>
      <c r="H333" s="24" t="inlineStr">
        <is>
          <t>UI</t>
        </is>
      </c>
      <c r="I333" s="24" t="n"/>
      <c r="J333" s="24" t="inlineStr">
        <is>
          <t>1. Society admin adds Shop A as a partner
2. Resident browses</t>
        </is>
      </c>
      <c r="K333" s="24" t="inlineStr">
        <is>
          <t>Shop A appears first for residents and counts as serviceable for them.</t>
        </is>
      </c>
      <c r="L333" s="24" t="inlineStr">
        <is>
          <t>Dev log Phase 2 handoff</t>
        </is>
      </c>
      <c r="M333" s="24" t="inlineStr">
        <is>
          <t>Pass</t>
        </is>
      </c>
      <c r="N333" s="24" t="inlineStr">
        <is>
          <t>Passed, partly covered. Local Pass (partial) · Staging Not run (rule) · Production Not run
local: not covered: checked on the home page's 'Shops near you' (the nearby-shops order); the /shops list re-sorts nearest-first by default, so there shop C stays ahead; shop A delivers to the resident anyway — a partner outside its own radius is not set up in this world
staging: not run on staging: needs the server's database (local run only)</t>
        </is>
      </c>
      <c r="O333" s="24" t="n"/>
      <c r="P333" s="24" t="inlineStr">
        <is>
          <t>2026-10-24 17:05</t>
        </is>
      </c>
    </row>
    <row r="334" ht="23.25" customHeight="1" s="13">
      <c r="A334" s="24" t="inlineStr">
        <is>
          <t>TC-SOC-016</t>
        </is>
      </c>
      <c r="B334" s="24" t="inlineStr">
        <is>
          <t>Society module</t>
        </is>
      </c>
      <c r="C334" s="24" t="inlineStr">
        <is>
          <t>WF-004</t>
        </is>
      </c>
      <c r="D334" s="24" t="inlineStr">
        <is>
          <t>Society authorised delivery end to end</t>
        </is>
      </c>
      <c r="E334" s="24" t="inlineStr">
        <is>
          <t>Positive</t>
        </is>
      </c>
      <c r="F334" s="24" t="inlineStr">
        <is>
          <t>P0</t>
        </is>
      </c>
      <c r="G334" s="24" t="inlineStr">
        <is>
          <t>All</t>
        </is>
      </c>
      <c r="H334" s="24" t="inlineStr">
        <is>
          <t>UI</t>
        </is>
      </c>
      <c r="I334" s="24" t="inlineStr">
        <is>
          <t>Exclusive society, one listed rider, security notice on</t>
        </is>
      </c>
      <c r="J334" s="24" t="inlineStr">
        <is>
          <t>1. Resident orders to the society address -&gt; shop READY -&gt; listed rider accepts -&gt; pickup -&gt; gate -&gt; OTP delivery</t>
        </is>
      </c>
      <c r="K334" s="24" t="inlineStr">
        <is>
          <t>Order carries the society; only the listed rider is offered; security is notified on acceptance; rider sees gate notes; delivery completes; the dashboard shows the delivery without PII.</t>
        </is>
      </c>
      <c r="L334" s="24" t="inlineStr">
        <is>
          <t>Workflow Master WF-004</t>
        </is>
      </c>
      <c r="M334" s="24" t="inlineStr">
        <is>
          <t>Pass</t>
        </is>
      </c>
      <c r="N334" s="24" t="inlineStr">
        <is>
          <t>Passed, partly covered. Local Pass (partial) · Staging Not run (rule) · Production Not run
local: not covered: the dashboard's view of the delivery (no PII) is TC-SOC-009 below
staging: not run on staging: needs the server's database (local run only)</t>
        </is>
      </c>
      <c r="O334" s="24" t="n"/>
      <c r="P334" s="24" t="inlineStr">
        <is>
          <t>2026-10-24 17:05</t>
        </is>
      </c>
    </row>
    <row r="335" ht="23.25" customHeight="1" s="13">
      <c r="A335" s="24" t="inlineStr">
        <is>
          <t>TC-SOC-017</t>
        </is>
      </c>
      <c r="B335" s="24" t="inlineStr">
        <is>
          <t>Society module</t>
        </is>
      </c>
      <c r="C335" s="24" t="inlineStr">
        <is>
          <t>GS-044</t>
        </is>
      </c>
      <c r="D335" s="24" t="inlineStr">
        <is>
          <t>Suspended society</t>
        </is>
      </c>
      <c r="E335" s="24" t="inlineStr">
        <is>
          <t>Negative</t>
        </is>
      </c>
      <c r="F335" s="24" t="inlineStr">
        <is>
          <t>P2</t>
        </is>
      </c>
      <c r="G335" s="24" t="inlineStr">
        <is>
          <t>Operator</t>
        </is>
      </c>
      <c r="H335" s="24" t="inlineStr">
        <is>
          <t>UI</t>
        </is>
      </c>
      <c r="I335" s="24" t="n"/>
      <c r="J335" s="24" t="inlineStr">
        <is>
          <t>1. Suspend a society with members and linked addresses
2. Place an order to a linked address</t>
        </is>
      </c>
      <c r="K335" s="24" t="inlineStr">
        <is>
          <t>Record behaviour: society rules should stop applying; order still deliverable under normal dispatch.</t>
        </is>
      </c>
      <c r="L335" s="24" t="inlineStr">
        <is>
          <t>Dev log Phase 2 (verify/suspend)</t>
        </is>
      </c>
      <c r="M335" s="24" t="inlineStr">
        <is>
          <t>Pass</t>
        </is>
      </c>
      <c r="N335" s="24" t="inlineStr">
        <is>
          <t>Local Pass · Staging Not run (rule) · Production Not run
local: suspended (exclusive, rider 2 listed): DB-20261024-N6OGT4 has no society, went to the nearer rider 1 and was delivered
staging: not run on staging: needs the server's database (local run only)</t>
        </is>
      </c>
      <c r="O335" s="24" t="n"/>
      <c r="P335" s="24" t="inlineStr">
        <is>
          <t>2026-10-24 17:05</t>
        </is>
      </c>
    </row>
    <row r="336" ht="34.5" customHeight="1" s="13">
      <c r="A336" s="24" t="inlineStr">
        <is>
          <t>TC-SUB-001</t>
        </is>
      </c>
      <c r="B336" s="24" t="inlineStr">
        <is>
          <t>Subscriptions</t>
        </is>
      </c>
      <c r="C336" s="24" t="inlineStr">
        <is>
          <t>GS-048, NAV-005</t>
        </is>
      </c>
      <c r="D336" s="24" t="inlineStr">
        <is>
          <t>Create a daily milk subscription</t>
        </is>
      </c>
      <c r="E336" s="24" t="inlineStr">
        <is>
          <t>Positive</t>
        </is>
      </c>
      <c r="F336" s="24" t="inlineStr">
        <is>
          <t>P0</t>
        </is>
      </c>
      <c r="G336" s="24" t="inlineStr">
        <is>
          <t>Customer</t>
        </is>
      </c>
      <c r="H336" s="24" t="inlineStr">
        <is>
          <t>UI</t>
        </is>
      </c>
      <c r="I336" s="24" t="inlineStr">
        <is>
          <t>Wallet funded; subscribable product at Rs 70/L</t>
        </is>
      </c>
      <c r="J336" s="24" t="inlineStr">
        <is>
          <t>1. Shop page -&gt; Subscribe on Cow Milk
2. Set 2 L/day
3. Check the cost preview
4. Subscribe</t>
        </is>
      </c>
      <c r="K336" s="24" t="inlineStr">
        <is>
          <t>Preview: Rs 140 per delivery, Rs 980 for 7 days. Subscription page opens; subscription ACTIVE.</t>
        </is>
      </c>
      <c r="L336" s="24" t="inlineStr">
        <is>
          <t>e2e acceptance spec</t>
        </is>
      </c>
      <c r="M336" s="24" t="inlineStr">
        <is>
          <t>Fail</t>
        </is>
      </c>
      <c r="N336" s="24" t="inlineStr">
        <is>
          <t>Local Fail · Staging Blocked · Production Not run
local: locator.click: Timeout 15000ms exceeded. | Call log: | - waiting for locator('div').filter({ hasText: 'QA Cow Milk 1 L mvmkyclr' }).filter({ has: getByRole('button', { name: 'Subscribe' }) }).last().getByRole('button', { name: 'Subscribe' })
staging: needs the "milk" listing in this site's test data</t>
        </is>
      </c>
      <c r="O336" s="24" t="n"/>
      <c r="P336" s="24" t="inlineStr">
        <is>
          <t>2026-10-24 21:08</t>
        </is>
      </c>
    </row>
    <row r="337" ht="23.25" customHeight="1" s="13">
      <c r="A337" s="24" t="inlineStr">
        <is>
          <t>TC-SUB-002</t>
        </is>
      </c>
      <c r="B337" s="24" t="inlineStr">
        <is>
          <t>Subscriptions</t>
        </is>
      </c>
      <c r="C337" s="24" t="inlineStr">
        <is>
          <t>GS-050, WF-006</t>
        </is>
      </c>
      <c r="D337" s="24" t="inlineStr">
        <is>
          <t>Daily order is generated and charged once</t>
        </is>
      </c>
      <c r="E337" s="24" t="inlineStr">
        <is>
          <t>Positive</t>
        </is>
      </c>
      <c r="F337" s="24" t="inlineStr">
        <is>
          <t>P0</t>
        </is>
      </c>
      <c r="G337" s="24" t="inlineStr">
        <is>
          <t>System</t>
        </is>
      </c>
      <c r="H337" s="24" t="inlineStr">
        <is>
          <t>UI+API</t>
        </is>
      </c>
      <c r="I337" s="24" t="inlineStr">
        <is>
          <t>CRON_SECRET available, or wait for the scheduled run</t>
        </is>
      </c>
      <c r="J337" s="24" t="inlineStr">
        <is>
          <t>1. Run the daily-orders cron for the start date
2. Run it again</t>
        </is>
      </c>
      <c r="K337" s="24" t="inlineStr">
        <is>
          <t>First run: one CONFIRMED order tagged 'subscription', wallet reduced by Rs 140. Second run: generated 0, no second debit.</t>
        </is>
      </c>
      <c r="L337" s="24" t="inlineStr">
        <is>
          <t>e2e acceptance spec</t>
        </is>
      </c>
      <c r="M337" s="24" t="inlineStr">
        <is>
          <t>Pass</t>
        </is>
      </c>
      <c r="N337" s="24" t="inlineStr">
        <is>
          <t>Local Pass · Staging Not run (rule) · Production Not run
local: 2026-10-25: run 1 → generated 1 (DB-20261024-30O41M, CONFIRMED, source SUBSCRIPTION, ₹140; wallet 300000 → 286000); run 2 → generated 0, alreadyExisted 1, wallet unchanged
staging: not run on staging: needs the server's database (local run only)</t>
        </is>
      </c>
      <c r="O337" s="24" t="n"/>
      <c r="P337" s="24" t="inlineStr">
        <is>
          <t>2026-10-24 17:05</t>
        </is>
      </c>
    </row>
    <row r="338" ht="23.25" customHeight="1" s="13">
      <c r="A338" s="24" t="inlineStr">
        <is>
          <t>TC-SUB-003</t>
        </is>
      </c>
      <c r="B338" s="24" t="inlineStr">
        <is>
          <t>Subscriptions</t>
        </is>
      </c>
      <c r="C338" s="24" t="inlineStr">
        <is>
          <t>GS-049</t>
        </is>
      </c>
      <c r="D338" s="24" t="inlineStr">
        <is>
          <t>Weekly schedule on chosen weekdays</t>
        </is>
      </c>
      <c r="E338" s="24" t="inlineStr">
        <is>
          <t>Positive</t>
        </is>
      </c>
      <c r="F338" s="24" t="inlineStr">
        <is>
          <t>P1</t>
        </is>
      </c>
      <c r="G338" s="24" t="inlineStr">
        <is>
          <t>Customer</t>
        </is>
      </c>
      <c r="H338" s="24" t="inlineStr">
        <is>
          <t>UI</t>
        </is>
      </c>
      <c r="I338" s="24" t="n"/>
      <c r="J338" s="24" t="inlineStr">
        <is>
          <t>1. Create a WEEKLY subscription for Mon/Wed/Fri
2. Open the calendar</t>
        </is>
      </c>
      <c r="K338" s="24" t="inlineStr">
        <is>
          <t>Calendar shows deliveries only on those days with estimated cost. WEEKLY without weekdays is refused.</t>
        </is>
      </c>
      <c r="L338" s="24" t="inlineStr">
        <is>
          <t>API.md Subscriptions</t>
        </is>
      </c>
      <c r="M338" s="24" t="inlineStr">
        <is>
          <t>Pass</t>
        </is>
      </c>
      <c r="N338" s="24" t="inlineStr">
        <is>
          <t>Passed, partly covered. Local Pass (partial) · Staging Blocked · Production Not run
local: not covered: read from the calendar API the page draws (the page's day tiles are the same data)
staging: needs the "milk" listing in this site's test data</t>
        </is>
      </c>
      <c r="O338" s="24" t="n"/>
      <c r="P338" s="24" t="inlineStr">
        <is>
          <t>2026-10-24 18:49</t>
        </is>
      </c>
    </row>
    <row r="339" ht="23.25" customHeight="1" s="13">
      <c r="A339" s="24" t="inlineStr">
        <is>
          <t>TC-SUB-004</t>
        </is>
      </c>
      <c r="B339" s="24" t="inlineStr">
        <is>
          <t>Subscriptions</t>
        </is>
      </c>
      <c r="C339" s="24" t="inlineStr">
        <is>
          <t>GS-051</t>
        </is>
      </c>
      <c r="D339" s="24" t="inlineStr">
        <is>
          <t>Change tomorrow's quantity only</t>
        </is>
      </c>
      <c r="E339" s="24" t="inlineStr">
        <is>
          <t>Positive</t>
        </is>
      </c>
      <c r="F339" s="24" t="inlineStr">
        <is>
          <t>P0</t>
        </is>
      </c>
      <c r="G339" s="24" t="inlineStr">
        <is>
          <t>Customer</t>
        </is>
      </c>
      <c r="H339" s="24" t="inlineStr">
        <is>
          <t>UI</t>
        </is>
      </c>
      <c r="I339" s="24" t="n"/>
      <c r="J339" s="24" t="inlineStr">
        <is>
          <t>1. Override tomorrow to 3 L
2. Check the calendar for tomorrow and the day after</t>
        </is>
      </c>
      <c r="K339" s="24" t="inlineStr">
        <is>
          <t>Tomorrow Rs 210 and marked overridden; the day after reverts to 2 L. Removing the override restores 2 L.</t>
        </is>
      </c>
      <c r="L339" s="24" t="inlineStr">
        <is>
          <t>e2e acceptance spec; API.md</t>
        </is>
      </c>
      <c r="M339" s="24" t="inlineStr">
        <is>
          <t>Pass</t>
        </is>
      </c>
      <c r="N339" s="24" t="inlineStr">
        <is>
          <t>Passed, partly covered. Local Pass (partial) · Staging Blocked · Production Not run
local: not covered: set through the API the day panel calls; the page's own tile wording is not asserted
staging: needs the "milk" listing in this site's test data</t>
        </is>
      </c>
      <c r="O339" s="24" t="n"/>
      <c r="P339" s="24" t="inlineStr">
        <is>
          <t>2026-10-24 18:49</t>
        </is>
      </c>
    </row>
    <row r="340" ht="34.5" customHeight="1" s="13">
      <c r="A340" s="24" t="inlineStr">
        <is>
          <t>TC-SUB-005</t>
        </is>
      </c>
      <c r="B340" s="24" t="inlineStr">
        <is>
          <t>Subscriptions</t>
        </is>
      </c>
      <c r="C340" s="24" t="inlineStr">
        <is>
          <t>GS-051</t>
        </is>
      </c>
      <c r="D340" s="24" t="inlineStr">
        <is>
          <t>Skip a date</t>
        </is>
      </c>
      <c r="E340" s="24" t="inlineStr">
        <is>
          <t>Positive</t>
        </is>
      </c>
      <c r="F340" s="24" t="inlineStr">
        <is>
          <t>P0</t>
        </is>
      </c>
      <c r="G340" s="24" t="inlineStr">
        <is>
          <t>Customer</t>
        </is>
      </c>
      <c r="H340" s="24" t="inlineStr">
        <is>
          <t>UI</t>
        </is>
      </c>
      <c r="I340" s="24" t="n"/>
      <c r="J340" s="24" t="inlineStr">
        <is>
          <t>1. Skip a future date
2. Run the cron for that date</t>
        </is>
      </c>
      <c r="K340" s="24" t="inlineStr">
        <is>
          <t>No order and no deduction for that date.</t>
        </is>
      </c>
      <c r="L340" s="24" t="inlineStr">
        <is>
          <t>API.md</t>
        </is>
      </c>
      <c r="M340" s="24" t="inlineStr">
        <is>
          <t>Pass</t>
        </is>
      </c>
      <c r="N340" s="24" t="inlineStr">
        <is>
          <t>Local Pass · Staging Not run (rule) · Production Not run
local: 2026-10-26 skipped → job: generated 0, skipped 1; wallet unchanged; delivery SKIPPED
staging: not run on staging: needs the server's database (local run only)</t>
        </is>
      </c>
      <c r="O340" s="24" t="n"/>
      <c r="P340" s="24" t="inlineStr">
        <is>
          <t>2026-10-24 17:05</t>
        </is>
      </c>
    </row>
    <row r="341" ht="23.25" customHeight="1" s="13">
      <c r="A341" s="24" t="inlineStr">
        <is>
          <t>TC-SUB-006</t>
        </is>
      </c>
      <c r="B341" s="24" t="inlineStr">
        <is>
          <t>Subscriptions</t>
        </is>
      </c>
      <c r="C341" s="24" t="inlineStr">
        <is>
          <t>GS-051</t>
        </is>
      </c>
      <c r="D341" s="24" t="inlineStr">
        <is>
          <t>Pause and resume</t>
        </is>
      </c>
      <c r="E341" s="24" t="inlineStr">
        <is>
          <t>Positive</t>
        </is>
      </c>
      <c r="F341" s="24" t="inlineStr">
        <is>
          <t>P0</t>
        </is>
      </c>
      <c r="G341" s="24" t="inlineStr">
        <is>
          <t>Customer</t>
        </is>
      </c>
      <c r="H341" s="24" t="inlineStr">
        <is>
          <t>UI</t>
        </is>
      </c>
      <c r="I341" s="24" t="n"/>
      <c r="J341" s="24" t="inlineStr">
        <is>
          <t>1. Pause from D+2 to D+5
2. Check the calendar
3. Resume</t>
        </is>
      </c>
      <c r="K341" s="24" t="inlineStr">
        <is>
          <t>No deliveries inside the window (inclusive); resume restores them; resume/cancel notifications are sent; history shows each action.</t>
        </is>
      </c>
      <c r="L341" s="24" t="inlineStr">
        <is>
          <t>Dev log Phase 2 handoff</t>
        </is>
      </c>
      <c r="M341" s="24" t="inlineStr">
        <is>
          <t>Pass</t>
        </is>
      </c>
      <c r="N341" s="24" t="inlineStr">
        <is>
          <t>Passed, partly covered. Local Pass (partial) · Staging Blocked · Production Not run
local: not covered: pause and resume are sent through the API the subscription page's Pause / Resume buttons call; the calendar is read from its API
staging: needs the "milk" listing in this site's test data</t>
        </is>
      </c>
      <c r="O341" s="24" t="n"/>
      <c r="P341" s="24" t="inlineStr">
        <is>
          <t>2026-10-24 18:49</t>
        </is>
      </c>
    </row>
    <row r="342" ht="34.5" customHeight="1" s="13">
      <c r="A342" s="24" t="inlineStr">
        <is>
          <t>TC-SUB-007</t>
        </is>
      </c>
      <c r="B342" s="24" t="inlineStr">
        <is>
          <t>Subscriptions</t>
        </is>
      </c>
      <c r="C342" s="24" t="inlineStr">
        <is>
          <t>GS-051</t>
        </is>
      </c>
      <c r="D342" s="24" t="inlineStr">
        <is>
          <t>Cancel a subscription</t>
        </is>
      </c>
      <c r="E342" s="24" t="inlineStr">
        <is>
          <t>Positive</t>
        </is>
      </c>
      <c r="F342" s="24" t="inlineStr">
        <is>
          <t>P0</t>
        </is>
      </c>
      <c r="G342" s="24" t="inlineStr">
        <is>
          <t>Customer</t>
        </is>
      </c>
      <c r="H342" s="24" t="inlineStr">
        <is>
          <t>UI</t>
        </is>
      </c>
      <c r="I342" s="24" t="n"/>
      <c r="J342" s="24" t="inlineStr">
        <is>
          <t>1. Cancel with a reason</t>
        </is>
      </c>
      <c r="K342" s="24" t="inlineStr">
        <is>
          <t>CANCELLED; no further orders; notification sent.</t>
        </is>
      </c>
      <c r="L342" s="24" t="inlineStr">
        <is>
          <t>API.md</t>
        </is>
      </c>
      <c r="M342" s="24" t="inlineStr">
        <is>
          <t>Pass</t>
        </is>
      </c>
      <c r="N342" s="24" t="inlineStr">
        <is>
          <t>Passed, partly covered. Local Pass (partial) · Staging Blocked · Production Not run
local: not covered: the page sends a fixed reason ('Cancelled by customer'); a reason of the customer's own is only possible through the API
staging: needs the "milk" listing in this site's test data</t>
        </is>
      </c>
      <c r="O342" s="24" t="n"/>
      <c r="P342" s="24" t="inlineStr">
        <is>
          <t>2026-10-24 21:08</t>
        </is>
      </c>
    </row>
    <row r="343" ht="34.5" customHeight="1" s="13">
      <c r="A343" s="24" t="inlineStr">
        <is>
          <t>TC-SUB-008</t>
        </is>
      </c>
      <c r="B343" s="24" t="inlineStr">
        <is>
          <t>Subscriptions</t>
        </is>
      </c>
      <c r="C343" s="24" t="inlineStr">
        <is>
          <t>SM-004</t>
        </is>
      </c>
      <c r="D343" s="24" t="inlineStr">
        <is>
          <t>Final states are locked</t>
        </is>
      </c>
      <c r="E343" s="24" t="inlineStr">
        <is>
          <t>Negative</t>
        </is>
      </c>
      <c r="F343" s="24" t="inlineStr">
        <is>
          <t>P1</t>
        </is>
      </c>
      <c r="G343" s="24" t="inlineStr">
        <is>
          <t>Customer</t>
        </is>
      </c>
      <c r="H343" s="24" t="inlineStr">
        <is>
          <t>API</t>
        </is>
      </c>
      <c r="I343" s="24" t="inlineStr">
        <is>
          <t>A CANCELLED subscription</t>
        </is>
      </c>
      <c r="J343" s="24" t="inlineStr">
        <is>
          <t>1. Call pause, resume, skip and PATCH on it</t>
        </is>
      </c>
      <c r="K343" s="24" t="inlineStr">
        <is>
          <t>All refused; resume does not revive it.</t>
        </is>
      </c>
      <c r="L343" s="24" t="inlineStr">
        <is>
          <t>Dev log Phase 2 fixes</t>
        </is>
      </c>
      <c r="M343" s="24" t="inlineStr">
        <is>
          <t>Pass</t>
        </is>
      </c>
      <c r="N343" s="24" t="inlineStr">
        <is>
          <t>Local Pass · Staging Blocked · Production Not run
local: pause → 409, resume → 409, skip → 409, PATCH → 409, activate → 409; still CANCELLED, quantity unchanged
staging: needs the "milk" listing in this site's test data</t>
        </is>
      </c>
      <c r="O343" s="24" t="inlineStr">
        <is>
          <t>D-34</t>
        </is>
      </c>
      <c r="P343" s="24" t="inlineStr">
        <is>
          <t>2026-10-24 18:49</t>
        </is>
      </c>
    </row>
    <row r="344" ht="34.5" customHeight="1" s="13">
      <c r="A344" s="24" t="inlineStr">
        <is>
          <t>TC-SUB-009</t>
        </is>
      </c>
      <c r="B344" s="24" t="inlineStr">
        <is>
          <t>Subscriptions</t>
        </is>
      </c>
      <c r="C344" s="24" t="inlineStr">
        <is>
          <t>GS-051</t>
        </is>
      </c>
      <c r="D344" s="24" t="inlineStr">
        <is>
          <t>Past or processed dates cannot be changed</t>
        </is>
      </c>
      <c r="E344" s="24" t="inlineStr">
        <is>
          <t>Negative</t>
        </is>
      </c>
      <c r="F344" s="24" t="inlineStr">
        <is>
          <t>P1</t>
        </is>
      </c>
      <c r="G344" s="24" t="inlineStr">
        <is>
          <t>Customer</t>
        </is>
      </c>
      <c r="H344" s="24" t="inlineStr">
        <is>
          <t>API</t>
        </is>
      </c>
      <c r="I344" s="24" t="n"/>
      <c r="J344" s="24" t="inlineStr">
        <is>
          <t>1. Skip / override yesterday and a date already generated</t>
        </is>
      </c>
      <c r="K344" s="24" t="inlineStr">
        <is>
          <t>Refused.</t>
        </is>
      </c>
      <c r="L344" s="24" t="inlineStr">
        <is>
          <t>API.md</t>
        </is>
      </c>
      <c r="M344" s="24" t="inlineStr">
        <is>
          <t>Pass</t>
        </is>
      </c>
      <c r="N344" s="24" t="inlineStr">
        <is>
          <t>Passed, partly covered. Local Pass (partial) · Staging Blocked · Production Not run
local: not covered: a date already generated (processed) is TC-SUB-009 in tests/qa/local/money-subscriptions.spec.ts (needs the daily job)
staging: needs the "milk" listing in this site's test data</t>
        </is>
      </c>
      <c r="O344" s="24" t="n"/>
      <c r="P344" s="24" t="inlineStr">
        <is>
          <t>2026-10-24 18:49</t>
        </is>
      </c>
    </row>
    <row r="345" ht="23.25" customHeight="1" s="13">
      <c r="A345" s="24" t="inlineStr">
        <is>
          <t>TC-SUB-010</t>
        </is>
      </c>
      <c r="B345" s="24" t="inlineStr">
        <is>
          <t>Subscriptions</t>
        </is>
      </c>
      <c r="C345" s="24" t="inlineStr">
        <is>
          <t>GS-050</t>
        </is>
      </c>
      <c r="D345" s="24" t="inlineStr">
        <is>
          <t>Insufficient balance on a subscription day</t>
        </is>
      </c>
      <c r="E345" s="24" t="inlineStr">
        <is>
          <t>Negative</t>
        </is>
      </c>
      <c r="F345" s="24" t="inlineStr">
        <is>
          <t>P0</t>
        </is>
      </c>
      <c r="G345" s="24" t="inlineStr">
        <is>
          <t>Customer</t>
        </is>
      </c>
      <c r="H345" s="24" t="inlineStr">
        <is>
          <t>UI</t>
        </is>
      </c>
      <c r="I345" s="24" t="inlineStr">
        <is>
          <t>Wallet below the day's cost</t>
        </is>
      </c>
      <c r="J345" s="24" t="inlineStr">
        <is>
          <t>1. Run the cron for the date
2. Top up
3. Retry that day from the subscription page</t>
        </is>
      </c>
      <c r="K345" s="24" t="inlineStr">
        <is>
          <t>No order; day marked failed for insufficient balance; customer notified; history row written. After top-up, retry creates the order and debits once.</t>
        </is>
      </c>
      <c r="L345" s="24" t="inlineStr">
        <is>
          <t>Regression SUB-04</t>
        </is>
      </c>
      <c r="M345" s="24" t="inlineStr">
        <is>
          <t>Pass</t>
        </is>
      </c>
      <c r="N345" s="24" t="inlineStr">
        <is>
          <t>Passed, partly covered. Local Pass (partial) · Staging Not run (rule) · Production Not run
local: not covered: the top-up between the failed day and the retry is a wallet balance set on the local database (a gateway top-up cannot be paid on this server); retry and history are read through the APIs the subscription page uses
staging: not run on staging: needs the server's database (local run only)</t>
        </is>
      </c>
      <c r="O345" s="24" t="n"/>
      <c r="P345" s="24" t="inlineStr">
        <is>
          <t>2026-10-24 17:05</t>
        </is>
      </c>
    </row>
    <row r="346" ht="34.5" customHeight="1" s="13">
      <c r="A346" s="24" t="inlineStr">
        <is>
          <t>TC-SUB-011</t>
        </is>
      </c>
      <c r="B346" s="24" t="inlineStr">
        <is>
          <t>Subscriptions</t>
        </is>
      </c>
      <c r="C346" s="24" t="inlineStr">
        <is>
          <t>SM-004</t>
        </is>
      </c>
      <c r="D346" s="24" t="inlineStr">
        <is>
          <t>Subscription history</t>
        </is>
      </c>
      <c r="E346" s="24" t="inlineStr">
        <is>
          <t>Positive</t>
        </is>
      </c>
      <c r="F346" s="24" t="inlineStr">
        <is>
          <t>P2</t>
        </is>
      </c>
      <c r="G346" s="24" t="inlineStr">
        <is>
          <t>Customer</t>
        </is>
      </c>
      <c r="H346" s="24" t="inlineStr">
        <is>
          <t>UI</t>
        </is>
      </c>
      <c r="I346" s="24" t="n"/>
      <c r="J346" s="24" t="inlineStr">
        <is>
          <t>1. Open the subscription's history</t>
        </is>
      </c>
      <c r="K346" s="24" t="inlineStr">
        <is>
          <t>Rows for paused, resumed, skipped, cancelled and payment-failed events.</t>
        </is>
      </c>
      <c r="L346" s="24" t="inlineStr">
        <is>
          <t>Dev log Phase 2</t>
        </is>
      </c>
      <c r="M346" s="24" t="inlineStr">
        <is>
          <t>Pass</t>
        </is>
      </c>
      <c r="N346" s="24" t="inlineStr">
        <is>
          <t>Passed, partly covered. Local Pass (partial) · Staging Not run (rule) · Production Not run
local: not covered: the top-up between the failed day and the retry is a wallet balance set on the local database (a gateway top-up cannot be paid on this server); retry and history are read through the APIs the subscription page uses
staging: not run on staging: needs the server's database (local run only)</t>
        </is>
      </c>
      <c r="O346" s="24" t="n"/>
      <c r="P346" s="24" t="inlineStr">
        <is>
          <t>2026-10-24 17:05</t>
        </is>
      </c>
    </row>
    <row r="347" ht="23.25" customHeight="1" s="13">
      <c r="A347" s="24" t="inlineStr">
        <is>
          <t>TC-SUB-012</t>
        </is>
      </c>
      <c r="B347" s="24" t="inlineStr">
        <is>
          <t>Subscriptions</t>
        </is>
      </c>
      <c r="C347" s="24" t="inlineStr">
        <is>
          <t>SM-004, GS-071</t>
        </is>
      </c>
      <c r="D347" s="24" t="inlineStr">
        <is>
          <t>Subscription pages are owner-only</t>
        </is>
      </c>
      <c r="E347" s="24" t="inlineStr">
        <is>
          <t>Security</t>
        </is>
      </c>
      <c r="F347" s="24" t="inlineStr">
        <is>
          <t>P0</t>
        </is>
      </c>
      <c r="G347" s="24" t="inlineStr">
        <is>
          <t>Shop</t>
        </is>
      </c>
      <c r="H347" s="24" t="inlineStr">
        <is>
          <t>UI+API</t>
        </is>
      </c>
      <c r="I347" s="24" t="n"/>
      <c r="J347" s="24" t="inlineStr">
        <is>
          <t>1. As a shop owner / rider / society admin open /subscriptions/{id} of a customer</t>
        </is>
      </c>
      <c r="K347" s="24" t="inlineStr">
        <is>
          <t>Refused (owner or SUBSCRIPTION_MANAGE_ANY only).</t>
        </is>
      </c>
      <c r="L347" s="24" t="inlineStr">
        <is>
          <t>Dev log Phase 2 fixes</t>
        </is>
      </c>
      <c r="M347" s="24" t="inlineStr">
        <is>
          <t>Pass</t>
        </is>
      </c>
      <c r="N347" s="24" t="inlineStr">
        <is>
          <t>Local Pass · Staging Blocked · Production Not run
local: shop: API 403, calendar 403, pause 403, page 404; rider: API 403, calendar 403, pause 403, page 404; society: API 403, calendar 403, pause 403, page 404; guest: 401
staging: needs the "milk" listing in this site's test data</t>
        </is>
      </c>
      <c r="O347" s="24" t="n"/>
      <c r="P347" s="24" t="inlineStr">
        <is>
          <t>2026-10-24 18:49</t>
        </is>
      </c>
    </row>
    <row r="348" ht="23.25" customHeight="1" s="13">
      <c r="A348" s="24" t="inlineStr">
        <is>
          <t>TC-SUB-013</t>
        </is>
      </c>
      <c r="B348" s="24" t="inlineStr">
        <is>
          <t>Subscriptions</t>
        </is>
      </c>
      <c r="C348" s="24" t="inlineStr">
        <is>
          <t>WF-006</t>
        </is>
      </c>
      <c r="D348" s="24" t="inlineStr">
        <is>
          <t>Subscription order flows through fulfilment and dispatch</t>
        </is>
      </c>
      <c r="E348" s="24" t="inlineStr">
        <is>
          <t>Positive</t>
        </is>
      </c>
      <c r="F348" s="24" t="inlineStr">
        <is>
          <t>P1</t>
        </is>
      </c>
      <c r="G348" s="24" t="inlineStr">
        <is>
          <t>All</t>
        </is>
      </c>
      <c r="H348" s="24" t="inlineStr">
        <is>
          <t>UI</t>
        </is>
      </c>
      <c r="I348" s="24" t="inlineStr">
        <is>
          <t>Subscription to a delivering shop, address linked to a society</t>
        </is>
      </c>
      <c r="J348" s="24" t="inlineStr">
        <is>
          <t>1. Generate the order
2. Shop prepares and marks READY
3. Rider delivers</t>
        </is>
      </c>
      <c r="K348" s="24" t="inlineStr">
        <is>
          <t>Order carries the address snapshot and society; rider gets a drop address; settlement snapshot is created at DELIVERED.</t>
        </is>
      </c>
      <c r="L348" s="24" t="inlineStr">
        <is>
          <t>Dev log Phase 2: WF-006</t>
        </is>
      </c>
      <c r="M348" s="24" t="inlineStr">
        <is>
          <t>Pass</t>
        </is>
      </c>
      <c r="N348" s="24" t="inlineStr">
        <is>
          <t>Passed, partly covered. Local Pass (partial) · Staging Not run (rule) · Production Not run
local: not covered: the customer's address in this world is not linked to a society, so the society half shows 'none'
staging: not run on staging: needs the server's database (local run only)</t>
        </is>
      </c>
      <c r="O348" s="24" t="inlineStr">
        <is>
          <t>D-31</t>
        </is>
      </c>
      <c r="P348" s="24" t="inlineStr">
        <is>
          <t>2026-10-24 17:05</t>
        </is>
      </c>
    </row>
    <row r="349" ht="23.25" customHeight="1" s="13">
      <c r="A349" s="24" t="inlineStr">
        <is>
          <t>TC-SUB-014</t>
        </is>
      </c>
      <c r="B349" s="24" t="inlineStr">
        <is>
          <t>Subscriptions</t>
        </is>
      </c>
      <c r="C349" s="24" t="inlineStr">
        <is>
          <t>GS-048</t>
        </is>
      </c>
      <c r="D349" s="24" t="inlineStr">
        <is>
          <t>Shop unavailable on a subscription day</t>
        </is>
      </c>
      <c r="E349" s="24" t="inlineStr">
        <is>
          <t>Negative</t>
        </is>
      </c>
      <c r="F349" s="24" t="inlineStr">
        <is>
          <t>P2</t>
        </is>
      </c>
      <c r="G349" s="24" t="inlineStr">
        <is>
          <t>Customer</t>
        </is>
      </c>
      <c r="H349" s="24" t="inlineStr">
        <is>
          <t>UI</t>
        </is>
      </c>
      <c r="I349" s="24" t="inlineStr">
        <is>
          <t>Shop suspended or product disabled</t>
        </is>
      </c>
      <c r="J349" s="24" t="inlineStr">
        <is>
          <t>1. Run the cron</t>
        </is>
      </c>
      <c r="K349" s="24" t="inlineStr">
        <is>
          <t>No order; customer told delivery is unavailable; counted under 'unavailable'.</t>
        </is>
      </c>
      <c r="L349" s="24" t="inlineStr">
        <is>
          <t>API.md cron; Dev log 4.5 gaps</t>
        </is>
      </c>
      <c r="M349" s="24" t="inlineStr">
        <is>
          <t>Pass</t>
        </is>
      </c>
      <c r="N349" s="24" t="inlineStr">
        <is>
          <t>Passed, partly covered. Local Pass (partial) · Staging Not run (rule) · Production Not run
local: not covered: the 'shop suspended' variant is not run (suspending shop A would stop the other checks); the product-disabled variant is
staging: not run on staging: needs the server's database (local run only)</t>
        </is>
      </c>
      <c r="O349" s="24" t="n"/>
      <c r="P349" s="24" t="inlineStr">
        <is>
          <t>2026-10-24 17:05</t>
        </is>
      </c>
    </row>
    <row r="350" ht="23.25" customHeight="1" s="13">
      <c r="A350" s="24" t="inlineStr">
        <is>
          <t>TC-SUB-015</t>
        </is>
      </c>
      <c r="B350" s="24" t="inlineStr">
        <is>
          <t>Subscriptions</t>
        </is>
      </c>
      <c r="C350" s="24" t="inlineStr">
        <is>
          <t>GS-048</t>
        </is>
      </c>
      <c r="D350" s="24" t="inlineStr">
        <is>
          <t>Subscription from a closed shop is unaffected by the closed-shop prompt</t>
        </is>
      </c>
      <c r="E350" s="24" t="inlineStr">
        <is>
          <t>Regression</t>
        </is>
      </c>
      <c r="F350" s="24" t="inlineStr">
        <is>
          <t>P2</t>
        </is>
      </c>
      <c r="G350" s="24" t="inlineStr">
        <is>
          <t>System</t>
        </is>
      </c>
      <c r="H350" s="24" t="inlineStr">
        <is>
          <t>UI</t>
        </is>
      </c>
      <c r="I350" s="24" t="n"/>
      <c r="J350" s="24" t="inlineStr">
        <is>
          <t>1. Generate a subscription order while the shop is closed</t>
        </is>
      </c>
      <c r="K350" s="24" t="inlineStr">
        <is>
          <t>Order created normally (no confirmation needed).</t>
        </is>
      </c>
      <c r="L350" s="24" t="inlineStr">
        <is>
          <t>Dev log 2-Oct handoff</t>
        </is>
      </c>
      <c r="M350" s="24" t="inlineStr">
        <is>
          <t>Pass</t>
        </is>
      </c>
      <c r="N350" s="24" t="inlineStr">
        <is>
          <t>Local Pass · Staging Not run (rule) · Production Not run
local: shop closed all week → job generated 1, DB-20261024-BEHTDX CONFIRMED without any confirmation
staging: not run on staging: needs the server's database (local run only)</t>
        </is>
      </c>
      <c r="O350" s="24" t="n"/>
      <c r="P350" s="24" t="inlineStr">
        <is>
          <t>2026-10-24 17:05</t>
        </is>
      </c>
    </row>
    <row r="351" ht="34.5" customHeight="1" s="13">
      <c r="A351" s="24" t="inlineStr">
        <is>
          <t>TC-SUB-016</t>
        </is>
      </c>
      <c r="B351" s="24" t="inlineStr">
        <is>
          <t>Subscriptions</t>
        </is>
      </c>
      <c r="C351" s="24" t="inlineStr">
        <is>
          <t>SM-004</t>
        </is>
      </c>
      <c r="D351" s="24" t="inlineStr">
        <is>
          <t>Draft subscription</t>
        </is>
      </c>
      <c r="E351" s="24" t="inlineStr">
        <is>
          <t>Positive</t>
        </is>
      </c>
      <c r="F351" s="24" t="inlineStr">
        <is>
          <t>P1</t>
        </is>
      </c>
      <c r="G351" s="24" t="inlineStr">
        <is>
          <t>Customer</t>
        </is>
      </c>
      <c r="H351" s="24" t="inlineStr">
        <is>
          <t>UI</t>
        </is>
      </c>
      <c r="I351" s="24" t="n"/>
      <c r="J351" s="24" t="inlineStr">
        <is>
          <t>1. Start a subscription and leave before confirming
2. Return and activate it</t>
        </is>
      </c>
      <c r="K351" s="24" t="inlineStr">
        <is>
          <t>Saved as DRAFT with no orders or charges; ACTIVE after confirmation.</t>
        </is>
      </c>
      <c r="L351" s="24" t="inlineStr">
        <is>
          <t>Open features 3-Oct, treated as completed 4-Oct</t>
        </is>
      </c>
      <c r="M351" s="24" t="inlineStr">
        <is>
          <t>Pass</t>
        </is>
      </c>
      <c r="N351" s="24" t="inlineStr">
        <is>
          <t>Passed, partly covered. Local Pass (partial) · Staging Blocked · Production Not run
local: not covered: 'no orders' for a draft on its delivery day is TC-SUB-019 in the local tier (daily job)
staging: needs the "milk" listing in this site's test data</t>
        </is>
      </c>
      <c r="O351" s="24" t="n"/>
      <c r="P351" s="24" t="inlineStr">
        <is>
          <t>2026-10-24 21:08</t>
        </is>
      </c>
    </row>
    <row r="352" ht="23.25" customHeight="1" s="13">
      <c r="A352" s="24" t="inlineStr">
        <is>
          <t>TC-SUB-017</t>
        </is>
      </c>
      <c r="B352" s="24" t="inlineStr">
        <is>
          <t>Subscriptions</t>
        </is>
      </c>
      <c r="C352" s="24" t="inlineStr">
        <is>
          <t>SM-004</t>
        </is>
      </c>
      <c r="D352" s="24" t="inlineStr">
        <is>
          <t>Renewal pending</t>
        </is>
      </c>
      <c r="E352" s="24" t="inlineStr">
        <is>
          <t>Positive</t>
        </is>
      </c>
      <c r="F352" s="24" t="inlineStr">
        <is>
          <t>P1</t>
        </is>
      </c>
      <c r="G352" s="24" t="inlineStr">
        <is>
          <t>Customer</t>
        </is>
      </c>
      <c r="H352" s="24" t="inlineStr">
        <is>
          <t>UI</t>
        </is>
      </c>
      <c r="I352" s="24" t="inlineStr">
        <is>
          <t>Subscription reaching the end of its period</t>
        </is>
      </c>
      <c r="J352" s="24" t="inlineStr">
        <is>
          <t>1. Let it reach the end date
2. Renew one; ignore another</t>
        </is>
      </c>
      <c r="K352" s="24" t="inlineStr">
        <is>
          <t>RENEWAL_PENDING with a notice. Renewed: ACTIVE. Ignored: COMPLETED with no further orders.</t>
        </is>
      </c>
      <c r="L352" s="24" t="inlineStr">
        <is>
          <t>Open features 3-Oct, treated as completed 4-Oct</t>
        </is>
      </c>
      <c r="M352" s="24" t="inlineStr">
        <is>
          <t>Pass</t>
        </is>
      </c>
      <c r="N352" s="24" t="inlineStr">
        <is>
          <t>Local Pass · Staging Not run (rule) · Production Not run
local: end date D+2 → both RENEWAL_PENDING ("Your subscription ends soon"); renewed to D+40 → ACTIVE; ignored → after D+2 the job makes no order and it is COMPLETED
staging: not run on staging: needs the server's database (local run only)</t>
        </is>
      </c>
      <c r="O352" s="24" t="n"/>
      <c r="P352" s="24" t="inlineStr">
        <is>
          <t>2026-10-24 17:05</t>
        </is>
      </c>
    </row>
    <row r="353" ht="23.25" customHeight="1" s="13">
      <c r="A353" s="24" t="inlineStr">
        <is>
          <t>TC-SUB-018</t>
        </is>
      </c>
      <c r="B353" s="24" t="inlineStr">
        <is>
          <t>Subscriptions</t>
        </is>
      </c>
      <c r="C353" s="24" t="inlineStr">
        <is>
          <t>SM-004</t>
        </is>
      </c>
      <c r="D353" s="24" t="inlineStr">
        <is>
          <t>Daily cycle ORDER_CREATED and FULFILLED</t>
        </is>
      </c>
      <c r="E353" s="24" t="inlineStr">
        <is>
          <t>Positive</t>
        </is>
      </c>
      <c r="F353" s="24" t="inlineStr">
        <is>
          <t>P1</t>
        </is>
      </c>
      <c r="G353" s="24" t="inlineStr">
        <is>
          <t>System</t>
        </is>
      </c>
      <c r="H353" s="24" t="inlineStr">
        <is>
          <t>UI</t>
        </is>
      </c>
      <c r="I353" s="24" t="inlineStr">
        <is>
          <t>Active daily subscription</t>
        </is>
      </c>
      <c r="J353" s="24" t="inlineStr">
        <is>
          <t>1. Run the daily job
2. Deliver the order</t>
        </is>
      </c>
      <c r="K353" s="24" t="inlineStr">
        <is>
          <t>The day shows ORDER_CREATED, then FULFILLED after delivery, in the subscription history.</t>
        </is>
      </c>
      <c r="L353" s="24" t="inlineStr">
        <is>
          <t>Open features 3-Oct, treated as completed 4-Oct</t>
        </is>
      </c>
      <c r="M353" s="24" t="inlineStr">
        <is>
          <t>Pass</t>
        </is>
      </c>
      <c r="N353" s="24" t="inlineStr">
        <is>
          <t>Passed, partly covered. Local Pass (partial) · Staging Not run (rule) · Production Not run
local: not covered: expected history entries 'ORDER_CREATED / FULFILLED' are superseded by SM-004 (src/lib/subscription-deliveries.ts): each delivery carries the order's own status (CONFIRMED … DELIVERED)
staging: not run on staging: needs the server's database (local run only)</t>
        </is>
      </c>
      <c r="O353" s="24" t="n"/>
      <c r="P353" s="24" t="inlineStr">
        <is>
          <t>2026-10-24 17:05</t>
        </is>
      </c>
    </row>
    <row r="354" ht="23.25" customHeight="1" s="13">
      <c r="A354" s="24" t="inlineStr">
        <is>
          <t>TC-SUB-019</t>
        </is>
      </c>
      <c r="B354" s="24" t="inlineStr">
        <is>
          <t>Subscriptions</t>
        </is>
      </c>
      <c r="C354" s="24" t="inlineStr">
        <is>
          <t>SM-004</t>
        </is>
      </c>
      <c r="D354" s="24" t="inlineStr">
        <is>
          <t>Drafts and illegal transitions</t>
        </is>
      </c>
      <c r="E354" s="24" t="inlineStr">
        <is>
          <t>Negative</t>
        </is>
      </c>
      <c r="F354" s="24" t="inlineStr">
        <is>
          <t>P1</t>
        </is>
      </c>
      <c r="G354" s="24" t="inlineStr">
        <is>
          <t>Customer</t>
        </is>
      </c>
      <c r="H354" s="24" t="inlineStr">
        <is>
          <t>API</t>
        </is>
      </c>
      <c r="I354" s="24" t="n"/>
      <c r="J354" s="24" t="inlineStr">
        <is>
          <t>1. Run the daily job with only a DRAFT
2. Try DRAFT -&gt; FULFILLED and COMPLETED -&gt; ACTIVE through the API</t>
        </is>
      </c>
      <c r="K354" s="24" t="inlineStr">
        <is>
          <t>A draft never creates an order or charge. Illegal moves are refused.</t>
        </is>
      </c>
      <c r="L354" s="24" t="inlineStr">
        <is>
          <t>Open features 3-Oct, treated as completed 4-Oct</t>
        </is>
      </c>
      <c r="M354" s="24" t="inlineStr">
        <is>
          <t>Pass</t>
        </is>
      </c>
      <c r="N354" s="24" t="inlineStr">
        <is>
          <t>Passed, partly covered. Local Pass (partial) · Staging Blocked · Production Not run
local: not covered: there is no API that sets a status directly, so 'DRAFT → FULFILLED' and 'COMPLETED → ACTIVE' are tried through every action that could move them; the daily-job half (a draft never creates an order) is local ‖ not covered: the illegal-move half (DRAFT/COMPLETED through the API) is TC-SUB-019 in tests/qa/signed-in/money-subscriptions.spec.ts
staging: needs the "milk" listing in this site's test data</t>
        </is>
      </c>
      <c r="O354" s="24" t="n"/>
      <c r="P354" s="24" t="inlineStr">
        <is>
          <t>2026-10-24 18:49</t>
        </is>
      </c>
    </row>
    <row r="355" ht="34.5" customHeight="1" s="13">
      <c r="A355" s="24" t="inlineStr">
        <is>
          <t>TC-RET-001</t>
        </is>
      </c>
      <c r="B355" s="24" t="inlineStr">
        <is>
          <t>Returns, refunds &amp; disputes</t>
        </is>
      </c>
      <c r="C355" s="24" t="inlineStr">
        <is>
          <t>GS-057, NAV-004</t>
        </is>
      </c>
      <c r="D355" s="24" t="inlineStr">
        <is>
          <t>Open the return form</t>
        </is>
      </c>
      <c r="E355" s="24" t="inlineStr">
        <is>
          <t>Positive</t>
        </is>
      </c>
      <c r="F355" s="24" t="inlineStr">
        <is>
          <t>P0</t>
        </is>
      </c>
      <c r="G355" s="24" t="inlineStr">
        <is>
          <t>Customer</t>
        </is>
      </c>
      <c r="H355" s="24" t="inlineStr">
        <is>
          <t>UI</t>
        </is>
      </c>
      <c r="I355" s="24" t="inlineStr">
        <is>
          <t>Order delivered within the last 48 h</t>
        </is>
      </c>
      <c r="J355" s="24" t="inlineStr">
        <is>
          <t>1. /orders -&gt; Return items</t>
        </is>
      </c>
      <c r="K355" s="24" t="inlineStr">
        <is>
          <t>Form lists lines with returnable quantity, condition, per-item comment, photos, reason list (CHANGED_MIND absent by default) and the window end.</t>
        </is>
      </c>
      <c r="L355" s="24" t="inlineStr">
        <is>
          <t>QA E-01</t>
        </is>
      </c>
      <c r="M355" s="24" t="inlineStr">
        <is>
          <t>Pass</t>
        </is>
      </c>
      <c r="N355" s="24" t="inlineStr">
        <is>
          <t>Passed, partly covered. Local Pass (partial) · Staging Blocked · Production Not run
local: not covered: 'each option saved and shown after reload' is shown for one reason/condition (DAMAGED, next check); the others are not each submitted ‖ blocked: "QA Butter 100 g mvmkyclr" cannot be added to the cart — HTTP 409: This product is currently unavailable online.
staging: needs the "sharedA" listing in this site's test data</t>
        </is>
      </c>
      <c r="O355" s="24" t="n"/>
      <c r="P355" s="24" t="inlineStr">
        <is>
          <t>2026-10-24 21:42</t>
        </is>
      </c>
    </row>
    <row r="356" ht="34.5" customHeight="1" s="13">
      <c r="A356" s="24" t="inlineStr">
        <is>
          <t>TC-RET-002</t>
        </is>
      </c>
      <c r="B356" s="24" t="inlineStr">
        <is>
          <t>Returns, refunds &amp; disputes</t>
        </is>
      </c>
      <c r="C356" s="24" t="inlineStr">
        <is>
          <t>GS-057</t>
        </is>
      </c>
      <c r="D356" s="24" t="inlineStr">
        <is>
          <t>Photo required for 'Damaged'</t>
        </is>
      </c>
      <c r="E356" s="24" t="inlineStr">
        <is>
          <t>Negative</t>
        </is>
      </c>
      <c r="F356" s="24" t="inlineStr">
        <is>
          <t>P0</t>
        </is>
      </c>
      <c r="G356" s="24" t="inlineStr">
        <is>
          <t>Customer</t>
        </is>
      </c>
      <c r="H356" s="24" t="inlineStr">
        <is>
          <t>UI</t>
        </is>
      </c>
      <c r="I356" s="24" t="n"/>
      <c r="J356" s="24" t="inlineStr">
        <is>
          <t>1. Submit reason Damaged with no photo
2. Add a photo and submit</t>
        </is>
      </c>
      <c r="K356" s="24" t="inlineStr">
        <is>
          <t>First refused. Second: return created 'Under review'; shop notified.</t>
        </is>
      </c>
      <c r="L356" s="24" t="inlineStr">
        <is>
          <t>QA E-02</t>
        </is>
      </c>
      <c r="M356" s="24" t="inlineStr">
        <is>
          <t>Pass</t>
        </is>
      </c>
      <c r="N356" s="24" t="inlineStr">
        <is>
          <t>Passed, partly covered. Local Pass (partial) · Staging Blocked · Production Not run
local: blocked: needs the delivered order of the first returns check in this run
staging: needs the delivered order of the first returns check in this run</t>
        </is>
      </c>
      <c r="O356" s="24" t="n"/>
      <c r="P356" s="24" t="inlineStr">
        <is>
          <t>2026-10-24 21:42</t>
        </is>
      </c>
    </row>
    <row r="357" ht="23.25" customHeight="1" s="13">
      <c r="A357" s="24" t="inlineStr">
        <is>
          <t>TC-RET-003</t>
        </is>
      </c>
      <c r="B357" s="24" t="inlineStr">
        <is>
          <t>Returns, refunds &amp; disputes</t>
        </is>
      </c>
      <c r="C357" s="24" t="inlineStr">
        <is>
          <t>GS-057</t>
        </is>
      </c>
      <c r="D357" s="24" t="inlineStr">
        <is>
          <t>Quantity and duplicate guards</t>
        </is>
      </c>
      <c r="E357" s="24" t="inlineStr">
        <is>
          <t>Negative</t>
        </is>
      </c>
      <c r="F357" s="24" t="inlineStr">
        <is>
          <t>P1</t>
        </is>
      </c>
      <c r="G357" s="24" t="inlineStr">
        <is>
          <t>Customer</t>
        </is>
      </c>
      <c r="H357" s="24" t="inlineStr">
        <is>
          <t>UI+API</t>
        </is>
      </c>
      <c r="I357" s="24" t="n"/>
      <c r="J357" s="24" t="inlineStr">
        <is>
          <t>1. Return more than delivered
2. Return the same item twice</t>
        </is>
      </c>
      <c r="K357" s="24" t="inlineStr">
        <is>
          <t>Refused with the maximum returnable.</t>
        </is>
      </c>
      <c r="L357" s="24" t="inlineStr">
        <is>
          <t>QA E-03</t>
        </is>
      </c>
      <c r="M357" s="24" t="inlineStr">
        <is>
          <t>Blocked</t>
        </is>
      </c>
      <c r="N357" s="24" t="inlineStr">
        <is>
          <t>Local Blocked · Staging Blocked · Production Not run
local: needs the delivered order of the first returns check in this run
staging: needs the delivered order of the first returns check in this run</t>
        </is>
      </c>
      <c r="O357" s="24" t="inlineStr">
        <is>
          <t>D-48</t>
        </is>
      </c>
      <c r="P357" s="24" t="inlineStr">
        <is>
          <t>2026-10-24 20:09</t>
        </is>
      </c>
    </row>
    <row r="358" ht="45.75" customHeight="1" s="13">
      <c r="A358" s="24" t="inlineStr">
        <is>
          <t>TC-RET-004</t>
        </is>
      </c>
      <c r="B358" s="24" t="inlineStr">
        <is>
          <t>Returns, refunds &amp; disputes</t>
        </is>
      </c>
      <c r="C358" s="24" t="inlineStr">
        <is>
          <t>GS-057</t>
        </is>
      </c>
      <c r="D358" s="24" t="inlineStr">
        <is>
          <t>Return window passed</t>
        </is>
      </c>
      <c r="E358" s="24" t="inlineStr">
        <is>
          <t>Boundary</t>
        </is>
      </c>
      <c r="F358" s="24" t="inlineStr">
        <is>
          <t>P1</t>
        </is>
      </c>
      <c r="G358" s="24" t="inlineStr">
        <is>
          <t>Customer</t>
        </is>
      </c>
      <c r="H358" s="24" t="inlineStr">
        <is>
          <t>UI</t>
        </is>
      </c>
      <c r="I358" s="24" t="inlineStr">
        <is>
          <t>Order delivered more than 48 h ago</t>
        </is>
      </c>
      <c r="J358" s="24" t="inlineStr">
        <is>
          <t>1. Try to return</t>
        </is>
      </c>
      <c r="K358" s="24" t="inlineStr">
        <is>
          <t>Refused: window passed.</t>
        </is>
      </c>
      <c r="L358" s="24" t="inlineStr">
        <is>
          <t>QA E-04</t>
        </is>
      </c>
      <c r="M358" s="24" t="inlineStr">
        <is>
          <t>Pass</t>
        </is>
      </c>
      <c r="N358" s="24" t="inlineStr">
        <is>
          <t>Passed, partly covered. Local Pass (partial) · Staging Not run (rule) · Production Not run
local: not covered: the delivery time is aged in the database
staging: not run on staging: needs the server's database (local run only)</t>
        </is>
      </c>
      <c r="O358" s="24" t="n"/>
      <c r="P358" s="24" t="inlineStr">
        <is>
          <t>2026-10-24 17:06</t>
        </is>
      </c>
    </row>
    <row r="359" ht="23.25" customHeight="1" s="13">
      <c r="A359" s="24" t="inlineStr">
        <is>
          <t>TC-RET-005</t>
        </is>
      </c>
      <c r="B359" s="24" t="inlineStr">
        <is>
          <t>Returns, refunds &amp; disputes</t>
        </is>
      </c>
      <c r="C359" s="24" t="inlineStr">
        <is>
          <t>GS-057</t>
        </is>
      </c>
      <c r="D359" s="24" t="inlineStr">
        <is>
          <t>Shop approves a return</t>
        </is>
      </c>
      <c r="E359" s="24" t="inlineStr">
        <is>
          <t>Positive</t>
        </is>
      </c>
      <c r="F359" s="24" t="inlineStr">
        <is>
          <t>P0</t>
        </is>
      </c>
      <c r="G359" s="24" t="inlineStr">
        <is>
          <t>Shop</t>
        </is>
      </c>
      <c r="H359" s="24" t="inlineStr">
        <is>
          <t>UI</t>
        </is>
      </c>
      <c r="I359" s="24" t="n"/>
      <c r="J359" s="24" t="inlineStr">
        <is>
          <t>1. /shop/returns -&gt; view photos -&gt; Approve</t>
        </is>
      </c>
      <c r="K359" s="24" t="inlineStr">
        <is>
          <t>Approved; customer notified; a rider pickup is offered.</t>
        </is>
      </c>
      <c r="L359" s="24" t="inlineStr">
        <is>
          <t>QA E-05</t>
        </is>
      </c>
      <c r="M359" s="24" t="inlineStr">
        <is>
          <t>Pass</t>
        </is>
      </c>
      <c r="N359" s="24" t="inlineStr">
        <is>
          <t>Passed, partly covered. Local Pass (partial) · Staging Blocked · Production Not run
local: blocked: needs the return created by TC-RET-002
staging: needs the return created by TC-RET-002</t>
        </is>
      </c>
      <c r="O359" s="24" t="n"/>
      <c r="P359" s="24" t="inlineStr">
        <is>
          <t>2026-10-24 21:42</t>
        </is>
      </c>
    </row>
    <row r="360" ht="34.5" customHeight="1" s="13">
      <c r="A360" s="24" t="inlineStr">
        <is>
          <t>TC-RET-006</t>
        </is>
      </c>
      <c r="B360" s="24" t="inlineStr">
        <is>
          <t>Returns, refunds &amp; disputes</t>
        </is>
      </c>
      <c r="C360" s="24" t="inlineStr">
        <is>
          <t>GS-057</t>
        </is>
      </c>
      <c r="D360" s="24" t="inlineStr">
        <is>
          <t>Shop rejects a return</t>
        </is>
      </c>
      <c r="E360" s="24" t="inlineStr">
        <is>
          <t>Positive</t>
        </is>
      </c>
      <c r="F360" s="24" t="inlineStr">
        <is>
          <t>P1</t>
        </is>
      </c>
      <c r="G360" s="24" t="inlineStr">
        <is>
          <t>Shop</t>
        </is>
      </c>
      <c r="H360" s="24" t="inlineStr">
        <is>
          <t>UI</t>
        </is>
      </c>
      <c r="I360" s="24" t="n"/>
      <c r="J360" s="24" t="inlineStr">
        <is>
          <t>1. Reject with a reason</t>
        </is>
      </c>
      <c r="K360" s="24" t="inlineStr">
        <is>
          <t>Rejected; the customer sees the reason on /returns/{id}.</t>
        </is>
      </c>
      <c r="L360" s="24" t="inlineStr">
        <is>
          <t>QA E-06</t>
        </is>
      </c>
      <c r="M360" s="24" t="inlineStr">
        <is>
          <t>Pass</t>
        </is>
      </c>
      <c r="N360" s="24" t="inlineStr">
        <is>
          <t>Passed, partly covered. Local Pass (partial) · Staging Blocked · Production Not run
local: not covered: a blank comment is the default of every other return here (accepted) ‖ blocked: needs the delivered order of the first returns check in this run
staging: needs the delivered order of the first returns check in this run</t>
        </is>
      </c>
      <c r="O360" s="24" t="n"/>
      <c r="P360" s="24" t="inlineStr">
        <is>
          <t>2026-10-24 21:42</t>
        </is>
      </c>
    </row>
    <row r="361" ht="45.75" customHeight="1" s="13">
      <c r="A361" s="24" t="inlineStr">
        <is>
          <t>TC-RET-007</t>
        </is>
      </c>
      <c r="B361" s="24" t="inlineStr">
        <is>
          <t>Returns, refunds &amp; disputes</t>
        </is>
      </c>
      <c r="C361" s="24" t="inlineStr">
        <is>
          <t>WF-007</t>
        </is>
      </c>
      <c r="D361" s="24" t="inlineStr">
        <is>
          <t>Rider accepts the return pickup</t>
        </is>
      </c>
      <c r="E361" s="24" t="inlineStr">
        <is>
          <t>Positive</t>
        </is>
      </c>
      <c r="F361" s="24" t="inlineStr">
        <is>
          <t>P0</t>
        </is>
      </c>
      <c r="G361" s="24" t="inlineStr">
        <is>
          <t>Rider</t>
        </is>
      </c>
      <c r="H361" s="24" t="inlineStr">
        <is>
          <t>UI</t>
        </is>
      </c>
      <c r="I361" s="24" t="n"/>
      <c r="J361" s="24" t="inlineStr">
        <is>
          <t>1. Accept in the 'return pickup' panel</t>
        </is>
      </c>
      <c r="K361" s="24" t="inlineStr">
        <is>
          <t>Return -&gt; Pickup assigned; customer sees a handover code and can choose a pickup time (-&gt; Pickup scheduled).</t>
        </is>
      </c>
      <c r="L361" s="24" t="inlineStr">
        <is>
          <t>QA E-07</t>
        </is>
      </c>
      <c r="M361" s="24" t="inlineStr">
        <is>
          <t>Pass</t>
        </is>
      </c>
      <c r="N361" s="24" t="inlineStr">
        <is>
          <t>Passed, partly covered. Local Pass (partial) · Staging Blocked · Production Not run
local: blocked: needs the return created by TC-RET-002
staging: needs the return created by TC-RET-002</t>
        </is>
      </c>
      <c r="O361" s="24" t="n"/>
      <c r="P361" s="24" t="inlineStr">
        <is>
          <t>2026-10-24 21:42</t>
        </is>
      </c>
    </row>
    <row r="362" ht="34.5" customHeight="1" s="13">
      <c r="A362" s="24" t="inlineStr">
        <is>
          <t>TC-RET-008</t>
        </is>
      </c>
      <c r="B362" s="24" t="inlineStr">
        <is>
          <t>Returns, refunds &amp; disputes</t>
        </is>
      </c>
      <c r="C362" s="24" t="inlineStr">
        <is>
          <t>WF-007</t>
        </is>
      </c>
      <c r="D362" s="24" t="inlineStr">
        <is>
          <t>Handover code check at pickup</t>
        </is>
      </c>
      <c r="E362" s="24" t="inlineStr">
        <is>
          <t>Positive</t>
        </is>
      </c>
      <c r="F362" s="24" t="inlineStr">
        <is>
          <t>P0</t>
        </is>
      </c>
      <c r="G362" s="24" t="inlineStr">
        <is>
          <t>Rider</t>
        </is>
      </c>
      <c r="H362" s="24" t="inlineStr">
        <is>
          <t>UI</t>
        </is>
      </c>
      <c r="I362" s="24" t="n"/>
      <c r="J362" s="24" t="inlineStr">
        <is>
          <t>1. Set off
2. Enter a wrong code
3. Enter the right code</t>
        </is>
      </c>
      <c r="K362" s="24" t="inlineStr">
        <is>
          <t>Wrong refused (5 tries, then operations only). Right: Pickup completed; flat fee credited to the rider. Rider never sees the code.</t>
        </is>
      </c>
      <c r="L362" s="24" t="inlineStr">
        <is>
          <t>QA E-08</t>
        </is>
      </c>
      <c r="M362" s="24" t="inlineStr">
        <is>
          <t>Pass</t>
        </is>
      </c>
      <c r="N362" s="24" t="inlineStr">
        <is>
          <t>Passed, partly covered. Local Pass (partial) · Staging Blocked · Production Not run
local: blocked: needs the return created by TC-RET-002 ‖ blocked: needs the delivered order of the first returns check in this run
staging: needs the return created by TC-RET-002 ‖ needs the delivered order of the first returns check in this run</t>
        </is>
      </c>
      <c r="O362" s="24" t="n"/>
      <c r="P362" s="24" t="inlineStr">
        <is>
          <t>2026-10-24 21:42</t>
        </is>
      </c>
    </row>
    <row r="363" ht="34.5" customHeight="1" s="13">
      <c r="A363" s="24" t="inlineStr">
        <is>
          <t>TC-RET-009</t>
        </is>
      </c>
      <c r="B363" s="24" t="inlineStr">
        <is>
          <t>Returns, refunds &amp; disputes</t>
        </is>
      </c>
      <c r="C363" s="24" t="inlineStr">
        <is>
          <t>WF-007</t>
        </is>
      </c>
      <c r="D363" s="24" t="inlineStr">
        <is>
          <t>Rider could not collect</t>
        </is>
      </c>
      <c r="E363" s="24" t="inlineStr">
        <is>
          <t>Negative</t>
        </is>
      </c>
      <c r="F363" s="24" t="inlineStr">
        <is>
          <t>P1</t>
        </is>
      </c>
      <c r="G363" s="24" t="inlineStr">
        <is>
          <t>Rider</t>
        </is>
      </c>
      <c r="H363" s="24" t="inlineStr">
        <is>
          <t>UI</t>
        </is>
      </c>
      <c r="I363" s="24" t="n"/>
      <c r="J363" s="24" t="inlineStr">
        <is>
          <t>1. Report 'could not collect'</t>
        </is>
      </c>
      <c r="K363" s="24" t="inlineStr">
        <is>
          <t>Return back to Approved; customer and shop notified; shop can 'Find a rider again'.</t>
        </is>
      </c>
      <c r="L363" s="24" t="inlineStr">
        <is>
          <t>QA E-09</t>
        </is>
      </c>
      <c r="M363" s="24" t="inlineStr">
        <is>
          <t>Pass</t>
        </is>
      </c>
      <c r="N363" s="24" t="inlineStr">
        <is>
          <t>Passed, partly covered. Local Pass (partial) · Staging Blocked · Production Not run
local: blocked: needs the delivered order of the first returns check in this run
staging: needs the delivered order of the first returns check in this run</t>
        </is>
      </c>
      <c r="O363" s="24" t="n"/>
      <c r="P363" s="24" t="inlineStr">
        <is>
          <t>2026-10-24 21:42</t>
        </is>
      </c>
    </row>
    <row r="364" ht="23.25" customHeight="1" s="13">
      <c r="A364" s="24" t="inlineStr">
        <is>
          <t>TC-RET-010</t>
        </is>
      </c>
      <c r="B364" s="24" t="inlineStr">
        <is>
          <t>Returns, refunds &amp; disputes</t>
        </is>
      </c>
      <c r="C364" s="24" t="inlineStr">
        <is>
          <t>GS-057, WF-007</t>
        </is>
      </c>
      <c r="D364" s="24" t="inlineStr">
        <is>
          <t>Inspect and refund (full and partial)</t>
        </is>
      </c>
      <c r="E364" s="24" t="inlineStr">
        <is>
          <t>Positive</t>
        </is>
      </c>
      <c r="F364" s="24" t="inlineStr">
        <is>
          <t>P0</t>
        </is>
      </c>
      <c r="G364" s="24" t="inlineStr">
        <is>
          <t>Shop</t>
        </is>
      </c>
      <c r="H364" s="24" t="inlineStr">
        <is>
          <t>UI</t>
        </is>
      </c>
      <c r="I364" s="24" t="n"/>
      <c r="J364" s="24" t="inlineStr">
        <is>
          <t>1. Goods received -&gt; Inspect -&gt; Accept full
2. In another return accept a partial amount</t>
        </is>
      </c>
      <c r="K364" s="24" t="inlineStr">
        <is>
          <t>Approved for refund -&gt; Refund initiated -&gt; Refund completed; wallet credited with the right amount; ledger/settlement shows the shop's share; notification sent.</t>
        </is>
      </c>
      <c r="L364" s="24" t="inlineStr">
        <is>
          <t>QA E-10</t>
        </is>
      </c>
      <c r="M364" s="24" t="inlineStr">
        <is>
          <t>Pass</t>
        </is>
      </c>
      <c r="N364" s="24" t="inlineStr">
        <is>
          <t>Passed, partly covered. Local Pass (partial) · Staging Blocked · Production Not run
local: blocked: needs the return created by TC-RET-002 ‖ blocked: needs the delivered order of the first returns check in this run
staging: needs the return created by TC-RET-002 ‖ needs the delivered order of the first returns check in this run</t>
        </is>
      </c>
      <c r="O364" s="24" t="n"/>
      <c r="P364" s="24" t="inlineStr">
        <is>
          <t>2026-10-24 21:42</t>
        </is>
      </c>
    </row>
    <row r="365" ht="45.75" customHeight="1" s="13">
      <c r="A365" s="24" t="inlineStr">
        <is>
          <t>TC-RET-011</t>
        </is>
      </c>
      <c r="B365" s="24" t="inlineStr">
        <is>
          <t>Returns, refunds &amp; disputes</t>
        </is>
      </c>
      <c r="C365" s="24" t="inlineStr">
        <is>
          <t>GS-057</t>
        </is>
      </c>
      <c r="D365" s="24" t="inlineStr">
        <is>
          <t>Inspect and reject</t>
        </is>
      </c>
      <c r="E365" s="24" t="inlineStr">
        <is>
          <t>Negative</t>
        </is>
      </c>
      <c r="F365" s="24" t="inlineStr">
        <is>
          <t>P1</t>
        </is>
      </c>
      <c r="G365" s="24" t="inlineStr">
        <is>
          <t>Shop</t>
        </is>
      </c>
      <c r="H365" s="24" t="inlineStr">
        <is>
          <t>UI</t>
        </is>
      </c>
      <c r="I365" s="24" t="n"/>
      <c r="J365" s="24" t="inlineStr">
        <is>
          <t>1. Inspect -&gt; Reject</t>
        </is>
      </c>
      <c r="K365" s="24" t="inlineStr">
        <is>
          <t>Return rejected; no refund.</t>
        </is>
      </c>
      <c r="L365" s="24" t="inlineStr">
        <is>
          <t>QA E-11</t>
        </is>
      </c>
      <c r="M365" s="24" t="inlineStr">
        <is>
          <t>Blocked</t>
        </is>
      </c>
      <c r="N365" s="24" t="inlineStr">
        <is>
          <t>Local Blocked · Staging Blocked · Production Not run
local: needs the delivered order of the first returns check in this run
staging: needs the delivered order of the first returns check in this run</t>
        </is>
      </c>
      <c r="O365" s="24" t="n"/>
      <c r="P365" s="24" t="inlineStr">
        <is>
          <t>2026-10-24 20:09</t>
        </is>
      </c>
    </row>
    <row r="366" ht="23.25" customHeight="1" s="13">
      <c r="A366" s="24" t="inlineStr">
        <is>
          <t>TC-RET-012</t>
        </is>
      </c>
      <c r="B366" s="24" t="inlineStr">
        <is>
          <t>Returns, refunds &amp; disputes</t>
        </is>
      </c>
      <c r="C366" s="24" t="inlineStr">
        <is>
          <t>WF-007</t>
        </is>
      </c>
      <c r="D366" s="24" t="inlineStr">
        <is>
          <t>Return to a shop that does not deliver</t>
        </is>
      </c>
      <c r="E366" s="24" t="inlineStr">
        <is>
          <t>Positive</t>
        </is>
      </c>
      <c r="F366" s="24" t="inlineStr">
        <is>
          <t>P2</t>
        </is>
      </c>
      <c r="G366" s="24" t="inlineStr">
        <is>
          <t>Shop</t>
        </is>
      </c>
      <c r="H366" s="24" t="inlineStr">
        <is>
          <t>UI</t>
        </is>
      </c>
      <c r="I366" s="24" t="n"/>
      <c r="J366" s="24" t="inlineStr">
        <is>
          <t>1. Approve the return
2. Mark 'Customer handed goods over'</t>
        </is>
      </c>
      <c r="K366" s="24" t="inlineStr">
        <is>
          <t>No rider pickup; moves straight to inspection.</t>
        </is>
      </c>
      <c r="L366" s="24" t="inlineStr">
        <is>
          <t>QA E-12</t>
        </is>
      </c>
      <c r="M366" s="24" t="inlineStr">
        <is>
          <t>Pass</t>
        </is>
      </c>
      <c r="N366" s="24" t="inlineStr">
        <is>
          <t>Passed, partly covered. Local Pass (partial) · Staging Blocked · Production Not run
local: blocked: needs the delivered order of the first returns check in this run
staging: needs the delivered order of the first returns check in this run</t>
        </is>
      </c>
      <c r="O366" s="24" t="n"/>
      <c r="P366" s="24" t="inlineStr">
        <is>
          <t>2026-10-24 21:42</t>
        </is>
      </c>
    </row>
    <row r="367" ht="57" customHeight="1" s="13">
      <c r="A367" s="24" t="inlineStr">
        <is>
          <t>TC-RET-013</t>
        </is>
      </c>
      <c r="B367" s="24" t="inlineStr">
        <is>
          <t>Returns, refunds &amp; disputes</t>
        </is>
      </c>
      <c r="C367" s="24" t="inlineStr">
        <is>
          <t>GS-057</t>
        </is>
      </c>
      <c r="D367" s="24" t="inlineStr">
        <is>
          <t>Customer cancels a return</t>
        </is>
      </c>
      <c r="E367" s="24" t="inlineStr">
        <is>
          <t>Positive</t>
        </is>
      </c>
      <c r="F367" s="24" t="inlineStr">
        <is>
          <t>P1</t>
        </is>
      </c>
      <c r="G367" s="24" t="inlineStr">
        <is>
          <t>Customer</t>
        </is>
      </c>
      <c r="H367" s="24" t="inlineStr">
        <is>
          <t>UI</t>
        </is>
      </c>
      <c r="I367" s="24" t="n"/>
      <c r="J367" s="24" t="inlineStr">
        <is>
          <t>1. Cancel before the rider sets off
2. Try after set-off</t>
        </is>
      </c>
      <c r="K367" s="24" t="inlineStr">
        <is>
          <t>First works (pickup cancelled). Second refused (contact support); operations can still cancel.</t>
        </is>
      </c>
      <c r="L367" s="24" t="inlineStr">
        <is>
          <t>QA E-13</t>
        </is>
      </c>
      <c r="M367" s="24" t="inlineStr">
        <is>
          <t>Pass</t>
        </is>
      </c>
      <c r="N367" s="24" t="inlineStr">
        <is>
          <t>Passed, partly covered. Local Pass (partial) · Staging Blocked · Production Not run
local: blocked: needs the delivered order of the first returns check in this run
staging: needs the delivered order of the first returns check in this run</t>
        </is>
      </c>
      <c r="O367" s="24" t="n"/>
      <c r="P367" s="24" t="inlineStr">
        <is>
          <t>2026-10-24 21:42</t>
        </is>
      </c>
    </row>
    <row r="368" ht="34.5" customHeight="1" s="13">
      <c r="A368" s="24" t="inlineStr">
        <is>
          <t>TC-RET-014</t>
        </is>
      </c>
      <c r="B368" s="24" t="inlineStr">
        <is>
          <t>Returns, refunds &amp; disputes</t>
        </is>
      </c>
      <c r="C368" s="24" t="inlineStr">
        <is>
          <t>GS-057</t>
        </is>
      </c>
      <c r="D368" s="24" t="inlineStr">
        <is>
          <t>Refund retry is exactly-once</t>
        </is>
      </c>
      <c r="E368" s="24" t="inlineStr">
        <is>
          <t>Security</t>
        </is>
      </c>
      <c r="F368" s="24" t="inlineStr">
        <is>
          <t>P0</t>
        </is>
      </c>
      <c r="G368" s="24" t="inlineStr">
        <is>
          <t>Operator</t>
        </is>
      </c>
      <c r="H368" s="24" t="inlineStr">
        <is>
          <t>UI</t>
        </is>
      </c>
      <c r="I368" s="24" t="inlineStr">
        <is>
          <t>A return stuck at Refund initiated</t>
        </is>
      </c>
      <c r="J368" s="24" t="inlineStr">
        <is>
          <t>1. Retry refund twice</t>
        </is>
      </c>
      <c r="K368" s="24" t="inlineStr">
        <is>
          <t>Completes once; no double credit.</t>
        </is>
      </c>
      <c r="L368" s="24" t="inlineStr">
        <is>
          <t>QA E-14</t>
        </is>
      </c>
      <c r="M368" s="24" t="inlineStr">
        <is>
          <t>Pass</t>
        </is>
      </c>
      <c r="N368" s="24" t="inlineStr">
        <is>
          <t>Passed, partly covered. Local Pass (partial) · Staging Not run (rule) · Production Not run
local: not covered: 'stuck at Refund initiated' is arranged in the database (status set after an inspection with auto-refund off)
staging: not run on staging: needs the server's database (local run only)</t>
        </is>
      </c>
      <c r="O368" s="24" t="n"/>
      <c r="P368" s="24" t="inlineStr">
        <is>
          <t>2026-10-24 17:06</t>
        </is>
      </c>
    </row>
    <row r="369" ht="23.25" customHeight="1" s="13">
      <c r="A369" s="24" t="inlineStr">
        <is>
          <t>TC-RET-015</t>
        </is>
      </c>
      <c r="B369" s="24" t="inlineStr">
        <is>
          <t>Returns, refunds &amp; disputes</t>
        </is>
      </c>
      <c r="C369" s="24" t="inlineStr">
        <is>
          <t>GS-057, GS-071</t>
        </is>
      </c>
      <c r="D369" s="24" t="inlineStr">
        <is>
          <t>Return evidence photos are private</t>
        </is>
      </c>
      <c r="E369" s="24" t="inlineStr">
        <is>
          <t>Security</t>
        </is>
      </c>
      <c r="F369" s="24" t="inlineStr">
        <is>
          <t>P0</t>
        </is>
      </c>
      <c r="G369" s="24" t="inlineStr">
        <is>
          <t>Customer</t>
        </is>
      </c>
      <c r="H369" s="24" t="inlineStr">
        <is>
          <t>API</t>
        </is>
      </c>
      <c r="I369" s="24" t="n"/>
      <c r="J369" s="24" t="inlineStr">
        <is>
          <t>1. As another customer GET /api/images/{id} of the evidence
2. As the shop owner and as staff</t>
        </is>
      </c>
      <c r="K369" s="24" t="inlineStr">
        <is>
          <t>Other customer: 404. Shop owner and staff: allowed.</t>
        </is>
      </c>
      <c r="L369" s="24" t="inlineStr">
        <is>
          <t>QA E-15</t>
        </is>
      </c>
      <c r="M369" s="24" t="inlineStr">
        <is>
          <t>Pass</t>
        </is>
      </c>
      <c r="N369" s="24" t="inlineStr">
        <is>
          <t>Passed, partly covered. Local Pass (partial) · Staging Pass (partial) · Production Pass (partial)
local: not covered: guest half; owner / other-shop / operator halves run in the signed-in tier ‖ blocked: needs the delivered order of the first returns check in this run
staging: not covered: guest half; owner / other-shop / operator halves run in the signed-in tier
production: not covered: guest half; owner / other-shop / operator halves run in the signed-in tier</t>
        </is>
      </c>
      <c r="O369" s="24" t="n"/>
      <c r="P369" s="24" t="inlineStr">
        <is>
          <t>2026-10-29 14:06</t>
        </is>
      </c>
    </row>
    <row r="370" ht="23.25" customHeight="1" s="13">
      <c r="A370" s="24" t="inlineStr">
        <is>
          <t>TC-RET-016</t>
        </is>
      </c>
      <c r="B370" s="24" t="inlineStr">
        <is>
          <t>Returns, refunds &amp; disputes</t>
        </is>
      </c>
      <c r="C370" s="24" t="inlineStr">
        <is>
          <t>NEW-001, GS-057</t>
        </is>
      </c>
      <c r="D370" s="24" t="inlineStr">
        <is>
          <t>Returns rule changes</t>
        </is>
      </c>
      <c r="E370" s="24" t="inlineStr">
        <is>
          <t>Positive</t>
        </is>
      </c>
      <c r="F370" s="24" t="inlineStr">
        <is>
          <t>P2</t>
        </is>
      </c>
      <c r="G370" s="24" t="inlineStr">
        <is>
          <t>Admin</t>
        </is>
      </c>
      <c r="H370" s="24" t="inlineStr">
        <is>
          <t>UI</t>
        </is>
      </c>
      <c r="I370" s="24" t="n"/>
      <c r="J370" s="24" t="inlineStr">
        <is>
          <t>1. Enable CHANGED_MIND and change the window / charge-to in /admin/settings
2. Create a new return
3. Restore default</t>
        </is>
      </c>
      <c r="K370" s="24" t="inlineStr">
        <is>
          <t>New requests follow the new rule.</t>
        </is>
      </c>
      <c r="L370" s="24" t="inlineStr">
        <is>
          <t>QA E-16</t>
        </is>
      </c>
      <c r="M370" s="24" t="inlineStr">
        <is>
          <t>Pass</t>
        </is>
      </c>
      <c r="N370" s="24" t="inlineStr">
        <is>
          <t>Local Pass · Staging Not run (rule) · Production Not run
local: form offers 'Changed my mind'; return RT-8F5BF7A5 accepted, charged to PLATFORM; window 24 h; after restoring the default → 422
staging: not run on staging: needs the server's database (local run only)</t>
        </is>
      </c>
      <c r="O370" s="24" t="n"/>
      <c r="P370" s="24" t="inlineStr">
        <is>
          <t>2026-10-24 17:06</t>
        </is>
      </c>
    </row>
    <row r="371" ht="34.5" customHeight="1" s="13">
      <c r="A371" s="24" t="inlineStr">
        <is>
          <t>TC-RET-017</t>
        </is>
      </c>
      <c r="B371" s="24" t="inlineStr">
        <is>
          <t>Returns, refunds &amp; disputes</t>
        </is>
      </c>
      <c r="C371" s="24" t="inlineStr">
        <is>
          <t>RBAC-011, GS-057</t>
        </is>
      </c>
      <c r="D371" s="24" t="inlineStr">
        <is>
          <t>Operator refunds a delivered order (full / partial)</t>
        </is>
      </c>
      <c r="E371" s="24" t="inlineStr">
        <is>
          <t>Positive</t>
        </is>
      </c>
      <c r="F371" s="24" t="inlineStr">
        <is>
          <t>P0</t>
        </is>
      </c>
      <c r="G371" s="24" t="inlineStr">
        <is>
          <t>Operator</t>
        </is>
      </c>
      <c r="H371" s="24" t="inlineStr">
        <is>
          <t>UI</t>
        </is>
      </c>
      <c r="I371" s="24" t="inlineStr">
        <is>
          <t>Delivered order</t>
        </is>
      </c>
      <c r="J371" s="24" t="inlineStr">
        <is>
          <t>1. /admin/finance (or returns) -&gt; refund part of the order charged to SHOP
2. Refund the rest charged to PLATFORM</t>
        </is>
      </c>
      <c r="K371" s="24" t="inlineStr">
        <is>
          <t>Wallet credited each time; full refund moves the order to REFUNDED; shop-share maths applied (never the delivery fee); audited.</t>
        </is>
      </c>
      <c r="L371" s="24" t="inlineStr">
        <is>
          <t>Dev log Slice 6 handoff</t>
        </is>
      </c>
      <c r="M371" s="24" t="inlineStr">
        <is>
          <t>Pass</t>
        </is>
      </c>
      <c r="N371" s="24" t="inlineStr">
        <is>
          <t>Passed, partly covered. Local Pass (partial) · Staging Blocked · Production Not run
local: not covered: the refunds are sent through the API the forms use; the /admin/finance form (administrators) is only opened
staging: needs the "premium" listing in this site's test data</t>
        </is>
      </c>
      <c r="O371" s="24" t="n"/>
      <c r="P371" s="24" t="inlineStr">
        <is>
          <t>2026-10-24 20:09</t>
        </is>
      </c>
    </row>
    <row r="372" ht="23.25" customHeight="1" s="13">
      <c r="A372" s="24" t="inlineStr">
        <is>
          <t>TC-RET-018</t>
        </is>
      </c>
      <c r="B372" s="24" t="inlineStr">
        <is>
          <t>Returns, refunds &amp; disputes</t>
        </is>
      </c>
      <c r="C372" s="24" t="inlineStr">
        <is>
          <t>RBAC-011</t>
        </is>
      </c>
      <c r="D372" s="24" t="inlineStr">
        <is>
          <t>Over-refund and replay are refused</t>
        </is>
      </c>
      <c r="E372" s="24" t="inlineStr">
        <is>
          <t>Negative</t>
        </is>
      </c>
      <c r="F372" s="24" t="inlineStr">
        <is>
          <t>P0</t>
        </is>
      </c>
      <c r="G372" s="24" t="inlineStr">
        <is>
          <t>Operator</t>
        </is>
      </c>
      <c r="H372" s="24" t="inlineStr">
        <is>
          <t>API</t>
        </is>
      </c>
      <c r="I372" s="24" t="n"/>
      <c r="J372" s="24" t="inlineStr">
        <is>
          <t>1. Refund more than what remains
2. Re-send the same requestId</t>
        </is>
      </c>
      <c r="K372" s="24" t="inlineStr">
        <is>
          <t>Over-refund 422. Replay refunds once.</t>
        </is>
      </c>
      <c r="L372" s="24" t="inlineStr">
        <is>
          <t>Dev log Slice 6 handoff</t>
        </is>
      </c>
      <c r="M372" s="24" t="inlineStr">
        <is>
          <t>Pass</t>
        </is>
      </c>
      <c r="N372" s="24" t="inlineStr">
        <is>
          <t>Passed, partly covered. Local Pass (partial) · Staging Blocked · Production Not run
local: not covered: the refunds are sent through the API the forms use; the /admin/finance form (administrators) is only opened
staging: needs the "premium" listing in this site's test data</t>
        </is>
      </c>
      <c r="O372" s="24" t="n"/>
      <c r="P372" s="24" t="inlineStr">
        <is>
          <t>2026-10-24 20:09</t>
        </is>
      </c>
    </row>
    <row r="373" ht="23.25" customHeight="1" s="13">
      <c r="A373" s="24" t="inlineStr">
        <is>
          <t>TC-RET-019</t>
        </is>
      </c>
      <c r="B373" s="24" t="inlineStr">
        <is>
          <t>Returns, refunds &amp; disputes</t>
        </is>
      </c>
      <c r="C373" s="24" t="inlineStr">
        <is>
          <t>RBAC-011</t>
        </is>
      </c>
      <c r="D373" s="24" t="inlineStr">
        <is>
          <t>Customer and shop cannot approve refunds</t>
        </is>
      </c>
      <c r="E373" s="24" t="inlineStr">
        <is>
          <t>Security</t>
        </is>
      </c>
      <c r="F373" s="24" t="inlineStr">
        <is>
          <t>P0</t>
        </is>
      </c>
      <c r="G373" s="24" t="inlineStr">
        <is>
          <t>Shop</t>
        </is>
      </c>
      <c r="H373" s="24" t="inlineStr">
        <is>
          <t>API</t>
        </is>
      </c>
      <c r="I373" s="24" t="n"/>
      <c r="J373" s="24" t="inlineStr">
        <is>
          <t>1. POST /api/finance/refunds as shop owner and as customer</t>
        </is>
      </c>
      <c r="K373" s="24" t="inlineStr">
        <is>
          <t>403.</t>
        </is>
      </c>
      <c r="L373" s="24" t="inlineStr">
        <is>
          <t>RBAC Matrix: Refund approval</t>
        </is>
      </c>
      <c r="M373" s="24" t="inlineStr">
        <is>
          <t>Pass</t>
        </is>
      </c>
      <c r="N373" s="24" t="inlineStr">
        <is>
          <t>Passed, partly covered. Local Pass (partial) · Staging Blocked · Production Not run
local: not covered: the refunds are sent through the API the forms use; the /admin/finance form (administrators) is only opened
staging: needs the "premium" listing in this site's test data</t>
        </is>
      </c>
      <c r="O373" s="24" t="n"/>
      <c r="P373" s="24" t="inlineStr">
        <is>
          <t>2026-10-24 20:09</t>
        </is>
      </c>
    </row>
    <row r="374" ht="34.5" customHeight="1" s="13">
      <c r="A374" s="24" t="inlineStr">
        <is>
          <t>TC-RET-020</t>
        </is>
      </c>
      <c r="B374" s="24" t="inlineStr">
        <is>
          <t>Returns, refunds &amp; disputes</t>
        </is>
      </c>
      <c r="C374" s="24" t="inlineStr">
        <is>
          <t>GS-058</t>
        </is>
      </c>
      <c r="D374" s="24" t="inlineStr">
        <is>
          <t>Disputed order handling</t>
        </is>
      </c>
      <c r="E374" s="24" t="inlineStr">
        <is>
          <t>Positive</t>
        </is>
      </c>
      <c r="F374" s="24" t="inlineStr">
        <is>
          <t>P1</t>
        </is>
      </c>
      <c r="G374" s="24" t="inlineStr">
        <is>
          <t>Operator</t>
        </is>
      </c>
      <c r="H374" s="24" t="inlineStr">
        <is>
          <t>UI</t>
        </is>
      </c>
      <c r="I374" s="24" t="n"/>
      <c r="J374" s="24" t="inlineStr">
        <is>
          <t>1. Mark an order DISPUTED
2. Prepare settlements
3. Check /admin/exceptions
4. Resolve it (refund or back to DELIVERED)</t>
        </is>
      </c>
      <c r="K374" s="24" t="inlineStr">
        <is>
          <t>Disputed order is excluded from settlement and appears in the exceptions queue; resolving releases it. Exactly one finance snapshot exists after it returns to DELIVERED.</t>
        </is>
      </c>
      <c r="L374" s="24" t="inlineStr">
        <is>
          <t>Status report GS-058; Dev log Slice 6</t>
        </is>
      </c>
      <c r="M374" s="24" t="inlineStr">
        <is>
          <t>Pass</t>
        </is>
      </c>
      <c r="N374" s="24" t="inlineStr">
        <is>
          <t>Passed, partly covered. Local Pass (partial) · Staging Not run (rule) · Production Not run
local: not covered: the delivery date is moved into last week (only a finished week is settled, TC-FLD-118); the batches are prepared through the API the Finance page's button uses
staging: not run on staging: needs the server's database (local run only)</t>
        </is>
      </c>
      <c r="O374" s="24" t="n"/>
      <c r="P374" s="24" t="inlineStr">
        <is>
          <t>2026-10-24 17:06</t>
        </is>
      </c>
    </row>
    <row r="375" ht="23.25" customHeight="1" s="13">
      <c r="A375" s="24" t="inlineStr">
        <is>
          <t>TC-RET-021</t>
        </is>
      </c>
      <c r="B375" s="24" t="inlineStr">
        <is>
          <t>Returns, refunds &amp; disputes</t>
        </is>
      </c>
      <c r="C375" s="24" t="inlineStr">
        <is>
          <t>NAV-004</t>
        </is>
      </c>
      <c r="D375" s="24" t="inlineStr">
        <is>
          <t>Customer follows a return</t>
        </is>
      </c>
      <c r="E375" s="24" t="inlineStr">
        <is>
          <t>Positive</t>
        </is>
      </c>
      <c r="F375" s="24" t="inlineStr">
        <is>
          <t>P1</t>
        </is>
      </c>
      <c r="G375" s="24" t="inlineStr">
        <is>
          <t>Customer</t>
        </is>
      </c>
      <c r="H375" s="24" t="inlineStr">
        <is>
          <t>UI</t>
        </is>
      </c>
      <c r="I375" s="24" t="n"/>
      <c r="J375" s="24" t="inlineStr">
        <is>
          <t>1. Open /returns and /returns/{id}</t>
        </is>
      </c>
      <c r="K375" s="24" t="inlineStr">
        <is>
          <t>Status timeline matches each step taken above.</t>
        </is>
      </c>
      <c r="L375" s="24" t="inlineStr">
        <is>
          <t>Status report NAV-004</t>
        </is>
      </c>
      <c r="M375" s="24" t="inlineStr">
        <is>
          <t>Pass</t>
        </is>
      </c>
      <c r="N375" s="24" t="inlineStr">
        <is>
          <t>Passed, partly covered. Local Pass (partial) · Staging Blocked · Production Not run
local: blocked: needs the return created by TC-RET-002
staging: needs the return created by TC-RET-002</t>
        </is>
      </c>
      <c r="O375" s="24" t="n"/>
      <c r="P375" s="24" t="inlineStr">
        <is>
          <t>2026-10-24 21:42</t>
        </is>
      </c>
    </row>
    <row r="376" ht="23.25" customHeight="1" s="13">
      <c r="A376" s="24" t="inlineStr">
        <is>
          <t>TC-RET-022</t>
        </is>
      </c>
      <c r="B376" s="24" t="inlineStr">
        <is>
          <t>Returns, refunds &amp; disputes</t>
        </is>
      </c>
      <c r="C376" s="24" t="inlineStr">
        <is>
          <t>WF-007</t>
        </is>
      </c>
      <c r="D376" s="24" t="inlineStr">
        <is>
          <t>Admin returns queue</t>
        </is>
      </c>
      <c r="E376" s="24" t="inlineStr">
        <is>
          <t>Positive</t>
        </is>
      </c>
      <c r="F376" s="24" t="inlineStr">
        <is>
          <t>P2</t>
        </is>
      </c>
      <c r="G376" s="24" t="inlineStr">
        <is>
          <t>Operator</t>
        </is>
      </c>
      <c r="H376" s="24" t="inlineStr">
        <is>
          <t>UI</t>
        </is>
      </c>
      <c r="I376" s="24" t="n"/>
      <c r="J376" s="24" t="inlineStr">
        <is>
          <t>1. Open /admin/returns</t>
        </is>
      </c>
      <c r="K376" s="24" t="inlineStr">
        <is>
          <t>All returns with status; operations can cancel or complete a locked pickup.</t>
        </is>
      </c>
      <c r="L376" s="24" t="inlineStr">
        <is>
          <t>QA E-08, E-13</t>
        </is>
      </c>
      <c r="M376" s="24" t="inlineStr">
        <is>
          <t>Pass</t>
        </is>
      </c>
      <c r="N376" s="24" t="inlineStr">
        <is>
          <t>Passed, partly covered. Local Pass (partial) · Staging Blocked · Production Not run
local: blocked: needs the delivered order of the first returns check in this run
staging: needs the delivered order of the first returns check in this run</t>
        </is>
      </c>
      <c r="O376" s="24" t="n"/>
      <c r="P376" s="24" t="inlineStr">
        <is>
          <t>2026-10-24 21:42</t>
        </is>
      </c>
    </row>
    <row r="377" ht="23.25" customHeight="1" s="13">
      <c r="A377" s="24" t="inlineStr">
        <is>
          <t>TC-SUP-001</t>
        </is>
      </c>
      <c r="B377" s="24" t="inlineStr">
        <is>
          <t>Support, grievances &amp; ratings</t>
        </is>
      </c>
      <c r="C377" s="24" t="inlineStr">
        <is>
          <t>GS-056</t>
        </is>
      </c>
      <c r="D377" s="24" t="inlineStr">
        <is>
          <t>Report a problem on an order</t>
        </is>
      </c>
      <c r="E377" s="24" t="inlineStr">
        <is>
          <t>Positive</t>
        </is>
      </c>
      <c r="F377" s="24" t="inlineStr">
        <is>
          <t>P0</t>
        </is>
      </c>
      <c r="G377" s="24" t="inlineStr">
        <is>
          <t>Customer</t>
        </is>
      </c>
      <c r="H377" s="24" t="inlineStr">
        <is>
          <t>UI</t>
        </is>
      </c>
      <c r="I377" s="24" t="n"/>
      <c r="J377" s="24" t="inlineStr">
        <is>
          <t>1. /orders -&gt; Report a problem -&gt; category PRODUCT, description</t>
        </is>
      </c>
      <c r="K377" s="24" t="inlineStr">
        <is>
          <t>Ticket created and linked to the order; reference shown; visible to operations.</t>
        </is>
      </c>
      <c r="L377" s="24" t="inlineStr">
        <is>
          <t>Dev log Phase 2 handoff</t>
        </is>
      </c>
      <c r="M377" s="24" t="inlineStr">
        <is>
          <t>Pass</t>
        </is>
      </c>
      <c r="N377" s="24" t="inlineStr">
        <is>
          <t>Passed, partly covered. Local Pass (partial) · Staging Blocked · Production Not run
local: blocked: "QA Butter 100 g mvmkyclr" cannot be added to the cart — HTTP 409: This product is currently unavailable online.
staging: no delivery offer reached the rider for order 522afc26-0513-44c7-a2be-c8d3ea2998f8 within 30 s (rider offline or busy?) ‖ no delivery offer reached the rider for order eba2ad14-5cea-481f-b580-1f3c745923a1 within 30 s (rider offline or busy?)</t>
        </is>
      </c>
      <c r="O377" s="24" t="n"/>
      <c r="P377" s="24" t="inlineStr">
        <is>
          <t>2026-10-24 21:45</t>
        </is>
      </c>
    </row>
    <row r="378" ht="23.25" customHeight="1" s="13">
      <c r="A378" s="24" t="inlineStr">
        <is>
          <t>TC-SUP-002</t>
        </is>
      </c>
      <c r="B378" s="24" t="inlineStr">
        <is>
          <t>Support, grievances &amp; ratings</t>
        </is>
      </c>
      <c r="C378" s="24" t="inlineStr">
        <is>
          <t>GS-056</t>
        </is>
      </c>
      <c r="D378" s="24" t="inlineStr">
        <is>
          <t>Cannot report on someone else's order</t>
        </is>
      </c>
      <c r="E378" s="24" t="inlineStr">
        <is>
          <t>Security</t>
        </is>
      </c>
      <c r="F378" s="24" t="inlineStr">
        <is>
          <t>P0</t>
        </is>
      </c>
      <c r="G378" s="24" t="inlineStr">
        <is>
          <t>Customer</t>
        </is>
      </c>
      <c r="H378" s="24" t="inlineStr">
        <is>
          <t>API</t>
        </is>
      </c>
      <c r="I378" s="24" t="n"/>
      <c r="J378" s="24" t="inlineStr">
        <is>
          <t>1. POST /api/orders/{otherOrderId}/issue</t>
        </is>
      </c>
      <c r="K378" s="24" t="inlineStr">
        <is>
          <t>403/404.</t>
        </is>
      </c>
      <c r="L378" s="24" t="inlineStr">
        <is>
          <t>Dev log Phase 2 handoff</t>
        </is>
      </c>
      <c r="M378" s="24" t="inlineStr">
        <is>
          <t>Pass</t>
        </is>
      </c>
      <c r="N378" s="24" t="inlineStr">
        <is>
          <t>Passed, partly covered. Local Pass (partial) · Staging Blocked · Production Not run
local: blocked: "QA Butter 100 g mvmkyclr" cannot be added to the cart — HTTP 409: This product is currently unavailable online.
staging: no delivery offer reached the rider for order 522afc26-0513-44c7-a2be-c8d3ea2998f8 within 30 s (rider offline or busy?) ‖ no delivery offer reached the rider for order eba2ad14-5cea-481f-b580-1f3c745923a1 within 30 s (rider offline or busy?)</t>
        </is>
      </c>
      <c r="O378" s="24" t="n"/>
      <c r="P378" s="24" t="inlineStr">
        <is>
          <t>2026-10-24 21:45</t>
        </is>
      </c>
    </row>
    <row r="379" ht="23.25" customHeight="1" s="13">
      <c r="A379" s="24" t="inlineStr">
        <is>
          <t>TC-SUP-003</t>
        </is>
      </c>
      <c r="B379" s="24" t="inlineStr">
        <is>
          <t>Support, grievances &amp; ratings</t>
        </is>
      </c>
      <c r="C379" s="24" t="inlineStr">
        <is>
          <t>GS-056</t>
        </is>
      </c>
      <c r="D379" s="24" t="inlineStr">
        <is>
          <t>Validation on the issue form</t>
        </is>
      </c>
      <c r="E379" s="24" t="inlineStr">
        <is>
          <t>Negative</t>
        </is>
      </c>
      <c r="F379" s="24" t="inlineStr">
        <is>
          <t>P2</t>
        </is>
      </c>
      <c r="G379" s="24" t="inlineStr">
        <is>
          <t>Customer</t>
        </is>
      </c>
      <c r="H379" s="24" t="inlineStr">
        <is>
          <t>UI</t>
        </is>
      </c>
      <c r="I379" s="24" t="n"/>
      <c r="J379" s="24" t="inlineStr">
        <is>
          <t>1. Submit with empty description and with an invalid category</t>
        </is>
      </c>
      <c r="K379" s="24" t="inlineStr">
        <is>
          <t>Field errors; no ticket.</t>
        </is>
      </c>
      <c r="L379" s="24" t="inlineStr">
        <is>
          <t>Test plan section 3 negative</t>
        </is>
      </c>
      <c r="M379" s="24" t="inlineStr">
        <is>
          <t>Blocked</t>
        </is>
      </c>
      <c r="N379" s="24" t="inlineStr">
        <is>
          <t>Local Blocked · Staging Blocked · Production Not run
local: "QA Butter 100 g mvmkyclr" cannot be added to the cart — HTTP 409: This product is currently unavailable online.
staging: no delivery offer reached the rider for order a03b433b-3078-4da5-a131-0aa02ec34be7 within 30 s (rider offline or busy?)</t>
        </is>
      </c>
      <c r="O379" s="24" t="n"/>
      <c r="P379" s="24" t="inlineStr">
        <is>
          <t>2026-10-24 20:16</t>
        </is>
      </c>
    </row>
    <row r="380" ht="23.25" customHeight="1" s="13">
      <c r="A380" s="24" t="inlineStr">
        <is>
          <t>TC-SUP-004</t>
        </is>
      </c>
      <c r="B380" s="24" t="inlineStr">
        <is>
          <t>Support, grievances &amp; ratings</t>
        </is>
      </c>
      <c r="C380" s="24" t="inlineStr">
        <is>
          <t>GS-056</t>
        </is>
      </c>
      <c r="D380" s="24" t="inlineStr">
        <is>
          <t>Public grievance form and ticket lookup</t>
        </is>
      </c>
      <c r="E380" s="24" t="inlineStr">
        <is>
          <t>Regression</t>
        </is>
      </c>
      <c r="F380" s="24" t="inlineStr">
        <is>
          <t>P1</t>
        </is>
      </c>
      <c r="G380" s="24" t="inlineStr">
        <is>
          <t>Guest</t>
        </is>
      </c>
      <c r="H380" s="24" t="inlineStr">
        <is>
          <t>UI</t>
        </is>
      </c>
      <c r="I380" s="24" t="n"/>
      <c r="J380" s="24" t="inlineStr">
        <is>
          <t>1. Open /grievance, submit a complaint
2. Look the ticket up by its reference</t>
        </is>
      </c>
      <c r="K380" s="24" t="inlineStr">
        <is>
          <t>Ticket created with a reference; lookup shows its status without exposing other tickets.</t>
        </is>
      </c>
      <c r="L380" s="24" t="inlineStr">
        <is>
          <t>Regression CUS-24</t>
        </is>
      </c>
      <c r="M380" s="24" t="inlineStr">
        <is>
          <t>Pass</t>
        </is>
      </c>
      <c r="N380" s="24" t="inlineStr">
        <is>
          <t>Passed, partly covered. Local Pass (partial) · Staging Pass (partial) · Production Pass (partial)
local: not covered: the public form's per-IP limit (5 per 10 minutes, keyed on X-Forwarded-For) is spread with a test address per request ‖ not covered: TC-SUP-004: page and officer details only; filing and ticket lookup write data (signed-in tier)
staging: not covered: TC-SUP-004: page and officer details only; filing and ticket lookup write data (signed-in tier)
production: not covered: TC-SUP-004: page and officer details only; filing and ticket lookup write data (signed-in tier)</t>
        </is>
      </c>
      <c r="O380" s="24" t="n"/>
      <c r="P380" s="24" t="inlineStr">
        <is>
          <t>2026-10-29 14:03</t>
        </is>
      </c>
    </row>
    <row r="381" ht="23.25" customHeight="1" s="13">
      <c r="A381" s="24" t="inlineStr">
        <is>
          <t>TC-SUP-005</t>
        </is>
      </c>
      <c r="B381" s="24" t="inlineStr">
        <is>
          <t>Support, grievances &amp; ratings</t>
        </is>
      </c>
      <c r="C381" s="24" t="inlineStr">
        <is>
          <t>SM-006</t>
        </is>
      </c>
      <c r="D381" s="24" t="inlineStr">
        <is>
          <t>Operations work a grievance</t>
        </is>
      </c>
      <c r="E381" s="24" t="inlineStr">
        <is>
          <t>Positive</t>
        </is>
      </c>
      <c r="F381" s="24" t="inlineStr">
        <is>
          <t>P1</t>
        </is>
      </c>
      <c r="G381" s="24" t="inlineStr">
        <is>
          <t>Operator</t>
        </is>
      </c>
      <c r="H381" s="24" t="inlineStr">
        <is>
          <t>UI</t>
        </is>
      </c>
      <c r="I381" s="24" t="n"/>
      <c r="J381" s="24" t="inlineStr">
        <is>
          <t>1. Admin console -&gt; grievances: assign, move to IN_PROGRESS, RESOLVED, CLOSED</t>
        </is>
      </c>
      <c r="K381" s="24" t="inlineStr">
        <is>
          <t>Statuses move OPEN -&gt; IN_PROGRESS -&gt; RESOLVED -&gt; CLOSED; SLA counters update; the customer is notified.</t>
        </is>
      </c>
      <c r="L381" s="24" t="inlineStr">
        <is>
          <t>Regression ADM-05; Status report SM-006</t>
        </is>
      </c>
      <c r="M381" s="24" t="inlineStr">
        <is>
          <t>Blocked</t>
        </is>
      </c>
      <c r="N381" s="24" t="inlineStr">
        <is>
          <t>Local Blocked · Staging Blocked · Production Not run
local: needs the grievance raised by TC-SUP-001
staging: needs the grievance raised by TC-SUP-001</t>
        </is>
      </c>
      <c r="O381" s="24" t="n"/>
      <c r="P381" s="24" t="inlineStr">
        <is>
          <t>2026-10-24 20:16</t>
        </is>
      </c>
    </row>
    <row r="382" ht="34.5" customHeight="1" s="13">
      <c r="A382" s="24" t="inlineStr">
        <is>
          <t>TC-SUP-006</t>
        </is>
      </c>
      <c r="B382" s="24" t="inlineStr">
        <is>
          <t>Support, grievances &amp; ratings</t>
        </is>
      </c>
      <c r="C382" s="24" t="inlineStr">
        <is>
          <t>GS-059</t>
        </is>
      </c>
      <c r="D382" s="24" t="inlineStr">
        <is>
          <t>Rate a shop after delivery</t>
        </is>
      </c>
      <c r="E382" s="24" t="inlineStr">
        <is>
          <t>Positive</t>
        </is>
      </c>
      <c r="F382" s="24" t="inlineStr">
        <is>
          <t>P1</t>
        </is>
      </c>
      <c r="G382" s="24" t="inlineStr">
        <is>
          <t>Customer</t>
        </is>
      </c>
      <c r="H382" s="24" t="inlineStr">
        <is>
          <t>UI</t>
        </is>
      </c>
      <c r="I382" s="24" t="inlineStr">
        <is>
          <t>DELIVERED order within 30 days</t>
        </is>
      </c>
      <c r="J382" s="24" t="inlineStr">
        <is>
          <t>1. Rate the shop 4 stars with a comment</t>
        </is>
      </c>
      <c r="K382" s="24" t="inlineStr">
        <is>
          <t>Saved; shop average and count update; review appears on the shop page without the customer's identity.</t>
        </is>
      </c>
      <c r="L382" s="24" t="inlineStr">
        <is>
          <t>Dev log Phase 2 handoff</t>
        </is>
      </c>
      <c r="M382" s="24" t="inlineStr">
        <is>
          <t>Fail</t>
        </is>
      </c>
      <c r="N382" s="24" t="inlineStr">
        <is>
          <t>Local Pass (partial) · Staging Fail · Production Not run
local: blocked: "QA Butter 100 g mvmkyclr" cannot be added to the cart — HTTP 409: This product is currently unavailable online.
staging: shop marks ready — HTTP 504: &lt;html&gt; &lt;head&gt;&lt;title&gt;504 Gateway Time-out&lt;/title&gt;&lt;/head&gt; &lt;body&gt; &lt;center&gt;&lt;h1&gt;504 Gateway Time-out&lt;/h1&gt;&lt;/center&gt; &lt;hr&gt;&lt;center&gt;nginx&lt;/center&gt; &lt;/body&gt; &lt;/html&gt; &lt;!-- a padding to disable MSIE and Chrome frien | expect(received).toContain(expected) // indexOf | Expected value: 504 | Received array: [200]</t>
        </is>
      </c>
      <c r="O382" s="24" t="n"/>
      <c r="P382" s="24" t="inlineStr">
        <is>
          <t>2026-10-24 21:47</t>
        </is>
      </c>
    </row>
    <row r="383" ht="23.25" customHeight="1" s="13">
      <c r="A383" s="24" t="inlineStr">
        <is>
          <t>TC-SUP-007</t>
        </is>
      </c>
      <c r="B383" s="24" t="inlineStr">
        <is>
          <t>Support, grievances &amp; ratings</t>
        </is>
      </c>
      <c r="C383" s="24" t="inlineStr">
        <is>
          <t>GS-059</t>
        </is>
      </c>
      <c r="D383" s="24" t="inlineStr">
        <is>
          <t>Rating eligibility</t>
        </is>
      </c>
      <c r="E383" s="24" t="inlineStr">
        <is>
          <t>Negative</t>
        </is>
      </c>
      <c r="F383" s="24" t="inlineStr">
        <is>
          <t>P1</t>
        </is>
      </c>
      <c r="G383" s="24" t="inlineStr">
        <is>
          <t>Customer</t>
        </is>
      </c>
      <c r="H383" s="24" t="inlineStr">
        <is>
          <t>UI+API</t>
        </is>
      </c>
      <c r="I383" s="24" t="n"/>
      <c r="J383" s="24" t="inlineStr">
        <is>
          <t>1. Rate an undelivered order
2. Rate the same order twice
3. Rate another customer's order
4. Score 0 and 6
5. An order delivered more than 30 days ago</t>
        </is>
      </c>
      <c r="K383" s="24" t="inlineStr">
        <is>
          <t>All refused.</t>
        </is>
      </c>
      <c r="L383" s="24" t="inlineStr">
        <is>
          <t>Dev log Phase 2 handoff</t>
        </is>
      </c>
      <c r="M383" s="24" t="inlineStr">
        <is>
          <t>Pass</t>
        </is>
      </c>
      <c r="N383" s="24" t="inlineStr">
        <is>
          <t>Passed, partly covered. Local Pass (partial) · Staging Blocked · Production Not run
local: not covered: the other eligibility rules are TC-SUP-007 in signed-in/orders-support.spec.ts ‖ blocked: "QA Butter 100 g mvmkyclr" cannot be added to the cart — HTTP 409: This product is currently unavailable online.
staging: no delivery offer reached the rider for order a44abda7-6486-4e23-b801-53076d95c9f5 within 30 s (rider offline or busy?)</t>
        </is>
      </c>
      <c r="O383" s="24" t="n"/>
      <c r="P383" s="24" t="inlineStr">
        <is>
          <t>2026-10-24 20:25</t>
        </is>
      </c>
    </row>
    <row r="384" ht="23.25" customHeight="1" s="13">
      <c r="A384" s="24" t="inlineStr">
        <is>
          <t>TC-SUP-008</t>
        </is>
      </c>
      <c r="B384" s="24" t="inlineStr">
        <is>
          <t>Support, grievances &amp; ratings</t>
        </is>
      </c>
      <c r="C384" s="24" t="inlineStr">
        <is>
          <t>GS-060</t>
        </is>
      </c>
      <c r="D384" s="24" t="inlineStr">
        <is>
          <t>Rate the rider</t>
        </is>
      </c>
      <c r="E384" s="24" t="inlineStr">
        <is>
          <t>Positive</t>
        </is>
      </c>
      <c r="F384" s="24" t="inlineStr">
        <is>
          <t>P1</t>
        </is>
      </c>
      <c r="G384" s="24" t="inlineStr">
        <is>
          <t>Customer</t>
        </is>
      </c>
      <c r="H384" s="24" t="inlineStr">
        <is>
          <t>UI</t>
        </is>
      </c>
      <c r="I384" s="24" t="inlineStr">
        <is>
          <t>Order delivered by a platform rider</t>
        </is>
      </c>
      <c r="J384" s="24" t="inlineStr">
        <is>
          <t>1. Rate the rider
2. Check a shop-self-delivered order</t>
        </is>
      </c>
      <c r="K384" s="24" t="inlineStr">
        <is>
          <t>Rider rating saved; rider and operations see the average; not public. No rider-rating option when the shop delivered itself.</t>
        </is>
      </c>
      <c r="L384" s="24" t="inlineStr">
        <is>
          <t>Dev log Phase 2 handoff</t>
        </is>
      </c>
      <c r="M384" s="24" t="inlineStr">
        <is>
          <t>Pass</t>
        </is>
      </c>
      <c r="N384" s="24" t="inlineStr">
        <is>
          <t>Passed, partly covered. Local Pass (partial) · Staging Blocked · Production Not run
local: not covered: operations' view of the rider average is not opened ‖ blocked: "QA Butter 100 g mvmkyclr" cannot be added to the cart — HTTP 409: This product is currently unavailable online.
staging: no delivery offer reached the rider for order 3048e58c-118c-4426-9750-4cd83f5a6513 within 30 s (rider offline or busy?) ‖ no delivery offer reached the rider for order 6abc78da-506a-405d-9145-bec11ad825c1 within 30 s (rider offline or busy?)</t>
        </is>
      </c>
      <c r="O384" s="24" t="n"/>
      <c r="P384" s="24" t="inlineStr">
        <is>
          <t>2026-10-24 21:52</t>
        </is>
      </c>
    </row>
    <row r="385" ht="23.25" customHeight="1" s="13">
      <c r="A385" s="24" t="inlineStr">
        <is>
          <t>TC-SUP-009</t>
        </is>
      </c>
      <c r="B385" s="24" t="inlineStr">
        <is>
          <t>Support, grievances &amp; ratings</t>
        </is>
      </c>
      <c r="C385" s="24" t="inlineStr">
        <is>
          <t>GS-059</t>
        </is>
      </c>
      <c r="D385" s="24" t="inlineStr">
        <is>
          <t>Moderation hides and restores a rating</t>
        </is>
      </c>
      <c r="E385" s="24" t="inlineStr">
        <is>
          <t>Positive</t>
        </is>
      </c>
      <c r="F385" s="24" t="inlineStr">
        <is>
          <t>P2</t>
        </is>
      </c>
      <c r="G385" s="24" t="inlineStr">
        <is>
          <t>Operator</t>
        </is>
      </c>
      <c r="H385" s="24" t="inlineStr">
        <is>
          <t>UI</t>
        </is>
      </c>
      <c r="I385" s="24" t="n"/>
      <c r="J385" s="24" t="inlineStr">
        <is>
          <t>1. /admin/ratings -&gt; hide a rating with a reason -&gt; restore</t>
        </is>
      </c>
      <c r="K385" s="24" t="inlineStr">
        <is>
          <t>Hidden rating leaves the public list and the average; restore brings it back.</t>
        </is>
      </c>
      <c r="L385" s="24" t="inlineStr">
        <is>
          <t>Dev log Phase 2 handoff</t>
        </is>
      </c>
      <c r="M385" s="24" t="inlineStr">
        <is>
          <t>Blocked</t>
        </is>
      </c>
      <c r="N385" s="24" t="inlineStr">
        <is>
          <t>Local Blocked · Staging Blocked · Production Not run
local: "QA Butter 100 g mvmkyclr" cannot be added to the cart — HTTP 409: This product is currently unavailable online.
staging: no delivery offer reached the rider for order b741ef10-cead-42c6-8980-1250adf74fee within 30 s (rider offline or busy?)</t>
        </is>
      </c>
      <c r="O385" s="24" t="n"/>
      <c r="P385" s="24" t="inlineStr">
        <is>
          <t>2026-10-24 20:29</t>
        </is>
      </c>
    </row>
    <row r="386" ht="23.25" customHeight="1" s="13">
      <c r="A386" s="24" t="inlineStr">
        <is>
          <t>TC-SUP-010</t>
        </is>
      </c>
      <c r="B386" s="24" t="inlineStr">
        <is>
          <t>Support, grievances &amp; ratings</t>
        </is>
      </c>
      <c r="C386" s="24" t="inlineStr">
        <is>
          <t>GS-059</t>
        </is>
      </c>
      <c r="D386" s="24" t="inlineStr">
        <is>
          <t>Only moderators can hide ratings</t>
        </is>
      </c>
      <c r="E386" s="24" t="inlineStr">
        <is>
          <t>Security</t>
        </is>
      </c>
      <c r="F386" s="24" t="inlineStr">
        <is>
          <t>P1</t>
        </is>
      </c>
      <c r="G386" s="24" t="inlineStr">
        <is>
          <t>Shop</t>
        </is>
      </c>
      <c r="H386" s="24" t="inlineStr">
        <is>
          <t>API</t>
        </is>
      </c>
      <c r="I386" s="24" t="n"/>
      <c r="J386" s="24" t="inlineStr">
        <is>
          <t>1. PATCH /api/ratings/{id} as the shop owner</t>
        </is>
      </c>
      <c r="K386" s="24" t="inlineStr">
        <is>
          <t>403.</t>
        </is>
      </c>
      <c r="L386" s="24" t="inlineStr">
        <is>
          <t>API.md Ratings</t>
        </is>
      </c>
      <c r="M386" s="24" t="inlineStr">
        <is>
          <t>Blocked</t>
        </is>
      </c>
      <c r="N386" s="24" t="inlineStr">
        <is>
          <t>Local Blocked · Staging Blocked · Production Not run
local: "QA Butter 100 g mvmkyclr" cannot be added to the cart — HTTP 409: This product is currently unavailable online.
staging: no delivery offer reached the rider for order b741ef10-cead-42c6-8980-1250adf74fee within 30 s (rider offline or busy?)</t>
        </is>
      </c>
      <c r="O386" s="24" t="n"/>
      <c r="P386" s="24" t="inlineStr">
        <is>
          <t>2026-10-24 20:29</t>
        </is>
      </c>
    </row>
    <row r="387" ht="45.75" customHeight="1" s="13">
      <c r="A387" s="24" t="inlineStr">
        <is>
          <t>TC-SUP-011</t>
        </is>
      </c>
      <c r="B387" s="24" t="inlineStr">
        <is>
          <t>Support, grievances &amp; ratings</t>
        </is>
      </c>
      <c r="C387" s="24" t="inlineStr">
        <is>
          <t>GS-056</t>
        </is>
      </c>
      <c r="D387" s="24" t="inlineStr">
        <is>
          <t>Contact a shop</t>
        </is>
      </c>
      <c r="E387" s="24" t="inlineStr">
        <is>
          <t>Regression</t>
        </is>
      </c>
      <c r="F387" s="24" t="inlineStr">
        <is>
          <t>P2</t>
        </is>
      </c>
      <c r="G387" s="24" t="inlineStr">
        <is>
          <t>Customer</t>
        </is>
      </c>
      <c r="H387" s="24" t="inlineStr">
        <is>
          <t>UI</t>
        </is>
      </c>
      <c r="I387" s="24" t="n"/>
      <c r="J387" s="24" t="inlineStr">
        <is>
          <t>1. Open /shops/{slug}/contact</t>
        </is>
      </c>
      <c r="K387" s="24" t="inlineStr">
        <is>
          <t>Page loads with the shop's contact options; no customer data leaks.</t>
        </is>
      </c>
      <c r="L387" s="24" t="inlineStr">
        <is>
          <t>Route list</t>
        </is>
      </c>
      <c r="M387" s="24" t="inlineStr">
        <is>
          <t>Pass</t>
        </is>
      </c>
      <c r="N387" s="24" t="inlineStr">
        <is>
          <t>Passed, partly covered. Local Pass (partial) · Staging Pass (partial) · Production Pass (partial)
local: not covered: contact form submission needs sign-in (signed-in tier) ‖ not covered: guest half in guest/storefront.spec.ts
staging: not covered: contact form submission needs sign-in (signed-in tier)
production: not covered: contact form submission needs sign-in (signed-in tier)</t>
        </is>
      </c>
      <c r="O387" s="24" t="n"/>
      <c r="P387" s="24" t="inlineStr">
        <is>
          <t>2026-10-29 14:02</t>
        </is>
      </c>
    </row>
    <row r="388" ht="23.25" customHeight="1" s="13">
      <c r="A388" s="24" t="inlineStr">
        <is>
          <t>TC-SUP-012</t>
        </is>
      </c>
      <c r="B388" s="24" t="inlineStr">
        <is>
          <t>Support, grievances &amp; ratings</t>
        </is>
      </c>
      <c r="C388" s="24" t="inlineStr">
        <is>
          <t>SM-006</t>
        </is>
      </c>
      <c r="D388" s="24" t="inlineStr">
        <is>
          <t>Grievance moves through the full ladder</t>
        </is>
      </c>
      <c r="E388" s="24" t="inlineStr">
        <is>
          <t>Positive</t>
        </is>
      </c>
      <c r="F388" s="24" t="inlineStr">
        <is>
          <t>P1</t>
        </is>
      </c>
      <c r="G388" s="24" t="inlineStr">
        <is>
          <t>Operator</t>
        </is>
      </c>
      <c r="H388" s="24" t="inlineStr">
        <is>
          <t>UI</t>
        </is>
      </c>
      <c r="I388" s="24" t="inlineStr">
        <is>
          <t>An open grievance</t>
        </is>
      </c>
      <c r="J388" s="24" t="inlineStr">
        <is>
          <t>1. Move it OPEN -&gt; TRIAGED -&gt; INVESTIGATING -&gt; RESOLUTION_PROPOSED -&gt; RESOLVED -&gt; CLOSED</t>
        </is>
      </c>
      <c r="K388" s="24" t="inlineStr">
        <is>
          <t>Each step saves with who and when; the customer sees the current state on ticket lookup.</t>
        </is>
      </c>
      <c r="L388" s="24" t="inlineStr">
        <is>
          <t>Open features 3-Oct, treated as completed 4-Oct</t>
        </is>
      </c>
      <c r="M388" s="24" t="inlineStr">
        <is>
          <t>Blocked</t>
        </is>
      </c>
      <c r="N388" s="24" t="inlineStr">
        <is>
          <t>Local Blocked · Staging Blocked · Production Not run
local: "QA Butter 100 g mvmkyclr" cannot be added to the cart — HTTP 409: This product is currently unavailable online.
staging: no delivery offer reached the rider for order fb8df4b1-9cd6-4917-96d7-5c221ad5aba9 within 30 s (rider offline or busy?)</t>
        </is>
      </c>
      <c r="O388" s="24" t="n"/>
      <c r="P388" s="24" t="inlineStr">
        <is>
          <t>2026-10-24 20:32</t>
        </is>
      </c>
    </row>
    <row r="389" ht="34.5" customHeight="1" s="13">
      <c r="A389" s="24" t="inlineStr">
        <is>
          <t>TC-SUP-013</t>
        </is>
      </c>
      <c r="B389" s="24" t="inlineStr">
        <is>
          <t>Support, grievances &amp; ratings</t>
        </is>
      </c>
      <c r="C389" s="24" t="inlineStr">
        <is>
          <t>SM-006, GS-058</t>
        </is>
      </c>
      <c r="D389" s="24" t="inlineStr">
        <is>
          <t>Escalation</t>
        </is>
      </c>
      <c r="E389" s="24" t="inlineStr">
        <is>
          <t>Positive</t>
        </is>
      </c>
      <c r="F389" s="24" t="inlineStr">
        <is>
          <t>P1</t>
        </is>
      </c>
      <c r="G389" s="24" t="inlineStr">
        <is>
          <t>Customer</t>
        </is>
      </c>
      <c r="H389" s="24" t="inlineStr">
        <is>
          <t>UI</t>
        </is>
      </c>
      <c r="I389" s="24" t="n"/>
      <c r="J389" s="24" t="inlineStr">
        <is>
          <t>1. Customer rejects the proposed resolution
2. In another ticket let the response time pass</t>
        </is>
      </c>
      <c r="K389" s="24" t="inlineStr">
        <is>
          <t>Both become ESCALATED and reach the senior queue with a notification.</t>
        </is>
      </c>
      <c r="L389" s="24" t="inlineStr">
        <is>
          <t>Open features 3-Oct, treated as completed 4-Oct</t>
        </is>
      </c>
      <c r="M389" s="24" t="inlineStr">
        <is>
          <t>Pass</t>
        </is>
      </c>
      <c r="N389" s="24" t="inlineStr">
        <is>
          <t>Passed, partly covered. Local Pass (partial) · Staging Not run (rule) · Production Not run
local: not covered: the customer's rejection does not escalate at once: it restarts the response clock and the hourly SLA check escalates after 24 h (src/lib/dispute-states.ts: back to investigation on a rejection; rule disputes.responseSlaHours) — aged in the database
staging: not run on staging: needs the server's database (local run only)</t>
        </is>
      </c>
      <c r="O389" s="24" t="n"/>
      <c r="P389" s="24" t="inlineStr">
        <is>
          <t>2026-10-24 17:06</t>
        </is>
      </c>
    </row>
    <row r="390" ht="23.25" customHeight="1" s="13">
      <c r="A390" s="24" t="inlineStr">
        <is>
          <t>TC-SUP-014</t>
        </is>
      </c>
      <c r="B390" s="24" t="inlineStr">
        <is>
          <t>Support, grievances &amp; ratings</t>
        </is>
      </c>
      <c r="C390" s="24" t="inlineStr">
        <is>
          <t>SM-006</t>
        </is>
      </c>
      <c r="D390" s="24" t="inlineStr">
        <is>
          <t>Illegal grievance transitions and who may move a ticket</t>
        </is>
      </c>
      <c r="E390" s="24" t="inlineStr">
        <is>
          <t>Negative</t>
        </is>
      </c>
      <c r="F390" s="24" t="inlineStr">
        <is>
          <t>P1</t>
        </is>
      </c>
      <c r="G390" s="24" t="inlineStr">
        <is>
          <t>Customer</t>
        </is>
      </c>
      <c r="H390" s="24" t="inlineStr">
        <is>
          <t>API</t>
        </is>
      </c>
      <c r="I390" s="24" t="n"/>
      <c r="J390" s="24" t="inlineStr">
        <is>
          <t>1. Try OPEN -&gt; CLOSED and CLOSED -&gt; INVESTIGATING
2. As the customer set a staff-only state through the API</t>
        </is>
      </c>
      <c r="K390" s="24" t="inlineStr">
        <is>
          <t>Refused; state unchanged; the customer gets 403 on staff states.</t>
        </is>
      </c>
      <c r="L390" s="24" t="inlineStr">
        <is>
          <t>Open features 3-Oct, treated as completed 4-Oct</t>
        </is>
      </c>
      <c r="M390" s="24" t="inlineStr">
        <is>
          <t>Blocked</t>
        </is>
      </c>
      <c r="N390" s="24" t="inlineStr">
        <is>
          <t>Local Blocked · Staging Blocked · Production Not run
local: "QA Butter 100 g mvmkyclr" cannot be added to the cart — HTTP 409: This product is currently unavailable online.
staging: no delivery offer reached the rider for order fb8df4b1-9cd6-4917-96d7-5c221ad5aba9 within 30 s (rider offline or busy?)</t>
        </is>
      </c>
      <c r="O390" s="24" t="n"/>
      <c r="P390" s="24" t="inlineStr">
        <is>
          <t>2026-10-24 20:32</t>
        </is>
      </c>
    </row>
    <row r="391" ht="34.5" customHeight="1" s="13">
      <c r="A391" s="24" t="inlineStr">
        <is>
          <t>TC-ONB-001</t>
        </is>
      </c>
      <c r="B391" s="24" t="inlineStr">
        <is>
          <t>Shop onboarding, KYC, fees &amp; suspension</t>
        </is>
      </c>
      <c r="C391" s="24" t="inlineStr">
        <is>
          <t>GS-006, WF-008</t>
        </is>
      </c>
      <c r="D391" s="24" t="inlineStr">
        <is>
          <t>Register a shop</t>
        </is>
      </c>
      <c r="E391" s="24" t="inlineStr">
        <is>
          <t>Positive</t>
        </is>
      </c>
      <c r="F391" s="24" t="inlineStr">
        <is>
          <t>P0</t>
        </is>
      </c>
      <c r="G391" s="24" t="inlineStr">
        <is>
          <t>Customer</t>
        </is>
      </c>
      <c r="H391" s="24" t="inlineStr">
        <is>
          <t>UI</t>
        </is>
      </c>
      <c r="I391" s="24" t="n"/>
      <c r="J391" s="24" t="inlineStr">
        <is>
          <t>1. /shop/register -&gt; fill name, owner, phone, address, PIN, at least one category, delivery settings, and one of Shop Act / PAN (+holder name) / Udyam -&gt; Submit</t>
        </is>
      </c>
      <c r="K391" s="24" t="inlineStr">
        <is>
          <t>Shop created as PENDING_APPROVAL with a registration number; user gains SHOP_OWNER; /shop shows the pending state.</t>
        </is>
      </c>
      <c r="L391" s="24" t="inlineStr">
        <is>
          <t>Regression SHP-01; Dev log 29-Sep</t>
        </is>
      </c>
      <c r="M391" s="24" t="inlineStr">
        <is>
          <t>Pass</t>
        </is>
      </c>
      <c r="N391" s="24" t="inlineStr">
        <is>
          <t>Local Pass · Staging Not run (rule) · Production Not run
local: "QA Register UI mvmmgfhj" → PENDING_APPROVAL, BKS-000061, lifecycle KYC_PENDING; role SHOP_OWNER; /shop shows "awaiting approval" ‖ [phone] "QA Register UI mvml1c7h" → PENDING_APPROVAL, BKS-000010, lifecycle KYC_PENDING; role SHOP_OWNER; /shop shows "awaiting approval"
staging: not run on staging: needs the server's database (local run only)</t>
        </is>
      </c>
      <c r="O391" s="24" t="n"/>
      <c r="P391" s="24" t="inlineStr">
        <is>
          <t>2026-10-24 20:51</t>
        </is>
      </c>
    </row>
    <row r="392" ht="23.25" customHeight="1" s="13">
      <c r="A392" s="24" t="inlineStr">
        <is>
          <t>TC-ONB-002</t>
        </is>
      </c>
      <c r="B392" s="24" t="inlineStr">
        <is>
          <t>Shop onboarding, KYC, fees &amp; suspension</t>
        </is>
      </c>
      <c r="C392" s="24" t="inlineStr">
        <is>
          <t>GS-006</t>
        </is>
      </c>
      <c r="D392" s="24" t="inlineStr">
        <is>
          <t>At least one business identifier is required</t>
        </is>
      </c>
      <c r="E392" s="24" t="inlineStr">
        <is>
          <t>Negative</t>
        </is>
      </c>
      <c r="F392" s="24" t="inlineStr">
        <is>
          <t>P0</t>
        </is>
      </c>
      <c r="G392" s="24" t="inlineStr">
        <is>
          <t>Customer</t>
        </is>
      </c>
      <c r="H392" s="24" t="inlineStr">
        <is>
          <t>UI+API</t>
        </is>
      </c>
      <c r="I392" s="24" t="n"/>
      <c r="J392" s="24" t="inlineStr">
        <is>
          <t>1. Submit with none of the three
2. PAN without holder name</t>
        </is>
      </c>
      <c r="K392" s="24" t="inlineStr">
        <is>
          <t>422 with the fields highlighted.</t>
        </is>
      </c>
      <c r="L392" s="24" t="inlineStr">
        <is>
          <t>API.md POST /api/shops</t>
        </is>
      </c>
      <c r="M392" s="24" t="inlineStr">
        <is>
          <t>Pass</t>
        </is>
      </c>
      <c r="N392" s="24" t="inlineStr">
        <is>
          <t>Local Pass · Staging Not run (rule) · Production Not run
local: none → 422 "Please check the highlighted fields."; PAN without holder → 422 fields.panHolderName; form shows the identifier message and asks for the PAN holder name
staging: not run on staging: needs the server's database (local run only)</t>
        </is>
      </c>
      <c r="O392" s="24" t="n"/>
      <c r="P392" s="24" t="inlineStr">
        <is>
          <t>2026-10-24 17:06</t>
        </is>
      </c>
    </row>
    <row r="393" ht="23.25" customHeight="1" s="13">
      <c r="A393" s="24" t="inlineStr">
        <is>
          <t>TC-ONB-003</t>
        </is>
      </c>
      <c r="B393" s="24" t="inlineStr">
        <is>
          <t>Shop onboarding, KYC, fees &amp; suspension</t>
        </is>
      </c>
      <c r="C393" s="24" t="inlineStr">
        <is>
          <t>GS-006</t>
        </is>
      </c>
      <c r="D393" s="24" t="inlineStr">
        <is>
          <t>Identifier format validation</t>
        </is>
      </c>
      <c r="E393" s="24" t="inlineStr">
        <is>
          <t>Negative</t>
        </is>
      </c>
      <c r="F393" s="24" t="inlineStr">
        <is>
          <t>P1</t>
        </is>
      </c>
      <c r="G393" s="24" t="inlineStr">
        <is>
          <t>Customer</t>
        </is>
      </c>
      <c r="H393" s="24" t="inlineStr">
        <is>
          <t>UI</t>
        </is>
      </c>
      <c r="I393" s="24" t="n"/>
      <c r="J393" s="24" t="inlineStr">
        <is>
          <t>1. Enter PAN 'ABCDE12345', Udyam as a bare 12-digit number, Shop Act 'NA' / '0000'</t>
        </is>
      </c>
      <c r="K393" s="24" t="inlineStr">
        <is>
          <t>Each refused with a field message. Valid values in mixed case with spaces/hyphens are accepted and normalised.</t>
        </is>
      </c>
      <c r="L393" s="24" t="inlineStr">
        <is>
          <t>Dev log 29-Sep</t>
        </is>
      </c>
      <c r="M393" s="24" t="inlineStr">
        <is>
          <t>Pass</t>
        </is>
      </c>
      <c r="N393" s="24" t="inlineStr">
        <is>
          <t>Local Pass · Staging Not run (rule) · Production Not run
local: PAN ABCDE12345 → 422 panNumber; Udyam 123412341234 → 422 udyamNumber; Shop Act NA → 422 shopActNumber; Shop Act 0000 → 422 shopActNumber; loose "eampg 5860-k" / "udyam mh 26 9979061" / "mh  -  pune  -  mvmmgfhj  -  0019" accepted → stored UDYAM-MH-26-9979061, MH - PUNE - MVMMGFHJ - 0019, PAN …860K; field messages shown on blur
staging: not run on staging: needs the server's database (local run only)</t>
        </is>
      </c>
      <c r="O393" s="24" t="n"/>
      <c r="P393" s="24" t="inlineStr">
        <is>
          <t>2026-10-24 17:06</t>
        </is>
      </c>
    </row>
    <row r="394" ht="34.5" customHeight="1" s="13">
      <c r="A394" s="24" t="inlineStr">
        <is>
          <t>TC-ONB-004</t>
        </is>
      </c>
      <c r="B394" s="24" t="inlineStr">
        <is>
          <t>Shop onboarding, KYC, fees &amp; suspension</t>
        </is>
      </c>
      <c r="C394" s="24" t="inlineStr">
        <is>
          <t>GS-009</t>
        </is>
      </c>
      <c r="D394" s="24" t="inlineStr">
        <is>
          <t>At least one category is required</t>
        </is>
      </c>
      <c r="E394" s="24" t="inlineStr">
        <is>
          <t>Negative</t>
        </is>
      </c>
      <c r="F394" s="24" t="inlineStr">
        <is>
          <t>P1</t>
        </is>
      </c>
      <c r="G394" s="24" t="inlineStr">
        <is>
          <t>Customer</t>
        </is>
      </c>
      <c r="H394" s="24" t="inlineStr">
        <is>
          <t>UI</t>
        </is>
      </c>
      <c r="I394" s="24" t="n"/>
      <c r="J394" s="24" t="inlineStr">
        <is>
          <t>1. Submit with no category</t>
        </is>
      </c>
      <c r="K394" s="24" t="inlineStr">
        <is>
          <t>Refused.</t>
        </is>
      </c>
      <c r="L394" s="24" t="inlineStr">
        <is>
          <t>Status report GS-009</t>
        </is>
      </c>
      <c r="M394" s="24" t="inlineStr">
        <is>
          <t>Pass</t>
        </is>
      </c>
      <c r="N394" s="24" t="inlineStr">
        <is>
          <t>Local Pass · Staging Not run (rule) · Production Not run
local: API → 422 "Please check the highlighted fields."; the form refuses with "Please select at least one shop category."
staging: not run on staging: needs the server's database (local run only)</t>
        </is>
      </c>
      <c r="O394" s="24" t="n"/>
      <c r="P394" s="24" t="inlineStr">
        <is>
          <t>2026-10-24 17:06</t>
        </is>
      </c>
    </row>
    <row r="395" ht="23.25" customHeight="1" s="13">
      <c r="A395" s="24" t="inlineStr">
        <is>
          <t>TC-ONB-005</t>
        </is>
      </c>
      <c r="B395" s="24" t="inlineStr">
        <is>
          <t>Shop onboarding, KYC, fees &amp; suspension</t>
        </is>
      </c>
      <c r="C395" s="24" t="inlineStr">
        <is>
          <t>GS-006</t>
        </is>
      </c>
      <c r="D395" s="24" t="inlineStr">
        <is>
          <t>Double-click creates one registration</t>
        </is>
      </c>
      <c r="E395" s="24" t="inlineStr">
        <is>
          <t>Security</t>
        </is>
      </c>
      <c r="F395" s="24" t="inlineStr">
        <is>
          <t>P0</t>
        </is>
      </c>
      <c r="G395" s="24" t="inlineStr">
        <is>
          <t>Customer</t>
        </is>
      </c>
      <c r="H395" s="24" t="inlineStr">
        <is>
          <t>UI</t>
        </is>
      </c>
      <c r="I395" s="24" t="n"/>
      <c r="J395" s="24" t="inlineStr">
        <is>
          <t>1. Double-click Submit</t>
        </is>
      </c>
      <c r="K395" s="24" t="inlineStr">
        <is>
          <t>Button disables at once with a spinner; exactly one shop is created.</t>
        </is>
      </c>
      <c r="L395" s="24" t="inlineStr">
        <is>
          <t>Dev log 29-Sep handoff</t>
        </is>
      </c>
      <c r="M395" s="24" t="inlineStr">
        <is>
          <t>Pass</t>
        </is>
      </c>
      <c r="N395" s="24" t="inlineStr">
        <is>
          <t>Local Pass · Staging Not run (rule) · Production Not run
local: double-click → button "Submitting…" disabled + aria-busy; 1 POST; 1 shop
staging: not run on staging: needs the server's database (local run only)</t>
        </is>
      </c>
      <c r="O395" s="24" t="n"/>
      <c r="P395" s="24" t="inlineStr">
        <is>
          <t>2026-10-24 17:06</t>
        </is>
      </c>
    </row>
    <row r="396" ht="23.25" customHeight="1" s="13">
      <c r="A396" s="24" t="inlineStr">
        <is>
          <t>TC-ONB-006</t>
        </is>
      </c>
      <c r="B396" s="24" t="inlineStr">
        <is>
          <t>Shop onboarding, KYC, fees &amp; suspension</t>
        </is>
      </c>
      <c r="C396" s="24" t="inlineStr">
        <is>
          <t>GS-006</t>
        </is>
      </c>
      <c r="D396" s="24" t="inlineStr">
        <is>
          <t>Typed values survive a server error</t>
        </is>
      </c>
      <c r="E396" s="24" t="inlineStr">
        <is>
          <t>Positive</t>
        </is>
      </c>
      <c r="F396" s="24" t="inlineStr">
        <is>
          <t>P2</t>
        </is>
      </c>
      <c r="G396" s="24" t="inlineStr">
        <is>
          <t>Customer</t>
        </is>
      </c>
      <c r="H396" s="24" t="inlineStr">
        <is>
          <t>UI</t>
        </is>
      </c>
      <c r="I396" s="24" t="n"/>
      <c r="J396" s="24" t="inlineStr">
        <is>
          <t>1. Submit a form that will be refused (duplicate)</t>
        </is>
      </c>
      <c r="K396" s="24" t="inlineStr">
        <is>
          <t>Error shown; the form keeps everything typed.</t>
        </is>
      </c>
      <c r="L396" s="24" t="inlineStr">
        <is>
          <t>Dev log 29-Sep</t>
        </is>
      </c>
      <c r="M396" s="24" t="inlineStr">
        <is>
          <t>Pass</t>
        </is>
      </c>
      <c r="N396" s="24" t="inlineStr">
        <is>
          <t>Local Pass · Staging Not run (rule) · Production Not run
local: duplicate refused with the message; name, phone, address, Shop Act, description, category and type kept
staging: not run on staging: needs the server's database (local run only)</t>
        </is>
      </c>
      <c r="O396" s="24" t="n"/>
      <c r="P396" s="24" t="inlineStr">
        <is>
          <t>2026-10-24 17:06</t>
        </is>
      </c>
    </row>
    <row r="397" ht="34.5" customHeight="1" s="13">
      <c r="A397" s="24" t="inlineStr">
        <is>
          <t>TC-ONB-007</t>
        </is>
      </c>
      <c r="B397" s="24" t="inlineStr">
        <is>
          <t>Shop onboarding, KYC, fees &amp; suspension</t>
        </is>
      </c>
      <c r="C397" s="24" t="inlineStr">
        <is>
          <t>GS-006</t>
        </is>
      </c>
      <c r="D397" s="24" t="inlineStr">
        <is>
          <t>Duplicate by Shop Act licence</t>
        </is>
      </c>
      <c r="E397" s="24" t="inlineStr">
        <is>
          <t>Negative</t>
        </is>
      </c>
      <c r="F397" s="24" t="inlineStr">
        <is>
          <t>P0</t>
        </is>
      </c>
      <c r="G397" s="24" t="inlineStr">
        <is>
          <t>Customer</t>
        </is>
      </c>
      <c r="H397" s="24" t="inlineStr">
        <is>
          <t>UI</t>
        </is>
      </c>
      <c r="I397" s="24" t="inlineStr">
        <is>
          <t>Shop X pending with Shop Act S</t>
        </is>
      </c>
      <c r="J397" s="24" t="inlineStr">
        <is>
          <t>1. From another account register a different name with S written with different spacing/case</t>
        </is>
      </c>
      <c r="K397" s="24" t="inlineStr">
        <is>
          <t>409: identifier shown masked, message says it is already registered and waiting; nothing about the other shop is revealed.</t>
        </is>
      </c>
      <c r="L397" s="24" t="inlineStr">
        <is>
          <t>Dev log 29-Sep handoff</t>
        </is>
      </c>
      <c r="M397" s="24" t="inlineStr">
        <is>
          <t>Pass</t>
        </is>
      </c>
      <c r="N397" s="24" t="inlineStr">
        <is>
          <t>Local Pass · Staging Not run (rule) · Production Not run
local: "mh pune mvmmgfhj 0025" vs pending "MH-PUNE-MVMMGFHJ-0025" → 409: Shop Act licence number already registered (ending 0025). This shop is already registered and is waiting for admin approval. You'll be notified once it's reviewed. You don't need to submit again.
staging: not run on staging: needs the server's database (local run only)</t>
        </is>
      </c>
      <c r="O397" s="24" t="n"/>
      <c r="P397" s="24" t="inlineStr">
        <is>
          <t>2026-10-24 17:06</t>
        </is>
      </c>
    </row>
    <row r="398" ht="23.25" customHeight="1" s="13">
      <c r="A398" s="24" t="inlineStr">
        <is>
          <t>TC-ONB-008</t>
        </is>
      </c>
      <c r="B398" s="24" t="inlineStr">
        <is>
          <t>Shop onboarding, KYC, fees &amp; suspension</t>
        </is>
      </c>
      <c r="C398" s="24" t="inlineStr">
        <is>
          <t>GS-006</t>
        </is>
      </c>
      <c r="D398" s="24" t="inlineStr">
        <is>
          <t>Duplicate by PAN / Udyam at the same place</t>
        </is>
      </c>
      <c r="E398" s="24" t="inlineStr">
        <is>
          <t>Negative</t>
        </is>
      </c>
      <c r="F398" s="24" t="inlineStr">
        <is>
          <t>P0</t>
        </is>
      </c>
      <c r="G398" s="24" t="inlineStr">
        <is>
          <t>Customer</t>
        </is>
      </c>
      <c r="H398" s="24" t="inlineStr">
        <is>
          <t>UI</t>
        </is>
      </c>
      <c r="I398" s="24" t="inlineStr">
        <is>
          <t>Shop X approved with PAN P at PIN 411038</t>
        </is>
      </c>
      <c r="J398" s="24" t="inlineStr">
        <is>
          <t>1. Register with P, same PIN and same name or first address line
2. Register with P at a different PIN and name</t>
        </is>
      </c>
      <c r="K398" s="24" t="inlineStr">
        <is>
          <t>First blocked. Second allowed (a branch).</t>
        </is>
      </c>
      <c r="L398" s="24" t="inlineStr">
        <is>
          <t>Dev log 29-Sep handoff</t>
        </is>
      </c>
      <c r="M398" s="24" t="inlineStr">
        <is>
          <t>Pass</t>
        </is>
      </c>
      <c r="N398" s="24" t="inlineStr">
        <is>
          <t>Local Pass · Staging Not run (rule) · Production Not run
local: PAN …029X: same place → 409 (PAN); other PIN + name → 201 BKS-000066
staging: not run on staging: needs the server's database (local run only)</t>
        </is>
      </c>
      <c r="O398" s="24" t="n"/>
      <c r="P398" s="24" t="inlineStr">
        <is>
          <t>2026-10-24 17:06</t>
        </is>
      </c>
    </row>
    <row r="399" ht="45.75" customHeight="1" s="13">
      <c r="A399" s="24" t="inlineStr">
        <is>
          <t>TC-ONB-009</t>
        </is>
      </c>
      <c r="B399" s="24" t="inlineStr">
        <is>
          <t>Shop onboarding, KYC, fees &amp; suspension</t>
        </is>
      </c>
      <c r="C399" s="24" t="inlineStr">
        <is>
          <t>GS-006</t>
        </is>
      </c>
      <c r="D399" s="24" t="inlineStr">
        <is>
          <t>Same account, same name, same PIN</t>
        </is>
      </c>
      <c r="E399" s="24" t="inlineStr">
        <is>
          <t>Negative</t>
        </is>
      </c>
      <c r="F399" s="24" t="inlineStr">
        <is>
          <t>P1</t>
        </is>
      </c>
      <c r="G399" s="24" t="inlineStr">
        <is>
          <t>Shop</t>
        </is>
      </c>
      <c r="H399" s="24" t="inlineStr">
        <is>
          <t>UI</t>
        </is>
      </c>
      <c r="I399" s="24" t="n"/>
      <c r="J399" s="24" t="inlineStr">
        <is>
          <t>1. Owner submits the same shop again while it is pending</t>
        </is>
      </c>
      <c r="K399" s="24" t="inlineStr">
        <is>
          <t>Blocked; /shop/register warns about the owner's own pending shop.</t>
        </is>
      </c>
      <c r="L399" s="24" t="inlineStr">
        <is>
          <t>Dev log 29-Sep</t>
        </is>
      </c>
      <c r="M399" s="24" t="inlineStr">
        <is>
          <t>Pass</t>
        </is>
      </c>
      <c r="N399" s="24" t="inlineStr">
        <is>
          <t>Local Pass · Staging Not run (rule) · Production Not run
local: second submission → 409 "You have already registered a shop with this name at this PIN code. This shop is already registered and is waiting for admin approval. You'll be notified once it's reviewed. You don't need to submit again."; /shop/register shows "Already waiting for approval: QA Sellers Shop mvmmgfhj 37"
staging: not run on staging: needs the server's database (local run only)</t>
        </is>
      </c>
      <c r="O399" s="24" t="n"/>
      <c r="P399" s="24" t="inlineStr">
        <is>
          <t>2026-10-24 17:06</t>
        </is>
      </c>
    </row>
    <row r="400" ht="23.25" customHeight="1" s="13">
      <c r="A400" s="24" t="inlineStr">
        <is>
          <t>TC-ONB-010</t>
        </is>
      </c>
      <c r="B400" s="24" t="inlineStr">
        <is>
          <t>Shop onboarding, KYC, fees &amp; suspension</t>
        </is>
      </c>
      <c r="C400" s="24" t="inlineStr">
        <is>
          <t>GS-006</t>
        </is>
      </c>
      <c r="D400" s="24" t="inlineStr">
        <is>
          <t>Rejected shop can be corrected and resubmitted</t>
        </is>
      </c>
      <c r="E400" s="24" t="inlineStr">
        <is>
          <t>Positive</t>
        </is>
      </c>
      <c r="F400" s="24" t="inlineStr">
        <is>
          <t>P0</t>
        </is>
      </c>
      <c r="G400" s="24" t="inlineStr">
        <is>
          <t>Shop</t>
        </is>
      </c>
      <c r="H400" s="24" t="inlineStr">
        <is>
          <t>UI</t>
        </is>
      </c>
      <c r="I400" s="24" t="inlineStr">
        <is>
          <t>Owner's shop REJECTED</t>
        </is>
      </c>
      <c r="J400" s="24" t="inlineStr">
        <is>
          <t>1. Follow the resubmit link from /shop -&gt; correct -&gt; submit</t>
        </is>
      </c>
      <c r="K400" s="24" t="inlineStr">
        <is>
          <t>The same record is updated (same registration number) and returns to PENDING_APPROVAL.</t>
        </is>
      </c>
      <c r="L400" s="24" t="inlineStr">
        <is>
          <t>Dev log 29-Sep handoff</t>
        </is>
      </c>
      <c r="M400" s="24" t="inlineStr">
        <is>
          <t>Pass</t>
        </is>
      </c>
      <c r="N400" s="24" t="inlineStr">
        <is>
          <t>Local Pass · Staging Not run (rule) · Production Not run
local: BKS-000069: REJECTED → resubmitted from the /shop link → PENDING_APPROVAL, same record
staging: not run on staging: needs the server's database (local run only)</t>
        </is>
      </c>
      <c r="O400" s="24" t="n"/>
      <c r="P400" s="24" t="inlineStr">
        <is>
          <t>2026-10-24 17:06</t>
        </is>
      </c>
    </row>
    <row r="401" ht="23.25" customHeight="1" s="13">
      <c r="A401" s="24" t="inlineStr">
        <is>
          <t>TC-ONB-011</t>
        </is>
      </c>
      <c r="B401" s="24" t="inlineStr">
        <is>
          <t>Shop onboarding, KYC, fees &amp; suspension</t>
        </is>
      </c>
      <c r="C401" s="24" t="inlineStr">
        <is>
          <t>GS-006</t>
        </is>
      </c>
      <c r="D401" s="24" t="inlineStr">
        <is>
          <t>On-blur duplicate pre-check</t>
        </is>
      </c>
      <c r="E401" s="24" t="inlineStr">
        <is>
          <t>Positive</t>
        </is>
      </c>
      <c r="F401" s="24" t="inlineStr">
        <is>
          <t>P2</t>
        </is>
      </c>
      <c r="G401" s="24" t="inlineStr">
        <is>
          <t>Customer</t>
        </is>
      </c>
      <c r="H401" s="24" t="inlineStr">
        <is>
          <t>UI+API</t>
        </is>
      </c>
      <c r="I401" s="24" t="n"/>
      <c r="J401" s="24" t="inlineStr">
        <is>
          <t>1. Type a duplicate identifier and leave the field
2. Send more than 20 checks in a minute</t>
        </is>
      </c>
      <c r="K401" s="24" t="inlineStr">
        <is>
          <t>Early warning shown (CLEAR / DUPLICATE / RESUBMISSION). 429 after 20 per minute. Identifiers are sent by POST, never in the URL.</t>
        </is>
      </c>
      <c r="L401" s="24" t="inlineStr">
        <is>
          <t>Dev log 29-Sep handoff</t>
        </is>
      </c>
      <c r="M401" s="24" t="inlineStr">
        <is>
          <t>Pass</t>
        </is>
      </c>
      <c r="N401" s="24" t="inlineStr">
        <is>
          <t>Local Pass · Staging Not run (rule) · Production Not run
local: blur → warning; POST http://localhost:3351/api/shops/duplicate-check; CLEAR / DUPLICATE / RESUBMISSION; GET 405; 429 at check #20
staging: not run on staging: needs the server's database (local run only)</t>
        </is>
      </c>
      <c r="O401" s="24" t="n"/>
      <c r="P401" s="24" t="inlineStr">
        <is>
          <t>2026-10-24 17:06</t>
        </is>
      </c>
    </row>
    <row r="402" ht="23.25" customHeight="1" s="13">
      <c r="A402" s="24" t="inlineStr">
        <is>
          <t>TC-ONB-012</t>
        </is>
      </c>
      <c r="B402" s="24" t="inlineStr">
        <is>
          <t>Shop onboarding, KYC, fees &amp; suspension</t>
        </is>
      </c>
      <c r="C402" s="24" t="inlineStr">
        <is>
          <t>RBAC-006</t>
        </is>
      </c>
      <c r="D402" s="24" t="inlineStr">
        <is>
          <t>Operator approves a shop with a classification</t>
        </is>
      </c>
      <c r="E402" s="24" t="inlineStr">
        <is>
          <t>Positive</t>
        </is>
      </c>
      <c r="F402" s="24" t="inlineStr">
        <is>
          <t>P0</t>
        </is>
      </c>
      <c r="G402" s="24" t="inlineStr">
        <is>
          <t>Operator</t>
        </is>
      </c>
      <c r="H402" s="24" t="inlineStr">
        <is>
          <t>UI</t>
        </is>
      </c>
      <c r="I402" s="24" t="n"/>
      <c r="J402" s="24" t="inlineStr">
        <is>
          <t>1. Approve as KESARI (and another as GREEN)</t>
        </is>
      </c>
      <c r="K402" s="24" t="inlineStr">
        <is>
          <t>APPROVED; classification saved with history; owner notified; shop appears on the storefront.</t>
        </is>
      </c>
      <c r="L402" s="24" t="inlineStr">
        <is>
          <t>Regression SHP-03</t>
        </is>
      </c>
      <c r="M402" s="24" t="inlineStr">
        <is>
          <t>Pass</t>
        </is>
      </c>
      <c r="N402" s="24" t="inlineStr">
        <is>
          <t>Local Pass · Staging Not run (rule) · Production Not run
local: QA Sellers Shop mvmm71vc 1 → APPROVED KESARI, history row, owner notified, listed; QA Sellers Shop mvmm71vc 3 → APPROVED GREEN, history row, owner notified, listed
staging: not run on staging: needs the server's database (local run only)</t>
        </is>
      </c>
      <c r="O402" s="24" t="n"/>
      <c r="P402" s="24" t="inlineStr">
        <is>
          <t>2026-10-24 17:06</t>
        </is>
      </c>
    </row>
    <row r="403" ht="23.25" customHeight="1" s="13">
      <c r="A403" s="24" t="inlineStr">
        <is>
          <t>TC-ONB-013</t>
        </is>
      </c>
      <c r="B403" s="24" t="inlineStr">
        <is>
          <t>Shop onboarding, KYC, fees &amp; suspension</t>
        </is>
      </c>
      <c r="C403" s="24" t="inlineStr">
        <is>
          <t>RBAC-006</t>
        </is>
      </c>
      <c r="D403" s="24" t="inlineStr">
        <is>
          <t>Operator rejects a shop</t>
        </is>
      </c>
      <c r="E403" s="24" t="inlineStr">
        <is>
          <t>Positive</t>
        </is>
      </c>
      <c r="F403" s="24" t="inlineStr">
        <is>
          <t>P0</t>
        </is>
      </c>
      <c r="G403" s="24" t="inlineStr">
        <is>
          <t>Operator</t>
        </is>
      </c>
      <c r="H403" s="24" t="inlineStr">
        <is>
          <t>UI</t>
        </is>
      </c>
      <c r="I403" s="24" t="n"/>
      <c r="J403" s="24" t="inlineStr">
        <is>
          <t>1. Reject with a reason</t>
        </is>
      </c>
      <c r="K403" s="24" t="inlineStr">
        <is>
          <t>REJECTED; owner notified with the reason; shop never public.</t>
        </is>
      </c>
      <c r="L403" s="24" t="inlineStr">
        <is>
          <t>Regression SHP-03</t>
        </is>
      </c>
      <c r="M403" s="24" t="inlineStr">
        <is>
          <t>Pass</t>
        </is>
      </c>
      <c r="N403" s="24" t="inlineStr">
        <is>
          <t>Local Pass · Staging Not run (rule) · Production Not run
local: REJECTED with reason; notification "Your shop registration wasn't approved"; GET /api/shops/{id} as guest → 404; not in search
staging: not run on staging: needs the server's database (local run only)</t>
        </is>
      </c>
      <c r="O403" s="24" t="n"/>
      <c r="P403" s="24" t="inlineStr">
        <is>
          <t>2026-10-24 17:06</t>
        </is>
      </c>
    </row>
    <row r="404" ht="23.25" customHeight="1" s="13">
      <c r="A404" s="24" t="inlineStr">
        <is>
          <t>TC-ONB-014</t>
        </is>
      </c>
      <c r="B404" s="24" t="inlineStr">
        <is>
          <t>Shop onboarding, KYC, fees &amp; suspension</t>
        </is>
      </c>
      <c r="C404" s="24" t="inlineStr">
        <is>
          <t>RBAC-006</t>
        </is>
      </c>
      <c r="D404" s="24" t="inlineStr">
        <is>
          <t>Approve a rejected shop whose licence is now held by another</t>
        </is>
      </c>
      <c r="E404" s="24" t="inlineStr">
        <is>
          <t>Negative</t>
        </is>
      </c>
      <c r="F404" s="24" t="inlineStr">
        <is>
          <t>P2</t>
        </is>
      </c>
      <c r="G404" s="24" t="inlineStr">
        <is>
          <t>Operator</t>
        </is>
      </c>
      <c r="H404" s="24" t="inlineStr">
        <is>
          <t>UI</t>
        </is>
      </c>
      <c r="I404" s="24" t="n"/>
      <c r="J404" s="24" t="inlineStr">
        <is>
          <t>1. Approve it</t>
        </is>
      </c>
      <c r="K404" s="24" t="inlineStr">
        <is>
          <t>409.</t>
        </is>
      </c>
      <c r="L404" s="24" t="inlineStr">
        <is>
          <t>Dev log 29-Sep handoff</t>
        </is>
      </c>
      <c r="M404" s="24" t="inlineStr">
        <is>
          <t>Pass</t>
        </is>
      </c>
      <c r="N404" s="24" t="inlineStr">
        <is>
          <t>Local Pass · Staging Not run (rule) · Production Not run
local: X rejected, Y registered with the same licence, approve X → 409 "Another live shop already has this Shop Act licence number. Resolve the duplicate first."
staging: not run on staging: needs the server's database (local run only)</t>
        </is>
      </c>
      <c r="O404" s="24" t="n"/>
      <c r="P404" s="24" t="inlineStr">
        <is>
          <t>2026-10-24 17:06</t>
        </is>
      </c>
    </row>
    <row r="405" ht="23.25" customHeight="1" s="13">
      <c r="A405" s="24" t="inlineStr">
        <is>
          <t>TC-ONB-015</t>
        </is>
      </c>
      <c r="B405" s="24" t="inlineStr">
        <is>
          <t>Shop onboarding, KYC, fees &amp; suspension</t>
        </is>
      </c>
      <c r="C405" s="24" t="inlineStr">
        <is>
          <t>RBAC-006</t>
        </is>
      </c>
      <c r="D405" s="24" t="inlineStr">
        <is>
          <t>Classification change needs a reason and is not available to owners</t>
        </is>
      </c>
      <c r="E405" s="24" t="inlineStr">
        <is>
          <t>Security</t>
        </is>
      </c>
      <c r="F405" s="24" t="inlineStr">
        <is>
          <t>P1</t>
        </is>
      </c>
      <c r="G405" s="24" t="inlineStr">
        <is>
          <t>Shop</t>
        </is>
      </c>
      <c r="H405" s="24" t="inlineStr">
        <is>
          <t>UI+API</t>
        </is>
      </c>
      <c r="I405" s="24" t="n"/>
      <c r="J405" s="24" t="inlineStr">
        <is>
          <t>1. Owner POSTs classification
2. Operator changes it without a reason, then with one</t>
        </is>
      </c>
      <c r="K405" s="24" t="inlineStr">
        <is>
          <t>Owner 403. No reason: refused. With reason: saved to immutable history.</t>
        </is>
      </c>
      <c r="L405" s="24" t="inlineStr">
        <is>
          <t>API.md</t>
        </is>
      </c>
      <c r="M405" s="24" t="inlineStr">
        <is>
          <t>Pass</t>
        </is>
      </c>
      <c r="N405" s="24" t="inlineStr">
        <is>
          <t>Passed, partly covered. Local Pass (partial) · Staging Not run (rule) · Production Not run
local: not covered: immutability of the history table is a database property (no update/delete API exists) — not probed further
staging: not run on staging: needs the server's database (local run only)</t>
        </is>
      </c>
      <c r="O405" s="24" t="n"/>
      <c r="P405" s="24" t="inlineStr">
        <is>
          <t>2026-10-24 17:06</t>
        </is>
      </c>
    </row>
    <row r="406" ht="34.5" customHeight="1" s="13">
      <c r="A406" s="24" t="inlineStr">
        <is>
          <t>TC-ONB-016</t>
        </is>
      </c>
      <c r="B406" s="24" t="inlineStr">
        <is>
          <t>Shop onboarding, KYC, fees &amp; suspension</t>
        </is>
      </c>
      <c r="C406" s="24" t="inlineStr">
        <is>
          <t>GS-007</t>
        </is>
      </c>
      <c r="D406" s="24" t="inlineStr">
        <is>
          <t>GST submission and verification</t>
        </is>
      </c>
      <c r="E406" s="24" t="inlineStr">
        <is>
          <t>Positive</t>
        </is>
      </c>
      <c r="F406" s="24" t="inlineStr">
        <is>
          <t>P1</t>
        </is>
      </c>
      <c r="G406" s="24" t="inlineStr">
        <is>
          <t>Shop</t>
        </is>
      </c>
      <c r="H406" s="24" t="inlineStr">
        <is>
          <t>UI</t>
        </is>
      </c>
      <c r="I406" s="24" t="n"/>
      <c r="J406" s="24" t="inlineStr">
        <is>
          <t>1. Owner submits a GSTIN
2. Operator verifies; for another shop rejects with a reason</t>
        </is>
      </c>
      <c r="K406" s="24" t="inlineStr">
        <is>
          <t>Status moves through pending -&gt; verified / rejected and is shown to the owner.</t>
        </is>
      </c>
      <c r="L406" s="24" t="inlineStr">
        <is>
          <t>Regression SHP-09; tests gst-pan-verification</t>
        </is>
      </c>
      <c r="M406" s="24" t="inlineStr">
        <is>
          <t>Pass</t>
        </is>
      </c>
      <c r="N406" s="24" t="inlineStr">
        <is>
          <t>Passed, partly covered. Local Pass (partial) · Staging Not run (rule) · Production Not run
local: not covered: the rejection reason itself is not shown to the owner (only 'could not be verified'); the reason is in the audit log
staging: not run on staging: needs the server's database (local run only)</t>
        </is>
      </c>
      <c r="O406" s="24" t="n"/>
      <c r="P406" s="24" t="inlineStr">
        <is>
          <t>2026-10-24 17:06</t>
        </is>
      </c>
    </row>
    <row r="407" ht="34.5" customHeight="1" s="13">
      <c r="A407" s="24" t="inlineStr">
        <is>
          <t>TC-ONB-017</t>
        </is>
      </c>
      <c r="B407" s="24" t="inlineStr">
        <is>
          <t>Shop onboarding, KYC, fees &amp; suspension</t>
        </is>
      </c>
      <c r="C407" s="24" t="inlineStr">
        <is>
          <t>GS-007</t>
        </is>
      </c>
      <c r="D407" s="24" t="inlineStr">
        <is>
          <t>PAN submission, masking and reveal</t>
        </is>
      </c>
      <c r="E407" s="24" t="inlineStr">
        <is>
          <t>Security</t>
        </is>
      </c>
      <c r="F407" s="24" t="inlineStr">
        <is>
          <t>P0</t>
        </is>
      </c>
      <c r="G407" s="24" t="inlineStr">
        <is>
          <t>Operator</t>
        </is>
      </c>
      <c r="H407" s="24" t="inlineStr">
        <is>
          <t>UI+API</t>
        </is>
      </c>
      <c r="I407" s="24" t="n"/>
      <c r="J407" s="24" t="inlineStr">
        <is>
          <t>1. Owner submits a PAN
2. Operator views the queue
3. Operator uses reveal
4. Customer/other owner calls /api/shops/{id}/pan/reveal</t>
        </is>
      </c>
      <c r="K407" s="24" t="inlineStr">
        <is>
          <t>PAN is masked everywhere; reveal is permission-gated and audited; others get 403.</t>
        </is>
      </c>
      <c r="L407" s="24" t="inlineStr">
        <is>
          <t>Regression SHP-09</t>
        </is>
      </c>
      <c r="M407" s="24" t="inlineStr">
        <is>
          <t>Pass</t>
        </is>
      </c>
      <c r="N407" s="24" t="inlineStr">
        <is>
          <t>Local Pass · Staging Not run (rule) · Production Not run
local: owner and operator screens show XXXXXX894U only; customer 403, other owner 403, operator 403, guest 401; admin reveal → full PAN, audit "shop.pan_revealed"
staging: not run on staging: needs the server's database (local run only)</t>
        </is>
      </c>
      <c r="O407" s="24" t="n"/>
      <c r="P407" s="24" t="inlineStr">
        <is>
          <t>2026-10-24 17:06</t>
        </is>
      </c>
    </row>
    <row r="408" ht="23.25" customHeight="1" s="13">
      <c r="A408" s="24" t="inlineStr">
        <is>
          <t>TC-ONB-018</t>
        </is>
      </c>
      <c r="B408" s="24" t="inlineStr">
        <is>
          <t>Shop onboarding, KYC, fees &amp; suspension</t>
        </is>
      </c>
      <c r="C408" s="24" t="inlineStr">
        <is>
          <t>GS-007</t>
        </is>
      </c>
      <c r="D408" s="24" t="inlineStr">
        <is>
          <t>Invalid GSTIN / PAN formats</t>
        </is>
      </c>
      <c r="E408" s="24" t="inlineStr">
        <is>
          <t>Negative</t>
        </is>
      </c>
      <c r="F408" s="24" t="inlineStr">
        <is>
          <t>P2</t>
        </is>
      </c>
      <c r="G408" s="24" t="inlineStr">
        <is>
          <t>Shop</t>
        </is>
      </c>
      <c r="H408" s="24" t="inlineStr">
        <is>
          <t>UI</t>
        </is>
      </c>
      <c r="I408" s="24" t="n"/>
      <c r="J408" s="24" t="inlineStr">
        <is>
          <t>1. Submit malformed values</t>
        </is>
      </c>
      <c r="K408" s="24" t="inlineStr">
        <is>
          <t>Refused with field messages.</t>
        </is>
      </c>
      <c r="L408" s="24" t="inlineStr">
        <is>
          <t>tests gst-pan-verification</t>
        </is>
      </c>
      <c r="M408" s="24" t="inlineStr">
        <is>
          <t>Pass</t>
        </is>
      </c>
      <c r="N408" s="24" t="inlineStr">
        <is>
          <t>Passed, partly covered. Local Pass (partial) · Staging Not run (rule) · Production Not run
local: not covered: state-code and check-character validation of the GSTIN is TC-FLD-043
staging: not run on staging: needs the server's database (local run only)</t>
        </is>
      </c>
      <c r="O408" s="24" t="n"/>
      <c r="P408" s="24" t="inlineStr">
        <is>
          <t>2026-10-24 17:06</t>
        </is>
      </c>
    </row>
    <row r="409" ht="23.25" customHeight="1" s="13">
      <c r="A409" s="24" t="inlineStr">
        <is>
          <t>TC-ONB-019</t>
        </is>
      </c>
      <c r="B409" s="24" t="inlineStr">
        <is>
          <t>Shop onboarding, KYC, fees &amp; suspension</t>
        </is>
      </c>
      <c r="C409" s="24" t="inlineStr">
        <is>
          <t>GS-007</t>
        </is>
      </c>
      <c r="D409" s="24" t="inlineStr">
        <is>
          <t>Seller compliance fields</t>
        </is>
      </c>
      <c r="E409" s="24" t="inlineStr">
        <is>
          <t>Positive</t>
        </is>
      </c>
      <c r="F409" s="24" t="inlineStr">
        <is>
          <t>P2</t>
        </is>
      </c>
      <c r="G409" s="24" t="inlineStr">
        <is>
          <t>Shop</t>
        </is>
      </c>
      <c r="H409" s="24" t="inlineStr">
        <is>
          <t>UI</t>
        </is>
      </c>
      <c r="I409" s="24" t="n"/>
      <c r="J409" s="24" t="inlineStr">
        <is>
          <t>1. Save legal name, FSSAI number and return policy</t>
        </is>
      </c>
      <c r="K409" s="24" t="inlineStr">
        <is>
          <t>Saved and shown where the storefront requires them.</t>
        </is>
      </c>
      <c r="L409" s="24" t="inlineStr">
        <is>
          <t>Regression SHP-10</t>
        </is>
      </c>
      <c r="M409" s="24" t="inlineStr">
        <is>
          <t>Pass</t>
        </is>
      </c>
      <c r="N409" s="24" t="inlineStr">
        <is>
          <t>Passed, partly covered. Local Pass (partial) · Staging Not run (rule) · Production Not run
local: not covered: expected 'the owner saves' superseded by src/app/api/shops/[id]/compliance/route.ts header: legal name, GSTIN and FSSAI are 'verifiable regulatory credentials … through the same admin/operator-gated path as classification, not the shop owner's own settings form'
staging: not run on staging: needs the server's database (local run only)</t>
        </is>
      </c>
      <c r="O409" s="24" t="n"/>
      <c r="P409" s="24" t="inlineStr">
        <is>
          <t>2026-10-24 17:06</t>
        </is>
      </c>
    </row>
    <row r="410" ht="23.25" customHeight="1" s="13">
      <c r="A410" s="24" t="inlineStr">
        <is>
          <t>TC-ONB-020</t>
        </is>
      </c>
      <c r="B410" s="24" t="inlineStr">
        <is>
          <t>Shop onboarding, KYC, fees &amp; suspension</t>
        </is>
      </c>
      <c r="C410" s="24" t="inlineStr">
        <is>
          <t>GS-007</t>
        </is>
      </c>
      <c r="D410" s="24" t="inlineStr">
        <is>
          <t>KYC document upload</t>
        </is>
      </c>
      <c r="E410" s="24" t="inlineStr">
        <is>
          <t>Positive</t>
        </is>
      </c>
      <c r="F410" s="24" t="inlineStr">
        <is>
          <t>P2</t>
        </is>
      </c>
      <c r="G410" s="24" t="inlineStr">
        <is>
          <t>Shop</t>
        </is>
      </c>
      <c r="H410" s="24" t="inlineStr">
        <is>
          <t>UI</t>
        </is>
      </c>
      <c r="I410" s="24" t="inlineStr">
        <is>
          <t>Not built</t>
        </is>
      </c>
      <c r="J410" s="24" t="inlineStr">
        <is>
          <t>1. Look for a document upload on the shop's KYC screens</t>
        </is>
      </c>
      <c r="K410" s="24" t="inlineStr">
        <is>
          <t>Record whether one exists (known gap: numbers only, no documents).</t>
        </is>
      </c>
      <c r="L410" s="24" t="inlineStr">
        <is>
          <t>Status report GS-007</t>
        </is>
      </c>
      <c r="M410" s="24" t="inlineStr">
        <is>
          <t>Pass</t>
        </is>
      </c>
      <c r="N410" s="24" t="inlineStr">
        <is>
          <t>Local Pass · Staging Not run (rule) · Production Not run
local: /shop/documents shows an upload card (Upload file / Take photo) for PAN, GSTIN, Shop Act and FSSAI — the gap is closed
staging: not run on staging: needs the server's database (local run only)</t>
        </is>
      </c>
      <c r="O410" s="24" t="n"/>
      <c r="P410" s="24" t="inlineStr">
        <is>
          <t>2026-10-24 17:06</t>
        </is>
      </c>
    </row>
    <row r="411" ht="23.25" customHeight="1" s="13">
      <c r="A411" s="24" t="inlineStr">
        <is>
          <t>TC-ONB-021</t>
        </is>
      </c>
      <c r="B411" s="24" t="inlineStr">
        <is>
          <t>Shop onboarding, KYC, fees &amp; suspension</t>
        </is>
      </c>
      <c r="C411" s="24" t="inlineStr">
        <is>
          <t>GS-008</t>
        </is>
      </c>
      <c r="D411" s="24" t="inlineStr">
        <is>
          <t>Registration fee schedule and snapshot</t>
        </is>
      </c>
      <c r="E411" s="24" t="inlineStr">
        <is>
          <t>Positive</t>
        </is>
      </c>
      <c r="F411" s="24" t="inlineStr">
        <is>
          <t>P1</t>
        </is>
      </c>
      <c r="G411" s="24" t="inlineStr">
        <is>
          <t>Admin</t>
        </is>
      </c>
      <c r="H411" s="24" t="inlineStr">
        <is>
          <t>UI</t>
        </is>
      </c>
      <c r="I411" s="24" t="n"/>
      <c r="J411" s="24" t="inlineStr">
        <is>
          <t>1. Set a registration fee
2. Register a new shop
3. Change the fee</t>
        </is>
      </c>
      <c r="K411" s="24" t="inlineStr">
        <is>
          <t>The shop's fee is snapshotted at registration; later fee changes do not alter existing shops; fee history is kept.</t>
        </is>
      </c>
      <c r="L411" s="24" t="inlineStr">
        <is>
          <t>RBAC plan Phase 9</t>
        </is>
      </c>
      <c r="M411" s="24" t="inlineStr">
        <is>
          <t>Pass</t>
        </is>
      </c>
      <c r="N411" s="24" t="inlineStr">
        <is>
          <t>Local Pass · Staging Not run (rule) · Production Not run
local: shop at ₹500 kept ₹500 after the fee became ₹750; a later shop got ₹750; history has 5 rows
staging: not run on staging: needs the server's database (local run only)</t>
        </is>
      </c>
      <c r="O411" s="24" t="n"/>
      <c r="P411" s="24" t="inlineStr">
        <is>
          <t>2026-10-24 17:06</t>
        </is>
      </c>
    </row>
    <row r="412" ht="34.5" customHeight="1" s="13">
      <c r="A412" s="24" t="inlineStr">
        <is>
          <t>TC-ONB-022</t>
        </is>
      </c>
      <c r="B412" s="24" t="inlineStr">
        <is>
          <t>Shop onboarding, KYC, fees &amp; suspension</t>
        </is>
      </c>
      <c r="C412" s="24" t="inlineStr">
        <is>
          <t>GS-008</t>
        </is>
      </c>
      <c r="D412" s="24" t="inlineStr">
        <is>
          <t>Record a shop payment and reverse it</t>
        </is>
      </c>
      <c r="E412" s="24" t="inlineStr">
        <is>
          <t>Positive</t>
        </is>
      </c>
      <c r="F412" s="24" t="inlineStr">
        <is>
          <t>P1</t>
        </is>
      </c>
      <c r="G412" s="24" t="inlineStr">
        <is>
          <t>Operator</t>
        </is>
      </c>
      <c r="H412" s="24" t="inlineStr">
        <is>
          <t>UI</t>
        </is>
      </c>
      <c r="I412" s="24" t="n"/>
      <c r="J412" s="24" t="inlineStr">
        <is>
          <t>1. Record a part payment, then the balance
2. Reverse one payment</t>
        </is>
      </c>
      <c r="K412" s="24" t="inlineStr">
        <is>
          <t>fee_payment_status moves PENDING -&gt; PARTIALLY_PAID -&gt; PAID; payments cannot be edited or deleted, only reversed; amount paid recalculates.</t>
        </is>
      </c>
      <c r="L412" s="24" t="inlineStr">
        <is>
          <t>Regression SHP-13</t>
        </is>
      </c>
      <c r="M412" s="24" t="inlineStr">
        <is>
          <t>Pass</t>
        </is>
      </c>
      <c r="N412" s="24" t="inlineStr">
        <is>
          <t>Local Pass · Staging Not run (rule) · Production Not run
local: ₹500 fee: approve → 409; ₹200 → PARTIALLY_PAID (approve still 409); ₹300 → PAID; PATCH/PUT/DELETE a payment refused; reversal of ₹200 → paid ₹300, PARTIALLY_PAID; paid again → PAID → approved; 4 ledger rows incl. REVERSAL
staging: not run on staging: needs the server's database (local run only)</t>
        </is>
      </c>
      <c r="O412" s="24" t="n"/>
      <c r="P412" s="24" t="inlineStr">
        <is>
          <t>2026-10-24 17:06</t>
        </is>
      </c>
    </row>
    <row r="413" ht="23.25" customHeight="1" s="13">
      <c r="A413" s="24" t="inlineStr">
        <is>
          <t>TC-ONB-023</t>
        </is>
      </c>
      <c r="B413" s="24" t="inlineStr">
        <is>
          <t>Shop onboarding, KYC, fees &amp; suspension</t>
        </is>
      </c>
      <c r="C413" s="24" t="inlineStr">
        <is>
          <t>GS-008</t>
        </is>
      </c>
      <c r="D413" s="24" t="inlineStr">
        <is>
          <t>Approval is gated on fee payment</t>
        </is>
      </c>
      <c r="E413" s="24" t="inlineStr">
        <is>
          <t>Positive</t>
        </is>
      </c>
      <c r="F413" s="24" t="inlineStr">
        <is>
          <t>P1</t>
        </is>
      </c>
      <c r="G413" s="24" t="inlineStr">
        <is>
          <t>Operator</t>
        </is>
      </c>
      <c r="H413" s="24" t="inlineStr">
        <is>
          <t>UI</t>
        </is>
      </c>
      <c r="I413" s="24" t="inlineStr">
        <is>
          <t>Known gap</t>
        </is>
      </c>
      <c r="J413" s="24" t="inlineStr">
        <is>
          <t>1. Approve a shop whose fee is unpaid</t>
        </is>
      </c>
      <c r="K413" s="24" t="inlineStr">
        <is>
          <t>Approval is refused while the fee is unpaid and succeeds after a verified payment.</t>
        </is>
      </c>
      <c r="L413" s="24" t="inlineStr">
        <is>
          <t>Status report GS-008; Updated 4-Oct (feature treated as completed)</t>
        </is>
      </c>
      <c r="M413" s="24" t="inlineStr">
        <is>
          <t>Pass</t>
        </is>
      </c>
      <c r="N413" s="24" t="inlineStr">
        <is>
          <t>Local Pass · Staging Not run (rule) · Production Not run
local: ₹500 fee: approve → 409; ₹200 → PARTIALLY_PAID (approve still 409); ₹300 → PAID; PATCH/PUT/DELETE a payment refused; reversal of ₹200 → paid ₹300, PARTIALLY_PAID; paid again → PAID → approved; 4 ledger rows incl. REVERSAL
staging: not run on staging: needs the server's database (local run only)</t>
        </is>
      </c>
      <c r="O413" s="24" t="n"/>
      <c r="P413" s="24" t="inlineStr">
        <is>
          <t>2026-10-24 17:06</t>
        </is>
      </c>
    </row>
    <row r="414" ht="23.25" customHeight="1" s="13">
      <c r="A414" s="24" t="inlineStr">
        <is>
          <t>TC-ONB-024</t>
        </is>
      </c>
      <c r="B414" s="24" t="inlineStr">
        <is>
          <t>Shop onboarding, KYC, fees &amp; suspension</t>
        </is>
      </c>
      <c r="C414" s="24" t="inlineStr">
        <is>
          <t>GS-008</t>
        </is>
      </c>
      <c r="D414" s="24" t="inlineStr">
        <is>
          <t>Owner sees own registration and payment history only</t>
        </is>
      </c>
      <c r="E414" s="24" t="inlineStr">
        <is>
          <t>Security</t>
        </is>
      </c>
      <c r="F414" s="24" t="inlineStr">
        <is>
          <t>P1</t>
        </is>
      </c>
      <c r="G414" s="24" t="inlineStr">
        <is>
          <t>Shop</t>
        </is>
      </c>
      <c r="H414" s="24" t="inlineStr">
        <is>
          <t>UI+API</t>
        </is>
      </c>
      <c r="I414" s="24" t="n"/>
      <c r="J414" s="24" t="inlineStr">
        <is>
          <t>1. Open the registration panel
2. GET /api/shop-payments for another shop</t>
        </is>
      </c>
      <c r="K414" s="24" t="inlineStr">
        <is>
          <t>Own data shown read-only; another shop's refused.</t>
        </is>
      </c>
      <c r="L414" s="24" t="inlineStr">
        <is>
          <t>RBAC plan Phase 4</t>
        </is>
      </c>
      <c r="M414" s="24" t="inlineStr">
        <is>
          <t>Pass</t>
        </is>
      </c>
      <c r="N414" s="24" t="inlineStr">
        <is>
          <t>Local Pass · Staging Not run (rule) · Production Not run
local: own history 200; other shop 403; all 403; owner POST 403; /shop/manage/registration shows the registration number with no edit controls
staging: not run on staging: needs the server's database (local run only)</t>
        </is>
      </c>
      <c r="O414" s="24" t="n"/>
      <c r="P414" s="24" t="inlineStr">
        <is>
          <t>2026-10-24 17:06</t>
        </is>
      </c>
    </row>
    <row r="415" ht="23.25" customHeight="1" s="13">
      <c r="A415" s="24" t="inlineStr">
        <is>
          <t>TC-ONB-025</t>
        </is>
      </c>
      <c r="B415" s="24" t="inlineStr">
        <is>
          <t>Shop onboarding, KYC, fees &amp; suspension</t>
        </is>
      </c>
      <c r="C415" s="24" t="inlineStr">
        <is>
          <t>GS-054</t>
        </is>
      </c>
      <c r="D415" s="24" t="inlineStr">
        <is>
          <t>Shop referral codes</t>
        </is>
      </c>
      <c r="E415" s="24" t="inlineStr">
        <is>
          <t>Positive</t>
        </is>
      </c>
      <c r="F415" s="24" t="inlineStr">
        <is>
          <t>P2</t>
        </is>
      </c>
      <c r="G415" s="24" t="inlineStr">
        <is>
          <t>Operator</t>
        </is>
      </c>
      <c r="H415" s="24" t="inlineStr">
        <is>
          <t>UI</t>
        </is>
      </c>
      <c r="I415" s="24" t="n"/>
      <c r="J415" s="24" t="inlineStr">
        <is>
          <t>1. Create a referral code
2. Register a shop with it
3. View performance</t>
        </is>
      </c>
      <c r="K415" s="24" t="inlineStr">
        <is>
          <t>Shop attributed to the code; performance count rises. (No customer referral programme exists.)</t>
        </is>
      </c>
      <c r="L415" s="24" t="inlineStr">
        <is>
          <t>Regression SHP-14; Status report GS-054</t>
        </is>
      </c>
      <c r="M415" s="24" t="inlineStr">
        <is>
          <t>Pass</t>
        </is>
      </c>
      <c r="N415" s="24" t="inlineStr">
        <is>
          <t>Local Pass · Staging Not run (rule) · Production Not run
local: code QAMVMM71VC: Shops 0 → 1 on /admin/console/referral-codes; shop.referral_code_id set; performance API 200
staging: not run on staging: needs the server's database (local run only)</t>
        </is>
      </c>
      <c r="O415" s="24" t="inlineStr">
        <is>
          <t>D-61</t>
        </is>
      </c>
      <c r="P415" s="24" t="inlineStr">
        <is>
          <t>2026-10-24 17:06</t>
        </is>
      </c>
    </row>
    <row r="416" ht="23.25" customHeight="1" s="13">
      <c r="A416" s="24" t="inlineStr">
        <is>
          <t>TC-ONB-026</t>
        </is>
      </c>
      <c r="B416" s="24" t="inlineStr">
        <is>
          <t>Shop onboarding, KYC, fees &amp; suspension</t>
        </is>
      </c>
      <c r="C416" s="24" t="inlineStr">
        <is>
          <t>GS-009</t>
        </is>
      </c>
      <c r="D416" s="24" t="inlineStr">
        <is>
          <t>Admin manages shop categories</t>
        </is>
      </c>
      <c r="E416" s="24" t="inlineStr">
        <is>
          <t>Positive</t>
        </is>
      </c>
      <c r="F416" s="24" t="inlineStr">
        <is>
          <t>P1</t>
        </is>
      </c>
      <c r="G416" s="24" t="inlineStr">
        <is>
          <t>Admin</t>
        </is>
      </c>
      <c r="H416" s="24" t="inlineStr">
        <is>
          <t>UI</t>
        </is>
      </c>
      <c r="I416" s="24" t="n"/>
      <c r="J416" s="24" t="inlineStr">
        <is>
          <t>1. /admin/shop-categories: add a category, rename, remove
2. Try to delete 'General'</t>
        </is>
      </c>
      <c r="K416" s="24" t="inlineStr">
        <is>
          <t>Changes save with a Save confirmation; 'General' cannot be deleted; removing a category does not delete products.</t>
        </is>
      </c>
      <c r="L416" s="24" t="inlineStr">
        <is>
          <t>Status report GS-009; chat brief 3-Oct</t>
        </is>
      </c>
      <c r="M416" s="24" t="inlineStr">
        <is>
          <t>Pass</t>
        </is>
      </c>
      <c r="N416" s="24" t="inlineStr">
        <is>
          <t>Local Pass · Staging Not run (rule) · Production Not run
local: blank 422, spaces 422, 1 char 422, 81 chars 422, 301 chars 422, Marathi → 201 किराणा दुकान mvmm71vc; trimmed, case duplicate 409, script stored as text; UI add with "Category created" confirmation; rename + deactivate; DELETE not offered; General delete → 403, rename → 403; removing a category moved its product to General
staging: not run on staging: needs the server's database (local run only)</t>
        </is>
      </c>
      <c r="O416" s="24" t="n"/>
      <c r="P416" s="24" t="inlineStr">
        <is>
          <t>2026-10-24 17:06</t>
        </is>
      </c>
    </row>
    <row r="417" ht="34.5" customHeight="1" s="13">
      <c r="A417" s="24" t="inlineStr">
        <is>
          <t>TC-ONB-027</t>
        </is>
      </c>
      <c r="B417" s="24" t="inlineStr">
        <is>
          <t>Shop onboarding, KYC, fees &amp; suspension</t>
        </is>
      </c>
      <c r="C417" s="24" t="inlineStr">
        <is>
          <t>GS-009, NEW-009</t>
        </is>
      </c>
      <c r="D417" s="24" t="inlineStr">
        <is>
          <t>Assign several categories to a shop</t>
        </is>
      </c>
      <c r="E417" s="24" t="inlineStr">
        <is>
          <t>Positive</t>
        </is>
      </c>
      <c r="F417" s="24" t="inlineStr">
        <is>
          <t>P1</t>
        </is>
      </c>
      <c r="G417" s="24" t="inlineStr">
        <is>
          <t>Operator</t>
        </is>
      </c>
      <c r="H417" s="24" t="inlineStr">
        <is>
          <t>UI</t>
        </is>
      </c>
      <c r="I417" s="24" t="n"/>
      <c r="J417" s="24" t="inlineStr">
        <is>
          <t>1. /admin/shops/{id}/categories: add two categories, remove one</t>
        </is>
      </c>
      <c r="K417" s="24" t="inlineStr">
        <is>
          <t>Saved; the shop shows under each category on the storefront; products of an added category surface to the shop owner. With NEW-009 record whether an operator-added category also adds the products at stock 100 (TC-CAT-053).</t>
        </is>
      </c>
      <c r="L417" s="24" t="inlineStr">
        <is>
          <t>tests shop-categories; Updated 3-Oct</t>
        </is>
      </c>
      <c r="M417" s="24" t="inlineStr">
        <is>
          <t>Pass</t>
        </is>
      </c>
      <c r="N417" s="24" t="inlineStr">
        <is>
          <t>Passed, partly covered. Local Pass (partial) · Staging Not run (rule) · Production Not run
local: not covered: shop categories are an internal grouping, not a customer browsing filter (services/shops.ts:1139 'not shown to customers as browsing') — expected 'shows under each category on the storefront' superseded; product categories and the stock-100 fill are TC-CAT-053
staging: not run on staging: needs the server's database (local run only)</t>
        </is>
      </c>
      <c r="O417" s="24" t="n"/>
      <c r="P417" s="24" t="inlineStr">
        <is>
          <t>2026-10-24 17:06</t>
        </is>
      </c>
    </row>
    <row r="418" ht="23.25" customHeight="1" s="13">
      <c r="A418" s="24" t="inlineStr">
        <is>
          <t>TC-ONB-028</t>
        </is>
      </c>
      <c r="B418" s="24" t="inlineStr">
        <is>
          <t>Shop onboarding, KYC, fees &amp; suspension</t>
        </is>
      </c>
      <c r="C418" s="24" t="inlineStr">
        <is>
          <t>GS-009, NEW-009</t>
        </is>
      </c>
      <c r="D418" s="24" t="inlineStr">
        <is>
          <t>Category permissions</t>
        </is>
      </c>
      <c r="E418" s="24" t="inlineStr">
        <is>
          <t>Security</t>
        </is>
      </c>
      <c r="F418" s="24" t="inlineStr">
        <is>
          <t>P1</t>
        </is>
      </c>
      <c r="G418" s="24" t="inlineStr">
        <is>
          <t>Shop</t>
        </is>
      </c>
      <c r="H418" s="24" t="inlineStr">
        <is>
          <t>API</t>
        </is>
      </c>
      <c r="I418" s="24" t="n"/>
      <c r="J418" s="24" t="inlineStr">
        <is>
          <t>1. As shop owner call POST/DELETE /api/shop-categories and PUT /api/shops/{otherShop}/categories</t>
        </is>
      </c>
      <c r="K418" s="24" t="inlineStr">
        <is>
          <t>Record which are allowed for owners; cross-shop change must be 403. An owner adding a category to the own shop must be allowed for NEW-009 (TC-CAT-037).</t>
        </is>
      </c>
      <c r="L418" s="24" t="inlineStr">
        <is>
          <t>chat brief 3-Oct (assumptions); Updated 3-Oct</t>
        </is>
      </c>
      <c r="M418" s="24" t="inlineStr">
        <is>
          <t>Pass</t>
        </is>
      </c>
      <c r="N418" s="24" t="inlineStr">
        <is>
          <t>Local Pass · Staging Not run (rule) · Production Not run
local: POST/PATCH/DELETE /api/shop-categories as owner → 403/405; PUT another shop's categories → 403; own shop → 200; product category add: own 201, other shop 403
staging: not run on staging: needs the server's database (local run only)</t>
        </is>
      </c>
      <c r="O418" s="24" t="n"/>
      <c r="P418" s="24" t="inlineStr">
        <is>
          <t>2026-10-24 17:06</t>
        </is>
      </c>
    </row>
    <row r="419" ht="23.25" customHeight="1" s="13">
      <c r="A419" s="24" t="inlineStr">
        <is>
          <t>TC-ONB-029</t>
        </is>
      </c>
      <c r="B419" s="24" t="inlineStr">
        <is>
          <t>Shop onboarding, KYC, fees &amp; suspension</t>
        </is>
      </c>
      <c r="C419" s="24" t="inlineStr">
        <is>
          <t>NAV-006</t>
        </is>
      </c>
      <c r="D419" s="24" t="inlineStr">
        <is>
          <t>Shop profile and settings</t>
        </is>
      </c>
      <c r="E419" s="24" t="inlineStr">
        <is>
          <t>Regression</t>
        </is>
      </c>
      <c r="F419" s="24" t="inlineStr">
        <is>
          <t>P1</t>
        </is>
      </c>
      <c r="G419" s="24" t="inlineStr">
        <is>
          <t>Shop</t>
        </is>
      </c>
      <c r="H419" s="24" t="inlineStr">
        <is>
          <t>UI</t>
        </is>
      </c>
      <c r="I419" s="24" t="n"/>
      <c r="J419" s="24" t="inlineStr">
        <is>
          <t>1. Edit hours, delivery flag and fee, free-delivery threshold, prep time, description, logo
2. Edit location / pickup point</t>
        </is>
      </c>
      <c r="K419" s="24" t="inlineStr">
        <is>
          <t>Saved and reflected on the shop page.</t>
        </is>
      </c>
      <c r="L419" s="24" t="inlineStr">
        <is>
          <t>Regression SHP-05/SHP-06</t>
        </is>
      </c>
      <c r="M419" s="24" t="inlineStr">
        <is>
          <t>Fail</t>
        </is>
      </c>
      <c r="N419" s="24" t="inlineStr">
        <is>
          <t>Local Pass (partial) · Staging Fail · Production Not run
local: not covered: there is no owner screen for the delivery fee, threshold, description or logo (PATCH /api/shops/{id} only), and no preparation-time setting at all (TC-FLD-054)
staging: expect(received).toBe(expected) // Object.is equality | Expected: "QA: use the side gate" | Received: null</t>
        </is>
      </c>
      <c r="O419" s="24" t="n"/>
      <c r="P419" s="24" t="inlineStr">
        <is>
          <t>2026-10-24 20:36</t>
        </is>
      </c>
    </row>
    <row r="420" ht="23.25" customHeight="1" s="13">
      <c r="A420" s="24" t="inlineStr">
        <is>
          <t>TC-ONB-030</t>
        </is>
      </c>
      <c r="B420" s="24" t="inlineStr">
        <is>
          <t>Shop onboarding, KYC, fees &amp; suspension</t>
        </is>
      </c>
      <c r="C420" s="24" t="inlineStr">
        <is>
          <t>NEW-002</t>
        </is>
      </c>
      <c r="D420" s="24" t="inlineStr">
        <is>
          <t>Suspension impact preview</t>
        </is>
      </c>
      <c r="E420" s="24" t="inlineStr">
        <is>
          <t>Positive</t>
        </is>
      </c>
      <c r="F420" s="24" t="inlineStr">
        <is>
          <t>P0</t>
        </is>
      </c>
      <c r="G420" s="24" t="inlineStr">
        <is>
          <t>Admin</t>
        </is>
      </c>
      <c r="H420" s="24" t="inlineStr">
        <is>
          <t>UI</t>
        </is>
      </c>
      <c r="I420" s="24" t="inlineStr">
        <is>
          <t>Shop with open orders in several statuses</t>
        </is>
      </c>
      <c r="J420" s="24" t="inlineStr">
        <is>
          <t>1. Admin shop management -&gt; Suspend...</t>
        </is>
      </c>
      <c r="K420" s="24" t="inlineStr">
        <is>
          <t>Panel lists each open order with its planned action, the counts (cancel &amp; refund / shop finishes / hold) and the refund value, before confirming.</t>
        </is>
      </c>
      <c r="L420" s="24" t="inlineStr">
        <is>
          <t>QA G-01</t>
        </is>
      </c>
      <c r="M420" s="24" t="inlineStr">
        <is>
          <t>Pass</t>
        </is>
      </c>
      <c r="N420" s="24" t="inlineStr">
        <is>
          <t>Passed, partly covered. Local Pass (partial) · Staging Not run (rule) · Production Not run
local: not covered: PICKED_UP is covered by the policy table (CONTINUE) but not arranged — the OUT_FOR_DELIVERY order passed through it
staging: not run on staging: needs the server's database (local run only)</t>
        </is>
      </c>
      <c r="O420" s="24" t="n"/>
      <c r="P420" s="24" t="inlineStr">
        <is>
          <t>2026-10-24 17:06</t>
        </is>
      </c>
    </row>
    <row r="421" ht="23.25" customHeight="1" s="13">
      <c r="A421" s="24" t="inlineStr">
        <is>
          <t>TC-ONB-031</t>
        </is>
      </c>
      <c r="B421" s="24" t="inlineStr">
        <is>
          <t>Shop onboarding, KYC, fees &amp; suspension</t>
        </is>
      </c>
      <c r="C421" s="24" t="inlineStr">
        <is>
          <t>NEW-002, SM-002</t>
        </is>
      </c>
      <c r="D421" s="24" t="inlineStr">
        <is>
          <t>Suspend a shop</t>
        </is>
      </c>
      <c r="E421" s="24" t="inlineStr">
        <is>
          <t>Positive</t>
        </is>
      </c>
      <c r="F421" s="24" t="inlineStr">
        <is>
          <t>P0</t>
        </is>
      </c>
      <c r="G421" s="24" t="inlineStr">
        <is>
          <t>Admin</t>
        </is>
      </c>
      <c r="H421" s="24" t="inlineStr">
        <is>
          <t>UI</t>
        </is>
      </c>
      <c r="I421" s="24" t="n"/>
      <c r="J421" s="24" t="inlineStr">
        <is>
          <t>1. Confirm with a reason and expected action</t>
        </is>
      </c>
      <c r="K421" s="24" t="inlineStr">
        <is>
          <t>Shop SUSPENDED. CONFIRMED orders cancelled and refunded with restock; PICKED_UP / OUT_FOR_DELIVERY continue; ACCEPTED / PREPARING / READY / ASSIGNED are held. Response summarises the impact.</t>
        </is>
      </c>
      <c r="L421" s="24" t="inlineStr">
        <is>
          <t>QA G-02</t>
        </is>
      </c>
      <c r="M421" s="24" t="inlineStr">
        <is>
          <t>Pass</t>
        </is>
      </c>
      <c r="N421" s="24" t="inlineStr">
        <is>
          <t>Local Pass · Staging Not run (rule) · Production Not run
local: "Suspended — 1 cancelled, 1 continuing, 4 under review."; CONFIRMED → REFUNDED with ₹60 back in the wallet and +1 stock; the out-for-delivery order was delivered; the rest held
staging: not run on staging: needs the server's database (local run only)</t>
        </is>
      </c>
      <c r="O421" s="24" t="n"/>
      <c r="P421" s="24" t="inlineStr">
        <is>
          <t>2026-10-24 17:06</t>
        </is>
      </c>
    </row>
    <row r="422" ht="23.25" customHeight="1" s="13">
      <c r="A422" s="24" t="inlineStr">
        <is>
          <t>TC-ONB-032</t>
        </is>
      </c>
      <c r="B422" s="24" t="inlineStr">
        <is>
          <t>Shop onboarding, KYC, fees &amp; suspension</t>
        </is>
      </c>
      <c r="C422" s="24" t="inlineStr">
        <is>
          <t>NEW-002</t>
        </is>
      </c>
      <c r="D422" s="24" t="inlineStr">
        <is>
          <t>Owner sees the suspension notice</t>
        </is>
      </c>
      <c r="E422" s="24" t="inlineStr">
        <is>
          <t>Positive</t>
        </is>
      </c>
      <c r="F422" s="24" t="inlineStr">
        <is>
          <t>P1</t>
        </is>
      </c>
      <c r="G422" s="24" t="inlineStr">
        <is>
          <t>Shop</t>
        </is>
      </c>
      <c r="H422" s="24" t="inlineStr">
        <is>
          <t>UI</t>
        </is>
      </c>
      <c r="I422" s="24" t="n"/>
      <c r="J422" s="24" t="inlineStr">
        <is>
          <t>1. Owner opens /shop</t>
        </is>
      </c>
      <c r="K422" s="24" t="inlineStr">
        <is>
          <t>Red banner with reason, effective time, what to do and what happened to orders; matching notification and email.</t>
        </is>
      </c>
      <c r="L422" s="24" t="inlineStr">
        <is>
          <t>QA G-03</t>
        </is>
      </c>
      <c r="M422" s="24" t="inlineStr">
        <is>
          <t>Pass</t>
        </is>
      </c>
      <c r="N422" s="24" t="inlineStr">
        <is>
          <t>Local Pass · Staging Not run (rule) · Production Not run
local: banner on /shop and /shop/manage/today with reason, since-time, what to do and the order note; notification "Your shop has been suspended"; email sent
staging: not run on staging: needs the server's database (local run only)</t>
        </is>
      </c>
      <c r="O422" s="24" t="n"/>
      <c r="P422" s="24" t="inlineStr">
        <is>
          <t>2026-10-24 17:06</t>
        </is>
      </c>
    </row>
    <row r="423" ht="23.25" customHeight="1" s="13">
      <c r="A423" s="24" t="inlineStr">
        <is>
          <t>TC-ONB-033</t>
        </is>
      </c>
      <c r="B423" s="24" t="inlineStr">
        <is>
          <t>Shop onboarding, KYC, fees &amp; suspension</t>
        </is>
      </c>
      <c r="C423" s="24" t="inlineStr">
        <is>
          <t>NEW-002</t>
        </is>
      </c>
      <c r="D423" s="24" t="inlineStr">
        <is>
          <t>Customers cannot buy from a suspended shop</t>
        </is>
      </c>
      <c r="E423" s="24" t="inlineStr">
        <is>
          <t>Negative</t>
        </is>
      </c>
      <c r="F423" s="24" t="inlineStr">
        <is>
          <t>P0</t>
        </is>
      </c>
      <c r="G423" s="24" t="inlineStr">
        <is>
          <t>Customer</t>
        </is>
      </c>
      <c r="H423" s="24" t="inlineStr">
        <is>
          <t>UI+API</t>
        </is>
      </c>
      <c r="I423" s="24" t="n"/>
      <c r="J423" s="24" t="inlineStr">
        <is>
          <t>1. Browse and try to check out an existing cart</t>
        </is>
      </c>
      <c r="K423" s="24" t="inlineStr">
        <is>
          <t>Shop absent from lists; items unavailable; checkout refuses.</t>
        </is>
      </c>
      <c r="L423" s="24" t="inlineStr">
        <is>
          <t>QA G-04</t>
        </is>
      </c>
      <c r="M423" s="24" t="inlineStr">
        <is>
          <t>Pass</t>
        </is>
      </c>
      <c r="N423" s="24" t="inlineStr">
        <is>
          <t>Local Pass · Staging Not run (rule) · Production Not run
local: search: absent; storefront 404; add to cart 409; checkout of the cart line → 409 CONFLICT
staging: not run on staging: needs the server's database (local run only)</t>
        </is>
      </c>
      <c r="O423" s="24" t="n"/>
      <c r="P423" s="24" t="inlineStr">
        <is>
          <t>2026-10-24 17:06</t>
        </is>
      </c>
    </row>
    <row r="424" ht="15" customHeight="1" s="13">
      <c r="A424" s="24" t="inlineStr">
        <is>
          <t>TC-ONB-034</t>
        </is>
      </c>
      <c r="B424" s="24" t="inlineStr">
        <is>
          <t>Shop onboarding, KYC, fees &amp; suspension</t>
        </is>
      </c>
      <c r="C424" s="24" t="inlineStr">
        <is>
          <t>NEW-002</t>
        </is>
      </c>
      <c r="D424" s="24" t="inlineStr">
        <is>
          <t>Decide held orders</t>
        </is>
      </c>
      <c r="E424" s="24" t="inlineStr">
        <is>
          <t>Positive</t>
        </is>
      </c>
      <c r="F424" s="24" t="inlineStr">
        <is>
          <t>P1</t>
        </is>
      </c>
      <c r="G424" s="24" t="inlineStr">
        <is>
          <t>Admin</t>
        </is>
      </c>
      <c r="H424" s="24" t="inlineStr">
        <is>
          <t>UI</t>
        </is>
      </c>
      <c r="I424" s="24" t="n"/>
      <c r="J424" s="24" t="inlineStr">
        <is>
          <t>1. /admin/suspensions: 'Let the shop finish it' on one, 'Cancel &amp; refund' on another</t>
        </is>
      </c>
      <c r="K424" s="24" t="inlineStr">
        <is>
          <t>First proceeds; second cancelled with full refund; outcome recorded; owner notified. A held READY order is not dispatched until decided.</t>
        </is>
      </c>
      <c r="L424" s="24" t="inlineStr">
        <is>
          <t>QA G-06, G-07</t>
        </is>
      </c>
      <c r="M424" s="24" t="inlineStr">
        <is>
          <t>Pass</t>
        </is>
      </c>
      <c r="N424" s="24" t="inlineStr">
        <is>
          <t>Passed, partly covered. Local Pass (partial) · Staging Not run (rule) · Production Not run
local: not covered: an owner notification for each decision is not asserted (none is sent for a CONTINUE decision on this build — recorded in the detail)
staging: not run on staging: needs the server's database (local run only)</t>
        </is>
      </c>
      <c r="O424" s="24" t="n"/>
      <c r="P424" s="24" t="inlineStr">
        <is>
          <t>2026-10-24 17:07</t>
        </is>
      </c>
    </row>
    <row r="425" ht="23.25" customHeight="1" s="13">
      <c r="A425" s="24" t="inlineStr">
        <is>
          <t>TC-ONB-035</t>
        </is>
      </c>
      <c r="B425" s="24" t="inlineStr">
        <is>
          <t>Shop onboarding, KYC, fees &amp; suspension</t>
        </is>
      </c>
      <c r="C425" s="24" t="inlineStr">
        <is>
          <t>NEW-002</t>
        </is>
      </c>
      <c r="D425" s="24" t="inlineStr">
        <is>
          <t>Reinstate the shop</t>
        </is>
      </c>
      <c r="E425" s="24" t="inlineStr">
        <is>
          <t>Positive</t>
        </is>
      </c>
      <c r="F425" s="24" t="inlineStr">
        <is>
          <t>P0</t>
        </is>
      </c>
      <c r="G425" s="24" t="inlineStr">
        <is>
          <t>Admin</t>
        </is>
      </c>
      <c r="H425" s="24" t="inlineStr">
        <is>
          <t>UI</t>
        </is>
      </c>
      <c r="I425" s="24" t="n"/>
      <c r="J425" s="24" t="inlineStr">
        <is>
          <t>1. Reinstate</t>
        </is>
      </c>
      <c r="K425" s="24" t="inlineStr">
        <is>
          <t>APPROVED; held orders go back to the shop; owner notified; ordering works again.</t>
        </is>
      </c>
      <c r="L425" s="24" t="inlineStr">
        <is>
          <t>QA G-08</t>
        </is>
      </c>
      <c r="M425" s="24" t="inlineStr">
        <is>
          <t>Pass</t>
        </is>
      </c>
      <c r="N425" s="24" t="inlineStr">
        <is>
          <t>Local Pass · Staging Not run (rule) · Production Not run
local: APPROVED; the two held orders → CONTINUING and the shop could mark one READY; owner notified; add to cart works
staging: not run on staging: needs the server's database (local run only)</t>
        </is>
      </c>
      <c r="O425" s="24" t="n"/>
      <c r="P425" s="24" t="inlineStr">
        <is>
          <t>2026-10-24 17:07</t>
        </is>
      </c>
    </row>
    <row r="426" ht="23.25" customHeight="1" s="13">
      <c r="A426" s="24" t="inlineStr">
        <is>
          <t>TC-ONB-036</t>
        </is>
      </c>
      <c r="B426" s="24" t="inlineStr">
        <is>
          <t>Shop onboarding, KYC, fees &amp; suspension</t>
        </is>
      </c>
      <c r="C426" s="24" t="inlineStr">
        <is>
          <t>NEW-002, NEW-001</t>
        </is>
      </c>
      <c r="D426" s="24" t="inlineStr">
        <is>
          <t>Suspension policy is configurable</t>
        </is>
      </c>
      <c r="E426" s="24" t="inlineStr">
        <is>
          <t>Positive</t>
        </is>
      </c>
      <c r="F426" s="24" t="inlineStr">
        <is>
          <t>P2</t>
        </is>
      </c>
      <c r="G426" s="24" t="inlineStr">
        <is>
          <t>Admin</t>
        </is>
      </c>
      <c r="H426" s="24" t="inlineStr">
        <is>
          <t>UI</t>
        </is>
      </c>
      <c r="I426" s="24" t="n"/>
      <c r="J426" s="24" t="inlineStr">
        <is>
          <t>1. Change the suspension rule (READY -&gt; CONTINUE)
2. Suspend another shop
3. Restore default</t>
        </is>
      </c>
      <c r="K426" s="24" t="inlineStr">
        <is>
          <t>Preview and outcome follow the new policy.</t>
        </is>
      </c>
      <c r="L426" s="24" t="inlineStr">
        <is>
          <t>QA G-09</t>
        </is>
      </c>
      <c r="M426" s="24" t="inlineStr">
        <is>
          <t>Pass</t>
        </is>
      </c>
      <c r="N426" s="24" t="inlineStr">
        <is>
          <t>Local Pass · Staging Not run (rule) · Production Not run
local: READY → CONTINUE in the preview and the outcome (continuing 1, review 0); rule restored afterwards
staging: not run on staging: needs the server's database (local run only)</t>
        </is>
      </c>
      <c r="O426" s="24" t="n"/>
      <c r="P426" s="24" t="inlineStr">
        <is>
          <t>2026-10-24 17:07</t>
        </is>
      </c>
    </row>
    <row r="427" ht="23.25" customHeight="1" s="13">
      <c r="A427" s="24" t="inlineStr">
        <is>
          <t>TC-ONB-037</t>
        </is>
      </c>
      <c r="B427" s="24" t="inlineStr">
        <is>
          <t>Shop onboarding, KYC, fees &amp; suspension</t>
        </is>
      </c>
      <c r="C427" s="24" t="inlineStr">
        <is>
          <t>GS-068, NEW-002</t>
        </is>
      </c>
      <c r="D427" s="24" t="inlineStr">
        <is>
          <t>Suspend from the risk page applies the same policy</t>
        </is>
      </c>
      <c r="E427" s="24" t="inlineStr">
        <is>
          <t>Positive</t>
        </is>
      </c>
      <c r="F427" s="24" t="inlineStr">
        <is>
          <t>P2</t>
        </is>
      </c>
      <c r="G427" s="24" t="inlineStr">
        <is>
          <t>Operator</t>
        </is>
      </c>
      <c r="H427" s="24" t="inlineStr">
        <is>
          <t>UI</t>
        </is>
      </c>
      <c r="I427" s="24" t="n"/>
      <c r="J427" s="24" t="inlineStr">
        <is>
          <t>1. /admin/risk -&gt; 'Suspend &amp; mark actioned' on a shop flag</t>
        </is>
      </c>
      <c r="K427" s="24" t="inlineStr">
        <is>
          <t>Suspension applies the policy and notice; flag closes as ACTIONED with 'Suspended: &lt;reason&gt;'.</t>
        </is>
      </c>
      <c r="L427" s="24" t="inlineStr">
        <is>
          <t>QA G-10</t>
        </is>
      </c>
      <c r="M427" s="24" t="inlineStr">
        <is>
          <t>Pass</t>
        </is>
      </c>
      <c r="N427" s="24" t="inlineStr">
        <is>
          <t>Local Pass · Staging Not run (rule) · Production Not run
local: risk page → shop SUSPENDED, its confirmed order cancelled by the policy, owner notified; flag ACTIONED "Suspended: QA: refunds far above normal"
staging: not run on staging: needs the server's database (local run only)</t>
        </is>
      </c>
      <c r="O427" s="24" t="n"/>
      <c r="P427" s="24" t="inlineStr">
        <is>
          <t>2026-10-24 17:07</t>
        </is>
      </c>
    </row>
    <row r="428" ht="23.25" customHeight="1" s="13">
      <c r="A428" s="24" t="inlineStr">
        <is>
          <t>TC-ONB-038</t>
        </is>
      </c>
      <c r="B428" s="24" t="inlineStr">
        <is>
          <t>Shop onboarding, KYC, fees &amp; suspension</t>
        </is>
      </c>
      <c r="C428" s="24" t="inlineStr">
        <is>
          <t>SM-002</t>
        </is>
      </c>
      <c r="D428" s="24" t="inlineStr">
        <is>
          <t>Concurrent suspend / reject</t>
        </is>
      </c>
      <c r="E428" s="24" t="inlineStr">
        <is>
          <t>Security</t>
        </is>
      </c>
      <c r="F428" s="24" t="inlineStr">
        <is>
          <t>P2</t>
        </is>
      </c>
      <c r="G428" s="24" t="inlineStr">
        <is>
          <t>Admin</t>
        </is>
      </c>
      <c r="H428" s="24" t="inlineStr">
        <is>
          <t>API</t>
        </is>
      </c>
      <c r="I428" s="24" t="n"/>
      <c r="J428" s="24" t="inlineStr">
        <is>
          <t>1. Send two suspends (or a suspend and a reject) together</t>
        </is>
      </c>
      <c r="K428" s="24" t="inlineStr">
        <is>
          <t>One succeeds, the other 409; only one audit row.</t>
        </is>
      </c>
      <c r="L428" s="24" t="inlineStr">
        <is>
          <t>Dev log Phase 4.5 handoff</t>
        </is>
      </c>
      <c r="M428" s="24" t="inlineStr">
        <is>
          <t>Pass</t>
        </is>
      </c>
      <c r="N428" s="24" t="inlineStr">
        <is>
          <t>Local Pass · Staging Not run (rule) · Production Not run
local: two suspends → 200/409, one audit row; reject after suspend → 409
staging: not run on staging: needs the server's database (local run only)</t>
        </is>
      </c>
      <c r="O428" s="24" t="inlineStr">
        <is>
          <t>D-62</t>
        </is>
      </c>
      <c r="P428" s="24" t="inlineStr">
        <is>
          <t>2026-10-24 17:07</t>
        </is>
      </c>
    </row>
    <row r="429" ht="23.25" customHeight="1" s="13">
      <c r="A429" s="24" t="inlineStr">
        <is>
          <t>TC-ONB-039</t>
        </is>
      </c>
      <c r="B429" s="24" t="inlineStr">
        <is>
          <t>Shop onboarding, KYC, fees &amp; suspension</t>
        </is>
      </c>
      <c r="C429" s="24" t="inlineStr">
        <is>
          <t>RBAC-006</t>
        </is>
      </c>
      <c r="D429" s="24" t="inlineStr">
        <is>
          <t>Operator registers a shop on behalf of an owner</t>
        </is>
      </c>
      <c r="E429" s="24" t="inlineStr">
        <is>
          <t>Positive</t>
        </is>
      </c>
      <c r="F429" s="24" t="inlineStr">
        <is>
          <t>P2</t>
        </is>
      </c>
      <c r="G429" s="24" t="inlineStr">
        <is>
          <t>Operator</t>
        </is>
      </c>
      <c r="H429" s="24" t="inlineStr">
        <is>
          <t>API</t>
        </is>
      </c>
      <c r="I429" s="24" t="inlineStr">
        <is>
          <t>No dedicated form</t>
        </is>
      </c>
      <c r="J429" s="24" t="inlineStr">
        <is>
          <t>1. POST /api/shops with ownerId as OPERATOR
2. Same body as a CUSTOMER</t>
        </is>
      </c>
      <c r="K429" s="24" t="inlineStr">
        <is>
          <t>Operator: created for that owner. Customer: ownerId and fee fields are ignored (no privilege escalation).</t>
        </is>
      </c>
      <c r="L429" s="24" t="inlineStr">
        <is>
          <t>RBAC plan: registerShop privileged flag</t>
        </is>
      </c>
      <c r="M429" s="24" t="inlineStr">
        <is>
          <t>Pass</t>
        </is>
      </c>
      <c r="N429" s="24" t="inlineStr">
        <is>
          <t>Local Pass · Staging Not run (rule) · Production Not run
local: operator → shop owned by onb039owner with fee ₹123; customer → own shop, ownerId and fee ignored (fee 0)
staging: not run on staging: needs the server's database (local run only)</t>
        </is>
      </c>
      <c r="O429" s="24" t="n"/>
      <c r="P429" s="24" t="inlineStr">
        <is>
          <t>2026-10-24 17:06</t>
        </is>
      </c>
    </row>
    <row r="430" ht="23.25" customHeight="1" s="13">
      <c r="A430" s="24" t="inlineStr">
        <is>
          <t>TC-ONB-040</t>
        </is>
      </c>
      <c r="B430" s="24" t="inlineStr">
        <is>
          <t>Shop onboarding, KYC, fees &amp; suspension</t>
        </is>
      </c>
      <c r="C430" s="24" t="inlineStr">
        <is>
          <t>SM-002, WF-008</t>
        </is>
      </c>
      <c r="D430" s="24" t="inlineStr">
        <is>
          <t>Shop moves KYC_PENDING -&gt; PAYMENT_PENDING -&gt; VERIFIED -&gt; ACTIVE</t>
        </is>
      </c>
      <c r="E430" s="24" t="inlineStr">
        <is>
          <t>Positive</t>
        </is>
      </c>
      <c r="F430" s="24" t="inlineStr">
        <is>
          <t>P0</t>
        </is>
      </c>
      <c r="G430" s="24" t="inlineStr">
        <is>
          <t>Operator</t>
        </is>
      </c>
      <c r="H430" s="24" t="inlineStr">
        <is>
          <t>UI</t>
        </is>
      </c>
      <c r="I430" s="24" t="inlineStr">
        <is>
          <t>New shop registration</t>
        </is>
      </c>
      <c r="J430" s="24" t="inlineStr">
        <is>
          <t>1. Owner uploads KYC documents
2. Operations verify KYC
3. Fee payment is recorded and verified
4. Operations approve</t>
        </is>
      </c>
      <c r="K430" s="24" t="inlineStr">
        <is>
          <t>The state shown to owner and operations follows each step and ends ACTIVE; only then is the shop listed.</t>
        </is>
      </c>
      <c r="L430" s="24" t="inlineStr">
        <is>
          <t>Open features 3-Oct, treated as completed 4-Oct</t>
        </is>
      </c>
      <c r="M430" s="24" t="inlineStr">
        <is>
          <t>Pass</t>
        </is>
      </c>
      <c r="N430" s="24" t="inlineStr">
        <is>
          <t>Passed, partly covered. Local Pass (partial) · Staging Not run (rule) · Production Not run
local: not covered: documents are marked verified in the database here; the upload and review path is TC-ONB-044 / TC-ONB-047
staging: not run on staging: needs the server's database (local run only)</t>
        </is>
      </c>
      <c r="O430" s="24" t="n"/>
      <c r="P430" s="24" t="inlineStr">
        <is>
          <t>2026-10-24 17:06</t>
        </is>
      </c>
    </row>
    <row r="431" ht="23.25" customHeight="1" s="13">
      <c r="A431" s="24" t="inlineStr">
        <is>
          <t>TC-ONB-041</t>
        </is>
      </c>
      <c r="B431" s="24" t="inlineStr">
        <is>
          <t>Shop onboarding, KYC, fees &amp; suspension</t>
        </is>
      </c>
      <c r="C431" s="24" t="inlineStr">
        <is>
          <t>SM-002</t>
        </is>
      </c>
      <c r="D431" s="24" t="inlineStr">
        <is>
          <t>A shop that is not ACTIVE cannot sell</t>
        </is>
      </c>
      <c r="E431" s="24" t="inlineStr">
        <is>
          <t>Negative</t>
        </is>
      </c>
      <c r="F431" s="24" t="inlineStr">
        <is>
          <t>P0</t>
        </is>
      </c>
      <c r="G431" s="24" t="inlineStr">
        <is>
          <t>Customer</t>
        </is>
      </c>
      <c r="H431" s="24" t="inlineStr">
        <is>
          <t>UI+API</t>
        </is>
      </c>
      <c r="I431" s="24" t="inlineStr">
        <is>
          <t>Shops in KYC_PENDING, PAYMENT_PENDING and VERIFIED</t>
        </is>
      </c>
      <c r="J431" s="24" t="inlineStr">
        <is>
          <t>1. Search for each shop
2. Try to add its product to a cart through the API</t>
        </is>
      </c>
      <c r="K431" s="24" t="inlineStr">
        <is>
          <t>Not listed and not orderable in any of these states.</t>
        </is>
      </c>
      <c r="L431" s="24" t="inlineStr">
        <is>
          <t>Open features 3-Oct, treated as completed 4-Oct</t>
        </is>
      </c>
      <c r="M431" s="24" t="inlineStr">
        <is>
          <t>Pass</t>
        </is>
      </c>
      <c r="N431" s="24" t="inlineStr">
        <is>
          <t>Local Pass · Staging Not run (rule) · Production Not run
local: KYC_PENDING: not listed, cart 409; PAYMENT_PENDING: not listed, cart 409; VERIFIED: not listed, cart 409
staging: not run on staging: needs the server's database (local run only)</t>
        </is>
      </c>
      <c r="O431" s="24" t="n"/>
      <c r="P431" s="24" t="inlineStr">
        <is>
          <t>2026-10-24 17:06</t>
        </is>
      </c>
    </row>
    <row r="432" ht="23.25" customHeight="1" s="13">
      <c r="A432" s="24" t="inlineStr">
        <is>
          <t>TC-ONB-042</t>
        </is>
      </c>
      <c r="B432" s="24" t="inlineStr">
        <is>
          <t>Shop onboarding, KYC, fees &amp; suspension</t>
        </is>
      </c>
      <c r="C432" s="24" t="inlineStr">
        <is>
          <t>SM-002</t>
        </is>
      </c>
      <c r="D432" s="24" t="inlineStr">
        <is>
          <t>Owner closes the shop</t>
        </is>
      </c>
      <c r="E432" s="24" t="inlineStr">
        <is>
          <t>Positive</t>
        </is>
      </c>
      <c r="F432" s="24" t="inlineStr">
        <is>
          <t>P1</t>
        </is>
      </c>
      <c r="G432" s="24" t="inlineStr">
        <is>
          <t>Shop</t>
        </is>
      </c>
      <c r="H432" s="24" t="inlineStr">
        <is>
          <t>UI</t>
        </is>
      </c>
      <c r="I432" s="24" t="inlineStr">
        <is>
          <t>ACTIVE shop with one open order</t>
        </is>
      </c>
      <c r="J432" s="24" t="inlineStr">
        <is>
          <t>1. Close the shop
2. Check the open order and the storefront</t>
        </is>
      </c>
      <c r="K432" s="24" t="inlineStr">
        <is>
          <t>State CLOSED. The shop disappears from search; the open order is completed or cancelled with a refund by rule; reopening needs operations.</t>
        </is>
      </c>
      <c r="L432" s="24" t="inlineStr">
        <is>
          <t>Open features 3-Oct, treated as completed 4-Oct</t>
        </is>
      </c>
      <c r="M432" s="24" t="inlineStr">
        <is>
          <t>Fail</t>
        </is>
      </c>
      <c r="N432" s="24" t="inlineStr">
        <is>
          <t>Local Fail · Staging Not run (rule) · Production Not run
local: no way for the owner to close the shop: no control on /shop, /shop/manage/{today,hours,location}; PATCH {status:"CLOSED"} → 422, {closed:true} → 422 | expect(received).toBeGreaterThan(expected) | Expected: &gt; 0 | Received:   0
staging: not run on staging: needs the server's database (local run only)</t>
        </is>
      </c>
      <c r="O432" s="24" t="inlineStr">
        <is>
          <t>D-69</t>
        </is>
      </c>
      <c r="P432" s="24" t="inlineStr">
        <is>
          <t>2026-10-24 17:06</t>
        </is>
      </c>
    </row>
    <row r="433" ht="23.25" customHeight="1" s="13">
      <c r="A433" s="24" t="inlineStr">
        <is>
          <t>TC-ONB-043</t>
        </is>
      </c>
      <c r="B433" s="24" t="inlineStr">
        <is>
          <t>Shop onboarding, KYC, fees &amp; suspension</t>
        </is>
      </c>
      <c r="C433" s="24" t="inlineStr">
        <is>
          <t>SM-002</t>
        </is>
      </c>
      <c r="D433" s="24" t="inlineStr">
        <is>
          <t>Illegal shop transitions</t>
        </is>
      </c>
      <c r="E433" s="24" t="inlineStr">
        <is>
          <t>Negative</t>
        </is>
      </c>
      <c r="F433" s="24" t="inlineStr">
        <is>
          <t>P1</t>
        </is>
      </c>
      <c r="G433" s="24" t="inlineStr">
        <is>
          <t>Operator</t>
        </is>
      </c>
      <c r="H433" s="24" t="inlineStr">
        <is>
          <t>API</t>
        </is>
      </c>
      <c r="I433" s="24" t="n"/>
      <c r="J433" s="24" t="inlineStr">
        <is>
          <t>1. Try KYC_PENDING -&gt; ACTIVE, REJECTED -&gt; ACTIVE and CLOSED -&gt; ACTIVE directly</t>
        </is>
      </c>
      <c r="K433" s="24" t="inlineStr">
        <is>
          <t>Refused; state unchanged.</t>
        </is>
      </c>
      <c r="L433" s="24" t="inlineStr">
        <is>
          <t>Open features 3-Oct, treated as completed 4-Oct</t>
        </is>
      </c>
      <c r="M433" s="24" t="inlineStr">
        <is>
          <t>Pass</t>
        </is>
      </c>
      <c r="N433" s="24" t="inlineStr">
        <is>
          <t>Passed, partly covered. Local Pass (partial) · Staging Not run (rule) · Production Not run
local: not covered: a REJECTED shop whose documents are all verified may be approved directly — the path TC-ONB-014 relies on (shop-onboarding.ts:80 'covers approving a REJECTED shop directly')
staging: not run on staging: needs the server's database (local run only)</t>
        </is>
      </c>
      <c r="O433" s="24" t="inlineStr">
        <is>
          <t>D-72</t>
        </is>
      </c>
      <c r="P433" s="24" t="inlineStr">
        <is>
          <t>2026-10-24 17:06</t>
        </is>
      </c>
    </row>
    <row r="434" ht="23.25" customHeight="1" s="13">
      <c r="A434" s="24" t="inlineStr">
        <is>
          <t>TC-ONB-044</t>
        </is>
      </c>
      <c r="B434" s="24" t="inlineStr">
        <is>
          <t>Shop onboarding, KYC, fees &amp; suspension</t>
        </is>
      </c>
      <c r="C434" s="24" t="inlineStr">
        <is>
          <t>GS-007, WF-008</t>
        </is>
      </c>
      <c r="D434" s="24" t="inlineStr">
        <is>
          <t>KYC documents uploaded against the shop</t>
        </is>
      </c>
      <c r="E434" s="24" t="inlineStr">
        <is>
          <t>Positive</t>
        </is>
      </c>
      <c r="F434" s="24" t="inlineStr">
        <is>
          <t>P0</t>
        </is>
      </c>
      <c r="G434" s="24" t="inlineStr">
        <is>
          <t>Shop</t>
        </is>
      </c>
      <c r="H434" s="24" t="inlineStr">
        <is>
          <t>UI</t>
        </is>
      </c>
      <c r="I434" s="24" t="n"/>
      <c r="J434" s="24" t="inlineStr">
        <is>
          <t>1. Upload GST certificate, PAN, FSSAI and Shop Act documents
2. Operator opens the shop KYC</t>
        </is>
      </c>
      <c r="K434" s="24" t="inlineStr">
        <is>
          <t>Each document is stored against the shop and visible to the owner and operations. One overall KYC status is shown.</t>
        </is>
      </c>
      <c r="L434" s="24" t="inlineStr">
        <is>
          <t>Open features 3-Oct, treated as completed 4-Oct</t>
        </is>
      </c>
      <c r="M434" s="24" t="inlineStr">
        <is>
          <t>Pass</t>
        </is>
      </c>
      <c r="N434" s="24" t="inlineStr">
        <is>
          <t>Local Pass · Staging Not run (rule) · Production Not run
local: GSTIN read by pdf-text → CONFIRMED; SHOP_ACT read by pdf-text → CONFIRMED; FSSAI read by pdf-text → CONFIRMED; PAN uploaded on the page; 4 confirmed uploads stored against the shop; checklist {"PAN":"MANUAL_REVIEW","GSTIN":"VERIFIED","UDYAM":"NOT_SUBMITTED","FSSAI":"MANUAL_REVIEW","SHOP_ACT":"MANUAL_REVIEW"}; operations: checklist + KYC summary (overall ["documents","consistency","autoApproveScore","complete","missing","isFoodBusiness"]) and /admin/document-uploads lists the shop
staging: not run on staging: needs the server's database (local run only)</t>
        </is>
      </c>
      <c r="O434" s="24" t="n"/>
      <c r="P434" s="24" t="inlineStr">
        <is>
          <t>2026-10-24 17:06</t>
        </is>
      </c>
    </row>
    <row r="435" ht="15" customHeight="1" s="13">
      <c r="A435" s="24" t="inlineStr">
        <is>
          <t>TC-ONB-045</t>
        </is>
      </c>
      <c r="B435" s="24" t="inlineStr">
        <is>
          <t>Shop onboarding, KYC, fees &amp; suspension</t>
        </is>
      </c>
      <c r="C435" s="24" t="inlineStr">
        <is>
          <t>GS-007</t>
        </is>
      </c>
      <c r="D435" s="24" t="inlineStr">
        <is>
          <t>KYC document validation</t>
        </is>
      </c>
      <c r="E435" s="24" t="inlineStr">
        <is>
          <t>Negative</t>
        </is>
      </c>
      <c r="F435" s="24" t="inlineStr">
        <is>
          <t>P0</t>
        </is>
      </c>
      <c r="G435" s="24" t="inlineStr">
        <is>
          <t>Shop</t>
        </is>
      </c>
      <c r="H435" s="24" t="inlineStr">
        <is>
          <t>UI</t>
        </is>
      </c>
      <c r="I435" s="24" t="n"/>
      <c r="J435" s="24" t="inlineStr">
        <is>
          <t>1. Submit with a mandatory document missing
2. Upload an oversized file, an .exe and an HTML file renamed .pdf</t>
        </is>
      </c>
      <c r="K435" s="24" t="inlineStr">
        <is>
          <t>Submission is refused until mandatory documents are present. Bad files are refused by content, not name.</t>
        </is>
      </c>
      <c r="L435" s="24" t="inlineStr">
        <is>
          <t>Open features 3-Oct, treated as completed 4-Oct</t>
        </is>
      </c>
      <c r="M435" s="24" t="inlineStr">
        <is>
          <t>Pass</t>
        </is>
      </c>
      <c r="N435" s="24" t="inlineStr">
        <is>
          <t>Passed, partly covered. Local Pass (partial) · Staging Not run (rule) · Production Not run
local: not covered: TC-FLD-047's 'valid file accepted and shown' is proven by TC-ONB-044
staging: not run on staging: needs the server's database (local run only)</t>
        </is>
      </c>
      <c r="O435" s="24" t="n"/>
      <c r="P435" s="24" t="inlineStr">
        <is>
          <t>2026-10-24 17:06</t>
        </is>
      </c>
    </row>
    <row r="436" ht="15" customHeight="1" s="13">
      <c r="A436" s="24" t="inlineStr">
        <is>
          <t>TC-ONB-046</t>
        </is>
      </c>
      <c r="B436" s="24" t="inlineStr">
        <is>
          <t>Shop onboarding, KYC, fees &amp; suspension</t>
        </is>
      </c>
      <c r="C436" s="24" t="inlineStr">
        <is>
          <t>GS-007, GS-071</t>
        </is>
      </c>
      <c r="D436" s="24" t="inlineStr">
        <is>
          <t>KYC documents are private</t>
        </is>
      </c>
      <c r="E436" s="24" t="inlineStr">
        <is>
          <t>Security</t>
        </is>
      </c>
      <c r="F436" s="24" t="inlineStr">
        <is>
          <t>P0</t>
        </is>
      </c>
      <c r="G436" s="24" t="inlineStr">
        <is>
          <t>Shop</t>
        </is>
      </c>
      <c r="H436" s="24" t="inlineStr">
        <is>
          <t>API</t>
        </is>
      </c>
      <c r="I436" s="24" t="n"/>
      <c r="J436" s="24" t="inlineStr">
        <is>
          <t>1. As another owner, a customer and a guest request the document address
2. Try a guessed document id</t>
        </is>
      </c>
      <c r="K436" s="24" t="inlineStr">
        <is>
          <t>403 / 404 every time. Addresses cannot be guessed or shared.</t>
        </is>
      </c>
      <c r="L436" s="24" t="inlineStr">
        <is>
          <t>Open features 3-Oct, treated as completed 4-Oct</t>
        </is>
      </c>
      <c r="M436" s="24" t="inlineStr">
        <is>
          <t>Pass</t>
        </is>
      </c>
      <c r="N436" s="24" t="inlineStr">
        <is>
          <t>Passed, partly covered. Local Pass (partial) · Staging Pass (partial) · Production Pass (partial)
local: not covered: the guest half of the case is also covered in tests/qa/guest/access.spec.ts ‖ not covered: guest half; owner / other-shop / operator halves run in the signed-in tier
staging: not covered: guest half; owner / other-shop / operator halves run in the signed-in tier
production: not covered: guest half; owner / other-shop / operator halves run in the signed-in tier</t>
        </is>
      </c>
      <c r="O436" s="24" t="n"/>
      <c r="P436" s="24" t="inlineStr">
        <is>
          <t>2026-10-29 14:06</t>
        </is>
      </c>
    </row>
    <row r="437" ht="45.75" customHeight="1" s="13">
      <c r="A437" s="24" t="inlineStr">
        <is>
          <t>TC-ONB-047</t>
        </is>
      </c>
      <c r="B437" s="24" t="inlineStr">
        <is>
          <t>Shop onboarding, KYC, fees &amp; suspension</t>
        </is>
      </c>
      <c r="C437" s="24" t="inlineStr">
        <is>
          <t>GS-007</t>
        </is>
      </c>
      <c r="D437" s="24" t="inlineStr">
        <is>
          <t>Operations reject a document and the owner re-uploads</t>
        </is>
      </c>
      <c r="E437" s="24" t="inlineStr">
        <is>
          <t>Positive</t>
        </is>
      </c>
      <c r="F437" s="24" t="inlineStr">
        <is>
          <t>P1</t>
        </is>
      </c>
      <c r="G437" s="24" t="inlineStr">
        <is>
          <t>Operator</t>
        </is>
      </c>
      <c r="H437" s="24" t="inlineStr">
        <is>
          <t>UI</t>
        </is>
      </c>
      <c r="I437" s="24" t="n"/>
      <c r="J437" s="24" t="inlineStr">
        <is>
          <t>1. Reject one document with a reason
2. Owner replaces it</t>
        </is>
      </c>
      <c r="K437" s="24" t="inlineStr">
        <is>
          <t>Overall KYC status shows rejected with the reason; after re-upload it returns to review. History is kept.</t>
        </is>
      </c>
      <c r="L437" s="24" t="inlineStr">
        <is>
          <t>Open features 3-Oct, treated as completed 4-Oct</t>
        </is>
      </c>
      <c r="M437" s="24" t="inlineStr">
        <is>
          <t>Pass</t>
        </is>
      </c>
      <c r="N437" s="24" t="inlineStr">
        <is>
          <t>Passed, partly covered. Local Pass (partial) · Staging Not run (rule) · Production Not run
local: not covered: the documents card itself shows only 'Not verified'; the reason is on /shop/verification
staging: not run on staging: needs the server's database (local run only)</t>
        </is>
      </c>
      <c r="O437" s="24" t="n"/>
      <c r="P437" s="24" t="inlineStr">
        <is>
          <t>2026-10-24 17:06</t>
        </is>
      </c>
    </row>
    <row r="438" ht="15" customHeight="1" s="13">
      <c r="A438" s="24" t="inlineStr">
        <is>
          <t>TC-CAT-001</t>
        </is>
      </c>
      <c r="B438" s="24" t="inlineStr">
        <is>
          <t>Catalogue, pricing, MRP, inventory &amp; images</t>
        </is>
      </c>
      <c r="C438" s="24" t="inlineStr">
        <is>
          <t>GS-011</t>
        </is>
      </c>
      <c r="D438" s="24" t="inlineStr">
        <is>
          <t>Product master: create and edit a product</t>
        </is>
      </c>
      <c r="E438" s="24" t="inlineStr">
        <is>
          <t>Regression</t>
        </is>
      </c>
      <c r="F438" s="24" t="inlineStr">
        <is>
          <t>P0</t>
        </is>
      </c>
      <c r="G438" s="24" t="inlineStr">
        <is>
          <t>Operator</t>
        </is>
      </c>
      <c r="H438" s="24" t="inlineStr">
        <is>
          <t>UI</t>
        </is>
      </c>
      <c r="I438" s="24" t="n"/>
      <c r="J438" s="24" t="inlineStr">
        <is>
          <t>1. Admin product management -&gt; add a product with name, category, brand, pack size, GTIN, HSN, GST rate
2. Edit it</t>
        </is>
      </c>
      <c r="K438" s="24" t="inlineStr">
        <is>
          <t>Saved with a system product code; appears in catalogue search.</t>
        </is>
      </c>
      <c r="L438" s="24" t="inlineStr">
        <is>
          <t>Regression CAT-01/CAT-07</t>
        </is>
      </c>
      <c r="M438" s="24" t="inlineStr">
        <is>
          <t>Pass</t>
        </is>
      </c>
      <c r="N438" s="24" t="inlineStr">
        <is>
          <t>Passed, partly covered. Local Pass (partial) · Staging Not run (rule) · Production Not run
local: not covered: brand and GTIN are not fields of the catalogue product form — they arrive through the product master (TC-PMD-002/005, TC-FLD-073/076)
staging: not run on staging: needs the server's database (local run only)</t>
        </is>
      </c>
      <c r="O438" s="24" t="n"/>
      <c r="P438" s="24" t="inlineStr">
        <is>
          <t>2026-10-24 17:06</t>
        </is>
      </c>
    </row>
    <row r="439" ht="15" customHeight="1" s="13">
      <c r="A439" s="24" t="inlineStr">
        <is>
          <t>TC-CAT-002</t>
        </is>
      </c>
      <c r="B439" s="24" t="inlineStr">
        <is>
          <t>Catalogue, pricing, MRP, inventory &amp; images</t>
        </is>
      </c>
      <c r="C439" s="24" t="inlineStr">
        <is>
          <t>GS-011</t>
        </is>
      </c>
      <c r="D439" s="24" t="inlineStr">
        <is>
          <t>Shop-created product needs approval before other shops see it</t>
        </is>
      </c>
      <c r="E439" s="24" t="inlineStr">
        <is>
          <t>Regression</t>
        </is>
      </c>
      <c r="F439" s="24" t="inlineStr">
        <is>
          <t>P1</t>
        </is>
      </c>
      <c r="G439" s="24" t="inlineStr">
        <is>
          <t>Shop</t>
        </is>
      </c>
      <c r="H439" s="24" t="inlineStr">
        <is>
          <t>UI</t>
        </is>
      </c>
      <c r="I439" s="24" t="n"/>
      <c r="J439" s="24" t="inlineStr">
        <is>
          <t>1. Shop adds a new product not in the master
2. Check the duplicate suggestion
3. Operator approves/rejects in the product approval queue</t>
        </is>
      </c>
      <c r="K439" s="24" t="inlineStr">
        <is>
          <t>Duplicate suggestions are offered. Until approved only the creating shop sees it.</t>
        </is>
      </c>
      <c r="L439" s="24" t="inlineStr">
        <is>
          <t>Regression CAT-03</t>
        </is>
      </c>
      <c r="M439" s="24" t="inlineStr">
        <is>
          <t>Pass</t>
        </is>
      </c>
      <c r="N439" s="24" t="inlineStr">
        <is>
          <t>Local Pass · Staging Not run (rule) · Production Not run
local: near-duplicate → 409 suggestion; own product PENDING_APPROVAL, hidden from shop B until approved, then visible; another rejected with a reason (none → 422)
staging: not run on staging: needs the server's database (local run only)</t>
        </is>
      </c>
      <c r="O439" s="24" t="n"/>
      <c r="P439" s="24" t="inlineStr">
        <is>
          <t>2026-10-24 17:06</t>
        </is>
      </c>
    </row>
    <row r="440" ht="23.25" customHeight="1" s="13">
      <c r="A440" s="24" t="inlineStr">
        <is>
          <t>TC-CAT-003</t>
        </is>
      </c>
      <c r="B440" s="24" t="inlineStr">
        <is>
          <t>Catalogue, pricing, MRP, inventory &amp; images</t>
        </is>
      </c>
      <c r="C440" s="24" t="inlineStr">
        <is>
          <t>GS-012, NAV-007</t>
        </is>
      </c>
      <c r="D440" s="24" t="inlineStr">
        <is>
          <t>Map a master product to the shop</t>
        </is>
      </c>
      <c r="E440" s="24" t="inlineStr">
        <is>
          <t>Regression</t>
        </is>
      </c>
      <c r="F440" s="24" t="inlineStr">
        <is>
          <t>P0</t>
        </is>
      </c>
      <c r="G440" s="24" t="inlineStr">
        <is>
          <t>Shop</t>
        </is>
      </c>
      <c r="H440" s="24" t="inlineStr">
        <is>
          <t>UI</t>
        </is>
      </c>
      <c r="I440" s="24" t="n"/>
      <c r="J440" s="24" t="inlineStr">
        <is>
          <t>1. /shop -&gt; add product from the catalogue with online price, offline price, stock</t>
        </is>
      </c>
      <c r="K440" s="24" t="inlineStr">
        <is>
          <t>Listing created and visible on the shop page.</t>
        </is>
      </c>
      <c r="L440" s="24" t="inlineStr">
        <is>
          <t>Regression CAT-02/CAT-04</t>
        </is>
      </c>
      <c r="M440" s="24" t="inlineStr">
        <is>
          <t>Pass</t>
        </is>
      </c>
      <c r="N440" s="24" t="inlineStr">
        <is>
          <t>Passed, partly covered. Local Pass (partial) · Staging Not run (rule) · Production Not run
local: not covered: the add row takes one price for both channels and a fixed opening stock of 100 — separate offline price and stock are edited afterwards (TC-CAT-017)
staging: not run on staging: needs the server's database (local run only)</t>
        </is>
      </c>
      <c r="O440" s="24" t="n"/>
      <c r="P440" s="24" t="inlineStr">
        <is>
          <t>2026-10-24 17:06</t>
        </is>
      </c>
    </row>
    <row r="441" ht="45.75" customHeight="1" s="13">
      <c r="A441" s="24" t="inlineStr">
        <is>
          <t>TC-CAT-004</t>
        </is>
      </c>
      <c r="B441" s="24" t="inlineStr">
        <is>
          <t>Catalogue, pricing, MRP, inventory &amp; images</t>
        </is>
      </c>
      <c r="C441" s="24" t="inlineStr">
        <is>
          <t>GS-012, NEW-008</t>
        </is>
      </c>
      <c r="D441" s="24" t="inlineStr">
        <is>
          <t>Enabling a channel requires its price</t>
        </is>
      </c>
      <c r="E441" s="24" t="inlineStr">
        <is>
          <t>Negative</t>
        </is>
      </c>
      <c r="F441" s="24" t="inlineStr">
        <is>
          <t>P1</t>
        </is>
      </c>
      <c r="G441" s="24" t="inlineStr">
        <is>
          <t>Shop</t>
        </is>
      </c>
      <c r="H441" s="24" t="inlineStr">
        <is>
          <t>UI+API</t>
        </is>
      </c>
      <c r="I441" s="24" t="n"/>
      <c r="J441" s="24" t="inlineStr">
        <is>
          <t>1. Enable online sale with no online price
2. Negative price
3. Zero price
4. Leave the price empty on a loose product with online sale off</t>
        </is>
      </c>
      <c r="K441" s="24" t="inlineStr">
        <is>
          <t>Refused. An empty price is accepted only while online sale is off (NEW-008); switching online sale on then asks for a price.</t>
        </is>
      </c>
      <c r="L441" s="24" t="inlineStr">
        <is>
          <t>API.md; Updated 3-Oct</t>
        </is>
      </c>
      <c r="M441" s="24" t="inlineStr">
        <is>
          <t>Pass</t>
        </is>
      </c>
      <c r="N441" s="24" t="inlineStr">
        <is>
          <t>Passed, partly covered. Local Pass (partial) · Staging Not run (rule) · Production Not run
local: not covered: the owner's forms check the same rules (Save is refused below ₹0.01 on /shop/inventory — TC-CAT-032)
staging: not run on staging: needs the server's database (local run only)</t>
        </is>
      </c>
      <c r="O441" s="24" t="inlineStr">
        <is>
          <t>D-58</t>
        </is>
      </c>
      <c r="P441" s="24" t="inlineStr">
        <is>
          <t>2026-10-24 17:06</t>
        </is>
      </c>
    </row>
    <row r="442" ht="23.25" customHeight="1" s="13">
      <c r="A442" s="24" t="inlineStr">
        <is>
          <t>TC-CAT-005</t>
        </is>
      </c>
      <c r="B442" s="24" t="inlineStr">
        <is>
          <t>Catalogue, pricing, MRP, inventory &amp; images</t>
        </is>
      </c>
      <c r="C442" s="24" t="inlineStr">
        <is>
          <t>GS-015</t>
        </is>
      </c>
      <c r="D442" s="24" t="inlineStr">
        <is>
          <t>Owner price change is immediate and logged</t>
        </is>
      </c>
      <c r="E442" s="24" t="inlineStr">
        <is>
          <t>Positive</t>
        </is>
      </c>
      <c r="F442" s="24" t="inlineStr">
        <is>
          <t>P0</t>
        </is>
      </c>
      <c r="G442" s="24" t="inlineStr">
        <is>
          <t>Shop</t>
        </is>
      </c>
      <c r="H442" s="24" t="inlineStr">
        <is>
          <t>UI</t>
        </is>
      </c>
      <c r="I442" s="24" t="n"/>
      <c r="J442" s="24" t="inlineStr">
        <is>
          <t>1. /shop/prices -&gt; change a price</t>
        </is>
      </c>
      <c r="K442" s="24" t="inlineStr">
        <is>
          <t>Live at once; price history row and audit entry written.</t>
        </is>
      </c>
      <c r="L442" s="24" t="inlineStr">
        <is>
          <t>RBAC plan decisions</t>
        </is>
      </c>
      <c r="M442" s="24" t="inlineStr">
        <is>
          <t>Pass</t>
        </is>
      </c>
      <c r="N442" s="24" t="inlineStr">
        <is>
          <t>Local Pass · Staging Not run (rule) · Production Not run
local: ₹60 → ₹72.50: "Saved 1 price."; storefront shows 7250 paise; history ONLINE 6000→7250 by the owner; audit "shop_product.price_changed"
staging: not run on staging: needs the server's database (local run only)</t>
        </is>
      </c>
      <c r="O442" s="24" t="n"/>
      <c r="P442" s="24" t="inlineStr">
        <is>
          <t>2026-10-24 17:06</t>
        </is>
      </c>
    </row>
    <row r="443" ht="34.5" customHeight="1" s="13">
      <c r="A443" s="24" t="inlineStr">
        <is>
          <t>TC-CAT-006</t>
        </is>
      </c>
      <c r="B443" s="24" t="inlineStr">
        <is>
          <t>Catalogue, pricing, MRP, inventory &amp; images</t>
        </is>
      </c>
      <c r="C443" s="24" t="inlineStr">
        <is>
          <t>GS-015, RBAC-004</t>
        </is>
      </c>
      <c r="D443" s="24" t="inlineStr">
        <is>
          <t>Operator price change needs owner approval</t>
        </is>
      </c>
      <c r="E443" s="24" t="inlineStr">
        <is>
          <t>Positive</t>
        </is>
      </c>
      <c r="F443" s="24" t="inlineStr">
        <is>
          <t>P0</t>
        </is>
      </c>
      <c r="G443" s="24" t="inlineStr">
        <is>
          <t>Operator</t>
        </is>
      </c>
      <c r="H443" s="24" t="inlineStr">
        <is>
          <t>UI</t>
        </is>
      </c>
      <c r="I443" s="24" t="n"/>
      <c r="J443" s="24" t="inlineStr">
        <is>
          <t>1. Operator edits a shop's price
2. Owner approves; for another, rejects
3. Admin overrides one</t>
        </is>
      </c>
      <c r="K443" s="24" t="inlineStr">
        <is>
          <t>Operator change returns pending (202) and the live price is unchanged until the owner approves. Reject leaves it. Admin override applies. All audited.</t>
        </is>
      </c>
      <c r="L443" s="24" t="inlineStr">
        <is>
          <t>RBAC plan Phase 8; tests price-approval</t>
        </is>
      </c>
      <c r="M443" s="24" t="inlineStr">
        <is>
          <t>Pass</t>
        </is>
      </c>
      <c r="N443" s="24" t="inlineStr">
        <is>
          <t>Local Pass · Staging Not run (rule) · Production Not run
local: operator ₹55 → 202, live ₹50 until the owner approved; ₹60 rejected → stays ₹55; ₹59 admin override → live (operator override 403); audit actions shop_product.created, shop_product.price_changed, price_request.approved, price_request.overridden, price_request.rejected
staging: not run on staging: needs the server's database (local run only)</t>
        </is>
      </c>
      <c r="O443" s="24" t="n"/>
      <c r="P443" s="24" t="inlineStr">
        <is>
          <t>2026-10-24 17:06</t>
        </is>
      </c>
    </row>
    <row r="444" ht="23.25" customHeight="1" s="13">
      <c r="A444" s="24" t="inlineStr">
        <is>
          <t>TC-CAT-007</t>
        </is>
      </c>
      <c r="B444" s="24" t="inlineStr">
        <is>
          <t>Catalogue, pricing, MRP, inventory &amp; images</t>
        </is>
      </c>
      <c r="C444" s="24" t="inlineStr">
        <is>
          <t>GS-015, NEW-008, NEW-010</t>
        </is>
      </c>
      <c r="D444" s="24" t="inlineStr">
        <is>
          <t>Selling price above a verified MRP is refused</t>
        </is>
      </c>
      <c r="E444" s="24" t="inlineStr">
        <is>
          <t>Negative</t>
        </is>
      </c>
      <c r="F444" s="24" t="inlineStr">
        <is>
          <t>P0</t>
        </is>
      </c>
      <c r="G444" s="24" t="inlineStr">
        <is>
          <t>Shop</t>
        </is>
      </c>
      <c r="H444" s="24" t="inlineStr">
        <is>
          <t>UI+API</t>
        </is>
      </c>
      <c r="I444" s="24" t="inlineStr">
        <is>
          <t>Packaged product with verified MRP Rs 50</t>
        </is>
      </c>
      <c r="J444" s="24" t="inlineStr">
        <is>
          <t>1. Set online price Rs 51 via form, API and Excel
2. Set Rs 50 and Rs 49
3. Same on a loose product</t>
        </is>
      </c>
      <c r="K444" s="24" t="inlineStr">
        <is>
          <t>Above MRP refused everywhere ('above the MRP'). Equal or below accepted. Loose products unaffected. Loose products have no MRP check and start with an empty price (NEW-008). Where a shop has set its own MRP (NEW-010) the check uses that shop MRP (TC-CAT-063) - confirm this rule with the owner.</t>
        </is>
      </c>
      <c r="L444" s="24" t="inlineStr">
        <is>
          <t>QA I-06; Updated 3-Oct</t>
        </is>
      </c>
      <c r="M444" s="24" t="inlineStr">
        <is>
          <t>Pass</t>
        </is>
      </c>
      <c r="N444" s="24" t="inlineStr">
        <is>
          <t>Passed, partly covered. Local Pass (partial) · Staging Not run (rule) · Production Not run
local: not covered: TC-CAT-063 (check against the shop's own MRP) is superseded: no shop-level MRP exists — docs/three-modules-2026-10/PLAN.md §1.2 'MRP is master-only'; the check uses the master MRP as asserted here
staging: not run on staging: needs the server's database (local run only)</t>
        </is>
      </c>
      <c r="O444" s="24" t="n"/>
      <c r="P444" s="24" t="inlineStr">
        <is>
          <t>2026-10-24 17:06</t>
        </is>
      </c>
    </row>
    <row r="445" ht="34.5" customHeight="1" s="13">
      <c r="A445" s="24" t="inlineStr">
        <is>
          <t>TC-CAT-008</t>
        </is>
      </c>
      <c r="B445" s="24" t="inlineStr">
        <is>
          <t>Catalogue, pricing, MRP, inventory &amp; images</t>
        </is>
      </c>
      <c r="C445" s="24" t="inlineStr">
        <is>
          <t>GS-015, NEW-010</t>
        </is>
      </c>
      <c r="D445" s="24" t="inlineStr">
        <is>
          <t>Discount display is valid</t>
        </is>
      </c>
      <c r="E445" s="24" t="inlineStr">
        <is>
          <t>Positive</t>
        </is>
      </c>
      <c r="F445" s="24" t="inlineStr">
        <is>
          <t>P1</t>
        </is>
      </c>
      <c r="G445" s="24" t="inlineStr">
        <is>
          <t>Customer</t>
        </is>
      </c>
      <c r="H445" s="24" t="inlineStr">
        <is>
          <t>UI</t>
        </is>
      </c>
      <c r="I445" s="24" t="inlineStr">
        <is>
          <t>MRP 50, price 45</t>
        </is>
      </c>
      <c r="J445" s="24" t="inlineStr">
        <is>
          <t>1. View the product card</t>
        </is>
      </c>
      <c r="K445" s="24" t="inlineStr">
        <is>
          <t>MRP struck through, price 45, discount 10%. No discount shown when price = MRP; never a negative discount. The MRP used is that of the shop being viewed (NEW-010).</t>
        </is>
      </c>
      <c r="L445" s="24" t="inlineStr">
        <is>
          <t>Feature Master GS-015; Updated 3-Oct</t>
        </is>
      </c>
      <c r="M445" s="24" t="inlineStr">
        <is>
          <t>Fail</t>
        </is>
      </c>
      <c r="N445" s="24" t="inlineStr">
        <is>
          <t>Local Fail · Staging Not run (rule) · Production Not run
local: expect(locator).toBeVisible() failed | Locator: locator('[data-product-name="QA Butter 100 g mvmkyclr"]').first() | Expected: visible | Timeout: 15000ms
staging: not run on staging: needs the server's database (local run only)</t>
        </is>
      </c>
      <c r="O445" s="24" t="inlineStr">
        <is>
          <t>D-70</t>
        </is>
      </c>
      <c r="P445" s="24" t="inlineStr">
        <is>
          <t>2026-10-24 17:06</t>
        </is>
      </c>
    </row>
    <row r="446" ht="23.25" customHeight="1" s="13">
      <c r="A446" s="24" t="inlineStr">
        <is>
          <t>TC-CAT-009</t>
        </is>
      </c>
      <c r="B446" s="24" t="inlineStr">
        <is>
          <t>Catalogue, pricing, MRP, inventory &amp; images</t>
        </is>
      </c>
      <c r="C446" s="24" t="inlineStr">
        <is>
          <t>GS-015, NEW-010</t>
        </is>
      </c>
      <c r="D446" s="24" t="inlineStr">
        <is>
          <t>Admin sets an MRP</t>
        </is>
      </c>
      <c r="E446" s="24" t="inlineStr">
        <is>
          <t>Positive</t>
        </is>
      </c>
      <c r="F446" s="24" t="inlineStr">
        <is>
          <t>P1</t>
        </is>
      </c>
      <c r="G446" s="24" t="inlineStr">
        <is>
          <t>Admin</t>
        </is>
      </c>
      <c r="H446" s="24" t="inlineStr">
        <is>
          <t>UI</t>
        </is>
      </c>
      <c r="I446" s="24" t="n"/>
      <c r="J446" s="24" t="inlineStr">
        <is>
          <t>1. /admin/mrp -&gt; set an MRP with source
2. Shop owner tries the same API</t>
        </is>
      </c>
      <c r="K446" s="24" t="inlineStr">
        <is>
          <t>Saved with source/verification, history and audit. Owner gets 403. The 403 applies to the admin (master) MRP API. The owner changes the MRP for the own shop through the shop screen instead (TC-CAT-057).</t>
        </is>
      </c>
      <c r="L446" s="24" t="inlineStr">
        <is>
          <t>QA I-05; Updated 3-Oct</t>
        </is>
      </c>
      <c r="M446" s="24" t="inlineStr">
        <is>
          <t>Pass</t>
        </is>
      </c>
      <c r="N446" s="24" t="inlineStr">
        <is>
          <t>Passed, partly covered. Local Pass (partial) · Staging Not run (rule) · Production Not run
local: not covered: the /admin/mrp form itself is not driven; the owner changes a price for the own shop on the shop screens (TC-CAT-057)
staging: not run on staging: needs the server's database (local run only)</t>
        </is>
      </c>
      <c r="O446" s="24" t="n"/>
      <c r="P446" s="24" t="inlineStr">
        <is>
          <t>2026-10-24 17:06</t>
        </is>
      </c>
    </row>
    <row r="447" ht="57" customHeight="1" s="13">
      <c r="A447" s="24" t="inlineStr">
        <is>
          <t>TC-CAT-010</t>
        </is>
      </c>
      <c r="B447" s="24" t="inlineStr">
        <is>
          <t>Catalogue, pricing, MRP, inventory &amp; images</t>
        </is>
      </c>
      <c r="C447" s="24" t="inlineStr">
        <is>
          <t>GS-015, NEW-010</t>
        </is>
      </c>
      <c r="D447" s="24" t="inlineStr">
        <is>
          <t>Lowering an MRP below a shop's price</t>
        </is>
      </c>
      <c r="E447" s="24" t="inlineStr">
        <is>
          <t>Positive</t>
        </is>
      </c>
      <c r="F447" s="24" t="inlineStr">
        <is>
          <t>P1</t>
        </is>
      </c>
      <c r="G447" s="24" t="inlineStr">
        <is>
          <t>Admin</t>
        </is>
      </c>
      <c r="H447" s="24" t="inlineStr">
        <is>
          <t>UI</t>
        </is>
      </c>
      <c r="I447" s="24" t="n"/>
      <c r="J447" s="24" t="inlineStr">
        <is>
          <t>1. Lower the MRP below Shop A's price</t>
        </is>
      </c>
      <c r="K447" s="24" t="inlineStr">
        <is>
          <t>Shop notified; its price unchanged; it appears under 'Shop prices above the MRP'. A shop-specific MRP set by the owner is not overwritten (TC-CAT-060).</t>
        </is>
      </c>
      <c r="L447" s="24" t="inlineStr">
        <is>
          <t>QA I-07; Updated 3-Oct</t>
        </is>
      </c>
      <c r="M447" s="24" t="inlineStr">
        <is>
          <t>Pass</t>
        </is>
      </c>
      <c r="N447" s="24" t="inlineStr">
        <is>
          <t>Passed, partly covered. Local Pass (partial) · Staging Not run (rule) · Production Not run
local: not covered: 'a shop-specific MRP is not overwritten' (TC-CAT-060) is superseded: no shop-level MRP exists (docs/three-modules-2026-10/PLAN.md §1.2)
staging: not run on staging: needs the server's database (local run only)</t>
        </is>
      </c>
      <c r="O447" s="24" t="n"/>
      <c r="P447" s="24" t="inlineStr">
        <is>
          <t>2026-10-24 17:06</t>
        </is>
      </c>
    </row>
    <row r="448" ht="23.25" customHeight="1" s="13">
      <c r="A448" s="24" t="inlineStr">
        <is>
          <t>TC-CAT-011</t>
        </is>
      </c>
      <c r="B448" s="24" t="inlineStr">
        <is>
          <t>Catalogue, pricing, MRP, inventory &amp; images</t>
        </is>
      </c>
      <c r="C448" s="24" t="inlineStr">
        <is>
          <t>GS-015, NEW-010</t>
        </is>
      </c>
      <c r="D448" s="24" t="inlineStr">
        <is>
          <t>MRP correction claim by a shop</t>
        </is>
      </c>
      <c r="E448" s="24" t="inlineStr">
        <is>
          <t>Positive</t>
        </is>
      </c>
      <c r="F448" s="24" t="inlineStr">
        <is>
          <t>P2</t>
        </is>
      </c>
      <c r="G448" s="24" t="inlineStr">
        <is>
          <t>Shop</t>
        </is>
      </c>
      <c r="H448" s="24" t="inlineStr">
        <is>
          <t>UI</t>
        </is>
      </c>
      <c r="I448" s="24" t="n"/>
      <c r="J448" s="24" t="inlineStr">
        <is>
          <t>1. 'MRP looks wrong?' -&gt; claim a value
2. Operations accept; in another case reject</t>
        </is>
      </c>
      <c r="K448" s="24" t="inlineStr">
        <is>
          <t>MRP unchanged until decided; accept updates it, reject restores status. This claim concerns the master MRP. With NEW-010 the owner can also change the MRP for the own shop at once (TC-CAT-057); confirm both paths are meant to remain.</t>
        </is>
      </c>
      <c r="L448" s="24" t="inlineStr">
        <is>
          <t>QA I-08; Updated 3-Oct</t>
        </is>
      </c>
      <c r="M448" s="24" t="inlineStr">
        <is>
          <t>Pass</t>
        </is>
      </c>
      <c r="N448" s="24" t="inlineStr">
        <is>
          <t>Local Pass · Staging Not run (rule) · Production Not run
local: claims raised; MRP unchanged (B status while pending PENDING_VERIFICATION); accept → ₹55; reject → ₹50 and VERIFIED
staging: not run on staging: needs the server's database (local run only)</t>
        </is>
      </c>
      <c r="O448" s="24" t="n"/>
      <c r="P448" s="24" t="inlineStr">
        <is>
          <t>2026-10-24 17:06</t>
        </is>
      </c>
    </row>
    <row r="449" ht="23.25" customHeight="1" s="13">
      <c r="A449" s="24" t="inlineStr">
        <is>
          <t>TC-CAT-012</t>
        </is>
      </c>
      <c r="B449" s="24" t="inlineStr">
        <is>
          <t>Catalogue, pricing, MRP, inventory &amp; images</t>
        </is>
      </c>
      <c r="C449" s="24" t="inlineStr">
        <is>
          <t>GS-023</t>
        </is>
      </c>
      <c r="D449" s="24" t="inlineStr">
        <is>
          <t>Record and verify an external price reference</t>
        </is>
      </c>
      <c r="E449" s="24" t="inlineStr">
        <is>
          <t>Positive</t>
        </is>
      </c>
      <c r="F449" s="24" t="inlineStr">
        <is>
          <t>P2</t>
        </is>
      </c>
      <c r="G449" s="24" t="inlineStr">
        <is>
          <t>Operator</t>
        </is>
      </c>
      <c r="H449" s="24" t="inlineStr">
        <is>
          <t>UI</t>
        </is>
      </c>
      <c r="I449" s="24" t="n"/>
      <c r="J449" s="24" t="inlineStr">
        <is>
          <t>1. /admin/price-references -&gt; record (product code, price, source, URL, location, date) -&gt; Verify; Reject another (note required); Reopen</t>
        </is>
      </c>
      <c r="K449" s="24" t="inlineStr">
        <is>
          <t>Each status change works with history. No shop price or MRP changes as a result.</t>
        </is>
      </c>
      <c r="L449" s="24" t="inlineStr">
        <is>
          <t>QA I-01, I-04</t>
        </is>
      </c>
      <c r="M449" s="24" t="inlineStr">
        <is>
          <t>Pass</t>
        </is>
      </c>
      <c r="N449" s="24" t="inlineStr">
        <is>
          <t>Local Pass · Staging Not run (rule) · Production Not run
local: no product → 422; no price → 422; no source → 422; no date → 422; unknown code → 404; price 0 → 422; negative → 422; text price → 422; URL without scheme → 422; javascript: URL → 422; future date → 422; recorded → verified; another rejected (note required) → reopened, 3 history rows; MRP and price unchanged
staging: not run on staging: needs the server's database (local run only)</t>
        </is>
      </c>
      <c r="O449" s="24" t="n"/>
      <c r="P449" s="24" t="inlineStr">
        <is>
          <t>2026-10-24 17:06</t>
        </is>
      </c>
    </row>
    <row r="450" ht="23.25" customHeight="1" s="13">
      <c r="A450" s="24" t="inlineStr">
        <is>
          <t>TC-CAT-013</t>
        </is>
      </c>
      <c r="B450" s="24" t="inlineStr">
        <is>
          <t>Catalogue, pricing, MRP, inventory &amp; images</t>
        </is>
      </c>
      <c r="C450" s="24" t="inlineStr">
        <is>
          <t>GS-013, RBAC-005, NEW-008</t>
        </is>
      </c>
      <c r="D450" s="24" t="inlineStr">
        <is>
          <t>Excel upload by the owner: validate, preview, apply</t>
        </is>
      </c>
      <c r="E450" s="24" t="inlineStr">
        <is>
          <t>Regression</t>
        </is>
      </c>
      <c r="F450" s="24" t="inlineStr">
        <is>
          <t>P0</t>
        </is>
      </c>
      <c r="G450" s="24" t="inlineStr">
        <is>
          <t>Shop</t>
        </is>
      </c>
      <c r="H450" s="24" t="inlineStr">
        <is>
          <t>UI</t>
        </is>
      </c>
      <c r="I450" s="24" t="n"/>
      <c r="J450" s="24" t="inlineStr">
        <is>
          <t>1. Download the price template
2. Edit prices
3. Upload
4. Review the preview
5. Apply</t>
        </is>
      </c>
      <c r="K450" s="24" t="inlineStr">
        <is>
          <t>Preview shows old vs new with counts; apply updates prices in one transaction; audit and price history written. Loose rows have a blank price in the template (TC-CAT-033).</t>
        </is>
      </c>
      <c r="L450" s="24" t="inlineStr">
        <is>
          <t>Regression CAT-05; tests excel-goods-upload; Updated 3-Oct</t>
        </is>
      </c>
      <c r="M450" s="24" t="inlineStr">
        <is>
          <t>Pass</t>
        </is>
      </c>
      <c r="N450" s="24" t="inlineStr">
        <is>
          <t>Local Pass · Staging Not run (rule) · Production Not run
local: template 69 rows (loose rows blank); preview "2 to update" with old/new; Apply → ₹55 and ₹65.50 live, price history + "excel_upload.applied"
staging: not run on staging: needs the server's database (local run only)</t>
        </is>
      </c>
      <c r="O450" s="24" t="n"/>
      <c r="P450" s="24" t="inlineStr">
        <is>
          <t>2026-10-24 17:06</t>
        </is>
      </c>
    </row>
    <row r="451" ht="34.5" customHeight="1" s="13">
      <c r="A451" s="24" t="inlineStr">
        <is>
          <t>TC-CAT-014</t>
        </is>
      </c>
      <c r="B451" s="24" t="inlineStr">
        <is>
          <t>Catalogue, pricing, MRP, inventory &amp; images</t>
        </is>
      </c>
      <c r="C451" s="24" t="inlineStr">
        <is>
          <t>GS-013</t>
        </is>
      </c>
      <c r="D451" s="24" t="inlineStr">
        <is>
          <t>Excel validation errors</t>
        </is>
      </c>
      <c r="E451" s="24" t="inlineStr">
        <is>
          <t>Negative</t>
        </is>
      </c>
      <c r="F451" s="24" t="inlineStr">
        <is>
          <t>P0</t>
        </is>
      </c>
      <c r="G451" s="24" t="inlineStr">
        <is>
          <t>Shop</t>
        </is>
      </c>
      <c r="H451" s="24" t="inlineStr">
        <is>
          <t>UI</t>
        </is>
      </c>
      <c r="I451" s="24" t="n"/>
      <c r="J451" s="24" t="inlineStr">
        <is>
          <t>1. Upload: a non-Excel file renamed .xlsx, an oversized file, missing columns, a negative price, text in a price cell, duplicate rows, an unknown product code, and a cell starting with '=' or '+'</t>
        </is>
      </c>
      <c r="K451" s="24" t="inlineStr">
        <is>
          <t>Each reported row-by-row in an error report; nothing applied; formula-like cells are sanitised, not executed.</t>
        </is>
      </c>
      <c r="L451" s="24" t="inlineStr">
        <is>
          <t>RBAC plan Phase 7</t>
        </is>
      </c>
      <c r="M451" s="24" t="inlineStr">
        <is>
          <t>Pass</t>
        </is>
      </c>
      <c r="N451" s="24" t="inlineStr">
        <is>
          <t>Local Pass · Staging Not run (rule) · Production Not run
local: fake .xlsx → 422 "That file could not be read as a spreadsheet."; 2.2 MB → 422; no Price column → 422; rows: 2:INVALID_PRICE, 3:INVALID_PRICE, 4:VALID, 5:DUPLICATE, 6:NOT_FOUND, 7:NOT_FOUND; '=' and '+' cells stored with a leading quote; discarded, nothing applied
staging: not run on staging: needs the server's database (local run only)</t>
        </is>
      </c>
      <c r="O451" s="24" t="n"/>
      <c r="P451" s="24" t="inlineStr">
        <is>
          <t>2026-10-24 17:06</t>
        </is>
      </c>
    </row>
    <row r="452" ht="23.25" customHeight="1" s="13">
      <c r="A452" s="24" t="inlineStr">
        <is>
          <t>TC-CAT-015</t>
        </is>
      </c>
      <c r="B452" s="24" t="inlineStr">
        <is>
          <t>Catalogue, pricing, MRP, inventory &amp; images</t>
        </is>
      </c>
      <c r="C452" s="24" t="inlineStr">
        <is>
          <t>GS-013, RBAC-005</t>
        </is>
      </c>
      <c r="D452" s="24" t="inlineStr">
        <is>
          <t>Excel upload by an operator creates pending requests</t>
        </is>
      </c>
      <c r="E452" s="24" t="inlineStr">
        <is>
          <t>Positive</t>
        </is>
      </c>
      <c r="F452" s="24" t="inlineStr">
        <is>
          <t>P1</t>
        </is>
      </c>
      <c r="G452" s="24" t="inlineStr">
        <is>
          <t>Operator</t>
        </is>
      </c>
      <c r="H452" s="24" t="inlineStr">
        <is>
          <t>UI</t>
        </is>
      </c>
      <c r="I452" s="24" t="n"/>
      <c r="J452" s="24" t="inlineStr">
        <is>
          <t>1. Operator uploads prices for a shop</t>
        </is>
      </c>
      <c r="K452" s="24" t="inlineStr">
        <is>
          <t>Changes queue for the owner's approval instead of applying.</t>
        </is>
      </c>
      <c r="L452" s="24" t="inlineStr">
        <is>
          <t>RBAC plan decisions</t>
        </is>
      </c>
      <c r="M452" s="24" t="inlineStr">
        <is>
          <t>Pass</t>
        </is>
      </c>
      <c r="N452" s="24" t="inlineStr">
        <is>
          <t>Local Pass · Staging Not run (rule) · Production Not run
local: operator sheet ₹61 → pending 1 for the owner, live price ₹50 unchanged
staging: not run on staging: needs the server's database (local run only)</t>
        </is>
      </c>
      <c r="O452" s="24" t="n"/>
      <c r="P452" s="24" t="inlineStr">
        <is>
          <t>2026-10-24 17:06</t>
        </is>
      </c>
    </row>
    <row r="453" ht="34.5" customHeight="1" s="13">
      <c r="A453" s="24" t="inlineStr">
        <is>
          <t>TC-CAT-016</t>
        </is>
      </c>
      <c r="B453" s="24" t="inlineStr">
        <is>
          <t>Catalogue, pricing, MRP, inventory &amp; images</t>
        </is>
      </c>
      <c r="C453" s="24" t="inlineStr">
        <is>
          <t>RBAC-005</t>
        </is>
      </c>
      <c r="D453" s="24" t="inlineStr">
        <is>
          <t>Customer cannot upload product lists</t>
        </is>
      </c>
      <c r="E453" s="24" t="inlineStr">
        <is>
          <t>Security</t>
        </is>
      </c>
      <c r="F453" s="24" t="inlineStr">
        <is>
          <t>P0</t>
        </is>
      </c>
      <c r="G453" s="24" t="inlineStr">
        <is>
          <t>Customer</t>
        </is>
      </c>
      <c r="H453" s="24" t="inlineStr">
        <is>
          <t>API</t>
        </is>
      </c>
      <c r="I453" s="24" t="n"/>
      <c r="J453" s="24" t="inlineStr">
        <is>
          <t>1. POST /api/excel-uploads</t>
        </is>
      </c>
      <c r="K453" s="24" t="inlineStr">
        <is>
          <t>403.</t>
        </is>
      </c>
      <c r="L453" s="24" t="inlineStr">
        <is>
          <t>RBAC Matrix</t>
        </is>
      </c>
      <c r="M453" s="24" t="inlineStr">
        <is>
          <t>Pass</t>
        </is>
      </c>
      <c r="N453" s="24" t="inlineStr">
        <is>
          <t>Local Pass · Staging Pass · Production Not run
local: customer upload → 403 "This shop does not belong to you."; template → 403
staging: customer upload → 403 "This shop does not belong to you."; template → 403</t>
        </is>
      </c>
      <c r="O453" s="24" t="n"/>
      <c r="P453" s="24" t="inlineStr">
        <is>
          <t>2026-10-24 20:35</t>
        </is>
      </c>
    </row>
    <row r="454" ht="23.25" customHeight="1" s="13">
      <c r="A454" s="24" t="inlineStr">
        <is>
          <t>TC-CAT-017</t>
        </is>
      </c>
      <c r="B454" s="24" t="inlineStr">
        <is>
          <t>Catalogue, pricing, MRP, inventory &amp; images</t>
        </is>
      </c>
      <c r="C454" s="24" t="inlineStr">
        <is>
          <t>GS-016, NEW-009</t>
        </is>
      </c>
      <c r="D454" s="24" t="inlineStr">
        <is>
          <t>Update stock</t>
        </is>
      </c>
      <c r="E454" s="24" t="inlineStr">
        <is>
          <t>Regression</t>
        </is>
      </c>
      <c r="F454" s="24" t="inlineStr">
        <is>
          <t>P0</t>
        </is>
      </c>
      <c r="G454" s="24" t="inlineStr">
        <is>
          <t>Shop</t>
        </is>
      </c>
      <c r="H454" s="24" t="inlineStr">
        <is>
          <t>UI</t>
        </is>
      </c>
      <c r="I454" s="24" t="n"/>
      <c r="J454" s="24" t="inlineStr">
        <is>
          <t>1. /shop/inventory -&gt; change stock on a listing</t>
        </is>
      </c>
      <c r="K454" s="24" t="inlineStr">
        <is>
          <t>Saved; an inventory movement is written; storefront availability follows. Applies equally to listings created at stock 100 by a category add (TC-CAT-052).</t>
        </is>
      </c>
      <c r="L454" s="24" t="inlineStr">
        <is>
          <t>QA I-11; Updated 3-Oct</t>
        </is>
      </c>
      <c r="M454" s="24" t="inlineStr">
        <is>
          <t>Pass</t>
        </is>
      </c>
      <c r="N454" s="24" t="inlineStr">
        <is>
          <t>Passed, partly covered. Local Pass (partial) · Staging Not run (rule) · Production Not run
local: not covered: listings created at stock 100 by a category add are corrected the same way in TC-CAT-052
staging: not run on staging: needs the server's database (local run only)</t>
        </is>
      </c>
      <c r="O454" s="24" t="n"/>
      <c r="P454" s="24" t="inlineStr">
        <is>
          <t>2026-10-24 17:06</t>
        </is>
      </c>
    </row>
    <row r="455" ht="34.5" customHeight="1" s="13">
      <c r="A455" s="24" t="inlineStr">
        <is>
          <t>TC-CAT-018</t>
        </is>
      </c>
      <c r="B455" s="24" t="inlineStr">
        <is>
          <t>Catalogue, pricing, MRP, inventory &amp; images</t>
        </is>
      </c>
      <c r="C455" s="24" t="inlineStr">
        <is>
          <t>GS-016</t>
        </is>
      </c>
      <c r="D455" s="24" t="inlineStr">
        <is>
          <t>Stock reduces on order and never goes negative</t>
        </is>
      </c>
      <c r="E455" s="24" t="inlineStr">
        <is>
          <t>Regression</t>
        </is>
      </c>
      <c r="F455" s="24" t="inlineStr">
        <is>
          <t>P0</t>
        </is>
      </c>
      <c r="G455" s="24" t="inlineStr">
        <is>
          <t>Shop</t>
        </is>
      </c>
      <c r="H455" s="24" t="inlineStr">
        <is>
          <t>UI</t>
        </is>
      </c>
      <c r="I455" s="24" t="n"/>
      <c r="J455" s="24" t="inlineStr">
        <is>
          <t>1. Order 2 units of a product with stock 5
2. Check inventory</t>
        </is>
      </c>
      <c r="K455" s="24" t="inlineStr">
        <is>
          <t>Stock 3; reserved/available/on-hand consistent (on-hand = available + reserved).</t>
        </is>
      </c>
      <c r="L455" s="24" t="inlineStr">
        <is>
          <t>QA I-12</t>
        </is>
      </c>
      <c r="M455" s="24" t="inlineStr">
        <is>
          <t>Pass</t>
        </is>
      </c>
      <c r="N455" s="24" t="inlineStr">
        <is>
          <t>Local Pass · Staging Not run (rule) · Production Not run
local: DB-20261024-8FPGEF: available 3, reserved 2, on hand 5; 4 more refused (409)
staging: not run on staging: needs the server's database (local run only)</t>
        </is>
      </c>
      <c r="O455" s="24" t="n"/>
      <c r="P455" s="24" t="inlineStr">
        <is>
          <t>2026-10-24 17:06</t>
        </is>
      </c>
    </row>
    <row r="456" ht="23.25" customHeight="1" s="13">
      <c r="A456" s="24" t="inlineStr">
        <is>
          <t>TC-CAT-019</t>
        </is>
      </c>
      <c r="B456" s="24" t="inlineStr">
        <is>
          <t>Catalogue, pricing, MRP, inventory &amp; images</t>
        </is>
      </c>
      <c r="C456" s="24" t="inlineStr">
        <is>
          <t>GS-017, GS-018</t>
        </is>
      </c>
      <c r="D456" s="24" t="inlineStr">
        <is>
          <t>Low-stock threshold resolution</t>
        </is>
      </c>
      <c r="E456" s="24" t="inlineStr">
        <is>
          <t>Positive</t>
        </is>
      </c>
      <c r="F456" s="24" t="inlineStr">
        <is>
          <t>P1</t>
        </is>
      </c>
      <c r="G456" s="24" t="inlineStr">
        <is>
          <t>Shop</t>
        </is>
      </c>
      <c r="H456" s="24" t="inlineStr">
        <is>
          <t>UI</t>
        </is>
      </c>
      <c r="I456" s="24" t="n"/>
      <c r="J456" s="24" t="inlineStr">
        <is>
          <t>1. Set shop default 10, a product default via API, and a listing threshold 3</t>
        </is>
      </c>
      <c r="K456" s="24" t="inlineStr">
        <is>
          <t>Effective threshold follows listing -&gt; product -&gt; shop and the table shows its source.</t>
        </is>
      </c>
      <c r="L456" s="24" t="inlineStr">
        <is>
          <t>QA I-09</t>
        </is>
      </c>
      <c r="M456" s="24" t="inlineStr">
        <is>
          <t>Pass</t>
        </is>
      </c>
      <c r="N456" s="24" t="inlineStr">
        <is>
          <t>Passed, partly covered. Local Pass (partial) · Staging Not run (rule) · Production Not run
local: not covered: the source column on /shop/inventory renders the same values (SOURCE_LABEL); the page is not opened here
staging: not run on staging: needs the server's database (local run only)</t>
        </is>
      </c>
      <c r="O456" s="24" t="n"/>
      <c r="P456" s="24" t="inlineStr">
        <is>
          <t>2026-10-24 17:06</t>
        </is>
      </c>
    </row>
    <row r="457" ht="23.25" customHeight="1" s="13">
      <c r="A457" s="24" t="inlineStr">
        <is>
          <t>TC-CAT-020</t>
        </is>
      </c>
      <c r="B457" s="24" t="inlineStr">
        <is>
          <t>Catalogue, pricing, MRP, inventory &amp; images</t>
        </is>
      </c>
      <c r="C457" s="24" t="inlineStr">
        <is>
          <t>GS-017</t>
        </is>
      </c>
      <c r="D457" s="24" t="inlineStr">
        <is>
          <t>Low-stock alert fires once per crossing</t>
        </is>
      </c>
      <c r="E457" s="24" t="inlineStr">
        <is>
          <t>Positive</t>
        </is>
      </c>
      <c r="F457" s="24" t="inlineStr">
        <is>
          <t>P1</t>
        </is>
      </c>
      <c r="G457" s="24" t="inlineStr">
        <is>
          <t>Shop</t>
        </is>
      </c>
      <c r="H457" s="24" t="inlineStr">
        <is>
          <t>UI</t>
        </is>
      </c>
      <c r="I457" s="24" t="n"/>
      <c r="J457" s="24" t="inlineStr">
        <is>
          <t>1. Buy stock down through the threshold
2. Buy again while still low
3. Restock</t>
        </is>
      </c>
      <c r="K457" s="24" t="inlineStr">
        <is>
          <t>One alert and one notification on crossing; none while it stays low; alert resolves on restock.</t>
        </is>
      </c>
      <c r="L457" s="24" t="inlineStr">
        <is>
          <t>QA I-10</t>
        </is>
      </c>
      <c r="M457" s="24" t="inlineStr">
        <is>
          <t>Pass</t>
        </is>
      </c>
      <c r="N457" s="24" t="inlineStr">
        <is>
          <t>Local Pass · Staging Not run (rule) · Production Not run
local: 6 → 3 (threshold 3): one LOW_STOCK alert and one notification; → 2: no new alert; restock to 30: resolved
staging: not run on staging: needs the server's database (local run only)</t>
        </is>
      </c>
      <c r="O457" s="24" t="n"/>
      <c r="P457" s="24" t="inlineStr">
        <is>
          <t>2026-10-24 17:06</t>
        </is>
      </c>
    </row>
    <row r="458" ht="34.5" customHeight="1" s="13">
      <c r="A458" s="24" t="inlineStr">
        <is>
          <t>TC-CAT-021</t>
        </is>
      </c>
      <c r="B458" s="24" t="inlineStr">
        <is>
          <t>Catalogue, pricing, MRP, inventory &amp; images</t>
        </is>
      </c>
      <c r="C458" s="24" t="inlineStr">
        <is>
          <t>GS-018</t>
        </is>
      </c>
      <c r="D458" s="24" t="inlineStr">
        <is>
          <t>Reorder level and quantity</t>
        </is>
      </c>
      <c r="E458" s="24" t="inlineStr">
        <is>
          <t>Positive</t>
        </is>
      </c>
      <c r="F458" s="24" t="inlineStr">
        <is>
          <t>P2</t>
        </is>
      </c>
      <c r="G458" s="24" t="inlineStr">
        <is>
          <t>Shop</t>
        </is>
      </c>
      <c r="H458" s="24" t="inlineStr">
        <is>
          <t>UI</t>
        </is>
      </c>
      <c r="I458" s="24" t="n"/>
      <c r="J458" s="24" t="inlineStr">
        <is>
          <t>1. Set reorder level and quantity on a listing</t>
        </is>
      </c>
      <c r="K458" s="24" t="inlineStr">
        <is>
          <t>Saved and shown with the low-stock list on the dashboard.</t>
        </is>
      </c>
      <c r="L458" s="24" t="inlineStr">
        <is>
          <t>Status report GS-018</t>
        </is>
      </c>
      <c r="M458" s="24" t="inlineStr">
        <is>
          <t>Pass</t>
        </is>
      </c>
      <c r="N458" s="24" t="inlineStr">
        <is>
          <t>Local Pass · Staging Not run (rule) · Production Not run
local: reorder at 5, order 24: row flagged reorder; dashboard reorderRequired 1
staging: not run on staging: needs the server's database (local run only)</t>
        </is>
      </c>
      <c r="O458" s="24" t="n"/>
      <c r="P458" s="24" t="inlineStr">
        <is>
          <t>2026-10-24 17:06</t>
        </is>
      </c>
    </row>
    <row r="459" ht="45.75" customHeight="1" s="13">
      <c r="A459" s="24" t="inlineStr">
        <is>
          <t>TC-CAT-022</t>
        </is>
      </c>
      <c r="B459" s="24" t="inlineStr">
        <is>
          <t>Catalogue, pricing, MRP, inventory &amp; images</t>
        </is>
      </c>
      <c r="C459" s="24" t="inlineStr">
        <is>
          <t>GS-014</t>
        </is>
      </c>
      <c r="D459" s="24" t="inlineStr">
        <is>
          <t>Product photos: add, primary, reorder, replace, delete</t>
        </is>
      </c>
      <c r="E459" s="24" t="inlineStr">
        <is>
          <t>Positive</t>
        </is>
      </c>
      <c r="F459" s="24" t="inlineStr">
        <is>
          <t>P1</t>
        </is>
      </c>
      <c r="G459" s="24" t="inlineStr">
        <is>
          <t>Shop</t>
        </is>
      </c>
      <c r="H459" s="24" t="inlineStr">
        <is>
          <t>UI</t>
        </is>
      </c>
      <c r="I459" s="24" t="n"/>
      <c r="J459" s="24" t="inlineStr">
        <is>
          <t>1. /shop/products/{id}/images: add several, make one primary, move left/right, replace one, delete the primary</t>
        </is>
      </c>
      <c r="K459" s="24" t="inlineStr">
        <is>
          <t>Order and primary persist; the next photo becomes primary on delete; product card, cart and gallery update.</t>
        </is>
      </c>
      <c r="L459" s="24" t="inlineStr">
        <is>
          <t>QA I-13</t>
        </is>
      </c>
      <c r="M459" s="24" t="inlineStr">
        <is>
          <t>Pass</t>
        </is>
      </c>
      <c r="N459" s="24" t="inlineStr">
        <is>
          <t>Local Pass · Staging Not run (rule) · Production Not run
local: QA Product mvmmbtql 18: 3 added on the page, the third moved earlier, the middle one replaced in place, the main deleted → the next is main; storefront imageUrl /api/images/af215cab-6a83-4568-bb27-74bec59566ef
staging: not run on staging: needs the server's database (local run only)</t>
        </is>
      </c>
      <c r="O459" s="24" t="n"/>
      <c r="P459" s="24" t="inlineStr">
        <is>
          <t>2026-10-24 17:06</t>
        </is>
      </c>
    </row>
    <row r="460" ht="23.25" customHeight="1" s="13">
      <c r="A460" s="24" t="inlineStr">
        <is>
          <t>TC-CAT-023</t>
        </is>
      </c>
      <c r="B460" s="24" t="inlineStr">
        <is>
          <t>Catalogue, pricing, MRP, inventory &amp; images</t>
        </is>
      </c>
      <c r="C460" s="24" t="inlineStr">
        <is>
          <t>GS-014</t>
        </is>
      </c>
      <c r="D460" s="24" t="inlineStr">
        <is>
          <t>Image upload validation</t>
        </is>
      </c>
      <c r="E460" s="24" t="inlineStr">
        <is>
          <t>Negative</t>
        </is>
      </c>
      <c r="F460" s="24" t="inlineStr">
        <is>
          <t>P0</t>
        </is>
      </c>
      <c r="G460" s="24" t="inlineStr">
        <is>
          <t>Shop</t>
        </is>
      </c>
      <c r="H460" s="24" t="inlineStr">
        <is>
          <t>UI</t>
        </is>
      </c>
      <c r="I460" s="24" t="n"/>
      <c r="J460" s="24" t="inlineStr">
        <is>
          <t>1. Upload a 6 MB file, a PDF renamed .jpg, an SVG/HTML renamed .jpg, a 20x20 px image, a 4000 px phone photo</t>
        </is>
      </c>
      <c r="K460" s="24" t="inlineStr">
        <is>
          <t>First four refused with clear messages (content is sniffed, not trusted by name). The large photo is accepted after browser-side shrink.</t>
        </is>
      </c>
      <c r="L460" s="24" t="inlineStr">
        <is>
          <t>QA I-14; section 13</t>
        </is>
      </c>
      <c r="M460" s="24" t="inlineStr">
        <is>
          <t>Pass</t>
        </is>
      </c>
      <c r="N460" s="24" t="inlineStr">
        <is>
          <t>Local Pass · Staging Not run (rule) · Production Not run
local: 6 MB (6.3 MB) → 422, PDF named .jpg (0.0 MB) → 422, SVG named .jpg (0.0 MB) → 422, HTML named .jpg (0.0 MB) → 422, 20×20 (0.0 MB) → 422; a 4000×3000 phone photo of 11.5 MB went up as 0.00 MB and was accepted
staging: not run on staging: needs the server's database (local run only)</t>
        </is>
      </c>
      <c r="O460" s="24" t="n"/>
      <c r="P460" s="24" t="inlineStr">
        <is>
          <t>2026-10-24 17:06</t>
        </is>
      </c>
    </row>
    <row r="461" ht="34.5" customHeight="1" s="13">
      <c r="A461" s="24" t="inlineStr">
        <is>
          <t>TC-CAT-024</t>
        </is>
      </c>
      <c r="B461" s="24" t="inlineStr">
        <is>
          <t>Catalogue, pricing, MRP, inventory &amp; images</t>
        </is>
      </c>
      <c r="C461" s="24" t="inlineStr">
        <is>
          <t>GS-014</t>
        </is>
      </c>
      <c r="D461" s="24" t="inlineStr">
        <is>
          <t>Another shop cannot edit your photos</t>
        </is>
      </c>
      <c r="E461" s="24" t="inlineStr">
        <is>
          <t>Security</t>
        </is>
      </c>
      <c r="F461" s="24" t="inlineStr">
        <is>
          <t>P0</t>
        </is>
      </c>
      <c r="G461" s="24" t="inlineStr">
        <is>
          <t>Shop</t>
        </is>
      </c>
      <c r="H461" s="24" t="inlineStr">
        <is>
          <t>API</t>
        </is>
      </c>
      <c r="I461" s="24" t="n"/>
      <c r="J461" s="24" t="inlineStr">
        <is>
          <t>1. As owner B call the image APIs for owner A's listing</t>
        </is>
      </c>
      <c r="K461" s="24" t="inlineStr">
        <is>
          <t>403/404.</t>
        </is>
      </c>
      <c r="L461" s="24" t="inlineStr">
        <is>
          <t>QA I-16</t>
        </is>
      </c>
      <c r="M461" s="24" t="inlineStr">
        <is>
          <t>Pass</t>
        </is>
      </c>
      <c r="N461" s="24" t="inlineStr">
        <is>
          <t>Local Pass · Staging Blocked · Production Not run
local: read media 403, add photo 403, reorder 403, delete 403, descriptions 403, product photo 403
staging: needs a second shop (shop B) and its owner</t>
        </is>
      </c>
      <c r="O461" s="24" t="n"/>
      <c r="P461" s="24" t="inlineStr">
        <is>
          <t>2026-10-24 20:35</t>
        </is>
      </c>
    </row>
    <row r="462" ht="34.5" customHeight="1" s="13">
      <c r="A462" s="24" t="inlineStr">
        <is>
          <t>TC-CAT-025</t>
        </is>
      </c>
      <c r="B462" s="24" t="inlineStr">
        <is>
          <t>Catalogue, pricing, MRP, inventory &amp; images</t>
        </is>
      </c>
      <c r="C462" s="24" t="inlineStr">
        <is>
          <t>GS-014</t>
        </is>
      </c>
      <c r="D462" s="24" t="inlineStr">
        <is>
          <t>Image upload rate limit</t>
        </is>
      </c>
      <c r="E462" s="24" t="inlineStr">
        <is>
          <t>Boundary</t>
        </is>
      </c>
      <c r="F462" s="24" t="inlineStr">
        <is>
          <t>P2</t>
        </is>
      </c>
      <c r="G462" s="24" t="inlineStr">
        <is>
          <t>Shop</t>
        </is>
      </c>
      <c r="H462" s="24" t="inlineStr">
        <is>
          <t>API</t>
        </is>
      </c>
      <c r="I462" s="24" t="n"/>
      <c r="J462" s="24" t="inlineStr">
        <is>
          <t>1. Upload repeatedly in a short burst</t>
        </is>
      </c>
      <c r="K462" s="24" t="inlineStr">
        <is>
          <t>429 after the limit.</t>
        </is>
      </c>
      <c r="L462" s="24" t="inlineStr">
        <is>
          <t>QA section 13</t>
        </is>
      </c>
      <c r="M462" s="24" t="inlineStr">
        <is>
          <t>Pass</t>
        </is>
      </c>
      <c r="N462" s="24" t="inlineStr">
        <is>
          <t>Local Pass · Staging Not run (rule) · Production Not run
local: 429 at upload #61 (limit 60 per 10 minutes; uploads past the 5-photo cap answered 422 until then)
staging: not run on staging: needs the server's database (local run only)</t>
        </is>
      </c>
      <c r="O462" s="24" t="n"/>
      <c r="P462" s="24" t="inlineStr">
        <is>
          <t>2026-10-24 17:06</t>
        </is>
      </c>
    </row>
    <row r="463" ht="23.25" customHeight="1" s="13">
      <c r="A463" s="24" t="inlineStr">
        <is>
          <t>TC-CAT-026</t>
        </is>
      </c>
      <c r="B463" s="24" t="inlineStr">
        <is>
          <t>Catalogue, pricing, MRP, inventory &amp; images</t>
        </is>
      </c>
      <c r="C463" s="24" t="inlineStr">
        <is>
          <t>GS-014</t>
        </is>
      </c>
      <c r="D463" s="24" t="inlineStr">
        <is>
          <t>Specifications display</t>
        </is>
      </c>
      <c r="E463" s="24" t="inlineStr">
        <is>
          <t>Regression</t>
        </is>
      </c>
      <c r="F463" s="24" t="inlineStr">
        <is>
          <t>P2</t>
        </is>
      </c>
      <c r="G463" s="24" t="inlineStr">
        <is>
          <t>Customer</t>
        </is>
      </c>
      <c r="H463" s="24" t="inlineStr">
        <is>
          <t>UI</t>
        </is>
      </c>
      <c r="I463" s="24" t="n"/>
      <c r="J463" s="24" t="inlineStr">
        <is>
          <t>1. View a product with specifications text</t>
        </is>
      </c>
      <c r="K463" s="24" t="inlineStr">
        <is>
          <t>Shown escaped; no HTML injection.</t>
        </is>
      </c>
      <c r="L463" s="24" t="inlineStr">
        <is>
          <t>Regression CAT-11</t>
        </is>
      </c>
      <c r="M463" s="24" t="inlineStr">
        <is>
          <t>Pass</t>
        </is>
      </c>
      <c r="N463" s="24" t="inlineStr">
        <is>
          <t>Passed, partly covered. Local Pass (partial) · Staging Not run (rule) · Production Not run
local: not covered: specifications are stored but not displayed on the product page on this build, so 'shown escaped' is proven only for the description
staging: not run on staging: needs the server's database (local run only)</t>
        </is>
      </c>
      <c r="O463" s="24" t="n"/>
      <c r="P463" s="24" t="inlineStr">
        <is>
          <t>2026-10-24 17:06</t>
        </is>
      </c>
    </row>
    <row r="464" ht="23.25" customHeight="1" s="13">
      <c r="A464" s="24" t="inlineStr">
        <is>
          <t>TC-CAT-027</t>
        </is>
      </c>
      <c r="B464" s="24" t="inlineStr">
        <is>
          <t>Catalogue, pricing, MRP, inventory &amp; images</t>
        </is>
      </c>
      <c r="C464" s="24" t="inlineStr">
        <is>
          <t>NEW-008, GS-011</t>
        </is>
      </c>
      <c r="D464" s="24" t="inlineStr">
        <is>
          <t>Loose product has no default price in the master catalogue</t>
        </is>
      </c>
      <c r="E464" s="24" t="inlineStr">
        <is>
          <t>Positive</t>
        </is>
      </c>
      <c r="F464" s="24" t="inlineStr">
        <is>
          <t>P0</t>
        </is>
      </c>
      <c r="G464" s="24" t="inlineStr">
        <is>
          <t>Operator</t>
        </is>
      </c>
      <c r="H464" s="24" t="inlineStr">
        <is>
          <t>UI</t>
        </is>
      </c>
      <c r="I464" s="24" t="inlineStr">
        <is>
          <t>One loose product (sold by weight) in the master</t>
        </is>
      </c>
      <c r="J464" s="24" t="inlineStr">
        <is>
          <t>1. Open the loose product in admin product management
2. Check price and MRP</t>
        </is>
      </c>
      <c r="K464" s="24" t="inlineStr">
        <is>
          <t>No default price is held or shown for a loose product. The field is empty, not 0.</t>
        </is>
      </c>
      <c r="L464" s="24" t="inlineStr">
        <is>
          <t>New requirement 3-Oct: loose goods price empty (NEW-008)</t>
        </is>
      </c>
      <c r="M464" s="24" t="inlineStr">
        <is>
          <t>Pass</t>
        </is>
      </c>
      <c r="N464" s="24" t="inlineStr">
        <is>
          <t>Local Pass · Staging Not run (rule) · Production Not run
local: QA Loose Paneer mvmkyclr: kind LOOSE, MRP null (not 0); no MRP shown on its page
staging: not run on staging: needs the server's database (local run only)</t>
        </is>
      </c>
      <c r="O464" s="24" t="n"/>
      <c r="P464" s="24" t="inlineStr">
        <is>
          <t>2026-10-24 17:06</t>
        </is>
      </c>
    </row>
    <row r="465" ht="23.25" customHeight="1" s="13">
      <c r="A465" s="24" t="inlineStr">
        <is>
          <t>TC-CAT-028</t>
        </is>
      </c>
      <c r="B465" s="24" t="inlineStr">
        <is>
          <t>Catalogue, pricing, MRP, inventory &amp; images</t>
        </is>
      </c>
      <c r="C465" s="24" t="inlineStr">
        <is>
          <t>NEW-008, GS-012</t>
        </is>
      </c>
      <c r="D465" s="24" t="inlineStr">
        <is>
          <t>Loose product added to a shop starts with an empty price</t>
        </is>
      </c>
      <c r="E465" s="24" t="inlineStr">
        <is>
          <t>Positive</t>
        </is>
      </c>
      <c r="F465" s="24" t="inlineStr">
        <is>
          <t>P0</t>
        </is>
      </c>
      <c r="G465" s="24" t="inlineStr">
        <is>
          <t>Shop</t>
        </is>
      </c>
      <c r="H465" s="24" t="inlineStr">
        <is>
          <t>UI+DB</t>
        </is>
      </c>
      <c r="I465" s="24" t="inlineStr">
        <is>
          <t>Shop A does not yet list the loose product</t>
        </is>
      </c>
      <c r="J465" s="24" t="inlineStr">
        <is>
          <t>1. Add the loose product to the shop
2. Open it on /shop/prices
3. Read the stored value (API or database)</t>
        </is>
      </c>
      <c r="K465" s="24" t="inlineStr">
        <is>
          <t>Price field is empty for the owner to fill. Stored value is null, not 0.</t>
        </is>
      </c>
      <c r="L465" s="24" t="inlineStr">
        <is>
          <t>New requirement 3-Oct: loose goods price empty (NEW-008)</t>
        </is>
      </c>
      <c r="M465" s="24" t="inlineStr">
        <is>
          <t>Pass</t>
        </is>
      </c>
      <c r="N465" s="24" t="inlineStr">
        <is>
          <t>Passed, partly covered. Local Pass (partial) · Staging Not run (rule) · Production Not run
local: not covered: added through the category add (the path that lists without a price); the single-product Add row asks for a price first
staging: not run on staging: needs the server's database (local run only)</t>
        </is>
      </c>
      <c r="O465" s="24" t="n"/>
      <c r="P465" s="24" t="inlineStr">
        <is>
          <t>2026-10-24 17:06</t>
        </is>
      </c>
    </row>
    <row r="466" ht="23.25" customHeight="1" s="13">
      <c r="A466" s="24" t="inlineStr">
        <is>
          <t>TC-CAT-029</t>
        </is>
      </c>
      <c r="B466" s="24" t="inlineStr">
        <is>
          <t>Catalogue, pricing, MRP, inventory &amp; images</t>
        </is>
      </c>
      <c r="C466" s="24" t="inlineStr">
        <is>
          <t>NEW-008, GS-015</t>
        </is>
      </c>
      <c r="D466" s="24" t="inlineStr">
        <is>
          <t>Customer never sees Rs 0 for an unpriced loose product</t>
        </is>
      </c>
      <c r="E466" s="24" t="inlineStr">
        <is>
          <t>Positive</t>
        </is>
      </c>
      <c r="F466" s="24" t="inlineStr">
        <is>
          <t>P0</t>
        </is>
      </c>
      <c r="G466" s="24" t="inlineStr">
        <is>
          <t>Customer</t>
        </is>
      </c>
      <c r="H466" s="24" t="inlineStr">
        <is>
          <t>UI</t>
        </is>
      </c>
      <c r="I466" s="24" t="inlineStr">
        <is>
          <t>Shop A lists a loose product with no price</t>
        </is>
      </c>
      <c r="J466" s="24" t="inlineStr">
        <is>
          <t>1. Open the shop page, the product page and search results</t>
        </is>
      </c>
      <c r="K466" s="24" t="inlineStr">
        <is>
          <t>The product shows a 'price not set' style label instead of Rs 0 or a blank amount, with no Add button. No discount or MRP strike-through.</t>
        </is>
      </c>
      <c r="L466" s="24" t="inlineStr">
        <is>
          <t>New requirement 3-Oct: loose goods price empty (NEW-008)</t>
        </is>
      </c>
      <c r="M466" s="24" t="inlineStr">
        <is>
          <t>Pass</t>
        </is>
      </c>
      <c r="N466" s="24" t="inlineStr">
        <is>
          <t>Passed, partly covered. Local Pass (partial) · Staging Not run (rule) · Production Not run
local: not covered: the unpriced listing is off sale online, so the shop page leaves it out rather than labelling it
staging: not run on staging: needs the server's database (local run only)</t>
        </is>
      </c>
      <c r="O466" s="24" t="n"/>
      <c r="P466" s="24" t="inlineStr">
        <is>
          <t>2026-10-24 17:06</t>
        </is>
      </c>
    </row>
    <row r="467" ht="57" customHeight="1" s="13">
      <c r="A467" s="24" t="inlineStr">
        <is>
          <t>TC-CAT-030</t>
        </is>
      </c>
      <c r="B467" s="24" t="inlineStr">
        <is>
          <t>Catalogue, pricing, MRP, inventory &amp; images</t>
        </is>
      </c>
      <c r="C467" s="24" t="inlineStr">
        <is>
          <t>NEW-008, GS-024</t>
        </is>
      </c>
      <c r="D467" s="24" t="inlineStr">
        <is>
          <t>Unpriced product cannot be added to a cart or ordered</t>
        </is>
      </c>
      <c r="E467" s="24" t="inlineStr">
        <is>
          <t>Security</t>
        </is>
      </c>
      <c r="F467" s="24" t="inlineStr">
        <is>
          <t>P0</t>
        </is>
      </c>
      <c r="G467" s="24" t="inlineStr">
        <is>
          <t>Customer</t>
        </is>
      </c>
      <c r="H467" s="24" t="inlineStr">
        <is>
          <t>API</t>
        </is>
      </c>
      <c r="I467" s="24" t="inlineStr">
        <is>
          <t>Same unpriced listing</t>
        </is>
      </c>
      <c r="J467" s="24" t="inlineStr">
        <is>
          <t>1. POST /api/cart with the listing id
2. POST /api/checkout with it</t>
        </is>
      </c>
      <c r="K467" s="24" t="inlineStr">
        <is>
          <t>Both refused with a clear reason. No cart line, no order, no debit at Rs 0.</t>
        </is>
      </c>
      <c r="L467" s="24" t="inlineStr">
        <is>
          <t>New requirement 3-Oct: loose goods price empty (NEW-008)</t>
        </is>
      </c>
      <c r="M467" s="24" t="inlineStr">
        <is>
          <t>Pass</t>
        </is>
      </c>
      <c r="N467" s="24" t="inlineStr">
        <is>
          <t>Local Pass · Staging Blocked · Production Not run
local: add to cart → 409 "This product is currently available only at the physical shop."; checkout → 422 "Your cart is empty."
staging: needs an unpriced listing (the local world's unpriced loose product)</t>
        </is>
      </c>
      <c r="O467" s="24" t="n"/>
      <c r="P467" s="24" t="inlineStr">
        <is>
          <t>2026-10-24 20:35</t>
        </is>
      </c>
    </row>
    <row r="468" ht="34.5" customHeight="1" s="13">
      <c r="A468" s="24" t="inlineStr">
        <is>
          <t>TC-CAT-031</t>
        </is>
      </c>
      <c r="B468" s="24" t="inlineStr">
        <is>
          <t>Catalogue, pricing, MRP, inventory &amp; images</t>
        </is>
      </c>
      <c r="C468" s="24" t="inlineStr">
        <is>
          <t>NEW-008, GS-015</t>
        </is>
      </c>
      <c r="D468" s="24" t="inlineStr">
        <is>
          <t>Owner sets the price of a loose product</t>
        </is>
      </c>
      <c r="E468" s="24" t="inlineStr">
        <is>
          <t>Positive</t>
        </is>
      </c>
      <c r="F468" s="24" t="inlineStr">
        <is>
          <t>P0</t>
        </is>
      </c>
      <c r="G468" s="24" t="inlineStr">
        <is>
          <t>Shop</t>
        </is>
      </c>
      <c r="H468" s="24" t="inlineStr">
        <is>
          <t>UI</t>
        </is>
      </c>
      <c r="I468" s="24" t="inlineStr">
        <is>
          <t>Unpriced loose listing</t>
        </is>
      </c>
      <c r="J468" s="24" t="inlineStr">
        <is>
          <t>1. Enter Rs 60 per kg and save
2. View it as a customer</t>
        </is>
      </c>
      <c r="K468" s="24" t="inlineStr">
        <is>
          <t>Saved with price history and audit. Product becomes buyable and shows Rs 60 per kg.</t>
        </is>
      </c>
      <c r="L468" s="24" t="inlineStr">
        <is>
          <t>New requirement 3-Oct: loose goods price empty (NEW-008)</t>
        </is>
      </c>
      <c r="M468" s="24" t="inlineStr">
        <is>
          <t>Pass</t>
        </is>
      </c>
      <c r="N468" s="24" t="inlineStr">
        <is>
          <t>Local Pass · Staging Not run (rule) · Production Not run
local: ₹60/kg saved (history null → 6000, audited), on sale; cart line at 6000 paise; product page shows ₹60 per kg
staging: not run on staging: needs the server's database (local run only)</t>
        </is>
      </c>
      <c r="O468" s="24" t="n"/>
      <c r="P468" s="24" t="inlineStr">
        <is>
          <t>2026-10-24 17:06</t>
        </is>
      </c>
    </row>
    <row r="469" ht="34.5" customHeight="1" s="13">
      <c r="A469" s="24" t="inlineStr">
        <is>
          <t>TC-CAT-032</t>
        </is>
      </c>
      <c r="B469" s="24" t="inlineStr">
        <is>
          <t>Catalogue, pricing, MRP, inventory &amp; images</t>
        </is>
      </c>
      <c r="C469" s="24" t="inlineStr">
        <is>
          <t>NEW-008, GS-015</t>
        </is>
      </c>
      <c r="D469" s="24" t="inlineStr">
        <is>
          <t>Loose price field accepts empty but not zero or invalid values</t>
        </is>
      </c>
      <c r="E469" s="24" t="inlineStr">
        <is>
          <t>Negative</t>
        </is>
      </c>
      <c r="F469" s="24" t="inlineStr">
        <is>
          <t>P1</t>
        </is>
      </c>
      <c r="G469" s="24" t="inlineStr">
        <is>
          <t>Shop</t>
        </is>
      </c>
      <c r="H469" s="24" t="inlineStr">
        <is>
          <t>UI+API</t>
        </is>
      </c>
      <c r="I469" s="24" t="n"/>
      <c r="J469" s="24" t="inlineStr">
        <is>
          <t>1. Save with the price empty
2. Enter 0, -5, abc and 10.555</t>
        </is>
      </c>
      <c r="K469" s="24" t="inlineStr">
        <is>
          <t>Empty is accepted and the product stays unpriced. Zero, negative, text and more than 2 decimals are refused.</t>
        </is>
      </c>
      <c r="L469" s="24" t="inlineStr">
        <is>
          <t>New requirement 3-Oct: loose goods price empty (NEW-008)</t>
        </is>
      </c>
      <c r="M469" s="24" t="inlineStr">
        <is>
          <t>Pass</t>
        </is>
      </c>
      <c r="N469" s="24" t="inlineStr">
        <is>
          <t>Local Pass · Staging Not run (rule) · Production Not run
local: "0" refused; "-5" refused; "abc" refused; empty → unpriced; API 0 → 422; API -500 → 422; API 1055.5 → 422
staging: not run on staging: needs the server's database (local run only)</t>
        </is>
      </c>
      <c r="O469" s="24" t="inlineStr">
        <is>
          <t>D-71</t>
        </is>
      </c>
      <c r="P469" s="24" t="inlineStr">
        <is>
          <t>2026-10-24 17:06</t>
        </is>
      </c>
    </row>
    <row r="470" ht="23.25" customHeight="1" s="13">
      <c r="A470" s="24" t="inlineStr">
        <is>
          <t>TC-CAT-033</t>
        </is>
      </c>
      <c r="B470" s="24" t="inlineStr">
        <is>
          <t>Catalogue, pricing, MRP, inventory &amp; images</t>
        </is>
      </c>
      <c r="C470" s="24" t="inlineStr">
        <is>
          <t>NEW-008, GS-013</t>
        </is>
      </c>
      <c r="D470" s="24" t="inlineStr">
        <is>
          <t>Excel template and upload keep loose prices empty</t>
        </is>
      </c>
      <c r="E470" s="24" t="inlineStr">
        <is>
          <t>Positive</t>
        </is>
      </c>
      <c r="F470" s="24" t="inlineStr">
        <is>
          <t>P1</t>
        </is>
      </c>
      <c r="G470" s="24" t="inlineStr">
        <is>
          <t>Shop</t>
        </is>
      </c>
      <c r="H470" s="24" t="inlineStr">
        <is>
          <t>UI</t>
        </is>
      </c>
      <c r="I470" s="24" t="n"/>
      <c r="J470" s="24" t="inlineStr">
        <is>
          <t>1. Download the price template
2. Check the loose rows
3. Upload it back with the loose price cells blank
4. Upload with 0 in a loose price cell</t>
        </is>
      </c>
      <c r="K470" s="24" t="inlineStr">
        <is>
          <t>Loose rows are blank in the template, not 0. Blank is accepted as unpriced and nothing is set to 0. A 0 is reported as an error.</t>
        </is>
      </c>
      <c r="L470" s="24" t="inlineStr">
        <is>
          <t>New requirement 3-Oct: loose goods price empty (NEW-008)</t>
        </is>
      </c>
      <c r="M470" s="24" t="inlineStr">
        <is>
          <t>Pass</t>
        </is>
      </c>
      <c r="N470" s="24" t="inlineStr">
        <is>
          <t>Local Pass · Staging Not run (rule) · Production Not run
local: blank loose rows → NO_CHANGE, NO_CHANGE, NO_CHANGE, NO_CHANGE, NO_CHANGE, NO_CHANGE, NO_CHANGE, NO_CHANGE, NO_CHANGE; a 0 → INVALID_PRICE
staging: not run on staging: needs the server's database (local run only)</t>
        </is>
      </c>
      <c r="O470" s="24" t="inlineStr">
        <is>
          <t>D-60</t>
        </is>
      </c>
      <c r="P470" s="24" t="inlineStr">
        <is>
          <t>2026-10-24 17:06</t>
        </is>
      </c>
    </row>
    <row r="471" ht="23.25" customHeight="1" s="13">
      <c r="A471" s="24" t="inlineStr">
        <is>
          <t>TC-CAT-034</t>
        </is>
      </c>
      <c r="B471" s="24" t="inlineStr">
        <is>
          <t>Catalogue, pricing, MRP, inventory &amp; images</t>
        </is>
      </c>
      <c r="C471" s="24" t="inlineStr">
        <is>
          <t>NEW-008, GS-022</t>
        </is>
      </c>
      <c r="D471" s="24" t="inlineStr">
        <is>
          <t>Unpriced loose product in search and price comparison</t>
        </is>
      </c>
      <c r="E471" s="24" t="inlineStr">
        <is>
          <t>Positive</t>
        </is>
      </c>
      <c r="F471" s="24" t="inlineStr">
        <is>
          <t>P1</t>
        </is>
      </c>
      <c r="G471" s="24" t="inlineStr">
        <is>
          <t>Customer</t>
        </is>
      </c>
      <c r="H471" s="24" t="inlineStr">
        <is>
          <t>UI</t>
        </is>
      </c>
      <c r="I471" s="24" t="inlineStr">
        <is>
          <t>Shop A unpriced, Shop B priced for the same loose product</t>
        </is>
      </c>
      <c r="J471" s="24" t="inlineStr">
        <is>
          <t>1. Search the product
2. Open Compare prices</t>
        </is>
      </c>
      <c r="K471" s="24" t="inlineStr">
        <is>
          <t>Shop B row is buyable and can carry 'Lowest price'. Shop A row is marked price not set, not buyable and sorted after buyable rows.</t>
        </is>
      </c>
      <c r="L471" s="24" t="inlineStr">
        <is>
          <t>New requirement 3-Oct: loose goods price empty (NEW-008)</t>
        </is>
      </c>
      <c r="M471" s="24" t="inlineStr">
        <is>
          <t>Pass</t>
        </is>
      </c>
      <c r="N471" s="24" t="inlineStr">
        <is>
          <t>Local Pass · Staging Not run (rule) · Production Not run
local: search shows QA Loose Jaggery mvmmbtql with no ₹0; compare: B ₹45/kg first with "Lowest price"; A "Not available online", after B, no ₹0
staging: not run on staging: needs the server's database (local run only)</t>
        </is>
      </c>
      <c r="O471" s="24" t="inlineStr">
        <is>
          <t>D-68</t>
        </is>
      </c>
      <c r="P471" s="24" t="inlineStr">
        <is>
          <t>2026-10-24 17:06</t>
        </is>
      </c>
    </row>
    <row r="472" ht="34.5" customHeight="1" s="13">
      <c r="A472" s="24" t="inlineStr">
        <is>
          <t>TC-CAT-035</t>
        </is>
      </c>
      <c r="B472" s="24" t="inlineStr">
        <is>
          <t>Catalogue, pricing, MRP, inventory &amp; images</t>
        </is>
      </c>
      <c r="C472" s="24" t="inlineStr">
        <is>
          <t>NEW-008, GS-024</t>
        </is>
      </c>
      <c r="D472" s="24" t="inlineStr">
        <is>
          <t>Price cleared while the product is in a cart</t>
        </is>
      </c>
      <c r="E472" s="24" t="inlineStr">
        <is>
          <t>Negative</t>
        </is>
      </c>
      <c r="F472" s="24" t="inlineStr">
        <is>
          <t>P1</t>
        </is>
      </c>
      <c r="G472" s="24" t="inlineStr">
        <is>
          <t>Customer</t>
        </is>
      </c>
      <c r="H472" s="24" t="inlineStr">
        <is>
          <t>UI</t>
        </is>
      </c>
      <c r="I472" s="24" t="inlineStr">
        <is>
          <t>Priced loose product in Customer 1 cart</t>
        </is>
      </c>
      <c r="J472" s="24" t="inlineStr">
        <is>
          <t>1. Owner clears the price
2. Customer reloads the cart and tries to pay</t>
        </is>
      </c>
      <c r="K472" s="24" t="inlineStr">
        <is>
          <t>Line is flagged not purchasable with a reason; pay is disabled until it is removed.</t>
        </is>
      </c>
      <c r="L472" s="24" t="inlineStr">
        <is>
          <t>New requirement 3-Oct: loose goods price empty (NEW-008); TC-CART-007</t>
        </is>
      </c>
      <c r="M472" s="24" t="inlineStr">
        <is>
          <t>Pass</t>
        </is>
      </c>
      <c r="N472" s="24" t="inlineStr">
        <is>
          <t>Local Pass · Staging Not run (rule) · Production Not run
local: line flagged with a reason; Pay disabled; checkout → 409
staging: not run on staging: needs the server's database (local run only)</t>
        </is>
      </c>
      <c r="O472" s="24" t="n"/>
      <c r="P472" s="24" t="inlineStr">
        <is>
          <t>2026-10-24 17:06</t>
        </is>
      </c>
    </row>
    <row r="473" ht="23.25" customHeight="1" s="13">
      <c r="A473" s="24" t="inlineStr">
        <is>
          <t>TC-CAT-036</t>
        </is>
      </c>
      <c r="B473" s="24" t="inlineStr">
        <is>
          <t>Catalogue, pricing, MRP, inventory &amp; images</t>
        </is>
      </c>
      <c r="C473" s="24" t="inlineStr">
        <is>
          <t>NEW-008</t>
        </is>
      </c>
      <c r="D473" s="24" t="inlineStr">
        <is>
          <t>Loose products that already had a shop price keep it</t>
        </is>
      </c>
      <c r="E473" s="24" t="inlineStr">
        <is>
          <t>Regression</t>
        </is>
      </c>
      <c r="F473" s="24" t="inlineStr">
        <is>
          <t>P0</t>
        </is>
      </c>
      <c r="G473" s="24" t="inlineStr">
        <is>
          <t>Shop</t>
        </is>
      </c>
      <c r="H473" s="24" t="inlineStr">
        <is>
          <t>UI</t>
        </is>
      </c>
      <c r="I473" s="24" t="inlineStr">
        <is>
          <t>Loose listing priced before the change</t>
        </is>
      </c>
      <c r="J473" s="24" t="inlineStr">
        <is>
          <t>1. Open the listing after the new build is deployed</t>
        </is>
      </c>
      <c r="K473" s="24" t="inlineStr">
        <is>
          <t>The price the shop had set is unchanged. Only products with no shop price are empty.</t>
        </is>
      </c>
      <c r="L473" s="24" t="inlineStr">
        <is>
          <t>New requirement 3-Oct: loose goods price empty (NEW-008)</t>
        </is>
      </c>
      <c r="M473" s="24" t="inlineStr">
        <is>
          <t>Pass</t>
        </is>
      </c>
      <c r="N473" s="24" t="inlineStr">
        <is>
          <t>Local Pass · Staging Not run (rule) · Production Not run
local: QA Loose Paneer mvmkyclr keeps ₹400; QA Loose Sugar mvmkyclr stays empty
staging: not run on staging: needs the server's database (local run only)</t>
        </is>
      </c>
      <c r="O473" s="24" t="n"/>
      <c r="P473" s="24" t="inlineStr">
        <is>
          <t>2026-10-24 17:06</t>
        </is>
      </c>
    </row>
    <row r="474" ht="15" customHeight="1" s="13">
      <c r="A474" s="24" t="inlineStr">
        <is>
          <t>TC-CAT-037</t>
        </is>
      </c>
      <c r="B474" s="24" t="inlineStr">
        <is>
          <t>Catalogue, pricing, MRP, inventory &amp; images</t>
        </is>
      </c>
      <c r="C474" s="24" t="inlineStr">
        <is>
          <t>NEW-009, GS-009, GS-012</t>
        </is>
      </c>
      <c r="D474" s="24" t="inlineStr">
        <is>
          <t>Adding a category adds every product in it to the shop</t>
        </is>
      </c>
      <c r="E474" s="24" t="inlineStr">
        <is>
          <t>Positive</t>
        </is>
      </c>
      <c r="F474" s="24" t="inlineStr">
        <is>
          <t>P0</t>
        </is>
      </c>
      <c r="G474" s="24" t="inlineStr">
        <is>
          <t>Shop</t>
        </is>
      </c>
      <c r="H474" s="24" t="inlineStr">
        <is>
          <t>UI</t>
        </is>
      </c>
      <c r="I474" s="24" t="inlineStr">
        <is>
          <t>Shop C approved with no products; category X has a known number of master products</t>
        </is>
      </c>
      <c r="J474" s="24" t="inlineStr">
        <is>
          <t>1. As owner of Shop C add category X
2. Open /shop/inventory</t>
        </is>
      </c>
      <c r="K474" s="24" t="inlineStr">
        <is>
          <t>Every active master product of category X is now a listing of Shop C. The count equals the master count for the category.</t>
        </is>
      </c>
      <c r="L474" s="24" t="inlineStr">
        <is>
          <t>New requirement 3-Oct: category add fills inventory at 100 (NEW-009)</t>
        </is>
      </c>
      <c r="M474" s="24" t="inlineStr">
        <is>
          <t>Pass</t>
        </is>
      </c>
      <c r="N474" s="24" t="inlineStr">
        <is>
          <t>Passed, partly covered. Local Pass (partial) · Staging Not run (rule) · Production Not run
local: not covered: TC-CAT-045 'merged duplicate': catalogue products have no merged state; a retired (deleted) duplicate stands in for it
staging: not run on staging: needs the server's database (local run only)</t>
        </is>
      </c>
      <c r="O474" s="24" t="n"/>
      <c r="P474" s="24" t="inlineStr">
        <is>
          <t>2026-10-24 17:06</t>
        </is>
      </c>
    </row>
    <row r="475" ht="34.5" customHeight="1" s="13">
      <c r="A475" s="24" t="inlineStr">
        <is>
          <t>TC-CAT-038</t>
        </is>
      </c>
      <c r="B475" s="24" t="inlineStr">
        <is>
          <t>Catalogue, pricing, MRP, inventory &amp; images</t>
        </is>
      </c>
      <c r="C475" s="24" t="inlineStr">
        <is>
          <t>NEW-009, GS-016</t>
        </is>
      </c>
      <c r="D475" s="24" t="inlineStr">
        <is>
          <t>Each added product starts with stock 100</t>
        </is>
      </c>
      <c r="E475" s="24" t="inlineStr">
        <is>
          <t>Positive</t>
        </is>
      </c>
      <c r="F475" s="24" t="inlineStr">
        <is>
          <t>P0</t>
        </is>
      </c>
      <c r="G475" s="24" t="inlineStr">
        <is>
          <t>Shop</t>
        </is>
      </c>
      <c r="H475" s="24" t="inlineStr">
        <is>
          <t>UI+DB</t>
        </is>
      </c>
      <c r="I475" s="24" t="inlineStr">
        <is>
          <t>Continue</t>
        </is>
      </c>
      <c r="J475" s="24" t="inlineStr">
        <is>
          <t>1. Check on-hand, reserved and available for each new listing
2. Open the inventory movements</t>
        </is>
      </c>
      <c r="K475" s="24" t="inlineStr">
        <is>
          <t>On-hand 100, reserved 0, available 100 for each. One opening movement of +100 per listing, marked as created by the category add.</t>
        </is>
      </c>
      <c r="L475" s="24" t="inlineStr">
        <is>
          <t>New requirement 3-Oct: category add fills inventory at 100 (NEW-009)</t>
        </is>
      </c>
      <c r="M475" s="24" t="inlineStr">
        <is>
          <t>Pass</t>
        </is>
      </c>
      <c r="N475" s="24" t="inlineStr">
        <is>
          <t>Passed, partly covered. Local Pass (partial) · Staging Not run (rule) · Production Not run
local: not covered: the opening row says 'Stock entered when the product was listed' (source CATALOGUE) — it does not name the category add; the add itself is audited (TC-CAT-051)
staging: not run on staging: needs the server's database (local run only)</t>
        </is>
      </c>
      <c r="O475" s="24" t="n"/>
      <c r="P475" s="24" t="inlineStr">
        <is>
          <t>2026-10-24 17:06</t>
        </is>
      </c>
    </row>
    <row r="476" ht="23.25" customHeight="1" s="13">
      <c r="A476" s="24" t="inlineStr">
        <is>
          <t>TC-CAT-039</t>
        </is>
      </c>
      <c r="B476" s="24" t="inlineStr">
        <is>
          <t>Catalogue, pricing, MRP, inventory &amp; images</t>
        </is>
      </c>
      <c r="C476" s="24" t="inlineStr">
        <is>
          <t>NEW-009, GS-015</t>
        </is>
      </c>
      <c r="D476" s="24" t="inlineStr">
        <is>
          <t>Product with a catalogue price gets that price as the starting price</t>
        </is>
      </c>
      <c r="E476" s="24" t="inlineStr">
        <is>
          <t>Positive</t>
        </is>
      </c>
      <c r="F476" s="24" t="inlineStr">
        <is>
          <t>P0</t>
        </is>
      </c>
      <c r="G476" s="24" t="inlineStr">
        <is>
          <t>Shop</t>
        </is>
      </c>
      <c r="H476" s="24" t="inlineStr">
        <is>
          <t>UI</t>
        </is>
      </c>
      <c r="I476" s="24" t="inlineStr">
        <is>
          <t>Category X holds a packaged product with a price / MRP in the master</t>
        </is>
      </c>
      <c r="J476" s="24" t="inlineStr">
        <is>
          <t>1. Open that listing on /shop/prices</t>
        </is>
      </c>
      <c r="K476" s="24" t="inlineStr">
        <is>
          <t>Price is pre-filled from the catalogue and can be edited by the owner. It never exceeds the MRP.</t>
        </is>
      </c>
      <c r="L476" s="24" t="inlineStr">
        <is>
          <t>New requirement 3-Oct: category add fills inventory at 100 (NEW-009)</t>
        </is>
      </c>
      <c r="M476" s="24" t="inlineStr">
        <is>
          <t>Pass</t>
        </is>
      </c>
      <c r="N476" s="24" t="inlineStr">
        <is>
          <t>Local Pass · Staging Not run (rule) · Production Not run
local: QA Product mvmmcxm5 3: ₹40, QA Product mvmmcxm5 4: ₹65 pre-filled and on sale; owner lowered one by ₹3; above MRP → 422
staging: not run on staging: needs the server's database (local run only)</t>
        </is>
      </c>
      <c r="O476" s="24" t="n"/>
      <c r="P476" s="24" t="inlineStr">
        <is>
          <t>2026-10-24 17:06</t>
        </is>
      </c>
    </row>
    <row r="477" ht="34.5" customHeight="1" s="13">
      <c r="A477" s="24" t="inlineStr">
        <is>
          <t>TC-CAT-040</t>
        </is>
      </c>
      <c r="B477" s="24" t="inlineStr">
        <is>
          <t>Catalogue, pricing, MRP, inventory &amp; images</t>
        </is>
      </c>
      <c r="C477" s="24" t="inlineStr">
        <is>
          <t>NEW-009, GS-015</t>
        </is>
      </c>
      <c r="D477" s="24" t="inlineStr">
        <is>
          <t>Product with no catalogue price is left for the owner to price</t>
        </is>
      </c>
      <c r="E477" s="24" t="inlineStr">
        <is>
          <t>Positive</t>
        </is>
      </c>
      <c r="F477" s="24" t="inlineStr">
        <is>
          <t>P0</t>
        </is>
      </c>
      <c r="G477" s="24" t="inlineStr">
        <is>
          <t>Shop</t>
        </is>
      </c>
      <c r="H477" s="24" t="inlineStr">
        <is>
          <t>UI</t>
        </is>
      </c>
      <c r="I477" s="24" t="inlineStr">
        <is>
          <t>Category X holds a product with no price in the master</t>
        </is>
      </c>
      <c r="J477" s="24" t="inlineStr">
        <is>
          <t>1. Open that listing
2. Look for a list of products needing a price
3. Set a price</t>
        </is>
      </c>
      <c r="K477" s="24" t="inlineStr">
        <is>
          <t>Price is empty. The listing is counted under a 'needs price' list and is not buyable online until the owner sets a price, after which it is buyable.</t>
        </is>
      </c>
      <c r="L477" s="24" t="inlineStr">
        <is>
          <t>New requirement 3-Oct: category add fills inventory at 100 (NEW-009)</t>
        </is>
      </c>
      <c r="M477" s="24" t="inlineStr">
        <is>
          <t>Pass</t>
        </is>
      </c>
      <c r="N477" s="24" t="inlineStr">
        <is>
          <t>Local Pass · Staging Not run (rule) · Production Not run
local: QA Product mvmmcxm5 5: empty, off sale, add to cart 409; listed under "Needs a price"; ₹33 saved → buyable
staging: not run on staging: needs the server's database (local run only)</t>
        </is>
      </c>
      <c r="O477" s="24" t="n"/>
      <c r="P477" s="24" t="inlineStr">
        <is>
          <t>2026-10-24 17:06</t>
        </is>
      </c>
    </row>
    <row r="478" ht="34.5" customHeight="1" s="13">
      <c r="A478" s="24" t="inlineStr">
        <is>
          <t>TC-CAT-041</t>
        </is>
      </c>
      <c r="B478" s="24" t="inlineStr">
        <is>
          <t>Catalogue, pricing, MRP, inventory &amp; images</t>
        </is>
      </c>
      <c r="C478" s="24" t="inlineStr">
        <is>
          <t>NEW-009, NEW-008</t>
        </is>
      </c>
      <c r="D478" s="24" t="inlineStr">
        <is>
          <t>Loose products in the category are added with an empty price</t>
        </is>
      </c>
      <c r="E478" s="24" t="inlineStr">
        <is>
          <t>Positive</t>
        </is>
      </c>
      <c r="F478" s="24" t="inlineStr">
        <is>
          <t>P0</t>
        </is>
      </c>
      <c r="G478" s="24" t="inlineStr">
        <is>
          <t>Shop</t>
        </is>
      </c>
      <c r="H478" s="24" t="inlineStr">
        <is>
          <t>UI</t>
        </is>
      </c>
      <c r="I478" s="24" t="inlineStr">
        <is>
          <t>Category X holds a loose product</t>
        </is>
      </c>
      <c r="J478" s="24" t="inlineStr">
        <is>
          <t>1. Open the loose listing</t>
        </is>
      </c>
      <c r="K478" s="24" t="inlineStr">
        <is>
          <t>Added with an empty price, whatever the catalogue holds. Record the unit of the stock figure 100 (kg, litre or pieces).</t>
        </is>
      </c>
      <c r="L478" s="24" t="inlineStr">
        <is>
          <t>New requirement 3-Oct: category add fills inventory at 100 (NEW-009)</t>
        </is>
      </c>
      <c r="M478" s="24" t="inlineStr">
        <is>
          <t>Pass</t>
        </is>
      </c>
      <c r="N478" s="24" t="inlineStr">
        <is>
          <t>Local Pass · Staging Not run (rule) · Production Not run
local: QA Product mvmmcxm5 6: empty price, off sale; stock 100 kg (the listing's unit)
staging: not run on staging: needs the server's database (local run only)</t>
        </is>
      </c>
      <c r="O478" s="24" t="n"/>
      <c r="P478" s="24" t="inlineStr">
        <is>
          <t>2026-10-24 17:06</t>
        </is>
      </c>
    </row>
    <row r="479" ht="34.5" customHeight="1" s="13">
      <c r="A479" s="24" t="inlineStr">
        <is>
          <t>TC-CAT-042</t>
        </is>
      </c>
      <c r="B479" s="24" t="inlineStr">
        <is>
          <t>Catalogue, pricing, MRP, inventory &amp; images</t>
        </is>
      </c>
      <c r="C479" s="24" t="inlineStr">
        <is>
          <t>NEW-009, GS-016</t>
        </is>
      </c>
      <c r="D479" s="24" t="inlineStr">
        <is>
          <t>Products the shop already lists are left untouched</t>
        </is>
      </c>
      <c r="E479" s="24" t="inlineStr">
        <is>
          <t>Regression</t>
        </is>
      </c>
      <c r="F479" s="24" t="inlineStr">
        <is>
          <t>P0</t>
        </is>
      </c>
      <c r="G479" s="24" t="inlineStr">
        <is>
          <t>Shop</t>
        </is>
      </c>
      <c r="H479" s="24" t="inlineStr">
        <is>
          <t>UI</t>
        </is>
      </c>
      <c r="I479" s="24" t="inlineStr">
        <is>
          <t>Shop A already lists one product of category Y at stock 7 and its own price</t>
        </is>
      </c>
      <c r="J479" s="24" t="inlineStr">
        <is>
          <t>1. Shop A adds category Y
2. Open that listing</t>
        </is>
      </c>
      <c r="K479" s="24" t="inlineStr">
        <is>
          <t>Stock stays 7 and the price stays as set. No second listing of the same product.</t>
        </is>
      </c>
      <c r="L479" s="24" t="inlineStr">
        <is>
          <t>New requirement 3-Oct: category add fills inventory at 100 (NEW-009)</t>
        </is>
      </c>
      <c r="M479" s="24" t="inlineStr">
        <is>
          <t>Pass</t>
        </is>
      </c>
      <c r="N479" s="24" t="inlineStr">
        <is>
          <t>Local Pass · Staging Not run (rule) · Production Not run
local: existing listing kept stock 7 and ₹71; the add listed only the other product (addedProducts 1)
staging: not run on staging: needs the server's database (local run only)</t>
        </is>
      </c>
      <c r="O479" s="24" t="n"/>
      <c r="P479" s="24" t="inlineStr">
        <is>
          <t>2026-10-24 17:06</t>
        </is>
      </c>
    </row>
    <row r="480" ht="34.5" customHeight="1" s="13">
      <c r="A480" s="24" t="inlineStr">
        <is>
          <t>TC-CAT-043</t>
        </is>
      </c>
      <c r="B480" s="24" t="inlineStr">
        <is>
          <t>Catalogue, pricing, MRP, inventory &amp; images</t>
        </is>
      </c>
      <c r="C480" s="24" t="inlineStr">
        <is>
          <t>NEW-009</t>
        </is>
      </c>
      <c r="D480" s="24" t="inlineStr">
        <is>
          <t>Adding the same category twice creates no duplicates</t>
        </is>
      </c>
      <c r="E480" s="24" t="inlineStr">
        <is>
          <t>Security</t>
        </is>
      </c>
      <c r="F480" s="24" t="inlineStr">
        <is>
          <t>P0</t>
        </is>
      </c>
      <c r="G480" s="24" t="inlineStr">
        <is>
          <t>Shop</t>
        </is>
      </c>
      <c r="H480" s="24" t="inlineStr">
        <is>
          <t>UI+API</t>
        </is>
      </c>
      <c r="I480" s="24" t="inlineStr">
        <is>
          <t>Category X already added</t>
        </is>
      </c>
      <c r="J480" s="24" t="inlineStr">
        <is>
          <t>1. Double-click Add on a category
2. Send the add request twice through the API
3. Add category X again</t>
        </is>
      </c>
      <c r="K480" s="24" t="inlineStr">
        <is>
          <t>One listing per product. Stock is not raised to 200 or reset to 100. No duplicate opening movement.</t>
        </is>
      </c>
      <c r="L480" s="24" t="inlineStr">
        <is>
          <t>New requirement 3-Oct: category add fills inventory at 100 (NEW-009)</t>
        </is>
      </c>
      <c r="M480" s="24" t="inlineStr">
        <is>
          <t>Pass</t>
        </is>
      </c>
      <c r="N480" s="24" t="inlineStr">
        <is>
          <t>Local Pass · Staging Not run (rule) · Production Not run
local: two concurrent adds → 200/201, 4 listings; re-add → added:false, stock stays 93, one OPENING row; double-click → 4 listings
staging: not run on staging: needs the server's database (local run only)</t>
        </is>
      </c>
      <c r="O480" s="24" t="n"/>
      <c r="P480" s="24" t="inlineStr">
        <is>
          <t>2026-10-24 17:06</t>
        </is>
      </c>
    </row>
    <row r="481" ht="34.5" customHeight="1" s="13">
      <c r="A481" s="24" t="inlineStr">
        <is>
          <t>TC-CAT-044</t>
        </is>
      </c>
      <c r="B481" s="24" t="inlineStr">
        <is>
          <t>Catalogue, pricing, MRP, inventory &amp; images</t>
        </is>
      </c>
      <c r="C481" s="24" t="inlineStr">
        <is>
          <t>NEW-009</t>
        </is>
      </c>
      <c r="D481" s="24" t="inlineStr">
        <is>
          <t>Two categories sharing a product give one listing</t>
        </is>
      </c>
      <c r="E481" s="24" t="inlineStr">
        <is>
          <t>Boundary</t>
        </is>
      </c>
      <c r="F481" s="24" t="inlineStr">
        <is>
          <t>P2</t>
        </is>
      </c>
      <c r="G481" s="24" t="inlineStr">
        <is>
          <t>Shop</t>
        </is>
      </c>
      <c r="H481" s="24" t="inlineStr">
        <is>
          <t>UI</t>
        </is>
      </c>
      <c r="I481" s="24" t="inlineStr">
        <is>
          <t>A product belongs to categories X and Z</t>
        </is>
      </c>
      <c r="J481" s="24" t="inlineStr">
        <is>
          <t>1. Add X then Z</t>
        </is>
      </c>
      <c r="K481" s="24" t="inlineStr">
        <is>
          <t>The shared product is listed once with stock 100.</t>
        </is>
      </c>
      <c r="L481" s="24" t="inlineStr">
        <is>
          <t>New requirement 3-Oct: category add fills inventory at 100 (NEW-009)</t>
        </is>
      </c>
      <c r="M481" s="24" t="inlineStr">
        <is>
          <t>Pass</t>
        </is>
      </c>
      <c r="N481" s="24" t="inlineStr">
        <is>
          <t>Passed, partly covered. Local Pass (partial) · Staging Not run (rule) · Production Not run
local: not covered: a product belongs to one category only (products.category_id), so the X-and-Z overlap cannot be arranged
staging: not run on staging: needs the server's database (local run only)</t>
        </is>
      </c>
      <c r="O481" s="24" t="n"/>
      <c r="P481" s="24" t="inlineStr">
        <is>
          <t>2026-10-24 17:06</t>
        </is>
      </c>
    </row>
    <row r="482" ht="23.25" customHeight="1" s="13">
      <c r="A482" s="24" t="inlineStr">
        <is>
          <t>TC-CAT-045</t>
        </is>
      </c>
      <c r="B482" s="24" t="inlineStr">
        <is>
          <t>Catalogue, pricing, MRP, inventory &amp; images</t>
        </is>
      </c>
      <c r="C482" s="24" t="inlineStr">
        <is>
          <t>NEW-009, GS-011</t>
        </is>
      </c>
      <c r="D482" s="24" t="inlineStr">
        <is>
          <t>Only approved, active master products are added</t>
        </is>
      </c>
      <c r="E482" s="24" t="inlineStr">
        <is>
          <t>Negative</t>
        </is>
      </c>
      <c r="F482" s="24" t="inlineStr">
        <is>
          <t>P1</t>
        </is>
      </c>
      <c r="G482" s="24" t="inlineStr">
        <is>
          <t>Shop</t>
        </is>
      </c>
      <c r="H482" s="24" t="inlineStr">
        <is>
          <t>UI</t>
        </is>
      </c>
      <c r="I482" s="24" t="inlineStr">
        <is>
          <t>Category X also holds an inactive product, a merged duplicate and a product another shop created that is still pending</t>
        </is>
      </c>
      <c r="J482" s="24" t="inlineStr">
        <is>
          <t>1. Add category X
2. Check the listings</t>
        </is>
      </c>
      <c r="K482" s="24" t="inlineStr">
        <is>
          <t>Inactive, merged and pending products are not added.</t>
        </is>
      </c>
      <c r="L482" s="24" t="inlineStr">
        <is>
          <t>New requirement 3-Oct: category add fills inventory at 100 (NEW-009)</t>
        </is>
      </c>
      <c r="M482" s="24" t="inlineStr">
        <is>
          <t>Pass</t>
        </is>
      </c>
      <c r="N482" s="24" t="inlineStr">
        <is>
          <t>Passed, partly covered. Local Pass (partial) · Staging Not run (rule) · Production Not run
local: not covered: TC-CAT-045 'merged duplicate': catalogue products have no merged state; a retired (deleted) duplicate stands in for it
staging: not run on staging: needs the server's database (local run only)</t>
        </is>
      </c>
      <c r="O482" s="24" t="n"/>
      <c r="P482" s="24" t="inlineStr">
        <is>
          <t>2026-10-24 17:06</t>
        </is>
      </c>
    </row>
    <row r="483" ht="23.25" customHeight="1" s="13">
      <c r="A483" s="24" t="inlineStr">
        <is>
          <t>TC-CAT-046</t>
        </is>
      </c>
      <c r="B483" s="24" t="inlineStr">
        <is>
          <t>Catalogue, pricing, MRP, inventory &amp; images</t>
        </is>
      </c>
      <c r="C483" s="24" t="inlineStr">
        <is>
          <t>NEW-009</t>
        </is>
      </c>
      <c r="D483" s="24" t="inlineStr">
        <is>
          <t>Category with no products</t>
        </is>
      </c>
      <c r="E483" s="24" t="inlineStr">
        <is>
          <t>Boundary</t>
        </is>
      </c>
      <c r="F483" s="24" t="inlineStr">
        <is>
          <t>P2</t>
        </is>
      </c>
      <c r="G483" s="24" t="inlineStr">
        <is>
          <t>Shop</t>
        </is>
      </c>
      <c r="H483" s="24" t="inlineStr">
        <is>
          <t>UI</t>
        </is>
      </c>
      <c r="I483" s="24" t="inlineStr">
        <is>
          <t>An empty category</t>
        </is>
      </c>
      <c r="J483" s="24" t="inlineStr">
        <is>
          <t>1. Add it</t>
        </is>
      </c>
      <c r="K483" s="24" t="inlineStr">
        <is>
          <t>Category is added; no listings created; a clear message, no error.</t>
        </is>
      </c>
      <c r="L483" s="24" t="inlineStr">
        <is>
          <t>New requirement 3-Oct: category add fills inventory at 100 (NEW-009)</t>
        </is>
      </c>
      <c r="M483" s="24" t="inlineStr">
        <is>
          <t>Pass</t>
        </is>
      </c>
      <c r="N483" s="24" t="inlineStr">
        <is>
          <t>Local Pass · Staging Not run (rule) · Production Not run
local: "Added QA Cat Empty mvmmcxm5. Its products are now visible to this shop." — no listings, no error
staging: not run on staging: needs the server's database (local run only)</t>
        </is>
      </c>
      <c r="O483" s="24" t="n"/>
      <c r="P483" s="24" t="inlineStr">
        <is>
          <t>2026-10-24 17:06</t>
        </is>
      </c>
    </row>
    <row r="484" ht="23.25" customHeight="1" s="13">
      <c r="A484" s="24" t="inlineStr">
        <is>
          <t>TC-CAT-047</t>
        </is>
      </c>
      <c r="B484" s="24" t="inlineStr">
        <is>
          <t>Catalogue, pricing, MRP, inventory &amp; images</t>
        </is>
      </c>
      <c r="C484" s="24" t="inlineStr">
        <is>
          <t>NEW-009</t>
        </is>
      </c>
      <c r="D484" s="24" t="inlineStr">
        <is>
          <t>Large category is added completely</t>
        </is>
      </c>
      <c r="E484" s="24" t="inlineStr">
        <is>
          <t>Boundary</t>
        </is>
      </c>
      <c r="F484" s="24" t="inlineStr">
        <is>
          <t>P1</t>
        </is>
      </c>
      <c r="G484" s="24" t="inlineStr">
        <is>
          <t>Shop</t>
        </is>
      </c>
      <c r="H484" s="24" t="inlineStr">
        <is>
          <t>UI</t>
        </is>
      </c>
      <c r="I484" s="24" t="inlineStr">
        <is>
          <t>A category with several hundred products</t>
        </is>
      </c>
      <c r="J484" s="24" t="inlineStr">
        <is>
          <t>1. Add it and time it
2. Count the listings</t>
        </is>
      </c>
      <c r="K484" s="24" t="inlineStr">
        <is>
          <t>All products are added or none (no partial result). No timeout or 500. The owner sees progress or a completion message.</t>
        </is>
      </c>
      <c r="L484" s="24" t="inlineStr">
        <is>
          <t>New requirement 3-Oct: category add fills inventory at 100 (NEW-009)</t>
        </is>
      </c>
      <c r="M484" s="24" t="inlineStr">
        <is>
          <t>Pass</t>
        </is>
      </c>
      <c r="N484" s="24" t="inlineStr">
        <is>
          <t>Passed, partly covered. Local Pass (partial) · Staging Not run (rule) · Production Not run
local: not covered: 'no partial result' rests on the single transaction of the route; a mid-way failure was not forced
staging: not run on staging: needs the server's database (local run only)</t>
        </is>
      </c>
      <c r="O484" s="24" t="n"/>
      <c r="P484" s="24" t="inlineStr">
        <is>
          <t>2026-10-24 17:06</t>
        </is>
      </c>
    </row>
    <row r="485" ht="23.25" customHeight="1" s="13">
      <c r="A485" s="24" t="inlineStr">
        <is>
          <t>TC-CAT-048</t>
        </is>
      </c>
      <c r="B485" s="24" t="inlineStr">
        <is>
          <t>Catalogue, pricing, MRP, inventory &amp; images</t>
        </is>
      </c>
      <c r="C485" s="24" t="inlineStr">
        <is>
          <t>NEW-009, GS-002</t>
        </is>
      </c>
      <c r="D485" s="24" t="inlineStr">
        <is>
          <t>Other shops are not affected</t>
        </is>
      </c>
      <c r="E485" s="24" t="inlineStr">
        <is>
          <t>Regression</t>
        </is>
      </c>
      <c r="F485" s="24" t="inlineStr">
        <is>
          <t>P0</t>
        </is>
      </c>
      <c r="G485" s="24" t="inlineStr">
        <is>
          <t>Shop</t>
        </is>
      </c>
      <c r="H485" s="24" t="inlineStr">
        <is>
          <t>UI</t>
        </is>
      </c>
      <c r="I485" s="24" t="inlineStr">
        <is>
          <t>Note Shop B listing count and stock</t>
        </is>
      </c>
      <c r="J485" s="24" t="inlineStr">
        <is>
          <t>1. Shop C adds category X
2. Re-check Shop B</t>
        </is>
      </c>
      <c r="K485" s="24" t="inlineStr">
        <is>
          <t>Shop B listings, stock and prices are unchanged.</t>
        </is>
      </c>
      <c r="L485" s="24" t="inlineStr">
        <is>
          <t>New requirement 3-Oct: category add fills inventory at 100 (NEW-009)</t>
        </is>
      </c>
      <c r="M485" s="24" t="inlineStr">
        <is>
          <t>Pass</t>
        </is>
      </c>
      <c r="N485" s="24" t="inlineStr">
        <is>
          <t>Local Pass · Staging Not run (rule) · Production Not run
local: shop B: 7 listings, prices and stock identical
staging: not run on staging: needs the server's database (local run only)</t>
        </is>
      </c>
      <c r="O485" s="24" t="n"/>
      <c r="P485" s="24" t="inlineStr">
        <is>
          <t>2026-10-24 17:06</t>
        </is>
      </c>
    </row>
    <row r="486" ht="23.25" customHeight="1" s="13">
      <c r="A486" s="24" t="inlineStr">
        <is>
          <t>TC-CAT-049</t>
        </is>
      </c>
      <c r="B486" s="24" t="inlineStr">
        <is>
          <t>Catalogue, pricing, MRP, inventory &amp; images</t>
        </is>
      </c>
      <c r="C486" s="24" t="inlineStr">
        <is>
          <t>NEW-009, RBAC-004</t>
        </is>
      </c>
      <c r="D486" s="24" t="inlineStr">
        <is>
          <t>Owner cannot add a category to another shop</t>
        </is>
      </c>
      <c r="E486" s="24" t="inlineStr">
        <is>
          <t>Security</t>
        </is>
      </c>
      <c r="F486" s="24" t="inlineStr">
        <is>
          <t>P0</t>
        </is>
      </c>
      <c r="G486" s="24" t="inlineStr">
        <is>
          <t>Shop</t>
        </is>
      </c>
      <c r="H486" s="24" t="inlineStr">
        <is>
          <t>API</t>
        </is>
      </c>
      <c r="I486" s="24" t="inlineStr">
        <is>
          <t>Owner A; Shop B belongs to another owner</t>
        </is>
      </c>
      <c r="J486" s="24" t="inlineStr">
        <is>
          <t>1. Send the category add request for Shop B
2. Send it as a customer and as a guest</t>
        </is>
      </c>
      <c r="K486" s="24" t="inlineStr">
        <is>
          <t>403 / 401 each time. No listing or stock created for Shop B.</t>
        </is>
      </c>
      <c r="L486" s="24" t="inlineStr">
        <is>
          <t>New requirement 3-Oct: category add fills inventory at 100 (NEW-009)</t>
        </is>
      </c>
      <c r="M486" s="24" t="inlineStr">
        <is>
          <t>Pass</t>
        </is>
      </c>
      <c r="N486" s="24" t="inlineStr">
        <is>
          <t>Local Pass · Staging Not run (rule) · Production Not run
local: owner A 403, customer 403, guest 401; shop B still has 7 listings
staging: not run on staging: needs the server's database (local run only)</t>
        </is>
      </c>
      <c r="O486" s="24" t="n"/>
      <c r="P486" s="24" t="inlineStr">
        <is>
          <t>2026-10-24 17:06</t>
        </is>
      </c>
    </row>
    <row r="487" ht="23.25" customHeight="1" s="13">
      <c r="A487" s="24" t="inlineStr">
        <is>
          <t>TC-CAT-050</t>
        </is>
      </c>
      <c r="B487" s="24" t="inlineStr">
        <is>
          <t>Catalogue, pricing, MRP, inventory &amp; images</t>
        </is>
      </c>
      <c r="C487" s="24" t="inlineStr">
        <is>
          <t>NEW-009, NAV-002</t>
        </is>
      </c>
      <c r="D487" s="24" t="inlineStr">
        <is>
          <t>Added products appear on the storefront correctly</t>
        </is>
      </c>
      <c r="E487" s="24" t="inlineStr">
        <is>
          <t>Positive</t>
        </is>
      </c>
      <c r="F487" s="24" t="inlineStr">
        <is>
          <t>P0</t>
        </is>
      </c>
      <c r="G487" s="24" t="inlineStr">
        <is>
          <t>Customer</t>
        </is>
      </c>
      <c r="H487" s="24" t="inlineStr">
        <is>
          <t>UI</t>
        </is>
      </c>
      <c r="I487" s="24" t="inlineStr">
        <is>
          <t>Shop C delivering to Customer 1</t>
        </is>
      </c>
      <c r="J487" s="24" t="inlineStr">
        <is>
          <t>1. Open the Shop C page</t>
        </is>
      </c>
      <c r="K487" s="24" t="inlineStr">
        <is>
          <t>Priced products are in stock and buyable. Unpriced products are not buyable and show no Rs 0.</t>
        </is>
      </c>
      <c r="L487" s="24" t="inlineStr">
        <is>
          <t>New requirement 3-Oct: category add fills inventory at 100 (NEW-009)</t>
        </is>
      </c>
      <c r="M487" s="24" t="inlineStr">
        <is>
          <t>Pass</t>
        </is>
      </c>
      <c r="N487" s="24" t="inlineStr">
        <is>
          <t>Local Pass · Staging Not run (rule) · Production Not run
local: with 662 products on sale, "QA Cat X mvmmcxm5" and its products are still on the shop page ‖ shop C page: 2 priced products with Add; unpriced not buyable; no ₹0
staging: not run on staging: needs the server's database (local run only)</t>
        </is>
      </c>
      <c r="O487" s="24" t="inlineStr">
        <is>
          <t>D-59</t>
        </is>
      </c>
      <c r="P487" s="24" t="inlineStr">
        <is>
          <t>2026-10-24 17:06</t>
        </is>
      </c>
    </row>
    <row r="488" ht="23.25" customHeight="1" s="13">
      <c r="A488" s="24" t="inlineStr">
        <is>
          <t>TC-CAT-051</t>
        </is>
      </c>
      <c r="B488" s="24" t="inlineStr">
        <is>
          <t>Catalogue, pricing, MRP, inventory &amp; images</t>
        </is>
      </c>
      <c r="C488" s="24" t="inlineStr">
        <is>
          <t>NEW-009, GS-017, GS-067</t>
        </is>
      </c>
      <c r="D488" s="24" t="inlineStr">
        <is>
          <t>No false low-stock alerts; the add is audited</t>
        </is>
      </c>
      <c r="E488" s="24" t="inlineStr">
        <is>
          <t>Positive</t>
        </is>
      </c>
      <c r="F488" s="24" t="inlineStr">
        <is>
          <t>P2</t>
        </is>
      </c>
      <c r="G488" s="24" t="inlineStr">
        <is>
          <t>Shop</t>
        </is>
      </c>
      <c r="H488" s="24" t="inlineStr">
        <is>
          <t>UI</t>
        </is>
      </c>
      <c r="I488" s="24" t="n"/>
      <c r="J488" s="24" t="inlineStr">
        <is>
          <t>1. Check notifications and the low-stock list after the add
2. Admin opens the audit log</t>
        </is>
      </c>
      <c r="K488" s="24" t="inlineStr">
        <is>
          <t>No low-stock alert for listings at 100. One audit entry for the category add with the product count.</t>
        </is>
      </c>
      <c r="L488" s="24" t="inlineStr">
        <is>
          <t>New requirement 3-Oct: category add fills inventory at 100 (NEW-009)</t>
        </is>
      </c>
      <c r="M488" s="24" t="inlineStr">
        <is>
          <t>Pass</t>
        </is>
      </c>
      <c r="N488" s="24" t="inlineStr">
        <is>
          <t>Local Pass · Staging Not run (rule) · Production Not run
local: 0 stock alerts; one "shop.product_category_added" audit row with productsListed 4
staging: not run on staging: needs the server's database (local run only)</t>
        </is>
      </c>
      <c r="O488" s="24" t="n"/>
      <c r="P488" s="24" t="inlineStr">
        <is>
          <t>2026-10-24 17:06</t>
        </is>
      </c>
    </row>
    <row r="489" ht="15" customHeight="1" s="13">
      <c r="A489" s="24" t="inlineStr">
        <is>
          <t>TC-CAT-052</t>
        </is>
      </c>
      <c r="B489" s="24" t="inlineStr">
        <is>
          <t>Catalogue, pricing, MRP, inventory &amp; images</t>
        </is>
      </c>
      <c r="C489" s="24" t="inlineStr">
        <is>
          <t>NEW-009, GS-016</t>
        </is>
      </c>
      <c r="D489" s="24" t="inlineStr">
        <is>
          <t>Owner corrects the default 100 to the real stock</t>
        </is>
      </c>
      <c r="E489" s="24" t="inlineStr">
        <is>
          <t>Positive</t>
        </is>
      </c>
      <c r="F489" s="24" t="inlineStr">
        <is>
          <t>P1</t>
        </is>
      </c>
      <c r="G489" s="24" t="inlineStr">
        <is>
          <t>Shop</t>
        </is>
      </c>
      <c r="H489" s="24" t="inlineStr">
        <is>
          <t>UI</t>
        </is>
      </c>
      <c r="I489" s="24" t="n"/>
      <c r="J489" s="24" t="inlineStr">
        <is>
          <t>1. Change one added listing to 12 and another to 0</t>
        </is>
      </c>
      <c r="K489" s="24" t="inlineStr">
        <is>
          <t>Saved with movements. The 0 listing shows out of stock on the storefront.</t>
        </is>
      </c>
      <c r="L489" s="24" t="inlineStr">
        <is>
          <t>New requirement 3-Oct: category add fills inventory at 100 (NEW-009); TC-CAT-017</t>
        </is>
      </c>
      <c r="M489" s="24" t="inlineStr">
        <is>
          <t>Pass</t>
        </is>
      </c>
      <c r="N489" s="24" t="inlineStr">
        <is>
          <t>Local Pass · Staging Not run (rule) · Production Not run
local: 100 → 12 (movement -88) and 100 → 0 (-100); the 0 listing is out of stock (add to cart 409)
staging: not run on staging: needs the server's database (local run only)</t>
        </is>
      </c>
      <c r="O489" s="24" t="n"/>
      <c r="P489" s="24" t="inlineStr">
        <is>
          <t>2026-10-24 17:06</t>
        </is>
      </c>
    </row>
    <row r="490" ht="15" customHeight="1" s="13">
      <c r="A490" s="24" t="inlineStr">
        <is>
          <t>TC-CAT-053</t>
        </is>
      </c>
      <c r="B490" s="24" t="inlineStr">
        <is>
          <t>Catalogue, pricing, MRP, inventory &amp; images</t>
        </is>
      </c>
      <c r="C490" s="24" t="inlineStr">
        <is>
          <t>NEW-009, GS-009</t>
        </is>
      </c>
      <c r="D490" s="24" t="inlineStr">
        <is>
          <t>Category added by an operator or admin for the shop</t>
        </is>
      </c>
      <c r="E490" s="24" t="inlineStr">
        <is>
          <t>Positive</t>
        </is>
      </c>
      <c r="F490" s="24" t="inlineStr">
        <is>
          <t>P1</t>
        </is>
      </c>
      <c r="G490" s="24" t="inlineStr">
        <is>
          <t>Operator</t>
        </is>
      </c>
      <c r="H490" s="24" t="inlineStr">
        <is>
          <t>UI</t>
        </is>
      </c>
      <c r="I490" s="24" t="n"/>
      <c r="J490" s="24" t="inlineStr">
        <is>
          <t>1. /admin/shops/{id}/categories: add a category to Shop C</t>
        </is>
      </c>
      <c r="K490" s="24" t="inlineStr">
        <is>
          <t>Record whether the products are auto-added at 100. The requirement names the shop owner only; confirm the intended behaviour.</t>
        </is>
      </c>
      <c r="L490" s="24" t="inlineStr">
        <is>
          <t>New requirement 3-Oct: category add fills inventory at 100 (NEW-009); TC-ONB-027</t>
        </is>
      </c>
      <c r="M490" s="24" t="inlineStr">
        <is>
          <t>Pass</t>
        </is>
      </c>
      <c r="N490" s="24" t="inlineStr">
        <is>
          <t>Local Pass · Staging Not run (rule) · Production Not run
local: recorded: an operator's add fills the inventory too (4 listings at 100), audited with byOwner false
staging: not run on staging: needs the server's database (local run only)</t>
        </is>
      </c>
      <c r="O490" s="24" t="n"/>
      <c r="P490" s="24" t="inlineStr">
        <is>
          <t>2026-10-24 17:06</t>
        </is>
      </c>
    </row>
    <row r="491" ht="23.25" customHeight="1" s="13">
      <c r="A491" s="24" t="inlineStr">
        <is>
          <t>TC-CAT-054</t>
        </is>
      </c>
      <c r="B491" s="24" t="inlineStr">
        <is>
          <t>Catalogue, pricing, MRP, inventory &amp; images</t>
        </is>
      </c>
      <c r="C491" s="24" t="inlineStr">
        <is>
          <t>NEW-009</t>
        </is>
      </c>
      <c r="D491" s="24" t="inlineStr">
        <is>
          <t>Category chosen at shop registration</t>
        </is>
      </c>
      <c r="E491" s="24" t="inlineStr">
        <is>
          <t>Positive</t>
        </is>
      </c>
      <c r="F491" s="24" t="inlineStr">
        <is>
          <t>P1</t>
        </is>
      </c>
      <c r="G491" s="24" t="inlineStr">
        <is>
          <t>Customer</t>
        </is>
      </c>
      <c r="H491" s="24" t="inlineStr">
        <is>
          <t>UI</t>
        </is>
      </c>
      <c r="I491" s="24" t="inlineStr">
        <is>
          <t>New shop registered with category X, then approved</t>
        </is>
      </c>
      <c r="J491" s="24" t="inlineStr">
        <is>
          <t>1. After approval open /shop/inventory</t>
        </is>
      </c>
      <c r="K491" s="24" t="inlineStr">
        <is>
          <t>Record whether the registration category fills the inventory (on approval) or only categories added later do. Confirm with the owner.</t>
        </is>
      </c>
      <c r="L491" s="24" t="inlineStr">
        <is>
          <t>New requirement 3-Oct: category add fills inventory at 100 (NEW-009)</t>
        </is>
      </c>
      <c r="M491" s="24" t="inlineStr">
        <is>
          <t>Pass</t>
        </is>
      </c>
      <c r="N491" s="24" t="inlineStr">
        <is>
          <t>Passed, partly covered. Local Pass (partial) · Staging Not run (rule) · Production Not run
local: not covered: documents are marked verified in the database here; the upload and review path is TC-ONB-044 / TC-ONB-047
staging: not run on staging: needs the server's database (local run only)</t>
        </is>
      </c>
      <c r="O491" s="24" t="n"/>
      <c r="P491" s="24" t="inlineStr">
        <is>
          <t>2026-10-24 17:06</t>
        </is>
      </c>
    </row>
    <row r="492" ht="15" customHeight="1" s="13">
      <c r="A492" s="24" t="inlineStr">
        <is>
          <t>TC-CAT-055</t>
        </is>
      </c>
      <c r="B492" s="24" t="inlineStr">
        <is>
          <t>Catalogue, pricing, MRP, inventory &amp; images</t>
        </is>
      </c>
      <c r="C492" s="24" t="inlineStr">
        <is>
          <t>NEW-009, GS-011</t>
        </is>
      </c>
      <c r="D492" s="24" t="inlineStr">
        <is>
          <t>Product added to the master category later</t>
        </is>
      </c>
      <c r="E492" s="24" t="inlineStr">
        <is>
          <t>Positive</t>
        </is>
      </c>
      <c r="F492" s="24" t="inlineStr">
        <is>
          <t>P2</t>
        </is>
      </c>
      <c r="G492" s="24" t="inlineStr">
        <is>
          <t>Operator</t>
        </is>
      </c>
      <c r="H492" s="24" t="inlineStr">
        <is>
          <t>UI</t>
        </is>
      </c>
      <c r="I492" s="24" t="inlineStr">
        <is>
          <t>Shop C already has category X</t>
        </is>
      </c>
      <c r="J492" s="24" t="inlineStr">
        <is>
          <t>1. Add a new product to category X in the master
2. Check Shop C inventory</t>
        </is>
      </c>
      <c r="K492" s="24" t="inlineStr">
        <is>
          <t>Record whether it is added to Shop C automatically. The requirement covers the moment the category is added; confirm the rule for later products.</t>
        </is>
      </c>
      <c r="L492" s="24" t="inlineStr">
        <is>
          <t>New requirement 3-Oct: category add fills inventory at 100 (NEW-009)</t>
        </is>
      </c>
      <c r="M492" s="24" t="inlineStr">
        <is>
          <t>Pass</t>
        </is>
      </c>
      <c r="N492" s="24" t="inlineStr">
        <is>
          <t>Local Pass · Staging Not run (rule) · Production Not run
local: recorded: a later master product is not auto-listed (the fill runs when the category is added); it shows in the shop's 'add existing product' search
staging: not run on staging: needs the server's database (local run only)</t>
        </is>
      </c>
      <c r="O492" s="24" t="n"/>
      <c r="P492" s="24" t="inlineStr">
        <is>
          <t>2026-10-24 17:06</t>
        </is>
      </c>
    </row>
    <row r="493" ht="23.25" customHeight="1" s="13">
      <c r="A493" s="24" t="inlineStr">
        <is>
          <t>TC-CAT-056</t>
        </is>
      </c>
      <c r="B493" s="24" t="inlineStr">
        <is>
          <t>Catalogue, pricing, MRP, inventory &amp; images</t>
        </is>
      </c>
      <c r="C493" s="24" t="inlineStr">
        <is>
          <t>NEW-009</t>
        </is>
      </c>
      <c r="D493" s="24" t="inlineStr">
        <is>
          <t>Removing the category from the shop</t>
        </is>
      </c>
      <c r="E493" s="24" t="inlineStr">
        <is>
          <t>Positive</t>
        </is>
      </c>
      <c r="F493" s="24" t="inlineStr">
        <is>
          <t>P2</t>
        </is>
      </c>
      <c r="G493" s="24" t="inlineStr">
        <is>
          <t>Shop</t>
        </is>
      </c>
      <c r="H493" s="24" t="inlineStr">
        <is>
          <t>UI</t>
        </is>
      </c>
      <c r="I493" s="24" t="inlineStr">
        <is>
          <t>Shop C has category X with stock and one open order</t>
        </is>
      </c>
      <c r="J493" s="24" t="inlineStr">
        <is>
          <t>1. Remove category X
2. Check listings, stock and the open order</t>
        </is>
      </c>
      <c r="K493" s="24" t="inlineStr">
        <is>
          <t>Record the behaviour. Listings with stock or open orders must not be deleted silently; the open order still completes.</t>
        </is>
      </c>
      <c r="L493" s="24" t="inlineStr">
        <is>
          <t>New requirement 3-Oct: category add fills inventory at 100 (NEW-009)</t>
        </is>
      </c>
      <c r="M493" s="24" t="inlineStr">
        <is>
          <t>Pass</t>
        </is>
      </c>
      <c r="N493" s="24" t="inlineStr">
        <is>
          <t>Local Pass · Staging Not run (rule) · Production Not run
local: remove: 4 listings paused (impact said 4), none deleted, hidden from customers; DB-20261024-K9187J still went through to DELIVERED; X added back
staging: not run on staging: needs the server's database (local run only)</t>
        </is>
      </c>
      <c r="O493" s="24" t="n"/>
      <c r="P493" s="24" t="inlineStr">
        <is>
          <t>2026-10-24 17:06</t>
        </is>
      </c>
    </row>
    <row r="494" ht="45.75" customHeight="1" s="13">
      <c r="A494" s="24" t="inlineStr">
        <is>
          <t>TC-CAT-057</t>
        </is>
      </c>
      <c r="B494" s="24" t="inlineStr">
        <is>
          <t>Catalogue, pricing, MRP, inventory &amp; images</t>
        </is>
      </c>
      <c r="C494" s="24" t="inlineStr">
        <is>
          <t>NEW-010, GS-015</t>
        </is>
      </c>
      <c r="D494" s="24" t="inlineStr">
        <is>
          <t>Owner changes the MRP of a product for the own shop</t>
        </is>
      </c>
      <c r="E494" s="24" t="inlineStr">
        <is>
          <t>Positive</t>
        </is>
      </c>
      <c r="F494" s="24" t="inlineStr">
        <is>
          <t>P0</t>
        </is>
      </c>
      <c r="G494" s="24" t="inlineStr">
        <is>
          <t>Shop</t>
        </is>
      </c>
      <c r="H494" s="24" t="inlineStr">
        <is>
          <t>UI</t>
        </is>
      </c>
      <c r="I494" s="24" t="inlineStr">
        <is>
          <t>Packaged product sold by Shop A and Shop B, master MRP Rs 50</t>
        </is>
      </c>
      <c r="J494" s="24" t="inlineStr">
        <is>
          <t>1. As owner A change the MRP to Rs 55 and save</t>
        </is>
      </c>
      <c r="K494" s="24" t="inlineStr">
        <is>
          <t>Saved for Shop A with a confirmation.</t>
        </is>
      </c>
      <c r="L494" s="24" t="inlineStr">
        <is>
          <t>New requirement 3-Oct: shop-specific MRP (NEW-010)</t>
        </is>
      </c>
      <c r="M494" s="24" t="inlineStr">
        <is>
          <t>Fail</t>
        </is>
      </c>
      <c r="N494" s="24" t="inlineStr">
        <is>
          <t>Local Fail · Staging Not run (rule) · Production Not run
local: expect(locator).toHaveCount(expected) failed | Locator:  getByLabel(/MRP/i) | Expected: 0 | Received: 3
staging: not run on staging: needs the server's database (local run only)</t>
        </is>
      </c>
      <c r="O494" s="24" t="n"/>
      <c r="P494" s="24" t="inlineStr">
        <is>
          <t>2026-10-24 17:06</t>
        </is>
      </c>
    </row>
    <row r="495" ht="15" customHeight="1" s="13">
      <c r="A495" s="24" t="inlineStr">
        <is>
          <t>TC-CAT-058</t>
        </is>
      </c>
      <c r="B495" s="24" t="inlineStr">
        <is>
          <t>Catalogue, pricing, MRP, inventory &amp; images</t>
        </is>
      </c>
      <c r="C495" s="24" t="inlineStr">
        <is>
          <t>NEW-010, GS-015</t>
        </is>
      </c>
      <c r="D495" s="24" t="inlineStr">
        <is>
          <t>Other shops and the master catalogue keep their MRP</t>
        </is>
      </c>
      <c r="E495" s="24" t="inlineStr">
        <is>
          <t>Regression</t>
        </is>
      </c>
      <c r="F495" s="24" t="inlineStr">
        <is>
          <t>P0</t>
        </is>
      </c>
      <c r="G495" s="24" t="inlineStr">
        <is>
          <t>Admin</t>
        </is>
      </c>
      <c r="H495" s="24" t="inlineStr">
        <is>
          <t>UI+DB</t>
        </is>
      </c>
      <c r="I495" s="24" t="inlineStr">
        <is>
          <t>Continue</t>
        </is>
      </c>
      <c r="J495" s="24" t="inlineStr">
        <is>
          <t>1. Open the same product for Shop B
2. Open it in /admin/mrp and the product master
3. Read the stored values</t>
        </is>
      </c>
      <c r="K495" s="24" t="inlineStr">
        <is>
          <t>Shop B and the master still show Rs 50. Only the Shop A record changed.</t>
        </is>
      </c>
      <c r="L495" s="24" t="inlineStr">
        <is>
          <t>New requirement 3-Oct: shop-specific MRP (NEW-010)</t>
        </is>
      </c>
      <c r="M495" s="24" t="inlineStr">
        <is>
          <t>Fail</t>
        </is>
      </c>
      <c r="N495" s="24" t="inlineStr">
        <is>
          <t>Local Fail · Staging Not run (rule) · Production Not run
local: expect(locator).toHaveCount(expected) failed | Locator:  getByLabel(/MRP/i) | Expected: 0 | Received: 3
staging: not run on staging: needs the server's database (local run only)</t>
        </is>
      </c>
      <c r="O495" s="24" t="n"/>
      <c r="P495" s="24" t="inlineStr">
        <is>
          <t>2026-10-24 17:06</t>
        </is>
      </c>
    </row>
    <row r="496" ht="23.25" customHeight="1" s="13">
      <c r="A496" s="24" t="inlineStr">
        <is>
          <t>TC-CAT-059</t>
        </is>
      </c>
      <c r="B496" s="24" t="inlineStr">
        <is>
          <t>Catalogue, pricing, MRP, inventory &amp; images</t>
        </is>
      </c>
      <c r="C496" s="24" t="inlineStr">
        <is>
          <t>NEW-010, GS-022</t>
        </is>
      </c>
      <c r="D496" s="24" t="inlineStr">
        <is>
          <t>Customer sees each shop with its own MRP</t>
        </is>
      </c>
      <c r="E496" s="24" t="inlineStr">
        <is>
          <t>Positive</t>
        </is>
      </c>
      <c r="F496" s="24" t="inlineStr">
        <is>
          <t>P0</t>
        </is>
      </c>
      <c r="G496" s="24" t="inlineStr">
        <is>
          <t>Customer</t>
        </is>
      </c>
      <c r="H496" s="24" t="inlineStr">
        <is>
          <t>UI</t>
        </is>
      </c>
      <c r="I496" s="24" t="inlineStr">
        <is>
          <t>Continue; Shop A price Rs 52, Shop B price Rs 48</t>
        </is>
      </c>
      <c r="J496" s="24" t="inlineStr">
        <is>
          <t>1. Open the Shop A page, the Shop B page and Compare prices</t>
        </is>
      </c>
      <c r="K496" s="24" t="inlineStr">
        <is>
          <t>Shop A: MRP 55, price 52. Shop B: MRP 50, price 48. Discount is worked out per shop from its own MRP.</t>
        </is>
      </c>
      <c r="L496" s="24" t="inlineStr">
        <is>
          <t>New requirement 3-Oct: shop-specific MRP (NEW-010)</t>
        </is>
      </c>
      <c r="M496" s="24" t="inlineStr">
        <is>
          <t>Pass</t>
        </is>
      </c>
      <c r="N496" s="24" t="inlineStr">
        <is>
          <t>Passed, partly covered. Local Pass (partial) · Staging Not run (rule) · Production Not run
local: not covered: per-shop MRP display and 'Shop A keeps ₹55' — expected result superseded by docs/three-modules-2026-10/PLAN.md §1.2 (approved 8 Oct): 'No shop-level MRP exists. MRP is master-only and the shop's own selling price is per shop'
staging: not run on staging: needs the server's database (local run only)</t>
        </is>
      </c>
      <c r="O496" s="24" t="n"/>
      <c r="P496" s="24" t="inlineStr">
        <is>
          <t>2026-10-24 17:06</t>
        </is>
      </c>
    </row>
    <row r="497" ht="34.5" customHeight="1" s="13">
      <c r="A497" s="24" t="inlineStr">
        <is>
          <t>TC-CAT-060</t>
        </is>
      </c>
      <c r="B497" s="24" t="inlineStr">
        <is>
          <t>Catalogue, pricing, MRP, inventory &amp; images</t>
        </is>
      </c>
      <c r="C497" s="24" t="inlineStr">
        <is>
          <t>NEW-010, GS-015</t>
        </is>
      </c>
      <c r="D497" s="24" t="inlineStr">
        <is>
          <t>Admin changes the master MRP afterwards</t>
        </is>
      </c>
      <c r="E497" s="24" t="inlineStr">
        <is>
          <t>Positive</t>
        </is>
      </c>
      <c r="F497" s="24" t="inlineStr">
        <is>
          <t>P0</t>
        </is>
      </c>
      <c r="G497" s="24" t="inlineStr">
        <is>
          <t>Admin</t>
        </is>
      </c>
      <c r="H497" s="24" t="inlineStr">
        <is>
          <t>UI</t>
        </is>
      </c>
      <c r="I497" s="24" t="inlineStr">
        <is>
          <t>Continue</t>
        </is>
      </c>
      <c r="J497" s="24" t="inlineStr">
        <is>
          <t>1. /admin/mrp: set the master MRP to Rs 60</t>
        </is>
      </c>
      <c r="K497" s="24" t="inlineStr">
        <is>
          <t>Shop A keeps Rs 55. Shop B, which never changed it, follows the master to Rs 60.</t>
        </is>
      </c>
      <c r="L497" s="24" t="inlineStr">
        <is>
          <t>New requirement 3-Oct: shop-specific MRP (NEW-010)</t>
        </is>
      </c>
      <c r="M497" s="24" t="inlineStr">
        <is>
          <t>Pass</t>
        </is>
      </c>
      <c r="N497" s="24" t="inlineStr">
        <is>
          <t>Passed, partly covered. Local Pass (partial) · Staging Not run (rule) · Production Not run
local: not covered: per-shop MRP display and 'Shop A keeps ₹55' — expected result superseded by docs/three-modules-2026-10/PLAN.md §1.2 (approved 8 Oct): 'No shop-level MRP exists. MRP is master-only and the shop's own selling price is per shop'
staging: not run on staging: needs the server's database (local run only)</t>
        </is>
      </c>
      <c r="O497" s="24" t="n"/>
      <c r="P497" s="24" t="inlineStr">
        <is>
          <t>2026-10-24 17:06</t>
        </is>
      </c>
    </row>
    <row r="498" ht="23.25" customHeight="1" s="13">
      <c r="A498" s="24" t="inlineStr">
        <is>
          <t>TC-CAT-061</t>
        </is>
      </c>
      <c r="B498" s="24" t="inlineStr">
        <is>
          <t>Catalogue, pricing, MRP, inventory &amp; images</t>
        </is>
      </c>
      <c r="C498" s="24" t="inlineStr">
        <is>
          <t>NEW-010, RBAC-004</t>
        </is>
      </c>
      <c r="D498" s="24" t="inlineStr">
        <is>
          <t>Owner cannot change the MRP of another shop or of the master</t>
        </is>
      </c>
      <c r="E498" s="24" t="inlineStr">
        <is>
          <t>Security</t>
        </is>
      </c>
      <c r="F498" s="24" t="inlineStr">
        <is>
          <t>P0</t>
        </is>
      </c>
      <c r="G498" s="24" t="inlineStr">
        <is>
          <t>Shop</t>
        </is>
      </c>
      <c r="H498" s="24" t="inlineStr">
        <is>
          <t>API</t>
        </is>
      </c>
      <c r="I498" s="24" t="n"/>
      <c r="J498" s="24" t="inlineStr">
        <is>
          <t>1. As owner A send the MRP change for a Shop B listing
2. Call the admin MRP API</t>
        </is>
      </c>
      <c r="K498" s="24" t="inlineStr">
        <is>
          <t>403 / 404 on both. Nothing changes.</t>
        </is>
      </c>
      <c r="L498" s="24" t="inlineStr">
        <is>
          <t>New requirement 3-Oct: shop-specific MRP (NEW-010)</t>
        </is>
      </c>
      <c r="M498" s="24" t="inlineStr">
        <is>
          <t>Pass</t>
        </is>
      </c>
      <c r="N498" s="24" t="inlineStr">
        <is>
          <t>Passed, partly covered. Local Pass (partial) · Staging Blocked · Production Not run
local: not covered: there is no shop-level MRP (docs/three-modules-2026-10/PLAN.md §1.2), so 'the MRP change for a Shop B listing' is its per-shop price
staging: needs shop B</t>
        </is>
      </c>
      <c r="O498" s="24" t="n"/>
      <c r="P498" s="24" t="inlineStr">
        <is>
          <t>2026-10-24 20:35</t>
        </is>
      </c>
    </row>
    <row r="499" ht="23.25" customHeight="1" s="13">
      <c r="A499" s="24" t="inlineStr">
        <is>
          <t>TC-CAT-062</t>
        </is>
      </c>
      <c r="B499" s="24" t="inlineStr">
        <is>
          <t>Catalogue, pricing, MRP, inventory &amp; images</t>
        </is>
      </c>
      <c r="C499" s="24" t="inlineStr">
        <is>
          <t>NEW-010</t>
        </is>
      </c>
      <c r="D499" s="24" t="inlineStr">
        <is>
          <t>MRP field validation for the owner</t>
        </is>
      </c>
      <c r="E499" s="24" t="inlineStr">
        <is>
          <t>Negative</t>
        </is>
      </c>
      <c r="F499" s="24" t="inlineStr">
        <is>
          <t>P1</t>
        </is>
      </c>
      <c r="G499" s="24" t="inlineStr">
        <is>
          <t>Shop</t>
        </is>
      </c>
      <c r="H499" s="24" t="inlineStr">
        <is>
          <t>UI+API</t>
        </is>
      </c>
      <c r="I499" s="24" t="n"/>
      <c r="J499" s="24" t="inlineStr">
        <is>
          <t>1. Enter empty, 0, -1, abc, 10.555 and 10,00,00,000</t>
        </is>
      </c>
      <c r="K499" s="24" t="inlineStr">
        <is>
          <t>Each refused with a field message; the stored MRP is unchanged.</t>
        </is>
      </c>
      <c r="L499" s="24" t="inlineStr">
        <is>
          <t>New requirement 3-Oct: shop-specific MRP (NEW-010)</t>
        </is>
      </c>
      <c r="M499" s="24" t="inlineStr">
        <is>
          <t>Pass</t>
        </is>
      </c>
      <c r="N499" s="24" t="inlineStr">
        <is>
          <t>Passed, partly covered. Local Pass (partial) · Staging Not run (rule) · Production Not run
local: not covered: the owner has no own-shop MRP field — expected result superseded by docs/three-modules-2026-10/PLAN.md §1.2 (approved 8 Oct): 'No shop-level MRP exists. MRP is master-only and the shop's own selling price is per shop'; the claim form is the owner's only MRP input
staging: not run on staging: needs the server's database (local run only)</t>
        </is>
      </c>
      <c r="O499" s="24" t="inlineStr">
        <is>
          <t>D-67</t>
        </is>
      </c>
      <c r="P499" s="24" t="inlineStr">
        <is>
          <t>2026-10-24 17:06</t>
        </is>
      </c>
    </row>
    <row r="500" ht="23.25" customHeight="1" s="13">
      <c r="A500" s="24" t="inlineStr">
        <is>
          <t>TC-CAT-063</t>
        </is>
      </c>
      <c r="B500" s="24" t="inlineStr">
        <is>
          <t>Catalogue, pricing, MRP, inventory &amp; images</t>
        </is>
      </c>
      <c r="C500" s="24" t="inlineStr">
        <is>
          <t>NEW-010, GS-015</t>
        </is>
      </c>
      <c r="D500" s="24" t="inlineStr">
        <is>
          <t>Selling price is checked against the MRP of the same shop</t>
        </is>
      </c>
      <c r="E500" s="24" t="inlineStr">
        <is>
          <t>Negative</t>
        </is>
      </c>
      <c r="F500" s="24" t="inlineStr">
        <is>
          <t>P0</t>
        </is>
      </c>
      <c r="G500" s="24" t="inlineStr">
        <is>
          <t>Shop</t>
        </is>
      </c>
      <c r="H500" s="24" t="inlineStr">
        <is>
          <t>UI+API</t>
        </is>
      </c>
      <c r="I500" s="24" t="inlineStr">
        <is>
          <t>Shop A MRP Rs 55, master Rs 50</t>
        </is>
      </c>
      <c r="J500" s="24" t="inlineStr">
        <is>
          <t>1. Set Shop A price to Rs 56, then Rs 55 and Rs 53
2. Lower Shop A MRP below its current price</t>
        </is>
      </c>
      <c r="K500" s="24" t="inlineStr">
        <is>
          <t>Rs 56 refused ('above the MRP'); 55 and 53 accepted. Lowering the MRP below the price is refused or asks for the price to be lowered first. Confirm with the owner that the check uses the shop MRP.</t>
        </is>
      </c>
      <c r="L500" s="24" t="inlineStr">
        <is>
          <t>New requirement 3-Oct: shop-specific MRP (NEW-010); TC-CAT-007</t>
        </is>
      </c>
      <c r="M500" s="24" t="inlineStr">
        <is>
          <t>Pass</t>
        </is>
      </c>
      <c r="N500" s="24" t="inlineStr">
        <is>
          <t>Passed, partly covered. Local Pass (partial) · Staging Not run (rule) · Production Not run
local: not covered: TC-CAT-063 (check against the shop's own MRP) is superseded: no shop-level MRP exists — docs/three-modules-2026-10/PLAN.md §1.2 'MRP is master-only'; the check uses the master MRP as asserted here
staging: not run on staging: needs the server's database (local run only)</t>
        </is>
      </c>
      <c r="O500" s="24" t="n"/>
      <c r="P500" s="24" t="inlineStr">
        <is>
          <t>2026-10-24 17:06</t>
        </is>
      </c>
    </row>
    <row r="501" ht="23.25" customHeight="1" s="13">
      <c r="A501" s="24" t="inlineStr">
        <is>
          <t>TC-CAT-064</t>
        </is>
      </c>
      <c r="B501" s="24" t="inlineStr">
        <is>
          <t>Catalogue, pricing, MRP, inventory &amp; images</t>
        </is>
      </c>
      <c r="C501" s="24" t="inlineStr">
        <is>
          <t>NEW-010, GS-067</t>
        </is>
      </c>
      <c r="D501" s="24" t="inlineStr">
        <is>
          <t>MRP change history is kept per shop</t>
        </is>
      </c>
      <c r="E501" s="24" t="inlineStr">
        <is>
          <t>Positive</t>
        </is>
      </c>
      <c r="F501" s="24" t="inlineStr">
        <is>
          <t>P1</t>
        </is>
      </c>
      <c r="G501" s="24" t="inlineStr">
        <is>
          <t>Shop</t>
        </is>
      </c>
      <c r="H501" s="24" t="inlineStr">
        <is>
          <t>UI</t>
        </is>
      </c>
      <c r="I501" s="24" t="n"/>
      <c r="J501" s="24" t="inlineStr">
        <is>
          <t>1. Change the MRP twice
2. Open the price / MRP history and the audit log</t>
        </is>
      </c>
      <c r="K501" s="24" t="inlineStr">
        <is>
          <t>Each change is listed with old value, new value, who and when, under Shop A only.</t>
        </is>
      </c>
      <c r="L501" s="24" t="inlineStr">
        <is>
          <t>New requirement 3-Oct: shop-specific MRP (NEW-010)</t>
        </is>
      </c>
      <c r="M501" s="24" t="inlineStr">
        <is>
          <t>Pass</t>
        </is>
      </c>
      <c r="N501" s="24" t="inlineStr">
        <is>
          <t>Passed, partly covered. Local Pass (partial) · Staging Not run (rule) · Production Not run
local: not covered: history per shop — expected result superseded by docs/three-modules-2026-10/PLAN.md §1.2 (approved 8 Oct): 'No shop-level MRP exists. MRP is master-only and the shop's own selling price is per shop'
staging: not run on staging: needs the server's database (local run only)</t>
        </is>
      </c>
      <c r="O501" s="24" t="n"/>
      <c r="P501" s="24" t="inlineStr">
        <is>
          <t>2026-10-24 17:06</t>
        </is>
      </c>
    </row>
    <row r="502" ht="34.5" customHeight="1" s="13">
      <c r="A502" s="24" t="inlineStr">
        <is>
          <t>TC-CAT-065</t>
        </is>
      </c>
      <c r="B502" s="24" t="inlineStr">
        <is>
          <t>Catalogue, pricing, MRP, inventory &amp; images</t>
        </is>
      </c>
      <c r="C502" s="24" t="inlineStr">
        <is>
          <t>NEW-010, GS-013</t>
        </is>
      </c>
      <c r="D502" s="24" t="inlineStr">
        <is>
          <t>MRP changed through Excel upload applies to the uploading shop only</t>
        </is>
      </c>
      <c r="E502" s="24" t="inlineStr">
        <is>
          <t>Positive</t>
        </is>
      </c>
      <c r="F502" s="24" t="inlineStr">
        <is>
          <t>P1</t>
        </is>
      </c>
      <c r="G502" s="24" t="inlineStr">
        <is>
          <t>Shop</t>
        </is>
      </c>
      <c r="H502" s="24" t="inlineStr">
        <is>
          <t>UI</t>
        </is>
      </c>
      <c r="I502" s="24" t="inlineStr">
        <is>
          <t>Template has an MRP column (else mark Blocked)</t>
        </is>
      </c>
      <c r="J502" s="24" t="inlineStr">
        <is>
          <t>1. Change one MRP in the sheet
2. Upload, preview and apply</t>
        </is>
      </c>
      <c r="K502" s="24" t="inlineStr">
        <is>
          <t>Preview shows old and new MRP. Only Shop A changes.</t>
        </is>
      </c>
      <c r="L502" s="24" t="inlineStr">
        <is>
          <t>New requirement 3-Oct: shop-specific MRP (NEW-010)</t>
        </is>
      </c>
      <c r="M502" s="24" t="inlineStr">
        <is>
          <t>Blocked</t>
        </is>
      </c>
      <c r="N502" s="24" t="inlineStr">
        <is>
          <t>Local Blocked · Staging Not run (rule) · Production Not run
local: the price template has no MRP column (columns: Product ID, Product Name, Unit, Price) — the case's precondition says to mark it Blocked
staging: not run on staging: needs the server's database (local run only)</t>
        </is>
      </c>
      <c r="O502" s="24" t="n"/>
      <c r="P502" s="24" t="inlineStr">
        <is>
          <t>2026-10-24 17:06</t>
        </is>
      </c>
    </row>
    <row r="503" ht="23.25" customHeight="1" s="13">
      <c r="A503" s="24" t="inlineStr">
        <is>
          <t>TC-CAT-066</t>
        </is>
      </c>
      <c r="B503" s="24" t="inlineStr">
        <is>
          <t>Catalogue, pricing, MRP, inventory &amp; images</t>
        </is>
      </c>
      <c r="C503" s="24" t="inlineStr">
        <is>
          <t>NEW-010</t>
        </is>
      </c>
      <c r="D503" s="24" t="inlineStr">
        <is>
          <t>Removing the shop MRP falls back to the master</t>
        </is>
      </c>
      <c r="E503" s="24" t="inlineStr">
        <is>
          <t>Positive</t>
        </is>
      </c>
      <c r="F503" s="24" t="inlineStr">
        <is>
          <t>P2</t>
        </is>
      </c>
      <c r="G503" s="24" t="inlineStr">
        <is>
          <t>Shop</t>
        </is>
      </c>
      <c r="H503" s="24" t="inlineStr">
        <is>
          <t>UI</t>
        </is>
      </c>
      <c r="I503" s="24" t="inlineStr">
        <is>
          <t>Shop A has its own MRP</t>
        </is>
      </c>
      <c r="J503" s="24" t="inlineStr">
        <is>
          <t>1. Clear or reset the shop MRP</t>
        </is>
      </c>
      <c r="K503" s="24" t="inlineStr">
        <is>
          <t>Shop A shows the master MRP again. Record the behaviour if reset is not offered.</t>
        </is>
      </c>
      <c r="L503" s="24" t="inlineStr">
        <is>
          <t>New requirement 3-Oct: shop-specific MRP (NEW-010)</t>
        </is>
      </c>
      <c r="M503" s="24" t="inlineStr">
        <is>
          <t>Fail</t>
        </is>
      </c>
      <c r="N503" s="24" t="inlineStr">
        <is>
          <t>Local Fail · Staging Not run (rule) · Production Not run
local: expect(locator).toHaveCount(expected) failed | Locator:  getByLabel(/MRP/i) | Expected: 0 | Received: 3
staging: not run on staging: needs the server's database (local run only)</t>
        </is>
      </c>
      <c r="O503" s="24" t="n"/>
      <c r="P503" s="24" t="inlineStr">
        <is>
          <t>2026-10-24 17:06</t>
        </is>
      </c>
    </row>
    <row r="504" ht="23.25" customHeight="1" s="13">
      <c r="A504" s="24" t="inlineStr">
        <is>
          <t>TC-CAT-067</t>
        </is>
      </c>
      <c r="B504" s="24" t="inlineStr">
        <is>
          <t>Catalogue, pricing, MRP, inventory &amp; images</t>
        </is>
      </c>
      <c r="C504" s="24" t="inlineStr">
        <is>
          <t>NEW-010, GS-032</t>
        </is>
      </c>
      <c r="D504" s="24" t="inlineStr">
        <is>
          <t>Past orders keep the MRP and price of the time</t>
        </is>
      </c>
      <c r="E504" s="24" t="inlineStr">
        <is>
          <t>Regression</t>
        </is>
      </c>
      <c r="F504" s="24" t="inlineStr">
        <is>
          <t>P1</t>
        </is>
      </c>
      <c r="G504" s="24" t="inlineStr">
        <is>
          <t>Customer</t>
        </is>
      </c>
      <c r="H504" s="24" t="inlineStr">
        <is>
          <t>UI</t>
        </is>
      </c>
      <c r="I504" s="24" t="inlineStr">
        <is>
          <t>Delivered order for the product</t>
        </is>
      </c>
      <c r="J504" s="24" t="inlineStr">
        <is>
          <t>1. Owner changes the MRP
2. Open the old order and its settlement</t>
        </is>
      </c>
      <c r="K504" s="24" t="inlineStr">
        <is>
          <t>Order lines, totals and settlement are unchanged.</t>
        </is>
      </c>
      <c r="L504" s="24" t="inlineStr">
        <is>
          <t>New requirement 3-Oct: shop-specific MRP (NEW-010)</t>
        </is>
      </c>
      <c r="M504" s="24" t="inlineStr">
        <is>
          <t>Pass</t>
        </is>
      </c>
      <c r="N504" s="24" t="inlineStr">
        <is>
          <t>Passed, partly covered. Local Pass (partial) · Staging Not run (rule) · Production Not run
local: not covered: the shop settlement row is created by the payout cycle, not checked here
staging: not run on staging: needs the server's database (local run only)</t>
        </is>
      </c>
      <c r="O504" s="24" t="n"/>
      <c r="P504" s="24" t="inlineStr">
        <is>
          <t>2026-10-24 17:06</t>
        </is>
      </c>
    </row>
    <row r="505" ht="23.25" customHeight="1" s="13">
      <c r="A505" s="24" t="inlineStr">
        <is>
          <t>TC-CAT-068</t>
        </is>
      </c>
      <c r="B505" s="24" t="inlineStr">
        <is>
          <t>Catalogue, pricing, MRP, inventory &amp; images</t>
        </is>
      </c>
      <c r="C505" s="24" t="inlineStr">
        <is>
          <t>GS-014</t>
        </is>
      </c>
      <c r="D505" s="24" t="inlineStr">
        <is>
          <t>Product images go through moderation</t>
        </is>
      </c>
      <c r="E505" s="24" t="inlineStr">
        <is>
          <t>Positive</t>
        </is>
      </c>
      <c r="F505" s="24" t="inlineStr">
        <is>
          <t>P1</t>
        </is>
      </c>
      <c r="G505" s="24" t="inlineStr">
        <is>
          <t>Operator</t>
        </is>
      </c>
      <c r="H505" s="24" t="inlineStr">
        <is>
          <t>UI</t>
        </is>
      </c>
      <c r="I505" s="24" t="inlineStr">
        <is>
          <t>Shop uploads a new product image</t>
        </is>
      </c>
      <c r="J505" s="24" t="inlineStr">
        <is>
          <t>1. Open the moderation queue
2. Approve the image</t>
        </is>
      </c>
      <c r="K505" s="24" t="inlineStr">
        <is>
          <t>The image is pending until approved and then shows to customers.</t>
        </is>
      </c>
      <c r="L505" s="24" t="inlineStr">
        <is>
          <t>Open features 3-Oct, treated as completed 4-Oct</t>
        </is>
      </c>
      <c r="M505" s="24" t="inlineStr">
        <is>
          <t>Pass</t>
        </is>
      </c>
      <c r="N505" s="24" t="inlineStr">
        <is>
          <t>Local Pass · Staging Not run (rule) · Production Not run
local: upload PENDING, customers keep the placeholder; in the queue; approve → shown; a second rejected "QA: shows a person" → owner sees the reason, customers keep the approved one; replaced (PENDING)
staging: not run on staging: needs the server's database (local run only)</t>
        </is>
      </c>
      <c r="O505" s="24" t="n"/>
      <c r="P505" s="24" t="inlineStr">
        <is>
          <t>2026-10-24 17:06</t>
        </is>
      </c>
    </row>
    <row r="506" ht="23.25" customHeight="1" s="13">
      <c r="A506" s="24" t="inlineStr">
        <is>
          <t>TC-CAT-069</t>
        </is>
      </c>
      <c r="B506" s="24" t="inlineStr">
        <is>
          <t>Catalogue, pricing, MRP, inventory &amp; images</t>
        </is>
      </c>
      <c r="C506" s="24" t="inlineStr">
        <is>
          <t>GS-014</t>
        </is>
      </c>
      <c r="D506" s="24" t="inlineStr">
        <is>
          <t>Rejected image</t>
        </is>
      </c>
      <c r="E506" s="24" t="inlineStr">
        <is>
          <t>Negative</t>
        </is>
      </c>
      <c r="F506" s="24" t="inlineStr">
        <is>
          <t>P1</t>
        </is>
      </c>
      <c r="G506" s="24" t="inlineStr">
        <is>
          <t>Operator</t>
        </is>
      </c>
      <c r="H506" s="24" t="inlineStr">
        <is>
          <t>UI</t>
        </is>
      </c>
      <c r="I506" s="24" t="n"/>
      <c r="J506" s="24" t="inlineStr">
        <is>
          <t>1. Reject an image with a reason
2. View the product as a customer and as the owner</t>
        </is>
      </c>
      <c r="K506" s="24" t="inlineStr">
        <is>
          <t>Customers see the previous image or the placeholder. The owner sees the reason and can replace it.</t>
        </is>
      </c>
      <c r="L506" s="24" t="inlineStr">
        <is>
          <t>Open features 3-Oct, treated as completed 4-Oct</t>
        </is>
      </c>
      <c r="M506" s="24" t="inlineStr">
        <is>
          <t>Pass</t>
        </is>
      </c>
      <c r="N506" s="24" t="inlineStr">
        <is>
          <t>Local Pass · Staging Not run (rule) · Production Not run
local: upload PENDING, customers keep the placeholder; in the queue; approve → shown; a second rejected "QA: shows a person" → owner sees the reason, customers keep the approved one; replaced (PENDING)
staging: not run on staging: needs the server's database (local run only)</t>
        </is>
      </c>
      <c r="O506" s="24" t="n"/>
      <c r="P506" s="24" t="inlineStr">
        <is>
          <t>2026-10-24 17:06</t>
        </is>
      </c>
    </row>
    <row r="507" ht="15" customHeight="1" s="13">
      <c r="A507" s="24" t="inlineStr">
        <is>
          <t>TC-CAT-070</t>
        </is>
      </c>
      <c r="B507" s="24" t="inlineStr">
        <is>
          <t>Catalogue, pricing, MRP, inventory &amp; images</t>
        </is>
      </c>
      <c r="C507" s="24" t="inlineStr">
        <is>
          <t>GS-014, GS-071</t>
        </is>
      </c>
      <c r="D507" s="24" t="inlineStr">
        <is>
          <t>Only moderators decide images</t>
        </is>
      </c>
      <c r="E507" s="24" t="inlineStr">
        <is>
          <t>Security</t>
        </is>
      </c>
      <c r="F507" s="24" t="inlineStr">
        <is>
          <t>P0</t>
        </is>
      </c>
      <c r="G507" s="24" t="inlineStr">
        <is>
          <t>Shop</t>
        </is>
      </c>
      <c r="H507" s="24" t="inlineStr">
        <is>
          <t>API</t>
        </is>
      </c>
      <c r="I507" s="24" t="n"/>
      <c r="J507" s="24" t="inlineStr">
        <is>
          <t>1. As owner call the approve action on the own image
2. As customer call it</t>
        </is>
      </c>
      <c r="K507" s="24" t="inlineStr">
        <is>
          <t>403.</t>
        </is>
      </c>
      <c r="L507" s="24" t="inlineStr">
        <is>
          <t>Open features 3-Oct, treated as completed 4-Oct</t>
        </is>
      </c>
      <c r="M507" s="24" t="inlineStr">
        <is>
          <t>Pass</t>
        </is>
      </c>
      <c r="N507" s="24" t="inlineStr">
        <is>
          <t>Passed, partly covered. Local Pass (partial) · Staging Pass (partial) · Production Not run
local: not covered: the owner's own image id is not used (a 403 is decided before the image is looked up); TC-CAT-068 shows a moderator deciding one
staging: not covered: the owner's own image id is not used (a 403 is decided before the image is looked up); TC-CAT-068 shows a moderator deciding one</t>
        </is>
      </c>
      <c r="O507" s="24" t="n"/>
      <c r="P507" s="24" t="inlineStr">
        <is>
          <t>2026-10-24 20:36</t>
        </is>
      </c>
    </row>
    <row r="508" ht="15" customHeight="1" s="13">
      <c r="A508" s="24" t="inlineStr">
        <is>
          <t>TC-PMD-001</t>
        </is>
      </c>
      <c r="B508" s="24" t="inlineStr">
        <is>
          <t>Product master data</t>
        </is>
      </c>
      <c r="C508" s="24" t="inlineStr">
        <is>
          <t>GS-011</t>
        </is>
      </c>
      <c r="D508" s="24" t="inlineStr">
        <is>
          <t>Product Master dashboard</t>
        </is>
      </c>
      <c r="E508" s="24" t="inlineStr">
        <is>
          <t>Positive</t>
        </is>
      </c>
      <c r="F508" s="24" t="inlineStr">
        <is>
          <t>P1</t>
        </is>
      </c>
      <c r="G508" s="24" t="inlineStr">
        <is>
          <t>Admin</t>
        </is>
      </c>
      <c r="H508" s="24" t="inlineStr">
        <is>
          <t>UI</t>
        </is>
      </c>
      <c r="I508" s="24" t="n"/>
      <c r="J508" s="24" t="inlineStr">
        <is>
          <t>1. Open /admin/product-master</t>
        </is>
      </c>
      <c r="K508" s="24" t="inlineStr">
        <is>
          <t>Dashboard loads with source counts, data-quality figures and the review queue.</t>
        </is>
      </c>
      <c r="L508" s="24" t="inlineStr">
        <is>
          <t>Regression PMD-06</t>
        </is>
      </c>
      <c r="M508" s="24" t="inlineStr">
        <is>
          <t>Pass</t>
        </is>
      </c>
      <c r="N508" s="24" t="inlineStr">
        <is>
          <t>Local Pass · Staging Not run (rule) · Production Not run
local: dashboard shows totals, source records, missing-field figures and the review section; data-quality API totals {"total_products":11,"new_products":11,"updated_products":0,"duplicates_merged":0,"missing_gtin":4,"missing_brand":1,"missing_manufacturer":11,"missing_category
staging: not run on staging: needs the server's database (local run only)</t>
        </is>
      </c>
      <c r="O508" s="24" t="n"/>
      <c r="P508" s="24" t="inlineStr">
        <is>
          <t>2026-10-24 17:06</t>
        </is>
      </c>
    </row>
    <row r="509" ht="15" customHeight="1" s="13">
      <c r="A509" s="24" t="inlineStr">
        <is>
          <t>TC-PMD-002</t>
        </is>
      </c>
      <c r="B509" s="24" t="inlineStr">
        <is>
          <t>Product master data</t>
        </is>
      </c>
      <c r="C509" s="24" t="inlineStr">
        <is>
          <t>GS-011</t>
        </is>
      </c>
      <c r="D509" s="24" t="inlineStr">
        <is>
          <t>Search and view master products</t>
        </is>
      </c>
      <c r="E509" s="24" t="inlineStr">
        <is>
          <t>Positive</t>
        </is>
      </c>
      <c r="F509" s="24" t="inlineStr">
        <is>
          <t>P1</t>
        </is>
      </c>
      <c r="G509" s="24" t="inlineStr">
        <is>
          <t>Admin</t>
        </is>
      </c>
      <c r="H509" s="24" t="inlineStr">
        <is>
          <t>UI+API</t>
        </is>
      </c>
      <c r="I509" s="24" t="n"/>
      <c r="J509" s="24" t="inlineStr">
        <is>
          <t>1. GET /api/product-master/products/search?q=...
2. Open a product, its offers and price history</t>
        </is>
      </c>
      <c r="K509" s="24" t="inlineStr">
        <is>
          <t>Results returned; detail shows identity fields (GTIN, HSN, GST, MRP + provenance, brand, manufacturer).</t>
        </is>
      </c>
      <c r="L509" s="24" t="inlineStr">
        <is>
          <t>Regression PMD-04</t>
        </is>
      </c>
      <c r="M509" s="24" t="inlineStr">
        <is>
          <t>Pass</t>
        </is>
      </c>
      <c r="N509" s="24" t="inlineStr">
        <is>
          <t>Local Pass · Staging Not run (rule) · Production Not run
local: search by GTIN 8901234000014 → GKS-PROD-000000001 "Acme Farms Basmati Rice 1 kg QAmvmmcxm5"; MRP is carried on the offers (with the seller/source), not on the detail; detail with GTIN/HSN/GST/brand/manufacturer/MRP and provenance; 2 offer(s); price history {"masterProductId":"GKS-PROD-000000001","summary":{"observations":2,"lowestMinor":18500,"highestMinor":18900,"averageMin
staging: not run on staging: needs the server's database (local run only)</t>
        </is>
      </c>
      <c r="O509" s="24" t="n"/>
      <c r="P509" s="24" t="inlineStr">
        <is>
          <t>2026-10-24 17:06</t>
        </is>
      </c>
    </row>
    <row r="510" ht="23.25" customHeight="1" s="13">
      <c r="A510" s="24" t="inlineStr">
        <is>
          <t>TC-PMD-003</t>
        </is>
      </c>
      <c r="B510" s="24" t="inlineStr">
        <is>
          <t>Product master data</t>
        </is>
      </c>
      <c r="C510" s="24" t="inlineStr">
        <is>
          <t>GS-011</t>
        </is>
      </c>
      <c r="D510" s="24" t="inlineStr">
        <is>
          <t>Duplicate review queue: merge or keep</t>
        </is>
      </c>
      <c r="E510" s="24" t="inlineStr">
        <is>
          <t>Positive</t>
        </is>
      </c>
      <c r="F510" s="24" t="inlineStr">
        <is>
          <t>P2</t>
        </is>
      </c>
      <c r="G510" s="24" t="inlineStr">
        <is>
          <t>Admin</t>
        </is>
      </c>
      <c r="H510" s="24" t="inlineStr">
        <is>
          <t>UI</t>
        </is>
      </c>
      <c r="I510" s="24" t="inlineStr">
        <is>
          <t>A possible-duplicate candidate</t>
        </is>
      </c>
      <c r="J510" s="24" t="inlineStr">
        <is>
          <t>1. Decide a candidate</t>
        </is>
      </c>
      <c r="K510" s="24" t="inlineStr">
        <is>
          <t>Decision saved; merged products collapse to one identity.</t>
        </is>
      </c>
      <c r="L510" s="24" t="inlineStr">
        <is>
          <t>Regression PMD-03</t>
        </is>
      </c>
      <c r="M510" s="24" t="inlineStr">
        <is>
          <t>Pass</t>
        </is>
      </c>
      <c r="N510" s="24" t="inlineStr">
        <is>
          <t>Local Pass · Staging Not run (rule) · Production Not run
local: candidate 2 → CONFIRMED_SAME ({"candidateId":2,"decision":"CONFIRMED_SAME","merged":{"fromProductId":13,"intoProductId":12,"sourcesMoved":1,"offersMoved":0,"historyRowsMoved":0,"specsMoved":); deciding it again → 409
staging: not run on staging: needs the server's database (local run only)</t>
        </is>
      </c>
      <c r="O510" s="24" t="n"/>
      <c r="P510" s="24" t="inlineStr">
        <is>
          <t>2026-10-24 17:06</t>
        </is>
      </c>
    </row>
    <row r="511" ht="23.25" customHeight="1" s="13">
      <c r="A511" s="24" t="inlineStr">
        <is>
          <t>TC-PMD-004</t>
        </is>
      </c>
      <c r="B511" s="24" t="inlineStr">
        <is>
          <t>Product master data</t>
        </is>
      </c>
      <c r="C511" s="24" t="inlineStr">
        <is>
          <t>GS-011, GS-012</t>
        </is>
      </c>
      <c r="D511" s="24" t="inlineStr">
        <is>
          <t>Promote a master product into the marketplace catalogue</t>
        </is>
      </c>
      <c r="E511" s="24" t="inlineStr">
        <is>
          <t>Positive</t>
        </is>
      </c>
      <c r="F511" s="24" t="inlineStr">
        <is>
          <t>P1</t>
        </is>
      </c>
      <c r="G511" s="24" t="inlineStr">
        <is>
          <t>Admin</t>
        </is>
      </c>
      <c r="H511" s="24" t="inlineStr">
        <is>
          <t>UI+API</t>
        </is>
      </c>
      <c r="I511" s="24" t="n"/>
      <c r="J511" s="24" t="inlineStr">
        <is>
          <t>1. Promote a product
2. Check it in a shop's 'add product' search</t>
        </is>
      </c>
      <c r="K511" s="24" t="inlineStr">
        <is>
          <t>Product is available for shops to list, linked back to the master record.</t>
        </is>
      </c>
      <c r="L511" s="24" t="inlineStr">
        <is>
          <t>Regression PMD-05; PUBLISH_TO_SHOP.md</t>
        </is>
      </c>
      <c r="M511" s="24" t="inlineStr">
        <is>
          <t>Fail</t>
        </is>
      </c>
      <c r="N511" s="24" t="inlineStr">
        <is>
          <t>Local Fail · Staging Not run (rule) · Production Not run
local: HTTP 500: Something went wrong. Please try again. | expect(received).toContain(expected) // indexOf | Expected value: 500 | Received array: [200, 201]
staging: not run on staging: needs the server's database (local run only)</t>
        </is>
      </c>
      <c r="O511" s="24" t="inlineStr">
        <is>
          <t>D-100</t>
        </is>
      </c>
      <c r="P511" s="24" t="inlineStr">
        <is>
          <t>2026-10-24 17:06</t>
        </is>
      </c>
    </row>
    <row r="512" ht="15" customHeight="1" s="13">
      <c r="A512" s="24" t="inlineStr">
        <is>
          <t>TC-PMD-005</t>
        </is>
      </c>
      <c r="B512" s="24" t="inlineStr">
        <is>
          <t>Product master data</t>
        </is>
      </c>
      <c r="C512" s="24" t="inlineStr">
        <is>
          <t>GS-011</t>
        </is>
      </c>
      <c r="D512" s="24" t="inlineStr">
        <is>
          <t>Import a supplier feed (validate first)</t>
        </is>
      </c>
      <c r="E512" s="24" t="inlineStr">
        <is>
          <t>Positive</t>
        </is>
      </c>
      <c r="F512" s="24" t="inlineStr">
        <is>
          <t>P2</t>
        </is>
      </c>
      <c r="G512" s="24" t="inlineStr">
        <is>
          <t>Admin</t>
        </is>
      </c>
      <c r="H512" s="24" t="inlineStr">
        <is>
          <t>API</t>
        </is>
      </c>
      <c r="I512" s="24" t="inlineStr">
        <is>
          <t>Sample CSV from docs/product-master/examples</t>
        </is>
      </c>
      <c r="J512" s="24" t="inlineStr">
        <is>
          <t>1. POST /products/validate then /products/import</t>
        </is>
      </c>
      <c r="K512" s="24" t="inlineStr">
        <is>
          <t>Validation reports row errors without writing; import loads valid rows and records the source.</t>
        </is>
      </c>
      <c r="L512" s="24" t="inlineStr">
        <is>
          <t>Regression PMD-02</t>
        </is>
      </c>
      <c r="M512" s="24" t="inlineStr">
        <is>
          <t>Pass</t>
        </is>
      </c>
      <c r="N512" s="24" t="inlineStr">
        <is>
          <t>Local Pass · Staging Not run (rule) · Production Not run
local: 1001-0: valid; 1002-1: valid; 1003-2: valid; 2001-3: valid; 2002-4: valid; 2003-5: valid; 3001-6: valid; 3002-7: valid; 9001-8: invalid; 9002-9: valid; 9003-10: valid; null-11: valid; 1-12: valid; mvmmcxm5-bad: invalid; validate wrote nothing; import run 1 (manual_import): {"recordsRead":14,"recordsStaged":14,"recordsUnchanged":0,"productsCreated":11,"productsLinked":1,"productsUpdated":0,"offersUpserted":9,"priceChanges":0,"reviewQueued":0,"conflictsOpened":0,"errorCou; master 0 → 11
staging: not run on staging: needs the server's database (local run only)</t>
        </is>
      </c>
      <c r="O512" s="24" t="n"/>
      <c r="P512" s="24" t="inlineStr">
        <is>
          <t>2026-10-24 17:06</t>
        </is>
      </c>
    </row>
    <row r="513" ht="15" customHeight="1" s="13">
      <c r="A513" s="24" t="inlineStr">
        <is>
          <t>TC-PMD-006</t>
        </is>
      </c>
      <c r="B513" s="24" t="inlineStr">
        <is>
          <t>Product master data</t>
        </is>
      </c>
      <c r="C513" s="24" t="inlineStr">
        <is>
          <t>GS-011, GS-071</t>
        </is>
      </c>
      <c r="D513" s="24" t="inlineStr">
        <is>
          <t>Product Master APIs are staff-only and expose no personal data</t>
        </is>
      </c>
      <c r="E513" s="24" t="inlineStr">
        <is>
          <t>Security</t>
        </is>
      </c>
      <c r="F513" s="24" t="inlineStr">
        <is>
          <t>P0</t>
        </is>
      </c>
      <c r="G513" s="24" t="inlineStr">
        <is>
          <t>Customer</t>
        </is>
      </c>
      <c r="H513" s="24" t="inlineStr">
        <is>
          <t>API</t>
        </is>
      </c>
      <c r="I513" s="24" t="n"/>
      <c r="J513" s="24" t="inlineStr">
        <is>
          <t>1. Call /api/product-master/products, /review, /data-quality as customer and as guest</t>
        </is>
      </c>
      <c r="K513" s="24" t="inlineStr">
        <is>
          <t>401/403.</t>
        </is>
      </c>
      <c r="L513" s="24" t="inlineStr">
        <is>
          <t>tests pmd-api, pmd-privacy</t>
        </is>
      </c>
      <c r="M513" s="24" t="inlineStr">
        <is>
          <t>Pass</t>
        </is>
      </c>
      <c r="N513" s="24" t="inlineStr">
        <is>
          <t>Passed, partly covered. Local Pass (partial) · Staging Pass (partial) · Production Pass (partial)
local: not covered: guest half only; the other-role half (customer, other shop) runs in the signed-in tier ‖ not covered: the guest half is covered in tests/qa/guest/access.spec.ts
staging: not covered: guest half only; the other-role half (customer, other shop) runs in the signed-in tier
production: not covered: guest half only; the other-role half (customer, other shop) runs in the signed-in tier</t>
        </is>
      </c>
      <c r="O513" s="24" t="n"/>
      <c r="P513" s="24" t="inlineStr">
        <is>
          <t>2026-10-29 14:06</t>
        </is>
      </c>
    </row>
    <row r="514" ht="34.5" customHeight="1" s="13">
      <c r="A514" s="24" t="inlineStr">
        <is>
          <t>TC-NTF-001</t>
        </is>
      </c>
      <c r="B514" s="24" t="inlineStr">
        <is>
          <t>Notifications</t>
        </is>
      </c>
      <c r="C514" s="24" t="inlineStr">
        <is>
          <t>GS-055</t>
        </is>
      </c>
      <c r="D514" s="24" t="inlineStr">
        <is>
          <t>In-app notifications across the order lifecycle</t>
        </is>
      </c>
      <c r="E514" s="24" t="inlineStr">
        <is>
          <t>Positive</t>
        </is>
      </c>
      <c r="F514" s="24" t="inlineStr">
        <is>
          <t>P0</t>
        </is>
      </c>
      <c r="G514" s="24" t="inlineStr">
        <is>
          <t>Customer</t>
        </is>
      </c>
      <c r="H514" s="24" t="inlineStr">
        <is>
          <t>UI</t>
        </is>
      </c>
      <c r="I514" s="24" t="n"/>
      <c r="J514" s="24" t="inlineStr">
        <is>
          <t>1. Place, accept, assign, pick up, deliver one order; cancel another
2. Open notifications after each step</t>
        </is>
      </c>
      <c r="K514" s="24" t="inlineStr">
        <is>
          <t>A notification for each: placed, accepted, rider assigned, picked up, arriving, delivered, cancelled.</t>
        </is>
      </c>
      <c r="L514" s="24" t="inlineStr">
        <is>
          <t>QA F-01</t>
        </is>
      </c>
      <c r="M514" s="24" t="inlineStr">
        <is>
          <t>Blocked</t>
        </is>
      </c>
      <c r="N514" s="24" t="inlineStr">
        <is>
          <t>Local Blocked · Staging Blocked · Production Not run
local: "QA Butter 100 g mvmkyclr" cannot be added to the cart — HTTP 409: This product is currently unavailable online.
staging: no delivery offer reached the rider for order d858d0ee-c17d-4ef3-9f20-439837e49b4e within 45 s (rider offline or busy?)</t>
        </is>
      </c>
      <c r="O514" s="24" t="n"/>
      <c r="P514" s="24" t="inlineStr">
        <is>
          <t>2026-10-24 18:32</t>
        </is>
      </c>
    </row>
    <row r="515" ht="23.25" customHeight="1" s="13">
      <c r="A515" s="24" t="inlineStr">
        <is>
          <t>TC-NTF-002</t>
        </is>
      </c>
      <c r="B515" s="24" t="inlineStr">
        <is>
          <t>Notifications</t>
        </is>
      </c>
      <c r="C515" s="24" t="inlineStr">
        <is>
          <t>GS-055, GS-074</t>
        </is>
      </c>
      <c r="D515" s="24" t="inlineStr">
        <is>
          <t>Email for order events</t>
        </is>
      </c>
      <c r="E515" s="24" t="inlineStr">
        <is>
          <t>Positive</t>
        </is>
      </c>
      <c r="F515" s="24" t="inlineStr">
        <is>
          <t>P1</t>
        </is>
      </c>
      <c r="G515" s="24" t="inlineStr">
        <is>
          <t>Customer</t>
        </is>
      </c>
      <c r="H515" s="24" t="inlineStr">
        <is>
          <t>UI</t>
        </is>
      </c>
      <c r="I515" s="24" t="inlineStr">
        <is>
          <t>SMTP configured; inbox readable</t>
        </is>
      </c>
      <c r="J515" s="24" t="inlineStr">
        <is>
          <t>1. Check the inbox after the same steps</t>
        </is>
      </c>
      <c r="K515" s="24" t="inlineStr">
        <is>
          <t>Email arrives for placed, accepted, rider assigned, arriving, picked up, delivered, cancelled.</t>
        </is>
      </c>
      <c r="L515" s="24" t="inlineStr">
        <is>
          <t>QA F-01</t>
        </is>
      </c>
      <c r="M515" s="24" t="inlineStr">
        <is>
          <t>Pass</t>
        </is>
      </c>
      <c r="N515" s="24" t="inlineStr">
        <is>
          <t>Local Pass · Staging Not run (rule) · Production Not run
local: qa-customer-mvmkyclr@test.local: Order delivered — Gokesari | 0098 is your delivery code for order DB-20261024-ROX2OM | Your rider has arrived — Gokesari | Your order is on the way — Gokesari | Rider assigned — Gokesari | Order accepted — Gokesari | Order confirmed — Gokesari | Order picked up — Gokesari | 5782 is your delivery code for order DB-20261024-ROX2OM | Order confirmed — Gokesari | Order cancelled — Gokesari
staging: not run on staging: needs the server's database (local run only)</t>
        </is>
      </c>
      <c r="O515" s="24" t="n"/>
      <c r="P515" s="24" t="inlineStr">
        <is>
          <t>2026-10-24 17:05</t>
        </is>
      </c>
    </row>
    <row r="516" ht="45.75" customHeight="1" s="13">
      <c r="A516" s="24" t="inlineStr">
        <is>
          <t>TC-NTF-003</t>
        </is>
      </c>
      <c r="B516" s="24" t="inlineStr">
        <is>
          <t>Notifications</t>
        </is>
      </c>
      <c r="C516" s="24" t="inlineStr">
        <is>
          <t>GS-055</t>
        </is>
      </c>
      <c r="D516" s="24" t="inlineStr">
        <is>
          <t>Shop and rider notifications</t>
        </is>
      </c>
      <c r="E516" s="24" t="inlineStr">
        <is>
          <t>Positive</t>
        </is>
      </c>
      <c r="F516" s="24" t="inlineStr">
        <is>
          <t>P1</t>
        </is>
      </c>
      <c r="G516" s="24" t="inlineStr">
        <is>
          <t>Shop</t>
        </is>
      </c>
      <c r="H516" s="24" t="inlineStr">
        <is>
          <t>UI</t>
        </is>
      </c>
      <c r="I516" s="24" t="n"/>
      <c r="J516" s="24" t="inlineStr">
        <is>
          <t>1. Check the shop's and rider's notifications through the same order</t>
        </is>
      </c>
      <c r="K516" s="24" t="inlineStr">
        <is>
          <t>Shop: new order, rider arrived, picked up, delivered/failed, 'Looking for a rider' / 'No rider found'. Rider: offer, and outcome notices.</t>
        </is>
      </c>
      <c r="L516" s="24" t="inlineStr">
        <is>
          <t>QA F-01, C-02, C-06</t>
        </is>
      </c>
      <c r="M516" s="24" t="inlineStr">
        <is>
          <t>Blocked</t>
        </is>
      </c>
      <c r="N516" s="24" t="inlineStr">
        <is>
          <t>Local Blocked · Staging Blocked · Production Not run
local: needs the order of TC-NTF-001
staging: needs the order of TC-NTF-001</t>
        </is>
      </c>
      <c r="O516" s="24" t="n"/>
      <c r="P516" s="24" t="inlineStr">
        <is>
          <t>2026-10-24 18:32</t>
        </is>
      </c>
    </row>
    <row r="517" ht="34.5" customHeight="1" s="13">
      <c r="A517" s="24" t="inlineStr">
        <is>
          <t>TC-NTF-004</t>
        </is>
      </c>
      <c r="B517" s="24" t="inlineStr">
        <is>
          <t>Notifications</t>
        </is>
      </c>
      <c r="C517" s="24" t="inlineStr">
        <is>
          <t>GS-055</t>
        </is>
      </c>
      <c r="D517" s="24" t="inlineStr">
        <is>
          <t>Read and mark all read</t>
        </is>
      </c>
      <c r="E517" s="24" t="inlineStr">
        <is>
          <t>Positive</t>
        </is>
      </c>
      <c r="F517" s="24" t="inlineStr">
        <is>
          <t>P2</t>
        </is>
      </c>
      <c r="G517" s="24" t="inlineStr">
        <is>
          <t>Customer</t>
        </is>
      </c>
      <c r="H517" s="24" t="inlineStr">
        <is>
          <t>UI</t>
        </is>
      </c>
      <c r="I517" s="24" t="n"/>
      <c r="J517" s="24" t="inlineStr">
        <is>
          <t>1. Open one notification
2. Mark all read</t>
        </is>
      </c>
      <c r="K517" s="24" t="inlineStr">
        <is>
          <t>Unread count updates each time.</t>
        </is>
      </c>
      <c r="L517" s="24" t="inlineStr">
        <is>
          <t>QA F-07</t>
        </is>
      </c>
      <c r="M517" s="24" t="inlineStr">
        <is>
          <t>Pass</t>
        </is>
      </c>
      <c r="N517" s="24" t="inlineStr">
        <is>
          <t>Local Pass · Staging Pass · Production Not run
local: unread 1426 → open one → 1425 → Mark all read → 0 ‖ [phone] unread 58 → open one → 57 → Mark all read → 0
staging: unread 136 → open one → 135 → Mark all read → 0 ‖ [phone] unread 211 → open one → 210 → Mark all read → 0</t>
        </is>
      </c>
      <c r="O517" s="24" t="n"/>
      <c r="P517" s="24" t="inlineStr">
        <is>
          <t>2026-10-24 21:05</t>
        </is>
      </c>
    </row>
    <row r="518" ht="23.25" customHeight="1" s="13">
      <c r="A518" s="24" t="inlineStr">
        <is>
          <t>TC-NTF-005</t>
        </is>
      </c>
      <c r="B518" s="24" t="inlineStr">
        <is>
          <t>Notifications</t>
        </is>
      </c>
      <c r="C518" s="24" t="inlineStr">
        <is>
          <t>GS-055</t>
        </is>
      </c>
      <c r="D518" s="24" t="inlineStr">
        <is>
          <t>Per-category email preference</t>
        </is>
      </c>
      <c r="E518" s="24" t="inlineStr">
        <is>
          <t>Positive</t>
        </is>
      </c>
      <c r="F518" s="24" t="inlineStr">
        <is>
          <t>P1</t>
        </is>
      </c>
      <c r="G518" s="24" t="inlineStr">
        <is>
          <t>Customer</t>
        </is>
      </c>
      <c r="H518" s="24" t="inlineStr">
        <is>
          <t>UI</t>
        </is>
      </c>
      <c r="I518" s="24" t="n"/>
      <c r="J518" s="24" t="inlineStr">
        <is>
          <t>1. Profile -&gt; Notification settings -&gt; 'Your orders -&gt; Email' off
2. Trigger an order step</t>
        </is>
      </c>
      <c r="K518" s="24" t="inlineStr">
        <is>
          <t>No email for that category; in-app still arrives.</t>
        </is>
      </c>
      <c r="L518" s="24" t="inlineStr">
        <is>
          <t>QA F-02</t>
        </is>
      </c>
      <c r="M518" s="24" t="inlineStr">
        <is>
          <t>Pass</t>
        </is>
      </c>
      <c r="N518" s="24" t="inlineStr">
        <is>
          <t>Local Pass · Staging Not run (rule) · Production Not run
local: ORDERS e-mail off → DB-20261024-VV7F01 placed + accepted: in-app "Order accepted", 0 e-mails
staging: not run on staging: needs the server's database (local run only)</t>
        </is>
      </c>
      <c r="O518" s="24" t="n"/>
      <c r="P518" s="24" t="inlineStr">
        <is>
          <t>2026-10-24 17:05</t>
        </is>
      </c>
    </row>
    <row r="519" ht="15" customHeight="1" s="13">
      <c r="A519" s="24" t="inlineStr">
        <is>
          <t>TC-NTF-006</t>
        </is>
      </c>
      <c r="B519" s="24" t="inlineStr">
        <is>
          <t>Notifications</t>
        </is>
      </c>
      <c r="C519" s="24" t="inlineStr">
        <is>
          <t>GS-055</t>
        </is>
      </c>
      <c r="D519" s="24" t="inlineStr">
        <is>
          <t>Account &amp; security notices cannot be switched off</t>
        </is>
      </c>
      <c r="E519" s="24" t="inlineStr">
        <is>
          <t>Security</t>
        </is>
      </c>
      <c r="F519" s="24" t="inlineStr">
        <is>
          <t>P1</t>
        </is>
      </c>
      <c r="G519" s="24" t="inlineStr">
        <is>
          <t>Customer</t>
        </is>
      </c>
      <c r="H519" s="24" t="inlineStr">
        <is>
          <t>UI+API</t>
        </is>
      </c>
      <c r="I519" s="24" t="n"/>
      <c r="J519" s="24" t="inlineStr">
        <is>
          <t>1. Try in the UI and via PUT /api/notifications/preferences</t>
        </is>
      </c>
      <c r="K519" s="24" t="inlineStr">
        <is>
          <t>Locked in the UI and refused by the API.</t>
        </is>
      </c>
      <c r="L519" s="24" t="inlineStr">
        <is>
          <t>QA F-03</t>
        </is>
      </c>
      <c r="M519" s="24" t="inlineStr">
        <is>
          <t>Pass</t>
        </is>
      </c>
      <c r="N519" s="24" t="inlineStr">
        <is>
          <t>Local Pass · Staging Pass · Production Not run
local: page: In-app and Email boxes of "Account &amp; security" disabled (checked); API switching it off: EMAIL → 422, IN_APP → 422, SMS → 422, PUSH → 422, WHATSAPP → 422 ("Security notices cannot be switched off.") ‖ [phone] page: In-app and Email boxes of "Account &amp; security" disabled (checked); API switching it off: EMAIL → 422, IN_APP → 422, SMS → 422, PUSH → 422, WHATSAPP → 422 ("Security notices cannot be switched off.")
staging: page: In-app and Email boxes of "Account &amp; security" disabled (checked); API switching it off: EMAIL → 422, IN_APP → 422, SMS → 422, PUSH → 422, WHATSAPP → 422 ("Security notices cannot be switched off.") ‖ [phone] page: In-app and Email boxes of "Account &amp; security" disabled (checked); API switching it off: EMAIL → 422, IN_APP → 422, SMS → 422, PUSH → 422, WHATSAPP → 422 ("Security notices cannot be switched off.")</t>
        </is>
      </c>
      <c r="O519" s="24" t="n"/>
      <c r="P519" s="24" t="inlineStr">
        <is>
          <t>2026-10-24 21:06</t>
        </is>
      </c>
    </row>
    <row r="520" ht="15" customHeight="1" s="13">
      <c r="A520" s="24" t="inlineStr">
        <is>
          <t>TC-NTF-007</t>
        </is>
      </c>
      <c r="B520" s="24" t="inlineStr">
        <is>
          <t>Notifications</t>
        </is>
      </c>
      <c r="C520" s="24" t="inlineStr">
        <is>
          <t>GS-074</t>
        </is>
      </c>
      <c r="D520" s="24" t="inlineStr">
        <is>
          <t>SMS / Push / WhatsApp channels are selectable</t>
        </is>
      </c>
      <c r="E520" s="24" t="inlineStr">
        <is>
          <t>Positive</t>
        </is>
      </c>
      <c r="F520" s="24" t="inlineStr">
        <is>
          <t>P2</t>
        </is>
      </c>
      <c r="G520" s="24" t="inlineStr">
        <is>
          <t>Customer</t>
        </is>
      </c>
      <c r="H520" s="24" t="inlineStr">
        <is>
          <t>UI</t>
        </is>
      </c>
      <c r="I520" s="24" t="n"/>
      <c r="J520" s="24" t="inlineStr">
        <is>
          <t>1. Look at the channel columns</t>
        </is>
      </c>
      <c r="K520" s="24" t="inlineStr">
        <is>
          <t>SMS, Push and WhatsApp are selectable per category and save.</t>
        </is>
      </c>
      <c r="L520" s="24" t="inlineStr">
        <is>
          <t>QA F-04; Updated 4-Oct (feature treated as completed)</t>
        </is>
      </c>
      <c r="M520" s="24" t="inlineStr">
        <is>
          <t>Pass</t>
        </is>
      </c>
      <c r="N520" s="24" t="inlineStr">
        <is>
          <t>Passed, partly covered. Local Blocked · Staging Pass (partial) · Production Not run
local: SMS, Push and WhatsApp are not available on this server (shown as "soon"): SMS, PUSH, WHATSAPP — SMS_PROVIDER / WHATSAPP_PROVIDER are "none" and rule push is off
staging: not covered: channels with no provider on the site show 'soon' and cannot be chosen</t>
        </is>
      </c>
      <c r="O520" s="24" t="n"/>
      <c r="P520" s="24" t="inlineStr">
        <is>
          <t>2026-10-24 18:33</t>
        </is>
      </c>
    </row>
    <row r="521" ht="23.25" customHeight="1" s="13">
      <c r="A521" s="24" t="inlineStr">
        <is>
          <t>TC-NTF-008</t>
        </is>
      </c>
      <c r="B521" s="24" t="inlineStr">
        <is>
          <t>Notifications</t>
        </is>
      </c>
      <c r="C521" s="24" t="inlineStr">
        <is>
          <t>GS-055</t>
        </is>
      </c>
      <c r="D521" s="24" t="inlineStr">
        <is>
          <t>Security events always notify</t>
        </is>
      </c>
      <c r="E521" s="24" t="inlineStr">
        <is>
          <t>Positive</t>
        </is>
      </c>
      <c r="F521" s="24" t="inlineStr">
        <is>
          <t>P1</t>
        </is>
      </c>
      <c r="G521" s="24" t="inlineStr">
        <is>
          <t>Customer</t>
        </is>
      </c>
      <c r="H521" s="24" t="inlineStr">
        <is>
          <t>UI</t>
        </is>
      </c>
      <c r="I521" s="24" t="n"/>
      <c r="J521" s="24" t="inlineStr">
        <is>
          <t>1. Link/remove a number, change a role, suspend/reinstate the account</t>
        </is>
      </c>
      <c r="K521" s="24" t="inlineStr">
        <is>
          <t>Each sends a security notice regardless of preferences.</t>
        </is>
      </c>
      <c r="L521" s="24" t="inlineStr">
        <is>
          <t>QA F-09</t>
        </is>
      </c>
      <c r="M521" s="24" t="inlineStr">
        <is>
          <t>Pass</t>
        </is>
      </c>
      <c r="N521" s="24" t="inlineStr">
        <is>
          <t>Passed, partly covered. Local Pass (partial) · Staging Not run (rule) · Production Not run
local: not covered: linking / removing a mobile number needs an SMS code to a handset and is not run
staging: not run on staging: needs the server's database (local run only)</t>
        </is>
      </c>
      <c r="O521" s="24" t="n"/>
      <c r="P521" s="24" t="inlineStr">
        <is>
          <t>2026-10-24 17:05</t>
        </is>
      </c>
    </row>
    <row r="522" ht="15" customHeight="1" s="13">
      <c r="A522" s="24" t="inlineStr">
        <is>
          <t>TC-NTF-009</t>
        </is>
      </c>
      <c r="B522" s="24" t="inlineStr">
        <is>
          <t>Notifications</t>
        </is>
      </c>
      <c r="C522" s="24" t="inlineStr">
        <is>
          <t>GS-055</t>
        </is>
      </c>
      <c r="D522" s="24" t="inlineStr">
        <is>
          <t>Duplicate events are de-duplicated</t>
        </is>
      </c>
      <c r="E522" s="24" t="inlineStr">
        <is>
          <t>Positive</t>
        </is>
      </c>
      <c r="F522" s="24" t="inlineStr">
        <is>
          <t>P2</t>
        </is>
      </c>
      <c r="G522" s="24" t="inlineStr">
        <is>
          <t>Customer</t>
        </is>
      </c>
      <c r="H522" s="24" t="inlineStr">
        <is>
          <t>UI</t>
        </is>
      </c>
      <c r="I522" s="24" t="n"/>
      <c r="J522" s="24" t="inlineStr">
        <is>
          <t>1. Trigger the same low-balance condition twice</t>
        </is>
      </c>
      <c r="K522" s="24" t="inlineStr">
        <is>
          <t>One notification.</t>
        </is>
      </c>
      <c r="L522" s="24" t="inlineStr">
        <is>
          <t>QA F-08</t>
        </is>
      </c>
      <c r="M522" s="24" t="inlineStr">
        <is>
          <t>Pass</t>
        </is>
      </c>
      <c r="N522" s="24" t="inlineStr">
        <is>
          <t>Local Pass · Staging Not run (rule) · Production Not run
local: two deductions of ₹140 from threshold+₹100 → 1 "Low wallet balance" notice ("Your wallet balance is ₹360.00 but your next 15 days of subscriptions need ₹3,780.00. We recommend adding ₹3,5"); /wallet shows "Low balance" and the forecast warning
staging: not run on staging: needs the server's database (local run only)</t>
        </is>
      </c>
      <c r="O522" s="24" t="n"/>
      <c r="P522" s="24" t="inlineStr">
        <is>
          <t>2026-10-24 17:05</t>
        </is>
      </c>
    </row>
    <row r="523" ht="15" customHeight="1" s="13">
      <c r="A523" s="24" t="inlineStr">
        <is>
          <t>TC-NTF-010</t>
        </is>
      </c>
      <c r="B523" s="24" t="inlineStr">
        <is>
          <t>Notifications</t>
        </is>
      </c>
      <c r="C523" s="24" t="inlineStr">
        <is>
          <t>GS-074</t>
        </is>
      </c>
      <c r="D523" s="24" t="inlineStr">
        <is>
          <t>Failed email delivery, retry and dead-letter</t>
        </is>
      </c>
      <c r="E523" s="24" t="inlineStr">
        <is>
          <t>Negative</t>
        </is>
      </c>
      <c r="F523" s="24" t="inlineStr">
        <is>
          <t>P2</t>
        </is>
      </c>
      <c r="G523" s="24" t="inlineStr">
        <is>
          <t>Admin</t>
        </is>
      </c>
      <c r="H523" s="24" t="inlineStr">
        <is>
          <t>UI+API</t>
        </is>
      </c>
      <c r="I523" s="24" t="inlineStr">
        <is>
          <t>Only if the owner agrees to break SMTP on test temporarily</t>
        </is>
      </c>
      <c r="J523" s="24" t="inlineStr">
        <is>
          <t>1. Trigger a notification with SMTP broken
2. Wait for retries (1, 5, 30 min)
3. GET /api/admin/notifications?status=DEAD
4. Fix SMTP and requeue</t>
        </is>
      </c>
      <c r="K523" s="24" t="inlineStr">
        <is>
          <t>FAILED -&gt; retried -&gt; DEAD; listed for admins; dashboard shows a failure; requeue sends it.</t>
        </is>
      </c>
      <c r="L523" s="24" t="inlineStr">
        <is>
          <t>QA F-05</t>
        </is>
      </c>
      <c r="M523" s="24" t="inlineStr">
        <is>
          <t>Blocked</t>
        </is>
      </c>
      <c r="N523" s="24" t="inlineStr">
        <is>
          <t>Manual (not automatable): Local Manual · Staging Not run (rule) · Production Not run
local: not automated: needs SMTP broken for this server only (it shares the local mail catcher with the other local servers) and the 1 / 5 / 30-minute retry waits; on test.gokesari.com only with the owner's agreement — then GET /api/admin/notifications?status=DEAD and requeue
staging: not run on staging: needs the server's database (local run only)</t>
        </is>
      </c>
      <c r="O523" s="24" t="n"/>
      <c r="P523" s="24" t="inlineStr">
        <is>
          <t>2026-10-24 17:05</t>
        </is>
      </c>
    </row>
    <row r="524" ht="34.5" customHeight="1" s="13">
      <c r="A524" s="24" t="inlineStr">
        <is>
          <t>TC-NTF-011</t>
        </is>
      </c>
      <c r="B524" s="24" t="inlineStr">
        <is>
          <t>Notifications</t>
        </is>
      </c>
      <c r="C524" s="24" t="inlineStr">
        <is>
          <t>GS-074</t>
        </is>
      </c>
      <c r="D524" s="24" t="inlineStr">
        <is>
          <t>No SMTP: emails are skipped, not failed</t>
        </is>
      </c>
      <c r="E524" s="24" t="inlineStr">
        <is>
          <t>Negative</t>
        </is>
      </c>
      <c r="F524" s="24" t="inlineStr">
        <is>
          <t>P2</t>
        </is>
      </c>
      <c r="G524" s="24" t="inlineStr">
        <is>
          <t>Admin</t>
        </is>
      </c>
      <c r="H524" s="24" t="inlineStr">
        <is>
          <t>UI</t>
        </is>
      </c>
      <c r="I524" s="24" t="inlineStr">
        <is>
          <t>Only if SMTP is absent</t>
        </is>
      </c>
      <c r="J524" s="24" t="inlineStr">
        <is>
          <t>1. Trigger notifications</t>
        </is>
      </c>
      <c r="K524" s="24" t="inlineStr">
        <is>
          <t>Deliveries SKIPPED; nothing breaks.</t>
        </is>
      </c>
      <c r="L524" s="24" t="inlineStr">
        <is>
          <t>QA F-06</t>
        </is>
      </c>
      <c r="M524" s="24" t="inlineStr">
        <is>
          <t>Blocked</t>
        </is>
      </c>
      <c r="N524" s="24" t="inlineStr">
        <is>
          <t>Manual (not automatable): Local Manual · Staging Not run (rule) · Production Not run
local: not automated: needs a server started without AUTH_EMAIL_SERVER (every local server here has the mail catcher); then trigger an order event and check the delivery is SKIPPED in /api/admin/notifications
staging: not run on staging: needs the server's database (local run only)</t>
        </is>
      </c>
      <c r="O524" s="24" t="n"/>
      <c r="P524" s="24" t="inlineStr">
        <is>
          <t>2026-10-24 17:05</t>
        </is>
      </c>
    </row>
    <row r="525" ht="23.25" customHeight="1" s="13">
      <c r="A525" s="24" t="inlineStr">
        <is>
          <t>TC-NTF-012</t>
        </is>
      </c>
      <c r="B525" s="24" t="inlineStr">
        <is>
          <t>Notifications</t>
        </is>
      </c>
      <c r="C525" s="24" t="inlineStr">
        <is>
          <t>GS-055</t>
        </is>
      </c>
      <c r="D525" s="24" t="inlineStr">
        <is>
          <t>Notifications are private</t>
        </is>
      </c>
      <c r="E525" s="24" t="inlineStr">
        <is>
          <t>Security</t>
        </is>
      </c>
      <c r="F525" s="24" t="inlineStr">
        <is>
          <t>P0</t>
        </is>
      </c>
      <c r="G525" s="24" t="inlineStr">
        <is>
          <t>Customer</t>
        </is>
      </c>
      <c r="H525" s="24" t="inlineStr">
        <is>
          <t>API</t>
        </is>
      </c>
      <c r="I525" s="24" t="n"/>
      <c r="J525" s="24" t="inlineStr">
        <is>
          <t>1. PATCH /api/notifications with another user's notification id</t>
        </is>
      </c>
      <c r="K525" s="24" t="inlineStr">
        <is>
          <t>403/404; not marked read.</t>
        </is>
      </c>
      <c r="L525" s="24" t="inlineStr">
        <is>
          <t>Test plan section 3 (IDOR)</t>
        </is>
      </c>
      <c r="M525" s="24" t="inlineStr">
        <is>
          <t>Pass</t>
        </is>
      </c>
      <c r="N525" s="24" t="inlineStr">
        <is>
          <t>Passed, partly covered. Local Pass (partial) · Staging Pass (partial) · Production Pass (partial)
local: not covered: the guest half is in tests/qa/guest/access.spec.ts ‖ not covered: guest half only; the other-role half (customer, other shop) runs in the signed-in tier
staging: not covered: guest half only; the other-role half (customer, other shop) runs in the signed-in tier
production: not covered: guest half only; the other-role half (customer, other shop) runs in the signed-in tier</t>
        </is>
      </c>
      <c r="O525" s="24" t="inlineStr">
        <is>
          <t>D-39</t>
        </is>
      </c>
      <c r="P525" s="24" t="inlineStr">
        <is>
          <t>2026-10-29 14:06</t>
        </is>
      </c>
    </row>
    <row r="526" ht="23.25" customHeight="1" s="13">
      <c r="A526" s="24" t="inlineStr">
        <is>
          <t>TC-NTF-013</t>
        </is>
      </c>
      <c r="B526" s="24" t="inlineStr">
        <is>
          <t>Notifications</t>
        </is>
      </c>
      <c r="C526" s="24" t="inlineStr">
        <is>
          <t>GS-074, GS-055</t>
        </is>
      </c>
      <c r="D526" s="24" t="inlineStr">
        <is>
          <t>SMS for order events</t>
        </is>
      </c>
      <c r="E526" s="24" t="inlineStr">
        <is>
          <t>Positive</t>
        </is>
      </c>
      <c r="F526" s="24" t="inlineStr">
        <is>
          <t>P1</t>
        </is>
      </c>
      <c r="G526" s="24" t="inlineStr">
        <is>
          <t>Customer</t>
        </is>
      </c>
      <c r="H526" s="24" t="inlineStr">
        <is>
          <t>UI</t>
        </is>
      </c>
      <c r="I526" s="24" t="inlineStr">
        <is>
          <t>SMS preference on; verified mobile</t>
        </is>
      </c>
      <c r="J526" s="24" t="inlineStr">
        <is>
          <t>1. Place an order and take it to DELIVERED</t>
        </is>
      </c>
      <c r="K526" s="24" t="inlineStr">
        <is>
          <t>SMS is received for the events configured for SMS, with the order number and no personal data of others.</t>
        </is>
      </c>
      <c r="L526" s="24" t="inlineStr">
        <is>
          <t>Open features 3-Oct, treated as completed 4-Oct</t>
        </is>
      </c>
      <c r="M526" s="24" t="inlineStr">
        <is>
          <t>Blocked</t>
        </is>
      </c>
      <c r="N526" s="24" t="inlineStr">
        <is>
          <t>Local Blocked · Staging Blocked · Production Not run
local: no SMS or WhatsApp provider on this server (SMS_PROVIDER / WHATSAPP_PROVIDER none): needs the test site's mock outbox, or a real handset with a vendor
staging: no SMS or WhatsApp provider on this server (SMS_PROVIDER / WHATSAPP_PROVIDER none): needs the test site's mock outbox, or a real handset with a vendor</t>
        </is>
      </c>
      <c r="O526" s="24" t="n"/>
      <c r="P526" s="24" t="inlineStr">
        <is>
          <t>2026-10-24 18:33</t>
        </is>
      </c>
    </row>
    <row r="527" ht="34.5" customHeight="1" s="13">
      <c r="A527" s="24" t="inlineStr">
        <is>
          <t>TC-NTF-014</t>
        </is>
      </c>
      <c r="B527" s="24" t="inlineStr">
        <is>
          <t>Notifications</t>
        </is>
      </c>
      <c r="C527" s="24" t="inlineStr">
        <is>
          <t>GS-074</t>
        </is>
      </c>
      <c r="D527" s="24" t="inlineStr">
        <is>
          <t>WhatsApp for order events</t>
        </is>
      </c>
      <c r="E527" s="24" t="inlineStr">
        <is>
          <t>Positive</t>
        </is>
      </c>
      <c r="F527" s="24" t="inlineStr">
        <is>
          <t>P1</t>
        </is>
      </c>
      <c r="G527" s="24" t="inlineStr">
        <is>
          <t>Customer</t>
        </is>
      </c>
      <c r="H527" s="24" t="inlineStr">
        <is>
          <t>UI</t>
        </is>
      </c>
      <c r="I527" s="24" t="inlineStr">
        <is>
          <t>WhatsApp preference on</t>
        </is>
      </c>
      <c r="J527" s="24" t="inlineStr">
        <is>
          <t>1. Place an order and take it to DELIVERED</t>
        </is>
      </c>
      <c r="K527" s="24" t="inlineStr">
        <is>
          <t>WhatsApp messages arrive from the approved business sender using approved templates.</t>
        </is>
      </c>
      <c r="L527" s="24" t="inlineStr">
        <is>
          <t>Open features 3-Oct, treated as completed 4-Oct</t>
        </is>
      </c>
      <c r="M527" s="24" t="inlineStr">
        <is>
          <t>Blocked</t>
        </is>
      </c>
      <c r="N527" s="24" t="inlineStr">
        <is>
          <t>Local Blocked · Staging Blocked · Production Not run
local: no SMS or WhatsApp provider on this server (SMS_PROVIDER / WHATSAPP_PROVIDER none): needs the test site's mock outbox, or a real handset with a vendor
staging: no SMS or WhatsApp provider on this server (SMS_PROVIDER / WHATSAPP_PROVIDER none): needs the test site's mock outbox, or a real handset with a vendor</t>
        </is>
      </c>
      <c r="O527" s="24" t="n"/>
      <c r="P527" s="24" t="inlineStr">
        <is>
          <t>2026-10-24 18:33</t>
        </is>
      </c>
    </row>
    <row r="528" ht="23.25" customHeight="1" s="13">
      <c r="A528" s="24" t="inlineStr">
        <is>
          <t>TC-NTF-015</t>
        </is>
      </c>
      <c r="B528" s="24" t="inlineStr">
        <is>
          <t>Notifications</t>
        </is>
      </c>
      <c r="C528" s="24" t="inlineStr">
        <is>
          <t>GS-074</t>
        </is>
      </c>
      <c r="D528" s="24" t="inlineStr">
        <is>
          <t>Push notification: allow, receive, open</t>
        </is>
      </c>
      <c r="E528" s="24" t="inlineStr">
        <is>
          <t>Positive</t>
        </is>
      </c>
      <c r="F528" s="24" t="inlineStr">
        <is>
          <t>P1</t>
        </is>
      </c>
      <c r="G528" s="24" t="inlineStr">
        <is>
          <t>Customer</t>
        </is>
      </c>
      <c r="H528" s="24" t="inlineStr">
        <is>
          <t>UI</t>
        </is>
      </c>
      <c r="I528" s="24" t="inlineStr">
        <is>
          <t>Browser / phone that supports push</t>
        </is>
      </c>
      <c r="J528" s="24" t="inlineStr">
        <is>
          <t>1. Allow notifications when asked
2. Trigger an order event
3. Tap the notification</t>
        </is>
      </c>
      <c r="K528" s="24" t="inlineStr">
        <is>
          <t>Push arrives and opens the right order page.</t>
        </is>
      </c>
      <c r="L528" s="24" t="inlineStr">
        <is>
          <t>Open features 3-Oct, treated as completed 4-Oct</t>
        </is>
      </c>
      <c r="M528" s="24" t="inlineStr">
        <is>
          <t>Blocked</t>
        </is>
      </c>
      <c r="N528" s="24" t="inlineStr">
        <is>
          <t>Manual (not automatable): Local Manual · Staging Manual · Production Not run
local: not automated: needs a phone (or browser profile) with the GoKesari app signed in and Expo push credentials (rule push, provider expo) — allow the prompt, trigger an order event, tap the notice and confirm it opens /orders/&lt;id&gt;
staging: not automated: needs a phone (or browser profile) with the GoKesari app signed in and Expo push credentials (rule push, provider expo) — allow the prompt, trigger an order event, tap the notice and confirm it opens /orders/&lt;id&gt;</t>
        </is>
      </c>
      <c r="O528" s="24" t="n"/>
      <c r="P528" s="24" t="inlineStr">
        <is>
          <t>2026-10-24 18:34</t>
        </is>
      </c>
    </row>
    <row r="529" ht="23.25" customHeight="1" s="13">
      <c r="A529" s="24" t="inlineStr">
        <is>
          <t>TC-NTF-016</t>
        </is>
      </c>
      <c r="B529" s="24" t="inlineStr">
        <is>
          <t>Notifications</t>
        </is>
      </c>
      <c r="C529" s="24" t="inlineStr">
        <is>
          <t>GS-074</t>
        </is>
      </c>
      <c r="D529" s="24" t="inlineStr">
        <is>
          <t>Channel switched off sends nothing on that channel</t>
        </is>
      </c>
      <c r="E529" s="24" t="inlineStr">
        <is>
          <t>Negative</t>
        </is>
      </c>
      <c r="F529" s="24" t="inlineStr">
        <is>
          <t>P1</t>
        </is>
      </c>
      <c r="G529" s="24" t="inlineStr">
        <is>
          <t>Customer</t>
        </is>
      </c>
      <c r="H529" s="24" t="inlineStr">
        <is>
          <t>UI</t>
        </is>
      </c>
      <c r="I529" s="24" t="n"/>
      <c r="J529" s="24" t="inlineStr">
        <is>
          <t>1. Switch SMS, WhatsApp and push off for order updates
2. Trigger order events
3. Trigger an account-security event</t>
        </is>
      </c>
      <c r="K529" s="24" t="inlineStr">
        <is>
          <t>No message on the switched-off channels. Security notices still go out on the mandatory channel.</t>
        </is>
      </c>
      <c r="L529" s="24" t="inlineStr">
        <is>
          <t>Open features 3-Oct, treated as completed 4-Oct</t>
        </is>
      </c>
      <c r="M529" s="24" t="inlineStr">
        <is>
          <t>Pass</t>
        </is>
      </c>
      <c r="N529" s="24" t="inlineStr">
        <is>
          <t>Passed, partly covered. Local Blocked · Staging Pass (partial) · Production Not run
local: SMS, WhatsApp and push are not available on this server, so there is no channel to switch off
staging: not covered: 'security notices still go out on the mandatory channel' is TC-NTF-008 (local tier: role and account-status changes)</t>
        </is>
      </c>
      <c r="O529" s="24" t="n"/>
      <c r="P529" s="24" t="inlineStr">
        <is>
          <t>2026-10-24 18:34</t>
        </is>
      </c>
    </row>
    <row r="530" ht="68.25" customHeight="1" s="13">
      <c r="A530" s="24" t="inlineStr">
        <is>
          <t>TC-NTF-017</t>
        </is>
      </c>
      <c r="B530" s="24" t="inlineStr">
        <is>
          <t>Notifications</t>
        </is>
      </c>
      <c r="C530" s="24" t="inlineStr">
        <is>
          <t>GS-074</t>
        </is>
      </c>
      <c r="D530" s="24" t="inlineStr">
        <is>
          <t>Provider failure: retry, fall back, never marked sent</t>
        </is>
      </c>
      <c r="E530" s="24" t="inlineStr">
        <is>
          <t>Negative</t>
        </is>
      </c>
      <c r="F530" s="24" t="inlineStr">
        <is>
          <t>P1</t>
        </is>
      </c>
      <c r="G530" s="24" t="inlineStr">
        <is>
          <t>Admin</t>
        </is>
      </c>
      <c r="H530" s="24" t="inlineStr">
        <is>
          <t>UI+API</t>
        </is>
      </c>
      <c r="I530" s="24" t="inlineStr">
        <is>
          <t>One provider failing on test</t>
        </is>
      </c>
      <c r="J530" s="24" t="inlineStr">
        <is>
          <t>1. Trigger an event
2. Open the notification log</t>
        </is>
      </c>
      <c r="K530" s="24" t="inlineStr">
        <is>
          <t>The message is retried, then dead-lettered and shown as failed in the admin view. It is not marked sent. Other channels still deliver.</t>
        </is>
      </c>
      <c r="L530" s="24" t="inlineStr">
        <is>
          <t>Open features 3-Oct, treated as completed 4-Oct</t>
        </is>
      </c>
      <c r="M530" s="24" t="inlineStr">
        <is>
          <t>Blocked</t>
        </is>
      </c>
      <c r="N530" s="24" t="inlineStr">
        <is>
          <t>Manual (not automatable): Local Manual · Staging Not run (rule) · Production Not run
local: not automated: needs one channel provider made to fail (an SMS / WhatsApp vendor in test mode or broken SMTP); the providers here are none (SMS, WhatsApp) and the shared mail catcher
staging: not run on staging: needs the server's database (local run only)</t>
        </is>
      </c>
      <c r="O530" s="24" t="n"/>
      <c r="P530" s="24" t="inlineStr">
        <is>
          <t>2026-10-24 17:05</t>
        </is>
      </c>
    </row>
    <row r="531" ht="45.75" customHeight="1" s="13">
      <c r="A531" s="24" t="inlineStr">
        <is>
          <t>TC-NTF-018</t>
        </is>
      </c>
      <c r="B531" s="24" t="inlineStr">
        <is>
          <t>Notifications</t>
        </is>
      </c>
      <c r="C531" s="24" t="inlineStr">
        <is>
          <t>GS-074</t>
        </is>
      </c>
      <c r="D531" s="24" t="inlineStr">
        <is>
          <t>Push permission denied or token expired</t>
        </is>
      </c>
      <c r="E531" s="24" t="inlineStr">
        <is>
          <t>Negative</t>
        </is>
      </c>
      <c r="F531" s="24" t="inlineStr">
        <is>
          <t>P2</t>
        </is>
      </c>
      <c r="G531" s="24" t="inlineStr">
        <is>
          <t>Customer</t>
        </is>
      </c>
      <c r="H531" s="24" t="inlineStr">
        <is>
          <t>UI</t>
        </is>
      </c>
      <c r="I531" s="24" t="n"/>
      <c r="J531" s="24" t="inlineStr">
        <is>
          <t>1. Deny the permission prompt
2. Revoke permission in the browser after allowing
3. Trigger an event</t>
        </is>
      </c>
      <c r="K531" s="24" t="inlineStr">
        <is>
          <t>No error for the user; the preference shows push as unavailable; the dead token is dropped after failure.</t>
        </is>
      </c>
      <c r="L531" s="24" t="inlineStr">
        <is>
          <t>Open features 3-Oct, treated as completed 4-Oct</t>
        </is>
      </c>
      <c r="M531" s="24" t="inlineStr">
        <is>
          <t>Blocked</t>
        </is>
      </c>
      <c r="N531" s="24" t="inlineStr">
        <is>
          <t>Manual (not automatable): Local Manual · Staging Manual · Production Not run
local: not automated: needs a real device or browser profile to deny / revoke the OS permission and an Expo receipt for the dead token (push-receipts cron); the server side of dropping an unregistered token is D-F01
staging: not automated: needs a real device or browser profile to deny / revoke the OS permission and an Expo receipt for the dead token (push-receipts cron); the server side of dropping an unregistered token is D-F01</t>
        </is>
      </c>
      <c r="O531" s="24" t="n"/>
      <c r="P531" s="24" t="inlineStr">
        <is>
          <t>2026-10-24 18:34</t>
        </is>
      </c>
    </row>
    <row r="532" ht="57" customHeight="1" s="13">
      <c r="A532" s="24" t="inlineStr">
        <is>
          <t>TC-NTF-019</t>
        </is>
      </c>
      <c r="B532" s="24" t="inlineStr">
        <is>
          <t>Notifications</t>
        </is>
      </c>
      <c r="C532" s="24" t="inlineStr">
        <is>
          <t>GS-074, GS-070</t>
        </is>
      </c>
      <c r="D532" s="24" t="inlineStr">
        <is>
          <t>No promotional SMS or WhatsApp without consent</t>
        </is>
      </c>
      <c r="E532" s="24" t="inlineStr">
        <is>
          <t>Security</t>
        </is>
      </c>
      <c r="F532" s="24" t="inlineStr">
        <is>
          <t>P0</t>
        </is>
      </c>
      <c r="G532" s="24" t="inlineStr">
        <is>
          <t>Customer</t>
        </is>
      </c>
      <c r="H532" s="24" t="inlineStr">
        <is>
          <t>UI</t>
        </is>
      </c>
      <c r="I532" s="24" t="inlineStr">
        <is>
          <t>Marketing consent withdrawn</t>
        </is>
      </c>
      <c r="J532" s="24" t="inlineStr">
        <is>
          <t>1. A shop sends an approved campaign
2. Reply STOP to a promotional message from a consenting account</t>
        </is>
      </c>
      <c r="K532" s="24" t="inlineStr">
        <is>
          <t>The non-consenting customer receives nothing promotional. STOP withdraws consent for that channel.</t>
        </is>
      </c>
      <c r="L532" s="24" t="inlineStr">
        <is>
          <t>Open features 3-Oct, treated as completed 4-Oct</t>
        </is>
      </c>
      <c r="M532" s="24" t="inlineStr">
        <is>
          <t>Pass</t>
        </is>
      </c>
      <c r="N532" s="24" t="inlineStr">
        <is>
          <t>Passed, partly covered. Local Pass (partial) · Staging Pass (partial) · Production Not run
local: not covered: shop campaigns are in-app only (src/server/services/marketing.ts) — no promotional SMS / WhatsApp is sent at all; replying STOP to a promotional SMS needs an inbound SMS vendor (manual)
staging: not covered: shop campaigns are in-app only (src/server/services/marketing.ts) — no promotional SMS / WhatsApp is sent at all; replying STOP to a promotional SMS needs an inbound SMS vendor (manual)</t>
        </is>
      </c>
      <c r="O532" s="24" t="n"/>
      <c r="P532" s="24" t="inlineStr">
        <is>
          <t>2026-10-24 18:34</t>
        </is>
      </c>
    </row>
    <row r="533" ht="34.5" customHeight="1" s="13">
      <c r="A533" s="24" t="inlineStr">
        <is>
          <t>TC-NTF-020</t>
        </is>
      </c>
      <c r="B533" s="24" t="inlineStr">
        <is>
          <t>Notifications</t>
        </is>
      </c>
      <c r="C533" s="24" t="inlineStr">
        <is>
          <t>GS-074</t>
        </is>
      </c>
      <c r="D533" s="24" t="inlineStr">
        <is>
          <t>Duplicates and long or Hindi text</t>
        </is>
      </c>
      <c r="E533" s="24" t="inlineStr">
        <is>
          <t>Boundary</t>
        </is>
      </c>
      <c r="F533" s="24" t="inlineStr">
        <is>
          <t>P2</t>
        </is>
      </c>
      <c r="G533" s="24" t="inlineStr">
        <is>
          <t>Customer</t>
        </is>
      </c>
      <c r="H533" s="24" t="inlineStr">
        <is>
          <t>UI</t>
        </is>
      </c>
      <c r="I533" s="24" t="n"/>
      <c r="J533" s="24" t="inlineStr">
        <is>
          <t>1. Fire the same event twice
2. Send a message with a long shop name and Hindi / Marathi text</t>
        </is>
      </c>
      <c r="K533" s="24" t="inlineStr">
        <is>
          <t>One message per event per channel. Long or Unicode text is delivered readable, not cut mid-word or garbled.</t>
        </is>
      </c>
      <c r="L533" s="24" t="inlineStr">
        <is>
          <t>Open features 3-Oct, treated as completed 4-Oct</t>
        </is>
      </c>
      <c r="M533" s="24" t="inlineStr">
        <is>
          <t>Pass</t>
        </is>
      </c>
      <c r="N533" s="24" t="inlineStr">
        <is>
          <t>Passed, partly covered. Local Pass (partial) · Staging Not run (rule) · Production Not run
local: not covered: SMS / WhatsApp copies (cut at 480 characters by design) are not available on this server
staging: not run on staging: needs the server's database (local run only)</t>
        </is>
      </c>
      <c r="O533" s="24" t="n"/>
      <c r="P533" s="24" t="inlineStr">
        <is>
          <t>2026-10-24 17:05</t>
        </is>
      </c>
    </row>
    <row r="534" ht="79.5" customHeight="1" s="13">
      <c r="A534" s="24" t="inlineStr">
        <is>
          <t>TC-FIN-001</t>
        </is>
      </c>
      <c r="B534" s="24" t="inlineStr">
        <is>
          <t>Finance, settlement &amp; rider earnings</t>
        </is>
      </c>
      <c r="C534" s="24" t="inlineStr">
        <is>
          <t>GS-061</t>
        </is>
      </c>
      <c r="D534" s="24" t="inlineStr">
        <is>
          <t>Set commission rates</t>
        </is>
      </c>
      <c r="E534" s="24" t="inlineStr">
        <is>
          <t>Positive</t>
        </is>
      </c>
      <c r="F534" s="24" t="inlineStr">
        <is>
          <t>P0</t>
        </is>
      </c>
      <c r="G534" s="24" t="inlineStr">
        <is>
          <t>Admin</t>
        </is>
      </c>
      <c r="H534" s="24" t="inlineStr">
        <is>
          <t>UI</t>
        </is>
      </c>
      <c r="I534" s="24" t="n"/>
      <c r="J534" s="24" t="inlineStr">
        <is>
          <t>1. /admin/finance -&gt; set a platform default (e.g. 5%), a rate for a shop type, a rate for one shop</t>
        </is>
      </c>
      <c r="K534" s="24" t="inlineStr">
        <is>
          <t>Saved and audited. Until a default is set commission is 0%.</t>
        </is>
      </c>
      <c r="L534" s="24" t="inlineStr">
        <is>
          <t>Dev log Slice 6</t>
        </is>
      </c>
      <c r="M534" s="24" t="inlineStr">
        <is>
          <t>Pass</t>
        </is>
      </c>
      <c r="N534" s="24" t="inlineStr">
        <is>
          <t>Local Pass · Staging Not run (rule) · Production Not run
local: before any rate: DB-20261024-R7KJB4 snapshot 0%; saved default 5%, Bakery 3%, QA Shop A mvmkyclr 7.5% through the form; 3 audit rows ‖ 0 earlier rates active again
staging: not run on staging: needs the server's database (local run only)</t>
        </is>
      </c>
      <c r="O534" s="24" t="n"/>
      <c r="P534" s="24" t="inlineStr">
        <is>
          <t>2026-10-24 17:05</t>
        </is>
      </c>
    </row>
    <row r="535" ht="34.5" customHeight="1" s="13">
      <c r="A535" s="24" t="inlineStr">
        <is>
          <t>TC-FIN-002</t>
        </is>
      </c>
      <c r="B535" s="24" t="inlineStr">
        <is>
          <t>Finance, settlement &amp; rider earnings</t>
        </is>
      </c>
      <c r="C535" s="24" t="inlineStr">
        <is>
          <t>GS-061</t>
        </is>
      </c>
      <c r="D535" s="24" t="inlineStr">
        <is>
          <t>Commission resolution order and snapshot</t>
        </is>
      </c>
      <c r="E535" s="24" t="inlineStr">
        <is>
          <t>Positive</t>
        </is>
      </c>
      <c r="F535" s="24" t="inlineStr">
        <is>
          <t>P0</t>
        </is>
      </c>
      <c r="G535" s="24" t="inlineStr">
        <is>
          <t>Admin</t>
        </is>
      </c>
      <c r="H535" s="24" t="inlineStr">
        <is>
          <t>UI</t>
        </is>
      </c>
      <c r="I535" s="24" t="inlineStr">
        <is>
          <t>Rates as above</t>
        </is>
      </c>
      <c r="J535" s="24" t="inlineStr">
        <is>
          <t>1. Deliver one order for the overridden shop, one for a shop of the typed rate, one for any other shop
2. Change the default
3. Deliver another</t>
        </is>
      </c>
      <c r="K535" s="24" t="inlineStr">
        <is>
          <t>Rate used: shop &gt; shop type &gt; default. Each order's snapshot keeps the rate in force at delivery; the change affects later deliveries only.</t>
        </is>
      </c>
      <c r="L535" s="24" t="inlineStr">
        <is>
          <t>Dev log Slice 6 handoff</t>
        </is>
      </c>
      <c r="M535" s="24" t="inlineStr">
        <is>
          <t>Pass</t>
        </is>
      </c>
      <c r="N535" s="24" t="inlineStr">
        <is>
          <t>Local Pass · Staging Not run (rule) · Production Not run
local: A 750bp; B/Bakery 300bp; B/Kirana 500bp; default → 750bp: next 750bp, earlier kept
staging: not run on staging: needs the server's database (local run only)</t>
        </is>
      </c>
      <c r="O535" s="24" t="n"/>
      <c r="P535" s="24" t="inlineStr">
        <is>
          <t>2026-10-24 17:05</t>
        </is>
      </c>
    </row>
    <row r="536" ht="79.5" customHeight="1" s="13">
      <c r="A536" s="24" t="inlineStr">
        <is>
          <t>TC-FIN-003</t>
        </is>
      </c>
      <c r="B536" s="24" t="inlineStr">
        <is>
          <t>Finance, settlement &amp; rider earnings</t>
        </is>
      </c>
      <c r="C536" s="24" t="inlineStr">
        <is>
          <t>GS-061</t>
        </is>
      </c>
      <c r="D536" s="24" t="inlineStr">
        <is>
          <t>Invalid commission values</t>
        </is>
      </c>
      <c r="E536" s="24" t="inlineStr">
        <is>
          <t>Negative</t>
        </is>
      </c>
      <c r="F536" s="24" t="inlineStr">
        <is>
          <t>P2</t>
        </is>
      </c>
      <c r="G536" s="24" t="inlineStr">
        <is>
          <t>Admin</t>
        </is>
      </c>
      <c r="H536" s="24" t="inlineStr">
        <is>
          <t>API</t>
        </is>
      </c>
      <c r="I536" s="24" t="n"/>
      <c r="J536" s="24" t="inlineStr">
        <is>
          <t>1. rateBp -1, 10001, text; as OPERATOR</t>
        </is>
      </c>
      <c r="K536" s="24" t="inlineStr">
        <is>
          <t>422; operator 403.</t>
        </is>
      </c>
      <c r="L536" s="24" t="inlineStr">
        <is>
          <t>API.md Finance</t>
        </is>
      </c>
      <c r="M536" s="24" t="inlineStr">
        <is>
          <t>Pass</t>
        </is>
      </c>
      <c r="N536" s="24" t="inlineStr">
        <is>
          <t>Passed, partly covered. Local Pass (partial) · Staging Pass (partial) · Production Not run
local: not covered: the accepted values (0, 7.5%, the cap) and 'delivered orders keep their snapshot rate' are proven in local/finance-settlement.spec.ts. Expected '0 to 100' superseded by src/server/services/finance.ts setCommissionRate: the cap is 50% (5000 bp), so 100 is refused too
staging: not covered: the accepted values (0, 7.5%, the cap) and 'delivered orders keep their snapshot rate' are proven in local/finance-settlement.spec.ts. Expected '0 to 100' superseded by src/server/services/finance.ts setCommissionRate: the cap is 50% (5000 bp), so 100 is refused too</t>
        </is>
      </c>
      <c r="O536" s="24" t="n"/>
      <c r="P536" s="24" t="inlineStr">
        <is>
          <t>2026-10-24 18:10</t>
        </is>
      </c>
    </row>
    <row r="537" ht="68.25" customHeight="1" s="13">
      <c r="A537" s="24" t="inlineStr">
        <is>
          <t>TC-FIN-004</t>
        </is>
      </c>
      <c r="B537" s="24" t="inlineStr">
        <is>
          <t>Finance, settlement &amp; rider earnings</t>
        </is>
      </c>
      <c r="C537" s="24" t="inlineStr">
        <is>
          <t>WF-010</t>
        </is>
      </c>
      <c r="D537" s="24" t="inlineStr">
        <is>
          <t>Finance snapshot on DELIVERED</t>
        </is>
      </c>
      <c r="E537" s="24" t="inlineStr">
        <is>
          <t>Positive</t>
        </is>
      </c>
      <c r="F537" s="24" t="inlineStr">
        <is>
          <t>P0</t>
        </is>
      </c>
      <c r="G537" s="24" t="inlineStr">
        <is>
          <t>Admin</t>
        </is>
      </c>
      <c r="H537" s="24" t="inlineStr">
        <is>
          <t>UI</t>
        </is>
      </c>
      <c r="I537" s="24" t="n"/>
      <c r="J537" s="24" t="inlineStr">
        <is>
          <t>1. Deliver an order with one removed and one substituted line
2. Open the order's money trace</t>
        </is>
      </c>
      <c r="K537" s="24" t="inlineStr">
        <is>
          <t>Exactly one snapshot: goods = subtotal after removals/substitutions; GMV = goods + delivery fee; commission = round(goods x rate); shop payable = goods - commission. Journal entries present.</t>
        </is>
      </c>
      <c r="L537" s="24" t="inlineStr">
        <is>
          <t>Dev log Slice 6 money rules</t>
        </is>
      </c>
      <c r="M537" s="24" t="inlineStr">
        <is>
          <t>Pass</t>
        </is>
      </c>
      <c r="N537" s="24" t="inlineStr">
        <is>
          <t>Local Pass · Staging Not run (rule) · Production Not run
local: DB-20261024-Z5N10Y: butter removed, bread → curd; goods ₹35, GMV ₹35, commission 750bp = ₹2.63, payable ₹32.37; journal GOODS_SALE, COMMISSION, RIDER_EARNING
staging: not run on staging: needs the server's database (local run only)</t>
        </is>
      </c>
      <c r="O537" s="24" t="n"/>
      <c r="P537" s="24" t="inlineStr">
        <is>
          <t>2026-10-24 17:05</t>
        </is>
      </c>
    </row>
    <row r="538" ht="57" customHeight="1" s="13">
      <c r="A538" s="24" t="inlineStr">
        <is>
          <t>TC-FIN-005</t>
        </is>
      </c>
      <c r="B538" s="24" t="inlineStr">
        <is>
          <t>Finance, settlement &amp; rider earnings</t>
        </is>
      </c>
      <c r="C538" s="24" t="inlineStr">
        <is>
          <t>WF-010</t>
        </is>
      </c>
      <c r="D538" s="24" t="inlineStr">
        <is>
          <t>Exactly one snapshot on every delivery path</t>
        </is>
      </c>
      <c r="E538" s="24" t="inlineStr">
        <is>
          <t>Positive</t>
        </is>
      </c>
      <c r="F538" s="24" t="inlineStr">
        <is>
          <t>P1</t>
        </is>
      </c>
      <c r="G538" s="24" t="inlineStr">
        <is>
          <t>Admin</t>
        </is>
      </c>
      <c r="H538" s="24" t="inlineStr">
        <is>
          <t>UI</t>
        </is>
      </c>
      <c r="I538" s="24" t="n"/>
      <c r="J538" s="24" t="inlineStr">
        <is>
          <t>1. Deliver via rider OTP, via shop self-delivery, via operator confirmation, and via dispute resolved back to DELIVERED</t>
        </is>
      </c>
      <c r="K538" s="24" t="inlineStr">
        <is>
          <t>One snapshot each - never two.</t>
        </is>
      </c>
      <c r="L538" s="24" t="inlineStr">
        <is>
          <t>Dev log Slice 6 handoff</t>
        </is>
      </c>
      <c r="M538" s="24" t="inlineStr">
        <is>
          <t>Pass</t>
        </is>
      </c>
      <c r="N538" s="24" t="inlineStr">
        <is>
          <t>Local Pass · Staging Not run (rule) · Production Not run
local: rider DB-20261024-4GUDLB: 1; shop's own DB-20261024-8LTTP7: 1; operator DB-20261024-YUMV5T: 1; dispute DB-20261024-UZ4ZPR: 1
staging: not run on staging: needs the server's database (local run only)</t>
        </is>
      </c>
      <c r="O538" s="24" t="n"/>
      <c r="P538" s="24" t="inlineStr">
        <is>
          <t>2026-10-24 17:05</t>
        </is>
      </c>
    </row>
    <row r="539" ht="34.5" customHeight="1" s="13">
      <c r="A539" s="24" t="inlineStr">
        <is>
          <t>TC-FIN-006</t>
        </is>
      </c>
      <c r="B539" s="24" t="inlineStr">
        <is>
          <t>Finance, settlement &amp; rider earnings</t>
        </is>
      </c>
      <c r="C539" s="24" t="inlineStr">
        <is>
          <t>GS-062</t>
        </is>
      </c>
      <c r="D539" s="24" t="inlineStr">
        <is>
          <t>Prepare weekly shop settlements</t>
        </is>
      </c>
      <c r="E539" s="24" t="inlineStr">
        <is>
          <t>Positive</t>
        </is>
      </c>
      <c r="F539" s="24" t="inlineStr">
        <is>
          <t>P0</t>
        </is>
      </c>
      <c r="G539" s="24" t="inlineStr">
        <is>
          <t>Admin</t>
        </is>
      </c>
      <c r="H539" s="24" t="inlineStr">
        <is>
          <t>UI</t>
        </is>
      </c>
      <c r="I539" s="24" t="inlineStr">
        <is>
          <t>Delivered orders older than the 2-day hold</t>
        </is>
      </c>
      <c r="J539" s="24" t="inlineStr">
        <is>
          <t>1. /admin/finance -&gt; prepare settlements for last week
2. Run it again</t>
        </is>
      </c>
      <c r="K539" s="24" t="inlineStr">
        <is>
          <t>Batch per shop with gross, commission, refunds, adjustments and net. Orders inside the hold, disputed or refund-pending are excluded and carried over. Re-run creates no duplicates.</t>
        </is>
      </c>
      <c r="L539" s="24" t="inlineStr">
        <is>
          <t>Dev log Slice 6 handoff</t>
        </is>
      </c>
      <c r="M539" s="24" t="inlineStr">
        <is>
          <t>Pass</t>
        </is>
      </c>
      <c r="N539" s="24" t="inlineStr">
        <is>
          <t>Local Pass · Staging Not run (rule) · Production Not run
local: A: 6 orders, goods ₹307 − commission ₹5.63 + refunds ₹-9.25 + adjustments ₹100 = ₹392.12; B: 2 orders ₹86.4; hold / disputed / refund-pending left out; re-run added none
staging: not run on staging: needs the server's database (local run only)</t>
        </is>
      </c>
      <c r="O539" s="24" t="n"/>
      <c r="P539" s="24" t="inlineStr">
        <is>
          <t>2026-10-24 17:05</t>
        </is>
      </c>
    </row>
    <row r="540" ht="79.5" customHeight="1" s="13">
      <c r="A540" s="24" t="inlineStr">
        <is>
          <t>TC-FIN-007</t>
        </is>
      </c>
      <c r="B540" s="24" t="inlineStr">
        <is>
          <t>Finance, settlement &amp; rider earnings</t>
        </is>
      </c>
      <c r="C540" s="24" t="inlineStr">
        <is>
          <t>GS-062</t>
        </is>
      </c>
      <c r="D540" s="24" t="inlineStr">
        <is>
          <t>weekStart must be a Monday</t>
        </is>
      </c>
      <c r="E540" s="24" t="inlineStr">
        <is>
          <t>Negative</t>
        </is>
      </c>
      <c r="F540" s="24" t="inlineStr">
        <is>
          <t>P2</t>
        </is>
      </c>
      <c r="G540" s="24" t="inlineStr">
        <is>
          <t>Admin</t>
        </is>
      </c>
      <c r="H540" s="24" t="inlineStr">
        <is>
          <t>API</t>
        </is>
      </c>
      <c r="I540" s="24" t="n"/>
      <c r="J540" s="24" t="inlineStr">
        <is>
          <t>1. Prepare with a Wednesday date</t>
        </is>
      </c>
      <c r="K540" s="24" t="inlineStr">
        <is>
          <t>422.</t>
        </is>
      </c>
      <c r="L540" s="24" t="inlineStr">
        <is>
          <t>Dev log Slice 6 handoff</t>
        </is>
      </c>
      <c r="M540" s="24" t="inlineStr">
        <is>
          <t>Pass</t>
        </is>
      </c>
      <c r="N540" s="24" t="inlineStr">
        <is>
          <t>Local Pass · Staging Not run (rule) · Production Not run
local: 2026-10-14 (a Wednesday) → 422 "A settlement week starts on a Monday." on settlements and rider payouts
staging: not run on staging: needs the server's database (local run only)</t>
        </is>
      </c>
      <c r="O540" s="24" t="n"/>
      <c r="P540" s="24" t="inlineStr">
        <is>
          <t>2026-10-24 17:05</t>
        </is>
      </c>
    </row>
    <row r="541" ht="68.25" customHeight="1" s="13">
      <c r="A541" s="24" t="inlineStr">
        <is>
          <t>TC-FIN-008</t>
        </is>
      </c>
      <c r="B541" s="24" t="inlineStr">
        <is>
          <t>Finance, settlement &amp; rider earnings</t>
        </is>
      </c>
      <c r="C541" s="24" t="inlineStr">
        <is>
          <t>GS-062</t>
        </is>
      </c>
      <c r="D541" s="24" t="inlineStr">
        <is>
          <t>Settlement lifecycle</t>
        </is>
      </c>
      <c r="E541" s="24" t="inlineStr">
        <is>
          <t>Positive</t>
        </is>
      </c>
      <c r="F541" s="24" t="inlineStr">
        <is>
          <t>P0</t>
        </is>
      </c>
      <c r="G541" s="24" t="inlineStr">
        <is>
          <t>Admin</t>
        </is>
      </c>
      <c r="H541" s="24" t="inlineStr">
        <is>
          <t>UI</t>
        </is>
      </c>
      <c r="I541" s="24" t="n"/>
      <c r="J541" s="24" t="inlineStr">
        <is>
          <t>1. Approve -&gt; process -&gt; pay with a UTR reference
2. Pay without a reference
3. Fail one then re-send
4. Reverse a paid one
5. Cancel a pending one</t>
        </is>
      </c>
      <c r="K541" s="24" t="inlineStr">
        <is>
          <t>States move PENDING -&gt; ELIGIBLE -&gt; PROCESSING -&gt; PAID / FAILED; pay needs a reference; reverse releases items and journals a REVERSAL; cancel releases items. All audited. No money is transferred by the system.</t>
        </is>
      </c>
      <c r="L541" s="24" t="inlineStr">
        <is>
          <t>API.md Finance</t>
        </is>
      </c>
      <c r="M541" s="24" t="inlineStr">
        <is>
          <t>Pass</t>
        </is>
      </c>
      <c r="N541" s="24" t="inlineStr">
        <is>
          <t>Passed, partly covered. Local Pass (partial) · Staging Not run (rule) · Production Not run
local: not covered: 'no money is transferred by the system' is by construction (no bank API is called; PAID records a reference) and not observable here
staging: not run on staging: needs the server's database (local run only)</t>
        </is>
      </c>
      <c r="O541" s="24" t="n"/>
      <c r="P541" s="24" t="inlineStr">
        <is>
          <t>2026-10-24 17:05</t>
        </is>
      </c>
    </row>
    <row r="542" ht="79.5" customHeight="1" s="13">
      <c r="A542" s="24" t="inlineStr">
        <is>
          <t>TC-FIN-009</t>
        </is>
      </c>
      <c r="B542" s="24" t="inlineStr">
        <is>
          <t>Finance, settlement &amp; rider earnings</t>
        </is>
      </c>
      <c r="C542" s="24" t="inlineStr">
        <is>
          <t>GS-062, RBAC-012</t>
        </is>
      </c>
      <c r="D542" s="24" t="inlineStr">
        <is>
          <t>Operator cannot approve or pay</t>
        </is>
      </c>
      <c r="E542" s="24" t="inlineStr">
        <is>
          <t>Security</t>
        </is>
      </c>
      <c r="F542" s="24" t="inlineStr">
        <is>
          <t>P0</t>
        </is>
      </c>
      <c r="G542" s="24" t="inlineStr">
        <is>
          <t>Operator</t>
        </is>
      </c>
      <c r="H542" s="24" t="inlineStr">
        <is>
          <t>API</t>
        </is>
      </c>
      <c r="I542" s="24" t="n"/>
      <c r="J542" s="24" t="inlineStr">
        <is>
          <t>1. PATCH /api/finance/settlements/{id} approve / pay; POST prepare</t>
        </is>
      </c>
      <c r="K542" s="24" t="inlineStr">
        <is>
          <t>403.</t>
        </is>
      </c>
      <c r="L542" s="24" t="inlineStr">
        <is>
          <t>Dev log Slice 6: separation of duties</t>
        </is>
      </c>
      <c r="M542" s="24" t="inlineStr">
        <is>
          <t>Pass</t>
        </is>
      </c>
      <c r="N542" s="24" t="inlineStr">
        <is>
          <t>Local Pass · Staging Pass · Production Not run
local: 16 prepare / approve / pay / rate / adjustment calls by ops and oplim: all 403; exceptions queue open without batches
staging: 16 prepare / approve / pay / rate / adjustment calls by ops and oplim: all 403; exceptions queue open without batches</t>
        </is>
      </c>
      <c r="O542" s="24" t="n"/>
      <c r="P542" s="24" t="inlineStr">
        <is>
          <t>2026-10-24 18:10</t>
        </is>
      </c>
    </row>
    <row r="543" ht="57" customHeight="1" s="13">
      <c r="A543" s="24" t="inlineStr">
        <is>
          <t>TC-FIN-010</t>
        </is>
      </c>
      <c r="B543" s="24" t="inlineStr">
        <is>
          <t>Finance, settlement &amp; rider earnings</t>
        </is>
      </c>
      <c r="C543" s="24" t="inlineStr">
        <is>
          <t>NAV-010</t>
        </is>
      </c>
      <c r="D543" s="24" t="inlineStr">
        <is>
          <t>Shop finance page</t>
        </is>
      </c>
      <c r="E543" s="24" t="inlineStr">
        <is>
          <t>Positive</t>
        </is>
      </c>
      <c r="F543" s="24" t="inlineStr">
        <is>
          <t>P0</t>
        </is>
      </c>
      <c r="G543" s="24" t="inlineStr">
        <is>
          <t>Shop</t>
        </is>
      </c>
      <c r="H543" s="24" t="inlineStr">
        <is>
          <t>UI</t>
        </is>
      </c>
      <c r="I543" s="24" t="n"/>
      <c r="J543" s="24" t="inlineStr">
        <is>
          <t>1. Open /shop/finance</t>
        </is>
      </c>
      <c r="K543" s="24" t="inlineStr">
        <is>
          <t>Own commission, settlements and payouts only; totals match the admin view for that shop.</t>
        </is>
      </c>
      <c r="L543" s="24" t="inlineStr">
        <is>
          <t>Dev log Slice 6 handoff</t>
        </is>
      </c>
      <c r="M543" s="24" t="inlineStr">
        <is>
          <t>Fail</t>
        </is>
      </c>
      <c r="N543" s="24" t="inlineStr">
        <is>
          <t>Local Pass (partial) · Staging Fail · Production Not run
local: not covered: per-order payable lines against each order's snapshot are checked in local/finance-settlement.spec.ts
staging: [phone] "Not yet settled" (admin payable 51000 + pending adjustments 6000) | expect(received).toBe(expected) // Object.is equality | Expected: 57000 | Received: 0</t>
        </is>
      </c>
      <c r="O543" s="24" t="n"/>
      <c r="P543" s="24" t="inlineStr">
        <is>
          <t>2026-10-24 22:23</t>
        </is>
      </c>
    </row>
    <row r="544" ht="90.75" customHeight="1" s="13">
      <c r="A544" s="24" t="inlineStr">
        <is>
          <t>TC-FIN-011</t>
        </is>
      </c>
      <c r="B544" s="24" t="inlineStr">
        <is>
          <t>Finance, settlement &amp; rider earnings</t>
        </is>
      </c>
      <c r="C544" s="24" t="inlineStr">
        <is>
          <t>GS-063</t>
        </is>
      </c>
      <c r="D544" s="24" t="inlineStr">
        <is>
          <t>Default rider earning</t>
        </is>
      </c>
      <c r="E544" s="24" t="inlineStr">
        <is>
          <t>Positive</t>
        </is>
      </c>
      <c r="F544" s="24" t="inlineStr">
        <is>
          <t>P0</t>
        </is>
      </c>
      <c r="G544" s="24" t="inlineStr">
        <is>
          <t>Rider</t>
        </is>
      </c>
      <c r="H544" s="24" t="inlineStr">
        <is>
          <t>UI</t>
        </is>
      </c>
      <c r="I544" s="24" t="inlineStr">
        <is>
          <t>No slots or incentives</t>
        </is>
      </c>
      <c r="J544" s="24" t="inlineStr">
        <is>
          <t>1. Complete a 3 km delivery</t>
        </is>
      </c>
      <c r="K544" s="24" t="inlineStr">
        <is>
          <t>Earning = base + 3 x per-km (default Rs 20 + 3 x Rs 8 = Rs 44); statement shows the breakdown lines.</t>
        </is>
      </c>
      <c r="L544" s="24" t="inlineStr">
        <is>
          <t>QA D-01</t>
        </is>
      </c>
      <c r="M544" s="24" t="inlineStr">
        <is>
          <t>Pass</t>
        </is>
      </c>
      <c r="N544" s="24" t="inlineStr">
        <is>
          <t>Passed, partly covered. Local Pass (partial) · Staging Not run (rule) · Production Not run
local: not covered: the /delivery-partner page lists each earning's total; its breakdown lines are in the rider's statement (GET /api/delivery-partner/earnings), not on the page
staging: not run on staging: needs the server's database (local run only)</t>
        </is>
      </c>
      <c r="O544" s="24" t="n"/>
      <c r="P544" s="24" t="inlineStr">
        <is>
          <t>2026-10-24 20:50</t>
        </is>
      </c>
    </row>
    <row r="545" ht="68.25" customHeight="1" s="13">
      <c r="A545" s="24" t="inlineStr">
        <is>
          <t>TC-FIN-012</t>
        </is>
      </c>
      <c r="B545" s="24" t="inlineStr">
        <is>
          <t>Finance, settlement &amp; rider earnings</t>
        </is>
      </c>
      <c r="C545" s="24" t="inlineStr">
        <is>
          <t>GS-063</t>
        </is>
      </c>
      <c r="D545" s="24" t="inlineStr">
        <is>
          <t>Time-slot rates</t>
        </is>
      </c>
      <c r="E545" s="24" t="inlineStr">
        <is>
          <t>Positive</t>
        </is>
      </c>
      <c r="F545" s="24" t="inlineStr">
        <is>
          <t>P1</t>
        </is>
      </c>
      <c r="G545" s="24" t="inlineStr">
        <is>
          <t>Admin</t>
        </is>
      </c>
      <c r="H545" s="24" t="inlineStr">
        <is>
          <t>UI</t>
        </is>
      </c>
      <c r="I545" s="24" t="n"/>
      <c r="J545" s="24" t="inlineStr">
        <is>
          <t>1. /admin/rider-earnings -&gt; add slot Morning 06:00-11:00, base 30, per-km 5, peak bonus 10
2. 'Try a delivery' at 09:30 and at 15:00</t>
        </is>
      </c>
      <c r="K545" s="24" t="inlineStr">
        <is>
          <t>09:30 picks Morning with base, distance and slot-bonus lines. 15:00 uses the default rate.</t>
        </is>
      </c>
      <c r="L545" s="24" t="inlineStr">
        <is>
          <t>QA D-02</t>
        </is>
      </c>
      <c r="M545" s="24" t="inlineStr">
        <is>
          <t>Pass</t>
        </is>
      </c>
      <c r="N545" s="24" t="inlineStr">
        <is>
          <t>Local Pass · Staging Not run (rule) · Production Not run
local: 09:30 → "Slot: QA Morning mvmlq3ni — net ₹55 Base fee (QA Morning mvmlq3ni) ₹30 Distance 3.0 km ₹15 Slot bonus (QA Morning mvmlq3"; 15:00 → "Slot: none (default rate) — net ₹44 Base fee ₹20 Distance 3."
staging: not run on staging: needs the server's database (local run only)</t>
        </is>
      </c>
      <c r="O545" s="24" t="n"/>
      <c r="P545" s="24" t="inlineStr">
        <is>
          <t>2026-10-24 17:05</t>
        </is>
      </c>
    </row>
    <row r="546" ht="45.75" customHeight="1" s="13">
      <c r="A546" s="24" t="inlineStr">
        <is>
          <t>TC-FIN-013</t>
        </is>
      </c>
      <c r="B546" s="24" t="inlineStr">
        <is>
          <t>Finance, settlement &amp; rider earnings</t>
        </is>
      </c>
      <c r="C546" s="24" t="inlineStr">
        <is>
          <t>GS-063</t>
        </is>
      </c>
      <c r="D546" s="24" t="inlineStr">
        <is>
          <t>Overnight slot and overlapping priority</t>
        </is>
      </c>
      <c r="E546" s="24" t="inlineStr">
        <is>
          <t>Boundary</t>
        </is>
      </c>
      <c r="F546" s="24" t="inlineStr">
        <is>
          <t>P2</t>
        </is>
      </c>
      <c r="G546" s="24" t="inlineStr">
        <is>
          <t>Admin</t>
        </is>
      </c>
      <c r="H546" s="24" t="inlineStr">
        <is>
          <t>UI</t>
        </is>
      </c>
      <c r="I546" s="24" t="n"/>
      <c r="J546" s="24" t="inlineStr">
        <is>
          <t>1. Add 22:00-02:00; preview at 23:30, 01:00, 03:00
2. Add two overlapping slots with different priority and weekday/date limits</t>
        </is>
      </c>
      <c r="K546" s="24" t="inlineStr">
        <is>
          <t>Overnight matches the first two only. Higher priority wins; weekday and date limits honoured.</t>
        </is>
      </c>
      <c r="L546" s="24" t="inlineStr">
        <is>
          <t>QA D-03, D-04</t>
        </is>
      </c>
      <c r="M546" s="24" t="inlineStr">
        <is>
          <t>Pass</t>
        </is>
      </c>
      <c r="N546" s="24" t="inlineStr">
        <is>
          <t>Local Pass · Staging Not run (rule) · Production Not run
local: 23:30 QA Night mvmlq3ni; 01:00 QA Night mvmlq3ni; 03:00 default; overlap 09:30 QA Narrow mvmlq3ni; next week QA Wide mvmlq3ni; next day QA Wide mvmlq3ni; 11:30 QA Wide mvmlq3ni
staging: not run on staging: needs the server's database (local run only)</t>
        </is>
      </c>
      <c r="O546" s="24" t="n"/>
      <c r="P546" s="24" t="inlineStr">
        <is>
          <t>2026-10-24 17:05</t>
        </is>
      </c>
    </row>
    <row r="547" ht="34.5" customHeight="1" s="13">
      <c r="A547" s="24" t="inlineStr">
        <is>
          <t>TC-FIN-014</t>
        </is>
      </c>
      <c r="B547" s="24" t="inlineStr">
        <is>
          <t>Finance, settlement &amp; rider earnings</t>
        </is>
      </c>
      <c r="C547" s="24" t="inlineStr">
        <is>
          <t>GS-063</t>
        </is>
      </c>
      <c r="D547" s="24" t="inlineStr">
        <is>
          <t>Incentives pay once when earned</t>
        </is>
      </c>
      <c r="E547" s="24" t="inlineStr">
        <is>
          <t>Positive</t>
        </is>
      </c>
      <c r="F547" s="24" t="inlineStr">
        <is>
          <t>P1</t>
        </is>
      </c>
      <c r="G547" s="24" t="inlineStr">
        <is>
          <t>Admin</t>
        </is>
      </c>
      <c r="H547" s="24" t="inlineStr">
        <is>
          <t>UI</t>
        </is>
      </c>
      <c r="I547" s="24" t="inlineStr">
        <is>
          <t>Incentives: daily target 3 orders Rs 50; order-count &gt;2 Rs 10; distance &gt;= 2500 m Rs 7; peak hour Rs 9; dated campaign</t>
        </is>
      </c>
      <c r="J547" s="24" t="inlineStr">
        <is>
          <t>1. Complete deliveries to trigger each</t>
        </is>
      </c>
      <c r="K547" s="24" t="inlineStr">
        <is>
          <t>Each pays when its condition is met, as a separate ledger line; one-off targets pay once per day/week.</t>
        </is>
      </c>
      <c r="L547" s="24" t="inlineStr">
        <is>
          <t>QA D-05</t>
        </is>
      </c>
      <c r="M547" s="24" t="inlineStr">
        <is>
          <t>Pass</t>
        </is>
      </c>
      <c r="N547" s="24" t="inlineStr">
        <is>
          <t>Passed, partly covered. Local Pass (partial) · Staging Not run (rule) · Production Not run
local: not covered: a weekly target (WEEKLY_TARGET) is the same rule with the ISO week as its period; it was not run here
staging: not run on staging: needs the server's database (local run only)</t>
        </is>
      </c>
      <c r="O547" s="24" t="n"/>
      <c r="P547" s="24" t="inlineStr">
        <is>
          <t>2026-10-24 17:05</t>
        </is>
      </c>
    </row>
    <row r="548" ht="34.5" customHeight="1" s="13">
      <c r="A548" s="24" t="inlineStr">
        <is>
          <t>TC-FIN-015</t>
        </is>
      </c>
      <c r="B548" s="24" t="inlineStr">
        <is>
          <t>Finance, settlement &amp; rider earnings</t>
        </is>
      </c>
      <c r="C548" s="24" t="inlineStr">
        <is>
          <t>GS-063</t>
        </is>
      </c>
      <c r="D548" s="24" t="inlineStr">
        <is>
          <t>Minimum earning top-up</t>
        </is>
      </c>
      <c r="E548" s="24" t="inlineStr">
        <is>
          <t>Boundary</t>
        </is>
      </c>
      <c r="F548" s="24" t="inlineStr">
        <is>
          <t>P2</t>
        </is>
      </c>
      <c r="G548" s="24" t="inlineStr">
        <is>
          <t>Admin</t>
        </is>
      </c>
      <c r="H548" s="24" t="inlineStr">
        <is>
          <t>UI</t>
        </is>
      </c>
      <c r="I548" s="24" t="inlineStr">
        <is>
          <t>Minimum earning Rs 60</t>
        </is>
      </c>
      <c r="J548" s="24" t="inlineStr">
        <is>
          <t>1. Complete a short delivery</t>
        </is>
      </c>
      <c r="K548" s="24" t="inlineStr">
        <is>
          <t>Topped up to Rs 60 with a 'top-up' line.</t>
        </is>
      </c>
      <c r="L548" s="24" t="inlineStr">
        <is>
          <t>QA D-06</t>
        </is>
      </c>
      <c r="M548" s="24" t="inlineStr">
        <is>
          <t>Pass</t>
        </is>
      </c>
      <c r="N548" s="24" t="inlineStr">
        <is>
          <t>Local Pass · Staging Not run (rule) · Production Not run
local: DB-20261024-3R3Y8L: base ₹20 + 1 km ₹8 → top-up ₹32 → ₹60.00
staging: not run on staging: needs the server's database (local run only)</t>
        </is>
      </c>
      <c r="O548" s="24" t="n"/>
      <c r="P548" s="24" t="inlineStr">
        <is>
          <t>2026-10-24 17:05</t>
        </is>
      </c>
    </row>
    <row r="549" ht="57" customHeight="1" s="13">
      <c r="A549" s="24" t="inlineStr">
        <is>
          <t>TC-FIN-016</t>
        </is>
      </c>
      <c r="B549" s="24" t="inlineStr">
        <is>
          <t>Finance, settlement &amp; rider earnings</t>
        </is>
      </c>
      <c r="C549" s="24" t="inlineStr">
        <is>
          <t>GS-063</t>
        </is>
      </c>
      <c r="D549" s="24" t="inlineStr">
        <is>
          <t>Failed delivery and cancel-after-pickup payouts</t>
        </is>
      </c>
      <c r="E549" s="24" t="inlineStr">
        <is>
          <t>Positive</t>
        </is>
      </c>
      <c r="F549" s="24" t="inlineStr">
        <is>
          <t>P1</t>
        </is>
      </c>
      <c r="G549" s="24" t="inlineStr">
        <is>
          <t>Admin</t>
        </is>
      </c>
      <c r="H549" s="24" t="inlineStr">
        <is>
          <t>UI</t>
        </is>
      </c>
      <c r="I549" s="24" t="inlineStr">
        <is>
          <t>failedDeliveryPayoutPercent 50</t>
        </is>
      </c>
      <c r="J549" s="24" t="inlineStr">
        <is>
          <t>1. Fail a delivery
2. Customer cancels after pickup
3. Restore default</t>
        </is>
      </c>
      <c r="K549" s="24" t="inlineStr">
        <is>
          <t>Failed: 50% with a deduction line (default 100 pays in full). Cancel after pickup: rider paid in full by default.</t>
        </is>
      </c>
      <c r="L549" s="24" t="inlineStr">
        <is>
          <t>QA D-07, D-08</t>
        </is>
      </c>
      <c r="M549" s="24" t="inlineStr">
        <is>
          <t>Pass</t>
        </is>
      </c>
      <c r="N549" s="24" t="inlineStr">
        <is>
          <t>Local Pass · Staging Not run (rule) · Production Not run
local: failed at 50%: ₹14 with "Only 50% paid for a failed delivery" −₹14; failed at 100%: ₹28; cancelled after pickup: ₹28 (full)
staging: not run on staging: needs the server's database (local run only)</t>
        </is>
      </c>
      <c r="O549" s="24" t="n"/>
      <c r="P549" s="24" t="inlineStr">
        <is>
          <t>2026-10-24 17:05</t>
        </is>
      </c>
    </row>
    <row r="550" ht="79.5" customHeight="1" s="13">
      <c r="A550" s="24" t="inlineStr">
        <is>
          <t>TC-FIN-017</t>
        </is>
      </c>
      <c r="B550" s="24" t="inlineStr">
        <is>
          <t>Finance, settlement &amp; rider earnings</t>
        </is>
      </c>
      <c r="C550" s="24" t="inlineStr">
        <is>
          <t>GS-063</t>
        </is>
      </c>
      <c r="D550" s="24" t="inlineStr">
        <is>
          <t>Switching a slot off does not rewrite history</t>
        </is>
      </c>
      <c r="E550" s="24" t="inlineStr">
        <is>
          <t>Positive</t>
        </is>
      </c>
      <c r="F550" s="24" t="inlineStr">
        <is>
          <t>P2</t>
        </is>
      </c>
      <c r="G550" s="24" t="inlineStr">
        <is>
          <t>Admin</t>
        </is>
      </c>
      <c r="H550" s="24" t="inlineStr">
        <is>
          <t>UI</t>
        </is>
      </c>
      <c r="I550" s="24" t="n"/>
      <c r="J550" s="24" t="inlineStr">
        <is>
          <t>1. Turn a slot off; deliver again</t>
        </is>
      </c>
      <c r="K550" s="24" t="inlineStr">
        <is>
          <t>Past earnings keep their breakdown; new ones ignore the slot.</t>
        </is>
      </c>
      <c r="L550" s="24" t="inlineStr">
        <is>
          <t>QA D-10</t>
        </is>
      </c>
      <c r="M550" s="24" t="inlineStr">
        <is>
          <t>Pass</t>
        </is>
      </c>
      <c r="N550" s="24" t="inlineStr">
        <is>
          <t>Local Pass · Staging Not run (rule) · Production Not run
local: DB-20261024-DA7Q3H ₹41 under "QA Now mvmlq3ni"; slot switched off on the page; DB-20261024-LDBVW2 ₹28 default; the first keeps its breakdown ‖ 0 slots and 0 incentives active again
staging: not run on staging: needs the server's database (local run only)</t>
        </is>
      </c>
      <c r="O550" s="24" t="n"/>
      <c r="P550" s="24" t="inlineStr">
        <is>
          <t>2026-10-24 17:05</t>
        </is>
      </c>
    </row>
    <row r="551" ht="57" customHeight="1" s="13">
      <c r="A551" s="24" t="inlineStr">
        <is>
          <t>TC-FIN-018</t>
        </is>
      </c>
      <c r="B551" s="24" t="inlineStr">
        <is>
          <t>Finance, settlement &amp; rider earnings</t>
        </is>
      </c>
      <c r="C551" s="24" t="inlineStr">
        <is>
          <t>NAV-012</t>
        </is>
      </c>
      <c r="D551" s="24" t="inlineStr">
        <is>
          <t>Rider earnings and payouts view</t>
        </is>
      </c>
      <c r="E551" s="24" t="inlineStr">
        <is>
          <t>Positive</t>
        </is>
      </c>
      <c r="F551" s="24" t="inlineStr">
        <is>
          <t>P0</t>
        </is>
      </c>
      <c r="G551" s="24" t="inlineStr">
        <is>
          <t>Rider</t>
        </is>
      </c>
      <c r="H551" s="24" t="inlineStr">
        <is>
          <t>UI</t>
        </is>
      </c>
      <c r="I551" s="24" t="n"/>
      <c r="J551" s="24" t="inlineStr">
        <is>
          <t>1. Open earnings on /delivery-partner</t>
        </is>
      </c>
      <c r="K551" s="24" t="inlineStr">
        <is>
          <t>Each earning listed with status (UNPAID or payout status), adjustments and the payouts list; only the rider's own data.</t>
        </is>
      </c>
      <c r="L551" s="24" t="inlineStr">
        <is>
          <t>Dev log Slice 6 E</t>
        </is>
      </c>
      <c r="M551" s="24" t="inlineStr">
        <is>
          <t>Pass</t>
        </is>
      </c>
      <c r="N551" s="24" t="inlineStr">
        <is>
          <t>Local Pass · Staging Pass · Production Not run
local: 50 earnings in the API, 42 rows on the page with status; payouts card shown; none of rider 2's ‖ [phone] 1 earnings in the API, 1 rows on the page with status; payouts card shown; none of rider 2's
staging: 3 earnings in the API, 3 rows on the page with status; payouts card shown; none of rider 2's ‖ [phone] 3 earnings in the API, 3 rows on the page with status; payouts card shown; none of rider 2's</t>
        </is>
      </c>
      <c r="O551" s="24" t="n"/>
      <c r="P551" s="24" t="inlineStr">
        <is>
          <t>2026-10-24 20:59</t>
        </is>
      </c>
    </row>
    <row r="552" ht="90.75" customHeight="1" s="13">
      <c r="A552" s="24" t="inlineStr">
        <is>
          <t>TC-FIN-019</t>
        </is>
      </c>
      <c r="B552" s="24" t="inlineStr">
        <is>
          <t>Finance, settlement &amp; rider earnings</t>
        </is>
      </c>
      <c r="C552" s="24" t="inlineStr">
        <is>
          <t>GS-064</t>
        </is>
      </c>
      <c r="D552" s="24" t="inlineStr">
        <is>
          <t>Weekly rider payout</t>
        </is>
      </c>
      <c r="E552" s="24" t="inlineStr">
        <is>
          <t>Positive</t>
        </is>
      </c>
      <c r="F552" s="24" t="inlineStr">
        <is>
          <t>P0</t>
        </is>
      </c>
      <c r="G552" s="24" t="inlineStr">
        <is>
          <t>Admin</t>
        </is>
      </c>
      <c r="H552" s="24" t="inlineStr">
        <is>
          <t>UI</t>
        </is>
      </c>
      <c r="I552" s="24" t="n"/>
      <c r="J552" s="24" t="inlineStr">
        <is>
          <t>1. Prepare rider payouts
2. Approve -&gt; pay with a reference
3. Cancel another batch</t>
        </is>
      </c>
      <c r="K552" s="24" t="inlineStr">
        <is>
          <t>Batch contains unpaid earnings (incl. failed-delivery, cancelled-after-pickup and return-pickup fees) net of adjustments and COD cash held; totals match the rider's statement; cancel releases earnings.</t>
        </is>
      </c>
      <c r="L552" s="24" t="inlineStr">
        <is>
          <t>QA D-09; Dev log Slice 6 handoff</t>
        </is>
      </c>
      <c r="M552" s="24" t="inlineStr">
        <is>
          <t>Pass</t>
        </is>
      </c>
      <c r="N552" s="24" t="inlineStr">
        <is>
          <t>Passed, partly covered. Local Pass (partial) · Staging Not run (rule) · Production Not run
local: not covered: the return-pickup fee is checked with the return journey in scenarios/SC-10-returns.spec.ts
staging: not run on staging: needs the server's database (local run only)</t>
        </is>
      </c>
      <c r="O552" s="24" t="n"/>
      <c r="P552" s="24" t="inlineStr">
        <is>
          <t>2026-10-24 17:05</t>
        </is>
      </c>
    </row>
    <row r="553" ht="57" customHeight="1" s="13">
      <c r="A553" s="24" t="inlineStr">
        <is>
          <t>TC-FIN-020</t>
        </is>
      </c>
      <c r="B553" s="24" t="inlineStr">
        <is>
          <t>Finance, settlement &amp; rider earnings</t>
        </is>
      </c>
      <c r="C553" s="24" t="inlineStr">
        <is>
          <t>WF-010</t>
        </is>
      </c>
      <c r="D553" s="24" t="inlineStr">
        <is>
          <t>Manual adjustment</t>
        </is>
      </c>
      <c r="E553" s="24" t="inlineStr">
        <is>
          <t>Positive</t>
        </is>
      </c>
      <c r="F553" s="24" t="inlineStr">
        <is>
          <t>P1</t>
        </is>
      </c>
      <c r="G553" s="24" t="inlineStr">
        <is>
          <t>Admin</t>
        </is>
      </c>
      <c r="H553" s="24" t="inlineStr">
        <is>
          <t>UI</t>
        </is>
      </c>
      <c r="I553" s="24" t="n"/>
      <c r="J553" s="24" t="inlineStr">
        <is>
          <t>1. Add a +Rs 100 SHOP adjustment and a -Rs 50 RIDER adjustment with reasons
2. Prepare the next batches
3. Replay the same requestId</t>
        </is>
      </c>
      <c r="K553" s="24" t="inlineStr">
        <is>
          <t>Adjustments flow into the next settlement / payout; replay does not double-count; audited.</t>
        </is>
      </c>
      <c r="L553" s="24" t="inlineStr">
        <is>
          <t>Dev log Slice 6 handoff</t>
        </is>
      </c>
      <c r="M553" s="24" t="inlineStr">
        <is>
          <t>Pass</t>
        </is>
      </c>
      <c r="N553" s="24" t="inlineStr">
        <is>
          <t>Passed, partly covered. Local Pass (partial) · Staging Not run (rule) · Production Not run
local: not covered: flowing into the next settlement / payout is asserted by TC-FIN-006 and TC-FIN-019 below
staging: not run on staging: needs the server's database (local run only)</t>
        </is>
      </c>
      <c r="O553" s="24" t="n"/>
      <c r="P553" s="24" t="inlineStr">
        <is>
          <t>2026-10-24 17:05</t>
        </is>
      </c>
    </row>
    <row r="554" ht="45.75" customHeight="1" s="13">
      <c r="A554" s="24" t="inlineStr">
        <is>
          <t>TC-FIN-021</t>
        </is>
      </c>
      <c r="B554" s="24" t="inlineStr">
        <is>
          <t>Finance, settlement &amp; rider earnings</t>
        </is>
      </c>
      <c r="C554" s="24" t="inlineStr">
        <is>
          <t>GS-031</t>
        </is>
      </c>
      <c r="D554" s="24" t="inlineStr">
        <is>
          <t>Run reconciliation</t>
        </is>
      </c>
      <c r="E554" s="24" t="inlineStr">
        <is>
          <t>Positive</t>
        </is>
      </c>
      <c r="F554" s="24" t="inlineStr">
        <is>
          <t>P0</t>
        </is>
      </c>
      <c r="G554" s="24" t="inlineStr">
        <is>
          <t>Admin</t>
        </is>
      </c>
      <c r="H554" s="24" t="inlineStr">
        <is>
          <t>UI</t>
        </is>
      </c>
      <c r="I554" s="24" t="n"/>
      <c r="J554" s="24" t="inlineStr">
        <is>
          <t>1. Run reconciliation for the last 35 days</t>
        </is>
      </c>
      <c r="K554" s="24" t="inlineStr">
        <is>
          <t>Records for ORDER, PAYMENT, RIDER, SETTLEMENT, PAYOUT are MATCHED when books agree. Any EXCEPTION names the mismatch.</t>
        </is>
      </c>
      <c r="L554" s="24" t="inlineStr">
        <is>
          <t>Dev log Slice 6 H</t>
        </is>
      </c>
      <c r="M554" s="24" t="inlineStr">
        <is>
          <t>Pass</t>
        </is>
      </c>
      <c r="N554" s="24" t="inlineStr">
        <is>
          <t>Local Pass · Staging Not run (rule) · Production Not run
local: 2026-09-19…2026-10-25: MATCHED for ORDER, PAYMENT, PAYOUT, RIDER, SETTLEMENT; the uncredited ₹77 top-up is UNMATCHED ("Gateway reports success but the wallet credit is missing or short."); 211 records stored, the admin list shows 200
staging: not run on staging: needs the server's database (local run only)</t>
        </is>
      </c>
      <c r="O554" s="24" t="inlineStr">
        <is>
          <t>D-29</t>
        </is>
      </c>
      <c r="P554" s="24" t="inlineStr">
        <is>
          <t>2026-10-24 17:05</t>
        </is>
      </c>
    </row>
    <row r="555" ht="45.75" customHeight="1" s="13">
      <c r="A555" s="24" t="inlineStr">
        <is>
          <t>TC-FIN-022</t>
        </is>
      </c>
      <c r="B555" s="24" t="inlineStr">
        <is>
          <t>Finance, settlement &amp; rider earnings</t>
        </is>
      </c>
      <c r="C555" s="24" t="inlineStr">
        <is>
          <t>GS-031</t>
        </is>
      </c>
      <c r="D555" s="24" t="inlineStr">
        <is>
          <t>Resolve a reconciliation exception</t>
        </is>
      </c>
      <c r="E555" s="24" t="inlineStr">
        <is>
          <t>Positive</t>
        </is>
      </c>
      <c r="F555" s="24" t="inlineStr">
        <is>
          <t>P1</t>
        </is>
      </c>
      <c r="G555" s="24" t="inlineStr">
        <is>
          <t>Operator</t>
        </is>
      </c>
      <c r="H555" s="24" t="inlineStr">
        <is>
          <t>UI</t>
        </is>
      </c>
      <c r="I555" s="24" t="inlineStr">
        <is>
          <t>An open exception</t>
        </is>
      </c>
      <c r="J555" s="24" t="inlineStr">
        <is>
          <t>1. Resolve with a note
2. Resolve without a note
3. Operator tries a SETTLEMENT/PAYOUT record</t>
        </is>
      </c>
      <c r="K555" s="24" t="inlineStr">
        <is>
          <t>With note -&gt; RECONCILED and audited. Without: refused. Operator limited to ORDER/PAYMENT/RIDER records.</t>
        </is>
      </c>
      <c r="L555" s="24" t="inlineStr">
        <is>
          <t>API.md Finance</t>
        </is>
      </c>
      <c r="M555" s="24" t="inlineStr">
        <is>
          <t>Pass</t>
        </is>
      </c>
      <c r="N555" s="24" t="inlineStr">
        <is>
          <t>Local Pass · Staging Not run (rule) · Production Not run
local: PAYMENT exception qa_mvmlq3ni_1b595f9c → RECONCILED by the operator through the exceptions page, audited; no / short note → 422; operator on a PAYOUT record → 404
staging: not run on staging: needs the server's database (local run only)</t>
        </is>
      </c>
      <c r="O555" s="24" t="n"/>
      <c r="P555" s="24" t="inlineStr">
        <is>
          <t>2026-10-24 17:05</t>
        </is>
      </c>
    </row>
    <row r="556" ht="45.75" customHeight="1" s="13">
      <c r="A556" s="24" t="inlineStr">
        <is>
          <t>TC-FIN-023</t>
        </is>
      </c>
      <c r="B556" s="24" t="inlineStr">
        <is>
          <t>Finance, settlement &amp; rider earnings</t>
        </is>
      </c>
      <c r="C556" s="24" t="inlineStr">
        <is>
          <t>GS-031, NAV-015</t>
        </is>
      </c>
      <c r="D556" s="24" t="inlineStr">
        <is>
          <t>Finance exceptions queue</t>
        </is>
      </c>
      <c r="E556" s="24" t="inlineStr">
        <is>
          <t>Positive</t>
        </is>
      </c>
      <c r="F556" s="24" t="inlineStr">
        <is>
          <t>P1</t>
        </is>
      </c>
      <c r="G556" s="24" t="inlineStr">
        <is>
          <t>Operator</t>
        </is>
      </c>
      <c r="H556" s="24" t="inlineStr">
        <is>
          <t>UI</t>
        </is>
      </c>
      <c r="I556" s="24" t="n"/>
      <c r="J556" s="24" t="inlineStr">
        <is>
          <t>1. Open /admin/finance/exceptions</t>
        </is>
      </c>
      <c r="K556" s="24" t="inlineStr">
        <is>
          <t>Failed/pending payments, refunds pending, cancellations, delivery adjustments, open reconciliation. Admin also sees failed/reversed batches and overdue settlements. Operator sees no settlement or payout totals.</t>
        </is>
      </c>
      <c r="L556" s="24" t="inlineStr">
        <is>
          <t>Dev log Slice 6 K, O</t>
        </is>
      </c>
      <c r="M556" s="24" t="inlineStr">
        <is>
          <t>Pass</t>
        </is>
      </c>
      <c r="N556" s="24" t="inlineStr">
        <is>
          <t>Local Pass · Staging Not run (rule) · Production Not run
local: operator: 5 sections, no settlement / payout section; admin: + failed / reversed batches and DB-20261024-SM5AJF under "Delivered 9+ days ago, not settled"
staging: not run on staging: needs the server's database (local run only)</t>
        </is>
      </c>
      <c r="O556" s="24" t="n"/>
      <c r="P556" s="24" t="inlineStr">
        <is>
          <t>2026-10-24 17:05</t>
        </is>
      </c>
    </row>
    <row r="557" ht="57" customHeight="1" s="13">
      <c r="A557" s="24" t="inlineStr">
        <is>
          <t>TC-FIN-024</t>
        </is>
      </c>
      <c r="B557" s="24" t="inlineStr">
        <is>
          <t>Finance, settlement &amp; rider earnings</t>
        </is>
      </c>
      <c r="C557" s="24" t="inlineStr">
        <is>
          <t>KPI-001, WF-010</t>
        </is>
      </c>
      <c r="D557" s="24" t="inlineStr">
        <is>
          <t>Finance summary for a period</t>
        </is>
      </c>
      <c r="E557" s="24" t="inlineStr">
        <is>
          <t>Positive</t>
        </is>
      </c>
      <c r="F557" s="24" t="inlineStr">
        <is>
          <t>P1</t>
        </is>
      </c>
      <c r="G557" s="24" t="inlineStr">
        <is>
          <t>Admin</t>
        </is>
      </c>
      <c r="H557" s="24" t="inlineStr">
        <is>
          <t>UI</t>
        </is>
      </c>
      <c r="I557" s="24" t="inlineStr">
        <is>
          <t>Known set of delivered orders</t>
        </is>
      </c>
      <c r="J557" s="24" t="inlineStr">
        <is>
          <t>1. Open the summary for the test period
2. Hand-compute GMV, commission, delivery-fee revenue, rider cost, refunds</t>
        </is>
      </c>
      <c r="K557" s="24" t="inlineStr">
        <is>
          <t>Figures match the hand computation. Week boundaries follow IST.</t>
        </is>
      </c>
      <c r="L557" s="24" t="inlineStr">
        <is>
          <t>Dev log Slice 6: potential issues</t>
        </is>
      </c>
      <c r="M557" s="24" t="inlineStr">
        <is>
          <t>Pass</t>
        </is>
      </c>
      <c r="N557" s="24" t="inlineStr">
        <is>
          <t>Local Pass · Staging Not run (rule) · Production Not run
local: 2026-09-15 (IST): 1 delivered, GMV ₹80, commission ₹6, delivery fees ₹0, rider cost ₹28.01, refunds ₹5 (incl. this run's ₹5) — all equal; the 23:50 IST drop counted on the 14th
staging: not run on staging: needs the server's database (local run only)</t>
        </is>
      </c>
      <c r="O557" s="24" t="n"/>
      <c r="P557" s="24" t="inlineStr">
        <is>
          <t>2026-10-24 17:05</t>
        </is>
      </c>
    </row>
    <row r="558" ht="57" customHeight="1" s="13">
      <c r="A558" s="24" t="inlineStr">
        <is>
          <t>TC-FIN-025</t>
        </is>
      </c>
      <c r="B558" s="24" t="inlineStr">
        <is>
          <t>Finance, settlement &amp; rider earnings</t>
        </is>
      </c>
      <c r="C558" s="24" t="inlineStr">
        <is>
          <t>WF-010</t>
        </is>
      </c>
      <c r="D558" s="24" t="inlineStr">
        <is>
          <t>Order money trace</t>
        </is>
      </c>
      <c r="E558" s="24" t="inlineStr">
        <is>
          <t>Positive</t>
        </is>
      </c>
      <c r="F558" s="24" t="inlineStr">
        <is>
          <t>P2</t>
        </is>
      </c>
      <c r="G558" s="24" t="inlineStr">
        <is>
          <t>Admin</t>
        </is>
      </c>
      <c r="H558" s="24" t="inlineStr">
        <is>
          <t>UI+API</t>
        </is>
      </c>
      <c r="I558" s="24" t="n"/>
      <c r="J558" s="24" t="inlineStr">
        <is>
          <t>1. GET /api/finance/orders/{orderNumber}</t>
        </is>
      </c>
      <c r="K558" s="24" t="inlineStr">
        <is>
          <t>Shows payment, wallet entries, snapshot, adjustments, journal, settlement, rider earning and reconciliation for the order.</t>
        </is>
      </c>
      <c r="L558" s="24" t="inlineStr">
        <is>
          <t>API.md Finance</t>
        </is>
      </c>
      <c r="M558" s="24" t="inlineStr">
        <is>
          <t>Pass</t>
        </is>
      </c>
      <c r="N558" s="24" t="inlineStr">
        <is>
          <t>Local Pass · Staging Not run (rule) · Production Not run
local: DB-20261024-NUYQRH: payment ₹45, 1 wallet entries, snapshot, 5 journal lines, settlement PAID, earning ₹30.32, 2 reconciliation records; DB-20261024-4GUDLB: refund adjustment + wallet refund
staging: not run on staging: needs the server's database (local run only)</t>
        </is>
      </c>
      <c r="O558" s="24" t="n"/>
      <c r="P558" s="24" t="inlineStr">
        <is>
          <t>2026-10-24 17:05</t>
        </is>
      </c>
    </row>
    <row r="559" ht="90.75" customHeight="1" s="13">
      <c r="A559" s="24" t="inlineStr">
        <is>
          <t>TC-FIN-026</t>
        </is>
      </c>
      <c r="B559" s="24" t="inlineStr">
        <is>
          <t>Finance, settlement &amp; rider earnings</t>
        </is>
      </c>
      <c r="C559" s="24" t="inlineStr">
        <is>
          <t>WF-010</t>
        </is>
      </c>
      <c r="D559" s="24" t="inlineStr">
        <is>
          <t>Subscription order with a retried payment reconciles</t>
        </is>
      </c>
      <c r="E559" s="24" t="inlineStr">
        <is>
          <t>Positive</t>
        </is>
      </c>
      <c r="F559" s="24" t="inlineStr">
        <is>
          <t>P2</t>
        </is>
      </c>
      <c r="G559" s="24" t="inlineStr">
        <is>
          <t>Admin</t>
        </is>
      </c>
      <c r="H559" s="24" t="inlineStr">
        <is>
          <t>UI</t>
        </is>
      </c>
      <c r="I559" s="24" t="inlineStr">
        <is>
          <t>A subscription day that failed then was retried</t>
        </is>
      </c>
      <c r="J559" s="24" t="inlineStr">
        <is>
          <t>1. Run reconciliation</t>
        </is>
      </c>
      <c r="K559" s="24" t="inlineStr">
        <is>
          <t>ORDER_PAYMENT is MATCHED (not double-counted).</t>
        </is>
      </c>
      <c r="L559" s="24" t="inlineStr">
        <is>
          <t>Dev log Slice 6: potential issues</t>
        </is>
      </c>
      <c r="M559" s="24" t="inlineStr">
        <is>
          <t>Pass</t>
        </is>
      </c>
      <c r="N559" s="24" t="inlineStr">
        <is>
          <t>Local Pass · Staging Not run (rule) · Production Not run
local: ORDER_PAYMENT MATCHED (₹140)
staging: not run on staging: needs the server's database (local run only)</t>
        </is>
      </c>
      <c r="O559" s="24" t="inlineStr">
        <is>
          <t>D-29</t>
        </is>
      </c>
      <c r="P559" s="24" t="inlineStr">
        <is>
          <t>2026-10-24 17:07</t>
        </is>
      </c>
    </row>
    <row r="560" ht="45.75" customHeight="1" s="13">
      <c r="A560" s="24" t="inlineStr">
        <is>
          <t>TC-FIN-027</t>
        </is>
      </c>
      <c r="B560" s="24" t="inlineStr">
        <is>
          <t>Finance, settlement &amp; rider earnings</t>
        </is>
      </c>
      <c r="C560" s="24" t="inlineStr">
        <is>
          <t>RBAC-012</t>
        </is>
      </c>
      <c r="D560" s="24" t="inlineStr">
        <is>
          <t>Finance APIs are closed to non-finance roles</t>
        </is>
      </c>
      <c r="E560" s="24" t="inlineStr">
        <is>
          <t>Security</t>
        </is>
      </c>
      <c r="F560" s="24" t="inlineStr">
        <is>
          <t>P0</t>
        </is>
      </c>
      <c r="G560" s="24" t="inlineStr">
        <is>
          <t>Shop</t>
        </is>
      </c>
      <c r="H560" s="24" t="inlineStr">
        <is>
          <t>API</t>
        </is>
      </c>
      <c r="I560" s="24" t="n"/>
      <c r="J560" s="24" t="inlineStr">
        <is>
          <t>1. As shop, rider and customer call /api/finance/summary, /settlements, /rider-payouts, /ledger, /payables, /adjustments</t>
        </is>
      </c>
      <c r="K560" s="24" t="inlineStr">
        <is>
          <t>403 for all.</t>
        </is>
      </c>
      <c r="L560" s="24" t="inlineStr">
        <is>
          <t>API.md Finance</t>
        </is>
      </c>
      <c r="M560" s="24" t="inlineStr">
        <is>
          <t>Pass</t>
        </is>
      </c>
      <c r="N560" s="24" t="inlineStr">
        <is>
          <t>Passed, partly covered. Local Pass (partial) · Staging Pass (partial) · Production Pass (partial)
local: not covered: guest half only; the other-role half (customer, other shop) runs in the signed-in tier
staging: not covered: guest half only; the other-role half (customer, other shop) runs in the signed-in tier
production: not covered: guest half only; the other-role half (customer, other shop) runs in the signed-in tier</t>
        </is>
      </c>
      <c r="O560" s="24" t="n"/>
      <c r="P560" s="24" t="inlineStr">
        <is>
          <t>2026-10-29 14:06</t>
        </is>
      </c>
    </row>
    <row r="561" ht="68.25" customHeight="1" s="13">
      <c r="A561" s="24" t="inlineStr">
        <is>
          <t>TC-FIN-028</t>
        </is>
      </c>
      <c r="B561" s="24" t="inlineStr">
        <is>
          <t>Finance, settlement &amp; rider earnings</t>
        </is>
      </c>
      <c r="C561" s="24" t="inlineStr">
        <is>
          <t>NEW-007</t>
        </is>
      </c>
      <c r="D561" s="24" t="inlineStr">
        <is>
          <t>Tax invoices after delivery</t>
        </is>
      </c>
      <c r="E561" s="24" t="inlineStr">
        <is>
          <t>Positive</t>
        </is>
      </c>
      <c r="F561" s="24" t="inlineStr">
        <is>
          <t>P0</t>
        </is>
      </c>
      <c r="G561" s="24" t="inlineStr">
        <is>
          <t>Customer</t>
        </is>
      </c>
      <c r="H561" s="24" t="inlineStr">
        <is>
          <t>UI</t>
        </is>
      </c>
      <c r="I561" s="24" t="inlineStr">
        <is>
          <t>Delivered order from a GST-registered shop</t>
        </is>
      </c>
      <c r="J561" s="24" t="inlineStr">
        <is>
          <t>1. Open the order and download the invoices</t>
        </is>
      </c>
      <c r="K561" s="24" t="inlineStr">
        <is>
          <t>Shop invoice for the goods (shop name, GSTIN, HSN, GST rate and amount per line, invoice number, date). Separate platform invoice for its own fees. Totals equal the order.</t>
        </is>
      </c>
      <c r="L561" s="24" t="inlineStr">
        <is>
          <t>Open features 3-Oct, treated as completed 4-Oct</t>
        </is>
      </c>
      <c r="M561" s="24" t="inlineStr">
        <is>
          <t>Pass</t>
        </is>
      </c>
      <c r="N561" s="24" t="inlineStr">
        <is>
          <t>Passed, partly covered. Local Pass (partial) · Staging Not run (rule) · Production Not run
local: not covered: expected 'a separate platform invoice for its own fees' superseded by src/server/services/invoices.ts (header) and rule platformInvoicing: GoKesari's delivery fee is shown under the shop invoice's totals, and GoKesari invoices its fees to the shop per payout cycle, not to the customer
staging: not run on staging: needs the server's database (local run only)</t>
        </is>
      </c>
      <c r="O561" s="24" t="n"/>
      <c r="P561" s="24" t="inlineStr">
        <is>
          <t>2026-10-24 17:05</t>
        </is>
      </c>
    </row>
    <row r="562" ht="79.5" customHeight="1" s="13">
      <c r="A562" s="24" t="inlineStr">
        <is>
          <t>TC-FIN-029</t>
        </is>
      </c>
      <c r="B562" s="24" t="inlineStr">
        <is>
          <t>Finance, settlement &amp; rider earnings</t>
        </is>
      </c>
      <c r="C562" s="24" t="inlineStr">
        <is>
          <t>NEW-007, GS-007</t>
        </is>
      </c>
      <c r="D562" s="24" t="inlineStr">
        <is>
          <t>Shop without a GSTIN</t>
        </is>
      </c>
      <c r="E562" s="24" t="inlineStr">
        <is>
          <t>Negative</t>
        </is>
      </c>
      <c r="F562" s="24" t="inlineStr">
        <is>
          <t>P1</t>
        </is>
      </c>
      <c r="G562" s="24" t="inlineStr">
        <is>
          <t>Customer</t>
        </is>
      </c>
      <c r="H562" s="24" t="inlineStr">
        <is>
          <t>UI</t>
        </is>
      </c>
      <c r="I562" s="24" t="inlineStr">
        <is>
          <t>Delivered order from an unregistered shop</t>
        </is>
      </c>
      <c r="J562" s="24" t="inlineStr">
        <is>
          <t>1. Download the invoice</t>
        </is>
      </c>
      <c r="K562" s="24" t="inlineStr">
        <is>
          <t>A bill of supply without GST lines is issued; no GSTIN is invented.</t>
        </is>
      </c>
      <c r="L562" s="24" t="inlineStr">
        <is>
          <t>Open features 3-Oct, treated as completed 4-Oct</t>
        </is>
      </c>
      <c r="M562" s="24" t="inlineStr">
        <is>
          <t>Pass</t>
        </is>
      </c>
      <c r="N562" s="24" t="inlineStr">
        <is>
          <t>Local Pass · Staging Not run (rule) · Production Not run
local: DB-20261024-NVH91B: BKS-000007/2026-27/000001 BILL_OF_SUPPLY, tax 0, "Not GST-registered", no GSTIN
staging: not run on staging: needs the server's database (local run only)</t>
        </is>
      </c>
      <c r="O562" s="24" t="n"/>
      <c r="P562" s="24" t="inlineStr">
        <is>
          <t>2026-10-24 17:05</t>
        </is>
      </c>
    </row>
    <row r="563" ht="79.5" customHeight="1" s="13">
      <c r="A563" s="24" t="inlineStr">
        <is>
          <t>TC-FIN-030</t>
        </is>
      </c>
      <c r="B563" s="24" t="inlineStr">
        <is>
          <t>Finance, settlement &amp; rider earnings</t>
        </is>
      </c>
      <c r="C563" s="24" t="inlineStr">
        <is>
          <t>NEW-007</t>
        </is>
      </c>
      <c r="D563" s="24" t="inlineStr">
        <is>
          <t>Credit note after a refund</t>
        </is>
      </c>
      <c r="E563" s="24" t="inlineStr">
        <is>
          <t>Positive</t>
        </is>
      </c>
      <c r="F563" s="24" t="inlineStr">
        <is>
          <t>P1</t>
        </is>
      </c>
      <c r="G563" s="24" t="inlineStr">
        <is>
          <t>Customer</t>
        </is>
      </c>
      <c r="H563" s="24" t="inlineStr">
        <is>
          <t>UI</t>
        </is>
      </c>
      <c r="I563" s="24" t="inlineStr">
        <is>
          <t>Invoiced order with a partial refund</t>
        </is>
      </c>
      <c r="J563" s="24" t="inlineStr">
        <is>
          <t>1. Approve a return of one line
2. Open the documents on the order</t>
        </is>
      </c>
      <c r="K563" s="24" t="inlineStr">
        <is>
          <t>A credit note for the refunded line is issued and linked to the invoice; the original invoice is not edited.</t>
        </is>
      </c>
      <c r="L563" s="24" t="inlineStr">
        <is>
          <t>Open features 3-Oct, treated as completed 4-Oct</t>
        </is>
      </c>
      <c r="M563" s="24" t="inlineStr">
        <is>
          <t>Pass</t>
        </is>
      </c>
      <c r="N563" s="24" t="inlineStr">
        <is>
          <t>Passed, partly covered. Local Pass (partial) · Staging Not run (rule) · Production Not run
local: not covered: the refund is the admin's after-delivery refund of one line's value (the return → approve path is in scenarios/SC-10); 'for the refunded line' superseded by src/server/gst/credit-notes.ts: a refund is an amount, spread over the invoice lines in proportion
staging: not run on staging: needs the server's database (local run only)</t>
        </is>
      </c>
      <c r="O563" s="24" t="n"/>
      <c r="P563" s="24" t="inlineStr">
        <is>
          <t>2026-10-24 17:05</t>
        </is>
      </c>
    </row>
    <row r="564" ht="79.5" customHeight="1" s="13">
      <c r="A564" s="24" t="inlineStr">
        <is>
          <t>TC-FIN-031</t>
        </is>
      </c>
      <c r="B564" s="24" t="inlineStr">
        <is>
          <t>Finance, settlement &amp; rider earnings</t>
        </is>
      </c>
      <c r="C564" s="24" t="inlineStr">
        <is>
          <t>NEW-007, GS-071</t>
        </is>
      </c>
      <c r="D564" s="24" t="inlineStr">
        <is>
          <t>Invoices are private</t>
        </is>
      </c>
      <c r="E564" s="24" t="inlineStr">
        <is>
          <t>Security</t>
        </is>
      </c>
      <c r="F564" s="24" t="inlineStr">
        <is>
          <t>P0</t>
        </is>
      </c>
      <c r="G564" s="24" t="inlineStr">
        <is>
          <t>Customer</t>
        </is>
      </c>
      <c r="H564" s="24" t="inlineStr">
        <is>
          <t>API</t>
        </is>
      </c>
      <c r="I564" s="24" t="n"/>
      <c r="J564" s="24" t="inlineStr">
        <is>
          <t>1. As another customer and as another shop request the invoice address</t>
        </is>
      </c>
      <c r="K564" s="24" t="inlineStr">
        <is>
          <t>403 / 404. Only the buyer, the selling shop and finance staff can open it.</t>
        </is>
      </c>
      <c r="L564" s="24" t="inlineStr">
        <is>
          <t>Open features 3-Oct, treated as completed 4-Oct</t>
        </is>
      </c>
      <c r="M564" s="24" t="inlineStr">
        <is>
          <t>Pass</t>
        </is>
      </c>
      <c r="N564" s="24" t="inlineStr">
        <is>
          <t>Passed, partly covered. Local Pass (partial) · Staging Pass (partial) · Production Pass (partial)
local: not covered: guest half only; the other-role half (customer, other shop) runs in the signed-in tier ‖ blocked: "QA Butter 100 g mvmkyclr" × 1 cannot be added to the cart — HTTP 409: This product is currently unavailable online.
staging: not covered: guest half only; the other-role half (customer, other shop) runs in the signed-in tier
production: not covered: guest half only; the other-role half (customer, other shop) runs in the signed-in tier</t>
        </is>
      </c>
      <c r="O564" s="24" t="n"/>
      <c r="P564" s="24" t="inlineStr">
        <is>
          <t>2026-10-29 14:06</t>
        </is>
      </c>
    </row>
    <row r="565" ht="68.25" customHeight="1" s="13">
      <c r="A565" s="24" t="inlineStr">
        <is>
          <t>TC-FIN-032</t>
        </is>
      </c>
      <c r="B565" s="24" t="inlineStr">
        <is>
          <t>Finance, settlement &amp; rider earnings</t>
        </is>
      </c>
      <c r="C565" s="24" t="inlineStr">
        <is>
          <t>NEW-007</t>
        </is>
      </c>
      <c r="D565" s="24" t="inlineStr">
        <is>
          <t>GST arithmetic and numbering</t>
        </is>
      </c>
      <c r="E565" s="24" t="inlineStr">
        <is>
          <t>Boundary</t>
        </is>
      </c>
      <c r="F565" s="24" t="inlineStr">
        <is>
          <t>P1</t>
        </is>
      </c>
      <c r="G565" s="24" t="inlineStr">
        <is>
          <t>Admin</t>
        </is>
      </c>
      <c r="H565" s="24" t="inlineStr">
        <is>
          <t>UI</t>
        </is>
      </c>
      <c r="I565" s="24" t="inlineStr">
        <is>
          <t>Orders with 0%, 5% and 18% lines and a loose product</t>
        </is>
      </c>
      <c r="J565" s="24" t="inlineStr">
        <is>
          <t>1. Check tax per line and the rounding
2. Check invoice numbers across several orders and a cancelled order</t>
        </is>
      </c>
      <c r="K565" s="24" t="inlineStr">
        <is>
          <t>Tax per line is right to the paisa; CGST + SGST for same-state supply. Numbers are sequential per issuer with no gaps or repeats; a cancelled order has no invoice.</t>
        </is>
      </c>
      <c r="L565" s="24" t="inlineStr">
        <is>
          <t>Open features 3-Oct, treated as completed 4-Oct</t>
        </is>
      </c>
      <c r="M565" s="24" t="inlineStr">
        <is>
          <t>Pass</t>
        </is>
      </c>
      <c r="N565" s="24" t="inlineStr">
        <is>
          <t>Local Pass · Staging Not run (rule) · Production Not run
local: BKS-000006/2026-27/000002: 0% ₹64.99 → 6499+0+0; 5% ₹400.11 → 38106+952+953; 18% ₹99.01 → 8391+755+755; 5% ₹89.99 → 8570+214+215; numbers BKS-000006/2026-27/000002, BKS-000006/2026-27/000003, BKS-000006/2026-27/000004 consecutive; the cancelled order has none (409)
staging: not run on staging: needs the server's database (local run only)</t>
        </is>
      </c>
      <c r="O565" s="24" t="n"/>
      <c r="P565" s="24" t="inlineStr">
        <is>
          <t>2026-10-24 17:05</t>
        </is>
      </c>
    </row>
    <row r="566" ht="79.5" customHeight="1" s="13">
      <c r="A566" s="24" t="inlineStr">
        <is>
          <t>TC-ADM-001</t>
        </is>
      </c>
      <c r="B566" s="24" t="inlineStr">
        <is>
          <t>Admin &amp; operations console</t>
        </is>
      </c>
      <c r="C566" s="24" t="inlineStr">
        <is>
          <t>GS-065, NAV-017</t>
        </is>
      </c>
      <c r="D566" s="24" t="inlineStr">
        <is>
          <t>Admin dashboard (control tower)</t>
        </is>
      </c>
      <c r="E566" s="24" t="inlineStr">
        <is>
          <t>Positive</t>
        </is>
      </c>
      <c r="F566" s="24" t="inlineStr">
        <is>
          <t>P0</t>
        </is>
      </c>
      <c r="G566" s="24" t="inlineStr">
        <is>
          <t>Admin</t>
        </is>
      </c>
      <c r="H566" s="24" t="inlineStr">
        <is>
          <t>UI</t>
        </is>
      </c>
      <c r="I566" s="24" t="n"/>
      <c r="J566" s="24" t="inlineStr">
        <is>
          <t>1. Open /admin/dashboard</t>
        </is>
      </c>
      <c r="K566" s="24" t="inlineStr">
        <is>
          <t>Live operations (orders in flight by status, riders online/busy), exceptions, rider searches stopped, inventory exceptions, risk, shops/riders/returns/refunds, suspended shops needing a decision, catalogue governance, notification failures, OTP/sign-in activity (24 h), KPIs. Links go to real pages.</t>
        </is>
      </c>
      <c r="L566" s="24" t="inlineStr">
        <is>
          <t>QA J-03</t>
        </is>
      </c>
      <c r="M566" s="24" t="inlineStr">
        <is>
          <t>Pass</t>
        </is>
      </c>
      <c r="N566" s="24" t="inlineStr">
        <is>
          <t>Local Pass · Staging Pass · Production Not run
local: 14 sections present; 7 links open (/admin/analytics, /admin/orders, /admin/exceptions, /admin/suspensions, /admin, /admin/finance/exceptions, /admin/risk …)
staging: 14 sections present; 6 links open (/admin/analytics, /admin/orders, /admin/exceptions, /admin, /admin/finance/exceptions, /admin/risk …)</t>
        </is>
      </c>
      <c r="O566" s="24" t="n"/>
      <c r="P566" s="24" t="inlineStr">
        <is>
          <t>2026-10-24 17:14</t>
        </is>
      </c>
    </row>
    <row r="567" ht="57" customHeight="1" s="13">
      <c r="A567" s="24" t="inlineStr">
        <is>
          <t>TC-ADM-002</t>
        </is>
      </c>
      <c r="B567" s="24" t="inlineStr">
        <is>
          <t>Admin &amp; operations console</t>
        </is>
      </c>
      <c r="C567" s="24" t="inlineStr">
        <is>
          <t>GS-065</t>
        </is>
      </c>
      <c r="D567" s="24" t="inlineStr">
        <is>
          <t>Dashboard figures are real</t>
        </is>
      </c>
      <c r="E567" s="24" t="inlineStr">
        <is>
          <t>Positive</t>
        </is>
      </c>
      <c r="F567" s="24" t="inlineStr">
        <is>
          <t>P0</t>
        </is>
      </c>
      <c r="G567" s="24" t="inlineStr">
        <is>
          <t>Admin</t>
        </is>
      </c>
      <c r="H567" s="24" t="inlineStr">
        <is>
          <t>UI</t>
        </is>
      </c>
      <c r="I567" s="24" t="n"/>
      <c r="J567" s="24" t="inlineStr">
        <is>
          <t>1. Place, accept, deliver and cancel orders; refresh
2. Cross-check three figures against /admin/orders and /admin/analytics (1-day window)</t>
        </is>
      </c>
      <c r="K567" s="24" t="inlineStr">
        <is>
          <t>Counts move exactly with the actions and match the other screens. No figure is a constant.</t>
        </is>
      </c>
      <c r="L567" s="24" t="inlineStr">
        <is>
          <t>QA J-02, J-04</t>
        </is>
      </c>
      <c r="M567" s="24" t="inlineStr">
        <is>
          <t>Fail</t>
        </is>
      </c>
      <c r="N567" s="24" t="inlineStr">
        <is>
          <t>Local Fail · Staging Blocked · Production Not run
local: analytics delivered = dashboard | expect(received).toBe(expected) // Object.is equality | Expected: 85 | Received: 103
staging: no delivery offer reached the rider for order f1c51427-ffd4-437a-a1f1-edd606eaf0bf within 45 s (rider offline or busy?)</t>
        </is>
      </c>
      <c r="O567" s="24" t="n"/>
      <c r="P567" s="24" t="inlineStr">
        <is>
          <t>2026-10-24 17:19</t>
        </is>
      </c>
    </row>
    <row r="568" ht="45.75" customHeight="1" s="13">
      <c r="A568" s="24" t="inlineStr">
        <is>
          <t>TC-ADM-003</t>
        </is>
      </c>
      <c r="B568" s="24" t="inlineStr">
        <is>
          <t>Admin &amp; operations console</t>
        </is>
      </c>
      <c r="C568" s="24" t="inlineStr">
        <is>
          <t>GS-066, NAV-015</t>
        </is>
      </c>
      <c r="D568" s="24" t="inlineStr">
        <is>
          <t>Operations exceptions queue</t>
        </is>
      </c>
      <c r="E568" s="24" t="inlineStr">
        <is>
          <t>Positive</t>
        </is>
      </c>
      <c r="F568" s="24" t="inlineStr">
        <is>
          <t>P0</t>
        </is>
      </c>
      <c r="G568" s="24" t="inlineStr">
        <is>
          <t>Operator</t>
        </is>
      </c>
      <c r="H568" s="24" t="inlineStr">
        <is>
          <t>UI</t>
        </is>
      </c>
      <c r="I568" s="24" t="n"/>
      <c r="J568" s="24" t="inlineStr">
        <is>
          <t>1. Open /admin/exceptions
2. Create one: leave an order unaccepted; leave a READY order with no rider</t>
        </is>
      </c>
      <c r="K568" s="24" t="inlineStr">
        <is>
          <t>Categories listed with elapsed-time thresholds (shop not accepting, shop slow, no rider, failed delivery, returned no decision, disputed, etc.). The created cases appear with per-row actions that work.</t>
        </is>
      </c>
      <c r="L568" s="24" t="inlineStr">
        <is>
          <t>Status report GS-066</t>
        </is>
      </c>
      <c r="M568" s="24" t="inlineStr">
        <is>
          <t>Pass</t>
        </is>
      </c>
      <c r="N568" s="24" t="inlineStr">
        <is>
          <t>Passed, partly covered. Local Pass (partial) · Staging Not run (rule) · Production Not run
local: not covered: two of the twelve categories are created (shop not accepting, no rider); the others are listed with their counts
staging: not run on staging: needs the server's database (local run only)</t>
        </is>
      </c>
      <c r="O568" s="24" t="n"/>
      <c r="P568" s="24" t="inlineStr">
        <is>
          <t>2026-10-24 17:05</t>
        </is>
      </c>
    </row>
    <row r="569" ht="45.75" customHeight="1" s="13">
      <c r="A569" s="24" t="inlineStr">
        <is>
          <t>TC-ADM-004</t>
        </is>
      </c>
      <c r="B569" s="24" t="inlineStr">
        <is>
          <t>Admin &amp; operations console</t>
        </is>
      </c>
      <c r="C569" s="24" t="inlineStr">
        <is>
          <t>NAV-016</t>
        </is>
      </c>
      <c r="D569" s="24" t="inlineStr">
        <is>
          <t>Order monitoring filters</t>
        </is>
      </c>
      <c r="E569" s="24" t="inlineStr">
        <is>
          <t>Positive</t>
        </is>
      </c>
      <c r="F569" s="24" t="inlineStr">
        <is>
          <t>P0</t>
        </is>
      </c>
      <c r="G569" s="24" t="inlineStr">
        <is>
          <t>Operator</t>
        </is>
      </c>
      <c r="H569" s="24" t="inlineStr">
        <is>
          <t>UI</t>
        </is>
      </c>
      <c r="I569" s="24" t="n"/>
      <c r="J569" s="24" t="inlineStr">
        <is>
          <t>1. /admin/orders: filter by status, by shop, by date range, and combined
2. Put invalid values in the URL</t>
        </is>
      </c>
      <c r="K569" s="24" t="inlineStr">
        <is>
          <t>Results match each filter; invalid values are ignored, not a 500. Latest 100 rows.</t>
        </is>
      </c>
      <c r="L569" s="24" t="inlineStr">
        <is>
          <t>Dev log Phase 4.3 handoff</t>
        </is>
      </c>
      <c r="M569" s="24" t="inlineStr">
        <is>
          <t>Pass</t>
        </is>
      </c>
      <c r="N569" s="24" t="inlineStr">
        <is>
          <t>Passed, partly covered. Local Pass (partial) · Staging Blocked · Production Not run
local: not covered: the IST day boundary of the date filter needs an order aged across midnight: tests/qa/local/access-admin.spec.ts ‖ not covered: status, shop, combined and invalid-value filters are the signed-tier TC-ADM-004 check
staging: needs shop B in this site's test data</t>
        </is>
      </c>
      <c r="O569" s="24" t="inlineStr">
        <is>
          <t>D-80</t>
        </is>
      </c>
      <c r="P569" s="24" t="inlineStr">
        <is>
          <t>2026-10-24 17:19</t>
        </is>
      </c>
    </row>
    <row r="570" ht="57" customHeight="1" s="13">
      <c r="A570" s="24" t="inlineStr">
        <is>
          <t>TC-ADM-005</t>
        </is>
      </c>
      <c r="B570" s="24" t="inlineStr">
        <is>
          <t>Admin &amp; operations console</t>
        </is>
      </c>
      <c r="C570" s="24" t="inlineStr">
        <is>
          <t>NAV-016</t>
        </is>
      </c>
      <c r="D570" s="24" t="inlineStr">
        <is>
          <t>Order with rejected and accepted offers shows once</t>
        </is>
      </c>
      <c r="E570" s="24" t="inlineStr">
        <is>
          <t>Positive</t>
        </is>
      </c>
      <c r="F570" s="24" t="inlineStr">
        <is>
          <t>P2</t>
        </is>
      </c>
      <c r="G570" s="24" t="inlineStr">
        <is>
          <t>Operator</t>
        </is>
      </c>
      <c r="H570" s="24" t="inlineStr">
        <is>
          <t>UI</t>
        </is>
      </c>
      <c r="I570" s="24" t="n"/>
      <c r="J570" s="24" t="inlineStr">
        <is>
          <t>1. View an order where one rider declined and another accepted</t>
        </is>
      </c>
      <c r="K570" s="24" t="inlineStr">
        <is>
          <t>One row showing the accepted rider.</t>
        </is>
      </c>
      <c r="L570" s="24" t="inlineStr">
        <is>
          <t>Dev log Phase 4.3 handoff</t>
        </is>
      </c>
      <c r="M570" s="24" t="inlineStr">
        <is>
          <t>Pass</t>
        </is>
      </c>
      <c r="N570" s="24" t="inlineStr">
        <is>
          <t>Local Pass · Staging Not run (rule) · Production Not run
local: DB-20261024-VEC00Z: rider declined, rider2 (QA Rider Two) accepted → one row naming QA Rider Two
staging: not run on staging: needs the server's database (local run only)</t>
        </is>
      </c>
      <c r="O570" s="24" t="n"/>
      <c r="P570" s="24" t="inlineStr">
        <is>
          <t>2026-10-24 17:04</t>
        </is>
      </c>
    </row>
    <row r="571" ht="34.5" customHeight="1" s="13">
      <c r="A571" s="24" t="inlineStr">
        <is>
          <t>TC-ADM-006</t>
        </is>
      </c>
      <c r="B571" s="24" t="inlineStr">
        <is>
          <t>Admin &amp; operations console</t>
        </is>
      </c>
      <c r="C571" s="24" t="inlineStr">
        <is>
          <t>NAV-006</t>
        </is>
      </c>
      <c r="D571" s="24" t="inlineStr">
        <is>
          <t>Shop dashboard</t>
        </is>
      </c>
      <c r="E571" s="24" t="inlineStr">
        <is>
          <t>Positive</t>
        </is>
      </c>
      <c r="F571" s="24" t="inlineStr">
        <is>
          <t>P0</t>
        </is>
      </c>
      <c r="G571" s="24" t="inlineStr">
        <is>
          <t>Shop</t>
        </is>
      </c>
      <c r="H571" s="24" t="inlineStr">
        <is>
          <t>UI</t>
        </is>
      </c>
      <c r="I571" s="24" t="n"/>
      <c r="J571" s="24" t="inlineStr">
        <is>
          <t>1. Open /shop</t>
        </is>
      </c>
      <c r="K571" s="24" t="inlineStr">
        <is>
          <t>Today's orders (placed / awaiting acceptance / in progress / delivered / cancelled), revenue (delivered only), riders, returns &amp; complaints, inventory with low-stock list, notifications.</t>
        </is>
      </c>
      <c r="L571" s="24" t="inlineStr">
        <is>
          <t>QA J-01, J-02</t>
        </is>
      </c>
      <c r="M571" s="24" t="inlineStr">
        <is>
          <t>Pass</t>
        </is>
      </c>
      <c r="N571" s="24" t="inlineStr">
        <is>
          <t>Passed, partly covered. Local Pass (partial) · Staging Pass (partial) · Production Not run
local: not covered: presence of each block; that revenue counts delivered orders only is checked by TC-KPI-003 (GMV)
staging: not covered: presence of each block; that revenue counts delivered orders only is checked by TC-KPI-003 (GMV)</t>
        </is>
      </c>
      <c r="O571" s="24" t="n"/>
      <c r="P571" s="24" t="inlineStr">
        <is>
          <t>2026-10-24 17:19</t>
        </is>
      </c>
    </row>
    <row r="572" ht="57" customHeight="1" s="13">
      <c r="A572" s="24" t="inlineStr">
        <is>
          <t>TC-ADM-007</t>
        </is>
      </c>
      <c r="B572" s="24" t="inlineStr">
        <is>
          <t>Admin &amp; operations console</t>
        </is>
      </c>
      <c r="C572" s="24" t="inlineStr">
        <is>
          <t>NEW-001, RBAC-014</t>
        </is>
      </c>
      <c r="D572" s="24" t="inlineStr">
        <is>
          <t>Business rules screen is admin-only</t>
        </is>
      </c>
      <c r="E572" s="24" t="inlineStr">
        <is>
          <t>Security</t>
        </is>
      </c>
      <c r="F572" s="24" t="inlineStr">
        <is>
          <t>P0</t>
        </is>
      </c>
      <c r="G572" s="24" t="inlineStr">
        <is>
          <t>Operator</t>
        </is>
      </c>
      <c r="H572" s="24" t="inlineStr">
        <is>
          <t>UI+API</t>
        </is>
      </c>
      <c r="I572" s="24" t="n"/>
      <c r="J572" s="24" t="inlineStr">
        <is>
          <t>1. Open /admin/settings as OPERATOR
2. PUT /api/admin/settings as OPERATOR</t>
        </is>
      </c>
      <c r="K572" s="24" t="inlineStr">
        <is>
          <t>Redirected / 403.</t>
        </is>
      </c>
      <c r="L572" s="24" t="inlineStr">
        <is>
          <t>QA S-01</t>
        </is>
      </c>
      <c r="M572" s="24" t="inlineStr">
        <is>
          <t>Pass</t>
        </is>
      </c>
      <c r="N572" s="24" t="inlineStr">
        <is>
          <t>Passed, partly covered. Local Pass (partial) · Staging Pass (partial) · Production Not run
local: not covered: approving / rejecting a shop as operator is in tests/qa/local/access-roles.spec.ts; the limited audit view is TC-RBAC-021
staging: not covered: approving / rejecting a shop as operator is in tests/qa/local/access-roles.spec.ts; the limited audit view is TC-RBAC-021</t>
        </is>
      </c>
      <c r="O572" s="24" t="n"/>
      <c r="P572" s="24" t="inlineStr">
        <is>
          <t>2026-10-24 17:49</t>
        </is>
      </c>
    </row>
    <row r="573" ht="45.75" customHeight="1" s="13">
      <c r="A573" s="24" t="inlineStr">
        <is>
          <t>TC-ADM-008</t>
        </is>
      </c>
      <c r="B573" s="24" t="inlineStr">
        <is>
          <t>Admin &amp; operations console</t>
        </is>
      </c>
      <c r="C573" s="24" t="inlineStr">
        <is>
          <t>NEW-001</t>
        </is>
      </c>
      <c r="D573" s="24" t="inlineStr">
        <is>
          <t>Out-of-range rule value is rejected</t>
        </is>
      </c>
      <c r="E573" s="24" t="inlineStr">
        <is>
          <t>Negative</t>
        </is>
      </c>
      <c r="F573" s="24" t="inlineStr">
        <is>
          <t>P1</t>
        </is>
      </c>
      <c r="G573" s="24" t="inlineStr">
        <is>
          <t>Admin</t>
        </is>
      </c>
      <c r="H573" s="24" t="inlineStr">
        <is>
          <t>UI</t>
        </is>
      </c>
      <c r="I573" s="24" t="n"/>
      <c r="J573" s="24" t="inlineStr">
        <is>
          <t>1. Save OTP length 2 (or another out-of-range value)</t>
        </is>
      </c>
      <c r="K573" s="24" t="inlineStr">
        <is>
          <t>Rejected with the field message; nothing changes.</t>
        </is>
      </c>
      <c r="L573" s="24" t="inlineStr">
        <is>
          <t>QA S-02</t>
        </is>
      </c>
      <c r="M573" s="24" t="inlineStr">
        <is>
          <t>Pass</t>
        </is>
      </c>
      <c r="N573" s="24" t="inlineStr">
        <is>
          <t>Local Pass · Staging Not run (rule) · Production Not run
local: UI: "length: Invalid input" (names the field; the allowed range 4–8 is not stated); API 422 on field 'length'; value and override state unchanged
staging: not run on staging: needs the server's database (local run only)</t>
        </is>
      </c>
      <c r="O573" s="24" t="n"/>
      <c r="P573" s="24" t="inlineStr">
        <is>
          <t>2026-10-24 17:04</t>
        </is>
      </c>
    </row>
    <row r="574" ht="57" customHeight="1" s="13">
      <c r="A574" s="24" t="inlineStr">
        <is>
          <t>TC-ADM-009</t>
        </is>
      </c>
      <c r="B574" s="24" t="inlineStr">
        <is>
          <t>Admin &amp; operations console</t>
        </is>
      </c>
      <c r="C574" s="24" t="inlineStr">
        <is>
          <t>NEW-001</t>
        </is>
      </c>
      <c r="D574" s="24" t="inlineStr">
        <is>
          <t>Save and restore a rule</t>
        </is>
      </c>
      <c r="E574" s="24" t="inlineStr">
        <is>
          <t>Positive</t>
        </is>
      </c>
      <c r="F574" s="24" t="inlineStr">
        <is>
          <t>P1</t>
        </is>
      </c>
      <c r="G574" s="24" t="inlineStr">
        <is>
          <t>Admin</t>
        </is>
      </c>
      <c r="H574" s="24" t="inlineStr">
        <is>
          <t>UI</t>
        </is>
      </c>
      <c r="I574" s="24" t="n"/>
      <c r="J574" s="24" t="inlineStr">
        <is>
          <t>1. Save a valid value
2. Restore default
3. Check the audit log</t>
        </is>
      </c>
      <c r="K574" s="24" t="inlineStr">
        <is>
          <t>Applies within seconds; audit shows before/after for both.</t>
        </is>
      </c>
      <c r="L574" s="24" t="inlineStr">
        <is>
          <t>QA S-03</t>
        </is>
      </c>
      <c r="M574" s="24" t="inlineStr">
        <is>
          <t>Pass</t>
        </is>
      </c>
      <c r="N574" s="24" t="inlineStr">
        <is>
          <t>Local Pass · Staging Not run (rule) · Production Not run
local: returns.windowHours 48→72 (Saved, customised, applied) → Restore default (default again); audit: 48→72, 72→reset
staging: not run on staging: needs the server's database (local run only)</t>
        </is>
      </c>
      <c r="O574" s="24" t="n"/>
      <c r="P574" s="24" t="inlineStr">
        <is>
          <t>2026-10-24 17:04</t>
        </is>
      </c>
    </row>
    <row r="575" ht="34.5" customHeight="1" s="13">
      <c r="A575" s="24" t="inlineStr">
        <is>
          <t>TC-ADM-010</t>
        </is>
      </c>
      <c r="B575" s="24" t="inlineStr">
        <is>
          <t>Admin &amp; operations console</t>
        </is>
      </c>
      <c r="C575" s="24" t="inlineStr">
        <is>
          <t>RBAC-013</t>
        </is>
      </c>
      <c r="D575" s="24" t="inlineStr">
        <is>
          <t>Admin edits a user profile with Save confirmation</t>
        </is>
      </c>
      <c r="E575" s="24" t="inlineStr">
        <is>
          <t>Positive</t>
        </is>
      </c>
      <c r="F575" s="24" t="inlineStr">
        <is>
          <t>P1</t>
        </is>
      </c>
      <c r="G575" s="24" t="inlineStr">
        <is>
          <t>Admin</t>
        </is>
      </c>
      <c r="H575" s="24" t="inlineStr">
        <is>
          <t>UI</t>
        </is>
      </c>
      <c r="I575" s="24" t="n"/>
      <c r="J575" s="24" t="inlineStr">
        <is>
          <t>1. /admin/users/{id}: change name/phone
2. Save</t>
        </is>
      </c>
      <c r="K575" s="24" t="inlineStr">
        <is>
          <t>Save enabled only after a change; success message; persisted; audited.</t>
        </is>
      </c>
      <c r="L575" s="24" t="inlineStr">
        <is>
          <t>tests admin-save-flows</t>
        </is>
      </c>
      <c r="M575" s="24" t="inlineStr">
        <is>
          <t>Pass</t>
        </is>
      </c>
      <c r="N575" s="24" t="inlineStr">
        <is>
          <t>Local Pass · Staging Not run (rule) · Production Not run
local: "Profile updated for QA After Name: name, phone"; reload shows the new name; audit user.profile_updated before/after
staging: not run on staging: needs the server's database (local run only)</t>
        </is>
      </c>
      <c r="O575" s="24" t="n"/>
      <c r="P575" s="24" t="inlineStr">
        <is>
          <t>2026-10-24 17:05</t>
        </is>
      </c>
    </row>
    <row r="576" ht="57" customHeight="1" s="13">
      <c r="A576" s="24" t="inlineStr">
        <is>
          <t>TC-ADM-011</t>
        </is>
      </c>
      <c r="B576" s="24" t="inlineStr">
        <is>
          <t>Admin &amp; operations console</t>
        </is>
      </c>
      <c r="C576" s="24" t="inlineStr">
        <is>
          <t>GS-068</t>
        </is>
      </c>
      <c r="D576" s="24" t="inlineStr">
        <is>
          <t>Risk review queue</t>
        </is>
      </c>
      <c r="E576" s="24" t="inlineStr">
        <is>
          <t>Positive</t>
        </is>
      </c>
      <c r="F576" s="24" t="inlineStr">
        <is>
          <t>P1</t>
        </is>
      </c>
      <c r="G576" s="24" t="inlineStr">
        <is>
          <t>Operator</t>
        </is>
      </c>
      <c r="H576" s="24" t="inlineStr">
        <is>
          <t>UI</t>
        </is>
      </c>
      <c r="I576" s="24" t="n"/>
      <c r="J576" s="24" t="inlineStr">
        <is>
          <t>1. Open /admin/risk
2. Use status tabs with severity and subject-type filters
3. 'Run rules now'</t>
        </is>
      </c>
      <c r="K576" s="24" t="inlineStr">
        <is>
          <t>Open flags listed with subject name, current account status and severity; filters combine and survive navigation; unknown values ignored; 'Clear filters' on an empty result.</t>
        </is>
      </c>
      <c r="L576" s="24" t="inlineStr">
        <is>
          <t>Dev log Phase 4.5 handoff</t>
        </is>
      </c>
      <c r="M576" s="24" t="inlineStr">
        <is>
          <t>Pass</t>
        </is>
      </c>
      <c r="N576" s="24" t="inlineStr">
        <is>
          <t>Passed, partly covered. Local Pass (partial) · Staging Pass (partial) · Production Not run
local: not covered: flag rows with every subject type are arranged in the local tier (TC-ADM-014/015/016)
staging: not covered: flag rows with every subject type are arranged in the local tier (TC-ADM-014/015/016)</t>
        </is>
      </c>
      <c r="O576" s="24" t="n"/>
      <c r="P576" s="24" t="inlineStr">
        <is>
          <t>2026-10-24 17:20</t>
        </is>
      </c>
    </row>
    <row r="577" ht="68.25" customHeight="1" s="13">
      <c r="A577" s="24" t="inlineStr">
        <is>
          <t>TC-ADM-012</t>
        </is>
      </c>
      <c r="B577" s="24" t="inlineStr">
        <is>
          <t>Admin &amp; operations console</t>
        </is>
      </c>
      <c r="C577" s="24" t="inlineStr">
        <is>
          <t>GS-068</t>
        </is>
      </c>
      <c r="D577" s="24" t="inlineStr">
        <is>
          <t>A rule raises one flag and refreshes on re-run</t>
        </is>
      </c>
      <c r="E577" s="24" t="inlineStr">
        <is>
          <t>Positive</t>
        </is>
      </c>
      <c r="F577" s="24" t="inlineStr">
        <is>
          <t>P1</t>
        </is>
      </c>
      <c r="G577" s="24" t="inlineStr">
        <is>
          <t>Admin</t>
        </is>
      </c>
      <c r="H577" s="24" t="inlineStr">
        <is>
          <t>UI</t>
        </is>
      </c>
      <c r="I577" s="24" t="inlineStr">
        <is>
          <t>Create the condition for one rule, e.g. several failed wallet top-ups or delivery codes entered wrong repeatedly</t>
        </is>
      </c>
      <c r="J577" s="24" t="inlineStr">
        <is>
          <t>1. Run rules twice</t>
        </is>
      </c>
      <c r="K577" s="24" t="inlineStr">
        <is>
          <t>One OPEN flag for the subject; the second run refreshes it rather than duplicating.</t>
        </is>
      </c>
      <c r="L577" s="24" t="inlineStr">
        <is>
          <t>Dev log Phase 3 handoff</t>
        </is>
      </c>
      <c r="M577" s="24" t="inlineStr">
        <is>
          <t>Pass</t>
        </is>
      </c>
      <c r="N577" s="24" t="inlineStr">
        <is>
          <t>Passed, partly covered. Local Pass (partial) · Staging Not run (rule) · Production Not run
local: not covered: the failed top-ups are arranged as payment rows; the rule and the queue are the app's
staging: not run on staging: needs the server's database (local run only)</t>
        </is>
      </c>
      <c r="O577" s="24" t="n"/>
      <c r="P577" s="24" t="inlineStr">
        <is>
          <t>2026-10-24 17:04</t>
        </is>
      </c>
    </row>
    <row r="578" ht="34.5" customHeight="1" s="13">
      <c r="A578" s="24" t="inlineStr">
        <is>
          <t>TC-ADM-013</t>
        </is>
      </c>
      <c r="B578" s="24" t="inlineStr">
        <is>
          <t>Admin &amp; operations console</t>
        </is>
      </c>
      <c r="C578" s="24" t="inlineStr">
        <is>
          <t>GS-068</t>
        </is>
      </c>
      <c r="D578" s="24" t="inlineStr">
        <is>
          <t>Unusually large order rule</t>
        </is>
      </c>
      <c r="E578" s="24" t="inlineStr">
        <is>
          <t>Boundary</t>
        </is>
      </c>
      <c r="F578" s="24" t="inlineStr">
        <is>
          <t>P2</t>
        </is>
      </c>
      <c r="G578" s="24" t="inlineStr">
        <is>
          <t>Admin</t>
        </is>
      </c>
      <c r="H578" s="24" t="inlineStr">
        <is>
          <t>UI</t>
        </is>
      </c>
      <c r="I578" s="24" t="inlineStr">
        <is>
          <t>Customer with 3+ prior orders averaging Rs 400</t>
        </is>
      </c>
      <c r="J578" s="24" t="inlineStr">
        <is>
          <t>1. Place an order of Rs 2,000 (5x)
2. In another case Rs 1,960 (4.9x)
3. New customer with a Rs 10,000 order vs Rs 9,999</t>
        </is>
      </c>
      <c r="K578" s="24" t="inlineStr">
        <is>
          <t>5x and Rs 10,000 flagged; 4.9x and Rs 9,999 not. B2B, subscription and unpaid orders ignored.</t>
        </is>
      </c>
      <c r="L578" s="24" t="inlineStr">
        <is>
          <t>Dev log Phase 4.5 handoff</t>
        </is>
      </c>
      <c r="M578" s="24" t="inlineStr">
        <is>
          <t>Pass</t>
        </is>
      </c>
      <c r="N578" s="24" t="inlineStr">
        <is>
          <t>Passed, partly covered. Local Pass (partial) · Staging Not run (rule) · Production Not run
local: not covered: order values are arranged on real orders; B2B, subscription and unpaid orders being ignored is read from the rule's SQL (order_type PERSONAL, source DIRECT, paid statuses) but not exercised
staging: not run on staging: needs the server's database (local run only)</t>
        </is>
      </c>
      <c r="O578" s="24" t="n"/>
      <c r="P578" s="24" t="inlineStr">
        <is>
          <t>2026-10-24 17:04</t>
        </is>
      </c>
    </row>
    <row r="579" ht="79.5" customHeight="1" s="13">
      <c r="A579" s="24" t="inlineStr">
        <is>
          <t>TC-ADM-014</t>
        </is>
      </c>
      <c r="B579" s="24" t="inlineStr">
        <is>
          <t>Admin &amp; operations console</t>
        </is>
      </c>
      <c r="C579" s="24" t="inlineStr">
        <is>
          <t>GS-068</t>
        </is>
      </c>
      <c r="D579" s="24" t="inlineStr">
        <is>
          <t>Dismiss and action a flag</t>
        </is>
      </c>
      <c r="E579" s="24" t="inlineStr">
        <is>
          <t>Positive</t>
        </is>
      </c>
      <c r="F579" s="24" t="inlineStr">
        <is>
          <t>P1</t>
        </is>
      </c>
      <c r="G579" s="24" t="inlineStr">
        <is>
          <t>Operator</t>
        </is>
      </c>
      <c r="H579" s="24" t="inlineStr">
        <is>
          <t>UI</t>
        </is>
      </c>
      <c r="I579" s="24" t="n"/>
      <c r="J579" s="24" t="inlineStr">
        <is>
          <t>1. Dismiss one with a note
2. Action another
3. Try without a note</t>
        </is>
      </c>
      <c r="K579" s="24" t="inlineStr">
        <is>
          <t>Status changes with the note; refused without one.</t>
        </is>
      </c>
      <c r="L579" s="24" t="inlineStr">
        <is>
          <t>Dev log Phase 3 handoff</t>
        </is>
      </c>
      <c r="M579" s="24" t="inlineStr">
        <is>
          <t>Pass</t>
        </is>
      </c>
      <c r="N579" s="24" t="inlineStr">
        <is>
          <t>Local Pass · Staging Not run (rule) · Production Not run
local: API: no note / a 3-letter note 422; page: buttons disabled without a note; DISMISSED and ACTIONED with their notes
staging: not run on staging: needs the server's database (local run only)</t>
        </is>
      </c>
      <c r="O579" s="24" t="n"/>
      <c r="P579" s="24" t="inlineStr">
        <is>
          <t>2026-10-24 17:04</t>
        </is>
      </c>
    </row>
    <row r="580" ht="68.25" customHeight="1" s="13">
      <c r="A580" s="24" t="inlineStr">
        <is>
          <t>TC-ADM-015</t>
        </is>
      </c>
      <c r="B580" s="24" t="inlineStr">
        <is>
          <t>Admin &amp; operations console</t>
        </is>
      </c>
      <c r="C580" s="24" t="inlineStr">
        <is>
          <t>GS-068</t>
        </is>
      </c>
      <c r="D580" s="24" t="inlineStr">
        <is>
          <t>Suspend from a flag</t>
        </is>
      </c>
      <c r="E580" s="24" t="inlineStr">
        <is>
          <t>Positive</t>
        </is>
      </c>
      <c r="F580" s="24" t="inlineStr">
        <is>
          <t>P1</t>
        </is>
      </c>
      <c r="G580" s="24" t="inlineStr">
        <is>
          <t>Admin</t>
        </is>
      </c>
      <c r="H580" s="24" t="inlineStr">
        <is>
          <t>UI</t>
        </is>
      </c>
      <c r="I580" s="24" t="n"/>
      <c r="J580" s="24" t="inlineStr">
        <is>
          <t>1. 'Suspend &amp; mark actioned' with a reason &lt; 5 chars, then a valid reason</t>
        </is>
      </c>
      <c r="K580" s="24" t="inlineStr">
        <is>
          <t>Confirm disabled for the short reason. Then subject suspended and flag ACTIONED with 'Suspended: &lt;reason&gt;'. Button hidden for already-suspended, deleted, admin and own-account subjects.</t>
        </is>
      </c>
      <c r="L580" s="24" t="inlineStr">
        <is>
          <t>Dev log Phase 4.5 handoff</t>
        </is>
      </c>
      <c r="M580" s="24" t="inlineStr">
        <is>
          <t>Pass</t>
        </is>
      </c>
      <c r="N580" s="24" t="inlineStr">
        <is>
          <t>Passed, partly covered. Local Pass (partial) · Staging Not run (rule) · Production Not run
local: not covered: a deleted subject is not arranged (no delete flow for accounts in this build's admin screens)
staging: not run on staging: needs the server's database (local run only)</t>
        </is>
      </c>
      <c r="O580" s="24" t="n"/>
      <c r="P580" s="24" t="inlineStr">
        <is>
          <t>2026-10-24 17:04</t>
        </is>
      </c>
    </row>
    <row r="581" ht="57" customHeight="1" s="13">
      <c r="A581" s="24" t="inlineStr">
        <is>
          <t>TC-ADM-016</t>
        </is>
      </c>
      <c r="B581" s="24" t="inlineStr">
        <is>
          <t>Admin &amp; operations console</t>
        </is>
      </c>
      <c r="C581" s="24" t="inlineStr">
        <is>
          <t>GS-068</t>
        </is>
      </c>
      <c r="D581" s="24" t="inlineStr">
        <is>
          <t>Operator sees suspend for shops and riders only</t>
        </is>
      </c>
      <c r="E581" s="24" t="inlineStr">
        <is>
          <t>Security</t>
        </is>
      </c>
      <c r="F581" s="24" t="inlineStr">
        <is>
          <t>P1</t>
        </is>
      </c>
      <c r="G581" s="24" t="inlineStr">
        <is>
          <t>Operator</t>
        </is>
      </c>
      <c r="H581" s="24" t="inlineStr">
        <is>
          <t>UI</t>
        </is>
      </c>
      <c r="I581" s="24" t="n"/>
      <c r="J581" s="24" t="inlineStr">
        <is>
          <t>1. View user, shop and rider flags as OPERATOR</t>
        </is>
      </c>
      <c r="K581" s="24" t="inlineStr">
        <is>
          <t>Suspend offered for shops and riders, not customers.</t>
        </is>
      </c>
      <c r="L581" s="24" t="inlineStr">
        <is>
          <t>Dev log Phase 4.5 handoff</t>
        </is>
      </c>
      <c r="M581" s="24" t="inlineStr">
        <is>
          <t>Pass</t>
        </is>
      </c>
      <c r="N581" s="24" t="inlineStr">
        <is>
          <t>Local Pass · Staging Not run (rule) · Production Not run
local: operator: 'Suspend &amp; mark actioned' on the shop and rider flags, none on the customer flag
staging: not run on staging: needs the server's database (local run only)</t>
        </is>
      </c>
      <c r="O581" s="24" t="n"/>
      <c r="P581" s="24" t="inlineStr">
        <is>
          <t>2026-10-24 17:04</t>
        </is>
      </c>
    </row>
    <row r="582" ht="90.75" customHeight="1" s="13">
      <c r="A582" s="24" t="inlineStr">
        <is>
          <t>TC-ADM-017</t>
        </is>
      </c>
      <c r="B582" s="24" t="inlineStr">
        <is>
          <t>Admin &amp; operations console</t>
        </is>
      </c>
      <c r="C582" s="24" t="inlineStr">
        <is>
          <t>GS-068</t>
        </is>
      </c>
      <c r="D582" s="24" t="inlineStr">
        <is>
          <t>Admins cannot be suspended</t>
        </is>
      </c>
      <c r="E582" s="24" t="inlineStr">
        <is>
          <t>Security</t>
        </is>
      </c>
      <c r="F582" s="24" t="inlineStr">
        <is>
          <t>P0</t>
        </is>
      </c>
      <c r="G582" s="24" t="inlineStr">
        <is>
          <t>Admin</t>
        </is>
      </c>
      <c r="H582" s="24" t="inlineStr">
        <is>
          <t>API</t>
        </is>
      </c>
      <c r="I582" s="24" t="n"/>
      <c r="J582" s="24" t="inlineStr">
        <is>
          <t>1. POST /api/users/{adminId}/suspend, for an admin currently acting as CUSTOMER, for a permanent bootstrap admin, and for yourself</t>
        </is>
      </c>
      <c r="K582" s="24" t="inlineStr">
        <is>
          <t>403 each.</t>
        </is>
      </c>
      <c r="L582" s="24" t="inlineStr">
        <is>
          <t>Dev log Phase 4.5 repair pass</t>
        </is>
      </c>
      <c r="M582" s="24" t="inlineStr">
        <is>
          <t>Pass</t>
        </is>
      </c>
      <c r="N582" s="24" t="inlineStr">
        <is>
          <t>Passed, partly covered. Local Pass (partial) · Staging Not run (rule) · Production Not run
local: not covered: no PERMANENT_ADMIN_EMAILS account exists on the local server, so the permanent-bootstrap-admin case is not exercised (findAdminUserIds covers it in src/server/services/users.ts)
staging: not run on staging: needs the server's database (local run only)</t>
        </is>
      </c>
      <c r="O582" s="24" t="n"/>
      <c r="P582" s="24" t="inlineStr">
        <is>
          <t>2026-10-24 17:05</t>
        </is>
      </c>
    </row>
    <row r="583" ht="79.5" customHeight="1" s="13">
      <c r="A583" s="24" t="inlineStr">
        <is>
          <t>TC-ADM-018</t>
        </is>
      </c>
      <c r="B583" s="24" t="inlineStr">
        <is>
          <t>Admin &amp; operations console</t>
        </is>
      </c>
      <c r="C583" s="24" t="inlineStr">
        <is>
          <t>GS-068</t>
        </is>
      </c>
      <c r="D583" s="24" t="inlineStr">
        <is>
          <t>Reinstate a user</t>
        </is>
      </c>
      <c r="E583" s="24" t="inlineStr">
        <is>
          <t>Positive</t>
        </is>
      </c>
      <c r="F583" s="24" t="inlineStr">
        <is>
          <t>P2</t>
        </is>
      </c>
      <c r="G583" s="24" t="inlineStr">
        <is>
          <t>Admin</t>
        </is>
      </c>
      <c r="H583" s="24" t="inlineStr">
        <is>
          <t>API</t>
        </is>
      </c>
      <c r="I583" s="24" t="inlineStr">
        <is>
          <t>No screen</t>
        </is>
      </c>
      <c r="J583" s="24" t="inlineStr">
        <is>
          <t>1. POST /api/users/{id}/reinstate with a reason: on a SUSPENDED, an ACTIVE and an unknown user; as OPERATOR</t>
        </is>
      </c>
      <c r="K583" s="24" t="inlineStr">
        <is>
          <t>SUSPENDED -&gt; ACTIVE and audited; 409; 404; 403. The user can sign in again; a suspended rider profile stays suspended.</t>
        </is>
      </c>
      <c r="L583" s="24" t="inlineStr">
        <is>
          <t>Dev log Phase 4.5 handoff</t>
        </is>
      </c>
      <c r="M583" s="24" t="inlineStr">
        <is>
          <t>Pass</t>
        </is>
      </c>
      <c r="N583" s="24" t="inlineStr">
        <is>
          <t>Local Pass · Staging Not run (rule) · Production Not run
local: operator 403; SUSPENDED→ACTIVE 200 (audited user.reinstated); ACTIVE 409; unknown 404; rider profile stays SUSPENDED; signs in again with an emailed code
staging: not run on staging: needs the server's database (local run only)</t>
        </is>
      </c>
      <c r="O583" s="24" t="n"/>
      <c r="P583" s="24" t="inlineStr">
        <is>
          <t>2026-10-24 17:05</t>
        </is>
      </c>
    </row>
    <row r="584" ht="57" customHeight="1" s="13">
      <c r="A584" s="24" t="inlineStr">
        <is>
          <t>TC-ADM-019</t>
        </is>
      </c>
      <c r="B584" s="24" t="inlineStr">
        <is>
          <t>Admin &amp; operations console</t>
        </is>
      </c>
      <c r="C584" s="24" t="inlineStr">
        <is>
          <t>NAV-019</t>
        </is>
      </c>
      <c r="D584" s="24" t="inlineStr">
        <is>
          <t>Consent view for operations</t>
        </is>
      </c>
      <c r="E584" s="24" t="inlineStr">
        <is>
          <t>Positive</t>
        </is>
      </c>
      <c r="F584" s="24" t="inlineStr">
        <is>
          <t>P2</t>
        </is>
      </c>
      <c r="G584" s="24" t="inlineStr">
        <is>
          <t>Admin</t>
        </is>
      </c>
      <c r="H584" s="24" t="inlineStr">
        <is>
          <t>UI</t>
        </is>
      </c>
      <c r="I584" s="24" t="n"/>
      <c r="J584" s="24" t="inlineStr">
        <is>
          <t>1. Open /admin/consents</t>
        </is>
      </c>
      <c r="K584" s="24" t="inlineStr">
        <is>
          <t>Record what is shown (the status report lists an operations consent view as not built; the route exists).</t>
        </is>
      </c>
      <c r="L584" s="24" t="inlineStr">
        <is>
          <t>Status report NAV-019</t>
        </is>
      </c>
      <c r="M584" s="24" t="inlineStr">
        <is>
          <t>Pass</t>
        </is>
      </c>
      <c r="N584" s="24" t="inlineStr">
        <is>
          <t>Passed, partly covered. Local Pass (partial) · Staging Pass (partial) · Production Not run
local: not covered: record-only: the status report listed it as not built; it is now a working page
staging: not covered: record-only: the status report listed it as not built; it is now a working page</t>
        </is>
      </c>
      <c r="O584" s="24" t="n"/>
      <c r="P584" s="24" t="inlineStr">
        <is>
          <t>2026-10-24 17:20</t>
        </is>
      </c>
    </row>
    <row r="585" ht="57" customHeight="1" s="13">
      <c r="A585" s="24" t="inlineStr">
        <is>
          <t>TC-ADM-020</t>
        </is>
      </c>
      <c r="B585" s="24" t="inlineStr">
        <is>
          <t>Admin &amp; operations console</t>
        </is>
      </c>
      <c r="C585" s="24" t="inlineStr">
        <is>
          <t>RBAC-014</t>
        </is>
      </c>
      <c r="D585" s="24" t="inlineStr">
        <is>
          <t>Compliance and Maps usage panels</t>
        </is>
      </c>
      <c r="E585" s="24" t="inlineStr">
        <is>
          <t>Regression</t>
        </is>
      </c>
      <c r="F585" s="24" t="inlineStr">
        <is>
          <t>P2</t>
        </is>
      </c>
      <c r="G585" s="24" t="inlineStr">
        <is>
          <t>Admin</t>
        </is>
      </c>
      <c r="H585" s="24" t="inlineStr">
        <is>
          <t>UI</t>
        </is>
      </c>
      <c r="I585" s="24" t="n"/>
      <c r="J585" s="24" t="inlineStr">
        <is>
          <t>1. Open the compliance checklist and Maps usage panels in the admin console</t>
        </is>
      </c>
      <c r="K585" s="24" t="inlineStr">
        <is>
          <t>Both load with data.</t>
        </is>
      </c>
      <c r="L585" s="24" t="inlineStr">
        <is>
          <t>Regression ADM-03/ADM-04</t>
        </is>
      </c>
      <c r="M585" s="24" t="inlineStr">
        <is>
          <t>Pass</t>
        </is>
      </c>
      <c r="N585" s="24" t="inlineStr">
        <is>
          <t>Local Pass · Staging Pass · Production Not run
local: compliance: Active 8 Missing 5 Review required 13; maps: Maps &amp; location usage This shows how many server-side Geocoding calls this app has made — it is a count of requests, not; operator on maps 307→/admin
staging: compliance: Active 8 Missing 4 Review required 14; maps: Maps &amp; location usage This shows how many server-side Geocoding calls this app has made — it is a count of requests, not; operator on maps 307→/admin</t>
        </is>
      </c>
      <c r="O585" s="24" t="n"/>
      <c r="P585" s="24" t="inlineStr">
        <is>
          <t>2026-10-24 17:20</t>
        </is>
      </c>
    </row>
    <row r="586" ht="34.5" customHeight="1" s="13">
      <c r="A586" s="24" t="inlineStr">
        <is>
          <t>TC-ADM-021</t>
        </is>
      </c>
      <c r="B586" s="24" t="inlineStr">
        <is>
          <t>Admin &amp; operations console</t>
        </is>
      </c>
      <c r="C586" s="24" t="inlineStr">
        <is>
          <t>NAV-015</t>
        </is>
      </c>
      <c r="D586" s="24" t="inlineStr">
        <is>
          <t>Operator landing</t>
        </is>
      </c>
      <c r="E586" s="24" t="inlineStr">
        <is>
          <t>Positive</t>
        </is>
      </c>
      <c r="F586" s="24" t="inlineStr">
        <is>
          <t>P2</t>
        </is>
      </c>
      <c r="G586" s="24" t="inlineStr">
        <is>
          <t>Operator</t>
        </is>
      </c>
      <c r="H586" s="24" t="inlineStr">
        <is>
          <t>UI</t>
        </is>
      </c>
      <c r="I586" s="24" t="n"/>
      <c r="J586" s="24" t="inlineStr">
        <is>
          <t>1. Open /operator</t>
        </is>
      </c>
      <c r="K586" s="24" t="inlineStr">
        <is>
          <t>Lands on the operator console with onboarding, product uploads, payments and exceptions reachable.</t>
        </is>
      </c>
      <c r="L586" s="24" t="inlineStr">
        <is>
          <t>Navigation sheet</t>
        </is>
      </c>
      <c r="M586" s="24" t="inlineStr">
        <is>
          <t>Pass</t>
        </is>
      </c>
      <c r="N586" s="24" t="inlineStr">
        <is>
          <t>Local Pass · Staging Pass · Production Not run
local: OPERATOR /operator → /admin; reachable: onboarding, product uploads, payments, exceptions; OPERATOR_LIMITED /operator: onboard, shops, documents, payments open
staging: OPERATOR /operator → /admin; reachable: onboarding, product uploads, payments, exceptions; OPERATOR_LIMITED /operator: onboard, shops, documents, payments open</t>
        </is>
      </c>
      <c r="O586" s="24" t="n"/>
      <c r="P586" s="24" t="inlineStr">
        <is>
          <t>2026-10-24 17:20</t>
        </is>
      </c>
    </row>
    <row r="587" ht="90.75" customHeight="1" s="13">
      <c r="A587" s="24" t="inlineStr">
        <is>
          <t>TC-MKT-001</t>
        </is>
      </c>
      <c r="B587" s="24" t="inlineStr">
        <is>
          <t>Marketing &amp; consent</t>
        </is>
      </c>
      <c r="C587" s="24" t="inlineStr">
        <is>
          <t>GS-070</t>
        </is>
      </c>
      <c r="D587" s="24" t="inlineStr">
        <is>
          <t>Grant and withdraw marketing consent</t>
        </is>
      </c>
      <c r="E587" s="24" t="inlineStr">
        <is>
          <t>Positive</t>
        </is>
      </c>
      <c r="F587" s="24" t="inlineStr">
        <is>
          <t>P0</t>
        </is>
      </c>
      <c r="G587" s="24" t="inlineStr">
        <is>
          <t>Customer</t>
        </is>
      </c>
      <c r="H587" s="24" t="inlineStr">
        <is>
          <t>UI</t>
        </is>
      </c>
      <c r="I587" s="24" t="n"/>
      <c r="J587" s="24" t="inlineStr">
        <is>
          <t>1. /profile -&gt; toggle marketing consent on, then off
2. GET /api/consents/marketing</t>
        </is>
      </c>
      <c r="K587" s="24" t="inlineStr">
        <is>
          <t>Each change saved with a history entry; Save disabled when unchanged; errors shown.</t>
        </is>
      </c>
      <c r="L587" s="24" t="inlineStr">
        <is>
          <t>Dev log Wave 1; Tasks 7-11 handoff</t>
        </is>
      </c>
      <c r="M587" s="24" t="inlineStr">
        <is>
          <t>Pass</t>
        </is>
      </c>
      <c r="N587" s="24" t="inlineStr">
        <is>
          <t>Passed, partly covered. Local Pass (partial) · Staging Pass (partial) · Production Not run
local: not covered: there is no Save button to disable: the switch saves on each tap so withdrawing is one click (expected result superseded by src/components/marketing-consent-toggle.tsx, DPDPA §6(4))
staging: not covered: there is no Save button to disable: the switch saves on each tap so withdrawing is one click (expected result superseded by src/components/marketing-consent-toggle.tsx, DPDPA §6(4))</t>
        </is>
      </c>
      <c r="O587" s="24" t="n"/>
      <c r="P587" s="24" t="inlineStr">
        <is>
          <t>2026-10-24 20:58</t>
        </is>
      </c>
    </row>
    <row r="588" ht="68.25" customHeight="1" s="13">
      <c r="A588" s="24" t="inlineStr">
        <is>
          <t>TC-MKT-002</t>
        </is>
      </c>
      <c r="B588" s="24" t="inlineStr">
        <is>
          <t>Marketing &amp; consent</t>
        </is>
      </c>
      <c r="C588" s="24" t="inlineStr">
        <is>
          <t>GS-070</t>
        </is>
      </c>
      <c r="D588" s="24" t="inlineStr">
        <is>
          <t>Terms consent at sign-up</t>
        </is>
      </c>
      <c r="E588" s="24" t="inlineStr">
        <is>
          <t>Regression</t>
        </is>
      </c>
      <c r="F588" s="24" t="inlineStr">
        <is>
          <t>P1</t>
        </is>
      </c>
      <c r="G588" s="24" t="inlineStr">
        <is>
          <t>Guest</t>
        </is>
      </c>
      <c r="H588" s="24" t="inlineStr">
        <is>
          <t>UI</t>
        </is>
      </c>
      <c r="I588" s="24" t="n"/>
      <c r="J588" s="24" t="inlineStr">
        <is>
          <t>1. Sign up as a new user</t>
        </is>
      </c>
      <c r="K588" s="24" t="inlineStr">
        <is>
          <t>T&amp;C consent is recorded for the account.</t>
        </is>
      </c>
      <c r="L588" s="24" t="inlineStr">
        <is>
          <t>Regression CUS-26</t>
        </is>
      </c>
      <c r="M588" s="24" t="inlineStr">
        <is>
          <t>Pass</t>
        </is>
      </c>
      <c r="N588" s="24" t="inlineStr">
        <is>
          <t>Passed, partly covered. Local Pass (partial) · Staging Pass (partial) · Production Pass (partial)
local: not covered: the page half; the API half (sign-up without consent) and the recorded consent row run on the local tier ‖ not covered: the page half (Get code disabled until ticked) is TC-FLD-004 in tests/qa/guest/signin-security.spec.ts
staging: not covered: the page half; the API half (sign-up without consent) and the recorded consent row run on the local tier
production: not covered: the page half; the API half (sign-up without consent) and the recorded consent row run on the local tier</t>
        </is>
      </c>
      <c r="O588" s="24" t="inlineStr">
        <is>
          <t>D-18</t>
        </is>
      </c>
      <c r="P588" s="24" t="inlineStr">
        <is>
          <t>2026-10-29 13:59</t>
        </is>
      </c>
    </row>
    <row r="589" ht="79.5" customHeight="1" s="13">
      <c r="A589" s="24" t="inlineStr">
        <is>
          <t>TC-MKT-003</t>
        </is>
      </c>
      <c r="B589" s="24" t="inlineStr">
        <is>
          <t>Marketing &amp; consent</t>
        </is>
      </c>
      <c r="C589" s="24" t="inlineStr">
        <is>
          <t>NAV-009</t>
        </is>
      </c>
      <c r="D589" s="24" t="inlineStr">
        <is>
          <t>Shop marketing page</t>
        </is>
      </c>
      <c r="E589" s="24" t="inlineStr">
        <is>
          <t>Positive</t>
        </is>
      </c>
      <c r="F589" s="24" t="inlineStr">
        <is>
          <t>P1</t>
        </is>
      </c>
      <c r="G589" s="24" t="inlineStr">
        <is>
          <t>Shop</t>
        </is>
      </c>
      <c r="H589" s="24" t="inlineStr">
        <is>
          <t>UI</t>
        </is>
      </c>
      <c r="I589" s="24" t="n"/>
      <c r="J589" s="24" t="inlineStr">
        <is>
          <t>1. Open /shop/marketing</t>
        </is>
      </c>
      <c r="K589" s="24" t="inlineStr">
        <is>
          <t>Customers (counts), segments, campaigns and the COD setting.</t>
        </is>
      </c>
      <c r="L589" s="24" t="inlineStr">
        <is>
          <t>Dev log Phase 3</t>
        </is>
      </c>
      <c r="M589" s="24" t="inlineStr">
        <is>
          <t>Pass</t>
        </is>
      </c>
      <c r="N589" s="24" t="inlineStr">
        <is>
          <t>Local Pass · Staging Pass · Production Not run
local: counts 37/5/2/3 (customers/agreed/repeat/lapsed); segments, campaigns and the COD switch shown ‖ [phone] counts 1/1/2/0 (customers/agreed/repeat/lapsed); segments, campaigns and the COD switch shown
staging: counts 0/0/2/0 (customers/agreed/repeat/lapsed); segments, campaigns and the COD switch shown ‖ [phone] counts 0/0/2/0 (customers/agreed/repeat/lapsed); segments, campaigns and the COD switch shown</t>
        </is>
      </c>
      <c r="O589" s="24" t="n"/>
      <c r="P589" s="24" t="inlineStr">
        <is>
          <t>2026-10-24 20:57</t>
        </is>
      </c>
    </row>
    <row r="590" ht="90.75" customHeight="1" s="13">
      <c r="A590" s="24" t="inlineStr">
        <is>
          <t>TC-MKT-004</t>
        </is>
      </c>
      <c r="B590" s="24" t="inlineStr">
        <is>
          <t>Marketing &amp; consent</t>
        </is>
      </c>
      <c r="C590" s="24" t="inlineStr">
        <is>
          <t>GS-052</t>
        </is>
      </c>
      <c r="D590" s="24" t="inlineStr">
        <is>
          <t>Create and preview a segment</t>
        </is>
      </c>
      <c r="E590" s="24" t="inlineStr">
        <is>
          <t>Positive</t>
        </is>
      </c>
      <c r="F590" s="24" t="inlineStr">
        <is>
          <t>P1</t>
        </is>
      </c>
      <c r="G590" s="24" t="inlineStr">
        <is>
          <t>Shop</t>
        </is>
      </c>
      <c r="H590" s="24" t="inlineStr">
        <is>
          <t>UI</t>
        </is>
      </c>
      <c r="I590" s="24" t="n"/>
      <c r="J590" s="24" t="inlineStr">
        <is>
          <t>1. Create a segment by PIN and 'ordered within 30 days'
2. Preview</t>
        </is>
      </c>
      <c r="K590" s="24" t="inlineStr">
        <is>
          <t>Audience count shown - never names, phones or emails. Only consenting customers counted.</t>
        </is>
      </c>
      <c r="L590" s="24" t="inlineStr">
        <is>
          <t>Dev log Phase 3 handoff</t>
        </is>
      </c>
      <c r="M590" s="24" t="inlineStr">
        <is>
          <t>Blocked</t>
        </is>
      </c>
      <c r="N590" s="24" t="inlineStr">
        <is>
          <t>Local Blocked · Staging Blocked · Production Not run
local: "QA Butter 100 g mvmkyclr" cannot be added to the cart — HTTP 409: This product is currently unavailable online.
staging: the customer account has not agreed to offers</t>
        </is>
      </c>
      <c r="O590" s="24" t="n"/>
      <c r="P590" s="24" t="inlineStr">
        <is>
          <t>2026-10-24 18:00</t>
        </is>
      </c>
    </row>
    <row r="591" ht="79.5" customHeight="1" s="13">
      <c r="A591" s="24" t="inlineStr">
        <is>
          <t>TC-MKT-005</t>
        </is>
      </c>
      <c r="B591" s="24" t="inlineStr">
        <is>
          <t>Marketing &amp; consent</t>
        </is>
      </c>
      <c r="C591" s="24" t="inlineStr">
        <is>
          <t>GS-052</t>
        </is>
      </c>
      <c r="D591" s="24" t="inlineStr">
        <is>
          <t>Conflicting segment rules</t>
        </is>
      </c>
      <c r="E591" s="24" t="inlineStr">
        <is>
          <t>Negative</t>
        </is>
      </c>
      <c r="F591" s="24" t="inlineStr">
        <is>
          <t>P2</t>
        </is>
      </c>
      <c r="G591" s="24" t="inlineStr">
        <is>
          <t>Shop</t>
        </is>
      </c>
      <c r="H591" s="24" t="inlineStr">
        <is>
          <t>UI</t>
        </is>
      </c>
      <c r="I591" s="24" t="n"/>
      <c r="J591" s="24" t="inlineStr">
        <is>
          <t>1. Combine 'lapsed 60 days' with 'ordered within 30 days'</t>
        </is>
      </c>
      <c r="K591" s="24" t="inlineStr">
        <is>
          <t>Rejected.</t>
        </is>
      </c>
      <c r="L591" s="24" t="inlineStr">
        <is>
          <t>Dev log Phase 3 handoff</t>
        </is>
      </c>
      <c r="M591" s="24" t="inlineStr">
        <is>
          <t>Pass</t>
        </is>
      </c>
      <c r="N591" s="24" t="inlineStr">
        <is>
          <t>Local Pass · Staging Pass · Production Not run
local: API 422 "'Ordered within' must be longer than 'not ordered for' — otherwise nobody matches."; the page shows the same message and saves nothing
staging: API 422 "'Ordered within' must be longer than 'not ordered for' — otherwise nobody matches."; the page shows the same message and saves nothing</t>
        </is>
      </c>
      <c r="O591" s="24" t="n"/>
      <c r="P591" s="24" t="inlineStr">
        <is>
          <t>2026-10-24 18:00</t>
        </is>
      </c>
    </row>
    <row r="592" ht="79.5" customHeight="1" s="13">
      <c r="A592" s="24" t="inlineStr">
        <is>
          <t>TC-MKT-006</t>
        </is>
      </c>
      <c r="B592" s="24" t="inlineStr">
        <is>
          <t>Marketing &amp; consent</t>
        </is>
      </c>
      <c r="C592" s="24" t="inlineStr">
        <is>
          <t>GS-052, GS-070</t>
        </is>
      </c>
      <c r="D592" s="24" t="inlineStr">
        <is>
          <t>Withdrawn consent removes a customer from audiences</t>
        </is>
      </c>
      <c r="E592" s="24" t="inlineStr">
        <is>
          <t>Positive</t>
        </is>
      </c>
      <c r="F592" s="24" t="inlineStr">
        <is>
          <t>P0</t>
        </is>
      </c>
      <c r="G592" s="24" t="inlineStr">
        <is>
          <t>Customer</t>
        </is>
      </c>
      <c r="H592" s="24" t="inlineStr">
        <is>
          <t>UI</t>
        </is>
      </c>
      <c r="I592" s="24" t="inlineStr">
        <is>
          <t>Customer in a segment</t>
        </is>
      </c>
      <c r="J592" s="24" t="inlineStr">
        <is>
          <t>1. Customer withdraws consent
2. Shop previews the segment</t>
        </is>
      </c>
      <c r="K592" s="24" t="inlineStr">
        <is>
          <t>Count drops by one; the customer receives no later campaign.</t>
        </is>
      </c>
      <c r="L592" s="24" t="inlineStr">
        <is>
          <t>Feature Master GS-052; WF-009</t>
        </is>
      </c>
      <c r="M592" s="24" t="inlineStr">
        <is>
          <t>Pass</t>
        </is>
      </c>
      <c r="N592" s="24" t="inlineStr">
        <is>
          <t>Local Pass · Staging Not run (rule) · Production Not run
local: reachable 4 → 3 (matched 10); the next campaign reached the consenting customer only
staging: not run on staging: needs the server's database (local run only)</t>
        </is>
      </c>
      <c r="O592" s="24" t="n"/>
      <c r="P592" s="24" t="inlineStr">
        <is>
          <t>2026-10-24 17:05</t>
        </is>
      </c>
    </row>
    <row r="593" ht="45.75" customHeight="1" s="13">
      <c r="A593" s="24" t="inlineStr">
        <is>
          <t>TC-MKT-007</t>
        </is>
      </c>
      <c r="B593" s="24" t="inlineStr">
        <is>
          <t>Marketing &amp; consent</t>
        </is>
      </c>
      <c r="C593" s="24" t="inlineStr">
        <is>
          <t>GS-053, WF-009</t>
        </is>
      </c>
      <c r="D593" s="24" t="inlineStr">
        <is>
          <t>Campaign: draft -&gt; submit -&gt; approve -&gt; send</t>
        </is>
      </c>
      <c r="E593" s="24" t="inlineStr">
        <is>
          <t>Positive</t>
        </is>
      </c>
      <c r="F593" s="24" t="inlineStr">
        <is>
          <t>P1</t>
        </is>
      </c>
      <c r="G593" s="24" t="inlineStr">
        <is>
          <t>Shop</t>
        </is>
      </c>
      <c r="H593" s="24" t="inlineStr">
        <is>
          <t>UI</t>
        </is>
      </c>
      <c r="I593" s="24" t="n"/>
      <c r="J593" s="24" t="inlineStr">
        <is>
          <t>1. Create a draft with a budget (max recipients)
2. Submit
3. Operator approves at /admin/campaigns
4. Shop sends</t>
        </is>
      </c>
      <c r="K593" s="24" t="inlineStr">
        <is>
          <t>Statuses move accordingly; consenting recipients get an in-app message; sent count &lt;= budget.</t>
        </is>
      </c>
      <c r="L593" s="24" t="inlineStr">
        <is>
          <t>Dev log Phase 3 handoff</t>
        </is>
      </c>
      <c r="M593" s="24" t="inlineStr">
        <is>
          <t>Pass</t>
        </is>
      </c>
      <c r="N593" s="24" t="inlineStr">
        <is>
          <t>Local Pass · Staging Not run (rule) · Production Not run
local: DRAFT → SUBMITTED (shop page) → APPROVED (/admin/campaigns) → SENT (shop page); sent 2 ≤ budget 100; the new consenting customer got "QA Shop A mvmkyclr: QA weekend mvmlgoq9"
staging: not run on staging: needs the server's database (local run only)</t>
        </is>
      </c>
      <c r="O593" s="24" t="n"/>
      <c r="P593" s="24" t="inlineStr">
        <is>
          <t>2026-10-24 17:05</t>
        </is>
      </c>
    </row>
    <row r="594" ht="45.75" customHeight="1" s="13">
      <c r="A594" s="24" t="inlineStr">
        <is>
          <t>TC-MKT-008</t>
        </is>
      </c>
      <c r="B594" s="24" t="inlineStr">
        <is>
          <t>Marketing &amp; consent</t>
        </is>
      </c>
      <c r="C594" s="24" t="inlineStr">
        <is>
          <t>GS-053</t>
        </is>
      </c>
      <c r="D594" s="24" t="inlineStr">
        <is>
          <t>Send before approval is refused</t>
        </is>
      </c>
      <c r="E594" s="24" t="inlineStr">
        <is>
          <t>Negative</t>
        </is>
      </c>
      <c r="F594" s="24" t="inlineStr">
        <is>
          <t>P0</t>
        </is>
      </c>
      <c r="G594" s="24" t="inlineStr">
        <is>
          <t>Shop</t>
        </is>
      </c>
      <c r="H594" s="24" t="inlineStr">
        <is>
          <t>API</t>
        </is>
      </c>
      <c r="I594" s="24" t="n"/>
      <c r="J594" s="24" t="inlineStr">
        <is>
          <t>1. PATCH action 'send' on a draft / submitted campaign</t>
        </is>
      </c>
      <c r="K594" s="24" t="inlineStr">
        <is>
          <t>Refused.</t>
        </is>
      </c>
      <c r="L594" s="24" t="inlineStr">
        <is>
          <t>Dev log Phase 3 handoff</t>
        </is>
      </c>
      <c r="M594" s="24" t="inlineStr">
        <is>
          <t>Pass</t>
        </is>
      </c>
      <c r="N594" s="24" t="inlineStr">
        <is>
          <t>Local Pass · Staging Pass · Production Not run
local: draft → 409 "Only an approved campaign can be sent."; submitted half not run: A shop can run at most 2 campaigns a week.
staging: draft → 409, submitted → 409 "Only an approved campaign can be sent."; nothing sent</t>
        </is>
      </c>
      <c r="O594" s="24" t="n"/>
      <c r="P594" s="24" t="inlineStr">
        <is>
          <t>2026-10-24 18:02</t>
        </is>
      </c>
    </row>
    <row r="595" ht="68.25" customHeight="1" s="13">
      <c r="A595" s="24" t="inlineStr">
        <is>
          <t>TC-MKT-009</t>
        </is>
      </c>
      <c r="B595" s="24" t="inlineStr">
        <is>
          <t>Marketing &amp; consent</t>
        </is>
      </c>
      <c r="C595" s="24" t="inlineStr">
        <is>
          <t>GS-053</t>
        </is>
      </c>
      <c r="D595" s="24" t="inlineStr">
        <is>
          <t>Rejected campaign can be edited and resubmitted</t>
        </is>
      </c>
      <c r="E595" s="24" t="inlineStr">
        <is>
          <t>Positive</t>
        </is>
      </c>
      <c r="F595" s="24" t="inlineStr">
        <is>
          <t>P2</t>
        </is>
      </c>
      <c r="G595" s="24" t="inlineStr">
        <is>
          <t>Operator</t>
        </is>
      </c>
      <c r="H595" s="24" t="inlineStr">
        <is>
          <t>UI</t>
        </is>
      </c>
      <c r="I595" s="24" t="n"/>
      <c r="J595" s="24" t="inlineStr">
        <is>
          <t>1. Reject with a reason
2. Shop edits and resubmits</t>
        </is>
      </c>
      <c r="K595" s="24" t="inlineStr">
        <is>
          <t>Works; operations cannot edit the shop's campaign themselves.</t>
        </is>
      </c>
      <c r="L595" s="24" t="inlineStr">
        <is>
          <t>Dev log Phase 3 handoff</t>
        </is>
      </c>
      <c r="M595" s="24" t="inlineStr">
        <is>
          <t>Pass</t>
        </is>
      </c>
      <c r="N595" s="24" t="inlineStr">
        <is>
          <t>Local Pass · Staging Not run (rule) · Production Not run
local: rejected with "QA: say which products are on offer" (shown to the shop); operations edit/send → 403 "Only the shop owner can change its campaigns."; the shop edited (back to DRAFT) and resubmitted (SUBMITTED)
staging: not run on staging: needs the server's database (local run only)</t>
        </is>
      </c>
      <c r="O595" s="24" t="n"/>
      <c r="P595" s="24" t="inlineStr">
        <is>
          <t>2026-10-24 17:05</t>
        </is>
      </c>
    </row>
    <row r="596" ht="57" customHeight="1" s="13">
      <c r="A596" s="24" t="inlineStr">
        <is>
          <t>TC-MKT-010</t>
        </is>
      </c>
      <c r="B596" s="24" t="inlineStr">
        <is>
          <t>Marketing &amp; consent</t>
        </is>
      </c>
      <c r="C596" s="24" t="inlineStr">
        <is>
          <t>GS-053</t>
        </is>
      </c>
      <c r="D596" s="24" t="inlineStr">
        <is>
          <t>Shop rate limit and customer frequency caps</t>
        </is>
      </c>
      <c r="E596" s="24" t="inlineStr">
        <is>
          <t>Boundary</t>
        </is>
      </c>
      <c r="F596" s="24" t="inlineStr">
        <is>
          <t>P1</t>
        </is>
      </c>
      <c r="G596" s="24" t="inlineStr">
        <is>
          <t>Shop</t>
        </is>
      </c>
      <c r="H596" s="24" t="inlineStr">
        <is>
          <t>UI</t>
        </is>
      </c>
      <c r="I596" s="24" t="n"/>
      <c r="J596" s="24" t="inlineStr">
        <is>
          <t>1. Submit a 3rd campaign in 7 days
2. Send two campaigns from one shop to the same customer in a week
3. Have 4 shops target the same customer</t>
        </is>
      </c>
      <c r="K596" s="24" t="inlineStr">
        <is>
          <t>3rd submit refused. A customer gets at most 1 per shop and 3 in total per 7 days.</t>
        </is>
      </c>
      <c r="L596" s="24" t="inlineStr">
        <is>
          <t>Dev log Phase 3 decisions</t>
        </is>
      </c>
      <c r="M596" s="24" t="inlineStr">
        <is>
          <t>Pass</t>
        </is>
      </c>
      <c r="N596" s="24" t="inlineStr">
        <is>
          <t>Passed, partly covered. Local Pass (partial) · Staging Not run (rule) · Production Not run
local: not covered: the total cap is exercised with rule marketing.totalPerCustomerPerWeek lowered to 1 (the default 3 needs four shops the customer ordered from; this world has two that sell)
staging: not run on staging: needs the server's database (local run only)</t>
        </is>
      </c>
      <c r="O596" s="24" t="n"/>
      <c r="P596" s="24" t="inlineStr">
        <is>
          <t>2026-10-24 17:05</t>
        </is>
      </c>
    </row>
    <row r="597" ht="102" customHeight="1" s="13">
      <c r="A597" s="24" t="inlineStr">
        <is>
          <t>TC-MKT-011</t>
        </is>
      </c>
      <c r="B597" s="24" t="inlineStr">
        <is>
          <t>Marketing &amp; consent</t>
        </is>
      </c>
      <c r="C597" s="24" t="inlineStr">
        <is>
          <t>GS-053</t>
        </is>
      </c>
      <c r="D597" s="24" t="inlineStr">
        <is>
          <t>Budget bounds and double send</t>
        </is>
      </c>
      <c r="E597" s="24" t="inlineStr">
        <is>
          <t>Boundary</t>
        </is>
      </c>
      <c r="F597" s="24" t="inlineStr">
        <is>
          <t>P2</t>
        </is>
      </c>
      <c r="G597" s="24" t="inlineStr">
        <is>
          <t>Shop</t>
        </is>
      </c>
      <c r="H597" s="24" t="inlineStr">
        <is>
          <t>API</t>
        </is>
      </c>
      <c r="I597" s="24" t="n"/>
      <c r="J597" s="24" t="inlineStr">
        <is>
          <t>1. Budget 0 and 5,001
2. Send the same campaign twice</t>
        </is>
      </c>
      <c r="K597" s="24" t="inlineStr">
        <is>
          <t>Out-of-range refused; second send impossible.</t>
        </is>
      </c>
      <c r="L597" s="24" t="inlineStr">
        <is>
          <t>API.md Marketing</t>
        </is>
      </c>
      <c r="M597" s="24" t="inlineStr">
        <is>
          <t>Pass</t>
        </is>
      </c>
      <c r="N597" s="24" t="inlineStr">
        <is>
          <t>Local Pass · Staging Not run (rule) · Production Not run
local: 0 → 422 "Budget must be between 1 and 5000 customers."; 5001 → 422 "Budget must be between 1 and 5000 customers."; 5000 accepted; send → SENT (1), second send → 409 "Only an approved campaign can be sent.", 1 recipient rows
staging: not run on staging: needs the server's database (local run only)</t>
        </is>
      </c>
      <c r="O597" s="24" t="n"/>
      <c r="P597" s="24" t="inlineStr">
        <is>
          <t>2026-10-24 17:05</t>
        </is>
      </c>
    </row>
    <row r="598" ht="57" customHeight="1" s="13">
      <c r="A598" s="24" t="inlineStr">
        <is>
          <t>TC-MKT-012</t>
        </is>
      </c>
      <c r="B598" s="24" t="inlineStr">
        <is>
          <t>Marketing &amp; consent</t>
        </is>
      </c>
      <c r="C598" s="24" t="inlineStr">
        <is>
          <t>KPI-015, WF-009</t>
        </is>
      </c>
      <c r="D598" s="24" t="inlineStr">
        <is>
          <t>Campaign tracking and conversion</t>
        </is>
      </c>
      <c r="E598" s="24" t="inlineStr">
        <is>
          <t>Positive</t>
        </is>
      </c>
      <c r="F598" s="24" t="inlineStr">
        <is>
          <t>P2</t>
        </is>
      </c>
      <c r="G598" s="24" t="inlineStr">
        <is>
          <t>Shop</t>
        </is>
      </c>
      <c r="H598" s="24" t="inlineStr">
        <is>
          <t>UI</t>
        </is>
      </c>
      <c r="I598" s="24" t="inlineStr">
        <is>
          <t>A sent campaign</t>
        </is>
      </c>
      <c r="J598" s="24" t="inlineStr">
        <is>
          <t>1. Recipient opens the message and orders from the shop within 7 days</t>
        </is>
      </c>
      <c r="K598" s="24" t="inlineStr">
        <is>
          <t>Opened, converted and revenue figures update; conversion appears in analytics.</t>
        </is>
      </c>
      <c r="L598" s="24" t="inlineStr">
        <is>
          <t>Dev log Phase 3</t>
        </is>
      </c>
      <c r="M598" s="24" t="inlineStr">
        <is>
          <t>Pass</t>
        </is>
      </c>
      <c r="N598" s="24" t="inlineStr">
        <is>
          <t>Passed, partly covered. Local Pass (partial) · Staging Not run (rule) · Production Not run
local: not covered: shown on the shop's campaign row and the review queue; there is no separate analytics chart for campaigns
staging: not run on staging: needs the server's database (local run only)</t>
        </is>
      </c>
      <c r="O598" s="24" t="n"/>
      <c r="P598" s="24" t="inlineStr">
        <is>
          <t>2026-10-24 17:05</t>
        </is>
      </c>
    </row>
    <row r="599" ht="68.25" customHeight="1" s="13">
      <c r="A599" s="24" t="inlineStr">
        <is>
          <t>TC-MKT-013</t>
        </is>
      </c>
      <c r="B599" s="24" t="inlineStr">
        <is>
          <t>Marketing &amp; consent</t>
        </is>
      </c>
      <c r="C599" s="24" t="inlineStr">
        <is>
          <t>GS-052, GS-071</t>
        </is>
      </c>
      <c r="D599" s="24" t="inlineStr">
        <is>
          <t>Marketing APIs are scoped to the owner's shop</t>
        </is>
      </c>
      <c r="E599" s="24" t="inlineStr">
        <is>
          <t>Security</t>
        </is>
      </c>
      <c r="F599" s="24" t="inlineStr">
        <is>
          <t>P0</t>
        </is>
      </c>
      <c r="G599" s="24" t="inlineStr">
        <is>
          <t>Shop</t>
        </is>
      </c>
      <c r="H599" s="24" t="inlineStr">
        <is>
          <t>API</t>
        </is>
      </c>
      <c r="I599" s="24" t="n"/>
      <c r="J599" s="24" t="inlineStr">
        <is>
          <t>1. Call segments/campaigns APIs for another shop
2. As customer</t>
        </is>
      </c>
      <c r="K599" s="24" t="inlineStr">
        <is>
          <t>403.</t>
        </is>
      </c>
      <c r="L599" s="24" t="inlineStr">
        <is>
          <t>API.md Marketing</t>
        </is>
      </c>
      <c r="M599" s="24" t="inlineStr">
        <is>
          <t>Pass</t>
        </is>
      </c>
      <c r="N599" s="24" t="inlineStr">
        <is>
          <t>Passed, partly covered. Local Pass (partial) · Staging Pass (partial) · Production Pass (partial)
local: not covered: the signed-out half is in tests/qa/guest/access.spec.ts ‖ not covered: guest half only; the other-role half (customer, other shop) runs in the signed-in tier
staging: not covered: guest half only; the other-role half (customer, other shop) runs in the signed-in tier
production: not covered: guest half only; the other-role half (customer, other shop) runs in the signed-in tier</t>
        </is>
      </c>
      <c r="O599" s="24" t="n"/>
      <c r="P599" s="24" t="inlineStr">
        <is>
          <t>2026-10-29 14:06</t>
        </is>
      </c>
    </row>
    <row r="600" ht="90.75" customHeight="1" s="13">
      <c r="A600" s="24" t="inlineStr">
        <is>
          <t>TC-MKT-014</t>
        </is>
      </c>
      <c r="B600" s="24" t="inlineStr">
        <is>
          <t>Marketing &amp; consent</t>
        </is>
      </c>
      <c r="C600" s="24" t="inlineStr">
        <is>
          <t>GS-054</t>
        </is>
      </c>
      <c r="D600" s="24" t="inlineStr">
        <is>
          <t>Customer referral reward</t>
        </is>
      </c>
      <c r="E600" s="24" t="inlineStr">
        <is>
          <t>Positive</t>
        </is>
      </c>
      <c r="F600" s="24" t="inlineStr">
        <is>
          <t>P1</t>
        </is>
      </c>
      <c r="G600" s="24" t="inlineStr">
        <is>
          <t>Customer</t>
        </is>
      </c>
      <c r="H600" s="24" t="inlineStr">
        <is>
          <t>UI</t>
        </is>
      </c>
      <c r="I600" s="24" t="inlineStr">
        <is>
          <t>Customer 1 has a referral code; a brand-new person</t>
        </is>
      </c>
      <c r="J600" s="24" t="inlineStr">
        <is>
          <t>1. The new person signs up with the code
2. Places a first order and it is DELIVERED</t>
        </is>
      </c>
      <c r="K600" s="24" t="inlineStr">
        <is>
          <t>Both receive the reward once, after delivery, shown in the wallet with the reason.</t>
        </is>
      </c>
      <c r="L600" s="24" t="inlineStr">
        <is>
          <t>Open features 3-Oct, treated as completed 4-Oct</t>
        </is>
      </c>
      <c r="M600" s="24" t="inlineStr">
        <is>
          <t>Pass</t>
        </is>
      </c>
      <c r="N600" s="24" t="inlineStr">
        <is>
          <t>Local Pass · Staging Not run (rule) · Production Not run
local: code GKUXXAJH entered at sign-up → PENDING; DB-20261024-PLET5Q delivered → ₹50 each ("Referral reward — your friend's first order was delivered" / "Welcome reward — referred by a friend"); a second delivered order adds nothing
staging: not run on staging: needs the server's database (local run only)</t>
        </is>
      </c>
      <c r="O600" s="24" t="n"/>
      <c r="P600" s="24" t="inlineStr">
        <is>
          <t>2026-10-24 17:05</t>
        </is>
      </c>
    </row>
    <row r="601" ht="34.5" customHeight="1" s="13">
      <c r="A601" s="24" t="inlineStr">
        <is>
          <t>TC-MKT-015</t>
        </is>
      </c>
      <c r="B601" s="24" t="inlineStr">
        <is>
          <t>Marketing &amp; consent</t>
        </is>
      </c>
      <c r="C601" s="24" t="inlineStr">
        <is>
          <t>GS-054, GS-068</t>
        </is>
      </c>
      <c r="D601" s="24" t="inlineStr">
        <is>
          <t>Referral abuse is not rewarded</t>
        </is>
      </c>
      <c r="E601" s="24" t="inlineStr">
        <is>
          <t>Negative</t>
        </is>
      </c>
      <c r="F601" s="24" t="inlineStr">
        <is>
          <t>P0</t>
        </is>
      </c>
      <c r="G601" s="24" t="inlineStr">
        <is>
          <t>Customer</t>
        </is>
      </c>
      <c r="H601" s="24" t="inlineStr">
        <is>
          <t>UI+API</t>
        </is>
      </c>
      <c r="I601" s="24" t="n"/>
      <c r="J601" s="24" t="inlineStr">
        <is>
          <t>1. Use the own code
2. Refer an existing customer
3. Refer a new account on the same mobile / device / address
4. Refer someone whose first order is cancelled or fully refunded</t>
        </is>
      </c>
      <c r="K601" s="24" t="inlineStr">
        <is>
          <t>No reward in any case; repeated attempts raise a risk flag.</t>
        </is>
      </c>
      <c r="L601" s="24" t="inlineStr">
        <is>
          <t>Open features 3-Oct, treated as completed 4-Oct</t>
        </is>
      </c>
      <c r="M601" s="24" t="inlineStr">
        <is>
          <t>Pass</t>
        </is>
      </c>
      <c r="N601" s="24" t="inlineStr">
        <is>
          <t>Passed, partly covered. Local Pass (partial) · Staging Not run (rule) · Production Not run
local: not covered: a new account on the referrer's own mobile cannot exist (mobile numbers are unique per account); the same device is not tracked; a delivered-then-refunded first order is TC-MKT-017's reversal; the risk flag is the next check
staging: not run on staging: needs the server's database (local run only)</t>
        </is>
      </c>
      <c r="O601" s="24" t="inlineStr">
        <is>
          <t>D-24</t>
        </is>
      </c>
      <c r="P601" s="24" t="inlineStr">
        <is>
          <t>2026-10-24 17:05</t>
        </is>
      </c>
    </row>
    <row r="602" ht="57" customHeight="1" s="13">
      <c r="A602" s="24" t="inlineStr">
        <is>
          <t>TC-MKT-016</t>
        </is>
      </c>
      <c r="B602" s="24" t="inlineStr">
        <is>
          <t>Marketing &amp; consent</t>
        </is>
      </c>
      <c r="C602" s="24" t="inlineStr">
        <is>
          <t>GS-054</t>
        </is>
      </c>
      <c r="D602" s="24" t="inlineStr">
        <is>
          <t>Referral limits</t>
        </is>
      </c>
      <c r="E602" s="24" t="inlineStr">
        <is>
          <t>Boundary</t>
        </is>
      </c>
      <c r="F602" s="24" t="inlineStr">
        <is>
          <t>P2</t>
        </is>
      </c>
      <c r="G602" s="24" t="inlineStr">
        <is>
          <t>Customer</t>
        </is>
      </c>
      <c r="H602" s="24" t="inlineStr">
        <is>
          <t>UI</t>
        </is>
      </c>
      <c r="I602" s="24" t="n"/>
      <c r="J602" s="24" t="inlineStr">
        <is>
          <t>1. Refer more people than the cap allows
2. Enter the code in a different case and an unknown code</t>
        </is>
      </c>
      <c r="K602" s="24" t="inlineStr">
        <is>
          <t>Rewards stop at the cap. Code is case-insensitive; an unknown code gives a clear message and does not block sign-up.</t>
        </is>
      </c>
      <c r="L602" s="24" t="inlineStr">
        <is>
          <t>Open features 3-Oct, treated as completed 4-Oct</t>
        </is>
      </c>
      <c r="M602" s="24" t="inlineStr">
        <is>
          <t>Pass</t>
        </is>
      </c>
      <c r="N602" s="24" t="inlineStr">
        <is>
          <t>Passed, partly covered. Local Pass (partial) · Staging Not run (rule) · Production Not run
local: not covered: the cap is exercised at 1 (rule customerReferrals.maxRewardsPerReferrer lowered from its default 20)
staging: not run on staging: needs the server's database (local run only)</t>
        </is>
      </c>
      <c r="O602" s="24" t="n"/>
      <c r="P602" s="24" t="inlineStr">
        <is>
          <t>2026-10-24 17:05</t>
        </is>
      </c>
    </row>
    <row r="603" ht="45.75" customHeight="1" s="13">
      <c r="A603" s="24" t="inlineStr">
        <is>
          <t>TC-MKT-017</t>
        </is>
      </c>
      <c r="B603" s="24" t="inlineStr">
        <is>
          <t>Marketing &amp; consent</t>
        </is>
      </c>
      <c r="C603" s="24" t="inlineStr">
        <is>
          <t>GS-054, GS-068</t>
        </is>
      </c>
      <c r="D603" s="24" t="inlineStr">
        <is>
          <t>Reward reversed on fraud</t>
        </is>
      </c>
      <c r="E603" s="24" t="inlineStr">
        <is>
          <t>Security</t>
        </is>
      </c>
      <c r="F603" s="24" t="inlineStr">
        <is>
          <t>P1</t>
        </is>
      </c>
      <c r="G603" s="24" t="inlineStr">
        <is>
          <t>Admin</t>
        </is>
      </c>
      <c r="H603" s="24" t="inlineStr">
        <is>
          <t>UI</t>
        </is>
      </c>
      <c r="I603" s="24" t="inlineStr">
        <is>
          <t>A rewarded referral later flagged</t>
        </is>
      </c>
      <c r="J603" s="24" t="inlineStr">
        <is>
          <t>1. Action the risk flag</t>
        </is>
      </c>
      <c r="K603" s="24" t="inlineStr">
        <is>
          <t>The reward is reversed with a ledger entry; the wallet never goes negative.</t>
        </is>
      </c>
      <c r="L603" s="24" t="inlineStr">
        <is>
          <t>Open features 3-Oct, treated as completed 4-Oct</t>
        </is>
      </c>
      <c r="M603" s="24" t="inlineStr">
        <is>
          <t>Fail</t>
        </is>
      </c>
      <c r="N603" s="24" t="inlineStr">
        <is>
          <t>Local Fail · Staging Not run (rule) · Production Not run
local: referral 726eef7c-2e2b-4925-a502-1b9438010782 is REWARDED but no risk flag can be raised on it (risk rules have no referral rule — src/server/services/risk.ts) and nothing reverses a referral reward (src/server/services/customer-referrals.ts); reversal rows: 0 | expect(received).toBeGreaterThan(expected) | Expected: &gt; 0 | Received:   0
staging: not run on staging: needs the server's database (local run only)</t>
        </is>
      </c>
      <c r="O603" s="24" t="inlineStr">
        <is>
          <t>D-25</t>
        </is>
      </c>
      <c r="P603" s="24" t="inlineStr">
        <is>
          <t>2026-10-24 17:05</t>
        </is>
      </c>
    </row>
    <row r="604" ht="45.75" customHeight="1" s="13">
      <c r="A604" s="24" t="inlineStr">
        <is>
          <t>TC-KPI-001</t>
        </is>
      </c>
      <c r="B604" s="24" t="inlineStr">
        <is>
          <t>Analytics &amp; KPIs</t>
        </is>
      </c>
      <c r="C604" s="24" t="inlineStr">
        <is>
          <t>GS-069, NAV-018</t>
        </is>
      </c>
      <c r="D604" s="24" t="inlineStr">
        <is>
          <t>Marketplace analytics page</t>
        </is>
      </c>
      <c r="E604" s="24" t="inlineStr">
        <is>
          <t>Positive</t>
        </is>
      </c>
      <c r="F604" s="24" t="inlineStr">
        <is>
          <t>P1</t>
        </is>
      </c>
      <c r="G604" s="24" t="inlineStr">
        <is>
          <t>Admin</t>
        </is>
      </c>
      <c r="H604" s="24" t="inlineStr">
        <is>
          <t>UI</t>
        </is>
      </c>
      <c r="I604" s="24" t="n"/>
      <c r="J604" s="24" t="inlineStr">
        <is>
          <t>1. Open /admin/analytics
2. Change the date window</t>
        </is>
      </c>
      <c r="K604" s="24" t="inlineStr">
        <is>
          <t>KPI cards and daily GMV trend load and change with the window.</t>
        </is>
      </c>
      <c r="L604" s="24" t="inlineStr">
        <is>
          <t>Dev log Phase 3</t>
        </is>
      </c>
      <c r="M604" s="24" t="inlineStr">
        <is>
          <t>Pass</t>
        </is>
      </c>
      <c r="N604" s="24" t="inlineStr">
        <is>
          <t>Passed, partly covered. Local Pass (partial) · Staging Pass (partial) · Production Pass (partial)
local: not covered: guest half only; the other-role half (customer, other shop) runs in the signed-in tier
staging: not covered: guest half only; the other-role half (customer, other shop) runs in the signed-in tier
production: not covered: guest half only; the other-role half (customer, other shop) runs in the signed-in tier</t>
        </is>
      </c>
      <c r="O604" s="24" t="n"/>
      <c r="P604" s="24" t="inlineStr">
        <is>
          <t>2026-10-29 14:06</t>
        </is>
      </c>
    </row>
    <row r="605" ht="68.25" customHeight="1" s="13">
      <c r="A605" s="24" t="inlineStr">
        <is>
          <t>TC-KPI-002</t>
        </is>
      </c>
      <c r="B605" s="24" t="inlineStr">
        <is>
          <t>Analytics &amp; KPIs</t>
        </is>
      </c>
      <c r="C605" s="24" t="inlineStr">
        <is>
          <t>GS-069</t>
        </is>
      </c>
      <c r="D605" s="24" t="inlineStr">
        <is>
          <t>Shop analytics is limited to the own shop</t>
        </is>
      </c>
      <c r="E605" s="24" t="inlineStr">
        <is>
          <t>Security</t>
        </is>
      </c>
      <c r="F605" s="24" t="inlineStr">
        <is>
          <t>P0</t>
        </is>
      </c>
      <c r="G605" s="24" t="inlineStr">
        <is>
          <t>Shop</t>
        </is>
      </c>
      <c r="H605" s="24" t="inlineStr">
        <is>
          <t>UI+API</t>
        </is>
      </c>
      <c r="I605" s="24" t="n"/>
      <c r="J605" s="24" t="inlineStr">
        <is>
          <t>1. Open /shop/analytics
2. GET /api/analytics/kpis?shopId={otherShop}
3. As customer</t>
        </is>
      </c>
      <c r="K605" s="24" t="inlineStr">
        <is>
          <t>Own shop only; another shop and customer: 403.</t>
        </is>
      </c>
      <c r="L605" s="24" t="inlineStr">
        <is>
          <t>Dev log Phase 3 handoff</t>
        </is>
      </c>
      <c r="M605" s="24" t="inlineStr">
        <is>
          <t>Pass</t>
        </is>
      </c>
      <c r="N605" s="24" t="inlineStr">
        <is>
          <t>Passed, partly covered. Local Pass (partial) · Staging Pass (partial) · Production Pass (partial)
local: not covered: guest half only; the other-role half (customer, other shop) runs in the signed-in tier
staging: not covered: guest half only; the other-role half (customer, other shop) runs in the signed-in tier
production: not covered: guest half only; the other-role half (customer, other shop) runs in the signed-in tier</t>
        </is>
      </c>
      <c r="O605" s="24" t="n"/>
      <c r="P605" s="24" t="inlineStr">
        <is>
          <t>2026-10-29 14:06</t>
        </is>
      </c>
    </row>
    <row r="606" ht="45.75" customHeight="1" s="13">
      <c r="A606" s="24" t="inlineStr">
        <is>
          <t>TC-KPI-003</t>
        </is>
      </c>
      <c r="B606" s="24" t="inlineStr">
        <is>
          <t>Analytics &amp; KPIs</t>
        </is>
      </c>
      <c r="C606" s="24" t="inlineStr">
        <is>
          <t>KPI-001</t>
        </is>
      </c>
      <c r="D606" s="24" t="inlineStr">
        <is>
          <t>GMV</t>
        </is>
      </c>
      <c r="E606" s="24" t="inlineStr">
        <is>
          <t>Positive</t>
        </is>
      </c>
      <c r="F606" s="24" t="inlineStr">
        <is>
          <t>P1</t>
        </is>
      </c>
      <c r="G606" s="24" t="inlineStr">
        <is>
          <t>Admin</t>
        </is>
      </c>
      <c r="H606" s="24" t="inlineStr">
        <is>
          <t>UI</t>
        </is>
      </c>
      <c r="I606" s="24" t="inlineStr">
        <is>
          <t>Controlled set of orders in a fresh window</t>
        </is>
      </c>
      <c r="J606" s="24" t="inlineStr">
        <is>
          <t>1. Compare GMV with the sum of delivered orders (goods + delivery fee)</t>
        </is>
      </c>
      <c r="K606" s="24" t="inlineStr">
        <is>
          <t>Matches.</t>
        </is>
      </c>
      <c r="L606" s="24" t="inlineStr">
        <is>
          <t>KPIs sheet</t>
        </is>
      </c>
      <c r="M606" s="24" t="inlineStr">
        <is>
          <t>Pass</t>
        </is>
      </c>
      <c r="N606" s="24" t="inlineStr">
        <is>
          <t>Passed, partly covered. Local Pass (partial) · Staging Not run (rule) · Production Not run
local: not covered: the analytics page offers 7/30/90-day windows ending today, so the past day is compared on the API that feeds it; the page itself is TC-KPI-001 ‖ not covered: arranging step: each KPI is compared in its own check below
staging: not run on staging: needs the server's database (local run only)</t>
        </is>
      </c>
      <c r="O606" s="24" t="n"/>
      <c r="P606" s="24" t="inlineStr">
        <is>
          <t>2026-10-24 17:05</t>
        </is>
      </c>
    </row>
    <row r="607" ht="45.75" customHeight="1" s="13">
      <c r="A607" s="24" t="inlineStr">
        <is>
          <t>TC-KPI-004</t>
        </is>
      </c>
      <c r="B607" s="24" t="inlineStr">
        <is>
          <t>Analytics &amp; KPIs</t>
        </is>
      </c>
      <c r="C607" s="24" t="inlineStr">
        <is>
          <t>KPI-002</t>
        </is>
      </c>
      <c r="D607" s="24" t="inlineStr">
        <is>
          <t>Order fill rate</t>
        </is>
      </c>
      <c r="E607" s="24" t="inlineStr">
        <is>
          <t>Positive</t>
        </is>
      </c>
      <c r="F607" s="24" t="inlineStr">
        <is>
          <t>P2</t>
        </is>
      </c>
      <c r="G607" s="24" t="inlineStr">
        <is>
          <t>Admin</t>
        </is>
      </c>
      <c r="H607" s="24" t="inlineStr">
        <is>
          <t>UI</t>
        </is>
      </c>
      <c r="I607" s="24" t="inlineStr">
        <is>
          <t>Window with one rejected order and one with a removed line</t>
        </is>
      </c>
      <c r="J607" s="24" t="inlineStr">
        <is>
          <t>1. Compare with hand computation</t>
        </is>
      </c>
      <c r="K607" s="24" t="inlineStr">
        <is>
          <t>Fulfilled-without-rejection share matches.</t>
        </is>
      </c>
      <c r="L607" s="24" t="inlineStr">
        <is>
          <t>KPIs sheet</t>
        </is>
      </c>
      <c r="M607" s="24" t="inlineStr">
        <is>
          <t>Pass</t>
        </is>
      </c>
      <c r="N607" s="24" t="inlineStr">
        <is>
          <t>Passed, partly covered. Local Pass (partial) · Staging Not run (rule) · Production Not run
local: not covered: arranging step: each KPI is compared in its own check below
staging: not run on staging: needs the server's database (local run only)</t>
        </is>
      </c>
      <c r="O607" s="24" t="n"/>
      <c r="P607" s="24" t="inlineStr">
        <is>
          <t>2026-10-24 17:05</t>
        </is>
      </c>
    </row>
    <row r="608" ht="90.75" customHeight="1" s="13">
      <c r="A608" s="24" t="inlineStr">
        <is>
          <t>TC-KPI-005</t>
        </is>
      </c>
      <c r="B608" s="24" t="inlineStr">
        <is>
          <t>Analytics &amp; KPIs</t>
        </is>
      </c>
      <c r="C608" s="24" t="inlineStr">
        <is>
          <t>KPI-003, KPI-004</t>
        </is>
      </c>
      <c r="D608" s="24" t="inlineStr">
        <is>
          <t>Shop acceptance time and pick-pack time</t>
        </is>
      </c>
      <c r="E608" s="24" t="inlineStr">
        <is>
          <t>Positive</t>
        </is>
      </c>
      <c r="F608" s="24" t="inlineStr">
        <is>
          <t>P2</t>
        </is>
      </c>
      <c r="G608" s="24" t="inlineStr">
        <is>
          <t>Admin</t>
        </is>
      </c>
      <c r="H608" s="24" t="inlineStr">
        <is>
          <t>UI</t>
        </is>
      </c>
      <c r="I608" s="24" t="inlineStr">
        <is>
          <t>Note timestamps of placed, accepted and READY for 3 orders</t>
        </is>
      </c>
      <c r="J608" s="24" t="inlineStr">
        <is>
          <t>1. Compare averages</t>
        </is>
      </c>
      <c r="K608" s="24" t="inlineStr">
        <is>
          <t>Match within rounding.</t>
        </is>
      </c>
      <c r="L608" s="24" t="inlineStr">
        <is>
          <t>KPIs sheet</t>
        </is>
      </c>
      <c r="M608" s="24" t="inlineStr">
        <is>
          <t>Pass</t>
        </is>
      </c>
      <c r="N608" s="24" t="inlineStr">
        <is>
          <t>Passed, partly covered. Local Pass (partial) · Staging Not run (rule) · Production Not run
local: not covered: arranging step: each KPI is compared in its own check below
staging: not run on staging: needs the server's database (local run only)</t>
        </is>
      </c>
      <c r="O608" s="24" t="n"/>
      <c r="P608" s="24" t="inlineStr">
        <is>
          <t>2026-10-24 17:05</t>
        </is>
      </c>
    </row>
    <row r="609" ht="90.75" customHeight="1" s="13">
      <c r="A609" s="24" t="inlineStr">
        <is>
          <t>TC-KPI-006</t>
        </is>
      </c>
      <c r="B609" s="24" t="inlineStr">
        <is>
          <t>Analytics &amp; KPIs</t>
        </is>
      </c>
      <c r="C609" s="24" t="inlineStr">
        <is>
          <t>KPI-005, KPI-006</t>
        </is>
      </c>
      <c r="D609" s="24" t="inlineStr">
        <is>
          <t>Assignment time and delivery time</t>
        </is>
      </c>
      <c r="E609" s="24" t="inlineStr">
        <is>
          <t>Positive</t>
        </is>
      </c>
      <c r="F609" s="24" t="inlineStr">
        <is>
          <t>P2</t>
        </is>
      </c>
      <c r="G609" s="24" t="inlineStr">
        <is>
          <t>Admin</t>
        </is>
      </c>
      <c r="H609" s="24" t="inlineStr">
        <is>
          <t>UI</t>
        </is>
      </c>
      <c r="I609" s="24" t="inlineStr">
        <is>
          <t>Note READY, assigned, picked-up and delivered timestamps</t>
        </is>
      </c>
      <c r="J609" s="24" t="inlineStr">
        <is>
          <t>1. Compare averages</t>
        </is>
      </c>
      <c r="K609" s="24" t="inlineStr">
        <is>
          <t>Match within rounding.</t>
        </is>
      </c>
      <c r="L609" s="24" t="inlineStr">
        <is>
          <t>KPIs sheet</t>
        </is>
      </c>
      <c r="M609" s="24" t="inlineStr">
        <is>
          <t>Pass</t>
        </is>
      </c>
      <c r="N609" s="24" t="inlineStr">
        <is>
          <t>Passed, partly covered. Local Pass (partial) · Staging Not run (rule) · Production Not run
local: not covered: arranging step: each KPI is compared in its own check below
staging: not run on staging: needs the server's database (local run only)</t>
        </is>
      </c>
      <c r="O609" s="24" t="n"/>
      <c r="P609" s="24" t="inlineStr">
        <is>
          <t>2026-10-24 17:05</t>
        </is>
      </c>
    </row>
    <row r="610" ht="57" customHeight="1" s="13">
      <c r="A610" s="24" t="inlineStr">
        <is>
          <t>TC-KPI-007</t>
        </is>
      </c>
      <c r="B610" s="24" t="inlineStr">
        <is>
          <t>Analytics &amp; KPIs</t>
        </is>
      </c>
      <c r="C610" s="24" t="inlineStr">
        <is>
          <t>KPI-007</t>
        </is>
      </c>
      <c r="D610" s="24" t="inlineStr">
        <is>
          <t>On-time delivery rate</t>
        </is>
      </c>
      <c r="E610" s="24" t="inlineStr">
        <is>
          <t>Positive</t>
        </is>
      </c>
      <c r="F610" s="24" t="inlineStr">
        <is>
          <t>P2</t>
        </is>
      </c>
      <c r="G610" s="24" t="inlineStr">
        <is>
          <t>Admin</t>
        </is>
      </c>
      <c r="H610" s="24" t="inlineStr">
        <is>
          <t>UI</t>
        </is>
      </c>
      <c r="I610" s="24" t="inlineStr">
        <is>
          <t>One on-time and one late delivery</t>
        </is>
      </c>
      <c r="J610" s="24" t="inlineStr">
        <is>
          <t>1. Compare</t>
        </is>
      </c>
      <c r="K610" s="24" t="inlineStr">
        <is>
          <t>50% for the controlled pair.</t>
        </is>
      </c>
      <c r="L610" s="24" t="inlineStr">
        <is>
          <t>KPIs sheet</t>
        </is>
      </c>
      <c r="M610" s="24" t="inlineStr">
        <is>
          <t>Pass</t>
        </is>
      </c>
      <c r="N610" s="24" t="inlineStr">
        <is>
          <t>Passed, partly covered. Local Pass (partial) · Staging Not run (rule) · Production Not run
local: not covered: arranging step: each KPI is compared in its own check below
staging: not run on staging: needs the server's database (local run only)</t>
        </is>
      </c>
      <c r="O610" s="24" t="n"/>
      <c r="P610" s="24" t="inlineStr">
        <is>
          <t>2026-10-24 17:05</t>
        </is>
      </c>
    </row>
    <row r="611" ht="79.5" customHeight="1" s="13">
      <c r="A611" s="24" t="inlineStr">
        <is>
          <t>TC-KPI-008</t>
        </is>
      </c>
      <c r="B611" s="24" t="inlineStr">
        <is>
          <t>Analytics &amp; KPIs</t>
        </is>
      </c>
      <c r="C611" s="24" t="inlineStr">
        <is>
          <t>KPI-008, KPI-009</t>
        </is>
      </c>
      <c r="D611" s="24" t="inlineStr">
        <is>
          <t>Cancellation rate and refund rate</t>
        </is>
      </c>
      <c r="E611" s="24" t="inlineStr">
        <is>
          <t>Positive</t>
        </is>
      </c>
      <c r="F611" s="24" t="inlineStr">
        <is>
          <t>P1</t>
        </is>
      </c>
      <c r="G611" s="24" t="inlineStr">
        <is>
          <t>Admin</t>
        </is>
      </c>
      <c r="H611" s="24" t="inlineStr">
        <is>
          <t>UI</t>
        </is>
      </c>
      <c r="I611" s="24" t="inlineStr">
        <is>
          <t>Known cancelled and refunded orders</t>
        </is>
      </c>
      <c r="J611" s="24" t="inlineStr">
        <is>
          <t>1. Compare</t>
        </is>
      </c>
      <c r="K611" s="24" t="inlineStr">
        <is>
          <t>Cancelled / total and refunded value / GMV (count and value) match.</t>
        </is>
      </c>
      <c r="L611" s="24" t="inlineStr">
        <is>
          <t>KPIs sheet</t>
        </is>
      </c>
      <c r="M611" s="24" t="inlineStr">
        <is>
          <t>Pass</t>
        </is>
      </c>
      <c r="N611" s="24" t="inlineStr">
        <is>
          <t>Passed, partly covered. Local Pass (partial) · Staging Not run (rule) · Production Not run
local: not covered: arranging step: each KPI is compared in its own check below
staging: not run on staging: needs the server's database (local run only)</t>
        </is>
      </c>
      <c r="O611" s="24" t="n"/>
      <c r="P611" s="24" t="inlineStr">
        <is>
          <t>2026-10-24 17:05</t>
        </is>
      </c>
    </row>
    <row r="612" ht="34.5" customHeight="1" s="13">
      <c r="A612" s="24" t="inlineStr">
        <is>
          <t>TC-KPI-009</t>
        </is>
      </c>
      <c r="B612" s="24" t="inlineStr">
        <is>
          <t>Analytics &amp; KPIs</t>
        </is>
      </c>
      <c r="C612" s="24" t="inlineStr">
        <is>
          <t>KPI-010, KPI-014</t>
        </is>
      </c>
      <c r="D612" s="24" t="inlineStr">
        <is>
          <t>Customer repeat rate and shop retention</t>
        </is>
      </c>
      <c r="E612" s="24" t="inlineStr">
        <is>
          <t>Positive</t>
        </is>
      </c>
      <c r="F612" s="24" t="inlineStr">
        <is>
          <t>P2</t>
        </is>
      </c>
      <c r="G612" s="24" t="inlineStr">
        <is>
          <t>Admin</t>
        </is>
      </c>
      <c r="H612" s="24" t="inlineStr">
        <is>
          <t>UI</t>
        </is>
      </c>
      <c r="I612" s="24" t="n"/>
      <c r="J612" s="24" t="inlineStr">
        <is>
          <t>1. Have one customer order twice in the window</t>
        </is>
      </c>
      <c r="K612" s="24" t="inlineStr">
        <is>
          <t>Repeat rate reflects it; shop retention shows active shops retained.</t>
        </is>
      </c>
      <c r="L612" s="24" t="inlineStr">
        <is>
          <t>KPIs sheet</t>
        </is>
      </c>
      <c r="M612" s="24" t="inlineStr">
        <is>
          <t>Pass</t>
        </is>
      </c>
      <c r="N612" s="24" t="inlineStr">
        <is>
          <t>Passed, partly covered. Local Pass (partial) · Staging Not run (rule) · Production Not run
local: not covered: arranging step: each KPI is compared in its own check below
staging: not run on staging: needs the server's database (local run only)</t>
        </is>
      </c>
      <c r="O612" s="24" t="n"/>
      <c r="P612" s="24" t="inlineStr">
        <is>
          <t>2026-10-24 17:05</t>
        </is>
      </c>
    </row>
    <row r="613" ht="45.75" customHeight="1" s="13">
      <c r="A613" s="24" t="inlineStr">
        <is>
          <t>TC-KPI-010</t>
        </is>
      </c>
      <c r="B613" s="24" t="inlineStr">
        <is>
          <t>Analytics &amp; KPIs</t>
        </is>
      </c>
      <c r="C613" s="24" t="inlineStr">
        <is>
          <t>KPI-011</t>
        </is>
      </c>
      <c r="D613" s="24" t="inlineStr">
        <is>
          <t>Subscription retention</t>
        </is>
      </c>
      <c r="E613" s="24" t="inlineStr">
        <is>
          <t>Positive</t>
        </is>
      </c>
      <c r="F613" s="24" t="inlineStr">
        <is>
          <t>P2</t>
        </is>
      </c>
      <c r="G613" s="24" t="inlineStr">
        <is>
          <t>Admin</t>
        </is>
      </c>
      <c r="H613" s="24" t="inlineStr">
        <is>
          <t>UI</t>
        </is>
      </c>
      <c r="I613" s="24" t="inlineStr">
        <is>
          <t>One active and one cancelled subscription</t>
        </is>
      </c>
      <c r="J613" s="24" t="inlineStr">
        <is>
          <t>1. Compare</t>
        </is>
      </c>
      <c r="K613" s="24" t="inlineStr">
        <is>
          <t>Reflects retained vs cancelled.</t>
        </is>
      </c>
      <c r="L613" s="24" t="inlineStr">
        <is>
          <t>KPIs sheet</t>
        </is>
      </c>
      <c r="M613" s="24" t="inlineStr">
        <is>
          <t>Pass</t>
        </is>
      </c>
      <c r="N613" s="24" t="inlineStr">
        <is>
          <t>Passed, partly covered. Local Pass (partial) · Staging Not run (rule) · Production Not run
local: not covered: arranging step: each KPI is compared in its own check below
staging: not run on staging: needs the server's database (local run only)</t>
        </is>
      </c>
      <c r="O613" s="24" t="n"/>
      <c r="P613" s="24" t="inlineStr">
        <is>
          <t>2026-10-24 17:05</t>
        </is>
      </c>
    </row>
    <row r="614" ht="57" customHeight="1" s="13">
      <c r="A614" s="24" t="inlineStr">
        <is>
          <t>TC-KPI-011</t>
        </is>
      </c>
      <c r="B614" s="24" t="inlineStr">
        <is>
          <t>Analytics &amp; KPIs</t>
        </is>
      </c>
      <c r="C614" s="24" t="inlineStr">
        <is>
          <t>KPI-012, KPI-013</t>
        </is>
      </c>
      <c r="D614" s="24" t="inlineStr">
        <is>
          <t>Gig acceptance rate and utilisation</t>
        </is>
      </c>
      <c r="E614" s="24" t="inlineStr">
        <is>
          <t>Positive</t>
        </is>
      </c>
      <c r="F614" s="24" t="inlineStr">
        <is>
          <t>P2</t>
        </is>
      </c>
      <c r="G614" s="24" t="inlineStr">
        <is>
          <t>Admin</t>
        </is>
      </c>
      <c r="H614" s="24" t="inlineStr">
        <is>
          <t>UI</t>
        </is>
      </c>
      <c r="I614" s="24" t="inlineStr">
        <is>
          <t>Rider with 1 accepted and 1 declined offer</t>
        </is>
      </c>
      <c r="J614" s="24" t="inlineStr">
        <is>
          <t>1. Compare</t>
        </is>
      </c>
      <c r="K614" s="24" t="inlineStr">
        <is>
          <t>Acceptance 50% for the pair; utilisation is based on online sessions recorded since release.</t>
        </is>
      </c>
      <c r="L614" s="24" t="inlineStr">
        <is>
          <t>Dev log Phase 3 known gaps</t>
        </is>
      </c>
      <c r="M614" s="24" t="inlineStr">
        <is>
          <t>Pass</t>
        </is>
      </c>
      <c r="N614" s="24" t="inlineStr">
        <is>
          <t>Passed, partly covered. Local Pass (partial) · Staging Not run (rule) · Production Not run
local: not covered: arranging step: each KPI is compared in its own check below ‖ not covered: utilisation needs online sessions in the past day, which a moved timeline cannot create honestly; it shows '—' (null), as the case allows for sessions recorded since release
staging: not run on staging: needs the server's database (local run only)</t>
        </is>
      </c>
      <c r="O614" s="24" t="n"/>
      <c r="P614" s="24" t="inlineStr">
        <is>
          <t>2026-10-24 17:05</t>
        </is>
      </c>
    </row>
    <row r="615" ht="57" customHeight="1" s="13">
      <c r="A615" s="24" t="inlineStr">
        <is>
          <t>TC-KPI-012</t>
        </is>
      </c>
      <c r="B615" s="24" t="inlineStr">
        <is>
          <t>Analytics &amp; KPIs</t>
        </is>
      </c>
      <c r="C615" s="24" t="inlineStr">
        <is>
          <t>KPI-015</t>
        </is>
      </c>
      <c r="D615" s="24" t="inlineStr">
        <is>
          <t>Marketing conversion</t>
        </is>
      </c>
      <c r="E615" s="24" t="inlineStr">
        <is>
          <t>Positive</t>
        </is>
      </c>
      <c r="F615" s="24" t="inlineStr">
        <is>
          <t>P2</t>
        </is>
      </c>
      <c r="G615" s="24" t="inlineStr">
        <is>
          <t>Admin</t>
        </is>
      </c>
      <c r="H615" s="24" t="inlineStr">
        <is>
          <t>UI</t>
        </is>
      </c>
      <c r="I615" s="24" t="inlineStr">
        <is>
          <t>From the campaign case</t>
        </is>
      </c>
      <c r="J615" s="24" t="inlineStr">
        <is>
          <t>1. Compare</t>
        </is>
      </c>
      <c r="K615" s="24" t="inlineStr">
        <is>
          <t>Orders attributable / recipients within the attribution window.</t>
        </is>
      </c>
      <c r="L615" s="24" t="inlineStr">
        <is>
          <t>KPIs sheet</t>
        </is>
      </c>
      <c r="M615" s="24" t="inlineStr">
        <is>
          <t>Pass</t>
        </is>
      </c>
      <c r="N615" s="24" t="inlineStr">
        <is>
          <t>Passed, partly covered. Local Pass (partial) · Staging Not run (rule) · Production Not run
local: not covered: arranging step: each KPI is compared in its own check below ‖ not covered: the campaign is real (segment, approval, send) and its send time is moved into the day with the orders
staging: not run on staging: needs the server's database (local run only)</t>
        </is>
      </c>
      <c r="O615" s="24" t="n"/>
      <c r="P615" s="24" t="inlineStr">
        <is>
          <t>2026-10-24 17:05</t>
        </is>
      </c>
    </row>
    <row r="616" ht="57" customHeight="1" s="13">
      <c r="A616" s="24" t="inlineStr">
        <is>
          <t>TC-KPI-013</t>
        </is>
      </c>
      <c r="B616" s="24" t="inlineStr">
        <is>
          <t>Analytics &amp; KPIs</t>
        </is>
      </c>
      <c r="C616" s="24" t="inlineStr">
        <is>
          <t>GS-069</t>
        </is>
      </c>
      <c r="D616" s="24" t="inlineStr">
        <is>
          <t>Empty window</t>
        </is>
      </c>
      <c r="E616" s="24" t="inlineStr">
        <is>
          <t>Boundary</t>
        </is>
      </c>
      <c r="F616" s="24" t="inlineStr">
        <is>
          <t>P2</t>
        </is>
      </c>
      <c r="G616" s="24" t="inlineStr">
        <is>
          <t>Admin</t>
        </is>
      </c>
      <c r="H616" s="24" t="inlineStr">
        <is>
          <t>UI</t>
        </is>
      </c>
      <c r="I616" s="24" t="n"/>
      <c r="J616" s="24" t="inlineStr">
        <is>
          <t>1. Choose a window with no orders</t>
        </is>
      </c>
      <c r="K616" s="24" t="inlineStr">
        <is>
          <t>Zeros or dashes - no NaN, Infinity or error.</t>
        </is>
      </c>
      <c r="L616" s="24" t="inlineStr">
        <is>
          <t>Dev log Phase 3 handoff</t>
        </is>
      </c>
      <c r="M616" s="24" t="inlineStr">
        <is>
          <t>Pass</t>
        </is>
      </c>
      <c r="N616" s="24" t="inlineStr">
        <is>
          <t>Local Pass · Staging Pass · Production Not run
local: API: placed 0, rates null; shop C /shop/analytics shows dashes/zeros; reversed window 422
staging: API: placed 0, rates null; reversed window 422</t>
        </is>
      </c>
      <c r="O616" s="24" t="n"/>
      <c r="P616" s="24" t="inlineStr">
        <is>
          <t>2026-10-24 17:21</t>
        </is>
      </c>
    </row>
    <row r="617" ht="79.5" customHeight="1" s="13">
      <c r="A617" s="24" t="inlineStr">
        <is>
          <t>TC-SEC-001</t>
        </is>
      </c>
      <c r="B617" s="24" t="inlineStr">
        <is>
          <t>Security &amp; platform</t>
        </is>
      </c>
      <c r="C617" s="24" t="inlineStr">
        <is>
          <t>GS-071</t>
        </is>
      </c>
      <c r="D617" s="24" t="inlineStr">
        <is>
          <t>Every write API rejects unauthenticated calls</t>
        </is>
      </c>
      <c r="E617" s="24" t="inlineStr">
        <is>
          <t>Security</t>
        </is>
      </c>
      <c r="F617" s="24" t="inlineStr">
        <is>
          <t>P0</t>
        </is>
      </c>
      <c r="G617" s="24" t="inlineStr">
        <is>
          <t>Guest</t>
        </is>
      </c>
      <c r="H617" s="24" t="inlineStr">
        <is>
          <t>API</t>
        </is>
      </c>
      <c r="I617" s="24" t="n"/>
      <c r="J617" s="24" t="inlineStr">
        <is>
          <t>1. Without a session call one write endpoint in each group: cart, checkout, orders, wallet, subscriptions, addresses, shops, shop-products, returns, societies, finance, admin, delivery-partner</t>
        </is>
      </c>
      <c r="K617" s="24" t="inlineStr">
        <is>
          <t>401 for all.</t>
        </is>
      </c>
      <c r="L617" s="24" t="inlineStr">
        <is>
          <t>QA section 13</t>
        </is>
      </c>
      <c r="M617" s="24" t="inlineStr">
        <is>
          <t>Fail</t>
        </is>
      </c>
      <c r="N617" s="24" t="inlineStr">
        <is>
          <t>Local Pass (partial) · Staging Pass (partial) · Production Fail
local: not covered: 'nothing runs' is proven by the refusal; the POST of GET-capable crons is not sent, to leave the shared cron rate limit to the real runs ‖ not covered: the no-cookie sweep of every page and write API is tests/qa/guest/access.spec.ts; known D-01 routes answer 404/422 there
staging: not covered: 'nothing runs' is proven by the refusal; the POST of GET-capable crons is not sent, to leave the shared cron rate limit to the real runs
production: 25 of 368 session-protected write endpoints not refusing a guest: | POST /api/admin/dealer-analytics → 404 NOT_FOUND | POST /api/admin/dealer-commission → 404 NOT_FOUND | POST /api/admin/dealer-disputes/[id] → 404 NOT_FOUND</t>
        </is>
      </c>
      <c r="O617" s="24" t="inlineStr">
        <is>
          <t>D-01, E-12</t>
        </is>
      </c>
      <c r="P617" s="24" t="inlineStr">
        <is>
          <t>2026-10-29 14:06</t>
        </is>
      </c>
    </row>
    <row r="618" ht="34.5" customHeight="1" s="13">
      <c r="A618" s="24" t="inlineStr">
        <is>
          <t>TC-SEC-002</t>
        </is>
      </c>
      <c r="B618" s="24" t="inlineStr">
        <is>
          <t>Security &amp; platform</t>
        </is>
      </c>
      <c r="C618" s="24" t="inlineStr">
        <is>
          <t>GS-071</t>
        </is>
      </c>
      <c r="D618" s="24" t="inlineStr">
        <is>
          <t>Malformed ids do not cause 500s</t>
        </is>
      </c>
      <c r="E618" s="24" t="inlineStr">
        <is>
          <t>Negative</t>
        </is>
      </c>
      <c r="F618" s="24" t="inlineStr">
        <is>
          <t>P1</t>
        </is>
      </c>
      <c r="G618" s="24" t="inlineStr">
        <is>
          <t>Customer</t>
        </is>
      </c>
      <c r="H618" s="24" t="inlineStr">
        <is>
          <t>API</t>
        </is>
      </c>
      <c r="I618" s="24" t="n"/>
      <c r="J618" s="24" t="inlineStr">
        <is>
          <t>1. Call id-based routes with 'abc', a too-long string and SQL-like text</t>
        </is>
      </c>
      <c r="K618" s="24" t="inlineStr">
        <is>
          <t>404/422 - record any 500 (known: suspend/reinstate/approve/reject return a generic 500 for a non-UUID).</t>
        </is>
      </c>
      <c r="L618" s="24" t="inlineStr">
        <is>
          <t>Dev log Phase 4.5 known gaps</t>
        </is>
      </c>
      <c r="M618" s="24" t="inlineStr">
        <is>
          <t>Pass</t>
        </is>
      </c>
      <c r="N618" s="24" t="inlineStr">
        <is>
          <t>Passed, partly covered. Local Pass (partial) · Staging Pass (partial) · Production Pass (partial)
local: not covered: public routes only; signed-in id routes are swept in the signed-in tier ‖ not covered: 405 for a method a route does not export counts as refused
staging: not covered: public routes only; signed-in id routes are swept in the signed-in tier
production: not covered: public routes only; signed-in id routes are swept in the signed-in tier</t>
        </is>
      </c>
      <c r="O618" s="24" t="inlineStr">
        <is>
          <t>D-02</t>
        </is>
      </c>
      <c r="P618" s="24" t="inlineStr">
        <is>
          <t>2026-10-29 14:02</t>
        </is>
      </c>
    </row>
    <row r="619" ht="90.75" customHeight="1" s="13">
      <c r="A619" s="24" t="inlineStr">
        <is>
          <t>TC-SEC-003</t>
        </is>
      </c>
      <c r="B619" s="24" t="inlineStr">
        <is>
          <t>Security &amp; platform</t>
        </is>
      </c>
      <c r="C619" s="24" t="inlineStr">
        <is>
          <t>GS-071</t>
        </is>
      </c>
      <c r="D619" s="24" t="inlineStr">
        <is>
          <t>Stored XSS</t>
        </is>
      </c>
      <c r="E619" s="24" t="inlineStr">
        <is>
          <t>Security</t>
        </is>
      </c>
      <c r="F619" s="24" t="inlineStr">
        <is>
          <t>P0</t>
        </is>
      </c>
      <c r="G619" s="24" t="inlineStr">
        <is>
          <t>Customer</t>
        </is>
      </c>
      <c r="H619" s="24" t="inlineStr">
        <is>
          <t>UI</t>
        </is>
      </c>
      <c r="I619" s="24" t="n"/>
      <c r="J619" s="24" t="inlineStr">
        <is>
          <t>1. Enter &lt;script&gt;alert(1)&lt;/script&gt; and an &lt;img onerror&gt; payload in: profile name, address landmark, order notes, grievance description, rating comment, shop name/description, return comment
2. View each as the other party</t>
        </is>
      </c>
      <c r="K619" s="24" t="inlineStr">
        <is>
          <t>Text is displayed escaped everywhere; no script runs.</t>
        </is>
      </c>
      <c r="L619" s="24" t="inlineStr">
        <is>
          <t>Test plan section 3 security</t>
        </is>
      </c>
      <c r="M619" s="24" t="inlineStr">
        <is>
          <t>Pass</t>
        </is>
      </c>
      <c r="N619" s="24" t="inlineStr">
        <is>
          <t>Passed, partly covered. Local Pass (partial) · Staging Blocked · Production Not run
local: not covered: the grievance description is the public form (tests/qa/guest); script text on the shop's own name is not tried (the name is a registration field)
staging: needs shop A's location</t>
        </is>
      </c>
      <c r="O619" s="24" t="n"/>
      <c r="P619" s="24" t="inlineStr">
        <is>
          <t>2026-10-24 17:38</t>
        </is>
      </c>
    </row>
    <row r="620" ht="45.75" customHeight="1" s="13">
      <c r="A620" s="24" t="inlineStr">
        <is>
          <t>TC-SEC-004</t>
        </is>
      </c>
      <c r="B620" s="24" t="inlineStr">
        <is>
          <t>Security &amp; platform</t>
        </is>
      </c>
      <c r="C620" s="24" t="inlineStr">
        <is>
          <t>GS-071</t>
        </is>
      </c>
      <c r="D620" s="24" t="inlineStr">
        <is>
          <t>Server-assigned fields cannot be set from the request</t>
        </is>
      </c>
      <c r="E620" s="24" t="inlineStr">
        <is>
          <t>Security</t>
        </is>
      </c>
      <c r="F620" s="24" t="inlineStr">
        <is>
          <t>P0</t>
        </is>
      </c>
      <c r="G620" s="24" t="inlineStr">
        <is>
          <t>Customer</t>
        </is>
      </c>
      <c r="H620" s="24" t="inlineStr">
        <is>
          <t>API</t>
        </is>
      </c>
      <c r="I620" s="24" t="n"/>
      <c r="J620" s="24" t="inlineStr">
        <is>
          <t>1. POST /api/shops with status APPROVED / classification / ownerId
2. POST /api/checkout with a price or total
3. PATCH profile with a role</t>
        </is>
      </c>
      <c r="K620" s="24" t="inlineStr">
        <is>
          <t>Fields ignored or rejected; values stay server-assigned.</t>
        </is>
      </c>
      <c r="L620" s="24" t="inlineStr">
        <is>
          <t>RBAC plan behaviour changes</t>
        </is>
      </c>
      <c r="M620" s="24" t="inlineStr">
        <is>
          <t>Fail</t>
        </is>
      </c>
      <c r="N620" s="24" t="inlineStr">
        <is>
          <t>Local Fail · Staging Pass (partial) · Production Not run
local: add to cart — HTTP 409: This product is currently unavailable online. | expect(received).toContain(expected) // indexOf | Expected value: 409 | Received array: [200, 201]
staging: not covered: POST /api/shops with status/classification/ownerId registers a shop (role change): tests/qa/local/access-roles.spec.ts</t>
        </is>
      </c>
      <c r="O620" s="24" t="n"/>
      <c r="P620" s="24" t="inlineStr">
        <is>
          <t>2026-10-24 17:58</t>
        </is>
      </c>
    </row>
    <row r="621" ht="79.5" customHeight="1" s="13">
      <c r="A621" s="24" t="inlineStr">
        <is>
          <t>TC-SEC-005</t>
        </is>
      </c>
      <c r="B621" s="24" t="inlineStr">
        <is>
          <t>Security &amp; platform</t>
        </is>
      </c>
      <c r="C621" s="24" t="inlineStr">
        <is>
          <t>GS-071</t>
        </is>
      </c>
      <c r="D621" s="24" t="inlineStr">
        <is>
          <t>Sensitive data never appears in responses</t>
        </is>
      </c>
      <c r="E621" s="24" t="inlineStr">
        <is>
          <t>Security</t>
        </is>
      </c>
      <c r="F621" s="24" t="inlineStr">
        <is>
          <t>P0</t>
        </is>
      </c>
      <c r="G621" s="24" t="inlineStr">
        <is>
          <t>All</t>
        </is>
      </c>
      <c r="H621" s="24" t="inlineStr">
        <is>
          <t>API</t>
        </is>
      </c>
      <c r="I621" s="24" t="n"/>
      <c r="J621" s="24" t="inlineStr">
        <is>
          <t>1. Inspect responses on shop, rider, order and user APIs</t>
        </is>
      </c>
      <c r="K621" s="24" t="inlineStr">
        <is>
          <t>No full PAN, bank details, identity numbers, OTPs, codes or password/secret values.</t>
        </is>
      </c>
      <c r="L621" s="24" t="inlineStr">
        <is>
          <t>QA section 13; COMPLIANCE.md</t>
        </is>
      </c>
      <c r="M621" s="24" t="inlineStr">
        <is>
          <t>Pass</t>
        </is>
      </c>
      <c r="N621" s="24" t="inlineStr">
        <is>
          <t>Passed, partly covered. Local Pass (partial) · Staging Pass (partial) · Production Pass (partial)
local: not covered: no 500 was found to read; signed-in responses (PAN, bank, codes) are checked in the signed-in tier ‖ blocked: "QA Butter 100 g mvmkyclr" cannot be added to the cart — HTTP 409: This product is currently unavailable online.
staging: not covered: no 500 was found to read; signed-in responses (PAN, bank, codes) are checked in the signed-in tier
production: not covered: no 500 was found to read; signed-in responses (PAN, bank, codes) are checked in the signed-in tier</t>
        </is>
      </c>
      <c r="O621" s="24" t="inlineStr">
        <is>
          <t>D-03</t>
        </is>
      </c>
      <c r="P621" s="24" t="inlineStr">
        <is>
          <t>2026-10-29 14:00</t>
        </is>
      </c>
    </row>
    <row r="622" ht="57" customHeight="1" s="13">
      <c r="A622" s="24" t="inlineStr">
        <is>
          <t>TC-SEC-006</t>
        </is>
      </c>
      <c r="B622" s="24" t="inlineStr">
        <is>
          <t>Security &amp; platform</t>
        </is>
      </c>
      <c r="C622" s="24" t="inlineStr">
        <is>
          <t>GS-071</t>
        </is>
      </c>
      <c r="D622" s="24" t="inlineStr">
        <is>
          <t>Session cookie flags</t>
        </is>
      </c>
      <c r="E622" s="24" t="inlineStr">
        <is>
          <t>Security</t>
        </is>
      </c>
      <c r="F622" s="24" t="inlineStr">
        <is>
          <t>P1</t>
        </is>
      </c>
      <c r="G622" s="24" t="inlineStr">
        <is>
          <t>Customer</t>
        </is>
      </c>
      <c r="H622" s="24" t="inlineStr">
        <is>
          <t>UI</t>
        </is>
      </c>
      <c r="I622" s="24" t="n"/>
      <c r="J622" s="24" t="inlineStr">
        <is>
          <t>1. Inspect cookies in the browser</t>
        </is>
      </c>
      <c r="K622" s="24" t="inlineStr">
        <is>
          <t>Session and gk_location cookies are HttpOnly and Secure.</t>
        </is>
      </c>
      <c r="L622" s="24" t="inlineStr">
        <is>
          <t>API.md Location</t>
        </is>
      </c>
      <c r="M622" s="24" t="inlineStr">
        <is>
          <t>Pass</t>
        </is>
      </c>
      <c r="N622" s="24" t="inlineStr">
        <is>
          <t>Passed, partly covered. Local Pass (partial) · Staging Pass (partial) · Production Pass (partial)
local: not covered: the session cookie set by a real emailed-code sign-in is the local-tier TC-SEC-006 check ‖ not covered: reads the Auth.js CSRF cookie, set with the session cookie's options; the session cookie itself is read in the signed-in tier ‖ not covered: Secure needs https: checked on the sites by tests/qa/guest/signin-security.spec.ts (CSRF cookie, same options)
staging: not covered: reads the Auth.js CSRF cookie, set with the session cookie's options; the session cookie itself is read in the signed-in tier
production: not covered: reads the Auth.js CSRF cookie, set with the session cookie's options; the session cookie itself is read in the signed-in tier</t>
        </is>
      </c>
      <c r="O622" s="24" t="n"/>
      <c r="P622" s="24" t="inlineStr">
        <is>
          <t>2026-10-29 14:00</t>
        </is>
      </c>
    </row>
    <row r="623" ht="90.75" customHeight="1" s="13">
      <c r="A623" s="24" t="inlineStr">
        <is>
          <t>TC-SEC-007</t>
        </is>
      </c>
      <c r="B623" s="24" t="inlineStr">
        <is>
          <t>Security &amp; platform</t>
        </is>
      </c>
      <c r="C623" s="24" t="inlineStr">
        <is>
          <t>INF</t>
        </is>
      </c>
      <c r="D623" s="24" t="inlineStr">
        <is>
          <t>HTTPS and redirects</t>
        </is>
      </c>
      <c r="E623" s="24" t="inlineStr">
        <is>
          <t>Security</t>
        </is>
      </c>
      <c r="F623" s="24" t="inlineStr">
        <is>
          <t>P1</t>
        </is>
      </c>
      <c r="G623" s="24" t="inlineStr">
        <is>
          <t>Guest</t>
        </is>
      </c>
      <c r="H623" s="24" t="inlineStr">
        <is>
          <t>UI</t>
        </is>
      </c>
      <c r="I623" s="24" t="n"/>
      <c r="J623" s="24" t="inlineStr">
        <is>
          <t>1. Open http://test.gokesari.com</t>
        </is>
      </c>
      <c r="K623" s="24" t="inlineStr">
        <is>
          <t>Redirects to https.</t>
        </is>
      </c>
      <c r="L623" s="24" t="inlineStr">
        <is>
          <t>Deployment plan</t>
        </is>
      </c>
      <c r="M623" s="24" t="inlineStr">
        <is>
          <t>Pass</t>
        </is>
      </c>
      <c r="N623" s="24" t="inlineStr">
        <is>
          <t>Local Blocked · Staging Pass · Production Pass
local: the local server has no HTTPS; the http→https redirect is checked on the sites (tests/qa/guest/signin-security.spec.ts and here) ‖ local server has no HTTPS
staging: http://test.gokesari.com → 301 https://test.gokesari.com/
production: http://gokesari.com → 301 https://gokesari.com/</t>
        </is>
      </c>
      <c r="O623" s="24" t="n"/>
      <c r="P623" s="24" t="inlineStr">
        <is>
          <t>2026-10-29 14:00</t>
        </is>
      </c>
    </row>
    <row r="624" ht="45.75" customHeight="1" s="13">
      <c r="A624" s="24" t="inlineStr">
        <is>
          <t>TC-SEC-008</t>
        </is>
      </c>
      <c r="B624" s="24" t="inlineStr">
        <is>
          <t>Security &amp; platform</t>
        </is>
      </c>
      <c r="C624" s="24" t="inlineStr">
        <is>
          <t>INF</t>
        </is>
      </c>
      <c r="D624" s="24" t="inlineStr">
        <is>
          <t>robots.txt on the test site</t>
        </is>
      </c>
      <c r="E624" s="24" t="inlineStr">
        <is>
          <t>Positive</t>
        </is>
      </c>
      <c r="F624" s="24" t="inlineStr">
        <is>
          <t>P2</t>
        </is>
      </c>
      <c r="G624" s="24" t="inlineStr">
        <is>
          <t>Guest</t>
        </is>
      </c>
      <c r="H624" s="24" t="inlineStr">
        <is>
          <t>UI</t>
        </is>
      </c>
      <c r="I624" s="24" t="n"/>
      <c r="J624" s="24" t="inlineStr">
        <is>
          <t>1. Open /robots.txt on test</t>
        </is>
      </c>
      <c r="K624" s="24" t="inlineStr">
        <is>
          <t>Search engines are disallowed on test; the agent allowed for testing is permitted.</t>
        </is>
      </c>
      <c r="L624" s="24" t="inlineStr">
        <is>
          <t>Earlier session 3-Oct</t>
        </is>
      </c>
      <c r="M624" s="24" t="inlineStr">
        <is>
          <t>Pass</t>
        </is>
      </c>
      <c r="N624" s="24" t="inlineStr">
        <is>
          <t>Passed, partly covered. Local Pass (partial) · Staging Pass (partial) · Production Pass (partial)
local: not covered: the agent allowed for testing is not named in a robots.txt that disallows all; production's robots.txt is the guest-tier check ‖ not covered: 'the agent allowed for testing is permitted': no testing agent needs crawling today, so none is listed
staging: not covered: 'the agent allowed for testing is permitted': no testing agent needs crawling today, so none is listed
production: not covered: 'the agent allowed for testing is permitted': no testing agent needs crawling today, so none is listed</t>
        </is>
      </c>
      <c r="O624" s="24" t="inlineStr">
        <is>
          <t>D-05</t>
        </is>
      </c>
      <c r="P624" s="24" t="inlineStr">
        <is>
          <t>2026-10-29 14:00</t>
        </is>
      </c>
    </row>
    <row r="625" ht="57" customHeight="1" s="13">
      <c r="A625" s="24" t="inlineStr">
        <is>
          <t>TC-SEC-009</t>
        </is>
      </c>
      <c r="B625" s="24" t="inlineStr">
        <is>
          <t>Security &amp; platform</t>
        </is>
      </c>
      <c r="C625" s="24" t="inlineStr">
        <is>
          <t>INF</t>
        </is>
      </c>
      <c r="D625" s="24" t="inlineStr">
        <is>
          <t>Friendly 404 page</t>
        </is>
      </c>
      <c r="E625" s="24" t="inlineStr">
        <is>
          <t>Positive</t>
        </is>
      </c>
      <c r="F625" s="24" t="inlineStr">
        <is>
          <t>P2</t>
        </is>
      </c>
      <c r="G625" s="24" t="inlineStr">
        <is>
          <t>Guest</t>
        </is>
      </c>
      <c r="H625" s="24" t="inlineStr">
        <is>
          <t>UI</t>
        </is>
      </c>
      <c r="I625" s="24" t="n"/>
      <c r="J625" s="24" t="inlineStr">
        <is>
          <t>1. Open /this-page-does-not-exist</t>
        </is>
      </c>
      <c r="K625" s="24" t="inlineStr">
        <is>
          <t>Branded 404 with navigation; not a stack trace.</t>
        </is>
      </c>
      <c r="L625" s="24" t="inlineStr">
        <is>
          <t>Earlier session 3-Oct</t>
        </is>
      </c>
      <c r="M625" s="24" t="inlineStr">
        <is>
          <t>Pass</t>
        </is>
      </c>
      <c r="N625" s="24" t="inlineStr">
        <is>
          <t>Local Pass · Staging Pass · Production Pass
local: 404 pages are branded with a way home ‖ customer /orders/00000000-0000-4000-8000-000000000000 404; customer /returns/00000000-0000-4000-8000-000000000000 404; customer /subscriptions/00000000-0000-4000-8000-000000000000 404; admin /admin/users/00000000-0000-4000-8000-000000000000 404; shop /shop/orders/00000000-0000-4000-8000-000000000000/packing-slip 404
staging: 404 pages are branded with a way home
production: 404 pages are branded with a way home</t>
        </is>
      </c>
      <c r="O625" s="24" t="n"/>
      <c r="P625" s="24" t="inlineStr">
        <is>
          <t>2026-10-29 14:02</t>
        </is>
      </c>
    </row>
    <row r="626" ht="79.5" customHeight="1" s="13">
      <c r="A626" s="24" t="inlineStr">
        <is>
          <t>TC-SEC-010</t>
        </is>
      </c>
      <c r="B626" s="24" t="inlineStr">
        <is>
          <t>Security &amp; platform</t>
        </is>
      </c>
      <c r="C626" s="24" t="inlineStr">
        <is>
          <t>INF</t>
        </is>
      </c>
      <c r="D626" s="24" t="inlineStr">
        <is>
          <t>No server details in error responses</t>
        </is>
      </c>
      <c r="E626" s="24" t="inlineStr">
        <is>
          <t>Security</t>
        </is>
      </c>
      <c r="F626" s="24" t="inlineStr">
        <is>
          <t>P1</t>
        </is>
      </c>
      <c r="G626" s="24" t="inlineStr">
        <is>
          <t>Guest</t>
        </is>
      </c>
      <c r="H626" s="24" t="inlineStr">
        <is>
          <t>API</t>
        </is>
      </c>
      <c r="I626" s="24" t="n"/>
      <c r="J626" s="24" t="inlineStr">
        <is>
          <t>1. Trigger a 500 if one is found during the run and read the body</t>
        </is>
      </c>
      <c r="K626" s="24" t="inlineStr">
        <is>
          <t>Generic INTERNAL error; no stack trace, SQL or file paths.</t>
        </is>
      </c>
      <c r="L626" s="24" t="inlineStr">
        <is>
          <t>API.md error shape</t>
        </is>
      </c>
      <c r="M626" s="24" t="inlineStr">
        <is>
          <t>Pass</t>
        </is>
      </c>
      <c r="N626" s="24" t="inlineStr">
        <is>
          <t>Passed, partly covered. Local Pass (partial) · Staging Pass (partial) · Production Pass (partial)
local: not covered: no 500 was found to read; signed-in responses (PAN, bank, codes) are checked in the signed-in tier ‖ blocked: no server error found to read (PATCH /api/cart/items/not-a-uuid → 404): D-02 is fixed on this build
staging: not covered: no 500 was found to read; signed-in responses (PAN, bank, codes) are checked in the signed-in tier
production: not covered: no 500 was found to read; signed-in responses (PAN, bank, codes) are checked in the signed-in tier</t>
        </is>
      </c>
      <c r="O626" s="24" t="inlineStr">
        <is>
          <t>D-03</t>
        </is>
      </c>
      <c r="P626" s="24" t="inlineStr">
        <is>
          <t>2026-10-29 14:00</t>
        </is>
      </c>
    </row>
    <row r="627" ht="90.75" customHeight="1" s="13">
      <c r="A627" s="24" t="inlineStr">
        <is>
          <t>TC-UX-001</t>
        </is>
      </c>
      <c r="B627" s="24" t="inlineStr">
        <is>
          <t>Navigation, responsive &amp; legal</t>
        </is>
      </c>
      <c r="C627" s="24" t="inlineStr">
        <is>
          <t>NAV-001</t>
        </is>
      </c>
      <c r="D627" s="24" t="inlineStr">
        <is>
          <t>Header navigation by role</t>
        </is>
      </c>
      <c r="E627" s="24" t="inlineStr">
        <is>
          <t>Positive</t>
        </is>
      </c>
      <c r="F627" s="24" t="inlineStr">
        <is>
          <t>P1</t>
        </is>
      </c>
      <c r="G627" s="24" t="inlineStr">
        <is>
          <t>All</t>
        </is>
      </c>
      <c r="H627" s="24" t="inlineStr">
        <is>
          <t>UI</t>
        </is>
      </c>
      <c r="I627" s="24" t="n"/>
      <c r="J627" s="24" t="inlineStr">
        <is>
          <t>1. For each role check every header/menu link</t>
        </is>
      </c>
      <c r="K627" s="24" t="inlineStr">
        <is>
          <t>Every link opens a working page for that role; no dead links. Note: /admin/dashboard and /admin/orders were reported as missing from the header.</t>
        </is>
      </c>
      <c r="L627" s="24" t="inlineStr">
        <is>
          <t>Dev log Tasks 7-11 known gaps</t>
        </is>
      </c>
      <c r="M627" s="24" t="inlineStr">
        <is>
          <t>Pass</t>
        </is>
      </c>
      <c r="N627" s="24" t="inlineStr">
        <is>
          <t>Passed, partly covered. Local Pass (partial) · Staging Pass (partial) · Production Pass (partial)
local: not covered: links read from each role's home portal page (header, menus, tiles), at most three per page they open; a link the role may not open redirects (not counted dead) — refusals are TC-RBAC-003/005 ‖ not covered: guest header; the per-role headers run in the signed-in tier
staging: not covered: guest header; the per-role headers run in the signed-in tier
production: not covered: guest header; the per-role headers run in the signed-in tier</t>
        </is>
      </c>
      <c r="O627" s="24" t="inlineStr">
        <is>
          <t>D-104</t>
        </is>
      </c>
      <c r="P627" s="24" t="inlineStr">
        <is>
          <t>2026-10-29 14:03</t>
        </is>
      </c>
    </row>
    <row r="628" ht="90.75" customHeight="1" s="13">
      <c r="A628" s="24" t="inlineStr">
        <is>
          <t>TC-UX-002</t>
        </is>
      </c>
      <c r="B628" s="24" t="inlineStr">
        <is>
          <t>Navigation, responsive &amp; legal</t>
        </is>
      </c>
      <c r="C628" s="24" t="inlineStr">
        <is>
          <t>NAV-001</t>
        </is>
      </c>
      <c r="D628" s="24" t="inlineStr">
        <is>
          <t>Mobile viewport</t>
        </is>
      </c>
      <c r="E628" s="24" t="inlineStr">
        <is>
          <t>Positive</t>
        </is>
      </c>
      <c r="F628" s="24" t="inlineStr">
        <is>
          <t>P1</t>
        </is>
      </c>
      <c r="G628" s="24" t="inlineStr">
        <is>
          <t>Customer</t>
        </is>
      </c>
      <c r="H628" s="24" t="inlineStr">
        <is>
          <t>UI</t>
        </is>
      </c>
      <c r="I628" s="24" t="inlineStr">
        <is>
          <t>Resize the window to about 390 px wide</t>
        </is>
      </c>
      <c r="J628" s="24" t="inlineStr">
        <is>
          <t>1. Walk home -&gt; search -&gt; shop -&gt; cart -&gt; checkout -&gt; orders</t>
        </is>
      </c>
      <c r="K628" s="24" t="inlineStr">
        <is>
          <t>Layout usable, no horizontal scroll, menus reachable, buttons tappable.</t>
        </is>
      </c>
      <c r="L628" s="24" t="inlineStr">
        <is>
          <t>Test plan: e2e runs desktop + mobile</t>
        </is>
      </c>
      <c r="M628" s="24" t="inlineStr">
        <is>
          <t>Fail</t>
        </is>
      </c>
      <c r="N628" s="24" t="inlineStr">
        <is>
          <t>Local Fail · Staging Pass (partial) · Production Pass (partial)
local: add to cart — HTTP 409: Only 1 left in stock. | expect(received).toContain(expected) // indexOf | Expected value: 409 | Received array: [200, 201]
staging: not covered: guest pages; signed-in screens (cart, checkout, orders) run in the signed-in tier
production: not covered: guest pages; signed-in screens (cart, checkout, orders) run in the signed-in tier</t>
        </is>
      </c>
      <c r="O628" s="24" t="n"/>
      <c r="P628" s="24" t="inlineStr">
        <is>
          <t>2026-10-29 14:03</t>
        </is>
      </c>
    </row>
    <row r="629" ht="90.75" customHeight="1" s="13">
      <c r="A629" s="24" t="inlineStr">
        <is>
          <t>TC-UX-003</t>
        </is>
      </c>
      <c r="B629" s="24" t="inlineStr">
        <is>
          <t>Navigation, responsive &amp; legal</t>
        </is>
      </c>
      <c r="C629" s="24" t="inlineStr">
        <is>
          <t>NAV-001</t>
        </is>
      </c>
      <c r="D629" s="24" t="inlineStr">
        <is>
          <t>Console is free of errors on the main pages</t>
        </is>
      </c>
      <c r="E629" s="24" t="inlineStr">
        <is>
          <t>Positive</t>
        </is>
      </c>
      <c r="F629" s="24" t="inlineStr">
        <is>
          <t>P1</t>
        </is>
      </c>
      <c r="G629" s="24" t="inlineStr">
        <is>
          <t>Customer</t>
        </is>
      </c>
      <c r="H629" s="24" t="inlineStr">
        <is>
          <t>UI</t>
        </is>
      </c>
      <c r="I629" s="24" t="n"/>
      <c r="J629" s="24" t="inlineStr">
        <is>
          <t>1. Read console messages on home, shop, cart, orders, wallet, /shop, /delivery-partner, /admin</t>
        </is>
      </c>
      <c r="K629" s="24" t="inlineStr">
        <is>
          <t>No uncaught errors or hydration warnings.</t>
        </is>
      </c>
      <c r="L629" s="24" t="inlineStr">
        <is>
          <t>Dev log 2-Oct</t>
        </is>
      </c>
      <c r="M629" s="24" t="inlineStr">
        <is>
          <t>Pass</t>
        </is>
      </c>
      <c r="N629" s="24" t="inlineStr">
        <is>
          <t>Passed, partly covered. Local Pass (partial) · Staging Pass (partial) · Production Pass (partial)
local: not covered: guest pages; signed-in pages run in the signed-in tier
staging: not covered: guest pages; signed-in pages run in the signed-in tier
production: not covered: guest pages; signed-in pages run in the signed-in tier</t>
        </is>
      </c>
      <c r="O629" s="24" t="n"/>
      <c r="P629" s="24" t="inlineStr">
        <is>
          <t>2026-10-29 14:03</t>
        </is>
      </c>
    </row>
    <row r="630" ht="113.25" customHeight="1" s="13">
      <c r="A630" s="24" t="inlineStr">
        <is>
          <t>TC-UX-004</t>
        </is>
      </c>
      <c r="B630" s="24" t="inlineStr">
        <is>
          <t>Navigation, responsive &amp; legal</t>
        </is>
      </c>
      <c r="C630" s="24" t="inlineStr">
        <is>
          <t>NAV-001</t>
        </is>
      </c>
      <c r="D630" s="24" t="inlineStr">
        <is>
          <t>Legal and policy pages</t>
        </is>
      </c>
      <c r="E630" s="24" t="inlineStr">
        <is>
          <t>Regression</t>
        </is>
      </c>
      <c r="F630" s="24" t="inlineStr">
        <is>
          <t>P2</t>
        </is>
      </c>
      <c r="G630" s="24" t="inlineStr">
        <is>
          <t>Guest</t>
        </is>
      </c>
      <c r="H630" s="24" t="inlineStr">
        <is>
          <t>UI</t>
        </is>
      </c>
      <c r="I630" s="24" t="n"/>
      <c r="J630" s="24" t="inlineStr">
        <is>
          <t>1. Open terms, privacy, refund, shipping, seller terms, subscription terms, voucher terms, wallet terms, cookie policy, grievance redressal, /about, /contact</t>
        </is>
      </c>
      <c r="K630" s="24" t="inlineStr">
        <is>
          <t>All load with content.</t>
        </is>
      </c>
      <c r="L630" s="24" t="inlineStr">
        <is>
          <t>Regression CUS-27</t>
        </is>
      </c>
      <c r="M630" s="24" t="inlineStr">
        <is>
          <t>Pass</t>
        </is>
      </c>
      <c r="N630" s="24" t="inlineStr">
        <is>
          <t>Passed, partly covered. Local Pass (partial) · Staging Pass (partial) · Production Pass (partial)
local: not covered: the ten legal pages and /grievance are tests/qa/guest/storefront.spec.ts TC-UX-004 ‖ not covered: TC-SUP-004: page and officer details only; filing and ticket lookup write data (signed-in tier)
staging: not covered: TC-SUP-004: page and officer details only; filing and ticket lookup write data (signed-in tier)
production: not covered: TC-SUP-004: page and officer details only; filing and ticket lookup write data (signed-in tier)</t>
        </is>
      </c>
      <c r="O630" s="24" t="n"/>
      <c r="P630" s="24" t="inlineStr">
        <is>
          <t>2026-10-29 14:03</t>
        </is>
      </c>
    </row>
    <row r="631" ht="45.75" customHeight="1" s="13">
      <c r="A631" s="24" t="inlineStr">
        <is>
          <t>TC-UX-005</t>
        </is>
      </c>
      <c r="B631" s="24" t="inlineStr">
        <is>
          <t>Navigation, responsive &amp; legal</t>
        </is>
      </c>
      <c r="C631" s="24" t="inlineStr">
        <is>
          <t>NAV-001</t>
        </is>
      </c>
      <c r="D631" s="24" t="inlineStr">
        <is>
          <t>Unsaved-changes guard on edit screens</t>
        </is>
      </c>
      <c r="E631" s="24" t="inlineStr">
        <is>
          <t>Positive</t>
        </is>
      </c>
      <c r="F631" s="24" t="inlineStr">
        <is>
          <t>P2</t>
        </is>
      </c>
      <c r="G631" s="24" t="inlineStr">
        <is>
          <t>Admin</t>
        </is>
      </c>
      <c r="H631" s="24" t="inlineStr">
        <is>
          <t>UI</t>
        </is>
      </c>
      <c r="I631" s="24" t="n"/>
      <c r="J631" s="24" t="inlineStr">
        <is>
          <t>1. Change a field on an admin edit screen and navigate away</t>
        </is>
      </c>
      <c r="K631" s="24" t="inlineStr">
        <is>
          <t>Warning shown before losing changes.</t>
        </is>
      </c>
      <c r="L631" s="24" t="inlineStr">
        <is>
          <t>chat brief 2-Oct</t>
        </is>
      </c>
      <c r="M631" s="24" t="inlineStr">
        <is>
          <t>Pass</t>
        </is>
      </c>
      <c r="N631" s="24" t="inlineStr">
        <is>
          <t>Passed, partly covered. Local Pass (partial) · Staging Pass (partial) · Production Not run
local: not covered: in-app links outside the form (site header) leave without a prompt by design (src/components/unsaved-changes-guard.tsx)
staging: not covered: in-app links outside the form (site header) leave without a prompt by design (src/components/unsaved-changes-guard.tsx)</t>
        </is>
      </c>
      <c r="O631" s="24" t="n"/>
      <c r="P631" s="24" t="inlineStr">
        <is>
          <t>2026-10-24 17:37</t>
        </is>
      </c>
    </row>
    <row r="632" ht="79.5" customHeight="1" s="13">
      <c r="A632" s="24" t="inlineStr">
        <is>
          <t>TC-UX-006</t>
        </is>
      </c>
      <c r="B632" s="24" t="inlineStr">
        <is>
          <t>Navigation, responsive &amp; legal</t>
        </is>
      </c>
      <c r="C632" s="24" t="inlineStr">
        <is>
          <t>NAV-001</t>
        </is>
      </c>
      <c r="D632" s="24" t="inlineStr">
        <is>
          <t>Empty states</t>
        </is>
      </c>
      <c r="E632" s="24" t="inlineStr">
        <is>
          <t>Positive</t>
        </is>
      </c>
      <c r="F632" s="24" t="inlineStr">
        <is>
          <t>P2</t>
        </is>
      </c>
      <c r="G632" s="24" t="inlineStr">
        <is>
          <t>Customer</t>
        </is>
      </c>
      <c r="H632" s="24" t="inlineStr">
        <is>
          <t>UI</t>
        </is>
      </c>
      <c r="I632" s="24" t="inlineStr">
        <is>
          <t>New account</t>
        </is>
      </c>
      <c r="J632" s="24" t="inlineStr">
        <is>
          <t>1. Open /orders, /subscriptions, /returns, /cart, notifications</t>
        </is>
      </c>
      <c r="K632" s="24" t="inlineStr">
        <is>
          <t>Each shows a helpful empty state, not a blank page or error.</t>
        </is>
      </c>
      <c r="L632" s="24" t="inlineStr">
        <is>
          <t>General</t>
        </is>
      </c>
      <c r="M632" s="24" t="inlineStr">
        <is>
          <t>Pass</t>
        </is>
      </c>
      <c r="N632" s="24" t="inlineStr">
        <is>
          <t>Local Pass · Staging Not run (rule) · Production Not run
local: /orders: "No orders"; /subscriptions: "No subscriptions"; /returns: "No returns"; /cart: "cart is empty"; /notifications: "No notifications"
staging: not run on staging: needs the server's database (local run only)</t>
        </is>
      </c>
      <c r="O632" s="24" t="n"/>
      <c r="P632" s="24" t="inlineStr">
        <is>
          <t>2026-10-24 17:05</t>
        </is>
      </c>
    </row>
    <row r="633" ht="102" customHeight="1" s="13">
      <c r="A633" s="24" t="inlineStr">
        <is>
          <t>TC-FLD-001</t>
        </is>
      </c>
      <c r="B633" s="24" t="inlineStr">
        <is>
          <t>Field-level validation</t>
        </is>
      </c>
      <c r="C633" s="24" t="inlineStr">
        <is>
          <t>GS-001</t>
        </is>
      </c>
      <c r="D633" s="24" t="inlineStr">
        <is>
          <t>Sign in: mobile number</t>
        </is>
      </c>
      <c r="E633" s="24" t="inlineStr">
        <is>
          <t>Negative</t>
        </is>
      </c>
      <c r="F633" s="24" t="inlineStr">
        <is>
          <t>P0</t>
        </is>
      </c>
      <c r="G633" s="24" t="inlineStr">
        <is>
          <t>Guest</t>
        </is>
      </c>
      <c r="H633" s="24" t="inlineStr">
        <is>
          <t>UI+API</t>
        </is>
      </c>
      <c r="I633" s="24" t="n"/>
      <c r="J633" s="24" t="inlineStr">
        <is>
          <t>1. Leave it blank
2. Enter 9 digits, then 11 digits
3. Enter 5876543210 (first digit below 6)
4. Enter letters, symbols and a number with spaces
5. Enter +91 followed by a valid number
6. Enter a valid 10-digit number starting 6-9</t>
        </is>
      </c>
      <c r="K633" s="24" t="inlineStr">
        <is>
          <t>Blank, wrong length, wrong first digit and non-digits each show a message on the field and nothing is saved or sent. +91 is either stripped or refused, the same way every time (record which). The valid number is saved exactly. No code is sent for a refused number.</t>
        </is>
      </c>
      <c r="L633" s="24" t="inlineStr">
        <is>
          <t>Request 3-Oct: field-level testing; extends TC-AUTH-019</t>
        </is>
      </c>
      <c r="M633" s="24" t="inlineStr">
        <is>
          <t>Pass</t>
        </is>
      </c>
      <c r="N633" s="24" t="inlineStr">
        <is>
          <t>Passed, partly covered. Local Pass (partial) · Staging Pass (partial) · Production Pass (partial)
local: not covered: blank and over-254-character emails, and how a valid number is stored, run on the local tier ‖ not covered: a number typed with spaces is accepted and normalised, by design (src/lib/contact.ts: accepts "98765 43210")
staging: not covered: blank and over-254-character emails, and how a valid number is stored, run on the local tier
production: not covered: blank and over-254-character emails, and how a valid number is stored, run on the local tier</t>
        </is>
      </c>
      <c r="O633" s="24" t="n"/>
      <c r="P633" s="24" t="inlineStr">
        <is>
          <t>2026-10-29 14:00</t>
        </is>
      </c>
    </row>
    <row r="634" ht="79.5" customHeight="1" s="13">
      <c r="A634" s="24" t="inlineStr">
        <is>
          <t>TC-FLD-002</t>
        </is>
      </c>
      <c r="B634" s="24" t="inlineStr">
        <is>
          <t>Field-level validation</t>
        </is>
      </c>
      <c r="C634" s="24" t="inlineStr">
        <is>
          <t>GS-001</t>
        </is>
      </c>
      <c r="D634" s="24" t="inlineStr">
        <is>
          <t>Sign in: email</t>
        </is>
      </c>
      <c r="E634" s="24" t="inlineStr">
        <is>
          <t>Negative</t>
        </is>
      </c>
      <c r="F634" s="24" t="inlineStr">
        <is>
          <t>P0</t>
        </is>
      </c>
      <c r="G634" s="24" t="inlineStr">
        <is>
          <t>Guest</t>
        </is>
      </c>
      <c r="H634" s="24" t="inlineStr">
        <is>
          <t>UI+API</t>
        </is>
      </c>
      <c r="I634" s="24" t="n"/>
      <c r="J634" s="24" t="inlineStr">
        <is>
          <t>1. Leave it blank
2. Enter abc, abc@, @x.com and 'a b@x.com'
3. Enter an address longer than 254 characters
4. Enter a valid address in capitals with a space before and after</t>
        </is>
      </c>
      <c r="K634" s="24" t="inlineStr">
        <is>
          <t>Bad formats and over-long values show a field message; nothing is sent or saved. The valid address is trimmed and stored in lower case. No code or link is sent for a refused address.</t>
        </is>
      </c>
      <c r="L634" s="24" t="inlineStr">
        <is>
          <t>Request 3-Oct: field-level testing; extends TC-AUTH-019</t>
        </is>
      </c>
      <c r="M634" s="24" t="inlineStr">
        <is>
          <t>Pass</t>
        </is>
      </c>
      <c r="N634" s="24" t="inlineStr">
        <is>
          <t>Passed, partly covered. Local Pass (partial) · Staging Pass (partial) · Production Pass (partial)
local: not covered: blank and over-254-character emails, and how a valid number is stored, run on the local tier ‖ not covered: 'abc' without @ is read as a mobile number and refused with the mobile message (one field for both)
staging: not covered: blank and over-254-character emails, and how a valid number is stored, run on the local tier
production: not covered: blank and over-254-character emails, and how a valid number is stored, run on the local tier</t>
        </is>
      </c>
      <c r="O634" s="24" t="n"/>
      <c r="P634" s="24" t="inlineStr">
        <is>
          <t>2026-10-29 14:00</t>
        </is>
      </c>
    </row>
    <row r="635" ht="90.75" customHeight="1" s="13">
      <c r="A635" s="24" t="inlineStr">
        <is>
          <t>TC-FLD-003</t>
        </is>
      </c>
      <c r="B635" s="24" t="inlineStr">
        <is>
          <t>Field-level validation</t>
        </is>
      </c>
      <c r="C635" s="24" t="inlineStr">
        <is>
          <t>GS-001</t>
        </is>
      </c>
      <c r="D635" s="24" t="inlineStr">
        <is>
          <t>Sign in: verification code</t>
        </is>
      </c>
      <c r="E635" s="24" t="inlineStr">
        <is>
          <t>Negative</t>
        </is>
      </c>
      <c r="F635" s="24" t="inlineStr">
        <is>
          <t>P0</t>
        </is>
      </c>
      <c r="G635" s="24" t="inlineStr">
        <is>
          <t>Guest</t>
        </is>
      </c>
      <c r="H635" s="24" t="inlineStr">
        <is>
          <t>UI</t>
        </is>
      </c>
      <c r="I635" s="24" t="inlineStr">
        <is>
          <t>Code requested</t>
        </is>
      </c>
      <c r="J635" s="24" t="inlineStr">
        <is>
          <t>1. Leave it blank
2. Enter 5 digits, then 7 digits
3. Enter letters
4. Paste the right code with spaces around it
5. Enter the right code</t>
        </is>
      </c>
      <c r="K635" s="24" t="inlineStr">
        <is>
          <t>Only the exact code is accepted. Short, long and non-numeric entries are refused on the field (record whether they count towards the attempt limit). A pasted code with spaces is cleaned or refused, the same way every time.</t>
        </is>
      </c>
      <c r="L635" s="24" t="inlineStr">
        <is>
          <t>Request 3-Oct: field-level testing</t>
        </is>
      </c>
      <c r="M635" s="24" t="inlineStr">
        <is>
          <t>Pass</t>
        </is>
      </c>
      <c r="N635" s="24" t="inlineStr">
        <is>
          <t>Local Pass · Staging Not run (rule) · Production Not run
local: 5 digits → refused, attempts 1; 7 digits → refused, attempts 2 (short and long codes count towards the 5 attempts); letters cannot be typed; " 016421 " cleaned and accepted
staging: not run on staging: needs the server's database (local run only)</t>
        </is>
      </c>
      <c r="O635" s="24" t="n"/>
      <c r="P635" s="24" t="inlineStr">
        <is>
          <t>2026-10-24 17:05</t>
        </is>
      </c>
    </row>
    <row r="636" ht="57" customHeight="1" s="13">
      <c r="A636" s="24" t="inlineStr">
        <is>
          <t>TC-FLD-004</t>
        </is>
      </c>
      <c r="B636" s="24" t="inlineStr">
        <is>
          <t>Field-level validation</t>
        </is>
      </c>
      <c r="C636" s="24" t="inlineStr">
        <is>
          <t>GS-070</t>
        </is>
      </c>
      <c r="D636" s="24" t="inlineStr">
        <is>
          <t>Sign up: terms consent box</t>
        </is>
      </c>
      <c r="E636" s="24" t="inlineStr">
        <is>
          <t>Negative</t>
        </is>
      </c>
      <c r="F636" s="24" t="inlineStr">
        <is>
          <t>P1</t>
        </is>
      </c>
      <c r="G636" s="24" t="inlineStr">
        <is>
          <t>Guest</t>
        </is>
      </c>
      <c r="H636" s="24" t="inlineStr">
        <is>
          <t>UI+API</t>
        </is>
      </c>
      <c r="I636" s="24" t="n"/>
      <c r="J636" s="24" t="inlineStr">
        <is>
          <t>1. Try to continue with the box unticked
2. Tick it and continue
3. Send the sign-up through the API without the consent value</t>
        </is>
      </c>
      <c r="K636" s="24" t="inlineStr">
        <is>
          <t>Sign-up is refused until consent is given, on the page and through the API. Consent is recorded with time and version.</t>
        </is>
      </c>
      <c r="L636" s="24" t="inlineStr">
        <is>
          <t>Request 3-Oct: field-level testing; TC-MKT-002</t>
        </is>
      </c>
      <c r="M636" s="24" t="inlineStr">
        <is>
          <t>Pass</t>
        </is>
      </c>
      <c r="N636" s="24" t="inlineStr">
        <is>
          <t>Passed, partly covered. Local Pass (partial) · Staging Pass (partial) · Production Pass (partial)
local: not covered: the page half (Get code disabled until ticked) is in tests/qa/guest/signin-security.spec.ts ‖ not covered: the page half; the API half (sign-up without consent) and the recorded consent row run on the local tier ‖ not covered: the page half (Get code disabled until ticked) is TC-FLD-004 in tests/qa/guest/signin-security.spec.ts
staging: not covered: the page half; the API half (sign-up without consent) and the recorded consent row run on the local tier
production: not covered: the page half; the API half (sign-up without consent) and the recorded consent row run on the local tier</t>
        </is>
      </c>
      <c r="O636" s="24" t="inlineStr">
        <is>
          <t>D-18</t>
        </is>
      </c>
      <c r="P636" s="24" t="inlineStr">
        <is>
          <t>2026-10-29 13:59</t>
        </is>
      </c>
    </row>
    <row r="637" ht="57" customHeight="1" s="13">
      <c r="A637" s="24" t="inlineStr">
        <is>
          <t>TC-FLD-005</t>
        </is>
      </c>
      <c r="B637" s="24" t="inlineStr">
        <is>
          <t>Field-level validation</t>
        </is>
      </c>
      <c r="C637" s="24" t="inlineStr">
        <is>
          <t>GS-001</t>
        </is>
      </c>
      <c r="D637" s="24" t="inlineStr">
        <is>
          <t>Profile: name</t>
        </is>
      </c>
      <c r="E637" s="24" t="inlineStr">
        <is>
          <t>Negative</t>
        </is>
      </c>
      <c r="F637" s="24" t="inlineStr">
        <is>
          <t>P1</t>
        </is>
      </c>
      <c r="G637" s="24" t="inlineStr">
        <is>
          <t>Customer</t>
        </is>
      </c>
      <c r="H637" s="24" t="inlineStr">
        <is>
          <t>UI+API</t>
        </is>
      </c>
      <c r="I637" s="24" t="n"/>
      <c r="J637" s="24" t="inlineStr">
        <is>
          <t>1. Leave it blank
2. Enter spaces only
3. Enter 1 character
4. Enter 300+ characters
5. Enter &lt;script&gt;alert(1)&lt;/script&gt; and symbols
6. Enter Hindi / Marathi text
7. Enter a normal value with spaces before and after</t>
        </is>
      </c>
      <c r="K637" s="24" t="inlineStr">
        <is>
          <t>Blank and spaces-only are refused with a field message. Over-long text is cut or refused at the limit, never a 500 (record the limit). Script text is stored and shown as plain text. Hindi / Marathi text saves and displays correctly. Outer spaces are trimmed. Header initial follows the saved name.</t>
        </is>
      </c>
      <c r="L637" s="24" t="inlineStr">
        <is>
          <t>Request 3-Oct: field-level testing</t>
        </is>
      </c>
      <c r="M637" s="24" t="inlineStr">
        <is>
          <t>Pass</t>
        </is>
      </c>
      <c r="N637" s="24" t="inlineStr">
        <is>
          <t>Passed, partly covered. Local Pass (partial) · Staging Pass (partial) · Production Not run
local: not covered: blank and spaces-only names are accepted and clear the name: every profile field is optional (expected result superseded by docs/login-profile/DEPLOY_AND_TEST.md 'Everything optional'; src/server/services/profile.ts updateProfile)
staging: not covered: blank and spaces-only names are accepted and clear the name: every profile field is optional (expected result superseded by docs/login-profile/DEPLOY_AND_TEST.md 'Everything optional'; src/server/services/profile.ts updateProfile)</t>
        </is>
      </c>
      <c r="O637" s="24" t="n"/>
      <c r="P637" s="24" t="inlineStr">
        <is>
          <t>2026-10-24 18:04</t>
        </is>
      </c>
    </row>
    <row r="638" ht="68.25" customHeight="1" s="13">
      <c r="A638" s="24" t="inlineStr">
        <is>
          <t>TC-FLD-006</t>
        </is>
      </c>
      <c r="B638" s="24" t="inlineStr">
        <is>
          <t>Field-level validation</t>
        </is>
      </c>
      <c r="C638" s="24" t="inlineStr">
        <is>
          <t>GS-001</t>
        </is>
      </c>
      <c r="D638" s="24" t="inlineStr">
        <is>
          <t>Profile: gender</t>
        </is>
      </c>
      <c r="E638" s="24" t="inlineStr">
        <is>
          <t>Negative</t>
        </is>
      </c>
      <c r="F638" s="24" t="inlineStr">
        <is>
          <t>P2</t>
        </is>
      </c>
      <c r="G638" s="24" t="inlineStr">
        <is>
          <t>Customer</t>
        </is>
      </c>
      <c r="H638" s="24" t="inlineStr">
        <is>
          <t>UI+API</t>
        </is>
      </c>
      <c r="I638" s="24" t="n"/>
      <c r="J638" s="24" t="inlineStr">
        <is>
          <t>1. Submit with nothing chosen
2. Choose each option in turn and save
3. Send a value that is not in the list through the API</t>
        </is>
      </c>
      <c r="K638" s="24" t="inlineStr">
        <is>
          <t>An empty required choice is refused. Each listed option saves and shows after reload. An unlisted value is refused (422).</t>
        </is>
      </c>
      <c r="L638" s="24" t="inlineStr">
        <is>
          <t>Request 3-Oct: field-level testing</t>
        </is>
      </c>
      <c r="M638" s="24" t="inlineStr">
        <is>
          <t>Pass</t>
        </is>
      </c>
      <c r="N638" s="24" t="inlineStr">
        <is>
          <t>Passed, partly covered. Local Pass (partial) · Staging Pass (partial) · Production Not run
local: not covered: 'nothing chosen' is the 'Prefer not to say' choice and is accepted, by design (expected result superseded by docs/login-profile/DEPLOY_AND_TEST.md: every detail optional)
staging: not covered: 'nothing chosen' is the 'Prefer not to say' choice and is accepted, by design (expected result superseded by docs/login-profile/DEPLOY_AND_TEST.md: every detail optional)</t>
        </is>
      </c>
      <c r="O638" s="24" t="n"/>
      <c r="P638" s="24" t="inlineStr">
        <is>
          <t>2026-10-24 18:05</t>
        </is>
      </c>
    </row>
    <row r="639" ht="90.75" customHeight="1" s="13">
      <c r="A639" s="24" t="inlineStr">
        <is>
          <t>TC-FLD-007</t>
        </is>
      </c>
      <c r="B639" s="24" t="inlineStr">
        <is>
          <t>Field-level validation</t>
        </is>
      </c>
      <c r="C639" s="24" t="inlineStr">
        <is>
          <t>GS-001</t>
        </is>
      </c>
      <c r="D639" s="24" t="inlineStr">
        <is>
          <t>Profile: mobile (add / change)</t>
        </is>
      </c>
      <c r="E639" s="24" t="inlineStr">
        <is>
          <t>Negative</t>
        </is>
      </c>
      <c r="F639" s="24" t="inlineStr">
        <is>
          <t>P1</t>
        </is>
      </c>
      <c r="G639" s="24" t="inlineStr">
        <is>
          <t>Customer</t>
        </is>
      </c>
      <c r="H639" s="24" t="inlineStr">
        <is>
          <t>UI+API</t>
        </is>
      </c>
      <c r="I639" s="24" t="n"/>
      <c r="J639" s="24" t="inlineStr">
        <is>
          <t>1. Leave it blank
2. Enter 9 digits, then 11 digits
3. Enter 5876543210 (first digit below 6)
4. Enter letters, symbols and a number with spaces
5. Enter +91 followed by a valid number
6. Enter a valid 10-digit number starting 6-9
7. Enter a number already linked to another account</t>
        </is>
      </c>
      <c r="K639" s="24" t="inlineStr">
        <is>
          <t>Blank, wrong length, wrong first digit and non-digits each show a message on the field and nothing is saved or sent. +91 is either stripped or refused, the same way every time (record which). The valid number is saved exactly. A number linked to another account is refused without revealing whose it is.</t>
        </is>
      </c>
      <c r="L639" s="24" t="inlineStr">
        <is>
          <t>Request 3-Oct: field-level testing; TC-AUTH-020</t>
        </is>
      </c>
      <c r="M639" s="24" t="inlineStr">
        <is>
          <t>Pass</t>
        </is>
      </c>
      <c r="N639" s="24" t="inlineStr">
        <is>
          <t>Local Pass · Staging Blocked · Production Not run
local: UI: blank → Add disabled, letters dropped, 11th digit cut, 9 digits and 5… → message; API: 9/11 digits, 5…, letters, symbols → 422, nothing saved; "+91 6038130001", "60381 30001" and "6038130001" all saved as +916038130001 (+91 stripped); another account's number → 409, without saying whose
staging: customer 2 must have no mobile</t>
        </is>
      </c>
      <c r="O639" s="24" t="n"/>
      <c r="P639" s="24" t="inlineStr">
        <is>
          <t>2026-10-24 18:06</t>
        </is>
      </c>
    </row>
    <row r="640" ht="45.75" customHeight="1" s="13">
      <c r="A640" s="24" t="inlineStr">
        <is>
          <t>TC-FLD-008</t>
        </is>
      </c>
      <c r="B640" s="24" t="inlineStr">
        <is>
          <t>Field-level validation</t>
        </is>
      </c>
      <c r="C640" s="24" t="inlineStr">
        <is>
          <t>GS-001</t>
        </is>
      </c>
      <c r="D640" s="24" t="inlineStr">
        <is>
          <t>Profile: new email</t>
        </is>
      </c>
      <c r="E640" s="24" t="inlineStr">
        <is>
          <t>Negative</t>
        </is>
      </c>
      <c r="F640" s="24" t="inlineStr">
        <is>
          <t>P1</t>
        </is>
      </c>
      <c r="G640" s="24" t="inlineStr">
        <is>
          <t>Customer</t>
        </is>
      </c>
      <c r="H640" s="24" t="inlineStr">
        <is>
          <t>UI+API</t>
        </is>
      </c>
      <c r="I640" s="24" t="n"/>
      <c r="J640" s="24" t="inlineStr">
        <is>
          <t>1. Leave it blank
2. Enter abc, abc@, @x.com and 'a b@x.com'
3. Enter an address longer than 254 characters
4. Enter a valid address in capitals with a space before and after
5. Enter the current email
6. Enter an email used by another account</t>
        </is>
      </c>
      <c r="K640" s="24" t="inlineStr">
        <is>
          <t>Bad formats and over-long values show a field message; nothing is sent or saved. The valid address is trimmed and stored in lower case. Same email and an email of another account are refused.</t>
        </is>
      </c>
      <c r="L640" s="24" t="inlineStr">
        <is>
          <t>Request 3-Oct: field-level testing; TC-AUTH-026</t>
        </is>
      </c>
      <c r="M640" s="24" t="inlineStr">
        <is>
          <t>Pass</t>
        </is>
      </c>
      <c r="N640" s="24" t="inlineStr">
        <is>
          <t>Passed, partly covered. Local Pass (partial) · Staging Pass (partial) · Production Not run
local: not covered: a valid address in capitals with spaces (code to the lower-case address) is in tests/qa/local/auth-profile.spec.ts — it mails a code
staging: not covered: a valid address in capitals with spaces (code to the lower-case address) is in tests/qa/local/auth-profile.spec.ts — it mails a code</t>
        </is>
      </c>
      <c r="O640" s="24" t="n"/>
      <c r="P640" s="24" t="inlineStr">
        <is>
          <t>2026-10-24 18:07</t>
        </is>
      </c>
    </row>
    <row r="641" ht="79.5" customHeight="1" s="13">
      <c r="A641" s="24" t="inlineStr">
        <is>
          <t>TC-FLD-009</t>
        </is>
      </c>
      <c r="B641" s="24" t="inlineStr">
        <is>
          <t>Field-level validation</t>
        </is>
      </c>
      <c r="C641" s="24" t="inlineStr">
        <is>
          <t>GS-001</t>
        </is>
      </c>
      <c r="D641" s="24" t="inlineStr">
        <is>
          <t>Profile: email-change code</t>
        </is>
      </c>
      <c r="E641" s="24" t="inlineStr">
        <is>
          <t>Negative</t>
        </is>
      </c>
      <c r="F641" s="24" t="inlineStr">
        <is>
          <t>P1</t>
        </is>
      </c>
      <c r="G641" s="24" t="inlineStr">
        <is>
          <t>Customer</t>
        </is>
      </c>
      <c r="H641" s="24" t="inlineStr">
        <is>
          <t>UI</t>
        </is>
      </c>
      <c r="I641" s="24" t="inlineStr">
        <is>
          <t>Email change started</t>
        </is>
      </c>
      <c r="J641" s="24" t="inlineStr">
        <is>
          <t>1. Leave it blank
2. Enter 5 digits, then 7 digits
3. Enter letters
4. Paste the right code with spaces around it
5. Enter the right code</t>
        </is>
      </c>
      <c r="K641" s="24" t="inlineStr">
        <is>
          <t>Only the exact code is accepted. Short, long and non-numeric entries are refused on the field (record whether they count towards the attempt limit). A pasted code with spaces is cleaned or refused, the same way every time. Email stays unchanged until the right code is entered.</t>
        </is>
      </c>
      <c r="L641" s="24" t="inlineStr">
        <is>
          <t>Request 3-Oct: field-level testing</t>
        </is>
      </c>
      <c r="M641" s="24" t="inlineStr">
        <is>
          <t>Pass</t>
        </is>
      </c>
      <c r="N641" s="24" t="inlineStr">
        <is>
          <t>Local Pass · Staging Not run (rule) · Production Not run
local: blank blocked; 5 digits → refused (attempts 1); 7 digits → refused (attempts 2) — short/long codes count as attempts; letters cannot be typed; "  457778  " cleaned and accepted; email changed only then
staging: not run on staging: needs the server's database (local run only)</t>
        </is>
      </c>
      <c r="O641" s="24" t="n"/>
      <c r="P641" s="24" t="inlineStr">
        <is>
          <t>2026-10-24 17:05</t>
        </is>
      </c>
    </row>
    <row r="642" ht="102" customHeight="1" s="13">
      <c r="A642" s="24" t="inlineStr">
        <is>
          <t>TC-FLD-010</t>
        </is>
      </c>
      <c r="B642" s="24" t="inlineStr">
        <is>
          <t>Field-level validation</t>
        </is>
      </c>
      <c r="C642" s="24" t="inlineStr">
        <is>
          <t>GS-004</t>
        </is>
      </c>
      <c r="D642" s="24" t="inlineStr">
        <is>
          <t>Address: type (Home / Work / Other)</t>
        </is>
      </c>
      <c r="E642" s="24" t="inlineStr">
        <is>
          <t>Negative</t>
        </is>
      </c>
      <c r="F642" s="24" t="inlineStr">
        <is>
          <t>P2</t>
        </is>
      </c>
      <c r="G642" s="24" t="inlineStr">
        <is>
          <t>Customer</t>
        </is>
      </c>
      <c r="H642" s="24" t="inlineStr">
        <is>
          <t>UI+API</t>
        </is>
      </c>
      <c r="I642" s="24" t="n"/>
      <c r="J642" s="24" t="inlineStr">
        <is>
          <t>1. Submit with nothing chosen
2. Choose each option in turn and save
3. Send a value that is not in the list through the API</t>
        </is>
      </c>
      <c r="K642" s="24" t="inlineStr">
        <is>
          <t>An empty required choice is refused. Each listed option saves and shows after reload. An unlisted value is refused (422).</t>
        </is>
      </c>
      <c r="L642" s="24" t="inlineStr">
        <is>
          <t>Request 3-Oct: field-level testing</t>
        </is>
      </c>
      <c r="M642" s="24" t="inlineStr">
        <is>
          <t>Pass</t>
        </is>
      </c>
      <c r="N642" s="24" t="inlineStr">
        <is>
          <t>Passed, partly covered. Local Pass (partial) · Staging Blocked · Production Not run
local: not covered: 'nothing chosen' cannot happen in the form (Home is preselected) and the API defaults a missing type to OTHER (addresses.ts) — recorded, not refused
staging: needs the test data's location (shop A's coordinates)</t>
        </is>
      </c>
      <c r="O642" s="24" t="n"/>
      <c r="P642" s="24" t="inlineStr">
        <is>
          <t>2026-10-24 20:46</t>
        </is>
      </c>
    </row>
    <row r="643" ht="57" customHeight="1" s="13">
      <c r="A643" s="24" t="inlineStr">
        <is>
          <t>TC-FLD-011</t>
        </is>
      </c>
      <c r="B643" s="24" t="inlineStr">
        <is>
          <t>Field-level validation</t>
        </is>
      </c>
      <c r="C643" s="24" t="inlineStr">
        <is>
          <t>GS-004</t>
        </is>
      </c>
      <c r="D643" s="24" t="inlineStr">
        <is>
          <t>Address: recipient name</t>
        </is>
      </c>
      <c r="E643" s="24" t="inlineStr">
        <is>
          <t>Negative</t>
        </is>
      </c>
      <c r="F643" s="24" t="inlineStr">
        <is>
          <t>P1</t>
        </is>
      </c>
      <c r="G643" s="24" t="inlineStr">
        <is>
          <t>Customer</t>
        </is>
      </c>
      <c r="H643" s="24" t="inlineStr">
        <is>
          <t>UI+API</t>
        </is>
      </c>
      <c r="I643" s="24" t="n"/>
      <c r="J643" s="24" t="inlineStr">
        <is>
          <t>1. Leave it blank
2. Enter spaces only
3. Enter 1 character
4. Enter 300+ characters
5. Enter &lt;script&gt;alert(1)&lt;/script&gt; and symbols
6. Enter Hindi / Marathi text
7. Enter a normal value with spaces before and after</t>
        </is>
      </c>
      <c r="K643" s="24" t="inlineStr">
        <is>
          <t>Blank and spaces-only are refused with a field message. Over-long text is cut or refused at the limit, never a 500 (record the limit). Script text is stored and shown as plain text. Hindi / Marathi text saves and displays correctly. Outer spaces are trimmed.</t>
        </is>
      </c>
      <c r="L643" s="24" t="inlineStr">
        <is>
          <t>Request 3-Oct: field-level testing</t>
        </is>
      </c>
      <c r="M643" s="24" t="inlineStr">
        <is>
          <t>Pass</t>
        </is>
      </c>
      <c r="N643" s="24" t="inlineStr">
        <is>
          <t>Passed, partly covered. Local Pass (partial) · Staging Blocked · Production Not run
local: not covered: recipient name and state are optional in this build (address form '(optional)', route schema nullish), so blank is accepted (expected superseded); no auto-fill of city/state from the PIN; the rider's view of the lines is TC-FLD-013 in local/shopping-delivery-leg.spec.ts
staging: needs the test data's location (shop A's coordinates)</t>
        </is>
      </c>
      <c r="O643" s="24" t="n"/>
      <c r="P643" s="24" t="inlineStr">
        <is>
          <t>2026-10-24 20:46</t>
        </is>
      </c>
    </row>
    <row r="644" ht="45.75" customHeight="1" s="13">
      <c r="A644" s="24" t="inlineStr">
        <is>
          <t>TC-FLD-012</t>
        </is>
      </c>
      <c r="B644" s="24" t="inlineStr">
        <is>
          <t>Field-level validation</t>
        </is>
      </c>
      <c r="C644" s="24" t="inlineStr">
        <is>
          <t>GS-004</t>
        </is>
      </c>
      <c r="D644" s="24" t="inlineStr">
        <is>
          <t>Address: recipient mobile</t>
        </is>
      </c>
      <c r="E644" s="24" t="inlineStr">
        <is>
          <t>Negative</t>
        </is>
      </c>
      <c r="F644" s="24" t="inlineStr">
        <is>
          <t>P1</t>
        </is>
      </c>
      <c r="G644" s="24" t="inlineStr">
        <is>
          <t>Customer</t>
        </is>
      </c>
      <c r="H644" s="24" t="inlineStr">
        <is>
          <t>UI+API</t>
        </is>
      </c>
      <c r="I644" s="24" t="n"/>
      <c r="J644" s="24" t="inlineStr">
        <is>
          <t>1. Leave it blank
2. Enter 9 digits, then 11 digits
3. Enter 5876543210 (first digit below 6)
4. Enter letters, symbols and a number with spaces
5. Enter +91 followed by a valid number
6. Enter a valid 10-digit number starting 6-9</t>
        </is>
      </c>
      <c r="K644" s="24" t="inlineStr">
        <is>
          <t>Blank, wrong length, wrong first digit and non-digits each show a message on the field and nothing is saved or sent. +91 is either stripped or refused, the same way every time (record which). The valid number is saved exactly.</t>
        </is>
      </c>
      <c r="L644" s="24" t="inlineStr">
        <is>
          <t>Request 3-Oct: field-level testing; extends TC-LOC-009</t>
        </is>
      </c>
      <c r="M644" s="24" t="inlineStr">
        <is>
          <t>Pass</t>
        </is>
      </c>
      <c r="N644" s="24" t="inlineStr">
        <is>
          <t>Passed, partly covered. Local Pass (partial) · Staging Blocked · Production Not run
local: not covered: blank is accepted: the field is labelled '(optional)' in src/components/address-manager.tsx (expected result superseded)
staging: needs the test data's location (shop A's coordinates)</t>
        </is>
      </c>
      <c r="O644" s="24" t="inlineStr">
        <is>
          <t>D-09</t>
        </is>
      </c>
      <c r="P644" s="24" t="inlineStr">
        <is>
          <t>2026-10-24 20:46</t>
        </is>
      </c>
    </row>
    <row r="645" ht="90.75" customHeight="1" s="13">
      <c r="A645" s="24" t="inlineStr">
        <is>
          <t>TC-FLD-013</t>
        </is>
      </c>
      <c r="B645" s="24" t="inlineStr">
        <is>
          <t>Field-level validation</t>
        </is>
      </c>
      <c r="C645" s="24" t="inlineStr">
        <is>
          <t>GS-004, GS-026</t>
        </is>
      </c>
      <c r="D645" s="24" t="inlineStr">
        <is>
          <t>Address: flat / house and street lines</t>
        </is>
      </c>
      <c r="E645" s="24" t="inlineStr">
        <is>
          <t>Negative</t>
        </is>
      </c>
      <c r="F645" s="24" t="inlineStr">
        <is>
          <t>P1</t>
        </is>
      </c>
      <c r="G645" s="24" t="inlineStr">
        <is>
          <t>Customer</t>
        </is>
      </c>
      <c r="H645" s="24" t="inlineStr">
        <is>
          <t>UI+API</t>
        </is>
      </c>
      <c r="I645" s="24" t="n"/>
      <c r="J645" s="24" t="inlineStr">
        <is>
          <t>1. Leave it blank
2. Enter spaces only
3. Enter 1 character
4. Enter 300+ characters
5. Enter &lt;script&gt;alert(1)&lt;/script&gt; and symbols
6. Enter Hindi / Marathi text
7. Enter a normal value with spaces before and after</t>
        </is>
      </c>
      <c r="K645" s="24" t="inlineStr">
        <is>
          <t>Blank and spaces-only are refused with a field message. Over-long text is cut or refused at the limit, never a 500 (record the limit). Script text is stored and shown as plain text. Hindi / Marathi text saves and displays correctly. Outer spaces are trimmed. The rider sees the lines exactly as saved.</t>
        </is>
      </c>
      <c r="L645" s="24" t="inlineStr">
        <is>
          <t>Request 3-Oct: field-level testing</t>
        </is>
      </c>
      <c r="M645" s="24" t="inlineStr">
        <is>
          <t>Pass</t>
        </is>
      </c>
      <c r="N645" s="24" t="inlineStr">
        <is>
          <t>Passed, partly covered. Local Pass (partial) · Staging Blocked · Production Not run
local: not covered: recipient name and state are optional in this build (address form '(optional)', route schema nullish), so blank is accepted (expected superseded); no auto-fill of city/state from the PIN; the rider's view of the lines is TC-FLD-013 in local/shopping-delivery-leg.spec.ts ‖ blocked: needs the order placed by TC-FLD-028 in this run
staging: needs the test data's location (shop A's coordinates) ‖ needs the order placed by TC-FLD-028 in this run</t>
        </is>
      </c>
      <c r="O645" s="24" t="inlineStr">
        <is>
          <t>D-08</t>
        </is>
      </c>
      <c r="P645" s="24" t="inlineStr">
        <is>
          <t>2026-10-24 20:46</t>
        </is>
      </c>
    </row>
    <row r="646" ht="90.75" customHeight="1" s="13">
      <c r="A646" s="24" t="inlineStr">
        <is>
          <t>TC-FLD-014</t>
        </is>
      </c>
      <c r="B646" s="24" t="inlineStr">
        <is>
          <t>Field-level validation</t>
        </is>
      </c>
      <c r="C646" s="24" t="inlineStr">
        <is>
          <t>GS-004</t>
        </is>
      </c>
      <c r="D646" s="24" t="inlineStr">
        <is>
          <t>Address: landmark</t>
        </is>
      </c>
      <c r="E646" s="24" t="inlineStr">
        <is>
          <t>Negative</t>
        </is>
      </c>
      <c r="F646" s="24" t="inlineStr">
        <is>
          <t>P2</t>
        </is>
      </c>
      <c r="G646" s="24" t="inlineStr">
        <is>
          <t>Customer</t>
        </is>
      </c>
      <c r="H646" s="24" t="inlineStr">
        <is>
          <t>UI+API</t>
        </is>
      </c>
      <c r="I646" s="24" t="n"/>
      <c r="J646" s="24" t="inlineStr">
        <is>
          <t>1. Leave it blank
2. Enter 300+ characters
3. Enter &lt;script&gt;alert(1)&lt;/script&gt; and symbols
4. Enter Hindi / Marathi text
5. Enter a normal value</t>
        </is>
      </c>
      <c r="K646" s="24" t="inlineStr">
        <is>
          <t>Blank is accepted. Over-long text is cut or refused at the limit, never a 500 (record the limit). Script text is shown as plain text. Hindi / Marathi text saves and displays correctly.</t>
        </is>
      </c>
      <c r="L646" s="24" t="inlineStr">
        <is>
          <t>Request 3-Oct: field-level testing</t>
        </is>
      </c>
      <c r="M646" s="24" t="inlineStr">
        <is>
          <t>Pass</t>
        </is>
      </c>
      <c r="N646" s="24" t="inlineStr">
        <is>
          <t>Passed, partly covered. Local Pass (partial) · Staging Blocked · Production Not run
local: not covered: recipient name and state are optional in this build (address form '(optional)', route schema nullish), so blank is accepted (expected superseded); no auto-fill of city/state from the PIN; the rider's view of the lines is TC-FLD-013 in local/shopping-delivery-leg.spec.ts
staging: needs the test data's location (shop A's coordinates)</t>
        </is>
      </c>
      <c r="O646" s="24" t="n"/>
      <c r="P646" s="24" t="inlineStr">
        <is>
          <t>2026-10-24 20:46</t>
        </is>
      </c>
    </row>
    <row r="647" ht="68.25" customHeight="1" s="13">
      <c r="A647" s="24" t="inlineStr">
        <is>
          <t>TC-FLD-015</t>
        </is>
      </c>
      <c r="B647" s="24" t="inlineStr">
        <is>
          <t>Field-level validation</t>
        </is>
      </c>
      <c r="C647" s="24" t="inlineStr">
        <is>
          <t>GS-004, GS-026</t>
        </is>
      </c>
      <c r="D647" s="24" t="inlineStr">
        <is>
          <t>Address: city and state</t>
        </is>
      </c>
      <c r="E647" s="24" t="inlineStr">
        <is>
          <t>Negative</t>
        </is>
      </c>
      <c r="F647" s="24" t="inlineStr">
        <is>
          <t>P2</t>
        </is>
      </c>
      <c r="G647" s="24" t="inlineStr">
        <is>
          <t>Customer</t>
        </is>
      </c>
      <c r="H647" s="24" t="inlineStr">
        <is>
          <t>UI+API</t>
        </is>
      </c>
      <c r="I647" s="24" t="n"/>
      <c r="J647" s="24" t="inlineStr">
        <is>
          <t>1. Leave it blank
2. Enter spaces only
3. Enter 1 character
4. Enter 300+ characters
5. Enter &lt;script&gt;alert(1)&lt;/script&gt; and symbols
6. Enter Hindi / Marathi text
7. Enter a normal value with spaces before and after
8. Enter a PIN and check whether city and state fill in by themselves</t>
        </is>
      </c>
      <c r="K647" s="24" t="inlineStr">
        <is>
          <t>Blank and spaces-only are refused with a field message. Over-long text is cut or refused at the limit, never a 500 (record the limit). Script text is stored and shown as plain text. Hindi / Marathi text saves and displays correctly. Outer spaces are trimmed. Record whether they are filled from the PIN and whether they can be overtyped.</t>
        </is>
      </c>
      <c r="L647" s="24" t="inlineStr">
        <is>
          <t>Request 3-Oct: field-level testing</t>
        </is>
      </c>
      <c r="M647" s="24" t="inlineStr">
        <is>
          <t>Pass</t>
        </is>
      </c>
      <c r="N647" s="24" t="inlineStr">
        <is>
          <t>Passed, partly covered. Local Pass (partial) · Staging Blocked · Production Not run
local: not covered: recipient name and state are optional in this build (address form '(optional)', route schema nullish), so blank is accepted (expected superseded); no auto-fill of city/state from the PIN; the rider's view of the lines is TC-FLD-013 in local/shopping-delivery-leg.spec.ts
staging: needs the test data's location (shop A's coordinates)</t>
        </is>
      </c>
      <c r="O647" s="24" t="n"/>
      <c r="P647" s="24" t="inlineStr">
        <is>
          <t>2026-10-24 20:46</t>
        </is>
      </c>
    </row>
    <row r="648" ht="79.5" customHeight="1" s="13">
      <c r="A648" s="24" t="inlineStr">
        <is>
          <t>TC-FLD-016</t>
        </is>
      </c>
      <c r="B648" s="24" t="inlineStr">
        <is>
          <t>Field-level validation</t>
        </is>
      </c>
      <c r="C648" s="24" t="inlineStr">
        <is>
          <t>GS-004, GS-026</t>
        </is>
      </c>
      <c r="D648" s="24" t="inlineStr">
        <is>
          <t>Address: PIN code</t>
        </is>
      </c>
      <c r="E648" s="24" t="inlineStr">
        <is>
          <t>Negative</t>
        </is>
      </c>
      <c r="F648" s="24" t="inlineStr">
        <is>
          <t>P0</t>
        </is>
      </c>
      <c r="G648" s="24" t="inlineStr">
        <is>
          <t>Customer</t>
        </is>
      </c>
      <c r="H648" s="24" t="inlineStr">
        <is>
          <t>UI+API</t>
        </is>
      </c>
      <c r="I648" s="24" t="n"/>
      <c r="J648" s="24" t="inlineStr">
        <is>
          <t>1. Leave it blank
2. Enter 5 digits, then 7 digits
3. Enter letters and symbols
4. Enter 000000 and a PIN starting with 0
5. Enter a valid 6-digit PIN
6. Enter a valid PIN that is far from the map pin</t>
        </is>
      </c>
      <c r="K648" s="24" t="inlineStr">
        <is>
          <t>Only a 6-digit PIN that does not start with 0 is accepted. Every other value shows a message on the field and is refused by the API (422). Record what happens when PIN and map pin disagree; serviceability must use one consistent rule.</t>
        </is>
      </c>
      <c r="L648" s="24" t="inlineStr">
        <is>
          <t>Request 3-Oct: field-level testing</t>
        </is>
      </c>
      <c r="M648" s="24" t="inlineStr">
        <is>
          <t>Pass</t>
        </is>
      </c>
      <c r="N648" s="24" t="inlineStr">
        <is>
          <t>Passed, partly covered. Local Pass (partial) · Staging Blocked · Production Not run
local: blocked: "QA Butter 100 g mvmkyclr" cannot be added — HTTP 409: This product is currently unavailable online.
staging: needs the test data's location (shop A's coordinates)</t>
        </is>
      </c>
      <c r="O648" s="24" t="inlineStr">
        <is>
          <t>D-04</t>
        </is>
      </c>
      <c r="P648" s="24" t="inlineStr">
        <is>
          <t>2026-10-24 20:46</t>
        </is>
      </c>
    </row>
    <row r="649" ht="57" customHeight="1" s="13">
      <c r="A649" s="24" t="inlineStr">
        <is>
          <t>TC-FLD-017</t>
        </is>
      </c>
      <c r="B649" s="24" t="inlineStr">
        <is>
          <t>Field-level validation</t>
        </is>
      </c>
      <c r="C649" s="24" t="inlineStr">
        <is>
          <t>GS-072, GS-026</t>
        </is>
      </c>
      <c r="D649" s="24" t="inlineStr">
        <is>
          <t>Address: map pin / coordinates</t>
        </is>
      </c>
      <c r="E649" s="24" t="inlineStr">
        <is>
          <t>Negative</t>
        </is>
      </c>
      <c r="F649" s="24" t="inlineStr">
        <is>
          <t>P1</t>
        </is>
      </c>
      <c r="G649" s="24" t="inlineStr">
        <is>
          <t>Customer</t>
        </is>
      </c>
      <c r="H649" s="24" t="inlineStr">
        <is>
          <t>UI+API</t>
        </is>
      </c>
      <c r="I649" s="24" t="n"/>
      <c r="J649" s="24" t="inlineStr">
        <is>
          <t>1. Save without placing a pin
2. Place and drag the pin, save and reload
3. Send latitude 95 and longitude 200 through the API
4. Send text as coordinates</t>
        </is>
      </c>
      <c r="K649" s="24" t="inlineStr">
        <is>
          <t>Without a pin the address saves as PIN-only (or a pin is asked for, the same way every time). The dragged position persists. Out-of-range and non-numeric coordinates are refused (422).</t>
        </is>
      </c>
      <c r="L649" s="24" t="inlineStr">
        <is>
          <t>Request 3-Oct: field-level testing</t>
        </is>
      </c>
      <c r="M649" s="24" t="inlineStr">
        <is>
          <t>Pass</t>
        </is>
      </c>
      <c r="N649" s="24" t="inlineStr">
        <is>
          <t>Passed, partly covered. Local Pass (partial) · Staging Blocked · Production Not run
local: not covered: the map itself (drag the pin) needs a Google Maps key; the device position path is used
staging: needs the test data's location (shop A's coordinates)</t>
        </is>
      </c>
      <c r="O649" s="24" t="n"/>
      <c r="P649" s="24" t="inlineStr">
        <is>
          <t>2026-10-24 20:46</t>
        </is>
      </c>
    </row>
    <row r="650" ht="79.5" customHeight="1" s="13">
      <c r="A650" s="24" t="inlineStr">
        <is>
          <t>TC-FLD-018</t>
        </is>
      </c>
      <c r="B650" s="24" t="inlineStr">
        <is>
          <t>Field-level validation</t>
        </is>
      </c>
      <c r="C650" s="24" t="inlineStr">
        <is>
          <t>GS-004</t>
        </is>
      </c>
      <c r="D650" s="24" t="inlineStr">
        <is>
          <t>Address: default flag</t>
        </is>
      </c>
      <c r="E650" s="24" t="inlineStr">
        <is>
          <t>Negative</t>
        </is>
      </c>
      <c r="F650" s="24" t="inlineStr">
        <is>
          <t>P2</t>
        </is>
      </c>
      <c r="G650" s="24" t="inlineStr">
        <is>
          <t>Customer</t>
        </is>
      </c>
      <c r="H650" s="24" t="inlineStr">
        <is>
          <t>UI+API</t>
        </is>
      </c>
      <c r="I650" s="24" t="inlineStr">
        <is>
          <t>Two saved addresses</t>
        </is>
      </c>
      <c r="J650" s="24" t="inlineStr">
        <is>
          <t>1. Mark the second as default
2. Send default = true for both through the API
3. Delete the default address</t>
        </is>
      </c>
      <c r="K650" s="24" t="inlineStr">
        <is>
          <t>Exactly one default at any time. Deleting the default is refused or another address becomes default.</t>
        </is>
      </c>
      <c r="L650" s="24" t="inlineStr">
        <is>
          <t>Request 3-Oct: field-level testing</t>
        </is>
      </c>
      <c r="M650" s="24" t="inlineStr">
        <is>
          <t>Pass</t>
        </is>
      </c>
      <c r="N650" s="24" t="inlineStr">
        <is>
          <t>Local Pass · Staging Blocked · Production Not run
local: second → only default; both via API → one; new default replaces; delete default → 204, 1 default left
staging: needs the test data's location (shop A's coordinates)</t>
        </is>
      </c>
      <c r="O650" s="24" t="inlineStr">
        <is>
          <t>D-12</t>
        </is>
      </c>
      <c r="P650" s="24" t="inlineStr">
        <is>
          <t>2026-10-24 20:46</t>
        </is>
      </c>
    </row>
    <row r="651" ht="34.5" customHeight="1" s="13">
      <c r="A651" s="24" t="inlineStr">
        <is>
          <t>TC-FLD-019</t>
        </is>
      </c>
      <c r="B651" s="24" t="inlineStr">
        <is>
          <t>Field-level validation</t>
        </is>
      </c>
      <c r="C651" s="24" t="inlineStr">
        <is>
          <t>GS-005</t>
        </is>
      </c>
      <c r="D651" s="24" t="inlineStr">
        <is>
          <t>Address: society link</t>
        </is>
      </c>
      <c r="E651" s="24" t="inlineStr">
        <is>
          <t>Negative</t>
        </is>
      </c>
      <c r="F651" s="24" t="inlineStr">
        <is>
          <t>P2</t>
        </is>
      </c>
      <c r="G651" s="24" t="inlineStr">
        <is>
          <t>Customer</t>
        </is>
      </c>
      <c r="H651" s="24" t="inlineStr">
        <is>
          <t>UI+API</t>
        </is>
      </c>
      <c r="I651" s="24" t="inlineStr">
        <is>
          <t>Member of one society</t>
        </is>
      </c>
      <c r="J651" s="24" t="inlineStr">
        <is>
          <t>1. Submit with nothing chosen
2. Choose each option in turn and save
3. Send a value that is not in the list through the API</t>
        </is>
      </c>
      <c r="K651" s="24" t="inlineStr">
        <is>
          <t>An empty required choice is refused. Each listed option saves and shows after reload. An unlisted value is refused (422). A society the user does not belong to is refused.</t>
        </is>
      </c>
      <c r="L651" s="24" t="inlineStr">
        <is>
          <t>Request 3-Oct: field-level testing; TC-LOC-028</t>
        </is>
      </c>
      <c r="M651" s="24" t="inlineStr">
        <is>
          <t>Pass</t>
        </is>
      </c>
      <c r="N651" s="24" t="inlineStr">
        <is>
          <t>Passed, partly covered. Local Pass (partial) · Staging Blocked · Production Not run
local: not covered: TC-FLD-019 'each listed option saves' is TC-LOC-027 ‖ blocked: "QA Butter 100 g mvmkyclr" cannot be added — HTTP 409: This product is currently unavailable online.
staging: needs a verified society in the test data</t>
        </is>
      </c>
      <c r="O651" s="24" t="n"/>
      <c r="P651" s="24" t="inlineStr">
        <is>
          <t>2026-10-24 20:46</t>
        </is>
      </c>
    </row>
    <row r="652" ht="45.75" customHeight="1" s="13">
      <c r="A652" s="24" t="inlineStr">
        <is>
          <t>TC-FLD-020</t>
        </is>
      </c>
      <c r="B652" s="24" t="inlineStr">
        <is>
          <t>Field-level validation</t>
        </is>
      </c>
      <c r="C652" s="24" t="inlineStr">
        <is>
          <t>GS-004</t>
        </is>
      </c>
      <c r="D652" s="24" t="inlineStr">
        <is>
          <t>Location bar: PIN</t>
        </is>
      </c>
      <c r="E652" s="24" t="inlineStr">
        <is>
          <t>Negative</t>
        </is>
      </c>
      <c r="F652" s="24" t="inlineStr">
        <is>
          <t>P0</t>
        </is>
      </c>
      <c r="G652" s="24" t="inlineStr">
        <is>
          <t>Guest</t>
        </is>
      </c>
      <c r="H652" s="24" t="inlineStr">
        <is>
          <t>UI+API</t>
        </is>
      </c>
      <c r="I652" s="24" t="n"/>
      <c r="J652" s="24" t="inlineStr">
        <is>
          <t>1. Leave it blank
2. Enter 5 digits, then 7 digits
3. Enter letters and symbols
4. Enter 000000 and a PIN starting with 0
5. Enter a valid 6-digit PIN</t>
        </is>
      </c>
      <c r="K652" s="24" t="inlineStr">
        <is>
          <t>Only a 6-digit PIN that does not start with 0 is accepted. Every other value shows a message on the field and is refused by the API (422). The previous location stays in place after a refused PIN.</t>
        </is>
      </c>
      <c r="L652" s="24" t="inlineStr">
        <is>
          <t>Request 3-Oct: field-level testing; extends TC-LOC-002</t>
        </is>
      </c>
      <c r="M652" s="24" t="inlineStr">
        <is>
          <t>Pass</t>
        </is>
      </c>
      <c r="N652" s="24" t="inlineStr">
        <is>
          <t>Local Pass (partial) · Staging Pass · Production Pass
local: not covered: PINs starting with 0 (000000, 011001) are accepted — known defect D-04, asserted by the guest check in guest/storefront.spec.ts
staging: PIN 411038 set from the location bar, then cleared ‖ 7 digits cut to 6; refused on the field: 12345, 011001, abcdef; API 000000 → 422
production: PIN 411038 set from the location bar, then cleared ‖ 7 digits cut to 6; refused on the field: 12345, 011001, abcdef; API 000000 → 422</t>
        </is>
      </c>
      <c r="O652" s="24" t="inlineStr">
        <is>
          <t>D-04</t>
        </is>
      </c>
      <c r="P652" s="24" t="inlineStr">
        <is>
          <t>2026-10-29 14:02</t>
        </is>
      </c>
    </row>
    <row r="653" ht="45.75" customHeight="1" s="13">
      <c r="A653" s="24" t="inlineStr">
        <is>
          <t>TC-FLD-021</t>
        </is>
      </c>
      <c r="B653" s="24" t="inlineStr">
        <is>
          <t>Field-level validation</t>
        </is>
      </c>
      <c r="C653" s="24" t="inlineStr">
        <is>
          <t>GS-072</t>
        </is>
      </c>
      <c r="D653" s="24" t="inlineStr">
        <is>
          <t>Address search (Places) box</t>
        </is>
      </c>
      <c r="E653" s="24" t="inlineStr">
        <is>
          <t>Negative</t>
        </is>
      </c>
      <c r="F653" s="24" t="inlineStr">
        <is>
          <t>P2</t>
        </is>
      </c>
      <c r="G653" s="24" t="inlineStr">
        <is>
          <t>Customer</t>
        </is>
      </c>
      <c r="H653" s="24" t="inlineStr">
        <is>
          <t>UI</t>
        </is>
      </c>
      <c r="I653" s="24" t="inlineStr">
        <is>
          <t>Maps keys configured (else Blocked)</t>
        </is>
      </c>
      <c r="J653" s="24" t="inlineStr">
        <is>
          <t>1. Leave it blank
2. Enter 300+ characters
3. Enter &lt;script&gt;alert(1)&lt;/script&gt; and symbols
4. Enter Hindi / Marathi text
5. Enter a normal value
6. Type 2 characters
7. Type a place outside India</t>
        </is>
      </c>
      <c r="K653" s="24" t="inlineStr">
        <is>
          <t>Blank is accepted. Over-long text is cut or refused at the limit, never a 500 (record the limit). Script text is shown as plain text. Hindi / Marathi text saves and displays correctly. Suggestions appear after the minimum length; a place outside India cannot be saved as a delivery address.</t>
        </is>
      </c>
      <c r="L653" s="24" t="inlineStr">
        <is>
          <t>Request 3-Oct: field-level testing</t>
        </is>
      </c>
      <c r="M653" s="24" t="inlineStr">
        <is>
          <t>Blocked</t>
        </is>
      </c>
      <c r="N653" s="24" t="inlineStr">
        <is>
          <t>Local Blocked · Staging Blocked · Production Not run
local: Google Maps is not configured on this site (NEXT_PUBLIC_GOOGLE_MAPS_API_KEY unset): the chooser offers no 'Search an address'
staging: the Places search box needs live Google Places suggestions, which this run cannot reach</t>
        </is>
      </c>
      <c r="O653" s="24" t="n"/>
      <c r="P653" s="24" t="inlineStr">
        <is>
          <t>2026-10-24 20:46</t>
        </is>
      </c>
    </row>
    <row r="654" ht="34.5" customHeight="1" s="13">
      <c r="A654" s="24" t="inlineStr">
        <is>
          <t>TC-FLD-022</t>
        </is>
      </c>
      <c r="B654" s="24" t="inlineStr">
        <is>
          <t>Field-level validation</t>
        </is>
      </c>
      <c r="C654" s="24" t="inlineStr">
        <is>
          <t>GS-020, GS-019</t>
        </is>
      </c>
      <c r="D654" s="24" t="inlineStr">
        <is>
          <t>Search box (products and shops)</t>
        </is>
      </c>
      <c r="E654" s="24" t="inlineStr">
        <is>
          <t>Negative</t>
        </is>
      </c>
      <c r="F654" s="24" t="inlineStr">
        <is>
          <t>P1</t>
        </is>
      </c>
      <c r="G654" s="24" t="inlineStr">
        <is>
          <t>Guest</t>
        </is>
      </c>
      <c r="H654" s="24" t="inlineStr">
        <is>
          <t>UI+API</t>
        </is>
      </c>
      <c r="I654" s="24" t="n"/>
      <c r="J654" s="24" t="inlineStr">
        <is>
          <t>1. Search with it blank
2. Enter 1 character, then 200 characters
3. Enter % _ ' " and &lt;script&gt;alert(1)&lt;/script&gt;
4. Enter Hindi / Marathi text
5. Enter a product name with spaces before and after</t>
        </is>
      </c>
      <c r="K654" s="24" t="inlineStr">
        <is>
          <t>No 500 for any input. Symbols are treated as text and shown escaped. Outer spaces are ignored. Empty and no-match searches show a clear message.</t>
        </is>
      </c>
      <c r="L654" s="24" t="inlineStr">
        <is>
          <t>Request 3-Oct: field-level testing; extends TC-DISC-007</t>
        </is>
      </c>
      <c r="M654" s="24" t="inlineStr">
        <is>
          <t>Fail</t>
        </is>
      </c>
      <c r="N654" s="24" t="inlineStr">
        <is>
          <t>Local Fail · Staging Blocked · Production Blocked
local: symbols act as LIKE wildcards and match every product/shop: "%" → 6 results; "_" → 0 results (no-results message); "%%_" → 0 results (no-results message) | expect(received).toBe(expected) // Object.is equality | Expected: 0 | Received: 6
staging: /search?q=%3Cscript%3Ealert(1)%3C%2Fscript%3E: the host firewall answered 403 for 80 s, not the app (E-01)
production: /search?q=%3Cscript%3Ealert(1)%3C%2Fscript%3E: the host firewall answered 403 for 80 s, not the app (E-01)</t>
        </is>
      </c>
      <c r="O654" s="24" t="inlineStr">
        <is>
          <t>D-14</t>
        </is>
      </c>
      <c r="P654" s="24" t="inlineStr">
        <is>
          <t>2026-10-29 14:02</t>
        </is>
      </c>
    </row>
    <row r="655" ht="34.5" customHeight="1" s="13">
      <c r="A655" s="24" t="inlineStr">
        <is>
          <t>TC-FLD-023</t>
        </is>
      </c>
      <c r="B655" s="24" t="inlineStr">
        <is>
          <t>Field-level validation</t>
        </is>
      </c>
      <c r="C655" s="24" t="inlineStr">
        <is>
          <t>GS-024</t>
        </is>
      </c>
      <c r="D655" s="24" t="inlineStr">
        <is>
          <t>Cart: quantity (packaged product)</t>
        </is>
      </c>
      <c r="E655" s="24" t="inlineStr">
        <is>
          <t>Boundary</t>
        </is>
      </c>
      <c r="F655" s="24" t="inlineStr">
        <is>
          <t>P0</t>
        </is>
      </c>
      <c r="G655" s="24" t="inlineStr">
        <is>
          <t>Customer</t>
        </is>
      </c>
      <c r="H655" s="24" t="inlineStr">
        <is>
          <t>UI+API</t>
        </is>
      </c>
      <c r="I655" s="24" t="inlineStr">
        <is>
          <t>Product with stock 5</t>
        </is>
      </c>
      <c r="J655" s="24" t="inlineStr">
        <is>
          <t>1. Leave it blank
2. Enter 0
3. Enter -1
4. Enter 1.5
5. Enter text
6. Enter 99999999
7. Enter a normal whole number
8. Enter 5, then 6</t>
        </is>
      </c>
      <c r="K655" s="24" t="inlineStr">
        <is>
          <t>Negative, decimal, text and out-of-range values are refused with a field message and by the API. The normal value saves and shows after reload. 0 removes the line or is refused, the same way every time. 5 is accepted; 6 is refused OUT_OF_STOCK.</t>
        </is>
      </c>
      <c r="L655" s="24" t="inlineStr">
        <is>
          <t>Request 3-Oct: field-level testing; extends TC-CART-004</t>
        </is>
      </c>
      <c r="M655" s="24" t="inlineStr">
        <is>
          <t>Pass</t>
        </is>
      </c>
      <c r="N655" s="24" t="inlineStr">
        <is>
          <t>Passed, partly covered. Local Pass (partial) · Staging Blocked · Production Not run
local: not covered: the cart has −/+ buttons, not a typed quantity field, so blank/text/decimal are API-only here
staging: needs the "lowStock" listing of the test data</t>
        </is>
      </c>
      <c r="O655" s="24" t="n"/>
      <c r="P655" s="24" t="inlineStr">
        <is>
          <t>2026-10-24 20:42</t>
        </is>
      </c>
    </row>
    <row r="656" ht="34.5" customHeight="1" s="13">
      <c r="A656" s="24" t="inlineStr">
        <is>
          <t>TC-FLD-024</t>
        </is>
      </c>
      <c r="B656" s="24" t="inlineStr">
        <is>
          <t>Field-level validation</t>
        </is>
      </c>
      <c r="C656" s="24" t="inlineStr">
        <is>
          <t>GS-024, NEW-008</t>
        </is>
      </c>
      <c r="D656" s="24" t="inlineStr">
        <is>
          <t>Cart: quantity (loose product by weight)</t>
        </is>
      </c>
      <c r="E656" s="24" t="inlineStr">
        <is>
          <t>Negative</t>
        </is>
      </c>
      <c r="F656" s="24" t="inlineStr">
        <is>
          <t>P0</t>
        </is>
      </c>
      <c r="G656" s="24" t="inlineStr">
        <is>
          <t>Customer</t>
        </is>
      </c>
      <c r="H656" s="24" t="inlineStr">
        <is>
          <t>UI+API</t>
        </is>
      </c>
      <c r="I656" s="24" t="inlineStr">
        <is>
          <t>Priced loose product</t>
        </is>
      </c>
      <c r="J656" s="24" t="inlineStr">
        <is>
          <t>1. Enter 0 and a negative weight
2. Enter 0.0005 kg
3. Enter 250 g, 1.5 kg
4. Enter more than the stock
5. Enter text</t>
        </is>
      </c>
      <c r="K656" s="24" t="inlineStr">
        <is>
          <t>Only weights the shop sells (within the step and stock) are accepted. The line total is price x weight to the paisa. Quantity is sent in milli-units.</t>
        </is>
      </c>
      <c r="L656" s="24" t="inlineStr">
        <is>
          <t>Request 3-Oct: field-level testing</t>
        </is>
      </c>
      <c r="M656" s="24" t="inlineStr">
        <is>
          <t>Pass</t>
        </is>
      </c>
      <c r="N656" s="24" t="inlineStr">
        <is>
          <t>Passed, partly covered. Local Pass (partial) · Staging Blocked · Production Not run
local: not covered: the seeded loose product is sold in 1 kg steps (unitSizeMilli 1000), so 250 g / 1.5 kg are outside the step and refused; a 250 g-step product is not in the test data
staging: needs the "loose" listing of the test data</t>
        </is>
      </c>
      <c r="O656" s="24" t="n"/>
      <c r="P656" s="24" t="inlineStr">
        <is>
          <t>2026-10-24 20:42</t>
        </is>
      </c>
    </row>
    <row r="657" ht="57" customHeight="1" s="13">
      <c r="A657" s="24" t="inlineStr">
        <is>
          <t>TC-FLD-025</t>
        </is>
      </c>
      <c r="B657" s="24" t="inlineStr">
        <is>
          <t>Field-level validation</t>
        </is>
      </c>
      <c r="C657" s="24" t="inlineStr">
        <is>
          <t>GS-032, GS-026</t>
        </is>
      </c>
      <c r="D657" s="24" t="inlineStr">
        <is>
          <t>Checkout: delivery address</t>
        </is>
      </c>
      <c r="E657" s="24" t="inlineStr">
        <is>
          <t>Negative</t>
        </is>
      </c>
      <c r="F657" s="24" t="inlineStr">
        <is>
          <t>P0</t>
        </is>
      </c>
      <c r="G657" s="24" t="inlineStr">
        <is>
          <t>Customer</t>
        </is>
      </c>
      <c r="H657" s="24" t="inlineStr">
        <is>
          <t>UI+API</t>
        </is>
      </c>
      <c r="I657" s="24" t="n"/>
      <c r="J657" s="24" t="inlineStr">
        <is>
          <t>1. Submit with nothing chosen
2. Choose each option in turn and save
3. Send a value that is not in the list through the API
4. Send the address id of another user through the API</t>
        </is>
      </c>
      <c r="K657" s="24" t="inlineStr">
        <is>
          <t>An empty required choice is refused. Each listed option saves and shows after reload. An unlisted value is refused (422). An address of another user is refused (403 / 404); no order.</t>
        </is>
      </c>
      <c r="L657" s="24" t="inlineStr">
        <is>
          <t>Request 3-Oct: field-level testing</t>
        </is>
      </c>
      <c r="M657" s="24" t="inlineStr">
        <is>
          <t>Blocked</t>
        </is>
      </c>
      <c r="N657" s="24" t="inlineStr">
        <is>
          <t>Local Blocked · Staging Blocked · Production Not run
local: "QA Butter 100 g mvmkyclr" cannot be added — HTTP 409: This product is currently unavailable online.
staging: needs the "packaged" listing of the test data</t>
        </is>
      </c>
      <c r="O657" s="24" t="inlineStr">
        <is>
          <t>D-07</t>
        </is>
      </c>
      <c r="P657" s="24" t="inlineStr">
        <is>
          <t>2026-10-24 20:46</t>
        </is>
      </c>
    </row>
    <row r="658" ht="45.75" customHeight="1" s="13">
      <c r="A658" s="24" t="inlineStr">
        <is>
          <t>TC-FLD-026</t>
        </is>
      </c>
      <c r="B658" s="24" t="inlineStr">
        <is>
          <t>Field-level validation</t>
        </is>
      </c>
      <c r="C658" s="24" t="inlineStr">
        <is>
          <t>GS-027</t>
        </is>
      </c>
      <c r="D658" s="24" t="inlineStr">
        <is>
          <t>Checkout: delivery window</t>
        </is>
      </c>
      <c r="E658" s="24" t="inlineStr">
        <is>
          <t>Negative</t>
        </is>
      </c>
      <c r="F658" s="24" t="inlineStr">
        <is>
          <t>P1</t>
        </is>
      </c>
      <c r="G658" s="24" t="inlineStr">
        <is>
          <t>Customer</t>
        </is>
      </c>
      <c r="H658" s="24" t="inlineStr">
        <is>
          <t>UI+API</t>
        </is>
      </c>
      <c r="I658" s="24" t="n"/>
      <c r="J658" s="24" t="inlineStr">
        <is>
          <t>1. Submit with nothing chosen
2. Choose each option in turn and save
3. Send a value that is not in the list through the API
4. Send a window that has already passed through the API</t>
        </is>
      </c>
      <c r="K658" s="24" t="inlineStr">
        <is>
          <t>An empty required choice is refused. Each listed option saves and shows after reload. An unlisted value is refused (422). A past or unoffered window is refused.</t>
        </is>
      </c>
      <c r="L658" s="24" t="inlineStr">
        <is>
          <t>Request 3-Oct: field-level testing; TC-CART-008</t>
        </is>
      </c>
      <c r="M658" s="24" t="inlineStr">
        <is>
          <t>Blocked</t>
        </is>
      </c>
      <c r="N658" s="24" t="inlineStr">
        <is>
          <t>Local Blocked · Staging Blocked · Production Not run
local: "QA Butter 100 g mvmkyclr" cannot be added — HTTP 409: This product is currently unavailable online.
staging: needs the "packaged" listing of the test data</t>
        </is>
      </c>
      <c r="O658" s="24" t="n"/>
      <c r="P658" s="24" t="inlineStr">
        <is>
          <t>2026-10-24 20:42</t>
        </is>
      </c>
    </row>
    <row r="659" ht="23.25" customHeight="1" s="13">
      <c r="A659" s="24" t="inlineStr">
        <is>
          <t>TC-FLD-027</t>
        </is>
      </c>
      <c r="B659" s="24" t="inlineStr">
        <is>
          <t>Field-level validation</t>
        </is>
      </c>
      <c r="C659" s="24" t="inlineStr">
        <is>
          <t>GS-032, GS-030</t>
        </is>
      </c>
      <c r="D659" s="24" t="inlineStr">
        <is>
          <t>Checkout: payment method</t>
        </is>
      </c>
      <c r="E659" s="24" t="inlineStr">
        <is>
          <t>Negative</t>
        </is>
      </c>
      <c r="F659" s="24" t="inlineStr">
        <is>
          <t>P0</t>
        </is>
      </c>
      <c r="G659" s="24" t="inlineStr">
        <is>
          <t>Customer</t>
        </is>
      </c>
      <c r="H659" s="24" t="inlineStr">
        <is>
          <t>UI+API</t>
        </is>
      </c>
      <c r="I659" s="24" t="n"/>
      <c r="J659" s="24" t="inlineStr">
        <is>
          <t>1. Submit with nothing chosen
2. Choose each option in turn and save
3. Send 'CHEQUE' through the API</t>
        </is>
      </c>
      <c r="K659" s="24" t="inlineStr">
        <is>
          <t>Wallet, Cash on delivery (where the shop allows it) and Online are accepted. A method not on the list is refused (422).</t>
        </is>
      </c>
      <c r="L659" s="24" t="inlineStr">
        <is>
          <t>Request 3-Oct: field-level testing; TC-PAY-007; Updated 4-Oct (feature treated as completed)</t>
        </is>
      </c>
      <c r="M659" s="24" t="inlineStr">
        <is>
          <t>Blocked</t>
        </is>
      </c>
      <c r="N659" s="24" t="inlineStr">
        <is>
          <t>Local Blocked · Staging Blocked · Production Not run
local: "QA Butter 100 g mvmkyclr" cannot be added — HTTP 409: This product is currently unavailable online.
staging: needs the "packaged" listing of the test data</t>
        </is>
      </c>
      <c r="O659" s="24" t="n"/>
      <c r="P659" s="24" t="inlineStr">
        <is>
          <t>2026-10-24 20:42</t>
        </is>
      </c>
    </row>
    <row r="660" ht="23.25" customHeight="1" s="13">
      <c r="A660" s="24" t="inlineStr">
        <is>
          <t>TC-FLD-028</t>
        </is>
      </c>
      <c r="B660" s="24" t="inlineStr">
        <is>
          <t>Field-level validation</t>
        </is>
      </c>
      <c r="C660" s="24" t="inlineStr">
        <is>
          <t>GS-032</t>
        </is>
      </c>
      <c r="D660" s="24" t="inlineStr">
        <is>
          <t>Checkout: order notes</t>
        </is>
      </c>
      <c r="E660" s="24" t="inlineStr">
        <is>
          <t>Negative</t>
        </is>
      </c>
      <c r="F660" s="24" t="inlineStr">
        <is>
          <t>P2</t>
        </is>
      </c>
      <c r="G660" s="24" t="inlineStr">
        <is>
          <t>Customer</t>
        </is>
      </c>
      <c r="H660" s="24" t="inlineStr">
        <is>
          <t>UI+API</t>
        </is>
      </c>
      <c r="I660" s="24" t="n"/>
      <c r="J660" s="24" t="inlineStr">
        <is>
          <t>1. Leave it blank
2. Enter 300+ characters
3. Enter &lt;script&gt;alert(1)&lt;/script&gt; and symbols
4. Enter Hindi / Marathi text
5. Enter a normal value</t>
        </is>
      </c>
      <c r="K660" s="24" t="inlineStr">
        <is>
          <t>Blank is accepted. Over-long text is cut or refused at the limit, never a 500 (record the limit). Script text is shown as plain text. Hindi / Marathi text saves and displays correctly. Notes reach the shop unchanged.</t>
        </is>
      </c>
      <c r="L660" s="24" t="inlineStr">
        <is>
          <t>Request 3-Oct: field-level testing; TC-CART-017</t>
        </is>
      </c>
      <c r="M660" s="24" t="inlineStr">
        <is>
          <t>Blocked</t>
        </is>
      </c>
      <c r="N660" s="24" t="inlineStr">
        <is>
          <t>Local Blocked · Staging Blocked · Production Not run
local: "QA Butter 100 g mvmkyclr" cannot be added — HTTP 409: This product is currently unavailable online.
staging: needs the test data's location (shop A's coordinates)</t>
        </is>
      </c>
      <c r="O660" s="24" t="inlineStr">
        <is>
          <t>D-11</t>
        </is>
      </c>
      <c r="P660" s="24" t="inlineStr">
        <is>
          <t>2026-10-24 20:44</t>
        </is>
      </c>
    </row>
    <row r="661" ht="23.25" customHeight="1" s="13">
      <c r="A661" s="24" t="inlineStr">
        <is>
          <t>TC-FLD-029</t>
        </is>
      </c>
      <c r="B661" s="24" t="inlineStr">
        <is>
          <t>Field-level validation</t>
        </is>
      </c>
      <c r="C661" s="24" t="inlineStr">
        <is>
          <t>GS-047</t>
        </is>
      </c>
      <c r="D661" s="24" t="inlineStr">
        <is>
          <t>Checkout: delivery instructions</t>
        </is>
      </c>
      <c r="E661" s="24" t="inlineStr">
        <is>
          <t>Negative</t>
        </is>
      </c>
      <c r="F661" s="24" t="inlineStr">
        <is>
          <t>P2</t>
        </is>
      </c>
      <c r="G661" s="24" t="inlineStr">
        <is>
          <t>Customer</t>
        </is>
      </c>
      <c r="H661" s="24" t="inlineStr">
        <is>
          <t>UI+API</t>
        </is>
      </c>
      <c r="I661" s="24" t="n"/>
      <c r="J661" s="24" t="inlineStr">
        <is>
          <t>1. Leave it blank
2. Enter 300+ characters
3. Enter &lt;script&gt;alert(1)&lt;/script&gt; and symbols
4. Enter Hindi / Marathi text
5. Enter a normal value</t>
        </is>
      </c>
      <c r="K661" s="24" t="inlineStr">
        <is>
          <t>Blank is accepted. Over-long text is cut or refused at the limit, never a 500 (record the limit). Script text is shown as plain text. Hindi / Marathi text saves and displays correctly. Instructions reach the rider unchanged after pickup.</t>
        </is>
      </c>
      <c r="L661" s="24" t="inlineStr">
        <is>
          <t>Request 3-Oct: field-level testing; TC-CART-017</t>
        </is>
      </c>
      <c r="M661" s="24" t="inlineStr">
        <is>
          <t>Blocked</t>
        </is>
      </c>
      <c r="N661" s="24" t="inlineStr">
        <is>
          <t>Local Blocked · Staging Blocked · Production Not run
local: needs the order placed by TC-FLD-028 in this run
staging: needs the order placed by TC-FLD-028 in this run</t>
        </is>
      </c>
      <c r="O661" s="24" t="n"/>
      <c r="P661" s="24" t="inlineStr">
        <is>
          <t>2026-10-24 20:44</t>
        </is>
      </c>
    </row>
    <row r="662" ht="34.5" customHeight="1" s="13">
      <c r="A662" s="24" t="inlineStr">
        <is>
          <t>TC-FLD-030</t>
        </is>
      </c>
      <c r="B662" s="24" t="inlineStr">
        <is>
          <t>Field-level validation</t>
        </is>
      </c>
      <c r="C662" s="24" t="inlineStr">
        <is>
          <t>GS-029</t>
        </is>
      </c>
      <c r="D662" s="24" t="inlineStr">
        <is>
          <t>Wallet: top-up amount</t>
        </is>
      </c>
      <c r="E662" s="24" t="inlineStr">
        <is>
          <t>Boundary</t>
        </is>
      </c>
      <c r="F662" s="24" t="inlineStr">
        <is>
          <t>P0</t>
        </is>
      </c>
      <c r="G662" s="24" t="inlineStr">
        <is>
          <t>Customer</t>
        </is>
      </c>
      <c r="H662" s="24" t="inlineStr">
        <is>
          <t>UI+API</t>
        </is>
      </c>
      <c r="I662" s="24" t="n"/>
      <c r="J662" s="24" t="inlineStr">
        <is>
          <t>1. Leave it blank
2. Enter 0, then a negative amount
3. Enter text and symbols
4. Enter 3 decimal places (10.555)
5. Enter a very large amount (10,00,00,000)
6. Enter 70.50
7. Enter Rs 1 and Rs 1,00,000
8. Enter 99 paise and Rs 1,00,001</t>
        </is>
      </c>
      <c r="K662" s="24" t="inlineStr">
        <is>
          <t>Zero, negative, text, more than 2 decimals and out-of-range amounts are refused with a field message and 422 from the API. Rs 70.50 is stored as 7050 paise and shown as Rs 70.50. Rs 1 and Rs 1,00,000 are accepted; below and above are refused. No payment is started for a refused amount.</t>
        </is>
      </c>
      <c r="L662" s="24" t="inlineStr">
        <is>
          <t>Request 3-Oct: field-level testing; extends TC-PAY-003</t>
        </is>
      </c>
      <c r="M662" s="24" t="inlineStr">
        <is>
          <t>Pass</t>
        </is>
      </c>
      <c r="N662" s="24" t="inlineStr">
        <is>
          <t>Passed, partly covered. Local Pass (partial) · Staging Pass (partial) · Production Not run
local: not covered: the box is &lt;input type=number&gt;, which cannot take text or symbols (typed letters never reach it); the API refuses text (TC-FLD-030 API half above) ‖ not covered: the page half (field messages) is TC-FLD-030 below; accepted amounts only start a gateway order here (nothing is paid)
staging: not covered: the box is &lt;input type=number&gt;, which cannot take text or symbols (typed letters never reach it); the API refuses text (TC-FLD-030 API half above) ‖ not covered: the page half (field messages) is TC-FLD-030 below; accepted amounts only start a gateway order here (nothing is paid)</t>
        </is>
      </c>
      <c r="O662" s="24" t="inlineStr">
        <is>
          <t>D-41</t>
        </is>
      </c>
      <c r="P662" s="24" t="inlineStr">
        <is>
          <t>2026-10-24 18:50</t>
        </is>
      </c>
    </row>
    <row r="663" ht="23.25" customHeight="1" s="13">
      <c r="A663" s="24" t="inlineStr">
        <is>
          <t>TC-FLD-031</t>
        </is>
      </c>
      <c r="B663" s="24" t="inlineStr">
        <is>
          <t>Field-level validation</t>
        </is>
      </c>
      <c r="C663" s="24" t="inlineStr">
        <is>
          <t>GS-053</t>
        </is>
      </c>
      <c r="D663" s="24" t="inlineStr">
        <is>
          <t>Wallet: voucher code</t>
        </is>
      </c>
      <c r="E663" s="24" t="inlineStr">
        <is>
          <t>Negative</t>
        </is>
      </c>
      <c r="F663" s="24" t="inlineStr">
        <is>
          <t>P1</t>
        </is>
      </c>
      <c r="G663" s="24" t="inlineStr">
        <is>
          <t>Customer</t>
        </is>
      </c>
      <c r="H663" s="24" t="inlineStr">
        <is>
          <t>UI+API</t>
        </is>
      </c>
      <c r="I663" s="24" t="n"/>
      <c r="J663" s="24" t="inlineStr">
        <is>
          <t>1. Top up with the code blank
2. Enter an unknown code
3. Enter a valid code in lower case with spaces around it
4. Enter 100 characters and &lt;script&gt;</t>
        </is>
      </c>
      <c r="K663" s="24" t="inlineStr">
        <is>
          <t>Blank is fine (no bonus). Unknown code gives a clear message and no bonus. Case and outer spaces are handled the same way every time. No 500.</t>
        </is>
      </c>
      <c r="L663" s="24" t="inlineStr">
        <is>
          <t>Request 3-Oct: field-level testing; TC-PAY-012</t>
        </is>
      </c>
      <c r="M663" s="24" t="inlineStr">
        <is>
          <t>Pass</t>
        </is>
      </c>
      <c r="N663" s="24" t="inlineStr">
        <is>
          <t>Local Pass · Staging Not run (rule) · Production Not run
local: blank → 200, no bonus; unknown → 422 "That voucher code was not found."; "  qafmvmlxldh  " → 200 bonus 500 = exact code; 100 characters → 422; &lt;script&gt; → 422
staging: not run on staging: needs the server's database (local run only)</t>
        </is>
      </c>
      <c r="O663" s="24" t="n"/>
      <c r="P663" s="24" t="inlineStr">
        <is>
          <t>2026-10-24 17:05</t>
        </is>
      </c>
    </row>
    <row r="664" ht="23.25" customHeight="1" s="13">
      <c r="A664" s="24" t="inlineStr">
        <is>
          <t>TC-FLD-032</t>
        </is>
      </c>
      <c r="B664" s="24" t="inlineStr">
        <is>
          <t>Field-level validation</t>
        </is>
      </c>
      <c r="C664" s="24" t="inlineStr">
        <is>
          <t>GS-029</t>
        </is>
      </c>
      <c r="D664" s="24" t="inlineStr">
        <is>
          <t>Wallet settings: low-balance threshold</t>
        </is>
      </c>
      <c r="E664" s="24" t="inlineStr">
        <is>
          <t>Boundary</t>
        </is>
      </c>
      <c r="F664" s="24" t="inlineStr">
        <is>
          <t>P2</t>
        </is>
      </c>
      <c r="G664" s="24" t="inlineStr">
        <is>
          <t>Customer</t>
        </is>
      </c>
      <c r="H664" s="24" t="inlineStr">
        <is>
          <t>UI+API</t>
        </is>
      </c>
      <c r="I664" s="24" t="n"/>
      <c r="J664" s="24" t="inlineStr">
        <is>
          <t>1. Leave it blank
2. Enter 0, then a negative amount
3. Enter text and symbols
4. Enter 3 decimal places (10.555)
5. Enter a very large amount (10,00,00,000)
6. Enter 70.50</t>
        </is>
      </c>
      <c r="K664" s="24" t="inlineStr">
        <is>
          <t>Zero, negative, text, more than 2 decimals and out-of-range amounts are refused with a field message and 422 from the API. Rs 70.50 is stored as 7050 paise and shown as Rs 70.50. Blank or 0 switches the warning off (record which).</t>
        </is>
      </c>
      <c r="L664" s="24" t="inlineStr">
        <is>
          <t>Request 3-Oct: field-level testing; TC-PAY-009</t>
        </is>
      </c>
      <c r="M664" s="24" t="inlineStr">
        <is>
          <t>Pass</t>
        </is>
      </c>
      <c r="N664" s="24" t="inlineStr">
        <is>
          <t>Passed, partly covered. Local Pass (partial) · Staging Pass (partial) · Production Not run
local: not covered: there is no threshold field on /wallet (settings are API-only), so the page half and its field messages cannot be checked
staging: not covered: there is no threshold field on /wallet (settings are API-only), so the page half and its field messages cannot be checked</t>
        </is>
      </c>
      <c r="O664" s="24" t="inlineStr">
        <is>
          <t>D-42</t>
        </is>
      </c>
      <c r="P664" s="24" t="inlineStr">
        <is>
          <t>2026-10-24 18:52</t>
        </is>
      </c>
    </row>
    <row r="665" ht="34.5" customHeight="1" s="13">
      <c r="A665" s="24" t="inlineStr">
        <is>
          <t>TC-FLD-033</t>
        </is>
      </c>
      <c r="B665" s="24" t="inlineStr">
        <is>
          <t>Field-level validation</t>
        </is>
      </c>
      <c r="C665" s="24" t="inlineStr">
        <is>
          <t>GS-029</t>
        </is>
      </c>
      <c r="D665" s="24" t="inlineStr">
        <is>
          <t>Wallet settings: auto-recharge amount and switch</t>
        </is>
      </c>
      <c r="E665" s="24" t="inlineStr">
        <is>
          <t>Boundary</t>
        </is>
      </c>
      <c r="F665" s="24" t="inlineStr">
        <is>
          <t>P2</t>
        </is>
      </c>
      <c r="G665" s="24" t="inlineStr">
        <is>
          <t>Customer</t>
        </is>
      </c>
      <c r="H665" s="24" t="inlineStr">
        <is>
          <t>UI+API</t>
        </is>
      </c>
      <c r="I665" s="24" t="n"/>
      <c r="J665" s="24" t="inlineStr">
        <is>
          <t>1. Leave it blank
2. Enter 0, then a negative amount
3. Enter text and symbols
4. Enter 3 decimal places (10.555)
5. Enter a very large amount (10,00,00,000)
6. Enter 70.50
7. Switch auto-recharge on with the amount blank</t>
        </is>
      </c>
      <c r="K665" s="24" t="inlineStr">
        <is>
          <t>Zero, negative, text, more than 2 decimals and out-of-range amounts are refused with a field message and 422 from the API. Rs 70.50 is stored as 7050 paise and shown as Rs 70.50. Auto-recharge cannot be on without a valid amount inside the top-up limits.</t>
        </is>
      </c>
      <c r="L665" s="24" t="inlineStr">
        <is>
          <t>Request 3-Oct: field-level testing; TC-PAY-009</t>
        </is>
      </c>
      <c r="M665" s="24" t="inlineStr">
        <is>
          <t>Pass</t>
        </is>
      </c>
      <c r="N665" s="24" t="inlineStr">
        <is>
          <t>Passed, partly covered. Local Pass (partial) · Staging Pass (partial) · Production Not run
local: not covered: expected 'with both values it saves' is superseded by DEF-07 (src/server/services/wallet.ts updateWalletSettings: auto-recharge is refused until a saved payment mandate exists); an out-of-range amount (0, ₹10 crore) is still stored while the switch is off — harmless as nothing reads it
staging: not covered: expected 'with both values it saves' is superseded by DEF-07 (src/server/services/wallet.ts updateWalletSettings: auto-recharge is refused until a saved payment mandate exists); an out-of-range amount (0, ₹10 crore) is still stored while the switch is off — harmless as nothing reads it</t>
        </is>
      </c>
      <c r="O665" s="24" t="n"/>
      <c r="P665" s="24" t="inlineStr">
        <is>
          <t>2026-10-24 18:52</t>
        </is>
      </c>
    </row>
    <row r="666" ht="23.25" customHeight="1" s="13">
      <c r="A666" s="24" t="inlineStr">
        <is>
          <t>TC-FLD-034</t>
        </is>
      </c>
      <c r="B666" s="24" t="inlineStr">
        <is>
          <t>Field-level validation</t>
        </is>
      </c>
      <c r="C666" s="24" t="inlineStr">
        <is>
          <t>GS-006</t>
        </is>
      </c>
      <c r="D666" s="24" t="inlineStr">
        <is>
          <t>Shop registration: shop name</t>
        </is>
      </c>
      <c r="E666" s="24" t="inlineStr">
        <is>
          <t>Negative</t>
        </is>
      </c>
      <c r="F666" s="24" t="inlineStr">
        <is>
          <t>P0</t>
        </is>
      </c>
      <c r="G666" s="24" t="inlineStr">
        <is>
          <t>Customer</t>
        </is>
      </c>
      <c r="H666" s="24" t="inlineStr">
        <is>
          <t>UI+API</t>
        </is>
      </c>
      <c r="I666" s="24" t="n"/>
      <c r="J666" s="24" t="inlineStr">
        <is>
          <t>1. Leave it blank
2. Enter spaces only
3. Enter 1 character
4. Enter 300+ characters
5. Enter &lt;script&gt;alert(1)&lt;/script&gt; and symbols
6. Enter Hindi / Marathi text
7. Enter a normal value with spaces before and after</t>
        </is>
      </c>
      <c r="K666" s="24" t="inlineStr">
        <is>
          <t>Blank and spaces-only are refused with a field message. Over-long text is cut or refused at the limit, never a 500 (record the limit). Script text is stored and shown as plain text. Hindi / Marathi text saves and displays correctly. Outer spaces are trimmed.</t>
        </is>
      </c>
      <c r="L666" s="24" t="inlineStr">
        <is>
          <t>Request 3-Oct: field-level testing</t>
        </is>
      </c>
      <c r="M666" s="24" t="inlineStr">
        <is>
          <t>Pass</t>
        </is>
      </c>
      <c r="N666" s="24" t="inlineStr">
        <is>
          <t>Local Pass · Staging Not run (rule) · Production Not run
local: blank → 422, spaces → 422, 1 char → 422, 301 chars → 422 (limit 120); script and Marathi stored verbatim and shown as text; "   QA Trimmed   " → trimmed; spaces-only shows "Shop name is required."
staging: not run on staging: needs the server's database (local run only)</t>
        </is>
      </c>
      <c r="O666" s="24" t="n"/>
      <c r="P666" s="24" t="inlineStr">
        <is>
          <t>2026-10-24 17:06</t>
        </is>
      </c>
    </row>
    <row r="667" ht="34.5" customHeight="1" s="13">
      <c r="A667" s="24" t="inlineStr">
        <is>
          <t>TC-FLD-035</t>
        </is>
      </c>
      <c r="B667" s="24" t="inlineStr">
        <is>
          <t>Field-level validation</t>
        </is>
      </c>
      <c r="C667" s="24" t="inlineStr">
        <is>
          <t>GS-006</t>
        </is>
      </c>
      <c r="D667" s="24" t="inlineStr">
        <is>
          <t>Shop registration: owner name</t>
        </is>
      </c>
      <c r="E667" s="24" t="inlineStr">
        <is>
          <t>Negative</t>
        </is>
      </c>
      <c r="F667" s="24" t="inlineStr">
        <is>
          <t>P1</t>
        </is>
      </c>
      <c r="G667" s="24" t="inlineStr">
        <is>
          <t>Customer</t>
        </is>
      </c>
      <c r="H667" s="24" t="inlineStr">
        <is>
          <t>UI+API</t>
        </is>
      </c>
      <c r="I667" s="24" t="n"/>
      <c r="J667" s="24" t="inlineStr">
        <is>
          <t>1. Leave it blank
2. Enter spaces only
3. Enter 1 character
4. Enter 300+ characters
5. Enter &lt;script&gt;alert(1)&lt;/script&gt; and symbols
6. Enter Hindi / Marathi text
7. Enter a normal value with spaces before and after</t>
        </is>
      </c>
      <c r="K667" s="24" t="inlineStr">
        <is>
          <t>Blank and spaces-only are refused with a field message. Over-long text is cut or refused at the limit, never a 500 (record the limit). Script text is stored and shown as plain text. Hindi / Marathi text saves and displays correctly. Outer spaces are trimmed.</t>
        </is>
      </c>
      <c r="L667" s="24" t="inlineStr">
        <is>
          <t>Request 3-Oct: field-level testing</t>
        </is>
      </c>
      <c r="M667" s="24" t="inlineStr">
        <is>
          <t>Pass</t>
        </is>
      </c>
      <c r="N667" s="24" t="inlineStr">
        <is>
          <t>Passed, partly covered. Local Pass (partial) · Staging Not run (rule) · Production Not run
local: not covered: the display of the owner name is the operator's queue (TC-ONB-012 opens it)
staging: not run on staging: needs the server's database (local run only)</t>
        </is>
      </c>
      <c r="O667" s="24" t="n"/>
      <c r="P667" s="24" t="inlineStr">
        <is>
          <t>2026-10-24 17:06</t>
        </is>
      </c>
    </row>
    <row r="668" ht="23.25" customHeight="1" s="13">
      <c r="A668" s="24" t="inlineStr">
        <is>
          <t>TC-FLD-036</t>
        </is>
      </c>
      <c r="B668" s="24" t="inlineStr">
        <is>
          <t>Field-level validation</t>
        </is>
      </c>
      <c r="C668" s="24" t="inlineStr">
        <is>
          <t>GS-006</t>
        </is>
      </c>
      <c r="D668" s="24" t="inlineStr">
        <is>
          <t>Shop registration: phone</t>
        </is>
      </c>
      <c r="E668" s="24" t="inlineStr">
        <is>
          <t>Negative</t>
        </is>
      </c>
      <c r="F668" s="24" t="inlineStr">
        <is>
          <t>P0</t>
        </is>
      </c>
      <c r="G668" s="24" t="inlineStr">
        <is>
          <t>Customer</t>
        </is>
      </c>
      <c r="H668" s="24" t="inlineStr">
        <is>
          <t>UI+API</t>
        </is>
      </c>
      <c r="I668" s="24" t="n"/>
      <c r="J668" s="24" t="inlineStr">
        <is>
          <t>1. Leave it blank
2. Enter 9 digits, then 11 digits
3. Enter 5876543210 (first digit below 6)
4. Enter letters, symbols and a number with spaces
5. Enter +91 followed by a valid number
6. Enter a valid 10-digit number starting 6-9</t>
        </is>
      </c>
      <c r="K668" s="24" t="inlineStr">
        <is>
          <t>Blank, wrong length, wrong first digit and non-digits each show a message on the field and nothing is saved or sent. +91 is either stripped or refused, the same way every time (record which). The valid number is saved exactly.</t>
        </is>
      </c>
      <c r="L668" s="24" t="inlineStr">
        <is>
          <t>Request 3-Oct: field-level testing</t>
        </is>
      </c>
      <c r="M668" s="24" t="inlineStr">
        <is>
          <t>Pass</t>
        </is>
      </c>
      <c r="N668" s="24" t="inlineStr">
        <is>
          <t>Local Pass · Staging Not run (rule) · Production Not run
local: "", "987654321", "98765432101", "5876543210", "98765abcde", "98765 43210", "+919876543210" → 422 (+91 is refused, consistently); the form's pattern flags them; 9876543210 stored exactly
staging: not run on staging: needs the server's database (local run only)</t>
        </is>
      </c>
      <c r="O668" s="24" t="n"/>
      <c r="P668" s="24" t="inlineStr">
        <is>
          <t>2026-10-24 17:06</t>
        </is>
      </c>
    </row>
    <row r="669" ht="23.25" customHeight="1" s="13">
      <c r="A669" s="24" t="inlineStr">
        <is>
          <t>TC-FLD-037</t>
        </is>
      </c>
      <c r="B669" s="24" t="inlineStr">
        <is>
          <t>Field-level validation</t>
        </is>
      </c>
      <c r="C669" s="24" t="inlineStr">
        <is>
          <t>GS-006</t>
        </is>
      </c>
      <c r="D669" s="24" t="inlineStr">
        <is>
          <t>Shop registration: address lines</t>
        </is>
      </c>
      <c r="E669" s="24" t="inlineStr">
        <is>
          <t>Negative</t>
        </is>
      </c>
      <c r="F669" s="24" t="inlineStr">
        <is>
          <t>P1</t>
        </is>
      </c>
      <c r="G669" s="24" t="inlineStr">
        <is>
          <t>Customer</t>
        </is>
      </c>
      <c r="H669" s="24" t="inlineStr">
        <is>
          <t>UI+API</t>
        </is>
      </c>
      <c r="I669" s="24" t="n"/>
      <c r="J669" s="24" t="inlineStr">
        <is>
          <t>1. Leave it blank
2. Enter spaces only
3. Enter 1 character
4. Enter 300+ characters
5. Enter &lt;script&gt;alert(1)&lt;/script&gt; and symbols
6. Enter Hindi / Marathi text
7. Enter a normal value with spaces before and after</t>
        </is>
      </c>
      <c r="K669" s="24" t="inlineStr">
        <is>
          <t>Blank and spaces-only are refused with a field message. Over-long text is cut or refused at the limit, never a 500 (record the limit). Script text is stored and shown as plain text. Hindi / Marathi text saves and displays correctly. Outer spaces are trimmed.</t>
        </is>
      </c>
      <c r="L669" s="24" t="inlineStr">
        <is>
          <t>Request 3-Oct: field-level testing</t>
        </is>
      </c>
      <c r="M669" s="24" t="inlineStr">
        <is>
          <t>Pass</t>
        </is>
      </c>
      <c r="N669" s="24" t="inlineStr">
        <is>
          <t>Local Pass · Staging Not run (rule) · Production Not run
local: blank → 422; 1 char → 422; 301 chars → 422; spaces-only → 422; "   12 Padded Road   " → 201 stored "12 Padded Road"
staging: not run on staging: needs the server's database (local run only)</t>
        </is>
      </c>
      <c r="O669" s="24" t="inlineStr">
        <is>
          <t>D-73</t>
        </is>
      </c>
      <c r="P669" s="24" t="inlineStr">
        <is>
          <t>2026-10-24 17:06</t>
        </is>
      </c>
    </row>
    <row r="670" ht="23.25" customHeight="1" s="13">
      <c r="A670" s="24" t="inlineStr">
        <is>
          <t>TC-FLD-038</t>
        </is>
      </c>
      <c r="B670" s="24" t="inlineStr">
        <is>
          <t>Field-level validation</t>
        </is>
      </c>
      <c r="C670" s="24" t="inlineStr">
        <is>
          <t>GS-006</t>
        </is>
      </c>
      <c r="D670" s="24" t="inlineStr">
        <is>
          <t>Shop registration: PIN</t>
        </is>
      </c>
      <c r="E670" s="24" t="inlineStr">
        <is>
          <t>Negative</t>
        </is>
      </c>
      <c r="F670" s="24" t="inlineStr">
        <is>
          <t>P0</t>
        </is>
      </c>
      <c r="G670" s="24" t="inlineStr">
        <is>
          <t>Customer</t>
        </is>
      </c>
      <c r="H670" s="24" t="inlineStr">
        <is>
          <t>UI+API</t>
        </is>
      </c>
      <c r="I670" s="24" t="n"/>
      <c r="J670" s="24" t="inlineStr">
        <is>
          <t>1. Leave it blank
2. Enter 5 digits, then 7 digits
3. Enter letters and symbols
4. Enter 000000 and a PIN starting with 0
5. Enter a valid 6-digit PIN</t>
        </is>
      </c>
      <c r="K670" s="24" t="inlineStr">
        <is>
          <t>Only a 6-digit PIN that does not start with 0 is accepted. Every other value shows a message on the field and is refused by the API (422).</t>
        </is>
      </c>
      <c r="L670" s="24" t="inlineStr">
        <is>
          <t>Request 3-Oct: field-level testing</t>
        </is>
      </c>
      <c r="M670" s="24" t="inlineStr">
        <is>
          <t>Pass</t>
        </is>
      </c>
      <c r="N670" s="24" t="inlineStr">
        <is>
          <t>Passed, partly covered. Local Pass (partial) · Staging Not run (rule) · Production Not run
local: not covered: the field message on the form is the browser's pattern check (pattern [0-9]{6})
staging: not run on staging: needs the server's database (local run only)</t>
        </is>
      </c>
      <c r="O670" s="24" t="n"/>
      <c r="P670" s="24" t="inlineStr">
        <is>
          <t>2026-10-24 17:06</t>
        </is>
      </c>
    </row>
    <row r="671" ht="23.25" customHeight="1" s="13">
      <c r="A671" s="24" t="inlineStr">
        <is>
          <t>TC-FLD-039</t>
        </is>
      </c>
      <c r="B671" s="24" t="inlineStr">
        <is>
          <t>Field-level validation</t>
        </is>
      </c>
      <c r="C671" s="24" t="inlineStr">
        <is>
          <t>GS-009</t>
        </is>
      </c>
      <c r="D671" s="24" t="inlineStr">
        <is>
          <t>Shop registration: categories</t>
        </is>
      </c>
      <c r="E671" s="24" t="inlineStr">
        <is>
          <t>Negative</t>
        </is>
      </c>
      <c r="F671" s="24" t="inlineStr">
        <is>
          <t>P0</t>
        </is>
      </c>
      <c r="G671" s="24" t="inlineStr">
        <is>
          <t>Customer</t>
        </is>
      </c>
      <c r="H671" s="24" t="inlineStr">
        <is>
          <t>UI+API</t>
        </is>
      </c>
      <c r="I671" s="24" t="n"/>
      <c r="J671" s="24" t="inlineStr">
        <is>
          <t>1. Submit with nothing chosen
2. Choose each option in turn and save
3. Send a value that is not in the list through the API
4. Choose several categories</t>
        </is>
      </c>
      <c r="K671" s="24" t="inlineStr">
        <is>
          <t>An empty required choice is refused. Each listed option saves and shows after reload. An unlisted value is refused (422). At least one is required; several can be chosen.</t>
        </is>
      </c>
      <c r="L671" s="24" t="inlineStr">
        <is>
          <t>Request 3-Oct: field-level testing; TC-ONB-004</t>
        </is>
      </c>
      <c r="M671" s="24" t="inlineStr">
        <is>
          <t>Pass</t>
        </is>
      </c>
      <c r="N671" s="24" t="inlineStr">
        <is>
          <t>Local Pass · Staging Not run (rule) · Production Not run
local: [] → 422; all 45 listed categories saved together and read back; unknown uuid → 422; text → 422
staging: not run on staging: needs the server's database (local run only)</t>
        </is>
      </c>
      <c r="O671" s="24" t="n"/>
      <c r="P671" s="24" t="inlineStr">
        <is>
          <t>2026-10-24 17:06</t>
        </is>
      </c>
    </row>
    <row r="672" ht="23.25" customHeight="1" s="13">
      <c r="A672" s="24" t="inlineStr">
        <is>
          <t>TC-FLD-040</t>
        </is>
      </c>
      <c r="B672" s="24" t="inlineStr">
        <is>
          <t>Field-level validation</t>
        </is>
      </c>
      <c r="C672" s="24" t="inlineStr">
        <is>
          <t>GS-006, GS-007</t>
        </is>
      </c>
      <c r="D672" s="24" t="inlineStr">
        <is>
          <t>Shop registration: Shop Act licence number</t>
        </is>
      </c>
      <c r="E672" s="24" t="inlineStr">
        <is>
          <t>Negative</t>
        </is>
      </c>
      <c r="F672" s="24" t="inlineStr">
        <is>
          <t>P1</t>
        </is>
      </c>
      <c r="G672" s="24" t="inlineStr">
        <is>
          <t>Customer</t>
        </is>
      </c>
      <c r="H672" s="24" t="inlineStr">
        <is>
          <t>UI+API</t>
        </is>
      </c>
      <c r="I672" s="24" t="n"/>
      <c r="J672" s="24" t="inlineStr">
        <is>
          <t>1. Leave it blank with a PAN given
2. Leave all three identifiers blank
3. Enter symbols and 100 characters
4. Enter a valid number in lower case with spaces</t>
        </is>
      </c>
      <c r="K672" s="24" t="inlineStr">
        <is>
          <t>Blank is fine when another identifier is given; all three blank is refused. Bad characters and over-long values are refused. Case and spaces are normalised so duplicates are still caught.</t>
        </is>
      </c>
      <c r="L672" s="24" t="inlineStr">
        <is>
          <t>Request 3-Oct: field-level testing; TC-ONB-002, TC-ONB-003</t>
        </is>
      </c>
      <c r="M672" s="24" t="inlineStr">
        <is>
          <t>Pass</t>
        </is>
      </c>
      <c r="N672" s="24" t="inlineStr">
        <is>
          <t>Local Pass · Staging Not run (rule) · Production Not run
local: blank + PAN → 201; all blank → 422; symbols / 100 chars → 422; "mh pune mvmmgfhj 0161" stored, "MH-PUNE-MVMMGFHJ-0161" from another account → 409
staging: not run on staging: needs the server's database (local run only)</t>
        </is>
      </c>
      <c r="O672" s="24" t="n"/>
      <c r="P672" s="24" t="inlineStr">
        <is>
          <t>2026-10-24 17:06</t>
        </is>
      </c>
    </row>
    <row r="673" ht="34.5" customHeight="1" s="13">
      <c r="A673" s="24" t="inlineStr">
        <is>
          <t>TC-FLD-041</t>
        </is>
      </c>
      <c r="B673" s="24" t="inlineStr">
        <is>
          <t>Field-level validation</t>
        </is>
      </c>
      <c r="C673" s="24" t="inlineStr">
        <is>
          <t>GS-007</t>
        </is>
      </c>
      <c r="D673" s="24" t="inlineStr">
        <is>
          <t>Shop registration: PAN and holder name</t>
        </is>
      </c>
      <c r="E673" s="24" t="inlineStr">
        <is>
          <t>Negative</t>
        </is>
      </c>
      <c r="F673" s="24" t="inlineStr">
        <is>
          <t>P0</t>
        </is>
      </c>
      <c r="G673" s="24" t="inlineStr">
        <is>
          <t>Customer</t>
        </is>
      </c>
      <c r="H673" s="24" t="inlineStr">
        <is>
          <t>UI+API</t>
        </is>
      </c>
      <c r="I673" s="24" t="n"/>
      <c r="J673" s="24" t="inlineStr">
        <is>
          <t>1. Enter 9 and 11 characters
2. Enter ABCDE12345 and 12345ABCDE (wrong pattern)
3. Enter abcde1234f (lower case)
4. Enter a valid PAN with the holder name blank
5. Enter a valid PAN and holder name</t>
        </is>
      </c>
      <c r="K673" s="24" t="inlineStr">
        <is>
          <t>Only the pattern AAAAA9999A is accepted; lower case is converted or refused, the same way every time. Holder name is required with a PAN. After saving, the PAN is shown masked.</t>
        </is>
      </c>
      <c r="L673" s="24" t="inlineStr">
        <is>
          <t>Request 3-Oct: field-level testing; TC-ONB-017, TC-ONB-018</t>
        </is>
      </c>
      <c r="M673" s="24" t="inlineStr">
        <is>
          <t>Pass</t>
        </is>
      </c>
      <c r="N673" s="24" t="inlineStr">
        <is>
          <t>Passed, partly covered. Local Pass (partial) · Staging Not run (rule) · Production Not run
local: not covered: the masked PAN on the owner's GST/PAN screen is checked by TC-ONB-017
staging: not run on staging: needs the server's database (local run only)</t>
        </is>
      </c>
      <c r="O673" s="24" t="n"/>
      <c r="P673" s="24" t="inlineStr">
        <is>
          <t>2026-10-24 17:06</t>
        </is>
      </c>
    </row>
    <row r="674" ht="23.25" customHeight="1" s="13">
      <c r="A674" s="24" t="inlineStr">
        <is>
          <t>TC-FLD-042</t>
        </is>
      </c>
      <c r="B674" s="24" t="inlineStr">
        <is>
          <t>Field-level validation</t>
        </is>
      </c>
      <c r="C674" s="24" t="inlineStr">
        <is>
          <t>GS-007</t>
        </is>
      </c>
      <c r="D674" s="24" t="inlineStr">
        <is>
          <t>Shop registration: Udyam number</t>
        </is>
      </c>
      <c r="E674" s="24" t="inlineStr">
        <is>
          <t>Negative</t>
        </is>
      </c>
      <c r="F674" s="24" t="inlineStr">
        <is>
          <t>P1</t>
        </is>
      </c>
      <c r="G674" s="24" t="inlineStr">
        <is>
          <t>Customer</t>
        </is>
      </c>
      <c r="H674" s="24" t="inlineStr">
        <is>
          <t>UI+API</t>
        </is>
      </c>
      <c r="I674" s="24" t="n"/>
      <c r="J674" s="24" t="inlineStr">
        <is>
          <t>1. Enter UDYAM-MH-00 (too short)
2. Enter the digits without the UDYAM- prefix
3. Enter a valid UDYAM-XX-00-0000000 number</t>
        </is>
      </c>
      <c r="K674" s="24" t="inlineStr">
        <is>
          <t>Only the full Udyam pattern is accepted.</t>
        </is>
      </c>
      <c r="L674" s="24" t="inlineStr">
        <is>
          <t>Request 3-Oct: field-level testing; TC-ONB-003</t>
        </is>
      </c>
      <c r="M674" s="24" t="inlineStr">
        <is>
          <t>Pass</t>
        </is>
      </c>
      <c r="N674" s="24" t="inlineStr">
        <is>
          <t>Local Pass · Staging Not run (rule) · Production Not run
local: UDYAM-MH-00, bare digits → 422; UDYAM-MH-26-1301534 accepted
staging: not run on staging: needs the server's database (local run only)</t>
        </is>
      </c>
      <c r="O674" s="24" t="n"/>
      <c r="P674" s="24" t="inlineStr">
        <is>
          <t>2026-10-24 17:06</t>
        </is>
      </c>
    </row>
    <row r="675" ht="23.25" customHeight="1" s="13">
      <c r="A675" s="24" t="inlineStr">
        <is>
          <t>TC-FLD-043</t>
        </is>
      </c>
      <c r="B675" s="24" t="inlineStr">
        <is>
          <t>Field-level validation</t>
        </is>
      </c>
      <c r="C675" s="24" t="inlineStr">
        <is>
          <t>GS-007</t>
        </is>
      </c>
      <c r="D675" s="24" t="inlineStr">
        <is>
          <t>Shop settings: GSTIN</t>
        </is>
      </c>
      <c r="E675" s="24" t="inlineStr">
        <is>
          <t>Negative</t>
        </is>
      </c>
      <c r="F675" s="24" t="inlineStr">
        <is>
          <t>P1</t>
        </is>
      </c>
      <c r="G675" s="24" t="inlineStr">
        <is>
          <t>Shop</t>
        </is>
      </c>
      <c r="H675" s="24" t="inlineStr">
        <is>
          <t>UI+API</t>
        </is>
      </c>
      <c r="I675" s="24" t="n"/>
      <c r="J675" s="24" t="inlineStr">
        <is>
          <t>1. Enter 14 and 16 characters
2. Enter a state code of 00 or 99
3. Enter a GSTIN whose middle part is not the shop PAN
4. Enter a GSTIN with a wrong last (check) character
5. Enter a valid GSTIN</t>
        </is>
      </c>
      <c r="K675" s="24" t="inlineStr">
        <is>
          <t>Only a 15-character GSTIN with a valid state code and check character is accepted. Record whether a PAN mismatch is refused or only flagged for the operator.</t>
        </is>
      </c>
      <c r="L675" s="24" t="inlineStr">
        <is>
          <t>Request 3-Oct: field-level testing; TC-ONB-016, TC-ONB-018</t>
        </is>
      </c>
      <c r="M675" s="24" t="inlineStr">
        <is>
          <t>Pass</t>
        </is>
      </c>
      <c r="N675" s="24" t="inlineStr">
        <is>
          <t>Local Pass · Staging Not run (rule) · Production Not run
local: 14 chars → 422; 16 chars → 422; state 00 → 422; state 99 → 422; wrong check character → 422; another PAN inside → 200 (PENDING_VERIFICATION); GSTIN validator for the wrong check character → 405 {}
staging: not run on staging: needs the server's database (local run only)</t>
        </is>
      </c>
      <c r="O675" s="24" t="inlineStr">
        <is>
          <t>D-63</t>
        </is>
      </c>
      <c r="P675" s="24" t="inlineStr">
        <is>
          <t>2026-10-24 17:06</t>
        </is>
      </c>
    </row>
    <row r="676" ht="45.75" customHeight="1" s="13">
      <c r="A676" s="24" t="inlineStr">
        <is>
          <t>TC-FLD-044</t>
        </is>
      </c>
      <c r="B676" s="24" t="inlineStr">
        <is>
          <t>Field-level validation</t>
        </is>
      </c>
      <c r="C676" s="24" t="inlineStr">
        <is>
          <t>GS-007</t>
        </is>
      </c>
      <c r="D676" s="24" t="inlineStr">
        <is>
          <t>Shop settings: FSSAI number</t>
        </is>
      </c>
      <c r="E676" s="24" t="inlineStr">
        <is>
          <t>Negative</t>
        </is>
      </c>
      <c r="F676" s="24" t="inlineStr">
        <is>
          <t>P2</t>
        </is>
      </c>
      <c r="G676" s="24" t="inlineStr">
        <is>
          <t>Shop</t>
        </is>
      </c>
      <c r="H676" s="24" t="inlineStr">
        <is>
          <t>UI+API</t>
        </is>
      </c>
      <c r="I676" s="24" t="n"/>
      <c r="J676" s="24" t="inlineStr">
        <is>
          <t>1. Leave it blank
2. Enter 13 and 15 digits
3. Enter letters
4. Enter 14 digits</t>
        </is>
      </c>
      <c r="K676" s="24" t="inlineStr">
        <is>
          <t>Blank is accepted where FSSAI is optional. Only 14 digits are accepted otherwise.</t>
        </is>
      </c>
      <c r="L676" s="24" t="inlineStr">
        <is>
          <t>Request 3-Oct: field-level testing; TC-ONB-019</t>
        </is>
      </c>
      <c r="M676" s="24" t="inlineStr">
        <is>
          <t>Pass</t>
        </is>
      </c>
      <c r="N676" s="24" t="inlineStr">
        <is>
          <t>Passed, partly covered. Local Pass (partial) · Staging Not run (rule) · Production Not run
local: not covered: expected 'the owner saves' superseded by src/app/api/shops/[id]/compliance/route.ts header: legal name, GSTIN and FSSAI are 'verifiable regulatory credentials … through the same admin/operator-gated path as classification, not the shop owner's own settings form'
staging: not run on staging: needs the server's database (local run only)</t>
        </is>
      </c>
      <c r="O676" s="24" t="inlineStr">
        <is>
          <t>D-74</t>
        </is>
      </c>
      <c r="P676" s="24" t="inlineStr">
        <is>
          <t>2026-10-24 17:06</t>
        </is>
      </c>
    </row>
    <row r="677" ht="34.5" customHeight="1" s="13">
      <c r="A677" s="24" t="inlineStr">
        <is>
          <t>TC-FLD-045</t>
        </is>
      </c>
      <c r="B677" s="24" t="inlineStr">
        <is>
          <t>Field-level validation</t>
        </is>
      </c>
      <c r="C677" s="24" t="inlineStr">
        <is>
          <t>GS-007</t>
        </is>
      </c>
      <c r="D677" s="24" t="inlineStr">
        <is>
          <t>Shop settings: legal name and return policy</t>
        </is>
      </c>
      <c r="E677" s="24" t="inlineStr">
        <is>
          <t>Negative</t>
        </is>
      </c>
      <c r="F677" s="24" t="inlineStr">
        <is>
          <t>P2</t>
        </is>
      </c>
      <c r="G677" s="24" t="inlineStr">
        <is>
          <t>Shop</t>
        </is>
      </c>
      <c r="H677" s="24" t="inlineStr">
        <is>
          <t>UI+API</t>
        </is>
      </c>
      <c r="I677" s="24" t="n"/>
      <c r="J677" s="24" t="inlineStr">
        <is>
          <t>1. Leave it blank
2. Enter 300+ characters
3. Enter &lt;script&gt;alert(1)&lt;/script&gt; and symbols
4. Enter Hindi / Marathi text
5. Enter a normal value</t>
        </is>
      </c>
      <c r="K677" s="24" t="inlineStr">
        <is>
          <t>Blank is accepted. Over-long text is cut or refused at the limit, never a 500 (record the limit). Script text is shown as plain text. Hindi / Marathi text saves and displays correctly.</t>
        </is>
      </c>
      <c r="L677" s="24" t="inlineStr">
        <is>
          <t>Request 3-Oct: field-level testing; TC-ONB-019</t>
        </is>
      </c>
      <c r="M677" s="24" t="inlineStr">
        <is>
          <t>Pass</t>
        </is>
      </c>
      <c r="N677" s="24" t="inlineStr">
        <is>
          <t>Passed, partly covered. Local Pass (partial) · Staging Not run (rule) · Production Not run
local: not covered: expected 'the owner saves' superseded by src/app/api/shops/[id]/compliance/route.ts header: legal name, GSTIN and FSSAI are 'verifiable regulatory credentials … through the same admin/operator-gated path as classification, not the shop owner's own settings form'
staging: not run on staging: needs the server's database (local run only)</t>
        </is>
      </c>
      <c r="O677" s="24" t="n"/>
      <c r="P677" s="24" t="inlineStr">
        <is>
          <t>2026-10-24 17:06</t>
        </is>
      </c>
    </row>
    <row r="678" ht="23.25" customHeight="1" s="13">
      <c r="A678" s="24" t="inlineStr">
        <is>
          <t>TC-FLD-046</t>
        </is>
      </c>
      <c r="B678" s="24" t="inlineStr">
        <is>
          <t>Field-level validation</t>
        </is>
      </c>
      <c r="C678" s="24" t="inlineStr">
        <is>
          <t>GS-006, GS-010</t>
        </is>
      </c>
      <c r="D678" s="24" t="inlineStr">
        <is>
          <t>Shop registration: delivery settings (delivers, fee)</t>
        </is>
      </c>
      <c r="E678" s="24" t="inlineStr">
        <is>
          <t>Negative</t>
        </is>
      </c>
      <c r="F678" s="24" t="inlineStr">
        <is>
          <t>P1</t>
        </is>
      </c>
      <c r="G678" s="24" t="inlineStr">
        <is>
          <t>Customer</t>
        </is>
      </c>
      <c r="H678" s="24" t="inlineStr">
        <is>
          <t>UI+API</t>
        </is>
      </c>
      <c r="I678" s="24" t="n"/>
      <c r="J678" s="24" t="inlineStr">
        <is>
          <t>1. Choose delivers = yes with the fee blank
2. Enter a negative fee and text
3. Choose delivers = no</t>
        </is>
      </c>
      <c r="K678" s="24" t="inlineStr">
        <is>
          <t>A delivering shop needs a valid fee (0 allowed for free delivery). Negative and text are refused. With delivery off the fee is not asked for.</t>
        </is>
      </c>
      <c r="L678" s="24" t="inlineStr">
        <is>
          <t>Request 3-Oct: field-level testing</t>
        </is>
      </c>
      <c r="M678" s="24" t="inlineStr">
        <is>
          <t>Pass</t>
        </is>
      </c>
      <c r="N678" s="24" t="inlineStr">
        <is>
          <t>Local Pass · Staging Not run (rule) · Production Not run
local: fee -100 / "abc" / 10.5 paise → 422; 0 (free) accepted; delivery off → no fee asked (field hidden); a blank fee on the form is sent as 0 paise (free delivery)
staging: not run on staging: needs the server's database (local run only)</t>
        </is>
      </c>
      <c r="O678" s="24" t="n"/>
      <c r="P678" s="24" t="inlineStr">
        <is>
          <t>2026-10-24 17:06</t>
        </is>
      </c>
    </row>
    <row r="679" ht="23.25" customHeight="1" s="13">
      <c r="A679" s="24" t="inlineStr">
        <is>
          <t>TC-FLD-047</t>
        </is>
      </c>
      <c r="B679" s="24" t="inlineStr">
        <is>
          <t>Field-level validation</t>
        </is>
      </c>
      <c r="C679" s="24" t="inlineStr">
        <is>
          <t>GS-007</t>
        </is>
      </c>
      <c r="D679" s="24" t="inlineStr">
        <is>
          <t>Shop KYC: document upload</t>
        </is>
      </c>
      <c r="E679" s="24" t="inlineStr">
        <is>
          <t>Negative</t>
        </is>
      </c>
      <c r="F679" s="24" t="inlineStr">
        <is>
          <t>P1</t>
        </is>
      </c>
      <c r="G679" s="24" t="inlineStr">
        <is>
          <t>Shop</t>
        </is>
      </c>
      <c r="H679" s="24" t="inlineStr">
        <is>
          <t>UI+API</t>
        </is>
      </c>
      <c r="I679" s="24" t="n"/>
      <c r="J679" s="24" t="inlineStr">
        <is>
          <t>1. Submit with no file
2. Upload a file over the size limit
3. Upload a wrong type and a PDF / SVG renamed to .jpg
4. Upload an empty (0 byte) file
5. Upload a valid file</t>
        </is>
      </c>
      <c r="K679" s="24" t="inlineStr">
        <is>
          <t>Missing, oversized, wrong-type, disguised and empty files are refused with a clear message (content is checked, not the name). The valid file is accepted and shown. The document is visible to the owner and operations only.</t>
        </is>
      </c>
      <c r="L679" s="24" t="inlineStr">
        <is>
          <t>Request 3-Oct: field-level testing; TC-ONB-020</t>
        </is>
      </c>
      <c r="M679" s="24" t="inlineStr">
        <is>
          <t>Pass</t>
        </is>
      </c>
      <c r="N679" s="24" t="inlineStr">
        <is>
          <t>Passed, partly covered. Local Pass (partial) · Staging Not run (rule) · Production Not run
local: not covered: TC-FLD-047's 'valid file accepted and shown' is proven by TC-ONB-044
staging: not run on staging: needs the server's database (local run only)</t>
        </is>
      </c>
      <c r="O679" s="24" t="inlineStr">
        <is>
          <t>D-64</t>
        </is>
      </c>
      <c r="P679" s="24" t="inlineStr">
        <is>
          <t>2026-10-24 17:06</t>
        </is>
      </c>
    </row>
    <row r="680" ht="23.25" customHeight="1" s="13">
      <c r="A680" s="24" t="inlineStr">
        <is>
          <t>TC-FLD-048</t>
        </is>
      </c>
      <c r="B680" s="24" t="inlineStr">
        <is>
          <t>Field-level validation</t>
        </is>
      </c>
      <c r="C680" s="24" t="inlineStr">
        <is>
          <t>GS-054</t>
        </is>
      </c>
      <c r="D680" s="24" t="inlineStr">
        <is>
          <t>Shop registration: referral code</t>
        </is>
      </c>
      <c r="E680" s="24" t="inlineStr">
        <is>
          <t>Negative</t>
        </is>
      </c>
      <c r="F680" s="24" t="inlineStr">
        <is>
          <t>P2</t>
        </is>
      </c>
      <c r="G680" s="24" t="inlineStr">
        <is>
          <t>Customer</t>
        </is>
      </c>
      <c r="H680" s="24" t="inlineStr">
        <is>
          <t>UI+API</t>
        </is>
      </c>
      <c r="I680" s="24" t="n"/>
      <c r="J680" s="24" t="inlineStr">
        <is>
          <t>1. Leave it blank
2. Enter 300+ characters
3. Enter &lt;script&gt;alert(1)&lt;/script&gt; and symbols
4. Enter Hindi / Marathi text
5. Enter a normal value
6. Enter an unknown code</t>
        </is>
      </c>
      <c r="K680" s="24" t="inlineStr">
        <is>
          <t>Blank is accepted. Over-long text is cut or refused at the limit, never a 500 (record the limit). Script text is shown as plain text. Hindi / Marathi text saves and displays correctly. An unknown code gives a clear message and does not block registration (or blocks it, the same way every time).</t>
        </is>
      </c>
      <c r="L680" s="24" t="inlineStr">
        <is>
          <t>Request 3-Oct: field-level testing; TC-ONB-025</t>
        </is>
      </c>
      <c r="M680" s="24" t="inlineStr">
        <is>
          <t>Pass</t>
        </is>
      </c>
      <c r="N680" s="24" t="inlineStr">
        <is>
          <t>Local Pass · Staging Not run (rule) · Production Not run
local: blank → 201; 301 chars → 422 (limit 32, input maxLength 32); &lt;script&gt;x&lt;/script&gt; → 422, संदर्भ → 422, NOPEmvmmgfhj → 422, NOPEmvmmgfhj → 422 — an unknown code blocks registration consistently, with a message on the field
staging: not run on staging: needs the server's database (local run only)</t>
        </is>
      </c>
      <c r="O680" s="24" t="n"/>
      <c r="P680" s="24" t="inlineStr">
        <is>
          <t>2026-10-24 17:06</t>
        </is>
      </c>
    </row>
    <row r="681" ht="34.5" customHeight="1" s="13">
      <c r="A681" s="24" t="inlineStr">
        <is>
          <t>TC-FLD-049</t>
        </is>
      </c>
      <c r="B681" s="24" t="inlineStr">
        <is>
          <t>Field-level validation</t>
        </is>
      </c>
      <c r="C681" s="24" t="inlineStr">
        <is>
          <t>GS-010</t>
        </is>
      </c>
      <c r="D681" s="24" t="inlineStr">
        <is>
          <t>Shop settings: delivery radius</t>
        </is>
      </c>
      <c r="E681" s="24" t="inlineStr">
        <is>
          <t>Negative</t>
        </is>
      </c>
      <c r="F681" s="24" t="inlineStr">
        <is>
          <t>P1</t>
        </is>
      </c>
      <c r="G681" s="24" t="inlineStr">
        <is>
          <t>Shop</t>
        </is>
      </c>
      <c r="H681" s="24" t="inlineStr">
        <is>
          <t>UI+API</t>
        </is>
      </c>
      <c r="I681" s="24" t="n"/>
      <c r="J681" s="24" t="inlineStr">
        <is>
          <t>1. Enter empty, 0, -1, 2.5, text
2. Enter 1 and 50
3. Enter 51</t>
        </is>
      </c>
      <c r="K681" s="24" t="inlineStr">
        <is>
          <t>Whole kilometres from 1 to 50 only. Everything else is refused (422) and the stored value is unchanged.</t>
        </is>
      </c>
      <c r="L681" s="24" t="inlineStr">
        <is>
          <t>Request 3-Oct: field-level testing; extends TC-LOC-012</t>
        </is>
      </c>
      <c r="M681" s="24" t="inlineStr">
        <is>
          <t>Pass</t>
        </is>
      </c>
      <c r="N681" s="24" t="inlineStr">
        <is>
          <t>Passed, partly covered. Local Pass (partial) · Staging Pass (partial) · Production Not run
local: not covered: the form's number box (min 1, max 50, step 1) is not driven
staging: not covered: the form's number box (min 1, max 50, step 1) is not driven</t>
        </is>
      </c>
      <c r="O681" s="24" t="n"/>
      <c r="P681" s="24" t="inlineStr">
        <is>
          <t>2026-10-24 20:37</t>
        </is>
      </c>
    </row>
    <row r="682" ht="23.25" customHeight="1" s="13">
      <c r="A682" s="24" t="inlineStr">
        <is>
          <t>TC-FLD-050</t>
        </is>
      </c>
      <c r="B682" s="24" t="inlineStr">
        <is>
          <t>Field-level validation</t>
        </is>
      </c>
      <c r="C682" s="24" t="inlineStr">
        <is>
          <t>NEW-005</t>
        </is>
      </c>
      <c r="D682" s="24" t="inlineStr">
        <is>
          <t>Shop settings: extra delivery PIN zones</t>
        </is>
      </c>
      <c r="E682" s="24" t="inlineStr">
        <is>
          <t>Negative</t>
        </is>
      </c>
      <c r="F682" s="24" t="inlineStr">
        <is>
          <t>P1</t>
        </is>
      </c>
      <c r="G682" s="24" t="inlineStr">
        <is>
          <t>Shop</t>
        </is>
      </c>
      <c r="H682" s="24" t="inlineStr">
        <is>
          <t>UI+API</t>
        </is>
      </c>
      <c r="I682" s="24" t="n"/>
      <c r="J682" s="24" t="inlineStr">
        <is>
          <t>1. Leave it blank
2. Enter 5 digits, then 7 digits
3. Enter letters and symbols
4. Enter 000000 and a PIN starting with 0
5. Enter a valid 6-digit PIN
6. Add the same PIN twice
7. Add the shop own PIN</t>
        </is>
      </c>
      <c r="K682" s="24" t="inlineStr">
        <is>
          <t>Only a 6-digit PIN that does not start with 0 is accepted. Every other value shows a message on the field and is refused by the API (422). A duplicate PIN is refused or stored once.</t>
        </is>
      </c>
      <c r="L682" s="24" t="inlineStr">
        <is>
          <t>Request 3-Oct: field-level testing; TC-LOC-015</t>
        </is>
      </c>
      <c r="M682" s="24" t="inlineStr">
        <is>
          <t>Pass</t>
        </is>
      </c>
      <c r="N682" s="24" t="inlineStr">
        <is>
          <t>Local Pass · Staging Pass · Production Not run
local: blank accepted; 41103 → 422, 4110381 → 422, 41a03b → 422, 000000 → 422, 011038 → 422; 411045 twice → stored ["411045"]; the shop's own PIN 411038 → 200 (["411038"])
staging: blank accepted; 41103 → 422, 4110381 → 422, 41a03b → 422, 000000 → 422, 011038 → 422; 411045 twice → stored ["411045"]; the shop's own PIN 411005 → 200 (["411005"])</t>
        </is>
      </c>
      <c r="O682" s="24" t="n"/>
      <c r="P682" s="24" t="inlineStr">
        <is>
          <t>2026-10-24 20:37</t>
        </is>
      </c>
    </row>
    <row r="683" ht="34.5" customHeight="1" s="13">
      <c r="A683" s="24" t="inlineStr">
        <is>
          <t>TC-FLD-051</t>
        </is>
      </c>
      <c r="B683" s="24" t="inlineStr">
        <is>
          <t>Field-level validation</t>
        </is>
      </c>
      <c r="C683" s="24" t="inlineStr">
        <is>
          <t>NEW-005</t>
        </is>
      </c>
      <c r="D683" s="24" t="inlineStr">
        <is>
          <t>Shop settings: minimum order value</t>
        </is>
      </c>
      <c r="E683" s="24" t="inlineStr">
        <is>
          <t>Boundary</t>
        </is>
      </c>
      <c r="F683" s="24" t="inlineStr">
        <is>
          <t>P1</t>
        </is>
      </c>
      <c r="G683" s="24" t="inlineStr">
        <is>
          <t>Shop</t>
        </is>
      </c>
      <c r="H683" s="24" t="inlineStr">
        <is>
          <t>UI+API</t>
        </is>
      </c>
      <c r="I683" s="24" t="n"/>
      <c r="J683" s="24" t="inlineStr">
        <is>
          <t>1. Leave it blank
2. Enter 0, then a negative amount
3. Enter text and symbols
4. Enter 3 decimal places (10.555)
5. Enter a very large amount (10,00,00,000)
6. Enter 70.50</t>
        </is>
      </c>
      <c r="K683" s="24" t="inlineStr">
        <is>
          <t>Zero, negative, text, more than 2 decimals and out-of-range amounts are refused with a field message and 422 from the API. Rs 70.50 is stored as 7050 paise and shown as Rs 70.50. Blank or 0 means no minimum (record which).</t>
        </is>
      </c>
      <c r="L683" s="24" t="inlineStr">
        <is>
          <t>Request 3-Oct: field-level testing; TC-LOC-022</t>
        </is>
      </c>
      <c r="M683" s="24" t="inlineStr">
        <is>
          <t>Fail</t>
        </is>
      </c>
      <c r="N683" s="24" t="inlineStr">
        <is>
          <t>Local Pass · Staging Fail · Production Not run
local: negative → 422, text → 422, 10.555 → 422, ₹10 crore → 422; 0 accepted (no minimum); ₹70.50 → 7050 paise, shown back as 70.5
staging: expect(received).toBe(expected) // Object.is equality | Expected: 7050 | Received: 0</t>
        </is>
      </c>
      <c r="O683" s="24" t="inlineStr">
        <is>
          <t>D-75</t>
        </is>
      </c>
      <c r="P683" s="24" t="inlineStr">
        <is>
          <t>2026-10-24 20:38</t>
        </is>
      </c>
    </row>
    <row r="684" ht="34.5" customHeight="1" s="13">
      <c r="A684" s="24" t="inlineStr">
        <is>
          <t>TC-FLD-052</t>
        </is>
      </c>
      <c r="B684" s="24" t="inlineStr">
        <is>
          <t>Field-level validation</t>
        </is>
      </c>
      <c r="C684" s="24" t="inlineStr">
        <is>
          <t>NAV-006</t>
        </is>
      </c>
      <c r="D684" s="24" t="inlineStr">
        <is>
          <t>Shop settings: opening hours</t>
        </is>
      </c>
      <c r="E684" s="24" t="inlineStr">
        <is>
          <t>Negative</t>
        </is>
      </c>
      <c r="F684" s="24" t="inlineStr">
        <is>
          <t>P1</t>
        </is>
      </c>
      <c r="G684" s="24" t="inlineStr">
        <is>
          <t>Shop</t>
        </is>
      </c>
      <c r="H684" s="24" t="inlineStr">
        <is>
          <t>UI+API</t>
        </is>
      </c>
      <c r="I684" s="24" t="n"/>
      <c r="J684" s="24" t="inlineStr">
        <is>
          <t>1. Set closing before opening
2. Set opening = closing
3. Set a day as closed
4. Set hours across midnight (22:00 to 02:00)
5. Send 25:00 through the API</t>
        </is>
      </c>
      <c r="K684" s="24" t="inlineStr">
        <is>
          <t>Impossible times are refused. Closed days and overnight hours save and drive the open / closed label in IST.</t>
        </is>
      </c>
      <c r="L684" s="24" t="inlineStr">
        <is>
          <t>Request 3-Oct: field-level testing; TC-LOC-026</t>
        </is>
      </c>
      <c r="M684" s="24" t="inlineStr">
        <is>
          <t>Pass</t>
        </is>
      </c>
      <c r="N684" s="24" t="inlineStr">
        <is>
          <t>Passed, partly covered. Local Pass (partial) · Staging Pass (partial) · Production Not run
local: not covered: closing-before-opening is the overnight case, so it cannot be both refused and accepted; it is judged as overnight
staging: not covered: closing-before-opening is the overnight case, so it cannot be both refused and accepted; it is judged as overnight</t>
        </is>
      </c>
      <c r="O684" s="24" t="inlineStr">
        <is>
          <t>D-10, D-65</t>
        </is>
      </c>
      <c r="P684" s="24" t="inlineStr">
        <is>
          <t>2026-10-24 20:38</t>
        </is>
      </c>
    </row>
    <row r="685" ht="34.5" customHeight="1" s="13">
      <c r="A685" s="24" t="inlineStr">
        <is>
          <t>TC-FLD-053</t>
        </is>
      </c>
      <c r="B685" s="24" t="inlineStr">
        <is>
          <t>Field-level validation</t>
        </is>
      </c>
      <c r="C685" s="24" t="inlineStr">
        <is>
          <t>NAV-006</t>
        </is>
      </c>
      <c r="D685" s="24" t="inlineStr">
        <is>
          <t>Shop settings: delivery fee and free-delivery threshold</t>
        </is>
      </c>
      <c r="E685" s="24" t="inlineStr">
        <is>
          <t>Boundary</t>
        </is>
      </c>
      <c r="F685" s="24" t="inlineStr">
        <is>
          <t>P1</t>
        </is>
      </c>
      <c r="G685" s="24" t="inlineStr">
        <is>
          <t>Shop</t>
        </is>
      </c>
      <c r="H685" s="24" t="inlineStr">
        <is>
          <t>UI+API</t>
        </is>
      </c>
      <c r="I685" s="24" t="n"/>
      <c r="J685" s="24" t="inlineStr">
        <is>
          <t>1. Leave it blank
2. Enter 0, then a negative amount
3. Enter text and symbols
4. Enter 3 decimal places (10.555)
5. Enter a very large amount (10,00,00,000)
6. Enter 70.50
7. Enter fee 0
8. Leave the threshold blank</t>
        </is>
      </c>
      <c r="K685" s="24" t="inlineStr">
        <is>
          <t>Zero, negative, text, more than 2 decimals and out-of-range amounts are refused with a field message and 422 from the API. Rs 70.50 is stored as 7050 paise and shown as Rs 70.50. Fee 0 is accepted (free delivery). A blank threshold means the fee always applies.</t>
        </is>
      </c>
      <c r="L685" s="24" t="inlineStr">
        <is>
          <t>Request 3-Oct: field-level testing; TC-ONB-029</t>
        </is>
      </c>
      <c r="M685" s="24" t="inlineStr">
        <is>
          <t>Pass</t>
        </is>
      </c>
      <c r="N685" s="24" t="inlineStr">
        <is>
          <t>Passed, partly covered. Local Pass (partial) · Staging Pass (partial) · Production Not run
local: not covered: no owner screen edits these (API only); 'shown as ₹70.50' — the shop page prints whole rupees
staging: not covered: no owner screen edits these (API only); 'shown as ₹70.50' — the shop page prints whole rupees</t>
        </is>
      </c>
      <c r="O685" s="24" t="inlineStr">
        <is>
          <t>D-75</t>
        </is>
      </c>
      <c r="P685" s="24" t="inlineStr">
        <is>
          <t>2026-10-24 20:39</t>
        </is>
      </c>
    </row>
    <row r="686" ht="23.25" customHeight="1" s="13">
      <c r="A686" s="24" t="inlineStr">
        <is>
          <t>TC-FLD-054</t>
        </is>
      </c>
      <c r="B686" s="24" t="inlineStr">
        <is>
          <t>Field-level validation</t>
        </is>
      </c>
      <c r="C686" s="24" t="inlineStr">
        <is>
          <t>NAV-006</t>
        </is>
      </c>
      <c r="D686" s="24" t="inlineStr">
        <is>
          <t>Shop settings: preparation time</t>
        </is>
      </c>
      <c r="E686" s="24" t="inlineStr">
        <is>
          <t>Boundary</t>
        </is>
      </c>
      <c r="F686" s="24" t="inlineStr">
        <is>
          <t>P2</t>
        </is>
      </c>
      <c r="G686" s="24" t="inlineStr">
        <is>
          <t>Shop</t>
        </is>
      </c>
      <c r="H686" s="24" t="inlineStr">
        <is>
          <t>UI+API</t>
        </is>
      </c>
      <c r="I686" s="24" t="n"/>
      <c r="J686" s="24" t="inlineStr">
        <is>
          <t>1. Leave it blank
2. Enter 0
3. Enter -1
4. Enter 1.5
5. Enter text
6. Enter 99999999
7. Enter a normal whole number</t>
        </is>
      </c>
      <c r="K686" s="24" t="inlineStr">
        <is>
          <t>Negative, decimal, text and out-of-range values are refused with a field message and by the API. The normal value saves and shows after reload. 0 is accepted or refused according to the form; record the allowed range.</t>
        </is>
      </c>
      <c r="L686" s="24" t="inlineStr">
        <is>
          <t>Request 3-Oct: field-level testing; TC-ONB-029</t>
        </is>
      </c>
      <c r="M686" s="24" t="inlineStr">
        <is>
          <t>Pass</t>
        </is>
      </c>
      <c r="N686" s="24" t="inlineStr">
        <is>
          <t>Local Pass · Staging Pass · Production Not run
local: preparation time is editable
staging: preparation time is editable</t>
        </is>
      </c>
      <c r="O686" s="24" t="inlineStr">
        <is>
          <t>D-76</t>
        </is>
      </c>
      <c r="P686" s="24" t="inlineStr">
        <is>
          <t>2026-10-24 20:39</t>
        </is>
      </c>
    </row>
    <row r="687" ht="57.45" customHeight="1" s="13">
      <c r="A687" s="24" t="inlineStr">
        <is>
          <t>TC-FLD-055</t>
        </is>
      </c>
      <c r="B687" s="24" t="inlineStr">
        <is>
          <t>Field-level validation</t>
        </is>
      </c>
      <c r="C687" s="24" t="inlineStr">
        <is>
          <t>NAV-006</t>
        </is>
      </c>
      <c r="D687" s="24" t="inlineStr">
        <is>
          <t>Shop settings: description</t>
        </is>
      </c>
      <c r="E687" s="24" t="inlineStr">
        <is>
          <t>Negative</t>
        </is>
      </c>
      <c r="F687" s="24" t="inlineStr">
        <is>
          <t>P2</t>
        </is>
      </c>
      <c r="G687" s="24" t="inlineStr">
        <is>
          <t>Shop</t>
        </is>
      </c>
      <c r="H687" s="24" t="inlineStr">
        <is>
          <t>UI+API</t>
        </is>
      </c>
      <c r="I687" s="24" t="n"/>
      <c r="J687" s="24" t="inlineStr">
        <is>
          <t>1. Leave it blank
2. Enter 300+ characters
3. Enter &lt;script&gt;alert(1)&lt;/script&gt; and symbols
4. Enter Hindi / Marathi text
5. Enter a normal value</t>
        </is>
      </c>
      <c r="K687" s="24" t="inlineStr">
        <is>
          <t>Blank is accepted. Over-long text is cut or refused at the limit, never a 500 (record the limit). Script text is shown as plain text. Hindi / Marathi text saves and displays correctly. Line breaks are kept on the shop page.</t>
        </is>
      </c>
      <c r="L687" s="24" t="inlineStr">
        <is>
          <t>Request 3-Oct: field-level testing; TC-ONB-029</t>
        </is>
      </c>
      <c r="M687" s="24" t="inlineStr">
        <is>
          <t>Pass</t>
        </is>
      </c>
      <c r="N687" s="24" t="inlineStr">
        <is>
          <t>Local Pass · Staging Pass · Production Not run
local: blank ok; 1001 chars → 422 (limit 1000); script shown as text; Marathi kept; line break kept
staging: blank ok; 1001 chars → 422 (limit 1000); script shown as text; Marathi kept; line break kept</t>
        </is>
      </c>
      <c r="O687" s="24" t="inlineStr">
        <is>
          <t>D-77</t>
        </is>
      </c>
      <c r="P687" s="24" t="inlineStr">
        <is>
          <t>2026-10-24 20:40</t>
        </is>
      </c>
    </row>
    <row r="688" ht="57.45" customHeight="1" s="13">
      <c r="A688" s="24" t="inlineStr">
        <is>
          <t>TC-FLD-056</t>
        </is>
      </c>
      <c r="B688" s="24" t="inlineStr">
        <is>
          <t>Field-level validation</t>
        </is>
      </c>
      <c r="C688" s="24" t="inlineStr">
        <is>
          <t>NAV-006</t>
        </is>
      </c>
      <c r="D688" s="24" t="inlineStr">
        <is>
          <t>Shop settings: logo</t>
        </is>
      </c>
      <c r="E688" s="24" t="inlineStr">
        <is>
          <t>Negative</t>
        </is>
      </c>
      <c r="F688" s="24" t="inlineStr">
        <is>
          <t>P2</t>
        </is>
      </c>
      <c r="G688" s="24" t="inlineStr">
        <is>
          <t>Shop</t>
        </is>
      </c>
      <c r="H688" s="24" t="inlineStr">
        <is>
          <t>UI+API</t>
        </is>
      </c>
      <c r="I688" s="24" t="n"/>
      <c r="J688" s="24" t="inlineStr">
        <is>
          <t>1. Submit with no file
2. Upload a file over the size limit
3. Upload a wrong type and a PDF / SVG renamed to .jpg
4. Upload an empty (0 byte) file
5. Upload a valid file</t>
        </is>
      </c>
      <c r="K688" s="24" t="inlineStr">
        <is>
          <t>Missing, oversized, wrong-type, disguised and empty files are refused with a clear message (content is checked, not the name). The valid file is accepted and shown. Without a logo the shop shows a neutral placeholder.</t>
        </is>
      </c>
      <c r="L688" s="24" t="inlineStr">
        <is>
          <t>Request 3-Oct: field-level testing; TC-ONB-029</t>
        </is>
      </c>
      <c r="M688" s="24" t="inlineStr">
        <is>
          <t>Fail</t>
        </is>
      </c>
      <c r="N688" s="24" t="inlineStr">
        <is>
          <t>Local Fail · Staging Fail · Production Not run
local: no logo upload exists (no file input on the shop's settings screens; logoUrl is a free URL — "not a url" → 422, "javascript:alert(1)" → 422) | expect(received).toEqual(expected) // deep equality | - Expected  - 1 | + Received  + 1
staging: no logo upload exists (no file input on the shop's settings screens; logoUrl is a free URL — "not a url" → 422, "javascript:alert(1)" → 422) | expect(received).toEqual(expected) // deep equality | - Expected  - 1 | + Received  + 1</t>
        </is>
      </c>
      <c r="O688" s="24" t="inlineStr">
        <is>
          <t>D-78</t>
        </is>
      </c>
      <c r="P688" s="24" t="inlineStr">
        <is>
          <t>2026-10-24 20:40</t>
        </is>
      </c>
    </row>
    <row r="689" ht="35.05" customHeight="1" s="13">
      <c r="A689" s="24" t="inlineStr">
        <is>
          <t>TC-FLD-057</t>
        </is>
      </c>
      <c r="B689" s="24" t="inlineStr">
        <is>
          <t>Field-level validation</t>
        </is>
      </c>
      <c r="C689" s="24" t="inlineStr">
        <is>
          <t>NEW-005, GS-030</t>
        </is>
      </c>
      <c r="D689" s="24" t="inlineStr">
        <is>
          <t>Shop settings: delivery, pause-orders and COD switches</t>
        </is>
      </c>
      <c r="E689" s="24" t="inlineStr">
        <is>
          <t>Positive</t>
        </is>
      </c>
      <c r="F689" s="24" t="inlineStr">
        <is>
          <t>P1</t>
        </is>
      </c>
      <c r="G689" s="24" t="inlineStr">
        <is>
          <t>Shop</t>
        </is>
      </c>
      <c r="H689" s="24" t="inlineStr">
        <is>
          <t>UI+API</t>
        </is>
      </c>
      <c r="I689" s="24" t="n"/>
      <c r="J689" s="24" t="inlineStr">
        <is>
          <t>1. Switch on, save and reload
2. Switch off, save and reload
3. Send a non-boolean value through the API</t>
        </is>
      </c>
      <c r="K689" s="24" t="inlineStr">
        <is>
          <t>The state persists both ways and takes effect where it should. A non-boolean value is refused. Delivery off: shop is not listed as delivering. Pause on: no new orders. COD on: customers are offered COD.</t>
        </is>
      </c>
      <c r="L689" s="24" t="inlineStr">
        <is>
          <t>Request 3-Oct: field-level testing; TC-LOC-023, TC-COD-001</t>
        </is>
      </c>
      <c r="M689" s="24" t="inlineStr">
        <is>
          <t>Fail</t>
        </is>
      </c>
      <c r="N689" s="24" t="inlineStr">
        <is>
          <t>Local Fail · Staging Pass (partial) · Production Not run
local: a line from shop A — HTTP 409: This product is currently unavailable online. | expect(received).toContain(expected) // indexOf | Expected value: 409 | Received array: [200, 201]
staging: not covered: 'COD on: customers are offered COD' also needs the platform COD rule and a cart from this shop — covered by the COD cases</t>
        </is>
      </c>
      <c r="O689" s="24" t="n"/>
      <c r="P689" s="24" t="inlineStr">
        <is>
          <t>2026-10-24 20:42</t>
        </is>
      </c>
    </row>
    <row r="690" ht="91" customHeight="1" s="13">
      <c r="A690" s="24" t="inlineStr">
        <is>
          <t>TC-FLD-058</t>
        </is>
      </c>
      <c r="B690" s="24" t="inlineStr">
        <is>
          <t>Field-level validation</t>
        </is>
      </c>
      <c r="C690" s="24" t="inlineStr">
        <is>
          <t>GS-015, NEW-008</t>
        </is>
      </c>
      <c r="D690" s="24" t="inlineStr">
        <is>
          <t>Shop listing: online price</t>
        </is>
      </c>
      <c r="E690" s="24" t="inlineStr">
        <is>
          <t>Boundary</t>
        </is>
      </c>
      <c r="F690" s="24" t="inlineStr">
        <is>
          <t>P0</t>
        </is>
      </c>
      <c r="G690" s="24" t="inlineStr">
        <is>
          <t>Shop</t>
        </is>
      </c>
      <c r="H690" s="24" t="inlineStr">
        <is>
          <t>UI+API</t>
        </is>
      </c>
      <c r="I690" s="24" t="inlineStr">
        <is>
          <t>Packaged product with MRP Rs 50</t>
        </is>
      </c>
      <c r="J690" s="24" t="inlineStr">
        <is>
          <t>1. Leave it blank
2. Enter 0, then a negative amount
3. Enter text and symbols
4. Enter 3 decimal places (10.555)
5. Enter a very large amount (10,00,00,000)
6. Enter 70.50
7. Enter 51 (above the MRP)
8. On a loose product leave the price blank</t>
        </is>
      </c>
      <c r="K690" s="24" t="inlineStr">
        <is>
          <t>Zero, negative, text, more than 2 decimals and out-of-range amounts are refused with a field message and 422 from the API. Rs 70.50 is stored as 7050 paise and shown as Rs 70.50. Above the MRP is refused. Blank is refused for a packaged product on sale online, and accepted for a loose product, which then stays unpriced.</t>
        </is>
      </c>
      <c r="L690" s="24" t="inlineStr">
        <is>
          <t>Request 3-Oct: field-level testing; TC-CAT-004, TC-CAT-007</t>
        </is>
      </c>
      <c r="M690" s="24" t="inlineStr">
        <is>
          <t>Pass</t>
        </is>
      </c>
      <c r="N690" s="24" t="inlineStr">
        <is>
          <t>Local Pass · Staging Not run (rule) · Production Not run
local: blank while on sale online → 422; ₹0 → 422; −₹1 → 422; text → 422; 10.555 (1055.5 paise) → 422; ₹10,00,00,000 → 422; ₹51 above the ₹50 MRP → 422; ₹70.50 → 200; loose: blank price, off sale → 200
staging: not run on staging: needs the server's database (local run only)</t>
        </is>
      </c>
      <c r="O690" s="24" t="inlineStr">
        <is>
          <t>D-97</t>
        </is>
      </c>
      <c r="P690" s="24" t="inlineStr">
        <is>
          <t>2026-10-24 17:05</t>
        </is>
      </c>
    </row>
    <row r="691" ht="68.65000000000001" customHeight="1" s="13">
      <c r="A691" s="24" t="inlineStr">
        <is>
          <t>TC-FLD-059</t>
        </is>
      </c>
      <c r="B691" s="24" t="inlineStr">
        <is>
          <t>Field-level validation</t>
        </is>
      </c>
      <c r="C691" s="24" t="inlineStr">
        <is>
          <t>GS-012</t>
        </is>
      </c>
      <c r="D691" s="24" t="inlineStr">
        <is>
          <t>Shop listing: in-shop (offline) price</t>
        </is>
      </c>
      <c r="E691" s="24" t="inlineStr">
        <is>
          <t>Boundary</t>
        </is>
      </c>
      <c r="F691" s="24" t="inlineStr">
        <is>
          <t>P1</t>
        </is>
      </c>
      <c r="G691" s="24" t="inlineStr">
        <is>
          <t>Shop</t>
        </is>
      </c>
      <c r="H691" s="24" t="inlineStr">
        <is>
          <t>UI+API</t>
        </is>
      </c>
      <c r="I691" s="24" t="n"/>
      <c r="J691" s="24" t="inlineStr">
        <is>
          <t>1. Leave it blank
2. Enter 0, then a negative amount
3. Enter text and symbols
4. Enter 3 decimal places (10.555)
5. Enter a very large amount (10,00,00,000)
6. Enter 70.50</t>
        </is>
      </c>
      <c r="K691" s="24" t="inlineStr">
        <is>
          <t>Zero, negative, text, more than 2 decimals and out-of-range amounts are refused with a field message and 422 from the API. Rs 70.50 is stored as 7050 paise and shown as Rs 70.50. Blank is accepted when in-shop sale is off.</t>
        </is>
      </c>
      <c r="L691" s="24" t="inlineStr">
        <is>
          <t>Request 3-Oct: field-level testing; TC-CAT-004</t>
        </is>
      </c>
      <c r="M691" s="24" t="inlineStr">
        <is>
          <t>Pass</t>
        </is>
      </c>
      <c r="N691" s="24" t="inlineStr">
        <is>
          <t>Passed, partly covered. Local Pass (partial) · Staging Not run (rule) · Production Not run
local: not covered: API only; the form's handling of decimals is the same input as the online price (TC-FLD-058)
staging: not run on staging: needs the server's database (local run only)</t>
        </is>
      </c>
      <c r="O691" s="24" t="inlineStr">
        <is>
          <t>D-97</t>
        </is>
      </c>
      <c r="P691" s="24" t="inlineStr">
        <is>
          <t>2026-10-24 17:05</t>
        </is>
      </c>
    </row>
    <row r="692" ht="79.84999999999999" customHeight="1" s="13">
      <c r="A692" s="24" t="inlineStr">
        <is>
          <t>TC-FLD-060</t>
        </is>
      </c>
      <c r="B692" s="24" t="inlineStr">
        <is>
          <t>Field-level validation</t>
        </is>
      </c>
      <c r="C692" s="24" t="inlineStr">
        <is>
          <t>NEW-010, GS-015</t>
        </is>
      </c>
      <c r="D692" s="24" t="inlineStr">
        <is>
          <t>Shop listing: MRP (own shop)</t>
        </is>
      </c>
      <c r="E692" s="24" t="inlineStr">
        <is>
          <t>Boundary</t>
        </is>
      </c>
      <c r="F692" s="24" t="inlineStr">
        <is>
          <t>P0</t>
        </is>
      </c>
      <c r="G692" s="24" t="inlineStr">
        <is>
          <t>Shop</t>
        </is>
      </c>
      <c r="H692" s="24" t="inlineStr">
        <is>
          <t>UI+API</t>
        </is>
      </c>
      <c r="I692" s="24" t="inlineStr">
        <is>
          <t>Listing priced at Rs 48</t>
        </is>
      </c>
      <c r="J692" s="24" t="inlineStr">
        <is>
          <t>1. Leave it blank
2. Enter 0, then a negative amount
3. Enter text and symbols
4. Enter 3 decimal places (10.555)
5. Enter a very large amount (10,00,00,000)
6. Enter 70.50
7. Enter an MRP below the current price (45)</t>
        </is>
      </c>
      <c r="K692" s="24" t="inlineStr">
        <is>
          <t>Zero, negative, text, more than 2 decimals and out-of-range amounts are refused with a field message and 422 from the API. Rs 70.50 is stored as 7050 paise and shown as Rs 70.50. An MRP below the selling price is refused or the price must be lowered first. The saved MRP applies to this shop only.</t>
        </is>
      </c>
      <c r="L692" s="24" t="inlineStr">
        <is>
          <t>Request 3-Oct: field-level testing; TC-CAT-062</t>
        </is>
      </c>
      <c r="M692" s="24" t="inlineStr">
        <is>
          <t>Pass</t>
        </is>
      </c>
      <c r="N692" s="24" t="inlineStr">
        <is>
          <t>Passed, partly covered. Local Pass (partial) · Staging Not run (rule) · Production Not run
local: not covered: expected 'the saved MRP applies to this shop only' superseded by docs/product-import-2026-10/README.md ('Decisions taken' 1) and docs/three-modules-2026-10/PLAN.md §1.2: there is no shop-level MRP field; the master MRP is operations-only (a shop raises a correction), and the bulk upload's MRP column is kept per listing only to guard the price
staging: not run on staging: needs the server's database (local run only)</t>
        </is>
      </c>
      <c r="O692" s="24" t="n"/>
      <c r="P692" s="24" t="inlineStr">
        <is>
          <t>2026-10-24 17:05</t>
        </is>
      </c>
    </row>
    <row r="693" ht="91" customHeight="1" s="13">
      <c r="A693" s="24" t="inlineStr">
        <is>
          <t>TC-FLD-061</t>
        </is>
      </c>
      <c r="B693" s="24" t="inlineStr">
        <is>
          <t>Field-level validation</t>
        </is>
      </c>
      <c r="C693" s="24" t="inlineStr">
        <is>
          <t>GS-016</t>
        </is>
      </c>
      <c r="D693" s="24" t="inlineStr">
        <is>
          <t>Shop listing: stock quantity</t>
        </is>
      </c>
      <c r="E693" s="24" t="inlineStr">
        <is>
          <t>Boundary</t>
        </is>
      </c>
      <c r="F693" s="24" t="inlineStr">
        <is>
          <t>P0</t>
        </is>
      </c>
      <c r="G693" s="24" t="inlineStr">
        <is>
          <t>Shop</t>
        </is>
      </c>
      <c r="H693" s="24" t="inlineStr">
        <is>
          <t>UI+API</t>
        </is>
      </c>
      <c r="I693" s="24" t="n"/>
      <c r="J693" s="24" t="inlineStr">
        <is>
          <t>1. Leave it blank
2. Enter 0
3. Enter -1
4. Enter 1.5
5. Enter text
6. Enter 99999999
7. Enter a normal whole number
8. On a loose product enter 2.5</t>
        </is>
      </c>
      <c r="K693" s="24" t="inlineStr">
        <is>
          <t>Negative, decimal, text and out-of-range values are refused with a field message and by the API. The normal value saves and shows after reload. 0 is accepted and shows out of stock. Decimals are accepted only for loose goods.</t>
        </is>
      </c>
      <c r="L693" s="24" t="inlineStr">
        <is>
          <t>Request 3-Oct: field-level testing; TC-CAT-017</t>
        </is>
      </c>
      <c r="M693" s="24" t="inlineStr">
        <is>
          <t>Pass</t>
        </is>
      </c>
      <c r="N693" s="24" t="inlineStr">
        <is>
          <t>Passed, partly covered. Local Pass (partial) · Staging Not run (rule) · Production Not run
local: not covered: decimals for loose goods are TC-SPI-025 (refused: whole steps only)
staging: not run on staging: needs the server's database (local run only)</t>
        </is>
      </c>
      <c r="O693" s="24" t="inlineStr">
        <is>
          <t>D-97</t>
        </is>
      </c>
      <c r="P693" s="24" t="inlineStr">
        <is>
          <t>2026-10-24 17:05</t>
        </is>
      </c>
    </row>
    <row r="694" ht="79.84999999999999" customHeight="1" s="13">
      <c r="A694" s="24" t="inlineStr">
        <is>
          <t>TC-FLD-062</t>
        </is>
      </c>
      <c r="B694" s="24" t="inlineStr">
        <is>
          <t>Field-level validation</t>
        </is>
      </c>
      <c r="C694" s="24" t="inlineStr">
        <is>
          <t>GS-017</t>
        </is>
      </c>
      <c r="D694" s="24" t="inlineStr">
        <is>
          <t>Shop listing: low-stock threshold</t>
        </is>
      </c>
      <c r="E694" s="24" t="inlineStr">
        <is>
          <t>Boundary</t>
        </is>
      </c>
      <c r="F694" s="24" t="inlineStr">
        <is>
          <t>P2</t>
        </is>
      </c>
      <c r="G694" s="24" t="inlineStr">
        <is>
          <t>Shop</t>
        </is>
      </c>
      <c r="H694" s="24" t="inlineStr">
        <is>
          <t>UI+API</t>
        </is>
      </c>
      <c r="I694" s="24" t="n"/>
      <c r="J694" s="24" t="inlineStr">
        <is>
          <t>1. Leave it blank
2. Enter 0
3. Enter -1
4. Enter 1.5
5. Enter text
6. Enter 99999999
7. Enter a normal whole number</t>
        </is>
      </c>
      <c r="K694" s="24" t="inlineStr">
        <is>
          <t>Negative, decimal, text and out-of-range values are refused with a field message and by the API. The normal value saves and shows after reload. Blank falls back to the product or shop default.</t>
        </is>
      </c>
      <c r="L694" s="24" t="inlineStr">
        <is>
          <t>Request 3-Oct: field-level testing; TC-CAT-019</t>
        </is>
      </c>
      <c r="M694" s="24" t="inlineStr">
        <is>
          <t>Pass</t>
        </is>
      </c>
      <c r="N694" s="24" t="inlineStr">
        <is>
          <t>Passed, partly covered. Local Pass (partial) · Staging Not run (rule) · Production Not run
local: not covered: API only (the inventory page sends the same fields)
staging: not run on staging: needs the server's database (local run only)</t>
        </is>
      </c>
      <c r="O694" s="24" t="inlineStr">
        <is>
          <t>D-97</t>
        </is>
      </c>
      <c r="P694" s="24" t="inlineStr">
        <is>
          <t>2026-10-24 17:05</t>
        </is>
      </c>
    </row>
    <row r="695" ht="79.84999999999999" customHeight="1" s="13">
      <c r="A695" s="24" t="inlineStr">
        <is>
          <t>TC-FLD-063</t>
        </is>
      </c>
      <c r="B695" s="24" t="inlineStr">
        <is>
          <t>Field-level validation</t>
        </is>
      </c>
      <c r="C695" s="24" t="inlineStr">
        <is>
          <t>GS-018</t>
        </is>
      </c>
      <c r="D695" s="24" t="inlineStr">
        <is>
          <t>Shop listing: reorder level and reorder quantity</t>
        </is>
      </c>
      <c r="E695" s="24" t="inlineStr">
        <is>
          <t>Boundary</t>
        </is>
      </c>
      <c r="F695" s="24" t="inlineStr">
        <is>
          <t>P2</t>
        </is>
      </c>
      <c r="G695" s="24" t="inlineStr">
        <is>
          <t>Shop</t>
        </is>
      </c>
      <c r="H695" s="24" t="inlineStr">
        <is>
          <t>UI+API</t>
        </is>
      </c>
      <c r="I695" s="24" t="n"/>
      <c r="J695" s="24" t="inlineStr">
        <is>
          <t>1. Leave it blank
2. Enter 0
3. Enter -1
4. Enter 1.5
5. Enter text
6. Enter 99999999
7. Enter a normal whole number</t>
        </is>
      </c>
      <c r="K695" s="24" t="inlineStr">
        <is>
          <t>Negative, decimal, text and out-of-range values are refused with a field message and by the API. The normal value saves and shows after reload. Blank is accepted (no reorder hint).</t>
        </is>
      </c>
      <c r="L695" s="24" t="inlineStr">
        <is>
          <t>Request 3-Oct: field-level testing; TC-CAT-021</t>
        </is>
      </c>
      <c r="M695" s="24" t="inlineStr">
        <is>
          <t>Pass</t>
        </is>
      </c>
      <c r="N695" s="24" t="inlineStr">
        <is>
          <t>Passed, partly covered. Local Pass (partial) · Staging Not run (rule) · Production Not run
local: not covered: API only (the inventory page sends the same fields)
staging: not run on staging: needs the server's database (local run only)</t>
        </is>
      </c>
      <c r="O695" s="24" t="inlineStr">
        <is>
          <t>D-97</t>
        </is>
      </c>
      <c r="P695" s="24" t="inlineStr">
        <is>
          <t>2026-10-24 17:05</t>
        </is>
      </c>
    </row>
    <row r="696" ht="46.25" customHeight="1" s="13">
      <c r="A696" s="24" t="inlineStr">
        <is>
          <t>TC-FLD-064</t>
        </is>
      </c>
      <c r="B696" s="24" t="inlineStr">
        <is>
          <t>Field-level validation</t>
        </is>
      </c>
      <c r="C696" s="24" t="inlineStr">
        <is>
          <t>GS-012</t>
        </is>
      </c>
      <c r="D696" s="24" t="inlineStr">
        <is>
          <t>Shop listing: sell online / sell in shop switches</t>
        </is>
      </c>
      <c r="E696" s="24" t="inlineStr">
        <is>
          <t>Positive</t>
        </is>
      </c>
      <c r="F696" s="24" t="inlineStr">
        <is>
          <t>P1</t>
        </is>
      </c>
      <c r="G696" s="24" t="inlineStr">
        <is>
          <t>Shop</t>
        </is>
      </c>
      <c r="H696" s="24" t="inlineStr">
        <is>
          <t>UI+API</t>
        </is>
      </c>
      <c r="I696" s="24" t="n"/>
      <c r="J696" s="24" t="inlineStr">
        <is>
          <t>1. Switch on, save and reload
2. Switch off, save and reload
3. Send a non-boolean value through the API
4. Switch online sale on with the price blank</t>
        </is>
      </c>
      <c r="K696" s="24" t="inlineStr">
        <is>
          <t>The state persists both ways and takes effect where it should. A non-boolean value is refused. Online sale cannot be on without a price.</t>
        </is>
      </c>
      <c r="L696" s="24" t="inlineStr">
        <is>
          <t>Request 3-Oct: field-level testing; TC-CAT-004</t>
        </is>
      </c>
      <c r="M696" s="24" t="inlineStr">
        <is>
          <t>Pass</t>
        </is>
      </c>
      <c r="N696" s="24" t="inlineStr">
        <is>
          <t>Local Pass · Staging Not run (rule) · Production Not run
local: offline on with a price → 200; online off → 200; online on again → 200; non-boolean "yes" → 422; 1 for a switch → 422; online on with the price blank → 422
staging: not run on staging: needs the server's database (local run only)</t>
        </is>
      </c>
      <c r="O696" s="24" t="n"/>
      <c r="P696" s="24" t="inlineStr">
        <is>
          <t>2026-10-24 17:05</t>
        </is>
      </c>
    </row>
    <row r="697" ht="46.25" customHeight="1" s="13">
      <c r="A697" s="24" t="inlineStr">
        <is>
          <t>TC-FLD-065</t>
        </is>
      </c>
      <c r="B697" s="24" t="inlineStr">
        <is>
          <t>Field-level validation</t>
        </is>
      </c>
      <c r="C697" s="24" t="inlineStr">
        <is>
          <t>GS-016</t>
        </is>
      </c>
      <c r="D697" s="24" t="inlineStr">
        <is>
          <t>Stock adjustment: quantity and reason</t>
        </is>
      </c>
      <c r="E697" s="24" t="inlineStr">
        <is>
          <t>Negative</t>
        </is>
      </c>
      <c r="F697" s="24" t="inlineStr">
        <is>
          <t>P1</t>
        </is>
      </c>
      <c r="G697" s="24" t="inlineStr">
        <is>
          <t>Shop</t>
        </is>
      </c>
      <c r="H697" s="24" t="inlineStr">
        <is>
          <t>UI+API</t>
        </is>
      </c>
      <c r="I697" s="24" t="inlineStr">
        <is>
          <t>Listing at stock 10</t>
        </is>
      </c>
      <c r="J697" s="24" t="inlineStr">
        <is>
          <t>1. Enter 0, text and a decimal on a packaged product
2. Reduce by 11
3. Leave the reason blank
4. Add 5 with a reason</t>
        </is>
      </c>
      <c r="K697" s="24" t="inlineStr">
        <is>
          <t>Invalid quantities and a reduction below zero are refused. Record whether the reason is required. The valid entry writes a movement.</t>
        </is>
      </c>
      <c r="L697" s="24" t="inlineStr">
        <is>
          <t>Request 3-Oct: field-level testing</t>
        </is>
      </c>
      <c r="M697" s="24" t="inlineStr">
        <is>
          <t>Pass</t>
        </is>
      </c>
      <c r="N697" s="24" t="inlineStr">
        <is>
          <t>Local Pass · Staging Not run (rule) · Production Not run
local: write-off 0 → 422; write-off text → 422; write-off 1.5 units of a packaged product (1500 milli) → 422; reduce by 11 of 10 → 422; write-off 1 with no reason → 201; add 5 with a reason (physical count 15) → 200; the reason is optional (recorded when given)
staging: not run on staging: needs the server's database (local run only)</t>
        </is>
      </c>
      <c r="O697" s="24" t="inlineStr">
        <is>
          <t>D-97</t>
        </is>
      </c>
      <c r="P697" s="24" t="inlineStr">
        <is>
          <t>2026-10-24 17:05</t>
        </is>
      </c>
    </row>
    <row r="698" ht="68.65000000000001" customHeight="1" s="13">
      <c r="A698" s="24" t="inlineStr">
        <is>
          <t>TC-FLD-066</t>
        </is>
      </c>
      <c r="B698" s="24" t="inlineStr">
        <is>
          <t>Field-level validation</t>
        </is>
      </c>
      <c r="C698" s="24" t="inlineStr">
        <is>
          <t>GS-014</t>
        </is>
      </c>
      <c r="D698" s="24" t="inlineStr">
        <is>
          <t>Product photo upload</t>
        </is>
      </c>
      <c r="E698" s="24" t="inlineStr">
        <is>
          <t>Negative</t>
        </is>
      </c>
      <c r="F698" s="24" t="inlineStr">
        <is>
          <t>P1</t>
        </is>
      </c>
      <c r="G698" s="24" t="inlineStr">
        <is>
          <t>Shop</t>
        </is>
      </c>
      <c r="H698" s="24" t="inlineStr">
        <is>
          <t>UI</t>
        </is>
      </c>
      <c r="I698" s="24" t="n"/>
      <c r="J698" s="24" t="inlineStr">
        <is>
          <t>1. Submit with no file
2. Upload a file over the size limit
3. Upload a wrong type and a PDF / SVG renamed to .jpg
4. Upload an empty (0 byte) file
5. Upload a valid file
6. Upload a 20 x 20 px image</t>
        </is>
      </c>
      <c r="K698" s="24" t="inlineStr">
        <is>
          <t>Missing, oversized, wrong-type, disguised and empty files are refused with a clear message (content is checked, not the name). The valid file is accepted and shown. Too-small images are refused.</t>
        </is>
      </c>
      <c r="L698" s="24" t="inlineStr">
        <is>
          <t>Request 3-Oct: field-level testing; TC-CAT-023</t>
        </is>
      </c>
      <c r="M698" s="24" t="inlineStr">
        <is>
          <t>Pass</t>
        </is>
      </c>
      <c r="N698" s="24" t="inlineStr">
        <is>
          <t>Passed, partly covered. Local Pass (partial) · Staging Not run (rule) · Production Not run
local: not covered: the upload API (the page's uploader shrinks the image first and posts the same file)
staging: not run on staging: needs the server's database (local run only)</t>
        </is>
      </c>
      <c r="O698" s="24" t="n"/>
      <c r="P698" s="24" t="inlineStr">
        <is>
          <t>2026-10-24 17:05</t>
        </is>
      </c>
    </row>
    <row r="699" ht="57.45" customHeight="1" s="13">
      <c r="A699" s="24" t="inlineStr">
        <is>
          <t>TC-FLD-067</t>
        </is>
      </c>
      <c r="B699" s="24" t="inlineStr">
        <is>
          <t>Field-level validation</t>
        </is>
      </c>
      <c r="C699" s="24" t="inlineStr">
        <is>
          <t>GS-014</t>
        </is>
      </c>
      <c r="D699" s="24" t="inlineStr">
        <is>
          <t>Shop listing: specifications text</t>
        </is>
      </c>
      <c r="E699" s="24" t="inlineStr">
        <is>
          <t>Negative</t>
        </is>
      </c>
      <c r="F699" s="24" t="inlineStr">
        <is>
          <t>P2</t>
        </is>
      </c>
      <c r="G699" s="24" t="inlineStr">
        <is>
          <t>Shop</t>
        </is>
      </c>
      <c r="H699" s="24" t="inlineStr">
        <is>
          <t>UI+API</t>
        </is>
      </c>
      <c r="I699" s="24" t="n"/>
      <c r="J699" s="24" t="inlineStr">
        <is>
          <t>1. Leave it blank
2. Enter 300+ characters
3. Enter &lt;script&gt;alert(1)&lt;/script&gt; and symbols
4. Enter Hindi / Marathi text
5. Enter a normal value</t>
        </is>
      </c>
      <c r="K699" s="24" t="inlineStr">
        <is>
          <t>Blank is accepted. Over-long text is cut or refused at the limit, never a 500 (record the limit). Script text is shown as plain text. Hindi / Marathi text saves and displays correctly.</t>
        </is>
      </c>
      <c r="L699" s="24" t="inlineStr">
        <is>
          <t>Request 3-Oct: field-level testing; TC-CAT-026</t>
        </is>
      </c>
      <c r="M699" s="24" t="inlineStr">
        <is>
          <t>Pass</t>
        </is>
      </c>
      <c r="N699" s="24" t="inlineStr">
        <is>
          <t>Local Pass · Staging Not run (rule) · Production Not run
local: blank → 200; 300 characters → 422; script text → 200; Hindi / Marathi → 200; accepted up to 160 characters (short description limit from rule shopProductMedia); Hindi saved
staging: not run on staging: needs the server's database (local run only)</t>
        </is>
      </c>
      <c r="O699" s="24" t="n"/>
      <c r="P699" s="24" t="inlineStr">
        <is>
          <t>2026-10-24 17:05</t>
        </is>
      </c>
    </row>
    <row r="700" ht="102.2" customHeight="1" s="13">
      <c r="A700" s="24" t="inlineStr">
        <is>
          <t>TC-FLD-068</t>
        </is>
      </c>
      <c r="B700" s="24" t="inlineStr">
        <is>
          <t>Field-level validation</t>
        </is>
      </c>
      <c r="C700" s="24" t="inlineStr">
        <is>
          <t>GS-011</t>
        </is>
      </c>
      <c r="D700" s="24" t="inlineStr">
        <is>
          <t>New product by a shop: name, brand, pack size, unit</t>
        </is>
      </c>
      <c r="E700" s="24" t="inlineStr">
        <is>
          <t>Negative</t>
        </is>
      </c>
      <c r="F700" s="24" t="inlineStr">
        <is>
          <t>P1</t>
        </is>
      </c>
      <c r="G700" s="24" t="inlineStr">
        <is>
          <t>Shop</t>
        </is>
      </c>
      <c r="H700" s="24" t="inlineStr">
        <is>
          <t>UI+API</t>
        </is>
      </c>
      <c r="I700" s="24" t="n"/>
      <c r="J700" s="24" t="inlineStr">
        <is>
          <t>1. Leave it blank
2. Enter spaces only
3. Enter 1 character
4. Enter 300+ characters
5. Enter &lt;script&gt;alert(1)&lt;/script&gt; and symbols
6. Enter Hindi / Marathi text
7. Enter a normal value with spaces before and after
8. Enter pack size 0, negative and text
9. Choose each unit</t>
        </is>
      </c>
      <c r="K700" s="24" t="inlineStr">
        <is>
          <t>Blank and spaces-only are refused with a field message. Over-long text is cut or refused at the limit, never a 500 (record the limit). Script text is stored and shown as plain text. Hindi / Marathi text saves and displays correctly. Outer spaces are trimmed. Pack size must be a positive number with a unit from the list.</t>
        </is>
      </c>
      <c r="L700" s="24" t="inlineStr">
        <is>
          <t>Request 3-Oct: field-level testing; TC-CAT-002</t>
        </is>
      </c>
      <c r="M700" s="24" t="inlineStr">
        <is>
          <t>Pass</t>
        </is>
      </c>
      <c r="N700" s="24" t="inlineStr">
        <is>
          <t>Passed, partly covered. Local Pass (partial) · Staging Not run (rule) · Production Not run
local: not covered: the product form has no brand field (a new product's brand is not asked for); API only
staging: not run on staging: needs the server's database (local run only)</t>
        </is>
      </c>
      <c r="O700" s="24" t="inlineStr">
        <is>
          <t>D-97</t>
        </is>
      </c>
      <c r="P700" s="24" t="inlineStr">
        <is>
          <t>2026-10-24 17:05</t>
        </is>
      </c>
    </row>
    <row r="701" ht="57.45" customHeight="1" s="13">
      <c r="A701" s="24" t="inlineStr">
        <is>
          <t>TC-FLD-069</t>
        </is>
      </c>
      <c r="B701" s="24" t="inlineStr">
        <is>
          <t>Field-level validation</t>
        </is>
      </c>
      <c r="C701" s="24" t="inlineStr">
        <is>
          <t>NEW-009, GS-009</t>
        </is>
      </c>
      <c r="D701" s="24" t="inlineStr">
        <is>
          <t>Shop: add-category picker</t>
        </is>
      </c>
      <c r="E701" s="24" t="inlineStr">
        <is>
          <t>Negative</t>
        </is>
      </c>
      <c r="F701" s="24" t="inlineStr">
        <is>
          <t>P0</t>
        </is>
      </c>
      <c r="G701" s="24" t="inlineStr">
        <is>
          <t>Shop</t>
        </is>
      </c>
      <c r="H701" s="24" t="inlineStr">
        <is>
          <t>UI+API</t>
        </is>
      </c>
      <c r="I701" s="24" t="n"/>
      <c r="J701" s="24" t="inlineStr">
        <is>
          <t>1. Submit with nothing chosen
2. Choose each option in turn and save
3. Send a value that is not in the list through the API
4. Choose a category the shop already has
5. Send a category id that does not exist through the API</t>
        </is>
      </c>
      <c r="K701" s="24" t="inlineStr">
        <is>
          <t>An empty required choice is refused. Each listed option saves and shows after reload. An unlisted value is refused (422). An already-added category is refused or ignored without duplicates. An unknown id is refused (404 / 422) and no products are added.</t>
        </is>
      </c>
      <c r="L701" s="24" t="inlineStr">
        <is>
          <t>Request 3-Oct: field-level testing; TC-CAT-043</t>
        </is>
      </c>
      <c r="M701" s="24" t="inlineStr">
        <is>
          <t>Pass</t>
        </is>
      </c>
      <c r="N701" s="24" t="inlineStr">
        <is>
          <t>Passed, partly covered. Local Pass (partial) · Staging Not run (rule) · Production Not run
local: not covered: two of the listed options were saved (each adds that category's products to shop B), not every option
staging: not run on staging: needs the server's database (local run only)</t>
        </is>
      </c>
      <c r="O701" s="24" t="n"/>
      <c r="P701" s="24" t="inlineStr">
        <is>
          <t>2026-10-24 17:05</t>
        </is>
      </c>
    </row>
    <row r="702" ht="68.65000000000001" customHeight="1" s="13">
      <c r="A702" s="24" t="inlineStr">
        <is>
          <t>TC-FLD-070</t>
        </is>
      </c>
      <c r="B702" s="24" t="inlineStr">
        <is>
          <t>Field-level validation</t>
        </is>
      </c>
      <c r="C702" s="24" t="inlineStr">
        <is>
          <t>GS-013</t>
        </is>
      </c>
      <c r="D702" s="24" t="inlineStr">
        <is>
          <t>Excel upload: file field</t>
        </is>
      </c>
      <c r="E702" s="24" t="inlineStr">
        <is>
          <t>Negative</t>
        </is>
      </c>
      <c r="F702" s="24" t="inlineStr">
        <is>
          <t>P1</t>
        </is>
      </c>
      <c r="G702" s="24" t="inlineStr">
        <is>
          <t>Shop</t>
        </is>
      </c>
      <c r="H702" s="24" t="inlineStr">
        <is>
          <t>UI</t>
        </is>
      </c>
      <c r="I702" s="24" t="n"/>
      <c r="J702" s="24" t="inlineStr">
        <is>
          <t>1. Submit with no file
2. Upload a file over the size limit
3. Upload a wrong type and a PDF / SVG renamed to .jpg
4. Upload an empty (0 byte) file
5. Upload a valid file
6. Upload a sheet with headers only</t>
        </is>
      </c>
      <c r="K702" s="24" t="inlineStr">
        <is>
          <t>Missing, oversized, wrong-type, disguised and empty files are refused with a clear message (content is checked, not the name). The valid file is accepted and shown. A headers-only sheet reports nothing to apply.</t>
        </is>
      </c>
      <c r="L702" s="24" t="inlineStr">
        <is>
          <t>Request 3-Oct: field-level testing; TC-CAT-014</t>
        </is>
      </c>
      <c r="M702" s="24" t="inlineStr">
        <is>
          <t>Pass</t>
        </is>
      </c>
      <c r="N702" s="24" t="inlineStr">
        <is>
          <t>Passed, partly covered. Local Pass (partial) · Staging Not run (rule) · Production Not run
local: not covered: the upload API (the page posts the same form); the upload limit is rule spreadsheets.maxBytes
staging: not run on staging: needs the server's database (local run only)</t>
        </is>
      </c>
      <c r="O702" s="24" t="n"/>
      <c r="P702" s="24" t="inlineStr">
        <is>
          <t>2026-10-24 17:05</t>
        </is>
      </c>
    </row>
    <row r="703" ht="91" customHeight="1" s="13">
      <c r="A703" s="24" t="inlineStr">
        <is>
          <t>TC-FLD-071</t>
        </is>
      </c>
      <c r="B703" s="24" t="inlineStr">
        <is>
          <t>Field-level validation</t>
        </is>
      </c>
      <c r="C703" s="24" t="inlineStr">
        <is>
          <t>GS-011</t>
        </is>
      </c>
      <c r="D703" s="24" t="inlineStr">
        <is>
          <t>Product master: product name</t>
        </is>
      </c>
      <c r="E703" s="24" t="inlineStr">
        <is>
          <t>Negative</t>
        </is>
      </c>
      <c r="F703" s="24" t="inlineStr">
        <is>
          <t>P1</t>
        </is>
      </c>
      <c r="G703" s="24" t="inlineStr">
        <is>
          <t>Operator</t>
        </is>
      </c>
      <c r="H703" s="24" t="inlineStr">
        <is>
          <t>UI+API</t>
        </is>
      </c>
      <c r="I703" s="24" t="n"/>
      <c r="J703" s="24" t="inlineStr">
        <is>
          <t>1. Leave it blank
2. Enter spaces only
3. Enter 1 character
4. Enter 300+ characters
5. Enter &lt;script&gt;alert(1)&lt;/script&gt; and symbols
6. Enter Hindi / Marathi text
7. Enter a normal value with spaces before and after
8. Enter the name of an existing product</t>
        </is>
      </c>
      <c r="K703" s="24" t="inlineStr">
        <is>
          <t>Blank and spaces-only are refused with a field message. Over-long text is cut or refused at the limit, never a 500 (record the limit). Script text is stored and shown as plain text. Hindi / Marathi text saves and displays correctly. Outer spaces are trimmed. A likely duplicate is flagged before saving.</t>
        </is>
      </c>
      <c r="L703" s="24" t="inlineStr">
        <is>
          <t>Request 3-Oct: field-level testing; TC-CAT-001</t>
        </is>
      </c>
      <c r="M703" s="24" t="inlineStr">
        <is>
          <t>Pass</t>
        </is>
      </c>
      <c r="N703" s="24" t="inlineStr">
        <is>
          <t>Local Pass · Staging Not run (rule) · Production Not run
local: blank 422, spaces 422, 1 char 422, 301 chars 422 (limit 200); pipeline: spaces → NAME_MISSING; script and Marathi stored verbatim; trimmed; near-duplicate → 409 "This looks similar to an existing product: QA Butter 100 g mvmkyclr. Resubmit wi"; the same name in capitals → 409 
staging: not run on staging: needs the server's database (local run only)</t>
        </is>
      </c>
      <c r="O703" s="24" t="n"/>
      <c r="P703" s="24" t="inlineStr">
        <is>
          <t>2026-10-24 17:06</t>
        </is>
      </c>
    </row>
    <row r="704" ht="35.05" customHeight="1" s="13">
      <c r="A704" s="24" t="inlineStr">
        <is>
          <t>TC-FLD-072</t>
        </is>
      </c>
      <c r="B704" s="24" t="inlineStr">
        <is>
          <t>Field-level validation</t>
        </is>
      </c>
      <c r="C704" s="24" t="inlineStr">
        <is>
          <t>GS-011, GS-009</t>
        </is>
      </c>
      <c r="D704" s="24" t="inlineStr">
        <is>
          <t>Product master: category</t>
        </is>
      </c>
      <c r="E704" s="24" t="inlineStr">
        <is>
          <t>Negative</t>
        </is>
      </c>
      <c r="F704" s="24" t="inlineStr">
        <is>
          <t>P1</t>
        </is>
      </c>
      <c r="G704" s="24" t="inlineStr">
        <is>
          <t>Operator</t>
        </is>
      </c>
      <c r="H704" s="24" t="inlineStr">
        <is>
          <t>UI+API</t>
        </is>
      </c>
      <c r="I704" s="24" t="n"/>
      <c r="J704" s="24" t="inlineStr">
        <is>
          <t>1. Submit with nothing chosen
2. Choose each option in turn and save
3. Send a value that is not in the list through the API</t>
        </is>
      </c>
      <c r="K704" s="24" t="inlineStr">
        <is>
          <t>An empty required choice is refused. Each listed option saves and shows after reload. An unlisted value is refused (422).</t>
        </is>
      </c>
      <c r="L704" s="24" t="inlineStr">
        <is>
          <t>Request 3-Oct: field-level testing</t>
        </is>
      </c>
      <c r="M704" s="24" t="inlineStr">
        <is>
          <t>Pass</t>
        </is>
      </c>
      <c r="N704" s="24" t="inlineStr">
        <is>
          <t>Passed, partly covered. Local Pass (partial) · Staging Not run (rule) · Production Not run
local: not covered: 'an empty required choice is refused' is superseded by the documented default to General (docs/category-management/README.md, Screens)
staging: not run on staging: needs the server's database (local run only)</t>
        </is>
      </c>
      <c r="O704" s="24" t="n"/>
      <c r="P704" s="24" t="inlineStr">
        <is>
          <t>2026-10-24 17:06</t>
        </is>
      </c>
    </row>
    <row r="705" ht="57.45" customHeight="1" s="13">
      <c r="A705" s="24" t="inlineStr">
        <is>
          <t>TC-FLD-073</t>
        </is>
      </c>
      <c r="B705" s="24" t="inlineStr">
        <is>
          <t>Field-level validation</t>
        </is>
      </c>
      <c r="C705" s="24" t="inlineStr">
        <is>
          <t>GS-011</t>
        </is>
      </c>
      <c r="D705" s="24" t="inlineStr">
        <is>
          <t>Product master: brand and manufacturer</t>
        </is>
      </c>
      <c r="E705" s="24" t="inlineStr">
        <is>
          <t>Negative</t>
        </is>
      </c>
      <c r="F705" s="24" t="inlineStr">
        <is>
          <t>P2</t>
        </is>
      </c>
      <c r="G705" s="24" t="inlineStr">
        <is>
          <t>Operator</t>
        </is>
      </c>
      <c r="H705" s="24" t="inlineStr">
        <is>
          <t>UI+API</t>
        </is>
      </c>
      <c r="I705" s="24" t="n"/>
      <c r="J705" s="24" t="inlineStr">
        <is>
          <t>1. Leave it blank
2. Enter 300+ characters
3. Enter &lt;script&gt;alert(1)&lt;/script&gt; and symbols
4. Enter Hindi / Marathi text
5. Enter a normal value</t>
        </is>
      </c>
      <c r="K705" s="24" t="inlineStr">
        <is>
          <t>Blank is accepted. Over-long text is cut or refused at the limit, never a 500 (record the limit). Script text is shown as plain text. Hindi / Marathi text saves and displays correctly.</t>
        </is>
      </c>
      <c r="L705" s="24" t="inlineStr">
        <is>
          <t>Request 3-Oct: field-level testing</t>
        </is>
      </c>
      <c r="M705" s="24" t="inlineStr">
        <is>
          <t>Pass</t>
        </is>
      </c>
      <c r="N705" s="24" t="inlineStr">
        <is>
          <t>Passed, partly covered. Local Pass (partial) · Staging Not run (rule) · Production Not run
local: not covered: the catalogue's own product form has no brand or manufacturer field — they come from the product master
staging: not run on staging: needs the server's database (local run only)</t>
        </is>
      </c>
      <c r="O705" s="24" t="n"/>
      <c r="P705" s="24" t="inlineStr">
        <is>
          <t>2026-10-24 17:06</t>
        </is>
      </c>
    </row>
    <row r="706" ht="46.25" customHeight="1" s="13">
      <c r="A706" s="24" t="inlineStr">
        <is>
          <t>TC-FLD-074</t>
        </is>
      </c>
      <c r="B706" s="24" t="inlineStr">
        <is>
          <t>Field-level validation</t>
        </is>
      </c>
      <c r="C706" s="24" t="inlineStr">
        <is>
          <t>GS-011</t>
        </is>
      </c>
      <c r="D706" s="24" t="inlineStr">
        <is>
          <t>Product master: pack size and unit</t>
        </is>
      </c>
      <c r="E706" s="24" t="inlineStr">
        <is>
          <t>Negative</t>
        </is>
      </c>
      <c r="F706" s="24" t="inlineStr">
        <is>
          <t>P1</t>
        </is>
      </c>
      <c r="G706" s="24" t="inlineStr">
        <is>
          <t>Operator</t>
        </is>
      </c>
      <c r="H706" s="24" t="inlineStr">
        <is>
          <t>UI+API</t>
        </is>
      </c>
      <c r="I706" s="24" t="n"/>
      <c r="J706" s="24" t="inlineStr">
        <is>
          <t>1. Leave pack size blank
2. Enter 0, -1 and text
3. Enter 0.5 with unit kg
4. Send a unit not in the list through the API</t>
        </is>
      </c>
      <c r="K706" s="24" t="inlineStr">
        <is>
          <t>Pack size must be a positive number; decimals are accepted. The unit must come from the list.</t>
        </is>
      </c>
      <c r="L706" s="24" t="inlineStr">
        <is>
          <t>Request 3-Oct: field-level testing</t>
        </is>
      </c>
      <c r="M706" s="24" t="inlineStr">
        <is>
          <t>Pass</t>
        </is>
      </c>
      <c r="N706" s="24" t="inlineStr">
        <is>
          <t>Local Pass · Staging Not run (rule) · Production Not run
local: form 0 → 422; form -1 → 422; form text → 422; 0.5 kg → 201; pipeline "-1 kg" → pack 100 g BRAND_MISSING/INFO,QUANTITY_INVALID/WARNING,CATEGORY_UNMAPPED/INFO; "0 kg" → QUANTITY_INVALID/WARNING; unit "bananas" → 422
staging: not run on staging: needs the server's database (local run only)</t>
        </is>
      </c>
      <c r="O706" s="24" t="inlineStr">
        <is>
          <t>D-79</t>
        </is>
      </c>
      <c r="P706" s="24" t="inlineStr">
        <is>
          <t>2026-10-24 17:06</t>
        </is>
      </c>
    </row>
    <row r="707" ht="46.25" customHeight="1" s="13">
      <c r="A707" s="24" t="inlineStr">
        <is>
          <t>TC-FLD-075</t>
        </is>
      </c>
      <c r="B707" s="24" t="inlineStr">
        <is>
          <t>Field-level validation</t>
        </is>
      </c>
      <c r="C707" s="24" t="inlineStr">
        <is>
          <t>NEW-008, GS-011</t>
        </is>
      </c>
      <c r="D707" s="24" t="inlineStr">
        <is>
          <t>Product master: loose / packaged flag</t>
        </is>
      </c>
      <c r="E707" s="24" t="inlineStr">
        <is>
          <t>Negative</t>
        </is>
      </c>
      <c r="F707" s="24" t="inlineStr">
        <is>
          <t>P0</t>
        </is>
      </c>
      <c r="G707" s="24" t="inlineStr">
        <is>
          <t>Operator</t>
        </is>
      </c>
      <c r="H707" s="24" t="inlineStr">
        <is>
          <t>UI+API</t>
        </is>
      </c>
      <c r="I707" s="24" t="inlineStr">
        <is>
          <t>A packaged product listed by Shop A with a price</t>
        </is>
      </c>
      <c r="J707" s="24" t="inlineStr">
        <is>
          <t>1. Mark a new product as loose and save
2. Check its price and MRP fields
3. Change the existing packaged product to loose
4. Change it back</t>
        </is>
      </c>
      <c r="K707" s="24" t="inlineStr">
        <is>
          <t>A loose product has no default price or MRP. Record what happens to prices shops have already set when the flag changes; they must not be wiped silently.</t>
        </is>
      </c>
      <c r="L707" s="24" t="inlineStr">
        <is>
          <t>Request 3-Oct: field-level testing</t>
        </is>
      </c>
      <c r="M707" s="24" t="inlineStr">
        <is>
          <t>Fail</t>
        </is>
      </c>
      <c r="N707" s="24" t="inlineStr">
        <is>
          <t>Local Fail · Staging Not run (rule) · Production Not run
local: HTTP 500: Something went wrong. Please try again. | expect(received).toContain(expected) // indexOf | Expected value: 500 | Received array: [200, 201]
staging: not run on staging: needs the server's database (local run only)</t>
        </is>
      </c>
      <c r="O707" s="24" t="inlineStr">
        <is>
          <t>D-100</t>
        </is>
      </c>
      <c r="P707" s="24" t="inlineStr">
        <is>
          <t>2026-10-24 17:06</t>
        </is>
      </c>
    </row>
    <row r="708" ht="68.65000000000001" customHeight="1" s="13">
      <c r="A708" s="24" t="inlineStr">
        <is>
          <t>TC-FLD-076</t>
        </is>
      </c>
      <c r="B708" s="24" t="inlineStr">
        <is>
          <t>Field-level validation</t>
        </is>
      </c>
      <c r="C708" s="24" t="inlineStr">
        <is>
          <t>GS-011</t>
        </is>
      </c>
      <c r="D708" s="24" t="inlineStr">
        <is>
          <t>Product master: GTIN (barcode)</t>
        </is>
      </c>
      <c r="E708" s="24" t="inlineStr">
        <is>
          <t>Negative</t>
        </is>
      </c>
      <c r="F708" s="24" t="inlineStr">
        <is>
          <t>P2</t>
        </is>
      </c>
      <c r="G708" s="24" t="inlineStr">
        <is>
          <t>Operator</t>
        </is>
      </c>
      <c r="H708" s="24" t="inlineStr">
        <is>
          <t>UI+API</t>
        </is>
      </c>
      <c r="I708" s="24" t="n"/>
      <c r="J708" s="24" t="inlineStr">
        <is>
          <t>1. Leave it blank
2. Enter 7 and 15 digits
3. Enter letters
4. Enter 13 digits with a wrong check digit
5. Enter a GTIN used by another product
6. Enter a valid GTIN</t>
        </is>
      </c>
      <c r="K708" s="24" t="inlineStr">
        <is>
          <t>Blank is accepted. Only 8, 12, 13 or 14 digits are accepted. Record whether the check digit is verified. A GTIN already in use is flagged as a duplicate.</t>
        </is>
      </c>
      <c r="L708" s="24" t="inlineStr">
        <is>
          <t>Request 3-Oct: field-level testing</t>
        </is>
      </c>
      <c r="M708" s="24" t="inlineStr">
        <is>
          <t>Pass</t>
        </is>
      </c>
      <c r="N708" s="24" t="inlineStr">
        <is>
          <t>Local Pass · Staging Not run (rule) · Production Not run
local: blank valid; 1234567 → GTIN_MALFORMED, 123456789012345 → GTIN_MALFORMED, ABCDEFGHIJKLM → GTIN_MALFORMED; wrong check digit flagged and not used to match; valid accepted; the same GTIN under another name → {"recordsRead":1,"recordsStaged":1,"recordsUnchanged":0,"productsCreated":0,"productsLinked":1,"productsUpdated":0,"offersUpserted":1,"priceChanges":0,"reviewQu (check digit verified: yes)
staging: not run on staging: needs the server's database (local run only)</t>
        </is>
      </c>
      <c r="O708" s="24" t="n"/>
      <c r="P708" s="24" t="inlineStr">
        <is>
          <t>2026-10-24 17:06</t>
        </is>
      </c>
    </row>
    <row r="709" ht="46.25" customHeight="1" s="13">
      <c r="A709" s="24" t="inlineStr">
        <is>
          <t>TC-FLD-077</t>
        </is>
      </c>
      <c r="B709" s="24" t="inlineStr">
        <is>
          <t>Field-level validation</t>
        </is>
      </c>
      <c r="C709" s="24" t="inlineStr">
        <is>
          <t>GS-011</t>
        </is>
      </c>
      <c r="D709" s="24" t="inlineStr">
        <is>
          <t>Product master: HSN code</t>
        </is>
      </c>
      <c r="E709" s="24" t="inlineStr">
        <is>
          <t>Negative</t>
        </is>
      </c>
      <c r="F709" s="24" t="inlineStr">
        <is>
          <t>P2</t>
        </is>
      </c>
      <c r="G709" s="24" t="inlineStr">
        <is>
          <t>Operator</t>
        </is>
      </c>
      <c r="H709" s="24" t="inlineStr">
        <is>
          <t>UI+API</t>
        </is>
      </c>
      <c r="I709" s="24" t="n"/>
      <c r="J709" s="24" t="inlineStr">
        <is>
          <t>1. Leave it blank
2. Enter 3 digits and 9 digits
3. Enter letters
4. Enter 4, 6 and 8 digits</t>
        </is>
      </c>
      <c r="K709" s="24" t="inlineStr">
        <is>
          <t>Only 4, 6 or 8 digits are accepted; record whether blank is allowed.</t>
        </is>
      </c>
      <c r="L709" s="24" t="inlineStr">
        <is>
          <t>Request 3-Oct: field-level testing</t>
        </is>
      </c>
      <c r="M709" s="24" t="inlineStr">
        <is>
          <t>Pass</t>
        </is>
      </c>
      <c r="N709" s="24" t="inlineStr">
        <is>
          <t>Local Pass · Staging Not run (rule) · Production Not run
local: 123 → 422 (pipeline: dropped, HSN_INVALID); 123456789 → 422 (pipeline: dropped, HSN_INVALID); ABCD → 422 (pipeline: dropped, HSN_INVALID); 4/6/8 digits saved; blank (null) allowed
staging: not run on staging: needs the server's database (local run only)</t>
        </is>
      </c>
      <c r="O709" s="24" t="n"/>
      <c r="P709" s="24" t="inlineStr">
        <is>
          <t>2026-10-24 17:06</t>
        </is>
      </c>
    </row>
    <row r="710" ht="46.25" customHeight="1" s="13">
      <c r="A710" s="24" t="inlineStr">
        <is>
          <t>TC-FLD-078</t>
        </is>
      </c>
      <c r="B710" s="24" t="inlineStr">
        <is>
          <t>Field-level validation</t>
        </is>
      </c>
      <c r="C710" s="24" t="inlineStr">
        <is>
          <t>GS-011</t>
        </is>
      </c>
      <c r="D710" s="24" t="inlineStr">
        <is>
          <t>Product master: GST rate</t>
        </is>
      </c>
      <c r="E710" s="24" t="inlineStr">
        <is>
          <t>Negative</t>
        </is>
      </c>
      <c r="F710" s="24" t="inlineStr">
        <is>
          <t>P1</t>
        </is>
      </c>
      <c r="G710" s="24" t="inlineStr">
        <is>
          <t>Operator</t>
        </is>
      </c>
      <c r="H710" s="24" t="inlineStr">
        <is>
          <t>UI+API</t>
        </is>
      </c>
      <c r="I710" s="24" t="n"/>
      <c r="J710" s="24" t="inlineStr">
        <is>
          <t>1. Submit with nothing chosen
2. Choose each option in turn and save
3. Send a value that is not in the list through the API
4. Send 7 and -5 through the API</t>
        </is>
      </c>
      <c r="K710" s="24" t="inlineStr">
        <is>
          <t>An empty required choice is refused. Each listed option saves and shows after reload. An unlisted value is refused (422). Only the listed GST rates are accepted.</t>
        </is>
      </c>
      <c r="L710" s="24" t="inlineStr">
        <is>
          <t>Request 3-Oct: field-level testing</t>
        </is>
      </c>
      <c r="M710" s="24" t="inlineStr">
        <is>
          <t>Pass</t>
        </is>
      </c>
      <c r="N710" s="24" t="inlineStr">
        <is>
          <t>Local Pass · Staging Not run (rule) · Production Not run
local: editor -5 → 422; editor 7 → 422; pipeline "7" → null bp GST_RATE_UNUSUAL/WARNING; pipeline "-5" → null bp GST_RATE_INVALID/WARNING
staging: not run on staging: needs the server's database (local run only)</t>
        </is>
      </c>
      <c r="O710" s="24" t="inlineStr">
        <is>
          <t>D-66</t>
        </is>
      </c>
      <c r="P710" s="24" t="inlineStr">
        <is>
          <t>2026-10-24 17:06</t>
        </is>
      </c>
    </row>
    <row r="711" ht="91" customHeight="1" s="13">
      <c r="A711" s="24" t="inlineStr">
        <is>
          <t>TC-FLD-079</t>
        </is>
      </c>
      <c r="B711" s="24" t="inlineStr">
        <is>
          <t>Field-level validation</t>
        </is>
      </c>
      <c r="C711" s="24" t="inlineStr">
        <is>
          <t>GS-015</t>
        </is>
      </c>
      <c r="D711" s="24" t="inlineStr">
        <is>
          <t>Admin MRP: amount and source</t>
        </is>
      </c>
      <c r="E711" s="24" t="inlineStr">
        <is>
          <t>Boundary</t>
        </is>
      </c>
      <c r="F711" s="24" t="inlineStr">
        <is>
          <t>P1</t>
        </is>
      </c>
      <c r="G711" s="24" t="inlineStr">
        <is>
          <t>Admin</t>
        </is>
      </c>
      <c r="H711" s="24" t="inlineStr">
        <is>
          <t>UI+API</t>
        </is>
      </c>
      <c r="I711" s="24" t="n"/>
      <c r="J711" s="24" t="inlineStr">
        <is>
          <t>1. Leave it blank
2. Enter 0, then a negative amount
3. Enter text and symbols
4. Enter 3 decimal places (10.555)
5. Enter a very large amount (10,00,00,000)
6. Enter 70.50
7. Save with the source blank
8. Open a loose product</t>
        </is>
      </c>
      <c r="K711" s="24" t="inlineStr">
        <is>
          <t>Zero, negative, text, more than 2 decimals and out-of-range amounts are refused with a field message and 422 from the API. Rs 70.50 is stored as 7050 paise and shown as Rs 70.50. Source is required. No MRP is asked for on a loose product.</t>
        </is>
      </c>
      <c r="L711" s="24" t="inlineStr">
        <is>
          <t>Request 3-Oct: field-level testing; TC-CAT-009</t>
        </is>
      </c>
      <c r="M711" s="24" t="inlineStr">
        <is>
          <t>Pass</t>
        </is>
      </c>
      <c r="N711" s="24" t="inlineStr">
        <is>
          <t>Local Pass · Staging Not run (rule) · Production Not run
local: blank → 422; 0 → 422; -1 → 422; text → 422; 10.555 → 422; ₹10 crore → 422; no source → 422; ₹70.50 → 7050 paise; loose product not asked for an MRP
staging: not run on staging: needs the server's database (local run only)</t>
        </is>
      </c>
      <c r="O711" s="24" t="inlineStr">
        <is>
          <t>D-67</t>
        </is>
      </c>
      <c r="P711" s="24" t="inlineStr">
        <is>
          <t>2026-10-24 17:06</t>
        </is>
      </c>
    </row>
    <row r="712" ht="91" customHeight="1" s="13">
      <c r="A712" s="24" t="inlineStr">
        <is>
          <t>TC-FLD-080</t>
        </is>
      </c>
      <c r="B712" s="24" t="inlineStr">
        <is>
          <t>Field-level validation</t>
        </is>
      </c>
      <c r="C712" s="24" t="inlineStr">
        <is>
          <t>GS-009</t>
        </is>
      </c>
      <c r="D712" s="24" t="inlineStr">
        <is>
          <t>Admin shop categories: category name</t>
        </is>
      </c>
      <c r="E712" s="24" t="inlineStr">
        <is>
          <t>Negative</t>
        </is>
      </c>
      <c r="F712" s="24" t="inlineStr">
        <is>
          <t>P2</t>
        </is>
      </c>
      <c r="G712" s="24" t="inlineStr">
        <is>
          <t>Admin</t>
        </is>
      </c>
      <c r="H712" s="24" t="inlineStr">
        <is>
          <t>UI+API</t>
        </is>
      </c>
      <c r="I712" s="24" t="n"/>
      <c r="J712" s="24" t="inlineStr">
        <is>
          <t>1. Leave it blank
2. Enter spaces only
3. Enter 1 character
4. Enter 300+ characters
5. Enter &lt;script&gt;alert(1)&lt;/script&gt; and symbols
6. Enter Hindi / Marathi text
7. Enter a normal value with spaces before and after
8. Enter the name of an existing category in a different case</t>
        </is>
      </c>
      <c r="K712" s="24" t="inlineStr">
        <is>
          <t>Blank and spaces-only are refused with a field message. Over-long text is cut or refused at the limit, never a 500 (record the limit). Script text is stored and shown as plain text. Hindi / Marathi text saves and displays correctly. Outer spaces are trimmed. A duplicate name is refused whatever the case.</t>
        </is>
      </c>
      <c r="L712" s="24" t="inlineStr">
        <is>
          <t>Request 3-Oct: field-level testing; TC-ONB-026</t>
        </is>
      </c>
      <c r="M712" s="24" t="inlineStr">
        <is>
          <t>Pass</t>
        </is>
      </c>
      <c r="N712" s="24" t="inlineStr">
        <is>
          <t>Local Pass · Staging Not run (rule) · Production Not run
local: blank 422, spaces 422, 1 char 422, 81 chars 422, 301 chars 422, Marathi → 201 किराणा दुकान mvmm71vc; trimmed, case duplicate 409, script stored as text; UI add with "Category created" confirmation; rename + deactivate; DELETE not offered; General delete → 403, rename → 403; removing a category moved its product to General
staging: not run on staging: needs the server's database (local run only)</t>
        </is>
      </c>
      <c r="O712" s="24" t="n"/>
      <c r="P712" s="24" t="inlineStr">
        <is>
          <t>2026-10-24 17:06</t>
        </is>
      </c>
    </row>
    <row r="713" ht="57.45" customHeight="1" s="13">
      <c r="A713" s="24" t="inlineStr">
        <is>
          <t>TC-FLD-081</t>
        </is>
      </c>
      <c r="B713" s="24" t="inlineStr">
        <is>
          <t>Field-level validation</t>
        </is>
      </c>
      <c r="C713" s="24" t="inlineStr">
        <is>
          <t>GS-023</t>
        </is>
      </c>
      <c r="D713" s="24" t="inlineStr">
        <is>
          <t>Price reference: product code, price, source, URL, location, date</t>
        </is>
      </c>
      <c r="E713" s="24" t="inlineStr">
        <is>
          <t>Negative</t>
        </is>
      </c>
      <c r="F713" s="24" t="inlineStr">
        <is>
          <t>P2</t>
        </is>
      </c>
      <c r="G713" s="24" t="inlineStr">
        <is>
          <t>Operator</t>
        </is>
      </c>
      <c r="H713" s="24" t="inlineStr">
        <is>
          <t>UI+API</t>
        </is>
      </c>
      <c r="I713" s="24" t="n"/>
      <c r="J713" s="24" t="inlineStr">
        <is>
          <t>1. Submit with each field blank in turn
2. Enter an unknown product code
3. Enter price 0, negative and text
4. Enter a URL without http(s) and a javascript: URL
5. Enter a future date</t>
        </is>
      </c>
      <c r="K713" s="24" t="inlineStr">
        <is>
          <t>Each required field is named in its message. Unknown code, bad price, unsafe or malformed URL and a future date are refused.</t>
        </is>
      </c>
      <c r="L713" s="24" t="inlineStr">
        <is>
          <t>Request 3-Oct: field-level testing; TC-CAT-012</t>
        </is>
      </c>
      <c r="M713" s="24" t="inlineStr">
        <is>
          <t>Pass</t>
        </is>
      </c>
      <c r="N713" s="24" t="inlineStr">
        <is>
          <t>Local Pass · Staging Not run (rule) · Production Not run
local: no product → 422; no price → 422; no source → 422; no date → 422; unknown code → 404; price 0 → 422; negative → 422; text price → 422; URL without scheme → 422; javascript: URL → 422; future date → 422; recorded → verified; another rejected (note required) → reopened, 3 history rows; MRP and price unchanged
staging: not run on staging: needs the server's database (local run only)</t>
        </is>
      </c>
      <c r="O713" s="24" t="n"/>
      <c r="P713" s="24" t="inlineStr">
        <is>
          <t>2026-10-24 17:06</t>
        </is>
      </c>
    </row>
    <row r="714" ht="79.84999999999999" customHeight="1" s="13">
      <c r="A714" s="24" t="inlineStr">
        <is>
          <t>TC-FLD-082</t>
        </is>
      </c>
      <c r="B714" s="24" t="inlineStr">
        <is>
          <t>Field-level validation</t>
        </is>
      </c>
      <c r="C714" s="24" t="inlineStr">
        <is>
          <t>GS-034</t>
        </is>
      </c>
      <c r="D714" s="24" t="inlineStr">
        <is>
          <t>Shop: reject-order reason</t>
        </is>
      </c>
      <c r="E714" s="24" t="inlineStr">
        <is>
          <t>Negative</t>
        </is>
      </c>
      <c r="F714" s="24" t="inlineStr">
        <is>
          <t>P1</t>
        </is>
      </c>
      <c r="G714" s="24" t="inlineStr">
        <is>
          <t>Shop</t>
        </is>
      </c>
      <c r="H714" s="24" t="inlineStr">
        <is>
          <t>UI+API</t>
        </is>
      </c>
      <c r="I714" s="24" t="inlineStr">
        <is>
          <t>A CONFIRMED order</t>
        </is>
      </c>
      <c r="J714" s="24" t="inlineStr">
        <is>
          <t>1. Leave it blank
2. Enter spaces only
3. Enter 1 character
4. Enter 300+ characters
5. Enter &lt;script&gt;alert(1)&lt;/script&gt; and symbols
6. Enter Hindi / Marathi text
7. Enter a normal value with spaces before and after</t>
        </is>
      </c>
      <c r="K714" s="24" t="inlineStr">
        <is>
          <t>Blank and spaces-only are refused with a field message. Over-long text is cut or refused at the limit, never a 500 (record the limit). Script text is stored and shown as plain text. Hindi / Marathi text saves and displays correctly. Outer spaces are trimmed. The customer sees the reason exactly as written.</t>
        </is>
      </c>
      <c r="L714" s="24" t="inlineStr">
        <is>
          <t>Request 3-Oct: field-level testing; TC-FUL-004</t>
        </is>
      </c>
      <c r="M714" s="24" t="inlineStr">
        <is>
          <t>Fail</t>
        </is>
      </c>
      <c r="N714" s="24" t="inlineStr">
        <is>
          <t>Local Blocked · Staging Fail · Production Not run
local: "QA Butter 100 g mvmkyclr" cannot be added to the cart — HTTP 409: This product is currently unavailable online.
staging: timed out after 300 s</t>
        </is>
      </c>
      <c r="O714" s="24" t="n"/>
      <c r="P714" s="24" t="inlineStr">
        <is>
          <t>2026-10-24 20:09</t>
        </is>
      </c>
    </row>
    <row r="715" ht="35.05" customHeight="1" s="13">
      <c r="A715" s="24" t="inlineStr">
        <is>
          <t>TC-FLD-083</t>
        </is>
      </c>
      <c r="B715" s="24" t="inlineStr">
        <is>
          <t>Field-level validation</t>
        </is>
      </c>
      <c r="C715" s="24" t="inlineStr">
        <is>
          <t>GS-036</t>
        </is>
      </c>
      <c r="D715" s="24" t="inlineStr">
        <is>
          <t>Shop: remove-line reason</t>
        </is>
      </c>
      <c r="E715" s="24" t="inlineStr">
        <is>
          <t>Negative</t>
        </is>
      </c>
      <c r="F715" s="24" t="inlineStr">
        <is>
          <t>P2</t>
        </is>
      </c>
      <c r="G715" s="24" t="inlineStr">
        <is>
          <t>Shop</t>
        </is>
      </c>
      <c r="H715" s="24" t="inlineStr">
        <is>
          <t>UI+API</t>
        </is>
      </c>
      <c r="I715" s="24" t="n"/>
      <c r="J715" s="24" t="inlineStr">
        <is>
          <t>1. Submit with nothing chosen
2. Choose each option in turn and save
3. Send a value that is not in the list through the API</t>
        </is>
      </c>
      <c r="K715" s="24" t="inlineStr">
        <is>
          <t>An empty required choice is refused. Each listed option saves and shows after reload. An unlisted value is refused (422).</t>
        </is>
      </c>
      <c r="L715" s="24" t="inlineStr">
        <is>
          <t>Request 3-Oct: field-level testing; TC-FUL-013</t>
        </is>
      </c>
      <c r="M715" s="24" t="inlineStr">
        <is>
          <t>Blocked</t>
        </is>
      </c>
      <c r="N715" s="24" t="inlineStr">
        <is>
          <t>Local Blocked · Staging Blocked · Production Not run
local: "QA Butter 100 g mvmkyclr" cannot be added to the cart — HTTP 409: This product is currently unavailable online.
staging: needs the "sharedA" listing in this site's test data</t>
        </is>
      </c>
      <c r="O715" s="24" t="inlineStr">
        <is>
          <t>D-53</t>
        </is>
      </c>
      <c r="P715" s="24" t="inlineStr">
        <is>
          <t>2026-10-24 20:09</t>
        </is>
      </c>
    </row>
    <row r="716" ht="46.25" customHeight="1" s="13">
      <c r="A716" s="24" t="inlineStr">
        <is>
          <t>TC-FLD-084</t>
        </is>
      </c>
      <c r="B716" s="24" t="inlineStr">
        <is>
          <t>Field-level validation</t>
        </is>
      </c>
      <c r="C716" s="24" t="inlineStr">
        <is>
          <t>GS-035</t>
        </is>
      </c>
      <c r="D716" s="24" t="inlineStr">
        <is>
          <t>Shop: substitute product picker</t>
        </is>
      </c>
      <c r="E716" s="24" t="inlineStr">
        <is>
          <t>Negative</t>
        </is>
      </c>
      <c r="F716" s="24" t="inlineStr">
        <is>
          <t>P1</t>
        </is>
      </c>
      <c r="G716" s="24" t="inlineStr">
        <is>
          <t>Shop</t>
        </is>
      </c>
      <c r="H716" s="24" t="inlineStr">
        <is>
          <t>UI+API</t>
        </is>
      </c>
      <c r="I716" s="24" t="n"/>
      <c r="J716" s="24" t="inlineStr">
        <is>
          <t>1. Submit with nothing chosen
2. Choose each option in turn and save
3. Send a value that is not in the list through the API
4. Send a product of another shop and an unpriced product through the API</t>
        </is>
      </c>
      <c r="K716" s="24" t="inlineStr">
        <is>
          <t>An empty required choice is refused. Each listed option saves and shows after reload. An unlisted value is refused (422). Products of another shop, out-of-stock, offline-only and unpriced products are refused.</t>
        </is>
      </c>
      <c r="L716" s="24" t="inlineStr">
        <is>
          <t>Request 3-Oct: field-level testing; TC-FUL-011</t>
        </is>
      </c>
      <c r="M716" s="24" t="inlineStr">
        <is>
          <t>Blocked</t>
        </is>
      </c>
      <c r="N716" s="24" t="inlineStr">
        <is>
          <t>Local Blocked · Staging Blocked · Production Not run
local: "QA Butter 100 g mvmkyclr" cannot be added to the cart — HTTP 409: This product is currently unavailable online.
staging: needs the "sharedA" listing in this site's test data</t>
        </is>
      </c>
      <c r="O716" s="24" t="n"/>
      <c r="P716" s="24" t="inlineStr">
        <is>
          <t>2026-10-24 19:55</t>
        </is>
      </c>
    </row>
    <row r="717" ht="57.45" customHeight="1" s="13">
      <c r="A717" s="24" t="inlineStr">
        <is>
          <t>TC-FLD-085</t>
        </is>
      </c>
      <c r="B717" s="24" t="inlineStr">
        <is>
          <t>Field-level validation</t>
        </is>
      </c>
      <c r="C717" s="24" t="inlineStr">
        <is>
          <t>GS-041</t>
        </is>
      </c>
      <c r="D717" s="24" t="inlineStr">
        <is>
          <t>Rider: pickup code</t>
        </is>
      </c>
      <c r="E717" s="24" t="inlineStr">
        <is>
          <t>Negative</t>
        </is>
      </c>
      <c r="F717" s="24" t="inlineStr">
        <is>
          <t>P0</t>
        </is>
      </c>
      <c r="G717" s="24" t="inlineStr">
        <is>
          <t>Rider</t>
        </is>
      </c>
      <c r="H717" s="24" t="inlineStr">
        <is>
          <t>UI</t>
        </is>
      </c>
      <c r="I717" s="24" t="inlineStr">
        <is>
          <t>Rider at the shop</t>
        </is>
      </c>
      <c r="J717" s="24" t="inlineStr">
        <is>
          <t>1. Leave it blank
2. Enter 5 digits, then 7 digits
3. Enter letters
4. Paste the right code with spaces around it
5. Enter the right code</t>
        </is>
      </c>
      <c r="K717" s="24" t="inlineStr">
        <is>
          <t>Only the exact code is accepted. Short, long and non-numeric entries are refused on the field (record whether they count towards the attempt limit). A pasted code with spaces is cleaned or refused, the same way every time.</t>
        </is>
      </c>
      <c r="L717" s="24" t="inlineStr">
        <is>
          <t>Request 3-Oct: field-level testing; TC-DEL-004</t>
        </is>
      </c>
      <c r="M717" s="24" t="inlineStr">
        <is>
          <t>Pass</t>
        </is>
      </c>
      <c r="N717" s="24" t="inlineStr">
        <is>
          <t>Passed, partly covered. Local Pass (partial) · Staging Blocked · Production Not run
local: not covered: wrong pickup codes are not counted at all — there is no attempt limit on the pickup code (only the delivery code locks) ‖ blocked: "QA Butter 100 g mvmkyclr" cannot be added to the cart — HTTP 409: This product is currently unavailable online.
staging: needs the shop A location in this site's test data</t>
        </is>
      </c>
      <c r="O717" s="24" t="n"/>
      <c r="P717" s="24" t="inlineStr">
        <is>
          <t>2026-10-24 21:25</t>
        </is>
      </c>
    </row>
    <row r="718" ht="57.45" customHeight="1" s="13">
      <c r="A718" s="24" t="inlineStr">
        <is>
          <t>TC-FLD-086</t>
        </is>
      </c>
      <c r="B718" s="24" t="inlineStr">
        <is>
          <t>Field-level validation</t>
        </is>
      </c>
      <c r="C718" s="24" t="inlineStr">
        <is>
          <t>GS-043</t>
        </is>
      </c>
      <c r="D718" s="24" t="inlineStr">
        <is>
          <t>Rider: delivery OTP</t>
        </is>
      </c>
      <c r="E718" s="24" t="inlineStr">
        <is>
          <t>Negative</t>
        </is>
      </c>
      <c r="F718" s="24" t="inlineStr">
        <is>
          <t>P0</t>
        </is>
      </c>
      <c r="G718" s="24" t="inlineStr">
        <is>
          <t>Rider</t>
        </is>
      </c>
      <c r="H718" s="24" t="inlineStr">
        <is>
          <t>UI</t>
        </is>
      </c>
      <c r="I718" s="24" t="inlineStr">
        <is>
          <t>Rider at the customer</t>
        </is>
      </c>
      <c r="J718" s="24" t="inlineStr">
        <is>
          <t>1. Leave it blank
2. Enter 5 digits, then 7 digits
3. Enter letters
4. Paste the right code with spaces around it
5. Enter the right code</t>
        </is>
      </c>
      <c r="K718" s="24" t="inlineStr">
        <is>
          <t>Only the exact code is accepted. Short, long and non-numeric entries are refused on the field (record whether they count towards the attempt limit). A pasted code with spaces is cleaned or refused, the same way every time. Five wrong codes lock the delivery.</t>
        </is>
      </c>
      <c r="L718" s="24" t="inlineStr">
        <is>
          <t>Request 3-Oct: field-level testing; TC-DEL-007, TC-DEL-008</t>
        </is>
      </c>
      <c r="M718" s="24" t="inlineStr">
        <is>
          <t>Blocked</t>
        </is>
      </c>
      <c r="N718" s="24" t="inlineStr">
        <is>
          <t>Local Blocked · Staging Blocked · Production Not run
local: "QA Butter 100 g mvmkyclr" cannot be added to the cart — HTTP 409: This product is currently unavailable online.
staging: no delivery offer reached the rider for order eaf73e59-db5a-4787-b02b-8a2ff536a4e4 within 30 s (rider offline or busy?)</t>
        </is>
      </c>
      <c r="O718" s="24" t="n"/>
      <c r="P718" s="24" t="inlineStr">
        <is>
          <t>2026-10-24 19:39</t>
        </is>
      </c>
    </row>
    <row r="719" ht="57.45" customHeight="1" s="13">
      <c r="A719" s="24" t="inlineStr">
        <is>
          <t>TC-FLD-087</t>
        </is>
      </c>
      <c r="B719" s="24" t="inlineStr">
        <is>
          <t>Field-level validation</t>
        </is>
      </c>
      <c r="C719" s="24" t="inlineStr">
        <is>
          <t>GS-043</t>
        </is>
      </c>
      <c r="D719" s="24" t="inlineStr">
        <is>
          <t>Rider: failed-delivery reason and note</t>
        </is>
      </c>
      <c r="E719" s="24" t="inlineStr">
        <is>
          <t>Negative</t>
        </is>
      </c>
      <c r="F719" s="24" t="inlineStr">
        <is>
          <t>P1</t>
        </is>
      </c>
      <c r="G719" s="24" t="inlineStr">
        <is>
          <t>Rider</t>
        </is>
      </c>
      <c r="H719" s="24" t="inlineStr">
        <is>
          <t>UI+API</t>
        </is>
      </c>
      <c r="I719" s="24" t="n"/>
      <c r="J719" s="24" t="inlineStr">
        <is>
          <t>1. Submit with nothing chosen
2. Choose each option in turn and save
3. Send a value that is not in the list through the API
4. Leave the note blank
5. Enter 300+ characters and &lt;script&gt; in the note</t>
        </is>
      </c>
      <c r="K719" s="24" t="inlineStr">
        <is>
          <t>An empty required choice is refused. Each listed option saves and shows after reload. An unlisted value is refused (422). A reason is required. The note follows the free-text rules.</t>
        </is>
      </c>
      <c r="L719" s="24" t="inlineStr">
        <is>
          <t>Request 3-Oct: field-level testing; TC-DEL-011</t>
        </is>
      </c>
      <c r="M719" s="24" t="inlineStr">
        <is>
          <t>Blocked</t>
        </is>
      </c>
      <c r="N719" s="24" t="inlineStr">
        <is>
          <t>Local Blocked · Staging Blocked · Production Not run
local: "QA Butter 100 g mvmkyclr" cannot be added to the cart — HTTP 409: This product is currently unavailable online.
staging: no delivery offer reached the rider for order 3f65e139-33c0-453a-b982-f64ec2da9c63 within 30 s (rider offline or busy?)</t>
        </is>
      </c>
      <c r="O719" s="24" t="inlineStr">
        <is>
          <t>D-54</t>
        </is>
      </c>
      <c r="P719" s="24" t="inlineStr">
        <is>
          <t>2026-10-24 19:42</t>
        </is>
      </c>
    </row>
    <row r="720" ht="79.84999999999999" customHeight="1" s="13">
      <c r="A720" s="24" t="inlineStr">
        <is>
          <t>TC-FLD-088</t>
        </is>
      </c>
      <c r="B720" s="24" t="inlineStr">
        <is>
          <t>Field-level validation</t>
        </is>
      </c>
      <c r="C720" s="24" t="inlineStr">
        <is>
          <t>GS-043</t>
        </is>
      </c>
      <c r="D720" s="24" t="inlineStr">
        <is>
          <t>Operations override: proof note</t>
        </is>
      </c>
      <c r="E720" s="24" t="inlineStr">
        <is>
          <t>Negative</t>
        </is>
      </c>
      <c r="F720" s="24" t="inlineStr">
        <is>
          <t>P2</t>
        </is>
      </c>
      <c r="G720" s="24" t="inlineStr">
        <is>
          <t>Operator</t>
        </is>
      </c>
      <c r="H720" s="24" t="inlineStr">
        <is>
          <t>UI+API</t>
        </is>
      </c>
      <c r="I720" s="24" t="n"/>
      <c r="J720" s="24" t="inlineStr">
        <is>
          <t>1. Leave it blank
2. Enter spaces only
3. Enter 1 character
4. Enter 300+ characters
5. Enter &lt;script&gt;alert(1)&lt;/script&gt; and symbols
6. Enter Hindi / Marathi text
7. Enter a normal value with spaces before and after</t>
        </is>
      </c>
      <c r="K720" s="24" t="inlineStr">
        <is>
          <t>Blank and spaces-only are refused with a field message. Over-long text is cut or refused at the limit, never a 500 (record the limit). Script text is stored and shown as plain text. Hindi / Marathi text saves and displays correctly. Outer spaces are trimmed.</t>
        </is>
      </c>
      <c r="L720" s="24" t="inlineStr">
        <is>
          <t>Request 3-Oct: field-level testing; TC-DEL-009</t>
        </is>
      </c>
      <c r="M720" s="24" t="inlineStr">
        <is>
          <t>Blocked</t>
        </is>
      </c>
      <c r="N720" s="24" t="inlineStr">
        <is>
          <t>Local Blocked · Staging Blocked · Production Not run
local: "QA Butter 100 g mvmkyclr" cannot be added to the cart — HTTP 409: This product is currently unavailable online.
staging: no delivery offer reached the rider for order eaf73e59-db5a-4787-b02b-8a2ff536a4e4 within 30 s (rider offline or busy?)</t>
        </is>
      </c>
      <c r="O720" s="24" t="n"/>
      <c r="P720" s="24" t="inlineStr">
        <is>
          <t>2026-10-24 19:39</t>
        </is>
      </c>
    </row>
    <row r="721" ht="35.05" customHeight="1" s="13">
      <c r="A721" s="24" t="inlineStr">
        <is>
          <t>TC-FLD-089</t>
        </is>
      </c>
      <c r="B721" s="24" t="inlineStr">
        <is>
          <t>Field-level validation</t>
        </is>
      </c>
      <c r="C721" s="24" t="inlineStr">
        <is>
          <t>GS-030</t>
        </is>
      </c>
      <c r="D721" s="24" t="inlineStr">
        <is>
          <t>Rider: cash-collected confirmation (COD)</t>
        </is>
      </c>
      <c r="E721" s="24" t="inlineStr">
        <is>
          <t>Positive</t>
        </is>
      </c>
      <c r="F721" s="24" t="inlineStr">
        <is>
          <t>P1</t>
        </is>
      </c>
      <c r="G721" s="24" t="inlineStr">
        <is>
          <t>Rider</t>
        </is>
      </c>
      <c r="H721" s="24" t="inlineStr">
        <is>
          <t>UI+API</t>
        </is>
      </c>
      <c r="I721" s="24" t="inlineStr">
        <is>
          <t>COD order at the door</t>
        </is>
      </c>
      <c r="J721" s="24" t="inlineStr">
        <is>
          <t>1. Switch on, save and reload
2. Switch off, save and reload
3. Send a non-boolean value through the API</t>
        </is>
      </c>
      <c r="K721" s="24" t="inlineStr">
        <is>
          <t>The state persists both ways and takes effect where it should. A non-boolean value is refused. Delivery cannot complete without the confirmation.</t>
        </is>
      </c>
      <c r="L721" s="24" t="inlineStr">
        <is>
          <t>Request 3-Oct: field-level testing; TC-COD-006</t>
        </is>
      </c>
      <c r="M721" s="24" t="inlineStr">
        <is>
          <t>Pass</t>
        </is>
      </c>
      <c r="N721" s="24" t="inlineStr">
        <is>
          <t>Passed, partly covered. Local Pass (partial) · Staging Blocked · Production Not run
local: not covered: the tick is part of the deliver action, not a saved setting — 'persists after reload' does not apply ‖ blocked: "QA Butter 100 g mvmkyclr" cannot be added to the cart — HTTP 409: This product is currently unavailable online.
staging: no delivery offer reached the rider for order 8106bfaa-79e4-484d-8230-346b30de0a33 within 30 s (rider offline or busy?) ‖ no delivery offer reached the rider for order c74f9b1e-a0df-425a-b672-e2ef3b81a056 within 30 s (rider offline or busy?)</t>
        </is>
      </c>
      <c r="O721" s="24" t="n"/>
      <c r="P721" s="24" t="inlineStr">
        <is>
          <t>2026-10-24 21:29</t>
        </is>
      </c>
    </row>
    <row r="722" ht="91" customHeight="1" s="13">
      <c r="A722" s="24" t="inlineStr">
        <is>
          <t>TC-FLD-090</t>
        </is>
      </c>
      <c r="B722" s="24" t="inlineStr">
        <is>
          <t>Field-level validation</t>
        </is>
      </c>
      <c r="C722" s="24" t="inlineStr">
        <is>
          <t>GS-037</t>
        </is>
      </c>
      <c r="D722" s="24" t="inlineStr">
        <is>
          <t>Rider application: name and mobile</t>
        </is>
      </c>
      <c r="E722" s="24" t="inlineStr">
        <is>
          <t>Negative</t>
        </is>
      </c>
      <c r="F722" s="24" t="inlineStr">
        <is>
          <t>P1</t>
        </is>
      </c>
      <c r="G722" s="24" t="inlineStr">
        <is>
          <t>Customer</t>
        </is>
      </c>
      <c r="H722" s="24" t="inlineStr">
        <is>
          <t>UI+API</t>
        </is>
      </c>
      <c r="I722" s="24" t="n"/>
      <c r="J722" s="24" t="inlineStr">
        <is>
          <t>1. Leave it blank
2. Enter spaces only
3. Enter 1 character
4. Enter 300+ characters
5. Enter &lt;script&gt;alert(1)&lt;/script&gt; and symbols
6. Enter Hindi / Marathi text
7. Enter a normal value with spaces before and after
8. Run the mobile checks from TC-FLD-001 on the mobile field</t>
        </is>
      </c>
      <c r="K722" s="24" t="inlineStr">
        <is>
          <t>Blank and spaces-only are refused with a field message. Over-long text is cut or refused at the limit, never a 500 (record the limit). Script text is stored and shown as plain text. Hindi / Marathi text saves and displays correctly. Outer spaces are trimmed. Mobile follows the Indian 10-digit rule.</t>
        </is>
      </c>
      <c r="L722" s="24" t="inlineStr">
        <is>
          <t>Request 3-Oct: field-level testing; TC-DEL-014</t>
        </is>
      </c>
      <c r="M722" s="24" t="inlineStr">
        <is>
          <t>Pass</t>
        </is>
      </c>
      <c r="N722" s="24" t="inlineStr">
        <is>
          <t>Passed, partly covered. Local Pass (partial) · Staging Not run (rule) · Production Not run
local: not covered: +91 is refused on the application but stripped by the later profile edit (rider-profile.ts parsePhone) — each place is consistent with itself
staging: not run on staging: needs the server's database (local run only)</t>
        </is>
      </c>
      <c r="O722" s="24" t="n"/>
      <c r="P722" s="24" t="inlineStr">
        <is>
          <t>2026-10-24 17:06</t>
        </is>
      </c>
    </row>
    <row r="723" ht="46.25" customHeight="1" s="13">
      <c r="A723" s="24" t="inlineStr">
        <is>
          <t>TC-FLD-091</t>
        </is>
      </c>
      <c r="B723" s="24" t="inlineStr">
        <is>
          <t>Field-level validation</t>
        </is>
      </c>
      <c r="C723" s="24" t="inlineStr">
        <is>
          <t>GS-037</t>
        </is>
      </c>
      <c r="D723" s="24" t="inlineStr">
        <is>
          <t>Rider application: vehicle type and number</t>
        </is>
      </c>
      <c r="E723" s="24" t="inlineStr">
        <is>
          <t>Negative</t>
        </is>
      </c>
      <c r="F723" s="24" t="inlineStr">
        <is>
          <t>P2</t>
        </is>
      </c>
      <c r="G723" s="24" t="inlineStr">
        <is>
          <t>Customer</t>
        </is>
      </c>
      <c r="H723" s="24" t="inlineStr">
        <is>
          <t>UI+API</t>
        </is>
      </c>
      <c r="I723" s="24" t="n"/>
      <c r="J723" s="24" t="inlineStr">
        <is>
          <t>1. Choose no vehicle type
2. Enter a vehicle number with symbols
3. Enter MH12AB1234 in lower case with spaces
4. Choose bicycle / on foot with the number blank</t>
        </is>
      </c>
      <c r="K723" s="24" t="inlineStr">
        <is>
          <t>Vehicle type is required. The number is normalised or refused, the same way every time, and is not required where the vehicle has none.</t>
        </is>
      </c>
      <c r="L723" s="24" t="inlineStr">
        <is>
          <t>Request 3-Oct: field-level testing</t>
        </is>
      </c>
      <c r="M723" s="24" t="inlineStr">
        <is>
          <t>Pass</t>
        </is>
      </c>
      <c r="N723" s="24" t="inlineStr">
        <is>
          <t>Passed, partly covered. Local Pass (partial) · Staging Not run (rule) · Production Not run
local: not covered: there is no 'on foot' vehicle type (Bicycle, Motorcycle, Scooter, Electric Vehicle, Other); the form marks the type required in the browser too (TC-DEL-014)
staging: not run on staging: needs the server's database (local run only)</t>
        </is>
      </c>
      <c r="O723" s="24" t="inlineStr">
        <is>
          <t>D-51</t>
        </is>
      </c>
      <c r="P723" s="24" t="inlineStr">
        <is>
          <t>2026-10-24 17:06</t>
        </is>
      </c>
    </row>
    <row r="724" ht="79.84999999999999" customHeight="1" s="13">
      <c r="A724" s="24" t="inlineStr">
        <is>
          <t>TC-FLD-092</t>
        </is>
      </c>
      <c r="B724" s="24" t="inlineStr">
        <is>
          <t>Field-level validation</t>
        </is>
      </c>
      <c r="C724" s="24" t="inlineStr">
        <is>
          <t>GS-037</t>
        </is>
      </c>
      <c r="D724" s="24" t="inlineStr">
        <is>
          <t>Rider application: KYC number and document</t>
        </is>
      </c>
      <c r="E724" s="24" t="inlineStr">
        <is>
          <t>Negative</t>
        </is>
      </c>
      <c r="F724" s="24" t="inlineStr">
        <is>
          <t>P1</t>
        </is>
      </c>
      <c r="G724" s="24" t="inlineStr">
        <is>
          <t>Customer</t>
        </is>
      </c>
      <c r="H724" s="24" t="inlineStr">
        <is>
          <t>UI+API</t>
        </is>
      </c>
      <c r="I724" s="24" t="n"/>
      <c r="J724" s="24" t="inlineStr">
        <is>
          <t>1. Submit with no file
2. Upload a file over the size limit
3. Upload a wrong type and a PDF / SVG renamed to .jpg
4. Upload an empty (0 byte) file
5. Upload a valid file
6. Leave the KYC number blank
7. Enter a number of the wrong length</t>
        </is>
      </c>
      <c r="K724" s="24" t="inlineStr">
        <is>
          <t>Missing, oversized, wrong-type, disguised and empty files are refused with a clear message (content is checked, not the name). The valid file is accepted and shown. KYC number is validated for length and characters and is never shown back in full.</t>
        </is>
      </c>
      <c r="L724" s="24" t="inlineStr">
        <is>
          <t>Request 3-Oct: field-level testing; TC-DEL-016</t>
        </is>
      </c>
      <c r="M724" s="24" t="inlineStr">
        <is>
          <t>Pass</t>
        </is>
      </c>
      <c r="N724" s="24" t="inlineStr">
        <is>
          <t>Passed, partly covered. Local Pass (partial) · Staging Not run (rule) · Production Not run
local: not covered: KYC files are images only by design (C5-3, docs/gokesari-audit/ITEMS_A_E_2026-10-07.md), so a real PDF is refused too; the KYC number is optional at application ('can be added later')
staging: not run on staging: needs the server's database (local run only)</t>
        </is>
      </c>
      <c r="O724" s="24" t="inlineStr">
        <is>
          <t>D-47</t>
        </is>
      </c>
      <c r="P724" s="24" t="inlineStr">
        <is>
          <t>2026-10-24 17:06</t>
        </is>
      </c>
    </row>
    <row r="725" ht="57.45" customHeight="1" s="13">
      <c r="A725" s="24" t="inlineStr">
        <is>
          <t>TC-FLD-093</t>
        </is>
      </c>
      <c r="B725" s="24" t="inlineStr">
        <is>
          <t>Field-level validation</t>
        </is>
      </c>
      <c r="C725" s="24" t="inlineStr">
        <is>
          <t>GS-037</t>
        </is>
      </c>
      <c r="D725" s="24" t="inlineStr">
        <is>
          <t>Rider application: bank account number and IFSC</t>
        </is>
      </c>
      <c r="E725" s="24" t="inlineStr">
        <is>
          <t>Negative</t>
        </is>
      </c>
      <c r="F725" s="24" t="inlineStr">
        <is>
          <t>P1</t>
        </is>
      </c>
      <c r="G725" s="24" t="inlineStr">
        <is>
          <t>Customer</t>
        </is>
      </c>
      <c r="H725" s="24" t="inlineStr">
        <is>
          <t>UI+API</t>
        </is>
      </c>
      <c r="I725" s="24" t="n"/>
      <c r="J725" s="24" t="inlineStr">
        <is>
          <t>1. Leave both blank
2. Enter an account number of 8 and 19 digits and one with letters
3. Enter IFSC of 10 characters, SBIN1001234 (5th character not 0) and sbin0001234
4. Enter a valid account number and IFSC</t>
        </is>
      </c>
      <c r="K725" s="24" t="inlineStr">
        <is>
          <t>Account number: digits only, 9 to 18 long. IFSC: 4 letters, 0, then 6 characters; lower case is converted or refused. Saved values are masked.</t>
        </is>
      </c>
      <c r="L725" s="24" t="inlineStr">
        <is>
          <t>Request 3-Oct: field-level testing</t>
        </is>
      </c>
      <c r="M725" s="24" t="inlineStr">
        <is>
          <t>Pass</t>
        </is>
      </c>
      <c r="N725" s="24" t="inlineStr">
        <is>
          <t>Passed, partly covered. Local Pass (partial) · Staging Not run (rule) · Production Not run
local: not covered: both blank is allowed (bank details are optional at application, 'can be added later'); the stored values are encrypted and never displayed — the change request shows the last 4 characters
staging: not run on staging: needs the server's database (local run only)</t>
        </is>
      </c>
      <c r="O725" s="24" t="inlineStr">
        <is>
          <t>D-47</t>
        </is>
      </c>
      <c r="P725" s="24" t="inlineStr">
        <is>
          <t>2026-10-24 17:06</t>
        </is>
      </c>
    </row>
    <row r="726" ht="91" customHeight="1" s="13">
      <c r="A726" s="24" t="inlineStr">
        <is>
          <t>TC-FLD-094</t>
        </is>
      </c>
      <c r="B726" s="24" t="inlineStr">
        <is>
          <t>Field-level validation</t>
        </is>
      </c>
      <c r="C726" s="24" t="inlineStr">
        <is>
          <t>GS-057</t>
        </is>
      </c>
      <c r="D726" s="24" t="inlineStr">
        <is>
          <t>Return: quantity per line</t>
        </is>
      </c>
      <c r="E726" s="24" t="inlineStr">
        <is>
          <t>Boundary</t>
        </is>
      </c>
      <c r="F726" s="24" t="inlineStr">
        <is>
          <t>P0</t>
        </is>
      </c>
      <c r="G726" s="24" t="inlineStr">
        <is>
          <t>Customer</t>
        </is>
      </c>
      <c r="H726" s="24" t="inlineStr">
        <is>
          <t>UI+API</t>
        </is>
      </c>
      <c r="I726" s="24" t="inlineStr">
        <is>
          <t>Delivered line of quantity 2</t>
        </is>
      </c>
      <c r="J726" s="24" t="inlineStr">
        <is>
          <t>1. Leave it blank
2. Enter 0
3. Enter -1
4. Enter 1.5
5. Enter text
6. Enter 99999999
7. Enter a normal whole number
8. Enter 2, then 3</t>
        </is>
      </c>
      <c r="K726" s="24" t="inlineStr">
        <is>
          <t>Negative, decimal, text and out-of-range values are refused with a field message and by the API. The normal value saves and shows after reload. 0 leaves the line out. 2 is accepted; 3 is refused.</t>
        </is>
      </c>
      <c r="L726" s="24" t="inlineStr">
        <is>
          <t>Request 3-Oct: field-level testing; TC-RET-003</t>
        </is>
      </c>
      <c r="M726" s="24" t="inlineStr">
        <is>
          <t>Blocked</t>
        </is>
      </c>
      <c r="N726" s="24" t="inlineStr">
        <is>
          <t>Local Blocked · Staging Blocked · Production Not run
local: needs the delivered order of the first returns check in this run
staging: needs the delivered order of the first returns check in this run</t>
        </is>
      </c>
      <c r="O726" s="24" t="inlineStr">
        <is>
          <t>D-48</t>
        </is>
      </c>
      <c r="P726" s="24" t="inlineStr">
        <is>
          <t>2026-10-24 20:09</t>
        </is>
      </c>
    </row>
    <row r="727" ht="46.25" customHeight="1" s="13">
      <c r="A727" s="24" t="inlineStr">
        <is>
          <t>TC-FLD-095</t>
        </is>
      </c>
      <c r="B727" s="24" t="inlineStr">
        <is>
          <t>Field-level validation</t>
        </is>
      </c>
      <c r="C727" s="24" t="inlineStr">
        <is>
          <t>GS-057</t>
        </is>
      </c>
      <c r="D727" s="24" t="inlineStr">
        <is>
          <t>Return: reason and condition</t>
        </is>
      </c>
      <c r="E727" s="24" t="inlineStr">
        <is>
          <t>Negative</t>
        </is>
      </c>
      <c r="F727" s="24" t="inlineStr">
        <is>
          <t>P1</t>
        </is>
      </c>
      <c r="G727" s="24" t="inlineStr">
        <is>
          <t>Customer</t>
        </is>
      </c>
      <c r="H727" s="24" t="inlineStr">
        <is>
          <t>UI+API</t>
        </is>
      </c>
      <c r="I727" s="24" t="n"/>
      <c r="J727" s="24" t="inlineStr">
        <is>
          <t>1. Submit with nothing chosen
2. Choose each option in turn and save
3. Send a value that is not in the list through the API
4. Send CHANGED_MIND through the API</t>
        </is>
      </c>
      <c r="K727" s="24" t="inlineStr">
        <is>
          <t>An empty required choice is refused. Each listed option saves and shows after reload. An unlisted value is refused (422). A reason not offered on the form is refused.</t>
        </is>
      </c>
      <c r="L727" s="24" t="inlineStr">
        <is>
          <t>Request 3-Oct: field-level testing; TC-RET-001</t>
        </is>
      </c>
      <c r="M727" s="24" t="inlineStr">
        <is>
          <t>Pass</t>
        </is>
      </c>
      <c r="N727" s="24" t="inlineStr">
        <is>
          <t>Passed, partly covered. Local Pass (partial) · Staging Blocked · Production Not run
local: not covered: 'each option saved and shown after reload' is shown for one reason/condition (DAMAGED, next check); the others are not each submitted ‖ blocked: "QA Butter 100 g mvmkyclr" cannot be added to the cart — HTTP 409: This product is currently unavailable online.
staging: needs the "sharedA" listing in this site's test data</t>
        </is>
      </c>
      <c r="O727" s="24" t="n"/>
      <c r="P727" s="24" t="inlineStr">
        <is>
          <t>2026-10-24 21:42</t>
        </is>
      </c>
    </row>
    <row r="728" ht="57.45" customHeight="1" s="13">
      <c r="A728" s="24" t="inlineStr">
        <is>
          <t>TC-FLD-096</t>
        </is>
      </c>
      <c r="B728" s="24" t="inlineStr">
        <is>
          <t>Field-level validation</t>
        </is>
      </c>
      <c r="C728" s="24" t="inlineStr">
        <is>
          <t>GS-057</t>
        </is>
      </c>
      <c r="D728" s="24" t="inlineStr">
        <is>
          <t>Return: comment</t>
        </is>
      </c>
      <c r="E728" s="24" t="inlineStr">
        <is>
          <t>Negative</t>
        </is>
      </c>
      <c r="F728" s="24" t="inlineStr">
        <is>
          <t>P2</t>
        </is>
      </c>
      <c r="G728" s="24" t="inlineStr">
        <is>
          <t>Customer</t>
        </is>
      </c>
      <c r="H728" s="24" t="inlineStr">
        <is>
          <t>UI+API</t>
        </is>
      </c>
      <c r="I728" s="24" t="n"/>
      <c r="J728" s="24" t="inlineStr">
        <is>
          <t>1. Leave it blank
2. Enter 300+ characters
3. Enter &lt;script&gt;alert(1)&lt;/script&gt; and symbols
4. Enter Hindi / Marathi text
5. Enter a normal value</t>
        </is>
      </c>
      <c r="K728" s="24" t="inlineStr">
        <is>
          <t>Blank is accepted. Over-long text is cut or refused at the limit, never a 500 (record the limit). Script text is shown as plain text. Hindi / Marathi text saves and displays correctly.</t>
        </is>
      </c>
      <c r="L728" s="24" t="inlineStr">
        <is>
          <t>Request 3-Oct: field-level testing</t>
        </is>
      </c>
      <c r="M728" s="24" t="inlineStr">
        <is>
          <t>Pass</t>
        </is>
      </c>
      <c r="N728" s="24" t="inlineStr">
        <is>
          <t>Passed, partly covered. Local Pass (partial) · Staging Blocked · Production Not run
local: not covered: a blank comment is the default of every other return here (accepted) ‖ blocked: needs the delivered order of the first returns check in this run
staging: needs the delivered order of the first returns check in this run</t>
        </is>
      </c>
      <c r="O728" s="24" t="n"/>
      <c r="P728" s="24" t="inlineStr">
        <is>
          <t>2026-10-24 21:42</t>
        </is>
      </c>
    </row>
    <row r="729" ht="79.84999999999999" customHeight="1" s="13">
      <c r="A729" s="24" t="inlineStr">
        <is>
          <t>TC-FLD-097</t>
        </is>
      </c>
      <c r="B729" s="24" t="inlineStr">
        <is>
          <t>Field-level validation</t>
        </is>
      </c>
      <c r="C729" s="24" t="inlineStr">
        <is>
          <t>GS-057</t>
        </is>
      </c>
      <c r="D729" s="24" t="inlineStr">
        <is>
          <t>Return: evidence photos</t>
        </is>
      </c>
      <c r="E729" s="24" t="inlineStr">
        <is>
          <t>Negative</t>
        </is>
      </c>
      <c r="F729" s="24" t="inlineStr">
        <is>
          <t>P1</t>
        </is>
      </c>
      <c r="G729" s="24" t="inlineStr">
        <is>
          <t>Customer</t>
        </is>
      </c>
      <c r="H729" s="24" t="inlineStr">
        <is>
          <t>UI</t>
        </is>
      </c>
      <c r="I729" s="24" t="n"/>
      <c r="J729" s="24" t="inlineStr">
        <is>
          <t>1. Submit with no file
2. Upload a file over the size limit
3. Upload a wrong type and a PDF / SVG renamed to .jpg
4. Upload an empty (0 byte) file
5. Upload a valid file
6. Choose 'Damaged' with no photo
7. Add more photos than the limit</t>
        </is>
      </c>
      <c r="K729" s="24" t="inlineStr">
        <is>
          <t>Missing, oversized, wrong-type, disguised and empty files are refused with a clear message (content is checked, not the name). The valid file is accepted and shown. A photo is required for 'Damaged'. Photos beyond the limit are refused.</t>
        </is>
      </c>
      <c r="L729" s="24" t="inlineStr">
        <is>
          <t>Request 3-Oct: field-level testing; TC-RET-002</t>
        </is>
      </c>
      <c r="M729" s="24" t="inlineStr">
        <is>
          <t>Pass</t>
        </is>
      </c>
      <c r="N729" s="24" t="inlineStr">
        <is>
          <t>Passed, partly covered. Local Pass (partial) · Staging Blocked · Production Not run
local: blocked: needs the delivered order of the first returns check in this run
staging: needs the delivered order of the first returns check in this run</t>
        </is>
      </c>
      <c r="O729" s="24" t="n"/>
      <c r="P729" s="24" t="inlineStr">
        <is>
          <t>2026-10-24 21:42</t>
        </is>
      </c>
    </row>
    <row r="730" ht="91" customHeight="1" s="13">
      <c r="A730" s="24" t="inlineStr">
        <is>
          <t>TC-FLD-098</t>
        </is>
      </c>
      <c r="B730" s="24" t="inlineStr">
        <is>
          <t>Field-level validation</t>
        </is>
      </c>
      <c r="C730" s="24" t="inlineStr">
        <is>
          <t>GS-057, RBAC-011</t>
        </is>
      </c>
      <c r="D730" s="24" t="inlineStr">
        <is>
          <t>Return inspection: refund amount</t>
        </is>
      </c>
      <c r="E730" s="24" t="inlineStr">
        <is>
          <t>Boundary</t>
        </is>
      </c>
      <c r="F730" s="24" t="inlineStr">
        <is>
          <t>P0</t>
        </is>
      </c>
      <c r="G730" s="24" t="inlineStr">
        <is>
          <t>Shop</t>
        </is>
      </c>
      <c r="H730" s="24" t="inlineStr">
        <is>
          <t>UI+API</t>
        </is>
      </c>
      <c r="I730" s="24" t="inlineStr">
        <is>
          <t>Returned line paid Rs 90</t>
        </is>
      </c>
      <c r="J730" s="24" t="inlineStr">
        <is>
          <t>1. Leave it blank
2. Enter 0, then a negative amount
3. Enter text and symbols
4. Enter 3 decimal places (10.555)
5. Enter a very large amount (10,00,00,000)
6. Enter 70.50
7. Enter 90
8. Enter 90.01</t>
        </is>
      </c>
      <c r="K730" s="24" t="inlineStr">
        <is>
          <t>Zero, negative, text, more than 2 decimals and out-of-range amounts are refused with a field message and 422 from the API. Rs 70.50 is stored as 7050 paise and shown as Rs 70.50. Up to the amount paid for the returned goods is accepted; more is refused.</t>
        </is>
      </c>
      <c r="L730" s="24" t="inlineStr">
        <is>
          <t>Request 3-Oct: field-level testing; TC-RET-010</t>
        </is>
      </c>
      <c r="M730" s="24" t="inlineStr">
        <is>
          <t>Blocked</t>
        </is>
      </c>
      <c r="N730" s="24" t="inlineStr">
        <is>
          <t>Local Blocked · Staging Blocked · Production Not run
local: needs the delivered order of the first returns check in this run
staging: needs the delivered order of the first returns check in this run</t>
        </is>
      </c>
      <c r="O730" s="24" t="n"/>
      <c r="P730" s="24" t="inlineStr">
        <is>
          <t>2026-10-24 20:09</t>
        </is>
      </c>
    </row>
    <row r="731" ht="91" customHeight="1" s="13">
      <c r="A731" s="24" t="inlineStr">
        <is>
          <t>TC-FLD-099</t>
        </is>
      </c>
      <c r="B731" s="24" t="inlineStr">
        <is>
          <t>Field-level validation</t>
        </is>
      </c>
      <c r="C731" s="24" t="inlineStr">
        <is>
          <t>RBAC-011</t>
        </is>
      </c>
      <c r="D731" s="24" t="inlineStr">
        <is>
          <t>Operator refund: amount and reason</t>
        </is>
      </c>
      <c r="E731" s="24" t="inlineStr">
        <is>
          <t>Boundary</t>
        </is>
      </c>
      <c r="F731" s="24" t="inlineStr">
        <is>
          <t>P0</t>
        </is>
      </c>
      <c r="G731" s="24" t="inlineStr">
        <is>
          <t>Operator</t>
        </is>
      </c>
      <c r="H731" s="24" t="inlineStr">
        <is>
          <t>UI+API</t>
        </is>
      </c>
      <c r="I731" s="24" t="inlineStr">
        <is>
          <t>Delivered order of Rs 200</t>
        </is>
      </c>
      <c r="J731" s="24" t="inlineStr">
        <is>
          <t>1. Leave it blank
2. Enter 0, then a negative amount
3. Enter text and symbols
4. Enter 3 decimal places (10.555)
5. Enter a very large amount (10,00,00,000)
6. Enter 70.50
7. Enter 200, then 200.01
8. Leave the reason blank</t>
        </is>
      </c>
      <c r="K731" s="24" t="inlineStr">
        <is>
          <t>Zero, negative, text, more than 2 decimals and out-of-range amounts are refused with a field message and 422 from the API. Rs 70.50 is stored as 7050 paise and shown as Rs 70.50. Over-refund is refused. A reason is required.</t>
        </is>
      </c>
      <c r="L731" s="24" t="inlineStr">
        <is>
          <t>Request 3-Oct: field-level testing; TC-RET-017, TC-RET-018</t>
        </is>
      </c>
      <c r="M731" s="24" t="inlineStr">
        <is>
          <t>Pass</t>
        </is>
      </c>
      <c r="N731" s="24" t="inlineStr">
        <is>
          <t>Passed, partly covered. Local Pass (partial) · Staging Blocked · Production Not run
local: not covered: the refunds are sent through the API the forms use; the /admin/finance form (administrators) is only opened ‖ blocked: "QA Butter 100 g mvmkyclr" cannot be added to the cart — HTTP 409: This product is currently unavailable online.
staging: no delivery offer reached the rider for order 3e976eab-ac75-4caf-a5f3-ba86b1f48988 within 30 s (rider offline or busy?) ‖ needs the "premium" listing in this site's test data</t>
        </is>
      </c>
      <c r="O731" s="24" t="inlineStr">
        <is>
          <t>D-56</t>
        </is>
      </c>
      <c r="P731" s="24" t="inlineStr">
        <is>
          <t>2026-10-24 20:11</t>
        </is>
      </c>
    </row>
    <row r="732" ht="91" customHeight="1" s="13">
      <c r="A732" s="24" t="inlineStr">
        <is>
          <t>TC-FLD-100</t>
        </is>
      </c>
      <c r="B732" s="24" t="inlineStr">
        <is>
          <t>Field-level validation</t>
        </is>
      </c>
      <c r="C732" s="24" t="inlineStr">
        <is>
          <t>GS-056</t>
        </is>
      </c>
      <c r="D732" s="24" t="inlineStr">
        <is>
          <t>Report an issue: category and description</t>
        </is>
      </c>
      <c r="E732" s="24" t="inlineStr">
        <is>
          <t>Negative</t>
        </is>
      </c>
      <c r="F732" s="24" t="inlineStr">
        <is>
          <t>P2</t>
        </is>
      </c>
      <c r="G732" s="24" t="inlineStr">
        <is>
          <t>Customer</t>
        </is>
      </c>
      <c r="H732" s="24" t="inlineStr">
        <is>
          <t>UI+API</t>
        </is>
      </c>
      <c r="I732" s="24" t="n"/>
      <c r="J732" s="24" t="inlineStr">
        <is>
          <t>1. Leave it blank
2. Enter spaces only
3. Enter 1 character
4. Enter 300+ characters
5. Enter &lt;script&gt;alert(1)&lt;/script&gt; and symbols
6. Enter Hindi / Marathi text
7. Enter a normal value with spaces before and after
8. Send a category not in the list through the API</t>
        </is>
      </c>
      <c r="K732" s="24" t="inlineStr">
        <is>
          <t>Blank and spaces-only are refused with a field message. Over-long text is cut or refused at the limit, never a 500 (record the limit). Script text is stored and shown as plain text. Hindi / Marathi text saves and displays correctly. Outer spaces are trimmed. An invalid category is refused; no ticket is created on any refused input.</t>
        </is>
      </c>
      <c r="L732" s="24" t="inlineStr">
        <is>
          <t>Request 3-Oct: field-level testing; extends TC-SUP-003</t>
        </is>
      </c>
      <c r="M732" s="24" t="inlineStr">
        <is>
          <t>Blocked</t>
        </is>
      </c>
      <c r="N732" s="24" t="inlineStr">
        <is>
          <t>Local Blocked · Staging Blocked · Production Not run
local: "QA Butter 100 g mvmkyclr" cannot be added to the cart — HTTP 409: This product is currently unavailable online.
staging: no delivery offer reached the rider for order a03b433b-3078-4da5-a131-0aa02ec34be7 within 30 s (rider offline or busy?)</t>
        </is>
      </c>
      <c r="O732" s="24" t="n"/>
      <c r="P732" s="24" t="inlineStr">
        <is>
          <t>2026-10-24 20:16</t>
        </is>
      </c>
    </row>
    <row r="733" ht="113.4" customHeight="1" s="13">
      <c r="A733" s="24" t="inlineStr">
        <is>
          <t>TC-FLD-101</t>
        </is>
      </c>
      <c r="B733" s="24" t="inlineStr">
        <is>
          <t>Field-level validation</t>
        </is>
      </c>
      <c r="C733" s="24" t="inlineStr">
        <is>
          <t>GS-056</t>
        </is>
      </c>
      <c r="D733" s="24" t="inlineStr">
        <is>
          <t>Grievance form: name, contact, order reference, description</t>
        </is>
      </c>
      <c r="E733" s="24" t="inlineStr">
        <is>
          <t>Negative</t>
        </is>
      </c>
      <c r="F733" s="24" t="inlineStr">
        <is>
          <t>P1</t>
        </is>
      </c>
      <c r="G733" s="24" t="inlineStr">
        <is>
          <t>Guest</t>
        </is>
      </c>
      <c r="H733" s="24" t="inlineStr">
        <is>
          <t>UI+API</t>
        </is>
      </c>
      <c r="I733" s="24" t="n"/>
      <c r="J733" s="24" t="inlineStr">
        <is>
          <t>1. Leave it blank
2. Enter spaces only
3. Enter 1 character
4. Enter 300+ characters
5. Enter &lt;script&gt;alert(1)&lt;/script&gt; and symbols
6. Enter Hindi / Marathi text
7. Enter a normal value with spaces before and after
8. Enter an invalid email / mobile as contact
9. Enter an order reference that does not exist
10. On ticket lookup enter a random id</t>
        </is>
      </c>
      <c r="K733" s="24" t="inlineStr">
        <is>
          <t>Blank and spaces-only are refused with a field message. Over-long text is cut or refused at the limit, never a 500 (record the limit). Script text is stored and shown as plain text. Hindi / Marathi text saves and displays correctly. Outer spaces are trimmed. Contact must be a valid email or mobile. A wrong order reference or ticket id gives a neutral message and reveals nothing about other tickets.</t>
        </is>
      </c>
      <c r="L733" s="24" t="inlineStr">
        <is>
          <t>Request 3-Oct: field-level testing; TC-SUP-004</t>
        </is>
      </c>
      <c r="M733" s="24" t="inlineStr">
        <is>
          <t>Pass</t>
        </is>
      </c>
      <c r="N733" s="24" t="inlineStr">
        <is>
          <t>Passed, partly covered. Local Pass (partial) · Staging Not run (rule) · Production Not run
local: not covered: the public form has no order-reference field (its description carries one); per-IP limit spread with a test address per request
staging: not run on staging: needs the server's database (local run only)</t>
        </is>
      </c>
      <c r="O733" s="24" t="inlineStr">
        <is>
          <t>D-55</t>
        </is>
      </c>
      <c r="P733" s="24" t="inlineStr">
        <is>
          <t>2026-10-24 17:06</t>
        </is>
      </c>
    </row>
    <row r="734" ht="46.25" customHeight="1" s="13">
      <c r="A734" s="24" t="inlineStr">
        <is>
          <t>TC-FLD-102</t>
        </is>
      </c>
      <c r="B734" s="24" t="inlineStr">
        <is>
          <t>Field-level validation</t>
        </is>
      </c>
      <c r="C734" s="24" t="inlineStr">
        <is>
          <t>GS-059, GS-060</t>
        </is>
      </c>
      <c r="D734" s="24" t="inlineStr">
        <is>
          <t>Rating: stars and comment</t>
        </is>
      </c>
      <c r="E734" s="24" t="inlineStr">
        <is>
          <t>Negative</t>
        </is>
      </c>
      <c r="F734" s="24" t="inlineStr">
        <is>
          <t>P1</t>
        </is>
      </c>
      <c r="G734" s="24" t="inlineStr">
        <is>
          <t>Customer</t>
        </is>
      </c>
      <c r="H734" s="24" t="inlineStr">
        <is>
          <t>UI+API</t>
        </is>
      </c>
      <c r="I734" s="24" t="inlineStr">
        <is>
          <t>Delivered order</t>
        </is>
      </c>
      <c r="J734" s="24" t="inlineStr">
        <is>
          <t>1. Submit with no stars
2. Send 0, 6 and 2.5 stars through the API
3. Leave the comment blank
4. Enter 1000 characters and &lt;script&gt; in the comment</t>
        </is>
      </c>
      <c r="K734" s="24" t="inlineStr">
        <is>
          <t>Stars 1 to 5 only, whole numbers. Comment is optional, length-limited and shown as plain text.</t>
        </is>
      </c>
      <c r="L734" s="24" t="inlineStr">
        <is>
          <t>Request 3-Oct: field-level testing; TC-SUP-006</t>
        </is>
      </c>
      <c r="M734" s="24" t="inlineStr">
        <is>
          <t>Fail</t>
        </is>
      </c>
      <c r="N734" s="24" t="inlineStr">
        <is>
          <t>Local Pass (partial) · Staging Fail · Production Not run
local: blocked: "QA Butter 100 g mvmkyclr" cannot be added to the cart — HTTP 409: This product is currently unavailable online.
staging: shop marks ready — HTTP 504: &lt;html&gt; &lt;head&gt;&lt;title&gt;504 Gateway Time-out&lt;/title&gt;&lt;/head&gt; &lt;body&gt; &lt;center&gt;&lt;h1&gt;504 Gateway Time-out&lt;/h1&gt;&lt;/center&gt; &lt;hr&gt;&lt;center&gt;nginx&lt;/center&gt; &lt;/body&gt; &lt;/html&gt; &lt;!-- a padding to disable MSIE and Chrome frien | expect(received).toContain(expected) // indexOf | Expected value: 504 | Received array: [200]</t>
        </is>
      </c>
      <c r="O734" s="24" t="n"/>
      <c r="P734" s="24" t="inlineStr">
        <is>
          <t>2026-10-24 21:50</t>
        </is>
      </c>
    </row>
    <row r="735" ht="79.84999999999999" customHeight="1" s="13">
      <c r="A735" s="24" t="inlineStr">
        <is>
          <t>TC-FLD-103</t>
        </is>
      </c>
      <c r="B735" s="24" t="inlineStr">
        <is>
          <t>Field-level validation</t>
        </is>
      </c>
      <c r="C735" s="24" t="inlineStr">
        <is>
          <t>GS-056</t>
        </is>
      </c>
      <c r="D735" s="24" t="inlineStr">
        <is>
          <t>Contact shop: message</t>
        </is>
      </c>
      <c r="E735" s="24" t="inlineStr">
        <is>
          <t>Negative</t>
        </is>
      </c>
      <c r="F735" s="24" t="inlineStr">
        <is>
          <t>P2</t>
        </is>
      </c>
      <c r="G735" s="24" t="inlineStr">
        <is>
          <t>Customer</t>
        </is>
      </c>
      <c r="H735" s="24" t="inlineStr">
        <is>
          <t>UI+API</t>
        </is>
      </c>
      <c r="I735" s="24" t="n"/>
      <c r="J735" s="24" t="inlineStr">
        <is>
          <t>1. Leave it blank
2. Enter spaces only
3. Enter 1 character
4. Enter 300+ characters
5. Enter &lt;script&gt;alert(1)&lt;/script&gt; and symbols
6. Enter Hindi / Marathi text
7. Enter a normal value with spaces before and after</t>
        </is>
      </c>
      <c r="K735" s="24" t="inlineStr">
        <is>
          <t>Blank and spaces-only are refused with a field message. Over-long text is cut or refused at the limit, never a 500 (record the limit). Script text is stored and shown as plain text. Hindi / Marathi text saves and displays correctly. Outer spaces are trimmed.</t>
        </is>
      </c>
      <c r="L735" s="24" t="inlineStr">
        <is>
          <t>Request 3-Oct: field-level testing; TC-SUP-011</t>
        </is>
      </c>
      <c r="M735" s="24" t="inlineStr">
        <is>
          <t>Blocked</t>
        </is>
      </c>
      <c r="N735" s="24" t="inlineStr">
        <is>
          <t>Local Blocked · Staging Blocked · Production Not run
local: /shops/[slug]/contact has no message field to test — it lists the shop's phone / WhatsApp (or GoKesari customer care); written contact goes through the help desk (/support)
staging: /shops/[slug]/contact has no message field to test — it lists the shop's phone / WhatsApp (or GoKesari customer care); written contact goes through the help desk (/support)</t>
        </is>
      </c>
      <c r="O735" s="24" t="n"/>
      <c r="P735" s="24" t="inlineStr">
        <is>
          <t>2026-10-24 20:30</t>
        </is>
      </c>
    </row>
    <row r="736" ht="102.2" customHeight="1" s="13">
      <c r="A736" s="24" t="inlineStr">
        <is>
          <t>TC-FLD-104</t>
        </is>
      </c>
      <c r="B736" s="24" t="inlineStr">
        <is>
          <t>Field-level validation</t>
        </is>
      </c>
      <c r="C736" s="24" t="inlineStr">
        <is>
          <t>GS-044</t>
        </is>
      </c>
      <c r="D736" s="24" t="inlineStr">
        <is>
          <t>Society registration: name, address, PIN</t>
        </is>
      </c>
      <c r="E736" s="24" t="inlineStr">
        <is>
          <t>Negative</t>
        </is>
      </c>
      <c r="F736" s="24" t="inlineStr">
        <is>
          <t>P1</t>
        </is>
      </c>
      <c r="G736" s="24" t="inlineStr">
        <is>
          <t>Customer</t>
        </is>
      </c>
      <c r="H736" s="24" t="inlineStr">
        <is>
          <t>UI+API</t>
        </is>
      </c>
      <c r="I736" s="24" t="n"/>
      <c r="J736" s="24" t="inlineStr">
        <is>
          <t>1. Leave it blank
2. Enter spaces only
3. Enter 1 character
4. Enter 300+ characters
5. Enter &lt;script&gt;alert(1)&lt;/script&gt; and symbols
6. Enter Hindi / Marathi text
7. Enter a normal value with spaces before and after
8. Run the PIN checks from TC-FLD-016 on the PIN field
9. Enter a name + PIN that already exists</t>
        </is>
      </c>
      <c r="K736" s="24" t="inlineStr">
        <is>
          <t>Blank and spaces-only are refused with a field message. Over-long text is cut or refused at the limit, never a 500 (record the limit). Script text is stored and shown as plain text. Hindi / Marathi text saves and displays correctly. Outer spaces are trimmed. PIN follows the 6-digit rule. A duplicate name + PIN is refused.</t>
        </is>
      </c>
      <c r="L736" s="24" t="inlineStr">
        <is>
          <t>Request 3-Oct: field-level testing; TC-SOC-001, TC-SOC-002</t>
        </is>
      </c>
      <c r="M736" s="24" t="inlineStr">
        <is>
          <t>Pass</t>
        </is>
      </c>
      <c r="N736" s="24" t="inlineStr">
        <is>
          <t>Passed, partly covered. Local Pass (partial) · Staging Pass (partial) · Production Not run
local: not covered: a PIN starting with 0 is accepted (known defect D-04, not asserted); duplicates are TC-SOC-002
staging: not covered: a PIN starting with 0 is accepted (known defect D-04, not asserted); duplicates are TC-SOC-002</t>
        </is>
      </c>
      <c r="O736" s="24" t="n"/>
      <c r="P736" s="24" t="inlineStr">
        <is>
          <t>2026-10-24 18:10</t>
        </is>
      </c>
    </row>
    <row r="737" ht="79.84999999999999" customHeight="1" s="13">
      <c r="A737" s="24" t="inlineStr">
        <is>
          <t>TC-FLD-105</t>
        </is>
      </c>
      <c r="B737" s="24" t="inlineStr">
        <is>
          <t>Field-level validation</t>
        </is>
      </c>
      <c r="C737" s="24" t="inlineStr">
        <is>
          <t>GS-047, GS-046</t>
        </is>
      </c>
      <c r="D737" s="24" t="inlineStr">
        <is>
          <t>Society rules: gate notes, entry mode, security desk contact</t>
        </is>
      </c>
      <c r="E737" s="24" t="inlineStr">
        <is>
          <t>Negative</t>
        </is>
      </c>
      <c r="F737" s="24" t="inlineStr">
        <is>
          <t>P2</t>
        </is>
      </c>
      <c r="G737" s="24" t="inlineStr">
        <is>
          <t>Society</t>
        </is>
      </c>
      <c r="H737" s="24" t="inlineStr">
        <is>
          <t>UI+API</t>
        </is>
      </c>
      <c r="I737" s="24" t="n"/>
      <c r="J737" s="24" t="inlineStr">
        <is>
          <t>1. Leave it blank
2. Enter 300+ characters
3. Enter &lt;script&gt;alert(1)&lt;/script&gt; and symbols
4. Enter Hindi / Marathi text
5. Enter a normal value
6. Choose each entry mode
7. Enter an invalid mobile / email as the security contact</t>
        </is>
      </c>
      <c r="K737" s="24" t="inlineStr">
        <is>
          <t>Blank is accepted. Over-long text is cut or refused at the limit, never a 500 (record the limit). Script text is shown as plain text. Hindi / Marathi text saves and displays correctly. Entry mode must be from the list. The security contact must be a valid mobile or email when given.</t>
        </is>
      </c>
      <c r="L737" s="24" t="inlineStr">
        <is>
          <t>Request 3-Oct: field-level testing; TC-SOC-013</t>
        </is>
      </c>
      <c r="M737" s="24" t="inlineStr">
        <is>
          <t>Pass</t>
        </is>
      </c>
      <c r="N737" s="24" t="inlineStr">
        <is>
          <t>Passed, partly covered. Local Pass (partial) · Staging Blocked · Production Not run
local: not covered: the security contact is a phone field: an email address is refused rather than accepted (src/components/society-actions.tsx 'Security desk phone')
staging: needs a verified society in this site's test data</t>
        </is>
      </c>
      <c r="O737" s="24" t="inlineStr">
        <is>
          <t>D-26</t>
        </is>
      </c>
      <c r="P737" s="24" t="inlineStr">
        <is>
          <t>2026-10-24 18:10</t>
        </is>
      </c>
    </row>
    <row r="738" ht="91" customHeight="1" s="13">
      <c r="A738" s="24" t="inlineStr">
        <is>
          <t>TC-FLD-106</t>
        </is>
      </c>
      <c r="B738" s="24" t="inlineStr">
        <is>
          <t>Field-level validation</t>
        </is>
      </c>
      <c r="C738" s="24" t="inlineStr">
        <is>
          <t>GS-045</t>
        </is>
      </c>
      <c r="D738" s="24" t="inlineStr">
        <is>
          <t>Society: authorised rider mobile</t>
        </is>
      </c>
      <c r="E738" s="24" t="inlineStr">
        <is>
          <t>Negative</t>
        </is>
      </c>
      <c r="F738" s="24" t="inlineStr">
        <is>
          <t>P1</t>
        </is>
      </c>
      <c r="G738" s="24" t="inlineStr">
        <is>
          <t>Society</t>
        </is>
      </c>
      <c r="H738" s="24" t="inlineStr">
        <is>
          <t>UI+API</t>
        </is>
      </c>
      <c r="I738" s="24" t="n"/>
      <c r="J738" s="24" t="inlineStr">
        <is>
          <t>1. Leave it blank
2. Enter 9 digits, then 11 digits
3. Enter 5876543210 (first digit below 6)
4. Enter letters, symbols and a number with spaces
5. Enter +91 followed by a valid number
6. Enter a valid 10-digit number starting 6-9
7. Enter a valid number that is not an approved rider
8. Enter a rider already on the list</t>
        </is>
      </c>
      <c r="K738" s="24" t="inlineStr">
        <is>
          <t>Blank, wrong length, wrong first digit and non-digits each show a message on the field and nothing is saved or sent. +91 is either stripped or refused, the same way every time (record which). The valid number is saved exactly. Only an approved rider can be added; a rider is listed once.</t>
        </is>
      </c>
      <c r="L738" s="24" t="inlineStr">
        <is>
          <t>Request 3-Oct: field-level testing; TC-SOC-011</t>
        </is>
      </c>
      <c r="M738" s="24" t="inlineStr">
        <is>
          <t>Pass</t>
        </is>
      </c>
      <c r="N738" s="24" t="inlineStr">
        <is>
          <t>Local Pass · Staging Not run (rule) · Production Not run
local: UI: blank and 9 digits → Add rider disabled; refused: 987654321→422, 5876543210→422, abcdefghij→422, 16462998827→422, 64629ab98827→422; "+91 6462998827" accepted (+91 stripped); a number of no approved rider → 404; the same rider again → still one row
staging: not run on staging: needs the server's database (local run only)</t>
        </is>
      </c>
      <c r="O738" s="24" t="inlineStr">
        <is>
          <t>D-27</t>
        </is>
      </c>
      <c r="P738" s="24" t="inlineStr">
        <is>
          <t>2026-10-24 17:05</t>
        </is>
      </c>
    </row>
    <row r="739" ht="57.45" customHeight="1" s="13">
      <c r="A739" s="24" t="inlineStr">
        <is>
          <t>TC-FLD-107</t>
        </is>
      </c>
      <c r="B739" s="24" t="inlineStr">
        <is>
          <t>Field-level validation</t>
        </is>
      </c>
      <c r="C739" s="24" t="inlineStr">
        <is>
          <t>GS-048</t>
        </is>
      </c>
      <c r="D739" s="24" t="inlineStr">
        <is>
          <t>Subscription: quantity per delivery</t>
        </is>
      </c>
      <c r="E739" s="24" t="inlineStr">
        <is>
          <t>Negative</t>
        </is>
      </c>
      <c r="F739" s="24" t="inlineStr">
        <is>
          <t>P0</t>
        </is>
      </c>
      <c r="G739" s="24" t="inlineStr">
        <is>
          <t>Customer</t>
        </is>
      </c>
      <c r="H739" s="24" t="inlineStr">
        <is>
          <t>UI+API</t>
        </is>
      </c>
      <c r="I739" s="24" t="inlineStr">
        <is>
          <t>Subscribable milk at Rs 70 per litre</t>
        </is>
      </c>
      <c r="J739" s="24" t="inlineStr">
        <is>
          <t>1. Leave it blank
2. Enter 0 and a negative quantity
3. Enter 0.5 L, 2 L and 2.3 L
4. Enter 1000 L
5. Enter text</t>
        </is>
      </c>
      <c r="K739" s="24" t="inlineStr">
        <is>
          <t>Only quantities in the allowed step and range are accepted. The cost preview equals quantity x price for every accepted value.</t>
        </is>
      </c>
      <c r="L739" s="24" t="inlineStr">
        <is>
          <t>Request 3-Oct: field-level testing; TC-SUB-001</t>
        </is>
      </c>
      <c r="M739" s="24" t="inlineStr">
        <is>
          <t>Pass</t>
        </is>
      </c>
      <c r="N739" s="24" t="inlineStr">
        <is>
          <t>Passed, partly covered. Local Pass (partial) · Staging Blocked · Production Not run
local: not covered: the page itself only steps in 0.5 L (−0.5 stops at 0.5, no free text), so the off-step and out-of-range values reach the server only through the API
staging: needs the "milk" listing in this site's test data</t>
        </is>
      </c>
      <c r="O739" s="24" t="inlineStr">
        <is>
          <t>D-38</t>
        </is>
      </c>
      <c r="P739" s="24" t="inlineStr">
        <is>
          <t>2026-10-24 18:49</t>
        </is>
      </c>
    </row>
    <row r="740" ht="57.45" customHeight="1" s="13">
      <c r="A740" s="24" t="inlineStr">
        <is>
          <t>TC-FLD-108</t>
        </is>
      </c>
      <c r="B740" s="24" t="inlineStr">
        <is>
          <t>Field-level validation</t>
        </is>
      </c>
      <c r="C740" s="24" t="inlineStr">
        <is>
          <t>GS-048, GS-049</t>
        </is>
      </c>
      <c r="D740" s="24" t="inlineStr">
        <is>
          <t>Subscription: schedule and start date</t>
        </is>
      </c>
      <c r="E740" s="24" t="inlineStr">
        <is>
          <t>Boundary</t>
        </is>
      </c>
      <c r="F740" s="24" t="inlineStr">
        <is>
          <t>P1</t>
        </is>
      </c>
      <c r="G740" s="24" t="inlineStr">
        <is>
          <t>Customer</t>
        </is>
      </c>
      <c r="H740" s="24" t="inlineStr">
        <is>
          <t>UI+API</t>
        </is>
      </c>
      <c r="I740" s="24" t="n"/>
      <c r="J740" s="24" t="inlineStr">
        <is>
          <t>1. Leave it blank
2. Enter a past date
3. Enter today, then a future date
4. Send 31 February and text through the API
5. Choose weekly with no weekday ticked</t>
        </is>
      </c>
      <c r="K740" s="24" t="inlineStr">
        <is>
          <t>Blank and impossible dates are refused. Past / today / future are accepted or refused according to the rule for this field (see extra checks); the API gives the same answer as the page. Start date cannot be in the past. A weekly schedule needs at least one weekday.</t>
        </is>
      </c>
      <c r="L740" s="24" t="inlineStr">
        <is>
          <t>Request 3-Oct: field-level testing; TC-SUB-003</t>
        </is>
      </c>
      <c r="M740" s="24" t="inlineStr">
        <is>
          <t>Pass</t>
        </is>
      </c>
      <c r="N740" s="24" t="inlineStr">
        <is>
          <t>Passed, partly covered. Local Pass (partial) · Staging Blocked · Production Not run
local: not covered: the page's date box has min = today, but the page sends whatever date is typed; the API answer is the one checked here
staging: needs the "milk" listing in this site's test data</t>
        </is>
      </c>
      <c r="O740" s="24" t="inlineStr">
        <is>
          <t>D-35</t>
        </is>
      </c>
      <c r="P740" s="24" t="inlineStr">
        <is>
          <t>2026-10-24 18:49</t>
        </is>
      </c>
    </row>
    <row r="741" ht="68.65000000000001" customHeight="1" s="13">
      <c r="A741" s="24" t="inlineStr">
        <is>
          <t>TC-FLD-109</t>
        </is>
      </c>
      <c r="B741" s="24" t="inlineStr">
        <is>
          <t>Field-level validation</t>
        </is>
      </c>
      <c r="C741" s="24" t="inlineStr">
        <is>
          <t>GS-051</t>
        </is>
      </c>
      <c r="D741" s="24" t="inlineStr">
        <is>
          <t>Subscription: skip date and tomorrow quantity</t>
        </is>
      </c>
      <c r="E741" s="24" t="inlineStr">
        <is>
          <t>Boundary</t>
        </is>
      </c>
      <c r="F741" s="24" t="inlineStr">
        <is>
          <t>P1</t>
        </is>
      </c>
      <c r="G741" s="24" t="inlineStr">
        <is>
          <t>Customer</t>
        </is>
      </c>
      <c r="H741" s="24" t="inlineStr">
        <is>
          <t>UI+API</t>
        </is>
      </c>
      <c r="I741" s="24" t="inlineStr">
        <is>
          <t>Active subscription</t>
        </is>
      </c>
      <c r="J741" s="24" t="inlineStr">
        <is>
          <t>1. Leave it blank
2. Enter a past date
3. Enter today, then a future date
4. Send 31 February and text through the API
5. Skip a date already processed
6. Change tomorrow quantity to 0</t>
        </is>
      </c>
      <c r="K741" s="24" t="inlineStr">
        <is>
          <t>Blank and impossible dates are refused. Past / today / future are accepted or refused according to the rule for this field (see extra checks); the API gives the same answer as the page. Past or processed dates cannot be skipped or changed. Quantity 0 for one day is treated as a skip or refused, the same way every time.</t>
        </is>
      </c>
      <c r="L741" s="24" t="inlineStr">
        <is>
          <t>Request 3-Oct: field-level testing; TC-SUB-004, TC-SUB-005, TC-SUB-009</t>
        </is>
      </c>
      <c r="M741" s="24" t="inlineStr">
        <is>
          <t>Pass</t>
        </is>
      </c>
      <c r="N741" s="24" t="inlineStr">
        <is>
          <t>Passed, partly covered. Local Pass (partial) · Staging Blocked · Production Not run
local: not covered: 'skip a date already processed' is TC-SUB-009 in the local tier; the calendar page's day panel sends the same API calls
staging: needs the "milk" listing in this site's test data</t>
        </is>
      </c>
      <c r="O741" s="24" t="inlineStr">
        <is>
          <t>D-37</t>
        </is>
      </c>
      <c r="P741" s="24" t="inlineStr">
        <is>
          <t>2026-10-24 18:49</t>
        </is>
      </c>
    </row>
    <row r="742" ht="91" customHeight="1" s="13">
      <c r="A742" s="24" t="inlineStr">
        <is>
          <t>TC-FLD-110</t>
        </is>
      </c>
      <c r="B742" s="24" t="inlineStr">
        <is>
          <t>Field-level validation</t>
        </is>
      </c>
      <c r="C742" s="24" t="inlineStr">
        <is>
          <t>NEW-001, RBAC-014</t>
        </is>
      </c>
      <c r="D742" s="24" t="inlineStr">
        <is>
          <t>Business rules: every numeric rule value</t>
        </is>
      </c>
      <c r="E742" s="24" t="inlineStr">
        <is>
          <t>Boundary</t>
        </is>
      </c>
      <c r="F742" s="24" t="inlineStr">
        <is>
          <t>P1</t>
        </is>
      </c>
      <c r="G742" s="24" t="inlineStr">
        <is>
          <t>Admin</t>
        </is>
      </c>
      <c r="H742" s="24" t="inlineStr">
        <is>
          <t>UI+API</t>
        </is>
      </c>
      <c r="I742" s="24" t="n"/>
      <c r="J742" s="24" t="inlineStr">
        <is>
          <t>1. Leave it blank
2. Enter 0
3. Enter -1
4. Enter 1.5
5. Enter text
6. Enter 99999999
7. Enter a normal whole number
8. For each rule enter the minimum, the maximum, one below and one above</t>
        </is>
      </c>
      <c r="K742" s="24" t="inlineStr">
        <is>
          <t>Negative, decimal, text and out-of-range values are refused with a field message and by the API. The normal value saves and shows after reload. Minimum and maximum are accepted; one outside either end is refused and the current value is kept. Restore defaults afterwards.</t>
        </is>
      </c>
      <c r="L742" s="24" t="inlineStr">
        <is>
          <t>Request 3-Oct: field-level testing; extends TC-ADM-008</t>
        </is>
      </c>
      <c r="M742" s="24" t="inlineStr">
        <is>
          <t>Pass</t>
        </is>
      </c>
      <c r="N742" s="24" t="inlineStr">
        <is>
          <t>Passed, partly covered. Local Pass (partial) · Staging Not run (rule) · Production Not run
local: not covered: the editor is one JSON box per rule group, so the page's message is the API's per-field message; the field-level checks run through the API
staging: not run on staging: needs the server's database (local run only)</t>
        </is>
      </c>
      <c r="O742" s="24" t="n"/>
      <c r="P742" s="24" t="inlineStr">
        <is>
          <t>2026-10-24 17:04</t>
        </is>
      </c>
    </row>
    <row r="743" ht="46.25" customHeight="1" s="13">
      <c r="A743" s="24" t="inlineStr">
        <is>
          <t>TC-FLD-111</t>
        </is>
      </c>
      <c r="B743" s="24" t="inlineStr">
        <is>
          <t>Field-level validation</t>
        </is>
      </c>
      <c r="C743" s="24" t="inlineStr">
        <is>
          <t>GS-061</t>
        </is>
      </c>
      <c r="D743" s="24" t="inlineStr">
        <is>
          <t>Commission rate (%)</t>
        </is>
      </c>
      <c r="E743" s="24" t="inlineStr">
        <is>
          <t>Negative</t>
        </is>
      </c>
      <c r="F743" s="24" t="inlineStr">
        <is>
          <t>P1</t>
        </is>
      </c>
      <c r="G743" s="24" t="inlineStr">
        <is>
          <t>Admin</t>
        </is>
      </c>
      <c r="H743" s="24" t="inlineStr">
        <is>
          <t>UI+API</t>
        </is>
      </c>
      <c r="I743" s="24" t="n"/>
      <c r="J743" s="24" t="inlineStr">
        <is>
          <t>1. Leave it blank
2. Enter -1, 100.01 and text
3. Enter 0, 100 and 7.5
4. Enter 7.555</t>
        </is>
      </c>
      <c r="K743" s="24" t="inlineStr">
        <is>
          <t>Only 0 to 100 with the allowed number of decimals is accepted. Orders already delivered keep their snapshot rate.</t>
        </is>
      </c>
      <c r="L743" s="24" t="inlineStr">
        <is>
          <t>Request 3-Oct: field-level testing; TC-FIN-003</t>
        </is>
      </c>
      <c r="M743" s="24" t="inlineStr">
        <is>
          <t>Pass</t>
        </is>
      </c>
      <c r="N743" s="24" t="inlineStr">
        <is>
          <t>Passed, partly covered. Local Pass (partial) · Staging Pass (partial) · Production Not run
local: not covered: the accepted values (0, 7.5%, the cap) and 'delivered orders keep their snapshot rate' are proven in local/finance-settlement.spec.ts. Expected '0 to 100' superseded by src/server/services/finance.ts setCommissionRate: the cap is 50% (5000 bp), so 100 is refused too
staging: not covered: the accepted values (0, 7.5%, the cap) and 'delivered orders keep their snapshot rate' are proven in local/finance-settlement.spec.ts. Expected '0 to 100' superseded by src/server/services/finance.ts setCommissionRate: the cap is 50% (5000 bp), so 100 is refused too</t>
        </is>
      </c>
      <c r="O743" s="24" t="n"/>
      <c r="P743" s="24" t="inlineStr">
        <is>
          <t>2026-10-24 18:10</t>
        </is>
      </c>
    </row>
    <row r="744" ht="79.84999999999999" customHeight="1" s="13">
      <c r="A744" s="24" t="inlineStr">
        <is>
          <t>TC-FLD-112</t>
        </is>
      </c>
      <c r="B744" s="24" t="inlineStr">
        <is>
          <t>Field-level validation</t>
        </is>
      </c>
      <c r="C744" s="24" t="inlineStr">
        <is>
          <t>GS-008</t>
        </is>
      </c>
      <c r="D744" s="24" t="inlineStr">
        <is>
          <t>Registration fee schedule: amount</t>
        </is>
      </c>
      <c r="E744" s="24" t="inlineStr">
        <is>
          <t>Boundary</t>
        </is>
      </c>
      <c r="F744" s="24" t="inlineStr">
        <is>
          <t>P2</t>
        </is>
      </c>
      <c r="G744" s="24" t="inlineStr">
        <is>
          <t>Admin</t>
        </is>
      </c>
      <c r="H744" s="24" t="inlineStr">
        <is>
          <t>UI+API</t>
        </is>
      </c>
      <c r="I744" s="24" t="n"/>
      <c r="J744" s="24" t="inlineStr">
        <is>
          <t>1. Leave it blank
2. Enter 0, then a negative amount
3. Enter text and symbols
4. Enter 3 decimal places (10.555)
5. Enter a very large amount (10,00,00,000)
6. Enter 70.50
7. Enter 0</t>
        </is>
      </c>
      <c r="K744" s="24" t="inlineStr">
        <is>
          <t>Zero, negative, text, more than 2 decimals and out-of-range amounts are refused with a field message and 422 from the API. Rs 70.50 is stored as 7050 paise and shown as Rs 70.50. 0 is accepted (free registration).</t>
        </is>
      </c>
      <c r="L744" s="24" t="inlineStr">
        <is>
          <t>Request 3-Oct: field-level testing; TC-ONB-021</t>
        </is>
      </c>
      <c r="M744" s="24" t="inlineStr">
        <is>
          <t>Pass</t>
        </is>
      </c>
      <c r="N744" s="24" t="inlineStr">
        <is>
          <t>Local Pass · Staging Not run (rule) · Production Not run
local: blank → 422; −₹1 → 422; text → 422; 10.555 → 422; ₹10,00,00,000 → 422; ₹70.50 → 201; ₹0 (free) → 201; restored to ₹0
staging: not run on staging: needs the server's database (local run only)</t>
        </is>
      </c>
      <c r="O744" s="24" t="inlineStr">
        <is>
          <t>D-98</t>
        </is>
      </c>
      <c r="P744" s="24" t="inlineStr">
        <is>
          <t>2026-10-24 17:05</t>
        </is>
      </c>
    </row>
    <row r="745" ht="102.2" customHeight="1" s="13">
      <c r="A745" s="24" t="inlineStr">
        <is>
          <t>TC-FLD-113</t>
        </is>
      </c>
      <c r="B745" s="24" t="inlineStr">
        <is>
          <t>Field-level validation</t>
        </is>
      </c>
      <c r="C745" s="24" t="inlineStr">
        <is>
          <t>GS-008</t>
        </is>
      </c>
      <c r="D745" s="24" t="inlineStr">
        <is>
          <t>Shop payment record: amount, reference, date</t>
        </is>
      </c>
      <c r="E745" s="24" t="inlineStr">
        <is>
          <t>Boundary</t>
        </is>
      </c>
      <c r="F745" s="24" t="inlineStr">
        <is>
          <t>P2</t>
        </is>
      </c>
      <c r="G745" s="24" t="inlineStr">
        <is>
          <t>Operator</t>
        </is>
      </c>
      <c r="H745" s="24" t="inlineStr">
        <is>
          <t>UI+API</t>
        </is>
      </c>
      <c r="I745" s="24" t="n"/>
      <c r="J745" s="24" t="inlineStr">
        <is>
          <t>1. Leave it blank
2. Enter 0, then a negative amount
3. Enter text and symbols
4. Enter 3 decimal places (10.555)
5. Enter a very large amount (10,00,00,000)
6. Enter 70.50
7. Leave the reference blank
8. Enter a reference already used
9. Enter a future date</t>
        </is>
      </c>
      <c r="K745" s="24" t="inlineStr">
        <is>
          <t>Zero, negative, text, more than 2 decimals and out-of-range amounts are refused with a field message and 422 from the API. Rs 70.50 is stored as 7050 paise and shown as Rs 70.50. Reference is required and unique. A future payment date is refused.</t>
        </is>
      </c>
      <c r="L745" s="24" t="inlineStr">
        <is>
          <t>Request 3-Oct: field-level testing; TC-ONB-022</t>
        </is>
      </c>
      <c r="M745" s="24" t="inlineStr">
        <is>
          <t>Pass</t>
        </is>
      </c>
      <c r="N745" s="24" t="inlineStr">
        <is>
          <t>Passed, partly covered. Local Pass (partial) · Staging Not run (rule) · Production Not run
local: not covered: API only (the operator's form posts the same fields)
staging: not run on staging: needs the server's database (local run only)</t>
        </is>
      </c>
      <c r="O745" s="24" t="inlineStr">
        <is>
          <t>D-98</t>
        </is>
      </c>
      <c r="P745" s="24" t="inlineStr">
        <is>
          <t>2026-10-24 17:05</t>
        </is>
      </c>
    </row>
    <row r="746" ht="57.45" customHeight="1" s="13">
      <c r="A746" s="24" t="inlineStr">
        <is>
          <t>TC-FLD-114</t>
        </is>
      </c>
      <c r="B746" s="24" t="inlineStr">
        <is>
          <t>Field-level validation</t>
        </is>
      </c>
      <c r="C746" s="24" t="inlineStr">
        <is>
          <t>GS-053</t>
        </is>
      </c>
      <c r="D746" s="24" t="inlineStr">
        <is>
          <t>Voucher: code, bonus, minimum amount, budget, per-user limit, expiry</t>
        </is>
      </c>
      <c r="E746" s="24" t="inlineStr">
        <is>
          <t>Negative</t>
        </is>
      </c>
      <c r="F746" s="24" t="inlineStr">
        <is>
          <t>P1</t>
        </is>
      </c>
      <c r="G746" s="24" t="inlineStr">
        <is>
          <t>Admin</t>
        </is>
      </c>
      <c r="H746" s="24" t="inlineStr">
        <is>
          <t>UI+API</t>
        </is>
      </c>
      <c r="I746" s="24" t="n"/>
      <c r="J746" s="24" t="inlineStr">
        <is>
          <t>1. Submit with each field blank in turn
2. Enter a code that already exists and a code with spaces / symbols
3. Enter 0, negative and text in bonus, minimum, budget and per-user limit
4. Enter an expiry in the past
5. Enter a budget smaller than one bonus</t>
        </is>
      </c>
      <c r="K746" s="24" t="inlineStr">
        <is>
          <t>Each required field is named in its message. Duplicate or malformed codes, non-positive numbers, a past expiry and an impossible budget are refused.</t>
        </is>
      </c>
      <c r="L746" s="24" t="inlineStr">
        <is>
          <t>Request 3-Oct: field-level testing; TC-PAY-014</t>
        </is>
      </c>
      <c r="M746" s="24" t="inlineStr">
        <is>
          <t>Pass</t>
        </is>
      </c>
      <c r="N746" s="24" t="inlineStr">
        <is>
          <t>Passed, partly covered. Local Pass (partial) · Staging Not run (rule) · Production Not run
local: not covered: a minimum top-up of 0 means 'no minimum' (src/app/api/vouchers/route.ts allows min 0) and is not counted as a refusal case
staging: not run on staging: needs the server's database (local run only)</t>
        </is>
      </c>
      <c r="O746" s="24" t="inlineStr">
        <is>
          <t>D-83, D-101, D-105</t>
        </is>
      </c>
      <c r="P746" s="24" t="inlineStr">
        <is>
          <t>2026-10-24 17:04</t>
        </is>
      </c>
    </row>
    <row r="747" ht="46.25" customHeight="1" s="13">
      <c r="A747" s="24" t="inlineStr">
        <is>
          <t>TC-FLD-115</t>
        </is>
      </c>
      <c r="B747" s="24" t="inlineStr">
        <is>
          <t>Field-level validation</t>
        </is>
      </c>
      <c r="C747" s="24" t="inlineStr">
        <is>
          <t>GS-063</t>
        </is>
      </c>
      <c r="D747" s="24" t="inlineStr">
        <is>
          <t>Rider time-slot rate: start, end, rate</t>
        </is>
      </c>
      <c r="E747" s="24" t="inlineStr">
        <is>
          <t>Negative</t>
        </is>
      </c>
      <c r="F747" s="24" t="inlineStr">
        <is>
          <t>P2</t>
        </is>
      </c>
      <c r="G747" s="24" t="inlineStr">
        <is>
          <t>Admin</t>
        </is>
      </c>
      <c r="H747" s="24" t="inlineStr">
        <is>
          <t>UI+API</t>
        </is>
      </c>
      <c r="I747" s="24" t="n"/>
      <c r="J747" s="24" t="inlineStr">
        <is>
          <t>1. Enter end = start
2. Enter an overnight slot (22:00 to 06:00)
3. Enter rate 0, negative and text
4. Enter a slot overlapping an existing one</t>
        </is>
      </c>
      <c r="K747" s="24" t="inlineStr">
        <is>
          <t>Equal times and bad rates are refused. Overnight and overlapping slots are accepted and resolved by priority.</t>
        </is>
      </c>
      <c r="L747" s="24" t="inlineStr">
        <is>
          <t>Request 3-Oct: field-level testing; TC-FIN-012, TC-FIN-013</t>
        </is>
      </c>
      <c r="M747" s="24" t="inlineStr">
        <is>
          <t>Pass</t>
        </is>
      </c>
      <c r="N747" s="24" t="inlineStr">
        <is>
          <t>Local Pass · Staging Not run (rule) · Production Not run
local: equal times, negative, text and 25:00 → 422; overnight and overlapping → 201; a ₹0 base fee is accepted (a free base is a valid rate)
staging: not run on staging: needs the server's database (local run only)</t>
        </is>
      </c>
      <c r="O747" s="24" t="n"/>
      <c r="P747" s="24" t="inlineStr">
        <is>
          <t>2026-10-24 17:05</t>
        </is>
      </c>
    </row>
    <row r="748" ht="91" customHeight="1" s="13">
      <c r="A748" s="24" t="inlineStr">
        <is>
          <t>TC-FLD-116</t>
        </is>
      </c>
      <c r="B748" s="24" t="inlineStr">
        <is>
          <t>Field-level validation</t>
        </is>
      </c>
      <c r="C748" s="24" t="inlineStr">
        <is>
          <t>GS-064</t>
        </is>
      </c>
      <c r="D748" s="24" t="inlineStr">
        <is>
          <t>Manual adjustment: amount and reason</t>
        </is>
      </c>
      <c r="E748" s="24" t="inlineStr">
        <is>
          <t>Boundary</t>
        </is>
      </c>
      <c r="F748" s="24" t="inlineStr">
        <is>
          <t>P1</t>
        </is>
      </c>
      <c r="G748" s="24" t="inlineStr">
        <is>
          <t>Admin</t>
        </is>
      </c>
      <c r="H748" s="24" t="inlineStr">
        <is>
          <t>UI+API</t>
        </is>
      </c>
      <c r="I748" s="24" t="n"/>
      <c r="J748" s="24" t="inlineStr">
        <is>
          <t>1. Leave it blank
2. Enter 0, then a negative amount
3. Enter text and symbols
4. Enter 3 decimal places (10.555)
5. Enter a very large amount (10,00,00,000)
6. Enter 70.50
7. Enter a negative amount (deduction)
8. Leave the reason blank</t>
        </is>
      </c>
      <c r="K748" s="24" t="inlineStr">
        <is>
          <t>Zero, negative, text, more than 2 decimals and out-of-range amounts are refused with a field message and 422 from the API. Rs 70.50 is stored as 7050 paise and shown as Rs 70.50. A deduction is entered in the way the form defines (sign or type), never both. A reason is required.</t>
        </is>
      </c>
      <c r="L748" s="24" t="inlineStr">
        <is>
          <t>Request 3-Oct: field-level testing; TC-FIN-020</t>
        </is>
      </c>
      <c r="M748" s="24" t="inlineStr">
        <is>
          <t>Pass</t>
        </is>
      </c>
      <c r="N748" s="24" t="inlineStr">
        <is>
          <t>Local Pass · Staging Not run (rule) · Production Not run
local: API: 0, blank, text, 1055.5 paise, 10^10 paise and a missing / short reason → 422; form: ₹70.50 → 7050, −₹25 → −2500, no reason keeps the button off, 10.555 refused
staging: not run on staging: needs the server's database (local run only)</t>
        </is>
      </c>
      <c r="O748" s="24" t="inlineStr">
        <is>
          <t>D-98</t>
        </is>
      </c>
      <c r="P748" s="24" t="inlineStr">
        <is>
          <t>2026-10-24 17:05</t>
        </is>
      </c>
    </row>
    <row r="749" ht="91" customHeight="1" s="13">
      <c r="A749" s="24" t="inlineStr">
        <is>
          <t>TC-FLD-117</t>
        </is>
      </c>
      <c r="B749" s="24" t="inlineStr">
        <is>
          <t>Field-level validation</t>
        </is>
      </c>
      <c r="C749" s="24" t="inlineStr">
        <is>
          <t>GS-030</t>
        </is>
      </c>
      <c r="D749" s="24" t="inlineStr">
        <is>
          <t>Cash deposit: amount and reference</t>
        </is>
      </c>
      <c r="E749" s="24" t="inlineStr">
        <is>
          <t>Boundary</t>
        </is>
      </c>
      <c r="F749" s="24" t="inlineStr">
        <is>
          <t>P1</t>
        </is>
      </c>
      <c r="G749" s="24" t="inlineStr">
        <is>
          <t>Admin</t>
        </is>
      </c>
      <c r="H749" s="24" t="inlineStr">
        <is>
          <t>UI+API</t>
        </is>
      </c>
      <c r="I749" s="24" t="inlineStr">
        <is>
          <t>Rider holds Rs 500 COD cash</t>
        </is>
      </c>
      <c r="J749" s="24" t="inlineStr">
        <is>
          <t>1. Leave it blank
2. Enter 0, then a negative amount
3. Enter text and symbols
4. Enter 3 decimal places (10.555)
5. Enter a very large amount (10,00,00,000)
6. Enter 70.50
7. Enter 500, then 500.01
8. Leave the reference blank</t>
        </is>
      </c>
      <c r="K749" s="24" t="inlineStr">
        <is>
          <t>Zero, negative, text, more than 2 decimals and out-of-range amounts are refused with a field message and 422 from the API. Rs 70.50 is stored as 7050 paise and shown as Rs 70.50. A deposit above the cash held is refused or flagged. Reference is required.</t>
        </is>
      </c>
      <c r="L749" s="24" t="inlineStr">
        <is>
          <t>Request 3-Oct: field-level testing; TC-COD-009</t>
        </is>
      </c>
      <c r="M749" s="24" t="inlineStr">
        <is>
          <t>Pass</t>
        </is>
      </c>
      <c r="N749" s="24" t="inlineStr">
        <is>
          <t>Local Pass · Staging Not run (rule) · Production Not run
local: rider held ₹500: blank / 0 / negative / text / 10.555 / ₹10 crore / held + 1 paisa → refused; blank reference → 422; ₹70.50 through the form → 7050 paise; above-held keeps the button off
staging: not run on staging: needs the server's database (local run only)</t>
        </is>
      </c>
      <c r="O749" s="24" t="inlineStr">
        <is>
          <t>D-98</t>
        </is>
      </c>
      <c r="P749" s="24" t="inlineStr">
        <is>
          <t>2026-10-24 17:05</t>
        </is>
      </c>
    </row>
    <row r="750" ht="68.65000000000001" customHeight="1" s="13">
      <c r="A750" s="24" t="inlineStr">
        <is>
          <t>TC-FLD-118</t>
        </is>
      </c>
      <c r="B750" s="24" t="inlineStr">
        <is>
          <t>Field-level validation</t>
        </is>
      </c>
      <c r="C750" s="24" t="inlineStr">
        <is>
          <t>GS-062</t>
        </is>
      </c>
      <c r="D750" s="24" t="inlineStr">
        <is>
          <t>Settlement: week start date</t>
        </is>
      </c>
      <c r="E750" s="24" t="inlineStr">
        <is>
          <t>Boundary</t>
        </is>
      </c>
      <c r="F750" s="24" t="inlineStr">
        <is>
          <t>P2</t>
        </is>
      </c>
      <c r="G750" s="24" t="inlineStr">
        <is>
          <t>Admin</t>
        </is>
      </c>
      <c r="H750" s="24" t="inlineStr">
        <is>
          <t>UI+API</t>
        </is>
      </c>
      <c r="I750" s="24" t="n"/>
      <c r="J750" s="24" t="inlineStr">
        <is>
          <t>1. Leave it blank
2. Enter a past date
3. Enter today, then a future date
4. Send 31 February and text through the API
5. Enter a Tuesday
6. Enter a future Monday</t>
        </is>
      </c>
      <c r="K750" s="24" t="inlineStr">
        <is>
          <t>Blank and impossible dates are refused. Past / today / future are accepted or refused according to the rule for this field (see extra checks); the API gives the same answer as the page. Only a Monday is accepted; a week that has not ended is refused.</t>
        </is>
      </c>
      <c r="L750" s="24" t="inlineStr">
        <is>
          <t>Request 3-Oct: field-level testing; TC-FIN-007</t>
        </is>
      </c>
      <c r="M750" s="24" t="inlineStr">
        <is>
          <t>Pass</t>
        </is>
      </c>
      <c r="N750" s="24" t="inlineStr">
        <is>
          <t>Passed, partly covered. Local Pass (partial) · Staging Not run (rule) · Production Not run
local: not covered: the page has no date field (it prepares last week only), so 'the API gives the same answer as the page' is the API alone
staging: not run on staging: needs the server's database (local run only)</t>
        </is>
      </c>
      <c r="O750" s="24" t="inlineStr">
        <is>
          <t>D-98</t>
        </is>
      </c>
      <c r="P750" s="24" t="inlineStr">
        <is>
          <t>2026-10-24 17:05</t>
        </is>
      </c>
    </row>
    <row r="751" ht="79.84999999999999" customHeight="1" s="13">
      <c r="A751" s="24" t="inlineStr">
        <is>
          <t>TC-FLD-119</t>
        </is>
      </c>
      <c r="B751" s="24" t="inlineStr">
        <is>
          <t>Field-level validation</t>
        </is>
      </c>
      <c r="C751" s="24" t="inlineStr">
        <is>
          <t>NEW-002</t>
        </is>
      </c>
      <c r="D751" s="24" t="inlineStr">
        <is>
          <t>Suspension: reason and expected action</t>
        </is>
      </c>
      <c r="E751" s="24" t="inlineStr">
        <is>
          <t>Negative</t>
        </is>
      </c>
      <c r="F751" s="24" t="inlineStr">
        <is>
          <t>P1</t>
        </is>
      </c>
      <c r="G751" s="24" t="inlineStr">
        <is>
          <t>Admin</t>
        </is>
      </c>
      <c r="H751" s="24" t="inlineStr">
        <is>
          <t>UI+API</t>
        </is>
      </c>
      <c r="I751" s="24" t="n"/>
      <c r="J751" s="24" t="inlineStr">
        <is>
          <t>1. Leave it blank
2. Enter spaces only
3. Enter 1 character
4. Enter 300+ characters
5. Enter &lt;script&gt;alert(1)&lt;/script&gt; and symbols
6. Enter Hindi / Marathi text
7. Enter a normal value with spaces before and after</t>
        </is>
      </c>
      <c r="K751" s="24" t="inlineStr">
        <is>
          <t>Blank and spaces-only are refused with a field message. Over-long text is cut or refused at the limit, never a 500 (record the limit). Script text is stored and shown as plain text. Hindi / Marathi text saves and displays correctly. Outer spaces are trimmed. The owner sees the reason on the suspension notice.</t>
        </is>
      </c>
      <c r="L751" s="24" t="inlineStr">
        <is>
          <t>Request 3-Oct: field-level testing; TC-ONB-031</t>
        </is>
      </c>
      <c r="M751" s="24" t="inlineStr">
        <is>
          <t>Pass</t>
        </is>
      </c>
      <c r="N751" s="24" t="inlineStr">
        <is>
          <t>Local Pass · Staging Not run (rule) · Production Not run
local: blank reason 422, spaces only 422, 1 character 422, 501 characters 422, blank expected action 422, 301-char expected action 422; limits: reason 3–500, expected action 3–300; script/Hindi stored trimmed and shown as text on the owner's /shop
staging: not run on staging: needs the server's database (local run only)</t>
        </is>
      </c>
      <c r="O751" s="24" t="n"/>
      <c r="P751" s="24" t="inlineStr">
        <is>
          <t>2026-10-24 17:04</t>
        </is>
      </c>
    </row>
    <row r="752" ht="57.45" customHeight="1" s="13">
      <c r="A752" s="24" t="inlineStr">
        <is>
          <t>TC-FLD-120</t>
        </is>
      </c>
      <c r="B752" s="24" t="inlineStr">
        <is>
          <t>Field-level validation</t>
        </is>
      </c>
      <c r="C752" s="24" t="inlineStr">
        <is>
          <t>RBAC-013</t>
        </is>
      </c>
      <c r="D752" s="24" t="inlineStr">
        <is>
          <t>Admin user edit: name, mobile, email, role</t>
        </is>
      </c>
      <c r="E752" s="24" t="inlineStr">
        <is>
          <t>Negative</t>
        </is>
      </c>
      <c r="F752" s="24" t="inlineStr">
        <is>
          <t>P1</t>
        </is>
      </c>
      <c r="G752" s="24" t="inlineStr">
        <is>
          <t>Admin</t>
        </is>
      </c>
      <c r="H752" s="24" t="inlineStr">
        <is>
          <t>UI+API</t>
        </is>
      </c>
      <c r="I752" s="24" t="n"/>
      <c r="J752" s="24" t="inlineStr">
        <is>
          <t>1. Blank the name
2. Enter an invalid mobile and email
3. Enter a mobile / email of another account
4. Send a role that does not exist through the API
5. Cancel at the Save confirmation</t>
        </is>
      </c>
      <c r="K752" s="24" t="inlineStr">
        <is>
          <t>Same field rules as the user own profile. Values of another account are refused. An unknown role is refused. Cancel changes nothing.</t>
        </is>
      </c>
      <c r="L752" s="24" t="inlineStr">
        <is>
          <t>Request 3-Oct: field-level testing; TC-ADM-010, TC-RBAC-009</t>
        </is>
      </c>
      <c r="M752" s="24" t="inlineStr">
        <is>
          <t>Fail</t>
        </is>
      </c>
      <c r="N752" s="24" t="inlineStr">
        <is>
          <t>Local Fail · Staging Not run (rule) · Production Not run
local: expect(locator).toBeVisible() failed | Locator: getByText('A name needs 2–120 characters.') | Expected: visible | Timeout: 15000ms
staging: not run on staging: needs the server's database (local run only)</t>
        </is>
      </c>
      <c r="O752" s="24" t="n"/>
      <c r="P752" s="24" t="inlineStr">
        <is>
          <t>2026-10-24 17:05</t>
        </is>
      </c>
    </row>
    <row r="753" ht="79.84999999999999" customHeight="1" s="13">
      <c r="A753" s="24" t="inlineStr">
        <is>
          <t>TC-FLD-121</t>
        </is>
      </c>
      <c r="B753" s="24" t="inlineStr">
        <is>
          <t>Field-level validation</t>
        </is>
      </c>
      <c r="C753" s="24" t="inlineStr">
        <is>
          <t>WF-008, GS-007</t>
        </is>
      </c>
      <c r="D753" s="24" t="inlineStr">
        <is>
          <t>Operator: shop reject reason and classification-change reason</t>
        </is>
      </c>
      <c r="E753" s="24" t="inlineStr">
        <is>
          <t>Negative</t>
        </is>
      </c>
      <c r="F753" s="24" t="inlineStr">
        <is>
          <t>P1</t>
        </is>
      </c>
      <c r="G753" s="24" t="inlineStr">
        <is>
          <t>Operator</t>
        </is>
      </c>
      <c r="H753" s="24" t="inlineStr">
        <is>
          <t>UI+API</t>
        </is>
      </c>
      <c r="I753" s="24" t="n"/>
      <c r="J753" s="24" t="inlineStr">
        <is>
          <t>1. Leave it blank
2. Enter spaces only
3. Enter 1 character
4. Enter 300+ characters
5. Enter &lt;script&gt;alert(1)&lt;/script&gt; and symbols
6. Enter Hindi / Marathi text
7. Enter a normal value with spaces before and after</t>
        </is>
      </c>
      <c r="K753" s="24" t="inlineStr">
        <is>
          <t>Blank and spaces-only are refused with a field message. Over-long text is cut or refused at the limit, never a 500 (record the limit). Script text is stored and shown as plain text. Hindi / Marathi text saves and displays correctly. Outer spaces are trimmed. The owner sees the reject reason and can correct and resubmit.</t>
        </is>
      </c>
      <c r="L753" s="24" t="inlineStr">
        <is>
          <t>Request 3-Oct: field-level testing; TC-ONB-013, TC-ONB-015</t>
        </is>
      </c>
      <c r="M753" s="24" t="inlineStr">
        <is>
          <t>Pass</t>
        </is>
      </c>
      <c r="N753" s="24" t="inlineStr">
        <is>
          <t>Passed, partly covered. Local Pass (partial) · Staging Not run (rule) · Production Not run
local: not covered: an approved shop is suspended (with the suspension policy and notices), never 'rejected'; approveShop refuses a non-pending shop, rejectShop has no such check
staging: not run on staging: needs the server's database (local run only)</t>
        </is>
      </c>
      <c r="O753" s="24" t="inlineStr">
        <is>
          <t>D-62, D-84</t>
        </is>
      </c>
      <c r="P753" s="24" t="inlineStr">
        <is>
          <t>2026-10-24 17:05</t>
        </is>
      </c>
    </row>
    <row r="754" ht="35.05" customHeight="1" s="13">
      <c r="A754" s="24" t="inlineStr">
        <is>
          <t>TC-FLD-122</t>
        </is>
      </c>
      <c r="B754" s="24" t="inlineStr">
        <is>
          <t>Field-level validation</t>
        </is>
      </c>
      <c r="C754" s="24" t="inlineStr">
        <is>
          <t>GS-052</t>
        </is>
      </c>
      <c r="D754" s="24" t="inlineStr">
        <is>
          <t>Marketing segment: rule fields</t>
        </is>
      </c>
      <c r="E754" s="24" t="inlineStr">
        <is>
          <t>Negative</t>
        </is>
      </c>
      <c r="F754" s="24" t="inlineStr">
        <is>
          <t>P2</t>
        </is>
      </c>
      <c r="G754" s="24" t="inlineStr">
        <is>
          <t>Shop</t>
        </is>
      </c>
      <c r="H754" s="24" t="inlineStr">
        <is>
          <t>UI+API</t>
        </is>
      </c>
      <c r="I754" s="24" t="n"/>
      <c r="J754" s="24" t="inlineStr">
        <is>
          <t>1. Save with no rule
2. Enter a negative order count and text in number fields
3. Enter a from-date after the to-date</t>
        </is>
      </c>
      <c r="K754" s="24" t="inlineStr">
        <is>
          <t>A segment needs at least one valid rule. Bad numbers and reversed dates are refused.</t>
        </is>
      </c>
      <c r="L754" s="24" t="inlineStr">
        <is>
          <t>Request 3-Oct: field-level testing; TC-MKT-004, TC-MKT-005</t>
        </is>
      </c>
      <c r="M754" s="24" t="inlineStr">
        <is>
          <t>Pass</t>
        </is>
      </c>
      <c r="N754" s="24" t="inlineStr">
        <is>
          <t>Passed, partly covered. Local Pass (partial) · Staging Pass (partial) · Production Not run
local: not covered: a segment with no rule is accepted and targets all the shop's customers (expected result superseded by src/app/shop/marketing/page.tsx describeRules 'All customers'); there are no date fields — the day windows are the dates
staging: not covered: a segment with no rule is accepted and targets all the shop's customers (expected result superseded by src/app/shop/marketing/page.tsx describeRules 'All customers'); there are no date fields — the day windows are the dates</t>
        </is>
      </c>
      <c r="O754" s="24" t="inlineStr">
        <is>
          <t>D-28</t>
        </is>
      </c>
      <c r="P754" s="24" t="inlineStr">
        <is>
          <t>2026-10-24 18:01</t>
        </is>
      </c>
    </row>
    <row r="755" ht="46.25" customHeight="1" s="13">
      <c r="A755" s="24" t="inlineStr">
        <is>
          <t>TC-FLD-123</t>
        </is>
      </c>
      <c r="B755" s="24" t="inlineStr">
        <is>
          <t>Field-level validation</t>
        </is>
      </c>
      <c r="C755" s="24" t="inlineStr">
        <is>
          <t>GS-053, WF-009</t>
        </is>
      </c>
      <c r="D755" s="24" t="inlineStr">
        <is>
          <t>Campaign: name, message, budget, schedule</t>
        </is>
      </c>
      <c r="E755" s="24" t="inlineStr">
        <is>
          <t>Negative</t>
        </is>
      </c>
      <c r="F755" s="24" t="inlineStr">
        <is>
          <t>P1</t>
        </is>
      </c>
      <c r="G755" s="24" t="inlineStr">
        <is>
          <t>Shop</t>
        </is>
      </c>
      <c r="H755" s="24" t="inlineStr">
        <is>
          <t>UI+API</t>
        </is>
      </c>
      <c r="I755" s="24" t="n"/>
      <c r="J755" s="24" t="inlineStr">
        <is>
          <t>1. Submit with each field blank in turn
2. Enter a message over the length limit and one with &lt;script&gt;
3. Enter budget 0, negative and text
4. Schedule in the past</t>
        </is>
      </c>
      <c r="K755" s="24" t="inlineStr">
        <is>
          <t>Required fields are named. Over-long or script text is refused or shown as plain text. Bad budgets and a past schedule are refused.</t>
        </is>
      </c>
      <c r="L755" s="24" t="inlineStr">
        <is>
          <t>Request 3-Oct: field-level testing; TC-MKT-007, TC-MKT-011</t>
        </is>
      </c>
      <c r="M755" s="24" t="inlineStr">
        <is>
          <t>Fail</t>
        </is>
      </c>
      <c r="N755" s="24" t="inlineStr">
        <is>
          <t>Local Pass (partial) · Staging Fail · Production Not run
local: not covered: campaigns have no schedule (they are sent by the owner once approved), so 'schedule in the past' has no field to test
staging: expect(locator).toBeVisible() failed | Locator: getByTestId('campaign-list').getByText('&lt;script&gt;alert(1)&lt;/script&gt; QA offer mvmys731', { exact: true }) | Expected: visible | Timeout: 30000ms</t>
        </is>
      </c>
      <c r="O755" s="24" t="n"/>
      <c r="P755" s="24" t="inlineStr">
        <is>
          <t>2026-10-24 22:23</t>
        </is>
      </c>
    </row>
    <row r="756" ht="46.25" customHeight="1" s="13">
      <c r="A756" s="24" t="inlineStr">
        <is>
          <t>TC-FLD-124</t>
        </is>
      </c>
      <c r="B756" s="24" t="inlineStr">
        <is>
          <t>Field-level validation</t>
        </is>
      </c>
      <c r="C756" s="24" t="inlineStr">
        <is>
          <t>GS-070, GS-074</t>
        </is>
      </c>
      <c r="D756" s="24" t="inlineStr">
        <is>
          <t>Consent and notification preference switches</t>
        </is>
      </c>
      <c r="E756" s="24" t="inlineStr">
        <is>
          <t>Positive</t>
        </is>
      </c>
      <c r="F756" s="24" t="inlineStr">
        <is>
          <t>P1</t>
        </is>
      </c>
      <c r="G756" s="24" t="inlineStr">
        <is>
          <t>Customer</t>
        </is>
      </c>
      <c r="H756" s="24" t="inlineStr">
        <is>
          <t>UI+API</t>
        </is>
      </c>
      <c r="I756" s="24" t="n"/>
      <c r="J756" s="24" t="inlineStr">
        <is>
          <t>1. Switch on, save and reload
2. Switch off, save and reload
3. Send a non-boolean value through the API
4. Try to switch off Account &amp; security notices</t>
        </is>
      </c>
      <c r="K756" s="24" t="inlineStr">
        <is>
          <t>The state persists both ways and takes effect where it should. A non-boolean value is refused. Account &amp; security notices cannot be switched off.</t>
        </is>
      </c>
      <c r="L756" s="24" t="inlineStr">
        <is>
          <t>Request 3-Oct: field-level testing; TC-MKT-001, TC-NTF-005, TC-NTF-006</t>
        </is>
      </c>
      <c r="M756" s="24" t="inlineStr">
        <is>
          <t>Pass</t>
        </is>
      </c>
      <c r="N756" s="24" t="inlineStr">
        <is>
          <t>Passed, partly covered. Local Pass (partial) · Staging Pass (partial) · Production Not run
local: not covered: 'takes effect where it should' (marketing audiences, email delivery) is TC-MKT-006 and the notification specs
staging: not covered: 'takes effect where it should' (marketing audiences, email delivery) is TC-MKT-006 and the notification specs</t>
        </is>
      </c>
      <c r="O756" s="24" t="n"/>
      <c r="P756" s="24" t="inlineStr">
        <is>
          <t>2026-10-24 18:08</t>
        </is>
      </c>
    </row>
    <row r="757" ht="35.05" customHeight="1" s="13">
      <c r="A757" s="24" t="inlineStr">
        <is>
          <t>TC-FLD-125</t>
        </is>
      </c>
      <c r="B757" s="24" t="inlineStr">
        <is>
          <t>Field-level validation</t>
        </is>
      </c>
      <c r="C757" s="24" t="inlineStr">
        <is>
          <t>NAV-001</t>
        </is>
      </c>
      <c r="D757" s="24" t="inlineStr">
        <is>
          <t>Every form: required marks, message placement and kept values</t>
        </is>
      </c>
      <c r="E757" s="24" t="inlineStr">
        <is>
          <t>Positive</t>
        </is>
      </c>
      <c r="F757" s="24" t="inlineStr">
        <is>
          <t>P1</t>
        </is>
      </c>
      <c r="G757" s="24" t="inlineStr">
        <is>
          <t>All</t>
        </is>
      </c>
      <c r="H757" s="24" t="inlineStr">
        <is>
          <t>UI</t>
        </is>
      </c>
      <c r="I757" s="24" t="n"/>
      <c r="J757" s="24" t="inlineStr">
        <is>
          <t>1. On each form submit empty
2. Fix one field and submit again
3. Cause a server error (duplicate value) on a long form</t>
        </is>
      </c>
      <c r="K757" s="24" t="inlineStr">
        <is>
          <t>Required fields are marked. Each message sits beside its field in plain language and clears when fixed. Values already typed are kept after any error.</t>
        </is>
      </c>
      <c r="L757" s="24" t="inlineStr">
        <is>
          <t>Request 3-Oct: field-level testing; TC-ONB-006</t>
        </is>
      </c>
      <c r="M757" s="24" t="inlineStr">
        <is>
          <t>Pass</t>
        </is>
      </c>
      <c r="N757" s="24" t="inlineStr">
        <is>
          <t>Passed, partly covered. Local Pass (partial) · Staging Blocked · Production Not run
local: not covered: one long form (address); the admin forms' messages are checked by TC-ADM-008 and TC-FLD-120
staging: needs a PIN</t>
        </is>
      </c>
      <c r="O757" s="24" t="inlineStr">
        <is>
          <t>D-82</t>
        </is>
      </c>
      <c r="P757" s="24" t="inlineStr">
        <is>
          <t>2026-10-24 20:56</t>
        </is>
      </c>
    </row>
    <row r="758" ht="35.05" customHeight="1" s="13">
      <c r="A758" s="24" t="inlineStr">
        <is>
          <t>TC-FLD-126</t>
        </is>
      </c>
      <c r="B758" s="24" t="inlineStr">
        <is>
          <t>Field-level validation</t>
        </is>
      </c>
      <c r="C758" s="24" t="inlineStr">
        <is>
          <t>NAV-001</t>
        </is>
      </c>
      <c r="D758" s="24" t="inlineStr">
        <is>
          <t>Every form: keyboard, tab order and phone keypad</t>
        </is>
      </c>
      <c r="E758" s="24" t="inlineStr">
        <is>
          <t>Positive</t>
        </is>
      </c>
      <c r="F758" s="24" t="inlineStr">
        <is>
          <t>P2</t>
        </is>
      </c>
      <c r="G758" s="24" t="inlineStr">
        <is>
          <t>All</t>
        </is>
      </c>
      <c r="H758" s="24" t="inlineStr">
        <is>
          <t>UI</t>
        </is>
      </c>
      <c r="I758" s="24" t="inlineStr">
        <is>
          <t>Mobile viewport and desktop</t>
        </is>
      </c>
      <c r="J758" s="24" t="inlineStr">
        <is>
          <t>1. Tab through each form
2. Press Enter in the last field
3. On a phone tap mobile, PIN, OTP, amount and email fields</t>
        </is>
      </c>
      <c r="K758" s="24" t="inlineStr">
        <is>
          <t>Tab order follows the screen. Enter submits once. Number fields open the numeric keypad and email opens the email keyboard.</t>
        </is>
      </c>
      <c r="L758" s="24" t="inlineStr">
        <is>
          <t>Request 3-Oct: field-level testing; TC-UX-002</t>
        </is>
      </c>
      <c r="M758" s="24" t="inlineStr">
        <is>
          <t>Pass</t>
        </is>
      </c>
      <c r="N758" s="24" t="inlineStr">
        <is>
          <t>Passed, partly covered. Local Pass (partial) · Staging Blocked · Production Not run
local: not covered: sign-in, location, wallet and address forms; the OTP field's keypad is read on the profile email-change form only when it is open
staging: needs a PIN</t>
        </is>
      </c>
      <c r="O758" s="24" t="n"/>
      <c r="P758" s="24" t="inlineStr">
        <is>
          <t>2026-10-24 20:56</t>
        </is>
      </c>
    </row>
    <row r="759" ht="35.05" customHeight="1" s="13">
      <c r="A759" s="24" t="inlineStr">
        <is>
          <t>TC-FLD-127</t>
        </is>
      </c>
      <c r="B759" s="24" t="inlineStr">
        <is>
          <t>Field-level validation</t>
        </is>
      </c>
      <c r="C759" s="24" t="inlineStr">
        <is>
          <t>GS-071</t>
        </is>
      </c>
      <c r="D759" s="24" t="inlineStr">
        <is>
          <t>Every form: the server repeats the page checks</t>
        </is>
      </c>
      <c r="E759" s="24" t="inlineStr">
        <is>
          <t>Security</t>
        </is>
      </c>
      <c r="F759" s="24" t="inlineStr">
        <is>
          <t>P0</t>
        </is>
      </c>
      <c r="G759" s="24" t="inlineStr">
        <is>
          <t>Customer</t>
        </is>
      </c>
      <c r="H759" s="24" t="inlineStr">
        <is>
          <t>API</t>
        </is>
      </c>
      <c r="I759" s="24" t="n"/>
      <c r="J759" s="24" t="inlineStr">
        <is>
          <t>1. For each form send the request through the API with a required field missing, a wrong type and an extra unknown field
2. Double-click each Save / Submit button</t>
        </is>
      </c>
      <c r="K759" s="24" t="inlineStr">
        <is>
          <t>The API refuses what the page refuses (422, never a 500) and ignores unknown fields. A double click creates one record.</t>
        </is>
      </c>
      <c r="L759" s="24" t="inlineStr">
        <is>
          <t>Request 3-Oct: field-level testing; TC-SEC-004, TC-ONB-005</t>
        </is>
      </c>
      <c r="M759" s="24" t="inlineStr">
        <is>
          <t>Pass</t>
        </is>
      </c>
      <c r="N759" s="24" t="inlineStr">
        <is>
          <t>Passed, partly covered. Local Pass (partial) · Staging Blocked · Production Not run
local: not covered: unknown fields: ignored by most forms; PATCH /api/shops/[id] refuses them (422) by its deliberate .strict() schema (src/app/api/shops/[id]/route.ts); the double-click half is the next check
staging: needs a PIN ‖ needs shop A's location</t>
        </is>
      </c>
      <c r="O759" s="24" t="n"/>
      <c r="P759" s="24" t="inlineStr">
        <is>
          <t>2026-10-24 17:39</t>
        </is>
      </c>
    </row>
    <row r="760" ht="57.45" customHeight="1" s="13">
      <c r="A760" s="24" t="inlineStr">
        <is>
          <t>TC-FLD-128</t>
        </is>
      </c>
      <c r="B760" s="24" t="inlineStr">
        <is>
          <t>Field-level validation</t>
        </is>
      </c>
      <c r="C760" s="24" t="inlineStr">
        <is>
          <t>GS-071</t>
        </is>
      </c>
      <c r="D760" s="24" t="inlineStr">
        <is>
          <t>Every number field: pasted and unusual number formats</t>
        </is>
      </c>
      <c r="E760" s="24" t="inlineStr">
        <is>
          <t>Negative</t>
        </is>
      </c>
      <c r="F760" s="24" t="inlineStr">
        <is>
          <t>P2</t>
        </is>
      </c>
      <c r="G760" s="24" t="inlineStr">
        <is>
          <t>All</t>
        </is>
      </c>
      <c r="H760" s="24" t="inlineStr">
        <is>
          <t>UI</t>
        </is>
      </c>
      <c r="I760" s="24" t="n"/>
      <c r="J760" s="24" t="inlineStr">
        <is>
          <t>1. Paste 1,000 and Rs 1000
2. Paste 0010
3. Paste 1e3
4. Paste Devanagari digits
5. Paste a number with a trailing space</t>
        </is>
      </c>
      <c r="K760" s="24" t="inlineStr">
        <is>
          <t>Each is either converted to the plain number or refused with a message, the same way every time. Never saved as a different amount (1,000 must not become 1).</t>
        </is>
      </c>
      <c r="L760" s="24" t="inlineStr">
        <is>
          <t>Request 3-Oct: field-level testing</t>
        </is>
      </c>
      <c r="M760" s="24" t="inlineStr">
        <is>
          <t>Pass</t>
        </is>
      </c>
      <c r="N760" s="24" t="inlineStr">
        <is>
          <t>Passed, partly covered. Local Pass (partial) · Staging Pass (partial) · Production Not run
local: not covered: the wallet amount (a number field); the payment is stopped before the gateway; price and stock fields of the shop screens are not repeated here
staging: not covered: the wallet amount (a number field); the payment is stopped before the gateway; price and stock fields of the shop screens are not repeated here</t>
        </is>
      </c>
      <c r="O760" s="24" t="n"/>
      <c r="P760" s="24" t="inlineStr">
        <is>
          <t>2026-10-24 17:39</t>
        </is>
      </c>
    </row>
    <row r="761" ht="46.25" customHeight="1" s="13">
      <c r="A761" s="24" t="inlineStr">
        <is>
          <t>TC-FLD-129</t>
        </is>
      </c>
      <c r="B761" s="24" t="inlineStr">
        <is>
          <t>Field-level validation</t>
        </is>
      </c>
      <c r="C761" s="24" t="inlineStr">
        <is>
          <t>GS-071</t>
        </is>
      </c>
      <c r="D761" s="24" t="inlineStr">
        <is>
          <t>Every text field: emoji, long words and database characters</t>
        </is>
      </c>
      <c r="E761" s="24" t="inlineStr">
        <is>
          <t>Security</t>
        </is>
      </c>
      <c r="F761" s="24" t="inlineStr">
        <is>
          <t>P1</t>
        </is>
      </c>
      <c r="G761" s="24" t="inlineStr">
        <is>
          <t>All</t>
        </is>
      </c>
      <c r="H761" s="24" t="inlineStr">
        <is>
          <t>UI+API</t>
        </is>
      </c>
      <c r="I761" s="24" t="n"/>
      <c r="J761" s="24" t="inlineStr">
        <is>
          <t>1. Enter emoji
2. Enter one 200-character word with no spaces
3. Enter ' OR 1=1 -- and a backslash
4. Paste text with a line break into a single-line field</t>
        </is>
      </c>
      <c r="K761" s="24" t="inlineStr">
        <is>
          <t>No 500 and no broken layout. Text is stored and shown as typed (or refused with a message). The database characters have no effect.</t>
        </is>
      </c>
      <c r="L761" s="24" t="inlineStr">
        <is>
          <t>Request 3-Oct: field-level testing; TC-SEC-003</t>
        </is>
      </c>
      <c r="M761" s="24" t="inlineStr">
        <is>
          <t>Pass</t>
        </is>
      </c>
      <c r="N761" s="24" t="inlineStr">
        <is>
          <t>Local Pass · Staging Blocked · Production Not run
local: address emoji 201 as typed; address word 201 as typed; address sql 201 as typed; address lines 201 as typed; ticket 201 ‖ [phone] address emoji 201 as typed; address word 201 as typed; address sql 201 as typed; address lines 201 as typed; ticket 201
staging: needs a PIN</t>
        </is>
      </c>
      <c r="O761" s="24" t="n"/>
      <c r="P761" s="24" t="inlineStr">
        <is>
          <t>2026-10-24 20:55</t>
        </is>
      </c>
    </row>
    <row r="762" ht="46.25" customHeight="1" s="13">
      <c r="A762" s="24" t="inlineStr">
        <is>
          <t>TC-FLD-130</t>
        </is>
      </c>
      <c r="B762" s="24" t="inlineStr">
        <is>
          <t>Field-level validation</t>
        </is>
      </c>
      <c r="C762" s="24" t="inlineStr">
        <is>
          <t>NAV-003</t>
        </is>
      </c>
      <c r="D762" s="24" t="inlineStr">
        <is>
          <t>Checkout: coupon code</t>
        </is>
      </c>
      <c r="E762" s="24" t="inlineStr">
        <is>
          <t>Negative</t>
        </is>
      </c>
      <c r="F762" s="24" t="inlineStr">
        <is>
          <t>P1</t>
        </is>
      </c>
      <c r="G762" s="24" t="inlineStr">
        <is>
          <t>Customer</t>
        </is>
      </c>
      <c r="H762" s="24" t="inlineStr">
        <is>
          <t>UI+API</t>
        </is>
      </c>
      <c r="I762" s="24" t="n"/>
      <c r="J762" s="24" t="inlineStr">
        <is>
          <t>1. Leave it blank
2. Enter an unknown code
3. Enter a valid code in lower case with spaces around it
4. Enter 100 characters and &lt;script&gt;alert(1)&lt;/script&gt;</t>
        </is>
      </c>
      <c r="K762" s="24" t="inlineStr">
        <is>
          <t>Blank is fine (no discount). Unknown code gives a clear message. Case and outer spaces are handled the same way every time. Script text is shown as plain text; no 500.</t>
        </is>
      </c>
      <c r="L762" s="24" t="inlineStr">
        <is>
          <t>Open features 3-Oct, treated as completed 4-Oct</t>
        </is>
      </c>
      <c r="M762" s="24" t="inlineStr">
        <is>
          <t>Pass</t>
        </is>
      </c>
      <c r="N762" s="24" t="inlineStr">
        <is>
          <t>Passed, partly covered. Local Pass (partial) · Staging Not run (rule) · Production Not run
local: not covered: 'a coupon for another shop' does not exist: coupons are order-level and platform-wide (src/server/services/coupons.ts, marketplace-features-2026-10 F7)
staging: not run on staging: needs the server's database (local run only)</t>
        </is>
      </c>
      <c r="O762" s="24" t="n"/>
      <c r="P762" s="24" t="inlineStr">
        <is>
          <t>2026-10-24 17:07</t>
        </is>
      </c>
    </row>
    <row r="763" ht="35.05" customHeight="1" s="13">
      <c r="A763" s="24" t="inlineStr">
        <is>
          <t>TC-FLD-131</t>
        </is>
      </c>
      <c r="B763" s="24" t="inlineStr">
        <is>
          <t>Field-level validation</t>
        </is>
      </c>
      <c r="C763" s="24" t="inlineStr">
        <is>
          <t>GS-027</t>
        </is>
      </c>
      <c r="D763" s="24" t="inlineStr">
        <is>
          <t>Checkout: scheduled slot picker</t>
        </is>
      </c>
      <c r="E763" s="24" t="inlineStr">
        <is>
          <t>Negative</t>
        </is>
      </c>
      <c r="F763" s="24" t="inlineStr">
        <is>
          <t>P1</t>
        </is>
      </c>
      <c r="G763" s="24" t="inlineStr">
        <is>
          <t>Customer</t>
        </is>
      </c>
      <c r="H763" s="24" t="inlineStr">
        <is>
          <t>UI+API</t>
        </is>
      </c>
      <c r="I763" s="24" t="n"/>
      <c r="J763" s="24" t="inlineStr">
        <is>
          <t>1. Continue with no slot chosen
2. Choose each offered slot
3. Send a slot id that is not offered through the API</t>
        </is>
      </c>
      <c r="K763" s="24" t="inlineStr">
        <is>
          <t>A slot is required for scheduled delivery. Offered slots save and show on the order. An unoffered id is refused (422).</t>
        </is>
      </c>
      <c r="L763" s="24" t="inlineStr">
        <is>
          <t>Open features 3-Oct, treated as completed 4-Oct</t>
        </is>
      </c>
      <c r="M763" s="24" t="inlineStr">
        <is>
          <t>Pass</t>
        </is>
      </c>
      <c r="N763" s="24" t="inlineStr">
        <is>
          <t>Passed, partly covered. Local Pass (partial) · Staging Not run (rule) · Production Not run
local: not covered: the rider sees the slot once dispatch starts (dispatchLeadMinutes before it), which a same-day run cannot reach for a slot tomorrow ‖ not covered: a full slot is TC-CART-021
staging: not run on staging: needs the server's database (local run only)</t>
        </is>
      </c>
      <c r="O763" s="24" t="n"/>
      <c r="P763" s="24" t="inlineStr">
        <is>
          <t>2026-10-24 20:52</t>
        </is>
      </c>
    </row>
    <row r="764" ht="46.25" customHeight="1" s="13">
      <c r="A764" s="24" t="inlineStr">
        <is>
          <t>TC-FLD-132</t>
        </is>
      </c>
      <c r="B764" s="24" t="inlineStr">
        <is>
          <t>Field-level validation</t>
        </is>
      </c>
      <c r="C764" s="24" t="inlineStr">
        <is>
          <t>GS-054</t>
        </is>
      </c>
      <c r="D764" s="24" t="inlineStr">
        <is>
          <t>Sign up: customer referral code</t>
        </is>
      </c>
      <c r="E764" s="24" t="inlineStr">
        <is>
          <t>Negative</t>
        </is>
      </c>
      <c r="F764" s="24" t="inlineStr">
        <is>
          <t>P2</t>
        </is>
      </c>
      <c r="G764" s="24" t="inlineStr">
        <is>
          <t>Guest</t>
        </is>
      </c>
      <c r="H764" s="24" t="inlineStr">
        <is>
          <t>UI+API</t>
        </is>
      </c>
      <c r="I764" s="24" t="n"/>
      <c r="J764" s="24" t="inlineStr">
        <is>
          <t>1. Leave it blank
2. Enter an unknown code
3. Enter the code with spaces and in a different case
4. Enter 100 characters and symbols</t>
        </is>
      </c>
      <c r="K764" s="24" t="inlineStr">
        <is>
          <t>Blank and unknown codes do not block sign-up. A valid code is accepted whatever the case. Over-long input is refused without a 500.</t>
        </is>
      </c>
      <c r="L764" s="24" t="inlineStr">
        <is>
          <t>Open features 3-Oct, treated as completed 4-Oct</t>
        </is>
      </c>
      <c r="M764" s="24" t="inlineStr">
        <is>
          <t>Pass</t>
        </is>
      </c>
      <c r="N764" s="24" t="inlineStr">
        <is>
          <t>Local Pass · Staging Not run (rule) · Production Not run
local: blank → setup continues (qa-auth-blank-code-mvmliawu-a21545); unknown → 'This referral code is not valid.' on the field, then continues without it; the field stops at 40 characters; "  gk8s9tp4  " accepted; "xxxxxxxxxx…" → 422; "!@#$%^&amp;*()…" → 422
staging: not run on staging: needs the server's database (local run only)</t>
        </is>
      </c>
      <c r="O764" s="24" t="n"/>
      <c r="P764" s="24" t="inlineStr">
        <is>
          <t>2026-10-24 17:05</t>
        </is>
      </c>
    </row>
    <row r="765" ht="23.85" customHeight="1" s="13">
      <c r="A765" s="24" t="inlineStr">
        <is>
          <t>TC-SPI-001</t>
        </is>
      </c>
      <c r="B765" s="24" t="inlineStr">
        <is>
          <t>Sell, purchase &amp; inventory</t>
        </is>
      </c>
      <c r="C765" s="24" t="inlineStr">
        <is>
          <t>WF-001, GS-032, GS-016</t>
        </is>
      </c>
      <c r="D765" s="24" t="inlineStr">
        <is>
          <t>Purchase of a packaged product: money and stock agree</t>
        </is>
      </c>
      <c r="E765" s="24" t="inlineStr">
        <is>
          <t>Positive</t>
        </is>
      </c>
      <c r="F765" s="24" t="inlineStr">
        <is>
          <t>P0</t>
        </is>
      </c>
      <c r="G765" s="24" t="inlineStr">
        <is>
          <t>Customer</t>
        </is>
      </c>
      <c r="H765" s="24" t="inlineStr">
        <is>
          <t>UI</t>
        </is>
      </c>
      <c r="I765" s="24" t="inlineStr">
        <is>
          <t>Shop A listing at Rs 45, stock 100; wallet funded</t>
        </is>
      </c>
      <c r="J765" s="24" t="inlineStr">
        <is>
          <t>1. Buy 2 units and pay from the wallet
2. Open the order, the wallet and /shop/inventory</t>
        </is>
      </c>
      <c r="K765" s="24" t="inlineStr">
        <is>
          <t>Order line: 2 x Rs 45 = Rs 90 plus delivery fee. Wallet debited by the order total once. Stock 98 with a movement of -2 linked to the order.</t>
        </is>
      </c>
      <c r="L765" s="24" t="inlineStr">
        <is>
          <t>Request 3-Oct: sell, purchase and inventory coverage</t>
        </is>
      </c>
      <c r="M765" s="24" t="inlineStr">
        <is>
          <t>Pass</t>
        </is>
      </c>
      <c r="N765" s="24" t="inlineStr">
        <is>
          <t>Local Pass · Staging Not run (rule) · Production Not run
local: DB-20261024-VYWS0A: 2 × ₹45 = ₹90 + fee ₹0 = ₹90; one debit; stock 100 → 98 (movement −2, order-linked)
staging: not run on staging: needs the server's database (local run only)</t>
        </is>
      </c>
      <c r="O765" s="24" t="n"/>
      <c r="P765" s="24" t="inlineStr">
        <is>
          <t>2026-10-24 17:05</t>
        </is>
      </c>
    </row>
    <row r="766" ht="23.85" customHeight="1" s="13">
      <c r="A766" s="24" t="inlineStr">
        <is>
          <t>TC-SPI-002</t>
        </is>
      </c>
      <c r="B766" s="24" t="inlineStr">
        <is>
          <t>Sell, purchase &amp; inventory</t>
        </is>
      </c>
      <c r="C766" s="24" t="inlineStr">
        <is>
          <t>WF-001, NEW-008, GS-024</t>
        </is>
      </c>
      <c r="D766" s="24" t="inlineStr">
        <is>
          <t>Purchase of a loose product by weight</t>
        </is>
      </c>
      <c r="E766" s="24" t="inlineStr">
        <is>
          <t>Positive</t>
        </is>
      </c>
      <c r="F766" s="24" t="inlineStr">
        <is>
          <t>P0</t>
        </is>
      </c>
      <c r="G766" s="24" t="inlineStr">
        <is>
          <t>Customer</t>
        </is>
      </c>
      <c r="H766" s="24" t="inlineStr">
        <is>
          <t>UI+API</t>
        </is>
      </c>
      <c r="I766" s="24" t="inlineStr">
        <is>
          <t>Loose product priced Rs 60 per kg, stock 100 kg</t>
        </is>
      </c>
      <c r="J766" s="24" t="inlineStr">
        <is>
          <t>1. Buy 500 g
2. Buy 1.25 kg in a second order</t>
        </is>
      </c>
      <c r="K766" s="24" t="inlineStr">
        <is>
          <t>Charged Rs 30 and Rs 75 exactly (paise, no rounding drift). Quantity stored in milli-units (500 and 1250). Stock falls by 1.75 kg.</t>
        </is>
      </c>
      <c r="L766" s="24" t="inlineStr">
        <is>
          <t>Request 3-Oct: sell, purchase and inventory coverage</t>
        </is>
      </c>
      <c r="M766" s="24" t="inlineStr">
        <is>
          <t>Pass</t>
        </is>
      </c>
      <c r="N766" s="24" t="inlineStr">
        <is>
          <t>Passed, partly covered. Local Pass (partial) · Staging Not run (rule) · Production Not run
local: not covered: uses a loose product sold in 250 g steps; a loose product listed per 1 kg (the seeded paneer, unit size 1000) can be bought in whole kg only — see TC-SPI-025
staging: not run on staging: needs the server's database (local run only)</t>
        </is>
      </c>
      <c r="O766" s="24" t="n"/>
      <c r="P766" s="24" t="inlineStr">
        <is>
          <t>2026-10-24 17:05</t>
        </is>
      </c>
    </row>
    <row r="767" ht="23.85" customHeight="1" s="13">
      <c r="A767" s="24" t="inlineStr">
        <is>
          <t>TC-SPI-003</t>
        </is>
      </c>
      <c r="B767" s="24" t="inlineStr">
        <is>
          <t>Sell, purchase &amp; inventory</t>
        </is>
      </c>
      <c r="C767" s="24" t="inlineStr">
        <is>
          <t>WF-001, GS-016</t>
        </is>
      </c>
      <c r="D767" s="24" t="inlineStr">
        <is>
          <t>Purchase of the whole stock and one more</t>
        </is>
      </c>
      <c r="E767" s="24" t="inlineStr">
        <is>
          <t>Boundary</t>
        </is>
      </c>
      <c r="F767" s="24" t="inlineStr">
        <is>
          <t>P0</t>
        </is>
      </c>
      <c r="G767" s="24" t="inlineStr">
        <is>
          <t>Customer</t>
        </is>
      </c>
      <c r="H767" s="24" t="inlineStr">
        <is>
          <t>UI+API</t>
        </is>
      </c>
      <c r="I767" s="24" t="inlineStr">
        <is>
          <t>Listing added by category at stock 100</t>
        </is>
      </c>
      <c r="J767" s="24" t="inlineStr">
        <is>
          <t>1. Buy 100
2. Try to buy 1 more</t>
        </is>
      </c>
      <c r="K767" s="24" t="inlineStr">
        <is>
          <t>First order succeeds and stock is 0; the product shows out of stock. The second is refused OUT_OF_STOCK with no debit.</t>
        </is>
      </c>
      <c r="L767" s="24" t="inlineStr">
        <is>
          <t>Request 3-Oct: sell, purchase and inventory coverage</t>
        </is>
      </c>
      <c r="M767" s="24" t="inlineStr">
        <is>
          <t>Pass</t>
        </is>
      </c>
      <c r="N767" s="24" t="inlineStr">
        <is>
          <t>Passed, partly covered. Local Pass (partial) · Staging Not run (rule) · Production Not run
local: not covered: bought as 99 + 1: one cart line takes at most 99 units (POST /api/cart quantity ≤ 99); a listing added by category is replaced by a fresh one at stock 100
staging: not run on staging: needs the server's database (local run only)</t>
        </is>
      </c>
      <c r="O767" s="24" t="n"/>
      <c r="P767" s="24" t="inlineStr">
        <is>
          <t>2026-10-24 17:05</t>
        </is>
      </c>
    </row>
    <row r="768" ht="35.05" customHeight="1" s="13">
      <c r="A768" s="24" t="inlineStr">
        <is>
          <t>TC-SPI-004</t>
        </is>
      </c>
      <c r="B768" s="24" t="inlineStr">
        <is>
          <t>Sell, purchase &amp; inventory</t>
        </is>
      </c>
      <c r="C768" s="24" t="inlineStr">
        <is>
          <t>WF-001, GS-032</t>
        </is>
      </c>
      <c r="D768" s="24" t="inlineStr">
        <is>
          <t>Purchase with several lines: totals add up</t>
        </is>
      </c>
      <c r="E768" s="24" t="inlineStr">
        <is>
          <t>Positive</t>
        </is>
      </c>
      <c r="F768" s="24" t="inlineStr">
        <is>
          <t>P0</t>
        </is>
      </c>
      <c r="G768" s="24" t="inlineStr">
        <is>
          <t>Customer</t>
        </is>
      </c>
      <c r="H768" s="24" t="inlineStr">
        <is>
          <t>UI</t>
        </is>
      </c>
      <c r="I768" s="24" t="inlineStr">
        <is>
          <t>Three products from Shop A, one of them loose</t>
        </is>
      </c>
      <c r="J768" s="24" t="inlineStr">
        <is>
          <t>1. Add all three and pay
2. Check each line total, the goods total, delivery fee and grand total on the cart, the order and the email</t>
        </is>
      </c>
      <c r="K768" s="24" t="inlineStr">
        <is>
          <t>Every line total = price x quantity. Grand total = goods + delivery fee, the same on every screen and equal to the wallet debit.</t>
        </is>
      </c>
      <c r="L768" s="24" t="inlineStr">
        <is>
          <t>Request 3-Oct: sell, purchase and inventory coverage</t>
        </is>
      </c>
      <c r="M768" s="24" t="inlineStr">
        <is>
          <t>Pass</t>
        </is>
      </c>
      <c r="N768" s="24" t="inlineStr">
        <is>
          <t>Local Pass · Staging Not run (rule) · Production Not run
local: DB-20261024-ZCTTRR: lines ₹251 + ₹239 + 1.5 kg ₹72.75 = ₹562.75; total ₹562.75 on cart, order, e-mail and the debit
staging: not run on staging: needs the server's database (local run only)</t>
        </is>
      </c>
      <c r="O768" s="24" t="inlineStr">
        <is>
          <t>D-93</t>
        </is>
      </c>
      <c r="P768" s="24" t="inlineStr">
        <is>
          <t>2026-10-24 17:05</t>
        </is>
      </c>
    </row>
    <row r="769" ht="23.85" customHeight="1" s="13">
      <c r="A769" s="24" t="inlineStr">
        <is>
          <t>TC-SPI-005</t>
        </is>
      </c>
      <c r="B769" s="24" t="inlineStr">
        <is>
          <t>Sell, purchase &amp; inventory</t>
        </is>
      </c>
      <c r="C769" s="24" t="inlineStr">
        <is>
          <t>WF-001, NEW-010</t>
        </is>
      </c>
      <c r="D769" s="24" t="inlineStr">
        <is>
          <t>MRP or price changed between cart and payment</t>
        </is>
      </c>
      <c r="E769" s="24" t="inlineStr">
        <is>
          <t>Positive</t>
        </is>
      </c>
      <c r="F769" s="24" t="inlineStr">
        <is>
          <t>P1</t>
        </is>
      </c>
      <c r="G769" s="24" t="inlineStr">
        <is>
          <t>Customer</t>
        </is>
      </c>
      <c r="H769" s="24" t="inlineStr">
        <is>
          <t>UI</t>
        </is>
      </c>
      <c r="I769" s="24" t="inlineStr">
        <is>
          <t>Item in the cart</t>
        </is>
      </c>
      <c r="J769" s="24" t="inlineStr">
        <is>
          <t>1. Owner changes the price and the shop MRP
2. Customer pays</t>
        </is>
      </c>
      <c r="K769" s="24" t="inlineStr">
        <is>
          <t>Customer is charged the current price and the order records the MRP in force at payment. The cart shows the new figures before paying.</t>
        </is>
      </c>
      <c r="L769" s="24" t="inlineStr">
        <is>
          <t>Request 3-Oct: sell, purchase and inventory coverage; TC-CART-006</t>
        </is>
      </c>
      <c r="M769" s="24" t="inlineStr">
        <is>
          <t>Fail</t>
        </is>
      </c>
      <c r="N769" s="24" t="inlineStr">
        <is>
          <t>Local Fail · Staging Not run (rule) · Production Not run
local: the order line records the MRP in force at payment | expect(received).not.toEqual(expected) // deep equality | Expected: not []
staging: not run on staging: needs the server's database (local run only)</t>
        </is>
      </c>
      <c r="O769" s="24" t="inlineStr">
        <is>
          <t>D-91</t>
        </is>
      </c>
      <c r="P769" s="24" t="inlineStr">
        <is>
          <t>2026-10-24 17:05</t>
        </is>
      </c>
    </row>
    <row r="770" ht="23.85" customHeight="1" s="13">
      <c r="A770" s="24" t="inlineStr">
        <is>
          <t>TC-SPI-006</t>
        </is>
      </c>
      <c r="B770" s="24" t="inlineStr">
        <is>
          <t>Sell, purchase &amp; inventory</t>
        </is>
      </c>
      <c r="C770" s="24" t="inlineStr">
        <is>
          <t>WF-001, NAV-004</t>
        </is>
      </c>
      <c r="D770" s="24" t="inlineStr">
        <is>
          <t>Purchase history shows what was bought</t>
        </is>
      </c>
      <c r="E770" s="24" t="inlineStr">
        <is>
          <t>Positive</t>
        </is>
      </c>
      <c r="F770" s="24" t="inlineStr">
        <is>
          <t>P1</t>
        </is>
      </c>
      <c r="G770" s="24" t="inlineStr">
        <is>
          <t>Customer</t>
        </is>
      </c>
      <c r="H770" s="24" t="inlineStr">
        <is>
          <t>UI</t>
        </is>
      </c>
      <c r="I770" s="24" t="inlineStr">
        <is>
          <t>Several orders in different states</t>
        </is>
      </c>
      <c r="J770" s="24" t="inlineStr">
        <is>
          <t>1. Open /orders and one order</t>
        </is>
      </c>
      <c r="K770" s="24" t="inlineStr">
        <is>
          <t>Each order lists shop, lines, quantities with units, price and MRP at purchase, payment method and status. Totals match the wallet statement.</t>
        </is>
      </c>
      <c r="L770" s="24" t="inlineStr">
        <is>
          <t>Request 3-Oct: sell, purchase and inventory coverage</t>
        </is>
      </c>
      <c r="M770" s="24" t="inlineStr">
        <is>
          <t>Fail</t>
        </is>
      </c>
      <c r="N770" s="24" t="inlineStr">
        <is>
          <t>Local Fail · Staging Fail · Production Not run
local: [phone] order page lacks: MRP at purchase | expect(received).toEqual(expected) // deep equality | - Expected  - 1 | + Received  + 3
staging: order page lacks: MRP at purchase | expect(received).toEqual(expected) // deep equality | - Expected  - 1 | + Received  + 3 ‖ [phone] order page lacks: MRP at purchase | expect(received).toEqual(expected) // deep equality | - Expected  - 1 | + Received  + 3</t>
        </is>
      </c>
      <c r="O770" s="24" t="inlineStr">
        <is>
          <t>D-92</t>
        </is>
      </c>
      <c r="P770" s="24" t="inlineStr">
        <is>
          <t>2026-10-24 22:25</t>
        </is>
      </c>
    </row>
    <row r="771" ht="35.05" customHeight="1" s="13">
      <c r="A771" s="24" t="inlineStr">
        <is>
          <t>TC-SPI-007</t>
        </is>
      </c>
      <c r="B771" s="24" t="inlineStr">
        <is>
          <t>Sell, purchase &amp; inventory</t>
        </is>
      </c>
      <c r="C771" s="24" t="inlineStr">
        <is>
          <t>RBAC-002, GS-016</t>
        </is>
      </c>
      <c r="D771" s="24" t="inlineStr">
        <is>
          <t>Shop buys from another shop (B2B purchase)</t>
        </is>
      </c>
      <c r="E771" s="24" t="inlineStr">
        <is>
          <t>Positive</t>
        </is>
      </c>
      <c r="F771" s="24" t="inlineStr">
        <is>
          <t>P1</t>
        </is>
      </c>
      <c r="G771" s="24" t="inlineStr">
        <is>
          <t>Shop</t>
        </is>
      </c>
      <c r="H771" s="24" t="inlineStr">
        <is>
          <t>UI+API</t>
        </is>
      </c>
      <c r="I771" s="24" t="inlineStr">
        <is>
          <t>Owner A buys from Shop B</t>
        </is>
      </c>
      <c r="J771" s="24" t="inlineStr">
        <is>
          <t>1. Place a B2B order for 10 units and complete delivery
2. Check Shop B stock and Shop A inventory</t>
        </is>
      </c>
      <c r="K771" s="24" t="inlineStr">
        <is>
          <t>Shop B stock falls by 10 with a sale movement. Record whether Shop A stock rises automatically; if not, the owner records the stock-in by hand (TC-SPI-016).</t>
        </is>
      </c>
      <c r="L771" s="24" t="inlineStr">
        <is>
          <t>Request 3-Oct: sell, purchase and inventory coverage; TC-RBAC-017</t>
        </is>
      </c>
      <c r="M771" s="24" t="inlineStr">
        <is>
          <t>Pass</t>
        </is>
      </c>
      <c r="N771" s="24" t="inlineStr">
        <is>
          <t>Local Pass · Staging Not run (rule) · Production Not run
local: DB-20261024-BVAQY6 (B2B) delivered: shop B 40 → 30 (sale movement); shop A's stock does not rise automatically (A has no listing of it) — the owner records the stock-in by hand (TC-SPI-016)
staging: not run on staging: needs the server's database (local run only)</t>
        </is>
      </c>
      <c r="O771" s="24" t="n"/>
      <c r="P771" s="24" t="inlineStr">
        <is>
          <t>2026-10-24 17:05</t>
        </is>
      </c>
    </row>
    <row r="772" ht="23.85" customHeight="1" s="13">
      <c r="A772" s="24" t="inlineStr">
        <is>
          <t>TC-SPI-008</t>
        </is>
      </c>
      <c r="B772" s="24" t="inlineStr">
        <is>
          <t>Sell, purchase &amp; inventory</t>
        </is>
      </c>
      <c r="C772" s="24" t="inlineStr">
        <is>
          <t>WF-002, NAV-008</t>
        </is>
      </c>
      <c r="D772" s="24" t="inlineStr">
        <is>
          <t>Sale appears in the shop order list with full detail</t>
        </is>
      </c>
      <c r="E772" s="24" t="inlineStr">
        <is>
          <t>Positive</t>
        </is>
      </c>
      <c r="F772" s="24" t="inlineStr">
        <is>
          <t>P0</t>
        </is>
      </c>
      <c r="G772" s="24" t="inlineStr">
        <is>
          <t>Shop</t>
        </is>
      </c>
      <c r="H772" s="24" t="inlineStr">
        <is>
          <t>UI</t>
        </is>
      </c>
      <c r="I772" s="24" t="inlineStr">
        <is>
          <t>A paid order for Shop A</t>
        </is>
      </c>
      <c r="J772" s="24" t="inlineStr">
        <is>
          <t>1. Open the shop orders tab and the order</t>
        </is>
      </c>
      <c r="K772" s="24" t="inlineStr">
        <is>
          <t>Order shows lines, quantities, price and MRP at sale, goods value and payment method. No customer details beyond what fulfilment needs.</t>
        </is>
      </c>
      <c r="L772" s="24" t="inlineStr">
        <is>
          <t>Request 3-Oct: sell, purchase and inventory coverage</t>
        </is>
      </c>
      <c r="M772" s="24" t="inlineStr">
        <is>
          <t>Fail</t>
        </is>
      </c>
      <c r="N772" s="24" t="inlineStr">
        <is>
          <t>Local Fail · Staging Fail · Production Not run
local: [phone] shop order card lacks: MRP at sale — card reads "confirmed DB-20261024-SY03BX Payment: Wallet ₹116 Get help with this order QA Butter 100 g mvmkzw75 · 2 piece@ ₹58 / piece ₹116 Accept order Reject" | expect(received).toEqual(expected) // deep equality | - Expected  - 1 | + Received  + 3
staging: checkout — HTTP 500: Something went wrong. Please try again. | expect(received).toContain(expected) // indexOf | Expected value: 500 | Received array: [201] ‖ [phone] expect(locator).toBeVisible() failed | Locator: getByTestId('shop-order').filter({ hasText: 'DB-20261024-5KFC1K' }).first() | Expected: visible | Timeout: 30000ms</t>
        </is>
      </c>
      <c r="O772" s="24" t="inlineStr">
        <is>
          <t>D-92</t>
        </is>
      </c>
      <c r="P772" s="24" t="inlineStr">
        <is>
          <t>2026-10-24 22:24</t>
        </is>
      </c>
    </row>
    <row r="773" ht="35.05" customHeight="1" s="13">
      <c r="A773" s="24" t="inlineStr">
        <is>
          <t>TC-SPI-009</t>
        </is>
      </c>
      <c r="B773" s="24" t="inlineStr">
        <is>
          <t>Sell, purchase &amp; inventory</t>
        </is>
      </c>
      <c r="C773" s="24" t="inlineStr">
        <is>
          <t>WF-002, NAV-006</t>
        </is>
      </c>
      <c r="D773" s="24" t="inlineStr">
        <is>
          <t>Sales figure counts delivered orders only</t>
        </is>
      </c>
      <c r="E773" s="24" t="inlineStr">
        <is>
          <t>Positive</t>
        </is>
      </c>
      <c r="F773" s="24" t="inlineStr">
        <is>
          <t>P0</t>
        </is>
      </c>
      <c r="G773" s="24" t="inlineStr">
        <is>
          <t>Shop</t>
        </is>
      </c>
      <c r="H773" s="24" t="inlineStr">
        <is>
          <t>UI</t>
        </is>
      </c>
      <c r="I773" s="24" t="inlineStr">
        <is>
          <t>Note revenue on /shop</t>
        </is>
      </c>
      <c r="J773" s="24" t="inlineStr">
        <is>
          <t>1. Deliver an order of Rs 90
2. Cancel another order of Rs 50
3. Reload /shop</t>
        </is>
      </c>
      <c r="K773" s="24" t="inlineStr">
        <is>
          <t>Revenue rises by Rs 90 only. The cancelled order adds nothing.</t>
        </is>
      </c>
      <c r="L773" s="24" t="inlineStr">
        <is>
          <t>Request 3-Oct: sell, purchase and inventory coverage; TC-ADM-006</t>
        </is>
      </c>
      <c r="M773" s="24" t="inlineStr">
        <is>
          <t>Pass</t>
        </is>
      </c>
      <c r="N773" s="24" t="inlineStr">
        <is>
          <t>Local Pass · Staging Not run (rule) · Production Not run
local: "Goods delivered" ₹562 → ₹652 (+₹90; the cancelled ₹50 adds nothing)
staging: not run on staging: needs the server's database (local run only)</t>
        </is>
      </c>
      <c r="O773" s="24" t="n"/>
      <c r="P773" s="24" t="inlineStr">
        <is>
          <t>2026-10-24 17:05</t>
        </is>
      </c>
    </row>
    <row r="774" ht="23.85" customHeight="1" s="13">
      <c r="A774" s="24" t="inlineStr">
        <is>
          <t>TC-SPI-010</t>
        </is>
      </c>
      <c r="B774" s="24" t="inlineStr">
        <is>
          <t>Sell, purchase &amp; inventory</t>
        </is>
      </c>
      <c r="C774" s="24" t="inlineStr">
        <is>
          <t>WF-002, GS-035, GS-016</t>
        </is>
      </c>
      <c r="D774" s="24" t="inlineStr">
        <is>
          <t>Sale with a substitution: stock of both products is right</t>
        </is>
      </c>
      <c r="E774" s="24" t="inlineStr">
        <is>
          <t>Positive</t>
        </is>
      </c>
      <c r="F774" s="24" t="inlineStr">
        <is>
          <t>P1</t>
        </is>
      </c>
      <c r="G774" s="24" t="inlineStr">
        <is>
          <t>Shop</t>
        </is>
      </c>
      <c r="H774" s="24" t="inlineStr">
        <is>
          <t>UI</t>
        </is>
      </c>
      <c r="I774" s="24" t="inlineStr">
        <is>
          <t>Order for product P; substitute Q approved</t>
        </is>
      </c>
      <c r="J774" s="24" t="inlineStr">
        <is>
          <t>1. Complete the order
2. Check stock of P and Q</t>
        </is>
      </c>
      <c r="K774" s="24" t="inlineStr">
        <is>
          <t>P is returned to stock (or was never taken); Q is reduced by the quantity sold. Movements show both.</t>
        </is>
      </c>
      <c r="L774" s="24" t="inlineStr">
        <is>
          <t>Request 3-Oct: sell, purchase and inventory coverage</t>
        </is>
      </c>
      <c r="M774" s="24" t="inlineStr">
        <is>
          <t>Pass</t>
        </is>
      </c>
      <c r="N774" s="24" t="inlineStr">
        <is>
          <t>Local Pass · Staging Not run (rule) · Production Not run
local: DB-20261024-36EOQY: P 10, Q 9; movements P -1, P 1, Q -1
staging: not run on staging: needs the server's database (local run only)</t>
        </is>
      </c>
      <c r="O774" s="24" t="inlineStr">
        <is>
          <t>D-88</t>
        </is>
      </c>
      <c r="P774" s="24" t="inlineStr">
        <is>
          <t>2026-10-24 17:05</t>
        </is>
      </c>
    </row>
    <row r="775" ht="23.85" customHeight="1" s="13">
      <c r="A775" s="24" t="inlineStr">
        <is>
          <t>TC-SPI-011</t>
        </is>
      </c>
      <c r="B775" s="24" t="inlineStr">
        <is>
          <t>Sell, purchase &amp; inventory</t>
        </is>
      </c>
      <c r="C775" s="24" t="inlineStr">
        <is>
          <t>WF-002, GS-036, GS-016</t>
        </is>
      </c>
      <c r="D775" s="24" t="inlineStr">
        <is>
          <t>Sale with a removed line</t>
        </is>
      </c>
      <c r="E775" s="24" t="inlineStr">
        <is>
          <t>Positive</t>
        </is>
      </c>
      <c r="F775" s="24" t="inlineStr">
        <is>
          <t>P1</t>
        </is>
      </c>
      <c r="G775" s="24" t="inlineStr">
        <is>
          <t>Shop</t>
        </is>
      </c>
      <c r="H775" s="24" t="inlineStr">
        <is>
          <t>UI</t>
        </is>
      </c>
      <c r="I775" s="24" t="inlineStr">
        <is>
          <t>Two-line order</t>
        </is>
      </c>
      <c r="J775" s="24" t="inlineStr">
        <is>
          <t>1. Remove one line as 'Out of stock'
2. Deliver the rest</t>
        </is>
      </c>
      <c r="K775" s="24" t="inlineStr">
        <is>
          <t>Customer refunded for the removed line. Sale value is the remaining line only. Removed line is not put back as sellable stock.</t>
        </is>
      </c>
      <c r="L775" s="24" t="inlineStr">
        <is>
          <t>Request 3-Oct: sell, purchase and inventory coverage; TC-ORD-011</t>
        </is>
      </c>
      <c r="M775" s="24" t="inlineStr">
        <is>
          <t>Pass</t>
        </is>
      </c>
      <c r="N775" s="24" t="inlineStr">
        <is>
          <t>Local Pass · Staging Not run (rule) · Production Not run
local: DB-20261024-BJV46W: removed line refunded ₹20 at once; delivered goods ₹30; removed product's stock 9 (not put back)
staging: not run on staging: needs the server's database (local run only)</t>
        </is>
      </c>
      <c r="O775" s="24" t="n"/>
      <c r="P775" s="24" t="inlineStr">
        <is>
          <t>2026-10-24 17:05</t>
        </is>
      </c>
    </row>
    <row r="776" ht="23.85" customHeight="1" s="13">
      <c r="A776" s="24" t="inlineStr">
        <is>
          <t>TC-SPI-012</t>
        </is>
      </c>
      <c r="B776" s="24" t="inlineStr">
        <is>
          <t>Sell, purchase &amp; inventory</t>
        </is>
      </c>
      <c r="C776" s="24" t="inlineStr">
        <is>
          <t>WF-002, GS-016</t>
        </is>
      </c>
      <c r="D776" s="24" t="inlineStr">
        <is>
          <t>Shop cannot sell stock it does not have</t>
        </is>
      </c>
      <c r="E776" s="24" t="inlineStr">
        <is>
          <t>Negative</t>
        </is>
      </c>
      <c r="F776" s="24" t="inlineStr">
        <is>
          <t>P0</t>
        </is>
      </c>
      <c r="G776" s="24" t="inlineStr">
        <is>
          <t>Shop</t>
        </is>
      </c>
      <c r="H776" s="24" t="inlineStr">
        <is>
          <t>UI+API</t>
        </is>
      </c>
      <c r="I776" s="24" t="inlineStr">
        <is>
          <t>Stock 5; an order holds 3</t>
        </is>
      </c>
      <c r="J776" s="24" t="inlineStr">
        <is>
          <t>1. Owner sets stock to 1
2. A customer tries to buy 3</t>
        </is>
      </c>
      <c r="K776" s="24" t="inlineStr">
        <is>
          <t>Stock cannot be set below the reserved quantity, or the result is consistent (available never negative). The new purchase is refused.</t>
        </is>
      </c>
      <c r="L776" s="24" t="inlineStr">
        <is>
          <t>Request 3-Oct: sell, purchase and inventory coverage</t>
        </is>
      </c>
      <c r="M776" s="24" t="inlineStr">
        <is>
          <t>Pass</t>
        </is>
      </c>
      <c r="N776" s="24" t="inlineStr">
        <is>
          <t>Local Pass · Staging Not run (rule) · Production Not run
local: owner's save of 1 → 200; available 1, reserved 3, on hand 4; buying 3 → 409
staging: not run on staging: needs the server's database (local run only)</t>
        </is>
      </c>
      <c r="O776" s="24" t="n"/>
      <c r="P776" s="24" t="inlineStr">
        <is>
          <t>2026-10-24 17:05</t>
        </is>
      </c>
    </row>
    <row r="777" ht="23.85" customHeight="1" s="13">
      <c r="A777" s="24" t="inlineStr">
        <is>
          <t>TC-SPI-013</t>
        </is>
      </c>
      <c r="B777" s="24" t="inlineStr">
        <is>
          <t>Sell, purchase &amp; inventory</t>
        </is>
      </c>
      <c r="C777" s="24" t="inlineStr">
        <is>
          <t>GS-012, GS-016</t>
        </is>
      </c>
      <c r="D777" s="24" t="inlineStr">
        <is>
          <t>Sale made in the shop (offline) is taken off stock</t>
        </is>
      </c>
      <c r="E777" s="24" t="inlineStr">
        <is>
          <t>Positive</t>
        </is>
      </c>
      <c r="F777" s="24" t="inlineStr">
        <is>
          <t>P2</t>
        </is>
      </c>
      <c r="G777" s="24" t="inlineStr">
        <is>
          <t>Shop</t>
        </is>
      </c>
      <c r="H777" s="24" t="inlineStr">
        <is>
          <t>UI</t>
        </is>
      </c>
      <c r="I777" s="24" t="inlineStr">
        <is>
          <t>Product sold in shop and online</t>
        </is>
      </c>
      <c r="J777" s="24" t="inlineStr">
        <is>
          <t>1. Record an in-shop sale of 4 units (stock adjustment with reason 'Sold in shop' if there is no sale screen)</t>
        </is>
      </c>
      <c r="K777" s="24" t="inlineStr">
        <is>
          <t>Stock falls by 4 with a movement and reason. Online availability follows. Record whether a dedicated in-shop sale screen exists.</t>
        </is>
      </c>
      <c r="L777" s="24" t="inlineStr">
        <is>
          <t>Request 3-Oct: sell, purchase and inventory coverage</t>
        </is>
      </c>
      <c r="M777" s="24" t="inlineStr">
        <is>
          <t>Pass</t>
        </is>
      </c>
      <c r="N777" s="24" t="inlineStr">
        <is>
          <t>Local Pass · Staging Not run (rule) · Production Not run
local: sales invoice S2627-00001: 12 → 8 ("sale S2627-00001 (books)"), storefront 8; the in-shop sale screen is /shop/accounts/sales
staging: not run on staging: needs the server's database (local run only)</t>
        </is>
      </c>
      <c r="O777" s="24" t="n"/>
      <c r="P777" s="24" t="inlineStr">
        <is>
          <t>2026-10-24 17:05</t>
        </is>
      </c>
    </row>
    <row r="778" ht="23.85" customHeight="1" s="13">
      <c r="A778" s="24" t="inlineStr">
        <is>
          <t>TC-SPI-014</t>
        </is>
      </c>
      <c r="B778" s="24" t="inlineStr">
        <is>
          <t>Sell, purchase &amp; inventory</t>
        </is>
      </c>
      <c r="C778" s="24" t="inlineStr">
        <is>
          <t>WF-010, GS-061</t>
        </is>
      </c>
      <c r="D778" s="24" t="inlineStr">
        <is>
          <t>Sale flows into the settlement at the sold price</t>
        </is>
      </c>
      <c r="E778" s="24" t="inlineStr">
        <is>
          <t>Positive</t>
        </is>
      </c>
      <c r="F778" s="24" t="inlineStr">
        <is>
          <t>P1</t>
        </is>
      </c>
      <c r="G778" s="24" t="inlineStr">
        <is>
          <t>Admin</t>
        </is>
      </c>
      <c r="H778" s="24" t="inlineStr">
        <is>
          <t>UI</t>
        </is>
      </c>
      <c r="I778" s="24" t="inlineStr">
        <is>
          <t>Delivered order; price changed afterwards</t>
        </is>
      </c>
      <c r="J778" s="24" t="inlineStr">
        <is>
          <t>1. Open the order money trace and the weekly settlement</t>
        </is>
      </c>
      <c r="K778" s="24" t="inlineStr">
        <is>
          <t>Settlement uses the goods value at the time of sale less commission. Later price or MRP changes do not alter it.</t>
        </is>
      </c>
      <c r="L778" s="24" t="inlineStr">
        <is>
          <t>Request 3-Oct: sell, purchase and inventory coverage</t>
        </is>
      </c>
      <c r="M778" s="24" t="inlineStr">
        <is>
          <t>Pass</t>
        </is>
      </c>
      <c r="N778" s="24" t="inlineStr">
        <is>
          <t>Local Pass · Staging Not run (rule) · Production Not run
local: DB-20261024-NUYQRH: goods ₹45 and payable ₹43.65 unchanged after a price cut and an MRP change; settlement net ₹86.4 unchanged
staging: not run on staging: needs the server's database (local run only)</t>
        </is>
      </c>
      <c r="O778" s="24" t="n"/>
      <c r="P778" s="24" t="inlineStr">
        <is>
          <t>2026-10-24 17:05</t>
        </is>
      </c>
    </row>
    <row r="779" ht="35.05" customHeight="1" s="13">
      <c r="A779" s="24" t="inlineStr">
        <is>
          <t>TC-SPI-015</t>
        </is>
      </c>
      <c r="B779" s="24" t="inlineStr">
        <is>
          <t>Sell, purchase &amp; inventory</t>
        </is>
      </c>
      <c r="C779" s="24" t="inlineStr">
        <is>
          <t>GS-016, NAV-007</t>
        </is>
      </c>
      <c r="D779" s="24" t="inlineStr">
        <is>
          <t>Inventory page lists every listing with its figures</t>
        </is>
      </c>
      <c r="E779" s="24" t="inlineStr">
        <is>
          <t>Positive</t>
        </is>
      </c>
      <c r="F779" s="24" t="inlineStr">
        <is>
          <t>P0</t>
        </is>
      </c>
      <c r="G779" s="24" t="inlineStr">
        <is>
          <t>Shop</t>
        </is>
      </c>
      <c r="H779" s="24" t="inlineStr">
        <is>
          <t>UI</t>
        </is>
      </c>
      <c r="I779" s="24" t="n"/>
      <c r="J779" s="24" t="inlineStr">
        <is>
          <t>1. Open /shop/inventory</t>
        </is>
      </c>
      <c r="K779" s="24" t="inlineStr">
        <is>
          <t>Each listing shows product, unit, on-hand, reserved, available, low-stock threshold and whether a price is set. on-hand = available + reserved on every row.</t>
        </is>
      </c>
      <c r="L779" s="24" t="inlineStr">
        <is>
          <t>Request 3-Oct: sell, purchase and inventory coverage</t>
        </is>
      </c>
      <c r="M779" s="24" t="inlineStr">
        <is>
          <t>Pass</t>
        </is>
      </c>
      <c r="N779" s="24" t="inlineStr">
        <is>
          <t>Local Pass · Staging Blocked · Production Not run
local: 101 rows: unit, available, reserved, on hand (= available + reserved on every row), low-stock threshold, price / "Needs a price" ‖ [phone] 7 rows: unit, available, reserved, on hand (= available + reserved on every row), low-stock threshold, price / "Needs a price"
staging: needs shop A's id</t>
        </is>
      </c>
      <c r="O779" s="24" t="n"/>
      <c r="P779" s="24" t="inlineStr">
        <is>
          <t>2026-10-24 20:59</t>
        </is>
      </c>
    </row>
    <row r="780" ht="23.85" customHeight="1" s="13">
      <c r="A780" s="24" t="inlineStr">
        <is>
          <t>TC-SPI-016</t>
        </is>
      </c>
      <c r="B780" s="24" t="inlineStr">
        <is>
          <t>Sell, purchase &amp; inventory</t>
        </is>
      </c>
      <c r="C780" s="24" t="inlineStr">
        <is>
          <t>GS-016</t>
        </is>
      </c>
      <c r="D780" s="24" t="inlineStr">
        <is>
          <t>Stock received (purchase / restock entry)</t>
        </is>
      </c>
      <c r="E780" s="24" t="inlineStr">
        <is>
          <t>Positive</t>
        </is>
      </c>
      <c r="F780" s="24" t="inlineStr">
        <is>
          <t>P0</t>
        </is>
      </c>
      <c r="G780" s="24" t="inlineStr">
        <is>
          <t>Shop</t>
        </is>
      </c>
      <c r="H780" s="24" t="inlineStr">
        <is>
          <t>UI</t>
        </is>
      </c>
      <c r="I780" s="24" t="inlineStr">
        <is>
          <t>Listing at stock 20</t>
        </is>
      </c>
      <c r="J780" s="24" t="inlineStr">
        <is>
          <t>1. Add 30 with a reason such as 'Purchase from supplier'</t>
        </is>
      </c>
      <c r="K780" s="24" t="inlineStr">
        <is>
          <t>Stock 50. Movement shows +30, before and after, reason, user and time.</t>
        </is>
      </c>
      <c r="L780" s="24" t="inlineStr">
        <is>
          <t>Request 3-Oct: sell, purchase and inventory coverage</t>
        </is>
      </c>
      <c r="M780" s="24" t="inlineStr">
        <is>
          <t>Pass</t>
        </is>
      </c>
      <c r="N780" s="24" t="inlineStr">
        <is>
          <t>Passed, partly covered. Local Pass (partial) · Staging Not run (rule) · Production Not run
local: not covered: the reason the owner types is kept on the purchase bill (note) and the ledger names the purchase; the movement's own reason reads 'purchase … (books)'
staging: not run on staging: needs the server's database (local run only)</t>
        </is>
      </c>
      <c r="O780" s="24" t="n"/>
      <c r="P780" s="24" t="inlineStr">
        <is>
          <t>2026-10-24 17:05</t>
        </is>
      </c>
    </row>
    <row r="781" ht="23.85" customHeight="1" s="13">
      <c r="A781" s="24" t="inlineStr">
        <is>
          <t>TC-SPI-017</t>
        </is>
      </c>
      <c r="B781" s="24" t="inlineStr">
        <is>
          <t>Sell, purchase &amp; inventory</t>
        </is>
      </c>
      <c r="C781" s="24" t="inlineStr">
        <is>
          <t>GS-016</t>
        </is>
      </c>
      <c r="D781" s="24" t="inlineStr">
        <is>
          <t>Stock written off (damage / expiry)</t>
        </is>
      </c>
      <c r="E781" s="24" t="inlineStr">
        <is>
          <t>Positive</t>
        </is>
      </c>
      <c r="F781" s="24" t="inlineStr">
        <is>
          <t>P1</t>
        </is>
      </c>
      <c r="G781" s="24" t="inlineStr">
        <is>
          <t>Shop</t>
        </is>
      </c>
      <c r="H781" s="24" t="inlineStr">
        <is>
          <t>UI</t>
        </is>
      </c>
      <c r="I781" s="24" t="inlineStr">
        <is>
          <t>Listing at stock 50</t>
        </is>
      </c>
      <c r="J781" s="24" t="inlineStr">
        <is>
          <t>1. Reduce by 5 with a reason
2. Try to reduce by 60</t>
        </is>
      </c>
      <c r="K781" s="24" t="inlineStr">
        <is>
          <t>Stock 45 with a movement. A reduction below zero is refused.</t>
        </is>
      </c>
      <c r="L781" s="24" t="inlineStr">
        <is>
          <t>Request 3-Oct: sell, purchase and inventory coverage</t>
        </is>
      </c>
      <c r="M781" s="24" t="inlineStr">
        <is>
          <t>Pass</t>
        </is>
      </c>
      <c r="N781" s="24" t="inlineStr">
        <is>
          <t>Local Pass · Staging Not run (rule) · Production Not run
local: 50 → 45 (movement "write off damage (books)"); −60 → 422 "Only 45 in stock."
staging: not run on staging: needs the server's database (local run only)</t>
        </is>
      </c>
      <c r="O781" s="24" t="n"/>
      <c r="P781" s="24" t="inlineStr">
        <is>
          <t>2026-10-24 17:05</t>
        </is>
      </c>
    </row>
    <row r="782" ht="46.25" customHeight="1" s="13">
      <c r="A782" s="24" t="inlineStr">
        <is>
          <t>TC-SPI-018</t>
        </is>
      </c>
      <c r="B782" s="24" t="inlineStr">
        <is>
          <t>Sell, purchase &amp; inventory</t>
        </is>
      </c>
      <c r="C782" s="24" t="inlineStr">
        <is>
          <t>GS-016, SM-001</t>
        </is>
      </c>
      <c r="D782" s="24" t="inlineStr">
        <is>
          <t>Reserved and available through the order states</t>
        </is>
      </c>
      <c r="E782" s="24" t="inlineStr">
        <is>
          <t>Positive</t>
        </is>
      </c>
      <c r="F782" s="24" t="inlineStr">
        <is>
          <t>P0</t>
        </is>
      </c>
      <c r="G782" s="24" t="inlineStr">
        <is>
          <t>Shop</t>
        </is>
      </c>
      <c r="H782" s="24" t="inlineStr">
        <is>
          <t>UI</t>
        </is>
      </c>
      <c r="I782" s="24" t="inlineStr">
        <is>
          <t>Stock 100</t>
        </is>
      </c>
      <c r="J782" s="24" t="inlineStr">
        <is>
          <t>1. Customer orders 2 (CONFIRMED)
2. Check inventory
3. Deliver the order
4. Check again</t>
        </is>
      </c>
      <c r="K782" s="24" t="inlineStr">
        <is>
          <t>After the order: available 98 and the 2 units are held for it. After delivery: on-hand 98, reserved 0. Never negative.</t>
        </is>
      </c>
      <c r="L782" s="24" t="inlineStr">
        <is>
          <t>Request 3-Oct: sell, purchase and inventory coverage; TC-CAT-018</t>
        </is>
      </c>
      <c r="M782" s="24" t="inlineStr">
        <is>
          <t>Pass</t>
        </is>
      </c>
      <c r="N782" s="24" t="inlineStr">
        <is>
          <t>Local Pass · Staging Not run (rule) · Production Not run
local: DB-20261024-PF2WFU: 100/0/100 → 98/2/100 (confirmed, ready) → 98/0/98 delivered; never negative
staging: not run on staging: needs the server's database (local run only)</t>
        </is>
      </c>
      <c r="O782" s="24" t="n"/>
      <c r="P782" s="24" t="inlineStr">
        <is>
          <t>2026-10-24 17:05</t>
        </is>
      </c>
    </row>
    <row r="783" ht="35.05" customHeight="1" s="13">
      <c r="A783" s="24" t="inlineStr">
        <is>
          <t>TC-SPI-019</t>
        </is>
      </c>
      <c r="B783" s="24" t="inlineStr">
        <is>
          <t>Sell, purchase &amp; inventory</t>
        </is>
      </c>
      <c r="C783" s="24" t="inlineStr">
        <is>
          <t>GS-016, NEW-006</t>
        </is>
      </c>
      <c r="D783" s="24" t="inlineStr">
        <is>
          <t>Cancelled, rejected and failed orders give the stock back</t>
        </is>
      </c>
      <c r="E783" s="24" t="inlineStr">
        <is>
          <t>Regression</t>
        </is>
      </c>
      <c r="F783" s="24" t="inlineStr">
        <is>
          <t>P0</t>
        </is>
      </c>
      <c r="G783" s="24" t="inlineStr">
        <is>
          <t>Shop</t>
        </is>
      </c>
      <c r="H783" s="24" t="inlineStr">
        <is>
          <t>UI</t>
        </is>
      </c>
      <c r="I783" s="24" t="inlineStr">
        <is>
          <t>Stock 100</t>
        </is>
      </c>
      <c r="J783" s="24" t="inlineStr">
        <is>
          <t>1. Place and cancel an order of 2
2. Place an order of 3 and reject it at the shop
3. Place an order of 1 that ends as a failed delivery returned to the shop</t>
        </is>
      </c>
      <c r="K783" s="24" t="inlineStr">
        <is>
          <t>Stock is 100 after each, with a return movement for every case.</t>
        </is>
      </c>
      <c r="L783" s="24" t="inlineStr">
        <is>
          <t>Request 3-Oct: sell, purchase and inventory coverage; TC-ORD-012</t>
        </is>
      </c>
      <c r="M783" s="24" t="inlineStr">
        <is>
          <t>Pass</t>
        </is>
      </c>
      <c r="N783" s="24" t="inlineStr">
        <is>
          <t>Local Pass · Staging Not run (rule) · Production Not run
local: cancel 2 → 100; reject 3 → 100; failed → returned (stock 99) → shop cancels (REFUNDED) → 100
staging: not run on staging: needs the server's database (local run only)</t>
        </is>
      </c>
      <c r="O783" s="24" t="n"/>
      <c r="P783" s="24" t="inlineStr">
        <is>
          <t>2026-10-24 17:05</t>
        </is>
      </c>
    </row>
    <row r="784" ht="23.85" customHeight="1" s="13">
      <c r="A784" s="24" t="inlineStr">
        <is>
          <t>TC-SPI-020</t>
        </is>
      </c>
      <c r="B784" s="24" t="inlineStr">
        <is>
          <t>Sell, purchase &amp; inventory</t>
        </is>
      </c>
      <c r="C784" s="24" t="inlineStr">
        <is>
          <t>GS-057, GS-016</t>
        </is>
      </c>
      <c r="D784" s="24" t="inlineStr">
        <is>
          <t>Returned goods and stock</t>
        </is>
      </c>
      <c r="E784" s="24" t="inlineStr">
        <is>
          <t>Positive</t>
        </is>
      </c>
      <c r="F784" s="24" t="inlineStr">
        <is>
          <t>P1</t>
        </is>
      </c>
      <c r="G784" s="24" t="inlineStr">
        <is>
          <t>Shop</t>
        </is>
      </c>
      <c r="H784" s="24" t="inlineStr">
        <is>
          <t>UI</t>
        </is>
      </c>
      <c r="I784" s="24" t="inlineStr">
        <is>
          <t>Delivered order with an approved return of 1 unit</t>
        </is>
      </c>
      <c r="J784" s="24" t="inlineStr">
        <is>
          <t>1. Inspect and refund as resaleable
2. In a second case inspect as damaged</t>
        </is>
      </c>
      <c r="K784" s="24" t="inlineStr">
        <is>
          <t>Record the behaviour: resaleable goods go back into stock with a movement; damaged goods do not.</t>
        </is>
      </c>
      <c r="L784" s="24" t="inlineStr">
        <is>
          <t>Request 3-Oct: sell, purchase and inventory coverage</t>
        </is>
      </c>
      <c r="M784" s="24" t="inlineStr">
        <is>
          <t>Pass</t>
        </is>
      </c>
      <c r="N784" s="24" t="inlineStr">
        <is>
          <t>Local Pass · Staging Not run (rule) · Production Not run
local: UNOPENED: stock 8 → 9, 1 movement; DAMAGED: stock 7 → 7, 1 movement
staging: not run on staging: needs the server's database (local run only)</t>
        </is>
      </c>
      <c r="O784" s="24" t="inlineStr">
        <is>
          <t>D-87</t>
        </is>
      </c>
      <c r="P784" s="24" t="inlineStr">
        <is>
          <t>2026-10-24 17:05</t>
        </is>
      </c>
    </row>
    <row r="785" ht="23.85" customHeight="1" s="13">
      <c r="A785" s="24" t="inlineStr">
        <is>
          <t>TC-SPI-021</t>
        </is>
      </c>
      <c r="B785" s="24" t="inlineStr">
        <is>
          <t>Sell, purchase &amp; inventory</t>
        </is>
      </c>
      <c r="C785" s="24" t="inlineStr">
        <is>
          <t>GS-016, GS-067</t>
        </is>
      </c>
      <c r="D785" s="24" t="inlineStr">
        <is>
          <t>Movement ledger adds up to the stock on hand</t>
        </is>
      </c>
      <c r="E785" s="24" t="inlineStr">
        <is>
          <t>Positive</t>
        </is>
      </c>
      <c r="F785" s="24" t="inlineStr">
        <is>
          <t>P0</t>
        </is>
      </c>
      <c r="G785" s="24" t="inlineStr">
        <is>
          <t>Shop</t>
        </is>
      </c>
      <c r="H785" s="24" t="inlineStr">
        <is>
          <t>UI+DB</t>
        </is>
      </c>
      <c r="I785" s="24" t="inlineStr">
        <is>
          <t>A listing created by category add (opening 100)</t>
        </is>
      </c>
      <c r="J785" s="24" t="inlineStr">
        <is>
          <t>1. Sell 5, cancel an order of 2, receive 20, write off 3, sell 10
2. Add up the movements</t>
        </is>
      </c>
      <c r="K785" s="24" t="inlineStr">
        <is>
          <t>Opening 100 - 5 + 20 - 3 - 10 = 102 on hand. The sum of movements equals the figure on /shop/inventory.</t>
        </is>
      </c>
      <c r="L785" s="24" t="inlineStr">
        <is>
          <t>Request 3-Oct: sell, purchase and inventory coverage</t>
        </is>
      </c>
      <c r="M785" s="24" t="inlineStr">
        <is>
          <t>Pass</t>
        </is>
      </c>
      <c r="N785" s="24" t="inlineStr">
        <is>
          <t>Passed, partly covered. Local Pass (partial) · Staging Not run (rule) · Production Not run
local: not covered: the listing is a fresh one with opening stock 100 (the category add's opening is the same OPENING ledger entry)
staging: not run on staging: needs the server's database (local run only)</t>
        </is>
      </c>
      <c r="O785" s="24" t="n"/>
      <c r="P785" s="24" t="inlineStr">
        <is>
          <t>2026-10-24 17:05</t>
        </is>
      </c>
    </row>
    <row r="786" ht="23.85" customHeight="1" s="13">
      <c r="A786" s="24" t="inlineStr">
        <is>
          <t>TC-SPI-022</t>
        </is>
      </c>
      <c r="B786" s="24" t="inlineStr">
        <is>
          <t>Sell, purchase &amp; inventory</t>
        </is>
      </c>
      <c r="C786" s="24" t="inlineStr">
        <is>
          <t>GS-016</t>
        </is>
      </c>
      <c r="D786" s="24" t="inlineStr">
        <is>
          <t>Owner edits stock while an order is being placed</t>
        </is>
      </c>
      <c r="E786" s="24" t="inlineStr">
        <is>
          <t>Security</t>
        </is>
      </c>
      <c r="F786" s="24" t="inlineStr">
        <is>
          <t>P1</t>
        </is>
      </c>
      <c r="G786" s="24" t="inlineStr">
        <is>
          <t>Shop</t>
        </is>
      </c>
      <c r="H786" s="24" t="inlineStr">
        <is>
          <t>UI</t>
        </is>
      </c>
      <c r="I786" s="24" t="inlineStr">
        <is>
          <t>Stock 10</t>
        </is>
      </c>
      <c r="J786" s="24" t="inlineStr">
        <is>
          <t>1. Customer pays for 4 while the owner saves stock 10 -&gt; 8 from a page opened before the order</t>
        </is>
      </c>
      <c r="K786" s="24" t="inlineStr">
        <is>
          <t>No lost update: the result reflects both changes or the stale save is refused. Stock is never higher than the true figure.</t>
        </is>
      </c>
      <c r="L786" s="24" t="inlineStr">
        <is>
          <t>Request 3-Oct: sell, purchase and inventory coverage</t>
        </is>
      </c>
      <c r="M786" s="24" t="inlineStr">
        <is>
          <t>Pass</t>
        </is>
      </c>
      <c r="N786" s="24" t="inlineStr">
        <is>
          <t>Local Pass · Staging Not run (rule) · Production Not run
local: stale save after DB-20261024-LOGCO9: stock 6
staging: not run on staging: needs the server's database (local run only)</t>
        </is>
      </c>
      <c r="O786" s="24" t="inlineStr">
        <is>
          <t>D-89</t>
        </is>
      </c>
      <c r="P786" s="24" t="inlineStr">
        <is>
          <t>2026-10-24 17:05</t>
        </is>
      </c>
    </row>
    <row r="787" ht="35.05" customHeight="1" s="13">
      <c r="A787" s="24" t="inlineStr">
        <is>
          <t>TC-SPI-023</t>
        </is>
      </c>
      <c r="B787" s="24" t="inlineStr">
        <is>
          <t>Sell, purchase &amp; inventory</t>
        </is>
      </c>
      <c r="C787" s="24" t="inlineStr">
        <is>
          <t>GS-016, GS-022</t>
        </is>
      </c>
      <c r="D787" s="24" t="inlineStr">
        <is>
          <t>Out of stock and back in stock on the storefront</t>
        </is>
      </c>
      <c r="E787" s="24" t="inlineStr">
        <is>
          <t>Positive</t>
        </is>
      </c>
      <c r="F787" s="24" t="inlineStr">
        <is>
          <t>P0</t>
        </is>
      </c>
      <c r="G787" s="24" t="inlineStr">
        <is>
          <t>Customer</t>
        </is>
      </c>
      <c r="H787" s="24" t="inlineStr">
        <is>
          <t>UI</t>
        </is>
      </c>
      <c r="I787" s="24" t="n"/>
      <c r="J787" s="24" t="inlineStr">
        <is>
          <t>1. Owner sets stock to 0
2. Customer views the shop, product and comparison pages
3. Owner sets stock to 10</t>
        </is>
      </c>
      <c r="K787" s="24" t="inlineStr">
        <is>
          <t>At 0 the product is marked out of stock, not buyable, and sorted after buyable rows. At 10 it is buyable again without delay.</t>
        </is>
      </c>
      <c r="L787" s="24" t="inlineStr">
        <is>
          <t>Request 3-Oct: sell, purchase and inventory coverage</t>
        </is>
      </c>
      <c r="M787" s="24" t="inlineStr">
        <is>
          <t>Pass</t>
        </is>
      </c>
      <c r="N787" s="24" t="inlineStr">
        <is>
          <t>Passed, partly covered. Local Pass (partial) · Staging Not run (rule) · Production Not run
local: not covered: the comparison page leaves an out-of-stock listing out entirely (src/server/services/price-comparison.ts)
staging: not run on staging: needs the server's database (local run only)</t>
        </is>
      </c>
      <c r="O787" s="24" t="inlineStr">
        <is>
          <t>D-94</t>
        </is>
      </c>
      <c r="P787" s="24" t="inlineStr">
        <is>
          <t>2026-10-24 17:05</t>
        </is>
      </c>
    </row>
    <row r="788" ht="23.85" customHeight="1" s="13">
      <c r="A788" s="24" t="inlineStr">
        <is>
          <t>TC-SPI-024</t>
        </is>
      </c>
      <c r="B788" s="24" t="inlineStr">
        <is>
          <t>Sell, purchase &amp; inventory</t>
        </is>
      </c>
      <c r="C788" s="24" t="inlineStr">
        <is>
          <t>GS-013, GS-016</t>
        </is>
      </c>
      <c r="D788" s="24" t="inlineStr">
        <is>
          <t>Stock updated through Excel upload</t>
        </is>
      </c>
      <c r="E788" s="24" t="inlineStr">
        <is>
          <t>Positive</t>
        </is>
      </c>
      <c r="F788" s="24" t="inlineStr">
        <is>
          <t>P2</t>
        </is>
      </c>
      <c r="G788" s="24" t="inlineStr">
        <is>
          <t>Shop</t>
        </is>
      </c>
      <c r="H788" s="24" t="inlineStr">
        <is>
          <t>UI</t>
        </is>
      </c>
      <c r="I788" s="24" t="inlineStr">
        <is>
          <t>Template has a stock column (else mark Blocked)</t>
        </is>
      </c>
      <c r="J788" s="24" t="inlineStr">
        <is>
          <t>1. Change two stock values and upload
2. Upload a negative and a text stock value</t>
        </is>
      </c>
      <c r="K788" s="24" t="inlineStr">
        <is>
          <t>Valid rows apply with movements. Bad rows are reported and nothing is applied for them.</t>
        </is>
      </c>
      <c r="L788" s="24" t="inlineStr">
        <is>
          <t>Request 3-Oct: sell, purchase and inventory coverage</t>
        </is>
      </c>
      <c r="M788" s="24" t="inlineStr">
        <is>
          <t>Pass</t>
        </is>
      </c>
      <c r="N788" s="24" t="inlineStr">
        <is>
          <t>Passed, partly covered. Local Pass (partial) · Staging Not run (rule) · Production Not run
local: not covered: uses the bulk product upload (its Quantity column is the stock); the Excel price upload's template has no stock column
staging: not run on staging: needs the server's database (local run only)</t>
        </is>
      </c>
      <c r="O788" s="24" t="n"/>
      <c r="P788" s="24" t="inlineStr">
        <is>
          <t>2026-10-24 17:05</t>
        </is>
      </c>
    </row>
    <row r="789" ht="35.05" customHeight="1" s="13">
      <c r="A789" s="24" t="inlineStr">
        <is>
          <t>TC-SPI-025</t>
        </is>
      </c>
      <c r="B789" s="24" t="inlineStr">
        <is>
          <t>Sell, purchase &amp; inventory</t>
        </is>
      </c>
      <c r="C789" s="24" t="inlineStr">
        <is>
          <t>NEW-008, NEW-009, GS-016</t>
        </is>
      </c>
      <c r="D789" s="24" t="inlineStr">
        <is>
          <t>Stock unit for loose goods</t>
        </is>
      </c>
      <c r="E789" s="24" t="inlineStr">
        <is>
          <t>Boundary</t>
        </is>
      </c>
      <c r="F789" s="24" t="inlineStr">
        <is>
          <t>P1</t>
        </is>
      </c>
      <c r="G789" s="24" t="inlineStr">
        <is>
          <t>Shop</t>
        </is>
      </c>
      <c r="H789" s="24" t="inlineStr">
        <is>
          <t>UI+API</t>
        </is>
      </c>
      <c r="I789" s="24" t="inlineStr">
        <is>
          <t>Loose listing added by category</t>
        </is>
      </c>
      <c r="J789" s="24" t="inlineStr">
        <is>
          <t>1. Read the stock figure and unit
2. Set stock to 2.5
3. Sell 250 g</t>
        </is>
      </c>
      <c r="K789" s="24" t="inlineStr">
        <is>
          <t>The unit is shown beside the figure (kg / litre). Decimal stock is accepted for loose goods and stored in milli-units. Confirm with the owner that the default 100 means 100 kg / litres.</t>
        </is>
      </c>
      <c r="L789" s="24" t="inlineStr">
        <is>
          <t>Request 3-Oct: sell, purchase and inventory coverage</t>
        </is>
      </c>
      <c r="M789" s="24" t="inlineStr">
        <is>
          <t>Fail</t>
        </is>
      </c>
      <c r="N789" s="24" t="inlineStr">
        <is>
          <t>Local Fail · Staging Not run (rule) · Production Not run
local: unit "kg"; stock 2.5 → 422 Please check the highlighted fields.; the books' count of 2.500 kg leaves sellable stock at 2; selling 250 g → 422 (the cart takes whole steps of the product's 1 kg unit) | expect(received).toEqual(expected) // deep equality | - Expected  - 1 | + Received  + 5
staging: not run on staging: needs the server's database (local run only)</t>
        </is>
      </c>
      <c r="O789" s="24" t="inlineStr">
        <is>
          <t>D-95</t>
        </is>
      </c>
      <c r="P789" s="24" t="inlineStr">
        <is>
          <t>2026-10-24 17:05</t>
        </is>
      </c>
    </row>
    <row r="790" ht="35.05" customHeight="1" s="13">
      <c r="A790" s="24" t="inlineStr">
        <is>
          <t>TC-SPI-026</t>
        </is>
      </c>
      <c r="B790" s="24" t="inlineStr">
        <is>
          <t>Sell, purchase &amp; inventory</t>
        </is>
      </c>
      <c r="C790" s="24" t="inlineStr">
        <is>
          <t>GS-016, NAV-007</t>
        </is>
      </c>
      <c r="D790" s="24" t="inlineStr">
        <is>
          <t>Inventory search, filter and sort</t>
        </is>
      </c>
      <c r="E790" s="24" t="inlineStr">
        <is>
          <t>Positive</t>
        </is>
      </c>
      <c r="F790" s="24" t="inlineStr">
        <is>
          <t>P2</t>
        </is>
      </c>
      <c r="G790" s="24" t="inlineStr">
        <is>
          <t>Shop</t>
        </is>
      </c>
      <c r="H790" s="24" t="inlineStr">
        <is>
          <t>UI</t>
        </is>
      </c>
      <c r="I790" s="24" t="inlineStr">
        <is>
          <t>Shop with 100+ listings</t>
        </is>
      </c>
      <c r="J790" s="24" t="inlineStr">
        <is>
          <t>1. Search by product name
2. Filter by category, low stock, out of stock and needs price
3. Sort by stock</t>
        </is>
      </c>
      <c r="K790" s="24" t="inlineStr">
        <is>
          <t>Results are correct and stay correct across pages. Empty result shows a clear message.</t>
        </is>
      </c>
      <c r="L790" s="24" t="inlineStr">
        <is>
          <t>Request 3-Oct: sell, purchase and inventory coverage</t>
        </is>
      </c>
      <c r="M790" s="24" t="inlineStr">
        <is>
          <t>Fail</t>
        </is>
      </c>
      <c r="N790" s="24" t="inlineStr">
        <is>
          <t>Local Fail · Staging Not run (rule) · Production Not run
local: /shop/inventory (50 listings) has no: category, lowStock, outOfStock, sort | expect(received).toEqual(expected) // deep equality | - Expected  - 1 | + Received  + 6
staging: not run on staging: needs the server's database (local run only)</t>
        </is>
      </c>
      <c r="O790" s="24" t="inlineStr">
        <is>
          <t>D-96</t>
        </is>
      </c>
      <c r="P790" s="24" t="inlineStr">
        <is>
          <t>2026-10-24 17:05</t>
        </is>
      </c>
    </row>
    <row r="791" ht="35.05" customHeight="1" s="13">
      <c r="A791" s="24" t="inlineStr">
        <is>
          <t>TC-SPI-027</t>
        </is>
      </c>
      <c r="B791" s="24" t="inlineStr">
        <is>
          <t>Sell, purchase &amp; inventory</t>
        </is>
      </c>
      <c r="C791" s="24" t="inlineStr">
        <is>
          <t>GS-016, GS-002</t>
        </is>
      </c>
      <c r="D791" s="24" t="inlineStr">
        <is>
          <t>Inventory is private to the shop</t>
        </is>
      </c>
      <c r="E791" s="24" t="inlineStr">
        <is>
          <t>Security</t>
        </is>
      </c>
      <c r="F791" s="24" t="inlineStr">
        <is>
          <t>P0</t>
        </is>
      </c>
      <c r="G791" s="24" t="inlineStr">
        <is>
          <t>Shop</t>
        </is>
      </c>
      <c r="H791" s="24" t="inlineStr">
        <is>
          <t>API</t>
        </is>
      </c>
      <c r="I791" s="24" t="n"/>
      <c r="J791" s="24" t="inlineStr">
        <is>
          <t>1. As owner A request the inventory and movements of Shop B
2. As customer and guest request any shop inventory
3. As owner A post a stock change for a Shop B listing</t>
        </is>
      </c>
      <c r="K791" s="24" t="inlineStr">
        <is>
          <t>403 / 401. Customers see availability only, never stock counts or movements.</t>
        </is>
      </c>
      <c r="L791" s="24" t="inlineStr">
        <is>
          <t>Request 3-Oct: sell, purchase and inventory coverage; TC-RBAC-004</t>
        </is>
      </c>
      <c r="M791" s="24" t="inlineStr">
        <is>
          <t>Pass</t>
        </is>
      </c>
      <c r="N791" s="24" t="inlineStr">
        <is>
          <t>Passed, partly covered. Local Pass (partial) · Staging Pass (partial) · Production Pass (partial)
local: not covered: guest half only; the other-role half (customer, other shop) runs in the signed-in tier
staging: not covered: guest half only; the other-role half (customer, other shop) runs in the signed-in tier
production: not covered: guest half only; the other-role half (customer, other shop) runs in the signed-in tier</t>
        </is>
      </c>
      <c r="O791" s="24" t="inlineStr">
        <is>
          <t>D-90</t>
        </is>
      </c>
      <c r="P791" s="24" t="inlineStr">
        <is>
          <t>2026-10-29 14:06</t>
        </is>
      </c>
    </row>
    <row r="792" ht="23.85" customHeight="1" s="13">
      <c r="A792" s="24" t="inlineStr">
        <is>
          <t>TC-SPI-028</t>
        </is>
      </c>
      <c r="B792" s="24" t="inlineStr">
        <is>
          <t>Sell, purchase &amp; inventory</t>
        </is>
      </c>
      <c r="C792" s="24" t="inlineStr">
        <is>
          <t>GS-065, GS-016</t>
        </is>
      </c>
      <c r="D792" s="24" t="inlineStr">
        <is>
          <t>Inventory exceptions reach the admin dashboard</t>
        </is>
      </c>
      <c r="E792" s="24" t="inlineStr">
        <is>
          <t>Positive</t>
        </is>
      </c>
      <c r="F792" s="24" t="inlineStr">
        <is>
          <t>P2</t>
        </is>
      </c>
      <c r="G792" s="24" t="inlineStr">
        <is>
          <t>Admin</t>
        </is>
      </c>
      <c r="H792" s="24" t="inlineStr">
        <is>
          <t>UI</t>
        </is>
      </c>
      <c r="I792" s="24" t="n"/>
      <c r="J792" s="24" t="inlineStr">
        <is>
          <t>1. Open /admin/dashboard inventory exceptions
2. Compare with a listing known to be at 0 with open orders, if one exists</t>
        </is>
      </c>
      <c r="K792" s="24" t="inlineStr">
        <is>
          <t>Listings with inconsistent figures or negative availability are listed; the count matches the data.</t>
        </is>
      </c>
      <c r="L792" s="24" t="inlineStr">
        <is>
          <t>Request 3-Oct: sell, purchase and inventory coverage; TC-ADM-001</t>
        </is>
      </c>
      <c r="M792" s="24" t="inlineStr">
        <is>
          <t>Pass</t>
        </is>
      </c>
      <c r="N792" s="24" t="inlineStr">
        <is>
          <t>Passed, partly covered. Local Pass (partial) · Staging Not run (rule) · Production Not run
local: not covered: the dashboard counts open out-of-stock / low-stock alerts; it does not list listings with inconsistent figures (the books' drift check is per shop: /api/shops/{id}/accounts/stock/drift)
staging: not run on staging: needs the server's database (local run only)</t>
        </is>
      </c>
      <c r="O792" s="24" t="n"/>
      <c r="P792" s="24" t="inlineStr">
        <is>
          <t>2026-10-24 17:05</t>
        </is>
      </c>
    </row>
    <row r="793">
      <c r="A793" s="24" t="inlineStr">
        <is>
          <t>TC-QA-001</t>
        </is>
      </c>
      <c r="B793" s="24" t="inlineStr">
        <is>
          <t>QA automation</t>
        </is>
      </c>
      <c r="C793" s="24" t="inlineStr">
        <is>
          <t>QA-010, QA-003</t>
        </is>
      </c>
      <c r="D793" s="24" t="inlineStr">
        <is>
          <t>Every case of the plan is declared in the QA suite</t>
        </is>
      </c>
      <c r="E793" s="24" t="inlineStr">
        <is>
          <t>Positive</t>
        </is>
      </c>
      <c r="F793" s="24" t="inlineStr">
        <is>
          <t>P0</t>
        </is>
      </c>
      <c r="G793" s="24" t="inlineStr">
        <is>
          <t>All</t>
        </is>
      </c>
      <c r="H793" s="24" t="inlineStr">
        <is>
          <t>API</t>
        </is>
      </c>
      <c r="I793" s="24" t="inlineStr">
        <is>
          <t>tests/qa/catalog exported from this workbook</t>
        </is>
      </c>
      <c r="J793" s="24" t="inlineStr">
        <is>
          <t>1. List every TC and SC ID of the catalog
2. Scan tests/qa/**/*.spec.ts for qa() and manual() declarations</t>
        </is>
      </c>
      <c r="K793" s="24" t="inlineStr">
        <is>
          <t>Every ID is declared at least once - automated as a check, or declared manual() with the reason. No ID of the plan is silently missing.</t>
        </is>
      </c>
      <c r="L793" s="24" t="inlineStr">
        <is>
          <t>QA automation, 24 Oct 2026 (tests/qa/README.md)</t>
        </is>
      </c>
      <c r="M793" s="24" t="inlineStr">
        <is>
          <t>Pass</t>
        </is>
      </c>
      <c r="N793" s="24" t="inlineStr">
        <is>
          <t>Local Pass · Staging Pass · Production Pass
local: 863 IDs, all declared in 78 spec files
staging: 863 IDs, all declared in 78 spec files
production: 863 IDs, all declared in 78 spec files</t>
        </is>
      </c>
      <c r="O793" s="24" t="n"/>
      <c r="P793" s="24" t="inlineStr">
        <is>
          <t>2026-10-29 13:59</t>
        </is>
      </c>
    </row>
    <row r="794">
      <c r="A794" s="24" t="inlineStr">
        <is>
          <t>TC-QA-002</t>
        </is>
      </c>
      <c r="B794" s="24" t="inlineStr">
        <is>
          <t>QA automation</t>
        </is>
      </c>
      <c r="C794" s="24" t="inlineStr">
        <is>
          <t>QA-010</t>
        </is>
      </c>
      <c r="D794" s="24" t="inlineStr">
        <is>
          <t>Writing and local tiers never run on production</t>
        </is>
      </c>
      <c r="E794" s="24" t="inlineStr">
        <is>
          <t>Negative</t>
        </is>
      </c>
      <c r="F794" s="24" t="inlineStr">
        <is>
          <t>P0</t>
        </is>
      </c>
      <c r="G794" s="24" t="inlineStr">
        <is>
          <t>All</t>
        </is>
      </c>
      <c r="H794" s="24" t="inlineStr">
        <is>
          <t>API</t>
        </is>
      </c>
      <c r="I794" s="24" t="inlineStr">
        <is>
          <t>Suite pointed at https://gokesari.com</t>
        </is>
      </c>
      <c r="J794" s="24" t="inlineStr">
        <is>
          <t>1. Run the suite against gokesari.com
2. Read the recorded rows of signed-in and local checks</t>
        </is>
      </c>
      <c r="K794" s="24" t="inlineStr">
        <is>
          <t>Every signed / local check is recorded 'skipped: not run on production'; the write helpers refuse production (assertWritable). Only GETs and requests the server must refuse reach gokesari.com.</t>
        </is>
      </c>
      <c r="L794" s="24" t="inlineStr">
        <is>
          <t>QA automation, 24 Oct 2026 (tests/qa/README.md)</t>
        </is>
      </c>
      <c r="M794" s="24" t="inlineStr">
        <is>
          <t>Pass</t>
        </is>
      </c>
      <c r="N794" s="24" t="inlineStr">
        <is>
          <t>Local Pass · Staging Pass · Production Pass
local: production: guest runs; signed → "not run on production: signs in and writes test data (production-safe tier only)"; local → "not run on production: needs the server's database"; writes refused
staging: production: guest runs; signed → "not run on production: signs in and writes test data (production-safe tier only)"; local → "not run on production: needs the server's database"; writes refused
production: production: guest runs; signed → "not run on production: signs in and writes test data (production-safe tier only)"; local → "not run on production: needs the server's database"; writes refused</t>
        </is>
      </c>
      <c r="O794" s="24" t="n"/>
      <c r="P794" s="24" t="inlineStr">
        <is>
          <t>2026-10-29 13:59</t>
        </is>
      </c>
    </row>
    <row r="795">
      <c r="A795" s="24" t="inlineStr">
        <is>
          <t>TC-QA-003</t>
        </is>
      </c>
      <c r="B795" s="24" t="inlineStr">
        <is>
          <t>QA automation</t>
        </is>
      </c>
      <c r="C795" s="24" t="inlineStr">
        <is>
          <t>QA-010</t>
        </is>
      </c>
      <c r="D795" s="24" t="inlineStr">
        <is>
          <t>Each check records its case result</t>
        </is>
      </c>
      <c r="E795" s="24" t="inlineStr">
        <is>
          <t>Positive</t>
        </is>
      </c>
      <c r="F795" s="24" t="inlineStr">
        <is>
          <t>P1</t>
        </is>
      </c>
      <c r="G795" s="24" t="inlineStr">
        <is>
          <t>All</t>
        </is>
      </c>
      <c r="H795" s="24" t="inlineStr">
        <is>
          <t>API</t>
        </is>
      </c>
      <c r="I795" s="24" t="inlineStr">
        <is>
          <t>A finished run</t>
        </is>
      </c>
      <c r="J795" s="24" t="inlineStr">
        <is>
          <t>1. Read test-results/qa/&lt;host&gt;/*.jsonl
2. Check one row per case per check</t>
        </is>
      </c>
      <c r="K795" s="24" t="inlineStr">
        <is>
          <t>Each row has the case ID, title, status (pass / fail / blocked / skipped), detail, tier, site, spec file and time; a failed or timed-out check is recorded as fail with its reason.</t>
        </is>
      </c>
      <c r="L795" s="24" t="inlineStr">
        <is>
          <t>QA automation, 24 Oct 2026 (tests/qa/README.md)</t>
        </is>
      </c>
      <c r="M795" s="24" t="inlineStr">
        <is>
          <t>Pass</t>
        </is>
      </c>
      <c r="N795" s="24" t="inlineStr">
        <is>
          <t>Local Pass · Staging Pass · Production Pass
local: 28 rows, all complete (25 case IDs)
staging: 28 rows, all complete (25 case IDs)
production: 28 rows, all complete (25 case IDs)</t>
        </is>
      </c>
      <c r="O795" s="24" t="n"/>
      <c r="P795" s="24" t="inlineStr">
        <is>
          <t>2026-10-29 13:59</t>
        </is>
      </c>
    </row>
    <row r="796">
      <c r="A796" s="24" t="inlineStr">
        <is>
          <t>TC-QA-004</t>
        </is>
      </c>
      <c r="B796" s="24" t="inlineStr">
        <is>
          <t>QA automation</t>
        </is>
      </c>
      <c r="C796" s="24" t="inlineStr">
        <is>
          <t>QA-012</t>
        </is>
      </c>
      <c r="D796" s="24" t="inlineStr">
        <is>
          <t>Master register lists every case and scenario with a status per site</t>
        </is>
      </c>
      <c r="E796" s="24" t="inlineStr">
        <is>
          <t>Positive</t>
        </is>
      </c>
      <c r="F796" s="24" t="inlineStr">
        <is>
          <t>P0</t>
        </is>
      </c>
      <c r="G796" s="24" t="inlineStr">
        <is>
          <t>All</t>
        </is>
      </c>
      <c r="H796" s="24" t="inlineStr">
        <is>
          <t>API</t>
        </is>
      </c>
      <c r="I796" s="24" t="inlineStr">
        <is>
          <t>At least one collected run in docs/testing/qa-runs</t>
        </is>
      </c>
      <c r="J796" s="24" t="inlineStr">
        <is>
          <t>1. npx tsx scripts/qa/build-register.ts
2. Open the workbook</t>
        </is>
      </c>
      <c r="K796" s="24" t="inlineStr">
        <is>
          <t>Test cases and E2E scenarios sheets hold every case and scenario of the plan once, each with Local, Staging, Production and Overall status, automation and spec file; Summary, Defects and Runs sheets are filled.</t>
        </is>
      </c>
      <c r="L796" s="24" t="inlineStr">
        <is>
          <t>QA automation, 24 Oct 2026 (tests/qa/README.md)</t>
        </is>
      </c>
      <c r="M796" s="24" t="inlineStr">
        <is>
          <t>Pass</t>
        </is>
      </c>
      <c r="N796" s="24" t="inlineStr">
        <is>
          <t>Local Pass · Staging Pass · Production Pass
local: 826 cases and 37 scenarios, each once, with Local / Staging / Production / Overall
staging: 826 cases and 37 scenarios, each once, with Local / Staging / Production / Overall
production: 826 cases and 37 scenarios, each once, with Local / Staging / Production / Overall</t>
        </is>
      </c>
      <c r="O796" s="24" t="n"/>
      <c r="P796" s="24" t="inlineStr">
        <is>
          <t>2026-10-29 13:59</t>
        </is>
      </c>
    </row>
    <row r="797">
      <c r="A797" s="24" t="inlineStr">
        <is>
          <t>TC-QA-005</t>
        </is>
      </c>
      <c r="B797" s="24" t="inlineStr">
        <is>
          <t>QA automation</t>
        </is>
      </c>
      <c r="C797" s="24" t="inlineStr">
        <is>
          <t>QA-011</t>
        </is>
      </c>
      <c r="D797" s="24" t="inlineStr">
        <is>
          <t>Claude QA agent and skills are installed</t>
        </is>
      </c>
      <c r="E797" s="24" t="inlineStr">
        <is>
          <t>Positive</t>
        </is>
      </c>
      <c r="F797" s="24" t="inlineStr">
        <is>
          <t>P1</t>
        </is>
      </c>
      <c r="G797" s="24" t="inlineStr">
        <is>
          <t>All</t>
        </is>
      </c>
      <c r="H797" s="24" t="inlineStr">
        <is>
          <t>UI</t>
        </is>
      </c>
      <c r="I797" s="24" t="inlineStr">
        <is>
          <t>Repository checkout</t>
        </is>
      </c>
      <c r="J797" s="24" t="inlineStr">
        <is>
          <t>1. Open .claude/agents/gokesari-qa.md and .claude/skills/gokesari-qa-*/SKILL.md</t>
        </is>
      </c>
      <c r="K797" s="24" t="inlineStr">
        <is>
          <t>The agent and each skill have a name and description; the skills cover running the suite, signing the staging accounts in, writing a check and reporting.</t>
        </is>
      </c>
      <c r="L797" s="24" t="inlineStr">
        <is>
          <t>QA automation, 24 Oct 2026 (tests/qa/README.md)</t>
        </is>
      </c>
      <c r="M797" s="24" t="inlineStr">
        <is>
          <t>Pass</t>
        </is>
      </c>
      <c r="N797" s="24" t="inlineStr">
        <is>
          <t>Local Pass · Staging Pass · Production Pass
local: installed: gokesari-qa, gokesari-qa-run, gokesari-qa-signin, gokesari-qa-write-test, gokesari-qa-report
staging: installed: gokesari-qa, gokesari-qa-run, gokesari-qa-signin, gokesari-qa-write-test, gokesari-qa-report
production: installed: gokesari-qa, gokesari-qa-run, gokesari-qa-signin, gokesari-qa-write-test, gokesari-qa-report</t>
        </is>
      </c>
      <c r="O797" s="24" t="n"/>
      <c r="P797" s="24" t="inlineStr">
        <is>
          <t>2026-10-29 13:59</t>
        </is>
      </c>
    </row>
    <row r="798">
      <c r="A798" s="24" t="inlineStr">
        <is>
          <t>TC-QA-006</t>
        </is>
      </c>
      <c r="B798" s="24" t="inlineStr">
        <is>
          <t>QA automation</t>
        </is>
      </c>
      <c r="C798" s="24" t="inlineStr">
        <is>
          <t>QA-013</t>
        </is>
      </c>
      <c r="D798" s="24" t="inlineStr">
        <is>
          <t>Scheduled QA workflow runs the production-safe tier on both sites</t>
        </is>
      </c>
      <c r="E798" s="24" t="inlineStr">
        <is>
          <t>Positive</t>
        </is>
      </c>
      <c r="F798" s="24" t="inlineStr">
        <is>
          <t>P1</t>
        </is>
      </c>
      <c r="G798" s="24" t="inlineStr">
        <is>
          <t>All</t>
        </is>
      </c>
      <c r="H798" s="24" t="inlineStr">
        <is>
          <t>UI</t>
        </is>
      </c>
      <c r="I798" s="24" t="inlineStr">
        <is>
          <t>Workflow .github/workflows/qa.yml on main</t>
        </is>
      </c>
      <c r="J798" s="24" t="inlineStr">
        <is>
          <t>1. Read the workflow's schedule and jobs
2. Run it by hand once</t>
        </is>
      </c>
      <c r="K798" s="24" t="inlineStr">
        <is>
          <t>Scheduled weekly (Monday) and runnable by hand; runs tests/qa/guest against test.gokesari.com and gokesari.com and keeps the results as an artifact; never signs in or writes. By hand it can also run the whole suite on a server built from the commit.</t>
        </is>
      </c>
      <c r="L798" s="24" t="inlineStr">
        <is>
          <t>QA automation, 24 Oct 2026 (tests/qa/README.md)</t>
        </is>
      </c>
      <c r="M798" s="24" t="inlineStr">
        <is>
          <t>Pass</t>
        </is>
      </c>
      <c r="N798" s="24" t="inlineStr">
        <is>
          <t>Passed, partly covered. Local Pass (partial) · Staging Pass (partial) · Production Pass (partial)
local: not covered: a scheduled run itself is evidenced in GitHub Actions, not by this check
staging: not covered: a scheduled run itself is evidenced in GitHub Actions, not by this check
production: not covered: a scheduled run itself is evidenced in GitHub Actions, not by this check</t>
        </is>
      </c>
      <c r="O798" s="24" t="n"/>
      <c r="P798" s="24" t="inlineStr">
        <is>
          <t>2026-10-29 13:59</t>
        </is>
      </c>
    </row>
    <row r="799">
      <c r="A799" s="24" t="inlineStr">
        <is>
          <t>TC-QA-007</t>
        </is>
      </c>
      <c r="B799" s="24" t="inlineStr">
        <is>
          <t>QA automation</t>
        </is>
      </c>
      <c r="C799" s="24" t="inlineStr">
        <is>
          <t>QA-014</t>
        </is>
      </c>
      <c r="D799" s="24" t="inlineStr">
        <is>
          <t>Local QA environment brings up the test data of the plan</t>
        </is>
      </c>
      <c r="E799" s="24" t="inlineStr">
        <is>
          <t>Positive</t>
        </is>
      </c>
      <c r="F799" s="24" t="inlineStr">
        <is>
          <t>P1</t>
        </is>
      </c>
      <c r="G799" s="24" t="inlineStr">
        <is>
          <t>Admin</t>
        </is>
      </c>
      <c r="H799" s="24" t="inlineStr">
        <is>
          <t>DB</t>
        </is>
      </c>
      <c r="I799" s="24" t="inlineStr">
        <is>
          <t>Local PostgreSQL and a built app</t>
        </is>
      </c>
      <c r="J799" s="24" t="inlineStr">
        <is>
          <t>1. bash scripts/qa/local-up.sh 3000 gk_qa
2. Read test-results/qa/world-localhost_3000.json</t>
        </is>
      </c>
      <c r="K799" s="24" t="inlineStr">
        <is>
          <t>Database migrated and seeded; mail catcher and server up; the world file names every account of the Test data sheet (2 customers, 3 shop owners + a pending one, 2 riders, admin, operator, operator-limited, society admin), 4 shops and the listings the cases need.</t>
        </is>
      </c>
      <c r="L799" s="24" t="inlineStr">
        <is>
          <t>QA automation, 24 Oct 2026 (tests/qa/README.md)</t>
        </is>
      </c>
      <c r="M799" s="24" t="inlineStr">
        <is>
          <t>Pass</t>
        </is>
      </c>
      <c r="N799" s="24" t="inlineStr">
        <is>
          <t>Local Pass · Staging Not run (rule) · Production Not run (rule)
local: world mvmkyclr: 12 accounts, 4 shops, 9 listings, a verified society
staging: not run on staging: needs the server's database (local run only)
production: not run on production: needs the server's database</t>
        </is>
      </c>
      <c r="O799" s="24" t="n"/>
      <c r="P799" s="24" t="inlineStr">
        <is>
          <t>2026-10-29 13:59</t>
        </is>
      </c>
    </row>
    <row r="800">
      <c r="A800" s="24" t="inlineStr">
        <is>
          <t>TC-LIST-001</t>
        </is>
      </c>
      <c r="B800" s="24" t="inlineStr">
        <is>
          <t>Purchase lists</t>
        </is>
      </c>
      <c r="C800" s="24" t="inlineStr">
        <is>
          <t>PL-001</t>
        </is>
      </c>
      <c r="D800" s="24" t="inlineStr">
        <is>
          <t>Guest is sent to sign-in from My lists and from a list's page</t>
        </is>
      </c>
      <c r="E800" s="24" t="inlineStr">
        <is>
          <t>Security</t>
        </is>
      </c>
      <c r="F800" s="24" t="inlineStr">
        <is>
          <t>P0</t>
        </is>
      </c>
      <c r="G800" s="24" t="inlineStr">
        <is>
          <t>Guest</t>
        </is>
      </c>
      <c r="H800" s="24" t="inlineStr">
        <is>
          <t>UI</t>
        </is>
      </c>
      <c r="I800" s="24" t="inlineStr">
        <is>
          <t>Signed out</t>
        </is>
      </c>
      <c r="J800" s="24" t="inlineStr">
        <is>
          <t>1. Open /lists and /lists?kind=MEDICINE
2. Open /lists/&lt;any id&gt; and /lists/&lt;malformed id&gt;</t>
        </is>
      </c>
      <c r="K800" s="24" t="inlineStr">
        <is>
          <t>Each page answers a redirect to /signin; the guest lands on the sign-in page and sees no list.</t>
        </is>
      </c>
      <c r="L800" s="24" t="inlineStr">
        <is>
          <t>docs/purchase-lists-2026-10/README.md (24 Oct 2026, PR #231)</t>
        </is>
      </c>
      <c r="M800" s="24" t="inlineStr">
        <is>
          <t>Pass</t>
        </is>
      </c>
      <c r="N800" s="24" t="inlineStr">
        <is>
          <t>Local Pass · Staging Pass · Production Pass
local: /lists → 307 /signin; /lists?kind=MEDICINE → 307 /signin; /lists/00000000-0000-4000-8000-000000000000 → 307 /signin; /lists/not-a-list-id → 307 /signin; browser lands on /signin ‖ [phone] /lists → 307 /signin; /lists?kind=MEDICINE → 307 /signin; /lists/00000000-0000-4000-8000-000000000000 → 307 /signin; /lists/not-a-list-id → 307 /signin; browser lands on /signin
staging: /lists → 307 /signin; /lists?kind=MEDICINE → 307 /signin; /lists/00000000-0000-4000-8000-000000000000 → 307 /signin; /lists/not-a-list-id → 307 /signin; browser lands on /signin
production: /lists → 307 /signin; /lists?kind=MEDICINE → 307 /signin; /lists/00000000-0000-4000-8000-000000000000 → 307 /signin; /lists/not-a-list-id → 307 /signin; browser lands on /signin</t>
        </is>
      </c>
      <c r="O800" s="24" t="n"/>
      <c r="P800" s="24" t="inlineStr">
        <is>
          <t>2026-10-29 14:06</t>
        </is>
      </c>
    </row>
    <row r="801">
      <c r="A801" s="24" t="inlineStr">
        <is>
          <t>TC-LIST-002</t>
        </is>
      </c>
      <c r="B801" s="24" t="inlineStr">
        <is>
          <t>Purchase lists</t>
        </is>
      </c>
      <c r="C801" s="24" t="inlineStr">
        <is>
          <t>PL-001</t>
        </is>
      </c>
      <c r="D801" s="24" t="inlineStr">
        <is>
          <t>Every purchase-lists API refuses a caller without a session</t>
        </is>
      </c>
      <c r="E801" s="24" t="inlineStr">
        <is>
          <t>Security</t>
        </is>
      </c>
      <c r="F801" s="24" t="inlineStr">
        <is>
          <t>P0</t>
        </is>
      </c>
      <c r="G801" s="24" t="inlineStr">
        <is>
          <t>Guest</t>
        </is>
      </c>
      <c r="H801" s="24" t="inlineStr">
        <is>
          <t>API</t>
        </is>
      </c>
      <c r="I801" s="24" t="inlineStr">
        <is>
          <t>Signed out; ids that exist nowhere</t>
        </is>
      </c>
      <c r="J801" s="24" t="inlineStr">
        <is>
          <t>1. Call every method of /api/purchase-lists, /:id, /:id/items, /:id/items/:itemId, /:id/check, /:id/order and /from-cart without a session, with a plausible body</t>
        </is>
      </c>
      <c r="K801" s="24" t="inlineStr">
        <is>
          <t>Every call answers 401 UNAUTHENTICATED before the body is read: no field errors, no 404 that would tell whether a list exists.</t>
        </is>
      </c>
      <c r="L801" s="24" t="inlineStr">
        <is>
          <t>docs/purchase-lists-2026-10/README.md (24 Oct 2026, PR #231)</t>
        </is>
      </c>
      <c r="M801" s="24" t="inlineStr">
        <is>
          <t>Pass</t>
        </is>
      </c>
      <c r="N801" s="24" t="inlineStr">
        <is>
          <t>Local Pass · Staging Pass · Production Pass
local: 11 method/route pairs, all 401 UNAUTHENTICATED: GET …, POST …, GET …/[id], PATCH …/[id], DELETE …/[id], GET …/[id]/check, POST …/[id]/items, PATCH …/[id]/items/[itemId], DELETE …/[id]/items/[itemId], POST …/[id]/order, POST …/from-cart
staging: 11 method/route pairs, all 401 UNAUTHENTICATED: GET …, POST …, GET …/[id], PATCH …/[id], DELETE …/[id], GET …/[id]/check, POST …/[id]/items, PATCH …/[id]/items/[itemId], DELETE …/[id]/items/[itemId], POST …/[id]/order, POST …/from-cart
production: 11 method/route pairs, all 401 UNAUTHENTICATED: GET …, POST …, GET …/[id], PATCH …/[id], DELETE …/[id], GET …/[id]/check, POST …/[id]/items, PATCH …/[id]/items/[itemId], DELETE …/[id]/items/[itemId], POST …/[id]/order, POST …/from-cart</t>
        </is>
      </c>
      <c r="O801" s="24" t="n"/>
      <c r="P801" s="24" t="inlineStr">
        <is>
          <t>2026-10-29 13:59</t>
        </is>
      </c>
    </row>
    <row r="802">
      <c r="A802" s="24" t="inlineStr">
        <is>
          <t>TC-LIST-003</t>
        </is>
      </c>
      <c r="B802" s="24" t="inlineStr">
        <is>
          <t>Purchase lists</t>
        </is>
      </c>
      <c r="C802" s="24" t="inlineStr">
        <is>
          <t>PL-001</t>
        </is>
      </c>
      <c r="D802" s="24" t="inlineStr">
        <is>
          <t>Create a weekly shopping list</t>
        </is>
      </c>
      <c r="E802" s="24" t="inlineStr">
        <is>
          <t>Positive</t>
        </is>
      </c>
      <c r="F802" s="24" t="inlineStr">
        <is>
          <t>P0</t>
        </is>
      </c>
      <c r="G802" s="24" t="inlineStr">
        <is>
          <t>Customer</t>
        </is>
      </c>
      <c r="H802" s="24" t="inlineStr">
        <is>
          <t>UI+API</t>
        </is>
      </c>
      <c r="I802" s="24" t="inlineStr">
        <is>
          <t>Customer signed in</t>
        </is>
      </c>
      <c r="J802" s="24" t="inlineStr">
        <is>
          <t>1. Open My lists (/lists)
2. In 'Create a list' choose Shopping list, type a name, choose Weekly, leave 'Remind me' on
3. Create list
4. Go back to My lists</t>
        </is>
      </c>
      <c r="K802" s="24" t="inlineStr">
        <is>
          <t>The new list opens (/lists/&lt;id&gt;) empty, with 'Browse shops'; its header reads 'Shopping list · Weekly'. Saved as SHOPPING / WEEKLY / reminder on, next due 7 days after it was made. My lists shows it under 'Shopping lists' with 'Weekly', 'No products yet' and 'Next due &lt;date&gt;'.</t>
        </is>
      </c>
      <c r="L802" s="24" t="inlineStr">
        <is>
          <t>docs/purchase-lists-2026-10/README.md (24 Oct 2026, PR #231)</t>
        </is>
      </c>
      <c r="M802" s="24" t="inlineStr">
        <is>
          <t>Pass</t>
        </is>
      </c>
      <c r="N802" s="24" t="inlineStr">
        <is>
          <t>Local Pass · Staging Pass · Production Not run
local: "QA PL mvmnbvbx Weekly dairy" created from the form → /lists/787b6257…, empty ("Browse shops"), SHOPPING/WEEKLY/remind on, next due +7 d, card under Shopping lists ‖ [phone] "QA PL mvmlcoo9 m Weekly dairy" created from the form → /lists/12827c97…, empty ("Browse shops"), SHOPPING/WEEKLY/remind on, next due +7 d, card under Shopping lists
staging: "QA PL mvmudh9v Weekly dairy" created from the form → /lists/59f374f5…, empty ("Browse shops"), SHOPPING/WEEKLY/remind on, next due +7 d, card under Shopping lists ‖ [phone] "QA PL mvmx96wg m Weekly dairy" created from the form → /lists/3923fc6e…, empty ("Browse shops"), SHOPPING/WEEKLY/remind on, next due +7 d, card under Shopping lists</t>
        </is>
      </c>
      <c r="O802" s="24" t="n"/>
      <c r="P802" s="24" t="inlineStr">
        <is>
          <t>2026-10-24 21:52</t>
        </is>
      </c>
    </row>
    <row r="803">
      <c r="A803" s="24" t="inlineStr">
        <is>
          <t>TC-LIST-004</t>
        </is>
      </c>
      <c r="B803" s="24" t="inlineStr">
        <is>
          <t>Purchase lists</t>
        </is>
      </c>
      <c r="C803" s="24" t="inlineStr">
        <is>
          <t>PL-001</t>
        </is>
      </c>
      <c r="D803" s="24" t="inlineStr">
        <is>
          <t>Create a monthly medicine list with the reminder off</t>
        </is>
      </c>
      <c r="E803" s="24" t="inlineStr">
        <is>
          <t>Positive</t>
        </is>
      </c>
      <c r="F803" s="24" t="inlineStr">
        <is>
          <t>P1</t>
        </is>
      </c>
      <c r="G803" s="24" t="inlineStr">
        <is>
          <t>Customer</t>
        </is>
      </c>
      <c r="H803" s="24" t="inlineStr">
        <is>
          <t>UI+API</t>
        </is>
      </c>
      <c r="I803" s="24" t="inlineStr">
        <is>
          <t>Customer signed in</t>
        </is>
      </c>
      <c r="J803" s="24" t="inlineStr">
        <is>
          <t>1. Open /lists?kind=MEDICINE (the form opens on Medicines)
2. Type a name, choose Monthly, untick 'Remind me when it is due again'
3. Create list
4. Go back to My lists</t>
        </is>
      </c>
      <c r="K803" s="24" t="inlineStr">
        <is>
          <t>The list opens with 'Medicines · Monthly · … · Reminder off'; the empty list links 'Find a pharmacy' (/shops?type=PHARMACY). Saved as MEDICINE / MONTHLY / reminder off, next due a month after it was made. Shown under 'Medicine lists', not under Shopping lists.</t>
        </is>
      </c>
      <c r="L803" s="24" t="inlineStr">
        <is>
          <t>docs/purchase-lists-2026-10/README.md (24 Oct 2026, PR #231)</t>
        </is>
      </c>
      <c r="M803" s="24" t="inlineStr">
        <is>
          <t>Pass</t>
        </is>
      </c>
      <c r="N803" s="24" t="inlineStr">
        <is>
          <t>Local Pass · Staging Pass · Production Not run
local: "QA PL mvmnbvbx BP medicines" MEDICINE/MONTHLY/reminder off; empty list links "Find a pharmacy" → /shops?type=PHARMACY; card under Medicine lists
staging: "QA PL mvmudh9v BP medicines" MEDICINE/MONTHLY/reminder off; empty list links "Find a pharmacy" → /shops?type=PHARMACY; card under Medicine lists</t>
        </is>
      </c>
      <c r="O803" s="24" t="n"/>
      <c r="P803" s="24" t="inlineStr">
        <is>
          <t>2026-10-24 20:33</t>
        </is>
      </c>
    </row>
    <row r="804">
      <c r="A804" s="24" t="inlineStr">
        <is>
          <t>TC-LIST-005</t>
        </is>
      </c>
      <c r="B804" s="24" t="inlineStr">
        <is>
          <t>Purchase lists</t>
        </is>
      </c>
      <c r="C804" s="24" t="inlineStr">
        <is>
          <t>PL-001</t>
        </is>
      </c>
      <c r="D804" s="24" t="inlineStr">
        <is>
          <t>A second list with the same name is refused (any case, extra spaces)</t>
        </is>
      </c>
      <c r="E804" s="24" t="inlineStr">
        <is>
          <t>Negative</t>
        </is>
      </c>
      <c r="F804" s="24" t="inlineStr">
        <is>
          <t>P1</t>
        </is>
      </c>
      <c r="G804" s="24" t="inlineStr">
        <is>
          <t>Customer</t>
        </is>
      </c>
      <c r="H804" s="24" t="inlineStr">
        <is>
          <t>UI+API</t>
        </is>
      </c>
      <c r="I804" s="24" t="inlineStr">
        <is>
          <t>A list named X exists</t>
        </is>
      </c>
      <c r="J804" s="24" t="inlineStr">
        <is>
          <t>1. From the form, create a list named X in other case with extra spaces
2. POST /api/purchase-lists with X in lower case</t>
        </is>
      </c>
      <c r="K804" s="24" t="inlineStr">
        <is>
          <t>The form shows 'You already have a list called …' and stays on My lists; the API answers 409 with the same message; there is still exactly one list named X.</t>
        </is>
      </c>
      <c r="L804" s="24" t="inlineStr">
        <is>
          <t>docs/purchase-lists-2026-10/README.md (24 Oct 2026, PR #231)</t>
        </is>
      </c>
      <c r="M804" s="24" t="inlineStr">
        <is>
          <t>Pass</t>
        </is>
      </c>
      <c r="N804" s="24" t="inlineStr">
        <is>
          <t>Local Pass · Staging Pass · Production Not run
local: "QA  PL  MVMNBVBX  MONTHLY  GROCERIES" (form) and "qa pl mvmnbvbx monthly groceries" (API, 409) refused: "HTTP 409: You already have a list called "qa pl mvmnbvbx monthly groceries"."; one list keeps the name
staging: "QA  PL  MVMUDH9V  MONTHLY  GROCERIES" (form) and "qa pl mvmudh9v monthly groceries" (API, 409) refused: "HTTP 409: You already have a list called "qa pl mvmudh9v monthly groceries"."; one list keeps the name</t>
        </is>
      </c>
      <c r="O804" s="24" t="n"/>
      <c r="P804" s="24" t="inlineStr">
        <is>
          <t>2026-10-24 20:34</t>
        </is>
      </c>
    </row>
    <row r="805">
      <c r="A805" s="24" t="inlineStr">
        <is>
          <t>TC-LIST-006</t>
        </is>
      </c>
      <c r="B805" s="24" t="inlineStr">
        <is>
          <t>Purchase lists</t>
        </is>
      </c>
      <c r="C805" s="24" t="inlineStr">
        <is>
          <t>PL-002</t>
        </is>
      </c>
      <c r="D805" s="24" t="inlineStr">
        <is>
          <t>Add to list from a product card</t>
        </is>
      </c>
      <c r="E805" s="24" t="inlineStr">
        <is>
          <t>Positive</t>
        </is>
      </c>
      <c r="F805" s="24" t="inlineStr">
        <is>
          <t>P0</t>
        </is>
      </c>
      <c r="G805" s="24" t="inlineStr">
        <is>
          <t>Customer</t>
        </is>
      </c>
      <c r="H805" s="24" t="inlineStr">
        <is>
          <t>UI+API</t>
        </is>
      </c>
      <c r="I805" s="24" t="inlineStr">
        <is>
          <t>A list exists; a product of shop A on sale online</t>
        </is>
      </c>
      <c r="J805" s="24" t="inlineStr">
        <is>
          <t>1. Open the shop's page and find the product's card
2. Tap 'Add to list'
3. Pick the list in the sheet
4. Tap 'Open'
5. As a guest, open a shop's page</t>
        </is>
      </c>
      <c r="K805" s="24" t="inlineStr">
        <is>
          <t>The sheet 'Add to which list?' shows the customer's lists; picking one adds the product (201) with quantity 1 and the card says 'Added to "&lt;list&gt;"' with an Open link; the list shows the product x1. A guest's product cards show no 'Add to list'.</t>
        </is>
      </c>
      <c r="L805" s="24" t="inlineStr">
        <is>
          <t>docs/purchase-lists-2026-10/README.md (24 Oct 2026, PR #231)</t>
        </is>
      </c>
      <c r="M805" s="24" t="inlineStr">
        <is>
          <t>Pass</t>
        </is>
      </c>
      <c r="N805" s="24" t="inlineStr">
        <is>
          <t>Passed, partly covered. Local Pass (partial) · Staging Pass (partial) · Production Pass (partial)
local: not covered: the guest half only: the signed-in picker is checked in tests/qa/signed-in/purchase-lists.spec.ts ‖ blocked: needs 1 products of shop A on sale online with 5+ in stock (found 0)
staging: not covered: the guest half only: the signed-in picker is checked in tests/qa/signed-in/purchase-lists.spec.ts
production: not covered: the guest half only: the signed-in picker is checked in tests/qa/signed-in/purchase-lists.spec.ts</t>
        </is>
      </c>
      <c r="O805" s="24" t="n"/>
      <c r="P805" s="24" t="inlineStr">
        <is>
          <t>2026-10-29 13:59</t>
        </is>
      </c>
    </row>
    <row r="806">
      <c r="A806" s="24" t="inlineStr">
        <is>
          <t>TC-LIST-007</t>
        </is>
      </c>
      <c r="B806" s="24" t="inlineStr">
        <is>
          <t>Purchase lists</t>
        </is>
      </c>
      <c r="C806" s="24" t="inlineStr">
        <is>
          <t>PL-002</t>
        </is>
      </c>
      <c r="D806" s="24" t="inlineStr">
        <is>
          <t>Create &amp; add a new list from the product card's sheet</t>
        </is>
      </c>
      <c r="E806" s="24" t="inlineStr">
        <is>
          <t>Positive</t>
        </is>
      </c>
      <c r="F806" s="24" t="inlineStr">
        <is>
          <t>P1</t>
        </is>
      </c>
      <c r="G806" s="24" t="inlineStr">
        <is>
          <t>Customer</t>
        </is>
      </c>
      <c r="H806" s="24" t="inlineStr">
        <is>
          <t>UI+API</t>
        </is>
      </c>
      <c r="I806" s="24" t="inlineStr">
        <is>
          <t>A product of shop A on sale online</t>
        </is>
      </c>
      <c r="J806" s="24" t="inlineStr">
        <is>
          <t>1. Open the card's 'Add to list' sheet
2. Under 'Or start a new list' type a name and choose Medicines
3. Create &amp; add</t>
        </is>
      </c>
      <c r="K806" s="24" t="inlineStr">
        <is>
          <t>'Create &amp; add' stays disabled until a name is typed; a new MEDICINE list is made with the product x1 and the card says 'Added to "&lt;name&gt;"'.</t>
        </is>
      </c>
      <c r="L806" s="24" t="inlineStr">
        <is>
          <t>docs/purchase-lists-2026-10/README.md (24 Oct 2026, PR #231)</t>
        </is>
      </c>
      <c r="M806" s="24" t="inlineStr">
        <is>
          <t>Blocked</t>
        </is>
      </c>
      <c r="N806" s="24" t="inlineStr">
        <is>
          <t>Local Blocked · Staging Blocked · Production Not run
local: needs 1 products of shop A on sale online with 5+ in stock (found 0)
staging: needs 1 products of shop A on sale online with 5+ in stock (found 0)</t>
        </is>
      </c>
      <c r="O806" s="24" t="n"/>
      <c r="P806" s="24" t="inlineStr">
        <is>
          <t>2026-10-24 20:34</t>
        </is>
      </c>
    </row>
    <row r="807">
      <c r="A807" s="24" t="inlineStr">
        <is>
          <t>TC-LIST-008</t>
        </is>
      </c>
      <c r="B807" s="24" t="inlineStr">
        <is>
          <t>Purchase lists</t>
        </is>
      </c>
      <c r="C807" s="24" t="inlineStr">
        <is>
          <t>PL-002</t>
        </is>
      </c>
      <c r="D807" s="24" t="inlineStr">
        <is>
          <t>A product already on the list is left as it is ('Already on')</t>
        </is>
      </c>
      <c r="E807" s="24" t="inlineStr">
        <is>
          <t>Negative</t>
        </is>
      </c>
      <c r="F807" s="24" t="inlineStr">
        <is>
          <t>P1</t>
        </is>
      </c>
      <c r="G807" s="24" t="inlineStr">
        <is>
          <t>Customer</t>
        </is>
      </c>
      <c r="H807" s="24" t="inlineStr">
        <is>
          <t>UI+API</t>
        </is>
      </c>
      <c r="I807" s="24" t="inlineStr">
        <is>
          <t>The product is on the list x3 with a note</t>
        </is>
      </c>
      <c r="J807" s="24" t="inlineStr">
        <is>
          <t>1. Card -&gt; Add to list -&gt; pick that list
2. POST the same product again with quantity 7 and another note</t>
        </is>
      </c>
      <c r="K807" s="24" t="inlineStr">
        <is>
          <t>The card says 'Already on "&lt;list&gt;"' (200); the API answers 200 with alreadyOnList; the line keeps quantity 3 and its note; no second line.</t>
        </is>
      </c>
      <c r="L807" s="24" t="inlineStr">
        <is>
          <t>docs/purchase-lists-2026-10/README.md (24 Oct 2026, PR #231)</t>
        </is>
      </c>
      <c r="M807" s="24" t="inlineStr">
        <is>
          <t>Blocked</t>
        </is>
      </c>
      <c r="N807" s="24" t="inlineStr">
        <is>
          <t>Local Blocked · Staging Blocked · Production Not run
local: needs 1 products of shop A on sale online with 5+ in stock (found 0)
staging: needs 1 products of shop A on sale online with 5+ in stock (found 0)</t>
        </is>
      </c>
      <c r="O807" s="24" t="n"/>
      <c r="P807" s="24" t="inlineStr">
        <is>
          <t>2026-10-24 20:34</t>
        </is>
      </c>
    </row>
    <row r="808">
      <c r="A808" s="24" t="inlineStr">
        <is>
          <t>TC-LIST-009</t>
        </is>
      </c>
      <c r="B808" s="24" t="inlineStr">
        <is>
          <t>Purchase lists</t>
        </is>
      </c>
      <c r="C808" s="24" t="inlineStr">
        <is>
          <t>PL-002</t>
        </is>
      </c>
      <c r="D808" s="24" t="inlineStr">
        <is>
          <t>Only products customers can see can be added</t>
        </is>
      </c>
      <c r="E808" s="24" t="inlineStr">
        <is>
          <t>Security</t>
        </is>
      </c>
      <c r="F808" s="24" t="inlineStr">
        <is>
          <t>P1</t>
        </is>
      </c>
      <c r="G808" s="24" t="inlineStr">
        <is>
          <t>Customer</t>
        </is>
      </c>
      <c r="H808" s="24" t="inlineStr">
        <is>
          <t>API</t>
        </is>
      </c>
      <c r="I808" s="24" t="inlineStr">
        <is>
          <t>A list of the customer's</t>
        </is>
      </c>
      <c r="J808" s="24" t="inlineStr">
        <is>
          <t>1. POST …/items with a product id no listing has
2. POST …/items with a malformed id
3. Add an inactive listing, and a product of a shop that is not approved</t>
        </is>
      </c>
      <c r="K808" s="24" t="inlineStr">
        <is>
          <t>Unknown id -&gt; 404 'Product was not found'; malformed id -&gt; 422; an inactive listing or a product of a shop that is not approved -&gt; 404 too, so a list cannot reveal a hidden shop's products. Nothing is added.</t>
        </is>
      </c>
      <c r="L808" s="24" t="inlineStr">
        <is>
          <t>docs/purchase-lists-2026-10/README.md (24 Oct 2026, PR #231)</t>
        </is>
      </c>
      <c r="M808" s="24" t="inlineStr">
        <is>
          <t>Pass</t>
        </is>
      </c>
      <c r="N808" s="24" t="inlineStr">
        <is>
          <t>Passed, partly covered. Local Pass (partial) · Staging Pass (partial) · Production Not run
local: not covered: an inactive listing and a product of a shop that is not approved need seller data changed: covered by tests/integration/purchase-lists.test.ts
staging: not covered: an inactive listing and a product of a shop that is not approved need seller data changed: covered by tests/integration/purchase-lists.test.ts</t>
        </is>
      </c>
      <c r="O808" s="24" t="n"/>
      <c r="P808" s="24" t="inlineStr">
        <is>
          <t>2026-10-24 20:34</t>
        </is>
      </c>
    </row>
    <row r="809">
      <c r="A809" s="24" t="inlineStr">
        <is>
          <t>TC-LIST-010</t>
        </is>
      </c>
      <c r="B809" s="24" t="inlineStr">
        <is>
          <t>Purchase lists</t>
        </is>
      </c>
      <c r="C809" s="24" t="inlineStr">
        <is>
          <t>PL-002</t>
        </is>
      </c>
      <c r="D809" s="24" t="inlineStr">
        <is>
          <t>Quantities: stepper, typed value and skip (0)</t>
        </is>
      </c>
      <c r="E809" s="24" t="inlineStr">
        <is>
          <t>Positive</t>
        </is>
      </c>
      <c r="F809" s="24" t="inlineStr">
        <is>
          <t>P0</t>
        </is>
      </c>
      <c r="G809" s="24" t="inlineStr">
        <is>
          <t>Customer</t>
        </is>
      </c>
      <c r="H809" s="24" t="inlineStr">
        <is>
          <t>UI+API</t>
        </is>
      </c>
      <c r="I809" s="24" t="inlineStr">
        <is>
          <t>A list with products P and Q, x1 each</t>
        </is>
      </c>
      <c r="J809" s="24" t="inlineStr">
        <is>
          <t>1. Open the list; tap + on P, then type 5 in P's quantity and press Enter
2. Tap - on Q down to 0
3. Reload; open My lists</t>
        </is>
      </c>
      <c r="K809" s="24" t="inlineStr">
        <is>
          <t>P is saved at 2, then 5; Q at 0 shows 'Skipped this time', its - is disabled and it stays on the list; 'Products to order' reads 1 of 2; the estimate is today's price x quantity of P only. After a reload the values are kept; the list's card reads '2 products · 1 skipped this time'.</t>
        </is>
      </c>
      <c r="L809" s="24" t="inlineStr">
        <is>
          <t>docs/purchase-lists-2026-10/README.md (24 Oct 2026, PR #231)</t>
        </is>
      </c>
      <c r="M809" s="24" t="inlineStr">
        <is>
          <t>Blocked</t>
        </is>
      </c>
      <c r="N809" s="24" t="inlineStr">
        <is>
          <t>Local Blocked · Staging Blocked · Production Not run
local: needs 2 products of shop A on sale online with 10+ in stock (found 0)
staging: needs 2 products of shop A on sale online with 10+ in stock (found 0)</t>
        </is>
      </c>
      <c r="O809" s="24" t="n"/>
      <c r="P809" s="24" t="inlineStr">
        <is>
          <t>2026-10-24 21:52</t>
        </is>
      </c>
    </row>
    <row r="810">
      <c r="A810" s="24" t="inlineStr">
        <is>
          <t>TC-LIST-011</t>
        </is>
      </c>
      <c r="B810" s="24" t="inlineStr">
        <is>
          <t>Purchase lists</t>
        </is>
      </c>
      <c r="C810" s="24" t="inlineStr">
        <is>
          <t>PL-002</t>
        </is>
      </c>
      <c r="D810" s="24" t="inlineStr">
        <is>
          <t>Notes are saved; quantities 0-99 and notes up to 120 characters</t>
        </is>
      </c>
      <c r="E810" s="24" t="inlineStr">
        <is>
          <t>Boundary</t>
        </is>
      </c>
      <c r="F810" s="24" t="inlineStr">
        <is>
          <t>P1</t>
        </is>
      </c>
      <c r="G810" s="24" t="inlineStr">
        <is>
          <t>Customer</t>
        </is>
      </c>
      <c r="H810" s="24" t="inlineStr">
        <is>
          <t>UI+API</t>
        </is>
      </c>
      <c r="I810" s="24" t="inlineStr">
        <is>
          <t>A list with one product</t>
        </is>
      </c>
      <c r="J810" s="24" t="inlineStr">
        <is>
          <t>1. Type a note and leave the field; reload
2. PATCH the item with quantity 100, -1, 1.5 and with a 121-character note
3. PATCH quantity 99 and a 120-character note</t>
        </is>
      </c>
      <c r="K810" s="24" t="inlineStr">
        <is>
          <t>The note is saved when the field is left and kept after a reload; 100, -1, 1.5 and 121 characters are refused (422); 99 and 120 characters are accepted.</t>
        </is>
      </c>
      <c r="L810" s="24" t="inlineStr">
        <is>
          <t>docs/purchase-lists-2026-10/README.md (24 Oct 2026, PR #231)</t>
        </is>
      </c>
      <c r="M810" s="24" t="inlineStr">
        <is>
          <t>Blocked</t>
        </is>
      </c>
      <c r="N810" s="24" t="inlineStr">
        <is>
          <t>Local Blocked · Staging Blocked · Production Not run
local: needs 1 products of shop A on sale online with 5+ in stock (found 0)
staging: needs 1 products of shop A on sale online with 5+ in stock (found 0)</t>
        </is>
      </c>
      <c r="O810" s="24" t="n"/>
      <c r="P810" s="24" t="inlineStr">
        <is>
          <t>2026-10-24 20:34</t>
        </is>
      </c>
    </row>
    <row r="811">
      <c r="A811" s="24" t="inlineStr">
        <is>
          <t>TC-LIST-012</t>
        </is>
      </c>
      <c r="B811" s="24" t="inlineStr">
        <is>
          <t>Purchase lists</t>
        </is>
      </c>
      <c r="C811" s="24" t="inlineStr">
        <is>
          <t>PL-002</t>
        </is>
      </c>
      <c r="D811" s="24" t="inlineStr">
        <is>
          <t>Remove a product from a list</t>
        </is>
      </c>
      <c r="E811" s="24" t="inlineStr">
        <is>
          <t>Positive</t>
        </is>
      </c>
      <c r="F811" s="24" t="inlineStr">
        <is>
          <t>P1</t>
        </is>
      </c>
      <c r="G811" s="24" t="inlineStr">
        <is>
          <t>Customer</t>
        </is>
      </c>
      <c r="H811" s="24" t="inlineStr">
        <is>
          <t>UI+API</t>
        </is>
      </c>
      <c r="I811" s="24" t="inlineStr">
        <is>
          <t>A list with products P and Q</t>
        </is>
      </c>
      <c r="J811" s="24" t="inlineStr">
        <is>
          <t>1. Tap Remove on Q
2. Reload
3. DELETE the same item again</t>
        </is>
      </c>
      <c r="K811" s="24" t="inlineStr">
        <is>
          <t>Q's row disappears (204) and stays gone after a reload; P stays; removing it again answers 404.</t>
        </is>
      </c>
      <c r="L811" s="24" t="inlineStr">
        <is>
          <t>docs/purchase-lists-2026-10/README.md (24 Oct 2026, PR #231)</t>
        </is>
      </c>
      <c r="M811" s="24" t="inlineStr">
        <is>
          <t>Blocked</t>
        </is>
      </c>
      <c r="N811" s="24" t="inlineStr">
        <is>
          <t>Local Blocked · Staging Blocked · Production Not run
local: needs 2 products of shop A on sale online with 5+ in stock (found 0)
staging: needs 2 products of shop A on sale online with 5+ in stock (found 0)</t>
        </is>
      </c>
      <c r="O811" s="24" t="n"/>
      <c r="P811" s="24" t="inlineStr">
        <is>
          <t>2026-10-24 20:34</t>
        </is>
      </c>
    </row>
    <row r="812">
      <c r="A812" s="24" t="inlineStr">
        <is>
          <t>TC-LIST-013</t>
        </is>
      </c>
      <c r="B812" s="24" t="inlineStr">
        <is>
          <t>Purchase lists</t>
        </is>
      </c>
      <c r="C812" s="24" t="inlineStr">
        <is>
          <t>PL-003</t>
        </is>
      </c>
      <c r="D812" s="24" t="inlineStr">
        <is>
          <t>Check list shows the list priced like the cart</t>
        </is>
      </c>
      <c r="E812" s="24" t="inlineStr">
        <is>
          <t>Positive</t>
        </is>
      </c>
      <c r="F812" s="24" t="inlineStr">
        <is>
          <t>P0</t>
        </is>
      </c>
      <c r="G812" s="24" t="inlineStr">
        <is>
          <t>Customer</t>
        </is>
      </c>
      <c r="H812" s="24" t="inlineStr">
        <is>
          <t>UI+API</t>
        </is>
      </c>
      <c r="I812" s="24" t="inlineStr">
        <is>
          <t>Empty cart; a list with P x2 and Q x0</t>
        </is>
      </c>
      <c r="J812" s="24" t="inlineStr">
        <is>
          <t>1. Open the list and tap Check list
2. Read the dialog
3. Cancel</t>
        </is>
      </c>
      <c r="K812" s="24" t="inlineStr">
        <is>
          <t>'Confirm your order' shows, per shop: 'P x 2' at today's price, Subtotal, Delivery (amount or Free) and 'Total to pay' equal to the check API's grand total (subtotal + delivery); 'Skipped this time: Q'; no add / replace choice (the cart is empty); it says nothing is charged yet. Cancel closes it; the cart and the list are unchanged.</t>
        </is>
      </c>
      <c r="L812" s="24" t="inlineStr">
        <is>
          <t>docs/purchase-lists-2026-10/README.md (24 Oct 2026, PR #231)</t>
        </is>
      </c>
      <c r="M812" s="24" t="inlineStr">
        <is>
          <t>Blocked</t>
        </is>
      </c>
      <c r="N812" s="24" t="inlineStr">
        <is>
          <t>Local Blocked · Staging Blocked · Production Not run
local: needs 2 products of shop A on sale online with 5+ in stock (found 0)
staging: needs 2 products of shop A on sale online with 5+ in stock (found 0)</t>
        </is>
      </c>
      <c r="O812" s="24" t="n"/>
      <c r="P812" s="24" t="inlineStr">
        <is>
          <t>2026-10-24 21:52</t>
        </is>
      </c>
    </row>
    <row r="813">
      <c r="A813" s="24" t="inlineStr">
        <is>
          <t>TC-LIST-014</t>
        </is>
      </c>
      <c r="B813" s="24" t="inlineStr">
        <is>
          <t>Purchase lists</t>
        </is>
      </c>
      <c r="C813" s="24" t="inlineStr">
        <is>
          <t>PL-003</t>
        </is>
      </c>
      <c r="D813" s="24" t="inlineStr">
        <is>
          <t>Check list shows the lines that will be left out, with the reason</t>
        </is>
      </c>
      <c r="E813" s="24" t="inlineStr">
        <is>
          <t>Negative</t>
        </is>
      </c>
      <c r="F813" s="24" t="inlineStr">
        <is>
          <t>P1</t>
        </is>
      </c>
      <c r="G813" s="24" t="inlineStr">
        <is>
          <t>Customer</t>
        </is>
      </c>
      <c r="H813" s="24" t="inlineStr">
        <is>
          <t>UI+API</t>
        </is>
      </c>
      <c r="I813" s="24" t="inlineStr">
        <is>
          <t>A list with P x1 and L at more than L's stock</t>
        </is>
      </c>
      <c r="J813" s="24" t="inlineStr">
        <is>
          <t>1. Open the list
2. Tap Check list</t>
        </is>
      </c>
      <c r="K813" s="24" t="inlineStr">
        <is>
          <t>The list shows L with 'Only N left in stock.' and '1 product can't be ordered right now and will be left out.'; the dialog shows L's line with the reason and '—' for its price, the same warning, and a total of P alone; Confirm order stays available for P. ('No longer sold' and 'shop not accepting orders' read the same way.)</t>
        </is>
      </c>
      <c r="L813" s="24" t="inlineStr">
        <is>
          <t>docs/purchase-lists-2026-10/README.md (24 Oct 2026, PR #231)</t>
        </is>
      </c>
      <c r="M813" s="24" t="inlineStr">
        <is>
          <t>Blocked</t>
        </is>
      </c>
      <c r="N813" s="24" t="inlineStr">
        <is>
          <t>Local Blocked · Staging Blocked · Production Not run
local: needs 1 products of shop A on sale online with 5+ in stock (found 0)
staging: needs 1 products of shop A on sale online with 5+ in stock (found 0)</t>
        </is>
      </c>
      <c r="O813" s="24" t="n"/>
      <c r="P813" s="24" t="inlineStr">
        <is>
          <t>2026-10-24 20:34</t>
        </is>
      </c>
    </row>
    <row r="814">
      <c r="A814" s="24" t="inlineStr">
        <is>
          <t>TC-LIST-015</t>
        </is>
      </c>
      <c r="B814" s="24" t="inlineStr">
        <is>
          <t>Purchase lists</t>
        </is>
      </c>
      <c r="C814" s="24" t="inlineStr">
        <is>
          <t>PL-003</t>
        </is>
      </c>
      <c r="D814" s="24" t="inlineStr">
        <is>
          <t>Check with items already in the cart: add to them or replace the cart</t>
        </is>
      </c>
      <c r="E814" s="24" t="inlineStr">
        <is>
          <t>Positive</t>
        </is>
      </c>
      <c r="F814" s="24" t="inlineStr">
        <is>
          <t>P1</t>
        </is>
      </c>
      <c r="G814" s="24" t="inlineStr">
        <is>
          <t>Customer</t>
        </is>
      </c>
      <c r="H814" s="24" t="inlineStr">
        <is>
          <t>UI</t>
        </is>
      </c>
      <c r="I814" s="24" t="inlineStr">
        <is>
          <t>Cart holds 1 item; a list with P x1</t>
        </is>
      </c>
      <c r="J814" s="24" t="inlineStr">
        <is>
          <t>1. Tap Check list
2. Switch from 'Add this list to them' to 'Replace my cart with this list'
3. Cancel</t>
        </is>
      </c>
      <c r="K814" s="24" t="inlineStr">
        <is>
          <t>'Your cart already has 1 item' with the two choices, 'Add this list to them' chosen; the total reads 'Total for this list' with 'Plus what is already in your cart…'; on Replace it reads 'Total to pay' and the note goes. The cart is unchanged.</t>
        </is>
      </c>
      <c r="L814" s="24" t="inlineStr">
        <is>
          <t>docs/purchase-lists-2026-10/README.md (24 Oct 2026, PR #231)</t>
        </is>
      </c>
      <c r="M814" s="24" t="inlineStr">
        <is>
          <t>Blocked</t>
        </is>
      </c>
      <c r="N814" s="24" t="inlineStr">
        <is>
          <t>Local Blocked · Staging Blocked · Production Not run
local: needs 2 products of shop A on sale online with 5+ in stock (found 0)
staging: needs 2 products of shop A on sale online with 5+ in stock (found 0)</t>
        </is>
      </c>
      <c r="O814" s="24" t="n"/>
      <c r="P814" s="24" t="inlineStr">
        <is>
          <t>2026-10-24 20:34</t>
        </is>
      </c>
    </row>
    <row r="815">
      <c r="A815" s="24" t="inlineStr">
        <is>
          <t>TC-LIST-016</t>
        </is>
      </c>
      <c r="B815" s="24" t="inlineStr">
        <is>
          <t>Purchase lists</t>
        </is>
      </c>
      <c r="C815" s="24" t="inlineStr">
        <is>
          <t>PL-004</t>
        </is>
      </c>
      <c r="D815" s="24" t="inlineStr">
        <is>
          <t>Confirm order with an empty cart</t>
        </is>
      </c>
      <c r="E815" s="24" t="inlineStr">
        <is>
          <t>Positive</t>
        </is>
      </c>
      <c r="F815" s="24" t="inlineStr">
        <is>
          <t>P0</t>
        </is>
      </c>
      <c r="G815" s="24" t="inlineStr">
        <is>
          <t>Customer</t>
        </is>
      </c>
      <c r="H815" s="24" t="inlineStr">
        <is>
          <t>UI+API</t>
        </is>
      </c>
      <c r="I815" s="24" t="inlineStr">
        <is>
          <t>Empty cart; a weekly list with P x2 and Q x0</t>
        </is>
      </c>
      <c r="J815" s="24" t="inlineStr">
        <is>
          <t>1. Check list -&gt; Confirm order
2. Read the cart
3. Open the list again</t>
        </is>
      </c>
      <c r="K815" s="24" t="inlineStr">
        <is>
          <t>/cart opens holding P x2 only (the skipped Q is not added); the cart's total equals the checked total; the list shows 'Last ordered &lt;today&gt;' and is next due a week later. No order is placed and nothing is charged.</t>
        </is>
      </c>
      <c r="L815" s="24" t="inlineStr">
        <is>
          <t>docs/purchase-lists-2026-10/README.md (24 Oct 2026, PR #231)</t>
        </is>
      </c>
      <c r="M815" s="24" t="inlineStr">
        <is>
          <t>Blocked</t>
        </is>
      </c>
      <c r="N815" s="24" t="inlineStr">
        <is>
          <t>Local Blocked · Staging Blocked · Production Not run
local: needs 2 products of shop A on sale online with 5+ in stock (found 0)
staging: needs 2 products of shop A on sale online with 5+ in stock (found 0)</t>
        </is>
      </c>
      <c r="O815" s="24" t="n"/>
      <c r="P815" s="24" t="inlineStr">
        <is>
          <t>2026-10-24 21:52</t>
        </is>
      </c>
    </row>
    <row r="816">
      <c r="A816" s="24" t="inlineStr">
        <is>
          <t>TC-LIST-017</t>
        </is>
      </c>
      <c r="B816" s="24" t="inlineStr">
        <is>
          <t>Purchase lists</t>
        </is>
      </c>
      <c r="C816" s="24" t="inlineStr">
        <is>
          <t>PL-004</t>
        </is>
      </c>
      <c r="D816" s="24" t="inlineStr">
        <is>
          <t>Confirm order: add the list to a cart that has items</t>
        </is>
      </c>
      <c r="E816" s="24" t="inlineStr">
        <is>
          <t>Positive</t>
        </is>
      </c>
      <c r="F816" s="24" t="inlineStr">
        <is>
          <t>P0</t>
        </is>
      </c>
      <c r="G816" s="24" t="inlineStr">
        <is>
          <t>Customer</t>
        </is>
      </c>
      <c r="H816" s="24" t="inlineStr">
        <is>
          <t>UI+API</t>
        </is>
      </c>
      <c r="I816" s="24" t="inlineStr">
        <is>
          <t>Cart: Q x1 and P x1; a list with P x2</t>
        </is>
      </c>
      <c r="J816" s="24" t="inlineStr">
        <is>
          <t>1. Check list -&gt; keep 'Add this list to them' -&gt; Confirm order</t>
        </is>
      </c>
      <c r="K816" s="24" t="inlineStr">
        <is>
          <t>The order call reports P x2 added, nothing left out, 4 units in the cart; /cart opens with Q x1 kept and P x3.</t>
        </is>
      </c>
      <c r="L816" s="24" t="inlineStr">
        <is>
          <t>docs/purchase-lists-2026-10/README.md (24 Oct 2026, PR #231)</t>
        </is>
      </c>
      <c r="M816" s="24" t="inlineStr">
        <is>
          <t>Blocked</t>
        </is>
      </c>
      <c r="N816" s="24" t="inlineStr">
        <is>
          <t>Local Blocked · Staging Blocked · Production Not run
local: needs 2 products of shop A on sale online with 10+ in stock (found 0)
staging: needs 2 products of shop A on sale online with 10+ in stock (found 0)</t>
        </is>
      </c>
      <c r="O816" s="24" t="n"/>
      <c r="P816" s="24" t="inlineStr">
        <is>
          <t>2026-10-24 20:34</t>
        </is>
      </c>
    </row>
    <row r="817">
      <c r="A817" s="24" t="inlineStr">
        <is>
          <t>TC-LIST-018</t>
        </is>
      </c>
      <c r="B817" s="24" t="inlineStr">
        <is>
          <t>Purchase lists</t>
        </is>
      </c>
      <c r="C817" s="24" t="inlineStr">
        <is>
          <t>PL-004</t>
        </is>
      </c>
      <c r="D817" s="24" t="inlineStr">
        <is>
          <t>Confirm order: replace the cart with the list</t>
        </is>
      </c>
      <c r="E817" s="24" t="inlineStr">
        <is>
          <t>Positive</t>
        </is>
      </c>
      <c r="F817" s="24" t="inlineStr">
        <is>
          <t>P0</t>
        </is>
      </c>
      <c r="G817" s="24" t="inlineStr">
        <is>
          <t>Customer</t>
        </is>
      </c>
      <c r="H817" s="24" t="inlineStr">
        <is>
          <t>UI+API</t>
        </is>
      </c>
      <c r="I817" s="24" t="inlineStr">
        <is>
          <t>Cart: Q x1; a list with P x2</t>
        </is>
      </c>
      <c r="J817" s="24" t="inlineStr">
        <is>
          <t>1. Check list -&gt; 'Replace my cart with this list' -&gt; Confirm order</t>
        </is>
      </c>
      <c r="K817" s="24" t="inlineStr">
        <is>
          <t>/cart opens holding only P x2.</t>
        </is>
      </c>
      <c r="L817" s="24" t="inlineStr">
        <is>
          <t>docs/purchase-lists-2026-10/README.md (24 Oct 2026, PR #231)</t>
        </is>
      </c>
      <c r="M817" s="24" t="inlineStr">
        <is>
          <t>Blocked</t>
        </is>
      </c>
      <c r="N817" s="24" t="inlineStr">
        <is>
          <t>Local Blocked · Staging Blocked · Production Not run
local: needs 2 products of shop A on sale online with 5+ in stock (found 0)
staging: needs 2 products of shop A on sale online with 5+ in stock (found 0)</t>
        </is>
      </c>
      <c r="O817" s="24" t="n"/>
      <c r="P817" s="24" t="inlineStr">
        <is>
          <t>2026-10-24 20:34</t>
        </is>
      </c>
    </row>
    <row r="818">
      <c r="A818" s="24" t="inlineStr">
        <is>
          <t>TC-LIST-019</t>
        </is>
      </c>
      <c r="B818" s="24" t="inlineStr">
        <is>
          <t>Purchase lists</t>
        </is>
      </c>
      <c r="C818" s="24" t="inlineStr">
        <is>
          <t>PL-004</t>
        </is>
      </c>
      <c r="D818" s="24" t="inlineStr">
        <is>
          <t>Nothing to order is refused</t>
        </is>
      </c>
      <c r="E818" s="24" t="inlineStr">
        <is>
          <t>Negative</t>
        </is>
      </c>
      <c r="F818" s="24" t="inlineStr">
        <is>
          <t>P0</t>
        </is>
      </c>
      <c r="G818" s="24" t="inlineStr">
        <is>
          <t>Customer</t>
        </is>
      </c>
      <c r="H818" s="24" t="inlineStr">
        <is>
          <t>UI+API</t>
        </is>
      </c>
      <c r="I818" s="24" t="inlineStr">
        <is>
          <t>A list with every quantity 0; an empty list; cart: Q x1</t>
        </is>
      </c>
      <c r="J818" s="24" t="inlineStr">
        <is>
          <t>1. Open the all-skipped list
2. POST …/order with ADD and with REPLACE; REPLACE for the empty list</t>
        </is>
      </c>
      <c r="K818" s="24" t="inlineStr">
        <is>
          <t>Check list is disabled with 'Set a quantity above 0 for something to order.'; each send answers 422 'Nothing to order…'; the cart keeps Q x1; the list is not marked ordered.</t>
        </is>
      </c>
      <c r="L818" s="24" t="inlineStr">
        <is>
          <t>docs/purchase-lists-2026-10/README.md (24 Oct 2026, PR #231)</t>
        </is>
      </c>
      <c r="M818" s="24" t="inlineStr">
        <is>
          <t>Blocked</t>
        </is>
      </c>
      <c r="N818" s="24" t="inlineStr">
        <is>
          <t>Local Blocked · Staging Blocked · Production Not run
local: needs 2 products of shop A on sale online with 5+ in stock (found 0)
staging: needs 2 products of shop A on sale online with 5+ in stock (found 0)</t>
        </is>
      </c>
      <c r="O818" s="24" t="n"/>
      <c r="P818" s="24" t="inlineStr">
        <is>
          <t>2026-10-24 20:34</t>
        </is>
      </c>
    </row>
    <row r="819">
      <c r="A819" s="24" t="inlineStr">
        <is>
          <t>TC-LIST-020</t>
        </is>
      </c>
      <c r="B819" s="24" t="inlineStr">
        <is>
          <t>Purchase lists</t>
        </is>
      </c>
      <c r="C819" s="24" t="inlineStr">
        <is>
          <t>PL-004</t>
        </is>
      </c>
      <c r="D819" s="24" t="inlineStr">
        <is>
          <t>No line can go in: the cart is left exactly as it was</t>
        </is>
      </c>
      <c r="E819" s="24" t="inlineStr">
        <is>
          <t>Negative</t>
        </is>
      </c>
      <c r="F819" s="24" t="inlineStr">
        <is>
          <t>P1</t>
        </is>
      </c>
      <c r="G819" s="24" t="inlineStr">
        <is>
          <t>Customer</t>
        </is>
      </c>
      <c r="H819" s="24" t="inlineStr">
        <is>
          <t>UI+API</t>
        </is>
      </c>
      <c r="I819" s="24" t="inlineStr">
        <is>
          <t>(a) Cart: R x99; a list with R x1. (b) Cart: Q x1; a list with only L, above L's stock</t>
        </is>
      </c>
      <c r="J819" s="24" t="inlineStr">
        <is>
          <t>(a) Check list -&gt; Confirm order
(b) Check list; POST …/order with REPLACE</t>
        </is>
      </c>
      <c r="K819" s="24" t="inlineStr">
        <is>
          <t>(a) 'Nothing could be added', 'Your cart was not changed', Left out: 'R — Your cart already has 99 — the most one line can hold.', no 'Go to checkout'; the cart still holds R x99; the list is not marked ordered. (b) Confirm order is disabled; REPLACE answers 200 with nothing added and L left out ('Only N left in stock.'); the cart still holds Q x1 (REPLACE never empties a cart for nothing).</t>
        </is>
      </c>
      <c r="L819" s="24" t="inlineStr">
        <is>
          <t>docs/purchase-lists-2026-10/README.md (24 Oct 2026, PR #231)</t>
        </is>
      </c>
      <c r="M819" s="24" t="inlineStr">
        <is>
          <t>Blocked</t>
        </is>
      </c>
      <c r="N819" s="24" t="inlineStr">
        <is>
          <t>Local Blocked · Staging Blocked · Production Not run
local: needs a product of shop A with stock not tracked or 100+ in stock (a cart line at the 99 cap) ‖ needs 1 products of shop A on sale online with 5+ in stock (found 0)
staging: needs a product of shop A with stock not tracked or 100+ in stock (a cart line at the 99 cap) ‖ needs 1 products of shop A on sale online with 5+ in stock (found 0)</t>
        </is>
      </c>
      <c r="O819" s="24" t="n"/>
      <c r="P819" s="24" t="inlineStr">
        <is>
          <t>2026-10-24 20:34</t>
        </is>
      </c>
    </row>
    <row r="820">
      <c r="A820" s="24" t="inlineStr">
        <is>
          <t>TC-LIST-021</t>
        </is>
      </c>
      <c r="B820" s="24" t="inlineStr">
        <is>
          <t>Purchase lists</t>
        </is>
      </c>
      <c r="C820" s="24" t="inlineStr">
        <is>
          <t>PL-005</t>
        </is>
      </c>
      <c r="D820" s="24" t="inlineStr">
        <is>
          <t>Save the cart as a new list</t>
        </is>
      </c>
      <c r="E820" s="24" t="inlineStr">
        <is>
          <t>Positive</t>
        </is>
      </c>
      <c r="F820" s="24" t="inlineStr">
        <is>
          <t>P1</t>
        </is>
      </c>
      <c r="G820" s="24" t="inlineStr">
        <is>
          <t>Customer</t>
        </is>
      </c>
      <c r="H820" s="24" t="inlineStr">
        <is>
          <t>UI+API</t>
        </is>
      </c>
      <c r="I820" s="24" t="inlineStr">
        <is>
          <t>Cart: P x2 and Q x1</t>
        </is>
      </c>
      <c r="J820" s="24" t="inlineStr">
        <is>
          <t>1. /cart -&gt; 'Save as a list'
2. A new list: Shopping list, a name, Weekly -&gt; Save list
3. Open 'Save as a list' again</t>
        </is>
      </c>
      <c r="K820" s="24" t="inlineStr">
        <is>
          <t>'Saved to "&lt;name&gt;".' with 'Open the list'; the list is SHOPPING / WEEKLY with P x2 and Q x1; the cart is unchanged; the new list is offered, and chosen, in 'Save to' without a reload.</t>
        </is>
      </c>
      <c r="L820" s="24" t="inlineStr">
        <is>
          <t>docs/purchase-lists-2026-10/README.md (24 Oct 2026, PR #231)</t>
        </is>
      </c>
      <c r="M820" s="24" t="inlineStr">
        <is>
          <t>Blocked</t>
        </is>
      </c>
      <c r="N820" s="24" t="inlineStr">
        <is>
          <t>Local Blocked · Staging Blocked · Production Not run
local: needs 2 products of shop A on sale online with 5+ in stock (found 0)
staging: needs 2 products of shop A on sale online with 5+ in stock (found 0)</t>
        </is>
      </c>
      <c r="O820" s="24" t="inlineStr">
        <is>
          <t>D-102</t>
        </is>
      </c>
      <c r="P820" s="24" t="inlineStr">
        <is>
          <t>2026-10-24 21:53</t>
        </is>
      </c>
    </row>
    <row r="821">
      <c r="A821" s="24" t="inlineStr">
        <is>
          <t>TC-LIST-022</t>
        </is>
      </c>
      <c r="B821" s="24" t="inlineStr">
        <is>
          <t>Purchase lists</t>
        </is>
      </c>
      <c r="C821" s="24" t="inlineStr">
        <is>
          <t>PL-005</t>
        </is>
      </c>
      <c r="D821" s="24" t="inlineStr">
        <is>
          <t>Save the cart into an existing list</t>
        </is>
      </c>
      <c r="E821" s="24" t="inlineStr">
        <is>
          <t>Positive</t>
        </is>
      </c>
      <c r="F821" s="24" t="inlineStr">
        <is>
          <t>P1</t>
        </is>
      </c>
      <c r="G821" s="24" t="inlineStr">
        <is>
          <t>Customer</t>
        </is>
      </c>
      <c r="H821" s="24" t="inlineStr">
        <is>
          <t>UI+API</t>
        </is>
      </c>
      <c r="I821" s="24" t="inlineStr">
        <is>
          <t>A list with P x5 (and T x3); cart: P x2 and Q x1</t>
        </is>
      </c>
      <c r="J821" s="24" t="inlineStr">
        <is>
          <t>1. /cart -&gt; Save as a list -&gt; Save to: that list -&gt; Save list
2. Empty the cart and save it into the list again (API)</t>
        </is>
      </c>
      <c r="K821" s="24" t="inlineStr">
        <is>
          <t>'Products already on that list take the quantity in your cart.' is shown; the list becomes P x2, Q x1 (T x3 kept); saving an empty cart answers 422 'Your cart is empty'.</t>
        </is>
      </c>
      <c r="L821" s="24" t="inlineStr">
        <is>
          <t>docs/purchase-lists-2026-10/README.md (24 Oct 2026, PR #231)</t>
        </is>
      </c>
      <c r="M821" s="24" t="inlineStr">
        <is>
          <t>Blocked</t>
        </is>
      </c>
      <c r="N821" s="24" t="inlineStr">
        <is>
          <t>Local Blocked · Staging Blocked · Production Not run
local: needs 2 products of shop A on sale online with 5+ in stock (found 0)
staging: needs 2 products of shop A on sale online with 5+ in stock (found 0)</t>
        </is>
      </c>
      <c r="O821" s="24" t="n"/>
      <c r="P821" s="24" t="inlineStr">
        <is>
          <t>2026-10-24 20:34</t>
        </is>
      </c>
    </row>
    <row r="822">
      <c r="A822" s="24" t="inlineStr">
        <is>
          <t>TC-LIST-023</t>
        </is>
      </c>
      <c r="B822" s="24" t="inlineStr">
        <is>
          <t>Purchase lists</t>
        </is>
      </c>
      <c r="C822" s="24" t="inlineStr">
        <is>
          <t>PL-001</t>
        </is>
      </c>
      <c r="D822" s="24" t="inlineStr">
        <is>
          <t>Edit a list's name, type, frequency and reminder</t>
        </is>
      </c>
      <c r="E822" s="24" t="inlineStr">
        <is>
          <t>Positive</t>
        </is>
      </c>
      <c r="F822" s="24" t="inlineStr">
        <is>
          <t>P1</t>
        </is>
      </c>
      <c r="G822" s="24" t="inlineStr">
        <is>
          <t>Customer</t>
        </is>
      </c>
      <c r="H822" s="24" t="inlineStr">
        <is>
          <t>UI+API</t>
        </is>
      </c>
      <c r="I822" s="24" t="inlineStr">
        <is>
          <t>A shopping, monthly list; another list named Y</t>
        </is>
      </c>
      <c r="J822" s="24" t="inlineStr">
        <is>
          <t>1. Edit list -&gt; rename to Y (other case) -&gt; Save
2. Rename to a new name, choose Medicines, Weekly, untick the reminder -&gt; Save
3. Go back to My lists</t>
        </is>
      </c>
      <c r="K822" s="24" t="inlineStr">
        <is>
          <t>Y is refused ('You already have a list called …'); then the header shows the new name and 'Medicines · Weekly · … · Reminder off', next due a week after it was made; the card moves to 'Medicine lists'.</t>
        </is>
      </c>
      <c r="L822" s="24" t="inlineStr">
        <is>
          <t>docs/purchase-lists-2026-10/README.md (24 Oct 2026, PR #231)</t>
        </is>
      </c>
      <c r="M822" s="24" t="inlineStr">
        <is>
          <t>Pass</t>
        </is>
      </c>
      <c r="N822" s="24" t="inlineStr">
        <is>
          <t>Local Pass · Staging Pass · Production Not run
local: taken name refused ("You already have a list called…"); renamed to "QA PL mvmnbvbx Edited meds", MEDICINE, WEEKLY, reminder off; next due +7 d; card moved to Medicine lists
staging: taken name refused ("You already have a list called…"); renamed to "QA PL mvmudh9v Edited meds", MEDICINE, WEEKLY, reminder off; next due +7 d; card moved to Medicine lists</t>
        </is>
      </c>
      <c r="O822" s="24" t="n"/>
      <c r="P822" s="24" t="inlineStr">
        <is>
          <t>2026-10-24 20:35</t>
        </is>
      </c>
    </row>
    <row r="823">
      <c r="A823" s="24" t="inlineStr">
        <is>
          <t>TC-LIST-024</t>
        </is>
      </c>
      <c r="B823" s="24" t="inlineStr">
        <is>
          <t>Purchase lists</t>
        </is>
      </c>
      <c r="C823" s="24" t="inlineStr">
        <is>
          <t>PL-001</t>
        </is>
      </c>
      <c r="D823" s="24" t="inlineStr">
        <is>
          <t>Delete a list</t>
        </is>
      </c>
      <c r="E823" s="24" t="inlineStr">
        <is>
          <t>Positive</t>
        </is>
      </c>
      <c r="F823" s="24" t="inlineStr">
        <is>
          <t>P1</t>
        </is>
      </c>
      <c r="G823" s="24" t="inlineStr">
        <is>
          <t>Customer</t>
        </is>
      </c>
      <c r="H823" s="24" t="inlineStr">
        <is>
          <t>UI+API</t>
        </is>
      </c>
      <c r="I823" s="24" t="inlineStr">
        <is>
          <t>A list with a product</t>
        </is>
      </c>
      <c r="J823" s="24" t="inlineStr">
        <is>
          <t>1. Edit list -&gt; Delete list -&gt; 'Yes, delete list'</t>
        </is>
      </c>
      <c r="K823" s="24" t="inlineStr">
        <is>
          <t>It asks 'Delete this list?' once; then My lists opens without it; its page and its API answer 404.</t>
        </is>
      </c>
      <c r="L823" s="24" t="inlineStr">
        <is>
          <t>docs/purchase-lists-2026-10/README.md (24 Oct 2026, PR #231)</t>
        </is>
      </c>
      <c r="M823" s="24" t="inlineStr">
        <is>
          <t>Blocked</t>
        </is>
      </c>
      <c r="N823" s="24" t="inlineStr">
        <is>
          <t>Local Blocked · Staging Blocked · Production Not run
local: needs 1 products of shop A on sale online with 5+ in stock (found 0)
staging: needs 1 products of shop A on sale online with 5+ in stock (found 0)</t>
        </is>
      </c>
      <c r="O823" s="24" t="n"/>
      <c r="P823" s="24" t="inlineStr">
        <is>
          <t>2026-10-24 20:35</t>
        </is>
      </c>
    </row>
    <row r="824">
      <c r="A824" s="24" t="inlineStr">
        <is>
          <t>TC-LIST-025</t>
        </is>
      </c>
      <c r="B824" s="24" t="inlineStr">
        <is>
          <t>Purchase lists</t>
        </is>
      </c>
      <c r="C824" s="24" t="inlineStr">
        <is>
          <t>PL-001</t>
        </is>
      </c>
      <c r="D824" s="24" t="inlineStr">
        <is>
          <t>Another customer's list is not found</t>
        </is>
      </c>
      <c r="E824" s="24" t="inlineStr">
        <is>
          <t>Security</t>
        </is>
      </c>
      <c r="F824" s="24" t="inlineStr">
        <is>
          <t>P0</t>
        </is>
      </c>
      <c r="G824" s="24" t="inlineStr">
        <is>
          <t>Customer</t>
        </is>
      </c>
      <c r="H824" s="24" t="inlineStr">
        <is>
          <t>UI+API</t>
        </is>
      </c>
      <c r="I824" s="24" t="inlineStr">
        <is>
          <t>Customer 1's list with a product; customer 2 signed in</t>
        </is>
      </c>
      <c r="J824" s="24" t="inlineStr">
        <is>
          <t>1. As customer 2: GET, PATCH and DELETE the list; POST, PATCH and DELETE its items; GET its check; POST its order
2. Open /lists/&lt;id&gt; and /lists/not-a-list-id</t>
        </is>
      </c>
      <c r="K824" s="24" t="inlineStr">
        <is>
          <t>Every call answers 404 (never 403); both pages answer 404; the list is not among customer 2's lists; customer 1's list is unchanged.</t>
        </is>
      </c>
      <c r="L824" s="24" t="inlineStr">
        <is>
          <t>docs/purchase-lists-2026-10/README.md (24 Oct 2026, PR #231)</t>
        </is>
      </c>
      <c r="M824" s="24" t="inlineStr">
        <is>
          <t>Blocked</t>
        </is>
      </c>
      <c r="N824" s="24" t="inlineStr">
        <is>
          <t>Local Blocked · Staging Blocked · Production Not run
local: needs 1 products of shop A on sale online with 5+ in stock (found 0)
staging: needs 1 products of shop A on sale online with 5+ in stock (found 0)</t>
        </is>
      </c>
      <c r="O824" s="24" t="n"/>
      <c r="P824" s="24" t="inlineStr">
        <is>
          <t>2026-10-24 20:35</t>
        </is>
      </c>
    </row>
    <row r="825">
      <c r="A825" s="24" t="inlineStr">
        <is>
          <t>TC-LIST-026</t>
        </is>
      </c>
      <c r="B825" s="24" t="inlineStr">
        <is>
          <t>Purchase lists</t>
        </is>
      </c>
      <c r="C825" s="24" t="inlineStr">
        <is>
          <t>PL-006</t>
        </is>
      </c>
      <c r="D825" s="24" t="inlineStr">
        <is>
          <t>Ways into My lists</t>
        </is>
      </c>
      <c r="E825" s="24" t="inlineStr">
        <is>
          <t>Positive</t>
        </is>
      </c>
      <c r="F825" s="24" t="inlineStr">
        <is>
          <t>P1</t>
        </is>
      </c>
      <c r="G825" s="24" t="inlineStr">
        <is>
          <t>Customer</t>
        </is>
      </c>
      <c r="H825" s="24" t="inlineStr">
        <is>
          <t>UI</t>
        </is>
      </c>
      <c r="I825" s="24" t="inlineStr">
        <is>
          <t>Customer signed in</t>
        </is>
      </c>
      <c r="J825" s="24" t="inlineStr">
        <is>
          <t>1. Account menu -&gt; My lists
2. Home: the Orders menu -&gt; My lists (account dropdown on wide screens, the menu drawer on phones; the Orders tile on the Tile Board home)
3. /orders -&gt; the 'My lists' tab</t>
        </is>
      </c>
      <c r="K825" s="24" t="inlineStr">
        <is>
          <t>Each opens My lists (/lists).</t>
        </is>
      </c>
      <c r="L825" s="24" t="inlineStr">
        <is>
          <t>docs/purchase-lists-2026-10/README.md (24 Oct 2026, PR #231)</t>
        </is>
      </c>
      <c r="M825" s="24" t="inlineStr">
        <is>
          <t>Pass</t>
        </is>
      </c>
      <c r="N825" s="24" t="inlineStr">
        <is>
          <t>Local Pass · Staging Pass · Production Not run
local: account menu; account dropdown → Orders → My lists; /orders tab → /lists ‖ [phone] account menu; phone drawer → Orders → My lists; /orders tab → /lists
staging: account menu; account dropdown → Orders → My lists; /orders tab → /lists ‖ [phone] account menu; phone drawer → Orders → My lists; /orders tab → /lists</t>
        </is>
      </c>
      <c r="O825" s="24" t="n"/>
      <c r="P825" s="24" t="inlineStr">
        <is>
          <t>2026-10-24 21:53</t>
        </is>
      </c>
    </row>
    <row r="826">
      <c r="A826" s="24" t="inlineStr">
        <is>
          <t>TC-LIST-027</t>
        </is>
      </c>
      <c r="B826" s="24" t="inlineStr">
        <is>
          <t>Purchase lists</t>
        </is>
      </c>
      <c r="C826" s="24" t="inlineStr">
        <is>
          <t>PL-006</t>
        </is>
      </c>
      <c r="D826" s="24" t="inlineStr">
        <is>
          <t>Phone layout of the lists and the Add to list sheet</t>
        </is>
      </c>
      <c r="E826" s="24" t="inlineStr">
        <is>
          <t>Positive</t>
        </is>
      </c>
      <c r="F826" s="24" t="inlineStr">
        <is>
          <t>P1</t>
        </is>
      </c>
      <c r="G826" s="24" t="inlineStr">
        <is>
          <t>Customer</t>
        </is>
      </c>
      <c r="H826" s="24" t="inlineStr">
        <is>
          <t>UI</t>
        </is>
      </c>
      <c r="I826" s="24" t="inlineStr">
        <is>
          <t>Phone (Pixel 7, 412 px); a list with a long name and one product</t>
        </is>
      </c>
      <c r="J826" s="24" t="inlineStr">
        <is>
          <t>1. Open My lists, the list and its Check list dialog
2. On the shop's page open a card's Add to list sheet</t>
        </is>
      </c>
      <c r="K826" s="24" t="inlineStr">
        <is>
          <t>No sideways scroll on any of them; the Check list bar sits above the items; Confirm order can be reached; the sheet spans the screen's width, shows the long list name in full, with 44 px tap targets and the new-list field reachable. (Wide screens: no bar, Check list in the side panel.)</t>
        </is>
      </c>
      <c r="L826" s="24" t="inlineStr">
        <is>
          <t>docs/purchase-lists-2026-10/README.md (24 Oct 2026, PR #231)</t>
        </is>
      </c>
      <c r="M826" s="24" t="inlineStr">
        <is>
          <t>Blocked</t>
        </is>
      </c>
      <c r="N826" s="24" t="inlineStr">
        <is>
          <t>Local Blocked · Staging Blocked · Production Not run
local: needs 1 products of shop A on sale online with 5+ in stock (found 0)
staging: needs 1 products of shop A on sale online with 5+ in stock (found 0)</t>
        </is>
      </c>
      <c r="O826" s="24" t="n"/>
      <c r="P826" s="24" t="inlineStr">
        <is>
          <t>2026-10-24 21:53</t>
        </is>
      </c>
    </row>
    <row r="827">
      <c r="A827" s="24" t="inlineStr">
        <is>
          <t>TC-LIST-028</t>
        </is>
      </c>
      <c r="B827" s="24" t="inlineStr">
        <is>
          <t>Purchase lists</t>
        </is>
      </c>
      <c r="C827" s="24" t="inlineStr">
        <is>
          <t>PL-007</t>
        </is>
      </c>
      <c r="D827" s="24" t="inlineStr">
        <is>
          <t>Reminder when a list is due again</t>
        </is>
      </c>
      <c r="E827" s="24" t="inlineStr">
        <is>
          <t>Positive</t>
        </is>
      </c>
      <c r="F827" s="24" t="inlineStr">
        <is>
          <t>P2</t>
        </is>
      </c>
      <c r="G827" s="24" t="inlineStr">
        <is>
          <t>System</t>
        </is>
      </c>
      <c r="H827" s="24" t="inlineStr">
        <is>
          <t>DB</t>
        </is>
      </c>
      <c r="I827" s="24" t="inlineStr">
        <is>
          <t>A list with something to order, reminder on, last ordered a week (weekly) or a month (monthly) ago</t>
        </is>
      </c>
      <c r="J827" s="24" t="inlineStr">
        <is>
          <t>1. Run the daily purchase-list-reminders job (05:00 IST)
2. Run it again</t>
        </is>
      </c>
      <c r="K827" s="24" t="inlineStr">
        <is>
          <t>One in-app 'Time to reorder: &lt;list&gt;' notification linking to the list, once per due date; none for a list with the reminder off, with nothing to order, or for an account that is not active.</t>
        </is>
      </c>
      <c r="L827" s="24" t="inlineStr">
        <is>
          <t>docs/purchase-lists-2026-10/README.md (24 Oct 2026, PR #231)</t>
        </is>
      </c>
      <c r="M827" s="24" t="inlineStr">
        <is>
          <t>Blocked</t>
        </is>
      </c>
      <c r="N827" s="24" t="inlineStr">
        <is>
          <t>Manual (not automatable): Local Manual · Staging Manual · Production Not run
local: not automated: time-based: needs a list last ordered a week / a month ago and the 05:00 IST cron run (purchase-list-reminders) — local tier with the database; covered by tests/integration/purchase-lists.test.ts
staging: not automated: time-based: needs a list last ordered a week / a month ago and the 05:00 IST cron run (purchase-list-reminders) — local tier with the database; covered by tests/integration/purchase-lists.test.ts</t>
        </is>
      </c>
      <c r="O827" s="24" t="n"/>
      <c r="P827" s="24" t="inlineStr">
        <is>
          <t>2026-10-24 20:35</t>
        </is>
      </c>
    </row>
    <row r="828">
      <c r="A828" s="24" t="inlineStr">
        <is>
          <t>TC-APP-001</t>
        </is>
      </c>
      <c r="B828" s="24" t="inlineStr">
        <is>
          <t>App install &amp; updates</t>
        </is>
      </c>
      <c r="C828" s="24" t="inlineStr">
        <is>
          <t>AI-001</t>
        </is>
      </c>
      <c r="D828" s="24" t="inlineStr">
        <is>
          <t>First visit on an Android phone shows the install prompt</t>
        </is>
      </c>
      <c r="E828" s="24" t="inlineStr">
        <is>
          <t>Positive</t>
        </is>
      </c>
      <c r="F828" s="24" t="inlineStr">
        <is>
          <t>P0</t>
        </is>
      </c>
      <c r="G828" s="24" t="inlineStr">
        <is>
          <t>Guest</t>
        </is>
      </c>
      <c r="H828" s="24" t="inlineStr">
        <is>
          <t>UI</t>
        </is>
      </c>
      <c r="I828" s="24" t="inlineStr">
        <is>
          <t>Android phone browser, app not installed, fresh browser storage</t>
        </is>
      </c>
      <c r="J828" s="24" t="inlineStr">
        <is>
          <t>1. Open the home page</t>
        </is>
      </c>
      <c r="K828" s="24" t="inlineStr">
        <is>
          <t>A bottom sheet 'Get the GoKesari app' with Install and Not now appears without a backdrop; the page behind stays usable.</t>
        </is>
      </c>
      <c r="L828" s="24" t="inlineStr">
        <is>
          <t>docs/app-install-2026-10/README.md (31 Oct 2026)</t>
        </is>
      </c>
      <c r="M828" s="24" t="inlineStr">
        <is>
          <t>Not run</t>
        </is>
      </c>
      <c r="N828" s="24" t="n"/>
      <c r="O828" s="24" t="n"/>
      <c r="P828" s="24" t="n"/>
    </row>
    <row r="829">
      <c r="A829" s="24" t="inlineStr">
        <is>
          <t>TC-APP-002</t>
        </is>
      </c>
      <c r="B829" s="24" t="inlineStr">
        <is>
          <t>App install &amp; updates</t>
        </is>
      </c>
      <c r="C829" s="24" t="inlineStr">
        <is>
          <t>AI-001</t>
        </is>
      </c>
      <c r="D829" s="24" t="inlineStr">
        <is>
          <t>Not now hides the prompt for this page view only</t>
        </is>
      </c>
      <c r="E829" s="24" t="inlineStr">
        <is>
          <t>Positive</t>
        </is>
      </c>
      <c r="F829" s="24" t="inlineStr">
        <is>
          <t>P0</t>
        </is>
      </c>
      <c r="G829" s="24" t="inlineStr">
        <is>
          <t>Guest</t>
        </is>
      </c>
      <c r="H829" s="24" t="inlineStr">
        <is>
          <t>UI</t>
        </is>
      </c>
      <c r="I829" s="24" t="inlineStr">
        <is>
          <t>TC-APP-001 shown</t>
        </is>
      </c>
      <c r="J829" s="24" t="inlineStr">
        <is>
          <t>1. Tap Not now\n2. Read localStorage gk_app_install_declines</t>
        </is>
      </c>
      <c r="K829" s="24" t="inlineStr">
        <is>
          <t>The sheet closes; the decline is counted (count 1) but no flag that stops prompting is stored.</t>
        </is>
      </c>
      <c r="L829" s="24" t="inlineStr">
        <is>
          <t>docs/app-install-2026-10/README.md (31 Oct 2026)</t>
        </is>
      </c>
      <c r="M829" s="24" t="inlineStr">
        <is>
          <t>Not run</t>
        </is>
      </c>
      <c r="N829" s="24" t="n"/>
      <c r="O829" s="24" t="n"/>
      <c r="P829" s="24" t="n"/>
    </row>
    <row r="830">
      <c r="A830" s="24" t="inlineStr">
        <is>
          <t>TC-APP-003</t>
        </is>
      </c>
      <c r="B830" s="24" t="inlineStr">
        <is>
          <t>App install &amp; updates</t>
        </is>
      </c>
      <c r="C830" s="24" t="inlineStr">
        <is>
          <t>AI-001</t>
        </is>
      </c>
      <c r="D830" s="24" t="inlineStr">
        <is>
          <t>After declining, the prompt shows again on visits 2 and 3</t>
        </is>
      </c>
      <c r="E830" s="24" t="inlineStr">
        <is>
          <t>Positive</t>
        </is>
      </c>
      <c r="F830" s="24" t="inlineStr">
        <is>
          <t>P0</t>
        </is>
      </c>
      <c r="G830" s="24" t="inlineStr">
        <is>
          <t>Guest</t>
        </is>
      </c>
      <c r="H830" s="24" t="inlineStr">
        <is>
          <t>UI</t>
        </is>
      </c>
      <c r="I830" s="24" t="inlineStr">
        <is>
          <t>Declined once (TC-APP-002)</t>
        </is>
      </c>
      <c r="J830" s="24" t="inlineStr">
        <is>
          <t>1. Open another page (full load) - visit 2\n2. Tap Not now\n3. Open the home page again - visit 3</t>
        </is>
      </c>
      <c r="K830" s="24" t="inlineStr">
        <is>
          <t>The prompt is shown on visit 2 and on visit 3; the decline count rises to 2. Declining never suppresses it.</t>
        </is>
      </c>
      <c r="L830" s="24" t="inlineStr">
        <is>
          <t>docs/app-install-2026-10/README.md (31 Oct 2026)</t>
        </is>
      </c>
      <c r="M830" s="24" t="inlineStr">
        <is>
          <t>Not run</t>
        </is>
      </c>
      <c r="N830" s="24" t="n"/>
      <c r="O830" s="24" t="n"/>
      <c r="P830" s="24" t="n"/>
    </row>
    <row r="831">
      <c r="A831" s="24" t="inlineStr">
        <is>
          <t>TC-APP-004</t>
        </is>
      </c>
      <c r="B831" s="24" t="inlineStr">
        <is>
          <t>App install &amp; updates</t>
        </is>
      </c>
      <c r="C831" s="24" t="inlineStr">
        <is>
          <t>AI-002</t>
        </is>
      </c>
      <c r="D831" s="24" t="inlineStr">
        <is>
          <t>Install from Chrome's own dialog; no prompt after install</t>
        </is>
      </c>
      <c r="E831" s="24" t="inlineStr">
        <is>
          <t>Positive</t>
        </is>
      </c>
      <c r="F831" s="24" t="inlineStr">
        <is>
          <t>P0</t>
        </is>
      </c>
      <c r="G831" s="24" t="inlineStr">
        <is>
          <t>Guest</t>
        </is>
      </c>
      <c r="H831" s="24" t="inlineStr">
        <is>
          <t>UI</t>
        </is>
      </c>
      <c r="I831" s="24" t="inlineStr">
        <is>
          <t>Android Chrome fires beforeinstallprompt</t>
        </is>
      </c>
      <c r="J831" s="24" t="inlineStr">
        <is>
          <t>1. Tap Install\n2. Accept Chrome's dialog (appinstalled)\n3. Reload</t>
        </is>
      </c>
      <c r="K831" s="24" t="inlineStr">
        <is>
          <t>Chrome's install dialog opens from the button (its own mini-bar is suppressed); after install the sheet is gone and does not return on reload (gk_app_installed set).</t>
        </is>
      </c>
      <c r="L831" s="24" t="inlineStr">
        <is>
          <t>docs/app-install-2026-10/README.md (31 Oct 2026)</t>
        </is>
      </c>
      <c r="M831" s="24" t="inlineStr">
        <is>
          <t>Not run</t>
        </is>
      </c>
      <c r="N831" s="24" t="n"/>
      <c r="O831" s="24" t="n"/>
      <c r="P831" s="24" t="n"/>
    </row>
    <row r="832">
      <c r="A832" s="24" t="inlineStr">
        <is>
          <t>TC-APP-005</t>
        </is>
      </c>
      <c r="B832" s="24" t="inlineStr">
        <is>
          <t>App install &amp; updates</t>
        </is>
      </c>
      <c r="C832" s="24" t="inlineStr">
        <is>
          <t>AI-002</t>
        </is>
      </c>
      <c r="D832" s="24" t="inlineStr">
        <is>
          <t>Installed app (standalone, installed flag, related app) never shows the prompt</t>
        </is>
      </c>
      <c r="E832" s="24" t="inlineStr">
        <is>
          <t>Positive</t>
        </is>
      </c>
      <c r="F832" s="24" t="inlineStr">
        <is>
          <t>P0</t>
        </is>
      </c>
      <c r="G832" s="24" t="inlineStr">
        <is>
          <t>Guest</t>
        </is>
      </c>
      <c r="H832" s="24" t="inlineStr">
        <is>
          <t>UI</t>
        </is>
      </c>
      <c r="I832" s="24" t="inlineStr">
        <is>
          <t>App installed on this device</t>
        </is>
      </c>
      <c r="J832" s="24" t="inlineStr">
        <is>
          <t>1. Open the site from the installed app / with the installed flag set</t>
        </is>
      </c>
      <c r="K832" s="24" t="inlineStr">
        <is>
          <t>No install prompt anywhere on the website.</t>
        </is>
      </c>
      <c r="L832" s="24" t="inlineStr">
        <is>
          <t>docs/app-install-2026-10/README.md (31 Oct 2026)</t>
        </is>
      </c>
      <c r="M832" s="24" t="inlineStr">
        <is>
          <t>Not run</t>
        </is>
      </c>
      <c r="N832" s="24" t="n"/>
      <c r="O832" s="24" t="n"/>
      <c r="P832" s="24" t="n"/>
    </row>
    <row r="833">
      <c r="A833" s="24" t="inlineStr">
        <is>
          <t>TC-APP-006</t>
        </is>
      </c>
      <c r="B833" s="24" t="inlineStr">
        <is>
          <t>App install &amp; updates</t>
        </is>
      </c>
      <c r="C833" s="24" t="inlineStr">
        <is>
          <t>AI-002</t>
        </is>
      </c>
      <c r="D833" s="24" t="inlineStr">
        <is>
          <t>No install prompt inside the native Android / iPhone app</t>
        </is>
      </c>
      <c r="E833" s="24" t="inlineStr">
        <is>
          <t>Positive</t>
        </is>
      </c>
      <c r="F833" s="24" t="inlineStr">
        <is>
          <t>P0</t>
        </is>
      </c>
      <c r="G833" s="24" t="inlineStr">
        <is>
          <t>Guest</t>
        </is>
      </c>
      <c r="H833" s="24" t="inlineStr">
        <is>
          <t>UI</t>
        </is>
      </c>
      <c r="I833" s="24" t="inlineStr">
        <is>
          <t>User agent contains GoKesariApp/&lt;version&gt;</t>
        </is>
      </c>
      <c r="J833" s="24" t="inlineStr">
        <is>
          <t>1. Open the home page in the app's WebView</t>
        </is>
      </c>
      <c r="K833" s="24" t="inlineStr">
        <is>
          <t>No install prompt and no service-worker update bar.</t>
        </is>
      </c>
      <c r="L833" s="24" t="inlineStr">
        <is>
          <t>docs/app-install-2026-10/README.md (31 Oct 2026)</t>
        </is>
      </c>
      <c r="M833" s="24" t="inlineStr">
        <is>
          <t>Not run</t>
        </is>
      </c>
      <c r="N833" s="24" t="n"/>
      <c r="O833" s="24" t="n"/>
      <c r="P833" s="24" t="n"/>
    </row>
    <row r="834">
      <c r="A834" s="24" t="inlineStr">
        <is>
          <t>TC-APP-007</t>
        </is>
      </c>
      <c r="B834" s="24" t="inlineStr">
        <is>
          <t>App install &amp; updates</t>
        </is>
      </c>
      <c r="C834" s="24" t="inlineStr">
        <is>
          <t>AI-003</t>
        </is>
      </c>
      <c r="D834" s="24" t="inlineStr">
        <is>
          <t>iPhone Safari shows the Add to Home Screen guide</t>
        </is>
      </c>
      <c r="E834" s="24" t="inlineStr">
        <is>
          <t>Positive</t>
        </is>
      </c>
      <c r="F834" s="24" t="inlineStr">
        <is>
          <t>P0</t>
        </is>
      </c>
      <c r="G834" s="24" t="inlineStr">
        <is>
          <t>Guest</t>
        </is>
      </c>
      <c r="H834" s="24" t="inlineStr">
        <is>
          <t>UI</t>
        </is>
      </c>
      <c r="I834" s="24" t="inlineStr">
        <is>
          <t>iPhone Safari, not added to the home screen</t>
        </is>
      </c>
      <c r="J834" s="24" t="inlineStr">
        <is>
          <t>1. Open the home page\n2. Tap Install</t>
        </is>
      </c>
      <c r="K834" s="24" t="inlineStr">
        <is>
          <t>The sheet shows; Install opens a three-step picture guide: Tap Share -&gt; Add to Home Screen -&gt; Tap Add.</t>
        </is>
      </c>
      <c r="L834" s="24" t="inlineStr">
        <is>
          <t>docs/app-install-2026-10/README.md (31 Oct 2026)</t>
        </is>
      </c>
      <c r="M834" s="24" t="inlineStr">
        <is>
          <t>Not run</t>
        </is>
      </c>
      <c r="N834" s="24" t="n"/>
      <c r="O834" s="24" t="n"/>
      <c r="P834" s="24" t="n"/>
    </row>
    <row r="835">
      <c r="A835" s="24" t="inlineStr">
        <is>
          <t>TC-APP-008</t>
        </is>
      </c>
      <c r="B835" s="24" t="inlineStr">
        <is>
          <t>App install &amp; updates</t>
        </is>
      </c>
      <c r="C835" s="24" t="inlineStr">
        <is>
          <t>AI-004</t>
        </is>
      </c>
      <c r="D835" s="24" t="inlineStr">
        <is>
          <t>Decline and install are kept on the signed-in account</t>
        </is>
      </c>
      <c r="E835" s="24" t="inlineStr">
        <is>
          <t>Positive</t>
        </is>
      </c>
      <c r="F835" s="24" t="inlineStr">
        <is>
          <t>P1</t>
        </is>
      </c>
      <c r="G835" s="24" t="inlineStr">
        <is>
          <t>Customer</t>
        </is>
      </c>
      <c r="H835" s="24" t="inlineStr">
        <is>
          <t>API</t>
        </is>
      </c>
      <c r="I835" s="24" t="inlineStr">
        <is>
          <t>Signed in</t>
        </is>
      </c>
      <c r="J835" s="24" t="inlineStr">
        <is>
          <t>1. POST /api/app-install declined (x2), installed android\n2. GET /api/app-install\n3. Same calls signed out</t>
        </is>
      </c>
      <c r="K835" s="24" t="inlineStr">
        <is>
          <t>The record shows declineCount up by 2 and android among installedPlatforms; signed out every call answers 401.</t>
        </is>
      </c>
      <c r="L835" s="24" t="inlineStr">
        <is>
          <t>docs/app-install-2026-10/README.md (31 Oct 2026)</t>
        </is>
      </c>
      <c r="M835" s="24" t="inlineStr">
        <is>
          <t>Not run</t>
        </is>
      </c>
      <c r="N835" s="24" t="n"/>
      <c r="O835" s="24" t="n"/>
      <c r="P835" s="24" t="n"/>
    </row>
    <row r="836">
      <c r="A836" s="24" t="inlineStr">
        <is>
          <t>TC-APP-009</t>
        </is>
      </c>
      <c r="B836" s="24" t="inlineStr">
        <is>
          <t>App install &amp; updates</t>
        </is>
      </c>
      <c r="C836" s="24" t="inlineStr">
        <is>
          <t>AI-005</t>
        </is>
      </c>
      <c r="D836" s="24" t="inlineStr">
        <is>
          <t>Service worker served fresh with a versioned cache</t>
        </is>
      </c>
      <c r="E836" s="24" t="inlineStr">
        <is>
          <t>Positive</t>
        </is>
      </c>
      <c r="F836" s="24" t="inlineStr">
        <is>
          <t>P0</t>
        </is>
      </c>
      <c r="G836" s="24" t="inlineStr">
        <is>
          <t>Guest</t>
        </is>
      </c>
      <c r="H836" s="24" t="inlineStr">
        <is>
          <t>API</t>
        </is>
      </c>
      <c r="I836" s="24" t="inlineStr">
        <is>
          <t>-</t>
        </is>
      </c>
      <c r="J836" s="24" t="inlineStr">
        <is>
          <t>1. GET /sw.js</t>
        </is>
      </c>
      <c r="K836" s="24" t="inlineStr">
        <is>
          <t>200 JavaScript, Cache-Control no-store; names its build version and caches only /_next/static and /pwa files in gk-static-&lt;version&gt;.</t>
        </is>
      </c>
      <c r="L836" s="24" t="inlineStr">
        <is>
          <t>docs/app-install-2026-10/README.md (31 Oct 2026)</t>
        </is>
      </c>
      <c r="M836" s="24" t="inlineStr">
        <is>
          <t>Not run</t>
        </is>
      </c>
      <c r="N836" s="24" t="n"/>
      <c r="O836" s="24" t="n"/>
      <c r="P836" s="24" t="n"/>
    </row>
    <row r="837">
      <c r="A837" s="24" t="inlineStr">
        <is>
          <t>TC-APP-010</t>
        </is>
      </c>
      <c r="B837" s="24" t="inlineStr">
        <is>
          <t>App install &amp; updates</t>
        </is>
      </c>
      <c r="C837" s="24" t="inlineStr">
        <is>
          <t>AI-005</t>
        </is>
      </c>
      <c r="D837" s="24" t="inlineStr">
        <is>
          <t>A new deploy is picked up by the installed app without reinstalling</t>
        </is>
      </c>
      <c r="E837" s="24" t="inlineStr">
        <is>
          <t>Positive</t>
        </is>
      </c>
      <c r="F837" s="24" t="inlineStr">
        <is>
          <t>P0</t>
        </is>
      </c>
      <c r="G837" s="24" t="inlineStr">
        <is>
          <t>Guest</t>
        </is>
      </c>
      <c r="H837" s="24" t="inlineStr">
        <is>
          <t>UI</t>
        </is>
      </c>
      <c r="I837" s="24" t="inlineStr">
        <is>
          <t>App open on the old version; a new version deployed</t>
        </is>
      </c>
      <c r="J837" s="24" t="inlineStr">
        <is>
          <t>1. Return to the app / reload\n2. Tap Reload on 'A new version of GoKesari is ready'</t>
        </is>
      </c>
      <c r="K837" s="24" t="inlineStr">
        <is>
          <t>The bar appears; Reload switches to the new version (the old gk-static cache is deleted). Without Reload, the new version runs on the next launch.</t>
        </is>
      </c>
      <c r="L837" s="24" t="inlineStr">
        <is>
          <t>docs/app-install-2026-10/README.md (31 Oct 2026)</t>
        </is>
      </c>
      <c r="M837" s="24" t="inlineStr">
        <is>
          <t>Not run</t>
        </is>
      </c>
      <c r="N837" s="24" t="n"/>
      <c r="O837" s="24" t="n"/>
      <c r="P837" s="24" t="n"/>
    </row>
    <row r="838">
      <c r="A838" s="24" t="inlineStr">
        <is>
          <t>TC-APP-011</t>
        </is>
      </c>
      <c r="B838" s="24" t="inlineStr">
        <is>
          <t>App install &amp; updates</t>
        </is>
      </c>
      <c r="C838" s="24" t="inlineStr">
        <is>
          <t>AI-006</t>
        </is>
      </c>
      <c r="D838" s="24" t="inlineStr">
        <is>
          <t>Native update check endpoint</t>
        </is>
      </c>
      <c r="E838" s="24" t="inlineStr">
        <is>
          <t>Positive</t>
        </is>
      </c>
      <c r="F838" s="24" t="inlineStr">
        <is>
          <t>P1</t>
        </is>
      </c>
      <c r="G838" s="24" t="inlineStr">
        <is>
          <t>Guest</t>
        </is>
      </c>
      <c r="H838" s="24" t="inlineStr">
        <is>
          <t>API</t>
        </is>
      </c>
      <c r="I838" s="24" t="inlineStr">
        <is>
          <t>-</t>
        </is>
      </c>
      <c r="J838" s="24" t="inlineStr">
        <is>
          <t>1. GET /api/app/version</t>
        </is>
      </c>
      <c r="K838" s="24" t="inlineStr">
        <is>
          <t>android and ios each with latest, minimum, url (null until configured; versions as x.y.z, links https).</t>
        </is>
      </c>
      <c r="L838" s="24" t="inlineStr">
        <is>
          <t>docs/app-install-2026-10/README.md (31 Oct 2026)</t>
        </is>
      </c>
      <c r="M838" s="24" t="inlineStr">
        <is>
          <t>Not run</t>
        </is>
      </c>
      <c r="N838" s="24" t="n"/>
      <c r="O838" s="24" t="n"/>
      <c r="P838" s="24" t="n"/>
    </row>
    <row r="839">
      <c r="A839" s="24" t="inlineStr">
        <is>
          <t>TC-APP-012</t>
        </is>
      </c>
      <c r="B839" s="24" t="inlineStr">
        <is>
          <t>App install &amp; updates</t>
        </is>
      </c>
      <c r="C839" s="24" t="inlineStr">
        <is>
          <t>AI-006</t>
        </is>
      </c>
      <c r="D839" s="24" t="inlineStr">
        <is>
          <t>Native app offers a newer build and installs it over the old one</t>
        </is>
      </c>
      <c r="E839" s="24" t="inlineStr">
        <is>
          <t>Positive</t>
        </is>
      </c>
      <c r="F839" s="24" t="inlineStr">
        <is>
          <t>P0</t>
        </is>
      </c>
      <c r="G839" s="24" t="inlineStr">
        <is>
          <t>Customer</t>
        </is>
      </c>
      <c r="H839" s="24" t="inlineStr">
        <is>
          <t>Manual</t>
        </is>
      </c>
      <c r="I839" s="24" t="inlineStr">
        <is>
          <t>App 1.5.0 installed; MOBILE_APP_&lt;platform&gt;_LATEST set higher with a URL</t>
        </is>
      </c>
      <c r="J839" s="24" t="inlineStr">
        <is>
          <t>1. Open the app (or bring it back)\n2. Tap Update</t>
        </is>
      </c>
      <c r="K839" s="24" t="inlineStr">
        <is>
          <t>'A new version of GoKesari is ready' with Later / Update (only Update below the minimum); Update opens the Play Store / App Store / APK and the new build installs over the old one, still signed in.</t>
        </is>
      </c>
      <c r="L839" s="24" t="inlineStr">
        <is>
          <t>docs/app-install-2026-10/README.md (31 Oct 2026)</t>
        </is>
      </c>
      <c r="M839" s="24" t="inlineStr">
        <is>
          <t>Not run</t>
        </is>
      </c>
      <c r="N839" s="24" t="n"/>
      <c r="O839" s="24" t="n"/>
      <c r="P839" s="24" t="n"/>
    </row>
    <row r="840">
      <c r="A840" s="24" t="inlineStr">
        <is>
          <t>TC-APP-013</t>
        </is>
      </c>
      <c r="B840" s="24" t="inlineStr">
        <is>
          <t>App install &amp; updates</t>
        </is>
      </c>
      <c r="C840" s="24" t="inlineStr">
        <is>
          <t>AI-001</t>
        </is>
      </c>
      <c r="D840" s="24" t="inlineStr">
        <is>
          <t>The prompt fits a phone screen</t>
        </is>
      </c>
      <c r="E840" s="24" t="inlineStr">
        <is>
          <t>Positive</t>
        </is>
      </c>
      <c r="F840" s="24" t="inlineStr">
        <is>
          <t>P1</t>
        </is>
      </c>
      <c r="G840" s="24" t="inlineStr">
        <is>
          <t>Guest</t>
        </is>
      </c>
      <c r="H840" s="24" t="inlineStr">
        <is>
          <t>UI</t>
        </is>
      </c>
      <c r="I840" s="24" t="inlineStr">
        <is>
          <t>Phone 360-412 px wide</t>
        </is>
      </c>
      <c r="J840" s="24" t="inlineStr">
        <is>
          <t>1. Open the home page\n2. Open the guide</t>
        </is>
      </c>
      <c r="K840" s="24" t="inlineStr">
        <is>
          <t>The whole sheet (title, text, guide, buttons) is on screen without scrolling, buttons 44 px tall, no sideways scroll, Kesari colours.</t>
        </is>
      </c>
      <c r="L840" s="24" t="inlineStr">
        <is>
          <t>docs/app-install-2026-10/README.md (31 Oct 2026)</t>
        </is>
      </c>
      <c r="M840" s="24" t="inlineStr">
        <is>
          <t>Not run</t>
        </is>
      </c>
      <c r="N840" s="24" t="n"/>
      <c r="O840" s="24" t="n"/>
      <c r="P840" s="24" t="n"/>
    </row>
  </sheetData>
  <autoFilter ref="A1:P840"/>
  <conditionalFormatting sqref="M2:M840">
    <cfRule type="cellIs" rank="0" priority="2" equalAverage="0" operator="equal" aboveAverage="0" dxfId="3" text="" percent="0" bottom="0">
      <formula>"Pass"</formula>
    </cfRule>
    <cfRule type="cellIs" rank="0" priority="3" equalAverage="0" operator="equal" aboveAverage="0" dxfId="4" text="" percent="0" bottom="0">
      <formula>"Fail"</formula>
    </cfRule>
    <cfRule type="cellIs" rank="0" priority="4" equalAverage="0" operator="equal" aboveAverage="0" dxfId="5" text="" percent="0" bottom="0">
      <formula>"Blocked"</formula>
    </cfRule>
  </conditionalFormatting>
  <dataValidations count="1">
    <dataValidation sqref="M2:M840" showDropDown="0" showInputMessage="0" showErrorMessage="0" allowBlank="0" type="list" errorStyle="stop" operator="between">
      <formula1>"Not run,Pass,Fail,Blocked"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3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12" min="1" max="1"/>
    <col width="34" customWidth="1" style="12" min="2" max="2"/>
    <col width="26" customWidth="1" style="12" min="3" max="3"/>
    <col width="8" customWidth="1" style="12" min="4" max="4"/>
    <col width="70" customWidth="1" style="12" min="5" max="5"/>
    <col width="60" customWidth="1" style="12" min="6" max="6"/>
    <col width="10" customWidth="1" style="12" min="7" max="7"/>
    <col width="30" customWidth="1" style="12" min="8" max="8"/>
  </cols>
  <sheetData>
    <row r="1" ht="30" customHeight="1" s="13">
      <c r="A1" s="22" t="inlineStr">
        <is>
          <t>Scenario ID</t>
        </is>
      </c>
      <c r="B1" s="22" t="inlineStr">
        <is>
          <t>Scenario</t>
        </is>
      </c>
      <c r="C1" s="22" t="inlineStr">
        <is>
          <t>Workflows / features</t>
        </is>
      </c>
      <c r="D1" s="22" t="inlineStr">
        <is>
          <t>Priority</t>
        </is>
      </c>
      <c r="E1" s="22" t="inlineStr">
        <is>
          <t>Journey</t>
        </is>
      </c>
      <c r="F1" s="22" t="inlineStr">
        <is>
          <t>Expected outcome</t>
        </is>
      </c>
      <c r="G1" s="22" t="inlineStr">
        <is>
          <t>Status</t>
        </is>
      </c>
      <c r="H1" s="22" t="inlineStr">
        <is>
          <t>Notes</t>
        </is>
      </c>
    </row>
    <row r="2" ht="90.75" customHeight="1" s="13">
      <c r="A2" s="24" t="inlineStr">
        <is>
          <t>SC-01</t>
        </is>
      </c>
      <c r="B2" s="24" t="inlineStr">
        <is>
          <t>Customer buys from a local shop and receives it (wallet)</t>
        </is>
      </c>
      <c r="C2" s="24" t="inlineStr">
        <is>
          <t>WF-001, WF-002, WF-003, WF-005, WF-010</t>
        </is>
      </c>
      <c r="D2" s="24" t="inlineStr">
        <is>
          <t>P0</t>
        </is>
      </c>
      <c r="E2" s="24" t="inlineStr">
        <is>
          <t>1. Customer signs in and sets a delivery location
2. Searches a product, opens Compare prices, picks the lowest-price delivering shop
3. Adds to cart, chooses address and delivery window, pays from wallet
4. Shop accepts, picks, packs, marks READY
5. Rider is offered automatically, accepts, enters the pickup code, starts delivery
6. Rider arrives, enters the customer's OTP - DELIVERED
7. Customer rates shop and rider
8. Admin opens the money trace: snapshot, commission, rider earning</t>
        </is>
      </c>
      <c r="F2" s="24" t="inlineStr">
        <is>
          <t>Order moves through every state with notifications at each step; wallet debited once; stock reduced; one finance snapshot; rider earning recorded; ratings saved.</t>
        </is>
      </c>
      <c r="G2" s="24" t="inlineStr">
        <is>
          <t>Pass</t>
        </is>
      </c>
      <c r="H2" s="24" t="inlineStr">
        <is>
          <t>[Run 2026-10-24 17:07: Local Pass · Staging Not run (rule) · Production Not run. local: DB-20261024-GQT21Y: compare page → QA Shop A mvmkyclr; window STANDARD_60; CONFIRMED → … → DELIVERED; customer notified 9× (order.confirmed, order.accepted, order.ready, order.rider_search, order.assigned, order.picked_up, order.out_for_delivery, rating.requested, order.delivered); rated 5/4; snapshot 0bp commission ₹0, earning ₹28.01
staging: not run on staging: needs the server's database (local run only)]</t>
        </is>
      </c>
    </row>
    <row r="3" ht="34.5" customHeight="1" s="13">
      <c r="A3" s="24" t="inlineStr">
        <is>
          <t>SC-02</t>
        </is>
      </c>
      <c r="B3" s="24" t="inlineStr">
        <is>
          <t>Multi-shop cart</t>
        </is>
      </c>
      <c r="C3" s="24" t="inlineStr">
        <is>
          <t>GS-025, GS-033</t>
        </is>
      </c>
      <c r="D3" s="24" t="inlineStr">
        <is>
          <t>P0</t>
        </is>
      </c>
      <c r="E3" s="24" t="inlineStr">
        <is>
          <t>1. Add items from two delivering shops
2. Pay from wallet
3. Each shop fulfils independently; one is delivered, the other is rejected by the shop</t>
        </is>
      </c>
      <c r="F3" s="24" t="inlineStr">
        <is>
          <t>Two independent orders and debits; the rejected one is fully refunded with stock restored; the other completes.</t>
        </is>
      </c>
      <c r="G3" s="24" t="inlineStr">
        <is>
          <t>Pass</t>
        </is>
      </c>
      <c r="H3" s="24" t="inlineStr">
        <is>
          <t>[Run 2026-10-24 17:07: Local Pass · Staging Not run (rule) · Production Not run. local: DB-20261024-X42NMQ (A) delivered; DB-20261024-FON5AH (B) rejected → refunded ₹50, stock 10 again
staging: not run on staging: needs the server's database (local run only)]</t>
        </is>
      </c>
    </row>
    <row r="4" ht="45.75" customHeight="1" s="13">
      <c r="A4" s="24" t="inlineStr">
        <is>
          <t>SC-03</t>
        </is>
      </c>
      <c r="B4" s="24" t="inlineStr">
        <is>
          <t>Item unavailable - substitution</t>
        </is>
      </c>
      <c r="C4" s="24" t="inlineStr">
        <is>
          <t>GS-035, GS-036</t>
        </is>
      </c>
      <c r="D4" s="24" t="inlineStr">
        <is>
          <t>P0</t>
        </is>
      </c>
      <c r="E4" s="24" t="inlineStr">
        <is>
          <t>1. Place a 3-line order
2. Shop accepts, proposes a cheaper substitute for line 1 and removes line 2
3. Customer approves the substitute
4. Shop marks READY; delivery completes</t>
        </is>
      </c>
      <c r="F4" s="24" t="inlineStr">
        <is>
          <t>Difference and removed line refunded immediately; READY blocked until the customer decides; final snapshot uses the reduced goods value.</t>
        </is>
      </c>
      <c r="G4" s="24" t="inlineStr">
        <is>
          <t>Pass</t>
        </is>
      </c>
      <c r="H4" s="24" t="inlineStr">
        <is>
          <t>[Run 2026-10-24 17:07: Local Pass · Staging Not run (rule) · Production Not run. local: DB-20261024-B4FYYX: line 2 refunded ₹30 and the ₹8 difference at once; READY refused (409) until approval; delivered with goods ₹62
staging: not run on staging: needs the server's database (local run only)]</t>
        </is>
      </c>
    </row>
    <row r="5" ht="23.25" customHeight="1" s="13">
      <c r="A5" s="24" t="inlineStr">
        <is>
          <t>SC-04</t>
        </is>
      </c>
      <c r="B5" s="24" t="inlineStr">
        <is>
          <t>Shop rejects the order</t>
        </is>
      </c>
      <c r="C5" s="24" t="inlineStr">
        <is>
          <t>GS-034</t>
        </is>
      </c>
      <c r="D5" s="24" t="inlineStr">
        <is>
          <t>P0</t>
        </is>
      </c>
      <c r="E5" s="24" t="inlineStr">
        <is>
          <t>1. Customer orders
2. Shop rejects with a reason</t>
        </is>
      </c>
      <c r="F5" s="24" t="inlineStr">
        <is>
          <t>Full refund, stock restored, customer notified with the reason, order never reaches a settlement.</t>
        </is>
      </c>
      <c r="G5" s="24" t="inlineStr">
        <is>
          <t>Pass</t>
        </is>
      </c>
      <c r="H5" s="24" t="inlineStr">
        <is>
          <t>[Run 2026-10-24 17:07: Local Pass · Staging Not run (rule) · Production Not run. local: DB-20261024-T9T7FT rejected: refunded ₹80, stock 5, notice "Your order DB-20261024-T9T7FT was cancelled: Rejected by shop: QA: our oven broke down"
staging: not run on staging: needs the server's database (local run only)]</t>
        </is>
      </c>
    </row>
    <row r="6" ht="45.75" customHeight="1" s="13">
      <c r="A6" s="24" t="inlineStr">
        <is>
          <t>SC-05</t>
        </is>
      </c>
      <c r="B6" s="24" t="inlineStr">
        <is>
          <t>No rider available</t>
        </is>
      </c>
      <c r="C6" s="24" t="inlineStr">
        <is>
          <t>GA-009, RBAC-007</t>
        </is>
      </c>
      <c r="D6" s="24" t="inlineStr">
        <is>
          <t>P0</t>
        </is>
      </c>
      <c r="E6" s="24" t="inlineStr">
        <is>
          <t>1. All riders offline; shop marks READY
2. Watch attempts until the search stops
3. A rider comes online; shop presses 'Try finding a rider again'
4. Delivery completes</t>
        </is>
      </c>
      <c r="F6" s="24" t="inlineStr">
        <is>
          <t>Bounded search with one notification at start and one at stop; restart offers the rider; order completes.</t>
        </is>
      </c>
      <c r="G6" s="24" t="inlineStr">
        <is>
          <t>Pass</t>
        </is>
      </c>
      <c r="H6" s="24" t="inlineStr">
        <is>
          <t>[Run 2026-10-24 17:07: Local Pass · Staging Not run (rule) · Production Not run. local: DB-20261024-I2KN5G: search stopped after 2 attempts (STOPPED); shop told delivery.unassigned → delivery.search_stopped; restarted, offered, delivered
staging: not run on staging: needs the server's database (local run only)]</t>
        </is>
      </c>
    </row>
    <row r="7" ht="34.5" customHeight="1" s="13">
      <c r="A7" s="24" t="inlineStr">
        <is>
          <t>SC-06</t>
        </is>
      </c>
      <c r="B7" s="24" t="inlineStr">
        <is>
          <t>Rider declines / offer lapses</t>
        </is>
      </c>
      <c r="C7" s="24" t="inlineStr">
        <is>
          <t>GS-039, GA-009</t>
        </is>
      </c>
      <c r="D7" s="24" t="inlineStr">
        <is>
          <t>P0</t>
        </is>
      </c>
      <c r="E7" s="24" t="inlineStr">
        <is>
          <t>1. Two riders online
2. Rider 1 declines (or lets 2 minutes pass)
3. Rider 2 accepts and delivers</t>
        </is>
      </c>
      <c r="F7" s="24" t="inlineStr">
        <is>
          <t>Rider 1 is never re-offered; only one active assignment at any time.</t>
        </is>
      </c>
      <c r="G7" s="24" t="inlineStr">
        <is>
          <t>Blocked</t>
        </is>
      </c>
      <c r="H7" s="24" t="inlineStr">
        <is>
          <t>[Run 2026-10-24 17:07: Local Blocked · Staging Not run (rule) · Production Not run. local: no delivery offer reached the rider for order 6abbb3b4-a55d-4d9d-993b-998aa2a8a752 within 45 s (rider offline or busy?)
staging: not run on staging: needs the server's database (local run only)]</t>
        </is>
      </c>
    </row>
    <row r="8" ht="34.5" customHeight="1" s="13">
      <c r="A8" s="24" t="inlineStr">
        <is>
          <t>SC-07</t>
        </is>
      </c>
      <c r="B8" s="24" t="inlineStr">
        <is>
          <t>Customer unavailable - failed delivery and return to shop</t>
        </is>
      </c>
      <c r="C8" s="24" t="inlineStr">
        <is>
          <t>WF-005</t>
        </is>
      </c>
      <c r="D8" s="24" t="inlineStr">
        <is>
          <t>P0</t>
        </is>
      </c>
      <c r="E8" s="24" t="inlineStr">
        <is>
          <t>1. Rider picks up and starts delivery
2. Rider reports customer not reachable
3. Shop marks RETURNED</t>
        </is>
      </c>
      <c r="F8" s="24" t="inlineStr">
        <is>
          <t>Order FAILED then cancelled and refunded per policy; rider paid per the failed-delivery rule; stock restored.</t>
        </is>
      </c>
      <c r="G8" s="24" t="inlineStr">
        <is>
          <t>Pass</t>
        </is>
      </c>
      <c r="H8" s="24" t="inlineStr">
        <is>
          <t>[Run 2026-10-24 17:07: Local Pass (partial) · Staging Not run (rule) · Production Not run. local: not covered: marking the goods RETURNED alone neither refunds nor restocks: the shop (or operations) then cancels the order, which does both
staging: not run on staging: needs the server's database (local run only)]</t>
        </is>
      </c>
    </row>
    <row r="9" ht="68.25" customHeight="1" s="13">
      <c r="A9" s="24" t="inlineStr">
        <is>
          <t>SC-08</t>
        </is>
      </c>
      <c r="B9" s="24" t="inlineStr">
        <is>
          <t>Society authorised delivery</t>
        </is>
      </c>
      <c r="C9" s="24" t="inlineStr">
        <is>
          <t>WF-004, GA-001, GS-045, GS-046, GS-047</t>
        </is>
      </c>
      <c r="D9" s="24" t="inlineStr">
        <is>
          <t>P0</t>
        </is>
      </c>
      <c r="E9" s="24" t="inlineStr">
        <is>
          <t>1. Society registered and verified; admin lists a rider and turns on exclusive riders and security notices
2. Resident joins, links an address, places an order
3. Shop marks READY
4. Only the listed rider is offered; accepts
5. Security staff notified; rider sees gate notes; delivers with OTP</t>
        </is>
      </c>
      <c r="F9" s="24" t="inlineStr">
        <is>
          <t>Dispatch honours the list; dashboard shows the delivery without PII.</t>
        </is>
      </c>
      <c r="G9" s="24" t="inlineStr">
        <is>
          <t>Pass</t>
        </is>
      </c>
      <c r="H9" s="24" t="inlineStr">
        <is>
          <t>[Run 2026-10-24 17:07: Local Pass · Staging Not run (rule) · Production Not run. local: DB-20261024-6LNKEX: offered to rider 2 only (rider 1 nearer, not listed); 'Delivery rider on the way' to society staff; rider saw "QA SC-08 Society mvmmqb1z Gate: Security calls the resident before letting you in QA SC-08: use gate 2, park by the club house mvmmqb1z"; delivered with the code; dashboard row createdAt, orderNumber, promisedByAt, riderName, riderVehicle, riderVehicleNumber, shopName, status, unitLabel — no PII
staging: not run on staging: needs the server's database (local run only)]</t>
        </is>
      </c>
    </row>
    <row r="10" ht="68.25" customHeight="1" s="13">
      <c r="A10" s="24" t="inlineStr">
        <is>
          <t>SC-09</t>
        </is>
      </c>
      <c r="B10" s="24" t="inlineStr">
        <is>
          <t>Daily milk subscription</t>
        </is>
      </c>
      <c r="C10" s="24" t="inlineStr">
        <is>
          <t>WF-006, GS-048, GS-050, GS-051</t>
        </is>
      </c>
      <c r="D10" s="24" t="inlineStr">
        <is>
          <t>P0</t>
        </is>
      </c>
      <c r="E10" s="24" t="inlineStr">
        <is>
          <t>1. Top up the wallet
2. Subscribe to 2 L/day of milk
3. Daily-orders cron runs for the start date, then again
4. Change tomorrow to 3 L; skip the day after; pause the following two days
5. Run the cron for each date
6. Let the wallet run short one day, then top up and retry</t>
        </is>
      </c>
      <c r="F10" s="24" t="inlineStr">
        <is>
          <t>Rs 140 then Rs 210 charged once each; no order on skipped/paused days; the failed day is recovered by retry with a single debit.</t>
        </is>
      </c>
      <c r="G10" s="24" t="inlineStr">
        <is>
          <t>Pass</t>
        </is>
      </c>
      <c r="H10" s="24" t="inlineStr">
        <is>
          <t>[Run 2026-10-24 17:07: Local Pass · Staging Not run (rule) · Production Not run. local: 2026-10-25 CONFIRMED ₹140; 2026-10-26 CONFIRMED ₹210; 2026-10-30 CONFIRMED ₹140; second retry → 409
staging: not run on staging: needs the server's database (local run only)]</t>
        </is>
      </c>
    </row>
    <row r="11" ht="57" customHeight="1" s="13">
      <c r="A11" s="24" t="inlineStr">
        <is>
          <t>SC-10</t>
        </is>
      </c>
      <c r="B11" s="24" t="inlineStr">
        <is>
          <t>Return and refund with rider pickup</t>
        </is>
      </c>
      <c r="C11" s="24" t="inlineStr">
        <is>
          <t>WF-007, GS-057</t>
        </is>
      </c>
      <c r="D11" s="24" t="inlineStr">
        <is>
          <t>P0</t>
        </is>
      </c>
      <c r="E11" s="24" t="inlineStr">
        <is>
          <t>1. Customer requests a return on a delivered order with a photo
2. Shop approves
3. Rider accepts the pickup, enters the handover code
4. Shop receives, inspects and accepts a partial amount
5. Refund completes</t>
        </is>
      </c>
      <c r="F11" s="24" t="inlineStr">
        <is>
          <t>Each status visible to the customer; wallet credited once; shop share adjusted in the next settlement; rider paid the pickup fee.</t>
        </is>
      </c>
      <c r="G11" s="24" t="inlineStr">
        <is>
          <t>Pass</t>
        </is>
      </c>
      <c r="H11" s="24" t="inlineStr">
        <is>
          <t>[Run 2026-10-24 17:07: Local Pass (partial) · Staging Not run (rule) · Production Not run. local: not covered: TC-FIN-019's 'return-pickup fee in the payout' is shown as the fee in the rider's unpaid statement, which the weekly payout batches
staging: not run on staging: needs the server's database (local run only)]</t>
        </is>
      </c>
    </row>
    <row r="12" ht="45.75" customHeight="1" s="13">
      <c r="A12" s="24" t="inlineStr">
        <is>
          <t>SC-11</t>
        </is>
      </c>
      <c r="B12" s="24" t="inlineStr">
        <is>
          <t>Cancellation at every stage (D10)</t>
        </is>
      </c>
      <c r="C12" s="24" t="inlineStr">
        <is>
          <t>NEW-006</t>
        </is>
      </c>
      <c r="D12" s="24" t="inlineStr">
        <is>
          <t>P0</t>
        </is>
      </c>
      <c r="E12" s="24" t="inlineStr">
        <is>
          <t>1. Place 7 orders and bring them to CONFIRMED, ACCEPTED, PREPARING, READY, ASSIGNED, PICKED_UP, OUT_FOR_DELIVERY
2. Customer tries to cancel each
3. Shop cancels the ones the customer could not</t>
        </is>
      </c>
      <c r="F12" s="24" t="inlineStr">
        <is>
          <t>Customer: allowed at CONFIRMED (full refund), blocked at four middle states, goods-only after pickup. Shop: full refund always.</t>
        </is>
      </c>
      <c r="G12" s="24" t="inlineStr">
        <is>
          <t>Pass</t>
        </is>
      </c>
      <c r="H12" s="24" t="inlineStr">
        <is>
          <t>[Run 2026-10-24 17:07: Local Pass · Staging Not run (rule) · Production Not run. local: CONFIRMED customer ✓ ₹20; ACCEPTED customer ✗ (409) → shop ✓ ₹20; PREPARING customer ✗ (409) → shop ✓ ₹20; READY customer ✗ (409) → shop ✓ ₹20; ASSIGNED customer ✗ (409) → shop ✓ ₹20; PICKED_UP customer ✓ ₹20; OUT_FOR_DELIVERY customer ✓ ₹20
staging: not run on staging: needs the server's database (local run only)]</t>
        </is>
      </c>
    </row>
    <row r="13" ht="68.25" customHeight="1" s="13">
      <c r="A13" s="24" t="inlineStr">
        <is>
          <t>SC-12</t>
        </is>
      </c>
      <c r="B13" s="24" t="inlineStr">
        <is>
          <t>Shop onboarding to first sale</t>
        </is>
      </c>
      <c r="C13" s="24" t="inlineStr">
        <is>
          <t>WF-008, GS-006, GS-009, GS-010</t>
        </is>
      </c>
      <c r="D13" s="24" t="inlineStr">
        <is>
          <t>P0</t>
        </is>
      </c>
      <c r="E13" s="24" t="inlineStr">
        <is>
          <t>1. New user registers a shop with identifiers and categories
2. Submits GST and PAN; operator verifies
3. Operator records the registration fee payment and approves as KESARI
4. Owner sets radius, hours, minimum order; adds products with prices and stock; uploads photos
5. A customer in range finds the shop and orders</t>
        </is>
      </c>
      <c r="F13" s="24" t="inlineStr">
        <is>
          <t>Shop goes from pending to live; appears only inside its zone; first order completes.</t>
        </is>
      </c>
      <c r="G13" s="24" t="inlineStr">
        <is>
          <t>Pass</t>
        </is>
      </c>
      <c r="H13" s="24" t="inlineStr">
        <is>
          <t>[Run 2026-10-24 17:07: Local Pass · Staging Not run (rule) · Production Not run. local: "QA Journey Shop mvmmqb1z 2": KYC_PENDING → PAYMENT_PENDING → VERIFIED → ACTIVE; KESARI; radius 3 km, min ₹50; 109 products from the QA category, "QA Butter 100 g mvmkyclr" ₹60 × 12 with a photo; found 1 km away, not 12 km away (order from there 422); first order DB-20261024-8H7FAC DELIVERED
staging: not run on staging: needs the server's database (local run only)]</t>
        </is>
      </c>
    </row>
    <row r="14" ht="45.75" customHeight="1" s="13">
      <c r="A14" s="24" t="inlineStr">
        <is>
          <t>SC-13</t>
        </is>
      </c>
      <c r="B14" s="24" t="inlineStr">
        <is>
          <t>Duplicate shop registration</t>
        </is>
      </c>
      <c r="C14" s="24" t="inlineStr">
        <is>
          <t>GS-006</t>
        </is>
      </c>
      <c r="D14" s="24" t="inlineStr">
        <is>
          <t>P1</t>
        </is>
      </c>
      <c r="E14" s="24" t="inlineStr">
        <is>
          <t>1. Submit a registration
2. Submit the same shop again from the same and from another account
3. Operator rejects the first
4. Owner corrects and resubmits</t>
        </is>
      </c>
      <c r="F14" s="24" t="inlineStr">
        <is>
          <t>Duplicates blocked with masked messages; resubmission updates the same record.</t>
        </is>
      </c>
      <c r="G14" s="24" t="inlineStr">
        <is>
          <t>Pass</t>
        </is>
      </c>
      <c r="H14" s="24" t="inlineStr">
        <is>
          <t>[Run 2026-10-24 17:07: Local Pass · Staging Not run (rule) · Production Not run. local: same account → 409 "Shop Act licence number already registered (ending 4101). This shop is already registered "; another account → 409 "Shop Act licence number already registered (ending 4101). This shop is already registered " (no full licence, phone or owner name); rejected, corrected and resubmitted → same record 3402fcf0…, PENDING_APPROVAL, new address saved
staging: not run on staging: needs the server's database (local run only)]</t>
        </is>
      </c>
    </row>
    <row r="15" ht="57" customHeight="1" s="13">
      <c r="A15" s="24" t="inlineStr">
        <is>
          <t>SC-14</t>
        </is>
      </c>
      <c r="B15" s="24" t="inlineStr">
        <is>
          <t>Weekly settlement and payout</t>
        </is>
      </c>
      <c r="C15" s="24" t="inlineStr">
        <is>
          <t>WF-010, GS-062, GS-064, GS-031</t>
        </is>
      </c>
      <c r="D15" s="24" t="inlineStr">
        <is>
          <t>P0</t>
        </is>
      </c>
      <c r="E15" s="24" t="inlineStr">
        <is>
          <t>1. Set commission rates
2. Complete several orders incl. one refund and one COD
3. Prepare last week's settlements and rider payouts
4. Admin approves and marks paid with references
5. Run reconciliation</t>
        </is>
      </c>
      <c r="F15" s="24" t="inlineStr">
        <is>
          <t>Batches total correctly (gross - commission - refunds +/- adjustments - COD cash held); shop and rider see their own statements; reconciliation is clean.</t>
        </is>
      </c>
      <c r="G15" s="24" t="inlineStr">
        <is>
          <t>Pass</t>
        </is>
      </c>
      <c r="H15" s="24" t="inlineStr">
        <is>
          <t>[Run 2026-10-24 17:07: Local Pass · Staging Not run (rule) · Production Not run. local: shop B batch: 3 orders, goods ₹600 − commission ₹60 + refunds ₹-45 + adjustments ₹0 = ₹495, paid UTRMVMMQB1ZS14; rider 1 payout ₹90.96 + ₹0 (incl. COD −₹200) = ₹90.96, paid; statements on /shop/finance and /delivery-partner; reconciliation MATCHED
staging: not run on staging: needs the server's database (local run only)]</t>
        </is>
      </c>
    </row>
    <row r="16" ht="57" customHeight="1" s="13">
      <c r="A16" s="24" t="inlineStr">
        <is>
          <t>SC-15</t>
        </is>
      </c>
      <c r="B16" s="24" t="inlineStr">
        <is>
          <t>Cash on delivery</t>
        </is>
      </c>
      <c r="C16" s="24" t="inlineStr">
        <is>
          <t>GS-030</t>
        </is>
      </c>
      <c r="D16" s="24" t="inlineStr">
        <is>
          <t>P1</t>
        </is>
      </c>
      <c r="E16" s="24" t="inlineStr">
        <is>
          <t>1. Shop opts in
2. Customer places a COD order under Rs 2,000
3. Rider delivers with OTP and confirms cash
4. Admin records the cash deposit
5. Weekly payout nets any cash still held</t>
        </is>
      </c>
      <c r="F16" s="24" t="inlineStr">
        <is>
          <t>Order paid on delivery; cash tracked against the rider until deposited.</t>
        </is>
      </c>
      <c r="G16" s="24" t="inlineStr">
        <is>
          <t>Pass</t>
        </is>
      </c>
      <c r="H16" s="24" t="inlineStr">
        <is>
          <t>[Run 2026-10-24 17:07: Local Pass · Staging Not run (rule) · Production Not run. local: DB-20261024-9EBWMU ₹450 and DB-20261024-2M8I8I ₹450 paid on delivery; rider's cash held +₹900; deposit above the cash held → 409; deposit of ₹450 recorded → held −₹450; the payout nets −₹450 for the cash still held (amount ₹-389.36)
staging: not run on staging: needs the server's database (local run only)]</t>
        </is>
      </c>
    </row>
    <row r="17" ht="45.75" customHeight="1" s="13">
      <c r="A17" s="24" t="inlineStr">
        <is>
          <t>SC-16</t>
        </is>
      </c>
      <c r="B17" s="24" t="inlineStr">
        <is>
          <t>Shop suspension with open orders</t>
        </is>
      </c>
      <c r="C17" s="24" t="inlineStr">
        <is>
          <t>NEW-002</t>
        </is>
      </c>
      <c r="D17" s="24" t="inlineStr">
        <is>
          <t>P1</t>
        </is>
      </c>
      <c r="E17" s="24" t="inlineStr">
        <is>
          <t>1. Shop has orders at CONFIRMED, PREPARING and OUT_FOR_DELIVERY
2. Admin previews and confirms suspension
3. Admin decides the held order
4. Admin reinstates the shop</t>
        </is>
      </c>
      <c r="F17" s="24" t="inlineStr">
        <is>
          <t>Policy applied per status; owner informed; customers cannot order meanwhile; reinstatement restores service.</t>
        </is>
      </c>
      <c r="G17" s="24" t="inlineStr">
        <is>
          <t>Blocked</t>
        </is>
      </c>
      <c r="H17" s="24" t="inlineStr">
        <is>
          <t>[Run 2026-10-24 17:07: Local Blocked · Staging Not run (rule) · Production Not run. local: needs the delivery code mailed to qa-customer-mvmkyclr@test.local for DB-20261024-N9YTQR
staging: not run on staging: needs the server's database (local run only)]</t>
        </is>
      </c>
    </row>
    <row r="18" ht="57" customHeight="1" s="13">
      <c r="A18" s="24" t="inlineStr">
        <is>
          <t>SC-17</t>
        </is>
      </c>
      <c r="B18" s="24" t="inlineStr">
        <is>
          <t>Marketing campaign with consent</t>
        </is>
      </c>
      <c r="C18" s="24" t="inlineStr">
        <is>
          <t>WF-009, GS-052, GS-053, GS-070</t>
        </is>
      </c>
      <c r="D18" s="24" t="inlineStr">
        <is>
          <t>P1</t>
        </is>
      </c>
      <c r="E18" s="24" t="inlineStr">
        <is>
          <t>1. Two customers order from the shop; one grants marketing consent
2. Shop builds a segment and a campaign, submits it
3. Operator approves; shop sends
4. Consenting customer opens it and orders
5. Customer withdraws consent; shop sends another campaign</t>
        </is>
      </c>
      <c r="F18" s="24" t="inlineStr">
        <is>
          <t>Only the consenting customer is messaged; conversion tracked; nothing after withdrawal.</t>
        </is>
      </c>
      <c r="G18" s="24" t="inlineStr">
        <is>
          <t>Pass</t>
        </is>
      </c>
      <c r="H18" s="24" t="inlineStr">
        <is>
          <t>[Run 2026-10-24 17:07: Local Pass · Staging Not run (rule) · Production Not run. local: campaign 1 (sent to 5): consenting customer 1 message, the other none; opened 1 → converted 1, revenue ₹80; after withdrawal campaign 2 reached neither (sent to 4 others)
staging: not run on staging: needs the server's database (local run only)]</t>
        </is>
      </c>
    </row>
    <row r="19" ht="45.75" customHeight="1" s="13">
      <c r="A19" s="24" t="inlineStr">
        <is>
          <t>SC-18</t>
        </is>
      </c>
      <c r="B19" s="24" t="inlineStr">
        <is>
          <t>Risk flag to suspension</t>
        </is>
      </c>
      <c r="C19" s="24" t="inlineStr">
        <is>
          <t>GS-068</t>
        </is>
      </c>
      <c r="D19" s="24" t="inlineStr">
        <is>
          <t>P1</t>
        </is>
      </c>
      <c r="E19" s="24" t="inlineStr">
        <is>
          <t>1. Create a risk condition (e.g. repeated wrong delivery codes)
2. Run the rules
3. Operator reviews and suspends from the flag
4. Admin reinstates</t>
        </is>
      </c>
      <c r="F19" s="24" t="inlineStr">
        <is>
          <t>One flag raised; suspension applied with notice; flag closed with the reason.</t>
        </is>
      </c>
      <c r="G19" s="24" t="inlineStr">
        <is>
          <t>Pass</t>
        </is>
      </c>
      <c r="H19" s="24" t="inlineStr">
        <is>
          <t>[Run 2026-10-24 17:07: Local Pass · Staging Not run (rule) · Production Not run. local: wrong codes → 422/409; 2 lock-outs; rules run twice → one OTP_LOCKOUTS flag; suspended from /admin/risk by operations ("QA SC-18: repeated wrong delivery codes"), flag ACTIONED "Suspended: QA SC-18: repeated wrong delivery codes", rider notified (Your delivery partner account has been suspended); reinstated → APPROVED
staging: not run on staging: needs the server's database (local run only)]</t>
        </is>
      </c>
    </row>
    <row r="20" ht="45.75" customHeight="1" s="13">
      <c r="A20" s="24" t="inlineStr">
        <is>
          <t>SC-19</t>
        </is>
      </c>
      <c r="B20" s="24" t="inlineStr">
        <is>
          <t>New customer: mobile sign-up to first order</t>
        </is>
      </c>
      <c r="C20" s="24" t="inlineStr">
        <is>
          <t>GS-001, WF-001</t>
        </is>
      </c>
      <c r="D20" s="24" t="inlineStr">
        <is>
          <t>P0</t>
        </is>
      </c>
      <c r="E20" s="24" t="inlineStr">
        <is>
          <t>1. Sign up with an unused mobile + email
2. Complete details and geo-tagged address
3. Top up the wallet
4. Place and receive an order</t>
        </is>
      </c>
      <c r="F20" s="24" t="inlineStr">
        <is>
          <t>Account, wallet and address created; order completes without extra prompts.</t>
        </is>
      </c>
      <c r="G20" s="24" t="inlineStr">
        <is>
          <t>Pass</t>
        </is>
      </c>
      <c r="H20" s="24" t="inlineStr">
        <is>
          <t>[Run 2026-10-24 17:07: Local Pass (partial) · Staging Not run (rule) · Production Not run. local: not covered: the top-up is started on the site (gateway order created) and settled in the local database — the local production build has no payment gateway to pay at (/api/dev/settle-topup is 404 in production builds)
staging: not run on staging: needs the server's database (local run only)]</t>
        </is>
      </c>
    </row>
    <row r="21" ht="45.75" customHeight="1" s="13">
      <c r="A21" s="24" t="inlineStr">
        <is>
          <t>SC-20</t>
        </is>
      </c>
      <c r="B21" s="24" t="inlineStr">
        <is>
          <t>Multi-role user</t>
        </is>
      </c>
      <c r="C21" s="24" t="inlineStr">
        <is>
          <t>GS-003</t>
        </is>
      </c>
      <c r="D21" s="24" t="inlineStr">
        <is>
          <t>P1</t>
        </is>
      </c>
      <c r="E21" s="24" t="inlineStr">
        <is>
          <t>1. A shop owner applies as a rider and is approved
2. Switches role and delivers an order for another shop
3. Switches back and fulfils an order in the own shop
4. Places a personal order as a customer</t>
        </is>
      </c>
      <c r="F21" s="24" t="inlineStr">
        <is>
          <t>Each role works in turn; data stays separated by role.</t>
        </is>
      </c>
      <c r="G21" s="24" t="inlineStr">
        <is>
          <t>Pass</t>
        </is>
      </c>
      <c r="H21" s="24" t="inlineStr">
        <is>
          <t>[Run 2026-10-24 17:07: Local Pass (partial) · Staging Not run (rule) · Production Not run. local: not covered: separation is checked on the personal order list (no shop orders) and the rider's live job; the owner's own shop APIs stay open in any active role, as the owner is the same person (src/server/authz/guards.ts requireShopAccess grants by ownership)
staging: not run on staging: needs the server's database (local run only)]</t>
        </is>
      </c>
    </row>
    <row r="22" ht="34.5" customHeight="1" s="13">
      <c r="A22" s="24" t="inlineStr">
        <is>
          <t>SC-21</t>
        </is>
      </c>
      <c r="B22" s="24" t="inlineStr">
        <is>
          <t>Order from a closed shop</t>
        </is>
      </c>
      <c r="C22" s="24" t="inlineStr">
        <is>
          <t>NEW-003</t>
        </is>
      </c>
      <c r="D22" s="24" t="inlineStr">
        <is>
          <t>P1</t>
        </is>
      </c>
      <c r="E22" s="24" t="inlineStr">
        <is>
          <t>1. Shop is closed
2. Customer confirms the closed-shop prompt and pays
3. Shop opens</t>
        </is>
      </c>
      <c r="F22" s="24" t="inlineStr">
        <is>
          <t>Both parties alerted immediately and once more at opening; order then proceeds normally.</t>
        </is>
      </c>
      <c r="G22" s="24" t="inlineStr">
        <is>
          <t>Pass</t>
        </is>
      </c>
      <c r="H22" s="24" t="inlineStr">
        <is>
          <t>[Run 2026-10-24 17:07: Local Pass · Staging Not run (rule) · Production Not run. local: closed: checkout without confirming → 409 "QA Journey Shop mvmmv6no 3 is closed right now. Confirm you want to continue — your order may be processed once the shop opens."; confirmed DB-20261024-B3YA4C placed; at once: customer "Order confirmed / Order placed — shop is closed now", shop "New order while your shop is closed"; opened → one more alert each (sweep run twice); accepted, delivered
staging: not run on staging: needs the server's database (local run only)]</t>
        </is>
      </c>
    </row>
    <row r="23" ht="68.25" customHeight="1" s="13">
      <c r="A23" s="24" t="inlineStr">
        <is>
          <t>SC-22</t>
        </is>
      </c>
      <c r="B23" s="24" t="inlineStr">
        <is>
          <t>Price governance</t>
        </is>
      </c>
      <c r="C23" s="24" t="inlineStr">
        <is>
          <t>GS-015, GS-013, NEW-010</t>
        </is>
      </c>
      <c r="D23" s="24" t="inlineStr">
        <is>
          <t>P1</t>
        </is>
      </c>
      <c r="E23" s="24" t="inlineStr">
        <is>
          <t>1. Admin sets an MRP
2. Owner tries to price above it by form and Excel
3. Operator proposes a price change; owner approves
4. Customer sees the new price and discount
5. Owner changes the MRP of one product for the own shop (NEW-010)
6. Customer compares the product across two shops</t>
        </is>
      </c>
      <c r="F23" s="24" t="inlineStr">
        <is>
          <t>MRP guard holds on every path; approval flow gates the operator's change. The owner's MRP change shows for that shop only; the other shop and the master keep theirs.</t>
        </is>
      </c>
      <c r="G23" s="24" t="inlineStr">
        <is>
          <t>Pass</t>
        </is>
      </c>
      <c r="H23" s="24" t="inlineStr">
        <is>
          <t>Updated 3-Oct
[Run 2026-10-24 17:07: Local Pass (partial) · Staging Not run (rule) · Production Not run. local: not covered: the price form is checked through the request it sends (PATCH /api/shops/{id}/prices); the shop-level MRP (NEW-010) is superseded — one master MRP for every shop (docs/three-modules-2026-10/PLAN.md §1.2 'MRP is master-only'; docs/product-import-2026-10/README.md decision 1)
staging: not run on staging: needs the server's database (local run only)]</t>
        </is>
      </c>
    </row>
    <row r="24" ht="90.75" customHeight="1" s="13">
      <c r="A24" s="24" t="inlineStr">
        <is>
          <t>SC-23</t>
        </is>
      </c>
      <c r="B24" s="24" t="inlineStr">
        <is>
          <t>New shop stocks up by category and makes its first sales</t>
        </is>
      </c>
      <c r="C24" s="24" t="inlineStr">
        <is>
          <t>NEW-009, NEW-008, WF-001, WF-002, GS-016</t>
        </is>
      </c>
      <c r="D24" s="24" t="inlineStr">
        <is>
          <t>P0</t>
        </is>
      </c>
      <c r="E24" s="24" t="inlineStr">
        <is>
          <t>1. Shop C (approved, no products) adds a product category
2. Owner opens the inventory: every product of the category is there at stock 100
3. Owner opens the 'needs price' list and sets prices for products that had none, including one loose product
4. Owner corrects two stock figures to the real count
5. Customer finds the shop, buys one packaged product and 500 g of the loose product
6. Shop accepts, picks, packs; rider delivers
7. Owner checks inventory, movements and the sales figure</t>
        </is>
      </c>
      <c r="F24" s="24" t="inlineStr">
        <is>
          <t>All products added once at 100; unpriced ones not buyable until priced; the order is charged at the shop prices; stock falls by exactly what was sold; movements and revenue match the order.</t>
        </is>
      </c>
      <c r="G24" s="24" t="inlineStr">
        <is>
          <t>Pass</t>
        </is>
      </c>
      <c r="H24" s="24" t="inlineStr">
        <is>
          <t>Added 3-Oct
[Run 2026-10-24 17:07: Local Pass · Staging Not run (rule) · Production Not run. local: 121 products added once at 100; 'Needs a price (82)'; unpriced loose not buyable (409); priced ₹80/kg; counts → 37 and 12; DB-20261024-RCDQOM: ₹130 at the shop's prices, delivered; stock 37 → 36 and loose −500 g; sale movement linked; 'Goods delivered' +₹130
staging: not run on staging: needs the server's database (local run only)]</t>
        </is>
      </c>
    </row>
    <row r="25" ht="68.25" customHeight="1" s="13">
      <c r="A25" s="24" t="inlineStr">
        <is>
          <t>SC-24</t>
        </is>
      </c>
      <c r="B25" s="24" t="inlineStr">
        <is>
          <t>Loose goods: from no price to a sale</t>
        </is>
      </c>
      <c r="C25" s="24" t="inlineStr">
        <is>
          <t>NEW-008, GS-022, GS-024</t>
        </is>
      </c>
      <c r="D25" s="24" t="inlineStr">
        <is>
          <t>P0</t>
        </is>
      </c>
      <c r="E25" s="24" t="inlineStr">
        <is>
          <t>1. Operator creates a loose product in the master
2. Shops A and B add it; both see an empty price
3. Customer sees both as price not set and cannot add either
4. Shop B sets Rs 60 per kg; Shop A leaves it empty
5. Customer compares, buys 750 g from Shop B
6. Shop B clears the price again</t>
        </is>
      </c>
      <c r="F25" s="24" t="inlineStr">
        <is>
          <t>No Rs 0 is ever shown or charged. Only the priced shop is buyable. The order is Rs 45 exactly. After the price is cleared the product is no longer buyable.</t>
        </is>
      </c>
      <c r="G25" s="24" t="inlineStr">
        <is>
          <t>Pass</t>
        </is>
      </c>
      <c r="H25" s="24" t="inlineStr">
        <is>
          <t>Added 3-Oct
[Run 2026-10-24 17:07: Local Pass (partial) · Staging Not run (rule) · Production Not run. local: not covered: the loose master product is arranged in the catalogue database (the operator's create-product API has no LOOSE kind — loose master products come from the product master's promote step)
staging: not run on staging: needs the server's database (local run only)]</t>
        </is>
      </c>
    </row>
    <row r="26" ht="68.25" customHeight="1" s="13">
      <c r="A26" s="24" t="inlineStr">
        <is>
          <t>SC-25</t>
        </is>
      </c>
      <c r="B26" s="24" t="inlineStr">
        <is>
          <t>Shop-specific MRP</t>
        </is>
      </c>
      <c r="C26" s="24" t="inlineStr">
        <is>
          <t>NEW-010, GS-015, GS-022</t>
        </is>
      </c>
      <c r="D26" s="24" t="inlineStr">
        <is>
          <t>P0</t>
        </is>
      </c>
      <c r="E26" s="24" t="inlineStr">
        <is>
          <t>1. Shops A and B sell the same packaged product, master MRP Rs 50
2. Owner A changes the MRP to Rs 55 and the price to Rs 52
3. Customer compares both shops
4. Admin changes the master MRP to Rs 60
5. Customer buys from each shop
6. Owner A tries to change the MRP of Shop B through the API</t>
        </is>
      </c>
      <c r="F26" s="24" t="inlineStr">
        <is>
          <t>Shop A shows MRP 55 throughout; Shop B follows the master (50, then 60). Each order records the MRP and price of its own shop. The cross-shop change is refused.</t>
        </is>
      </c>
      <c r="G26" s="24" t="inlineStr">
        <is>
          <t>Fail</t>
        </is>
      </c>
      <c r="H26" s="24" t="inlineStr">
        <is>
          <t>Added 3-Oct
[Run 2026-10-24 17:07: Local Fail · Staging Not run (rule) · Production Not run. local: DB-20261024-NE7VTE: the order line records no MRP — order_items has no MRP column (same defect as TC-SPI-005) | DB-20261024-6HGET3: the order line records no MRP — order_items has no MRP column (same defect as TC-SPI-005) | expect(received).toEqual(expected) // deep equality | - Expected  - 1
staging: not run on staging: needs the server's database (local run only)]</t>
        </is>
      </c>
    </row>
    <row r="27" ht="79.5" customHeight="1" s="13">
      <c r="A27" s="24" t="inlineStr">
        <is>
          <t>SC-26</t>
        </is>
      </c>
      <c r="B27" s="24" t="inlineStr">
        <is>
          <t>Sell, purchase and inventory reconcile over a day</t>
        </is>
      </c>
      <c r="C27" s="24" t="inlineStr">
        <is>
          <t>WF-001, WF-002, GS-016, GS-057, WF-010</t>
        </is>
      </c>
      <c r="D27" s="24" t="inlineStr">
        <is>
          <t>P0</t>
        </is>
      </c>
      <c r="E27" s="24" t="inlineStr">
        <is>
          <t>1. Note opening stock for three Shop A products
2. Owner records stock received for one product
3. Customers place five orders: one delivered normally, one cancelled, one with a substitution, one with a removed line, one delivered then returned
4. Owner writes off damaged stock
5. Owner records an in-shop sale
6. At the end compare inventory, movements, shop sales and the admin money trace</t>
        </is>
      </c>
      <c r="F27" s="24" t="inlineStr">
        <is>
          <t>For each product: closing stock = opening + received - sold - written off + returned to stock. Sales count delivered goods only. Wallet debits and refunds match the orders. Every stock change has a movement.</t>
        </is>
      </c>
      <c r="G27" s="24" t="inlineStr">
        <is>
          <t>Pass</t>
        </is>
      </c>
      <c r="H27" s="24" t="inlineStr">
        <is>
          <t>Added 3-Oct
[Run 2026-10-24 17:07: Local Pass · Staging Not run (rule) · Production Not run. local: QA Day Atta: 50 + 20 − 7 − 0 + 0 = 63, stock 63, movements Σ 13 | QA Day Sugar: 50 + 0 − 5 − 0 + 1 = 46, stock 46, movements Σ -4 | QA Day Salt: 50 + 0 − 0 − 2 + 0 = 48, stock 48, movements Σ -2; 'Goods delivered' +₹310 = delivered goods; wallet net ₹270 = orders' net (return refund ₹40)
staging: not run on staging: needs the server's database (local run only)]</t>
        </is>
      </c>
    </row>
    <row r="28" ht="57" customHeight="1" s="13">
      <c r="A28" s="24" t="inlineStr">
        <is>
          <t>SC-27</t>
        </is>
      </c>
      <c r="B28" s="24" t="inlineStr">
        <is>
          <t>Log out and log off on a shared phone</t>
        </is>
      </c>
      <c r="C28" s="24" t="inlineStr">
        <is>
          <t>GS-001, GS-002, GS-071</t>
        </is>
      </c>
      <c r="D28" s="24" t="inlineStr">
        <is>
          <t>P0</t>
        </is>
      </c>
      <c r="E28" s="24" t="inlineStr">
        <is>
          <t>1. Shop owner signs in on a phone browser, works in the shop portal, signs out
2. Back button and a saved /shop link are tried
3. A customer signs in on the same browser, shops and signs out
4. The owner signs in again
5. A session is left idle past its lifetime</t>
        </is>
      </c>
      <c r="F28" s="24" t="inlineStr">
        <is>
          <t>After each log out nothing of the previous user is visible or reachable. Each user finds the own cart and data on return. The idle session is ended and returns to the page asked for after sign-in.</t>
        </is>
      </c>
      <c r="G28" s="24" t="inlineStr">
        <is>
          <t>Fail</t>
        </is>
      </c>
      <c r="H28" s="24" t="inlineStr">
        <is>
          <t>Added 3-Oct
[Run 2026-10-24 20:52: Local Fail · Staging Not run (rule) · Production Not run. local: after signing in again at /signin the page is http://localhost:3351/, not the one asked for (/shop/manage/today) | expect(received).toEqual(expected) // deep equality | - Expected  - 1 | + Received  + 3 ‖ [phone] after signing in again at /signin the page is http://localhost:3352/, not the one asked for (/shop/manage/today) | expect(received).toEqual(expected) // deep equality | - Expected  - 1 | + Received  + 3
staging: not run on staging: needs the server's database (local run only)]</t>
        </is>
      </c>
    </row>
    <row r="29" ht="57" customHeight="1" s="13">
      <c r="A29" s="24" t="inlineStr">
        <is>
          <t>SC-28</t>
        </is>
      </c>
      <c r="B29" s="24" t="inlineStr">
        <is>
          <t>Field validation along the first-order journey</t>
        </is>
      </c>
      <c r="C29" s="24" t="inlineStr">
        <is>
          <t>GS-001, GS-004, GS-024, GS-029, GS-032</t>
        </is>
      </c>
      <c r="D29" s="24" t="inlineStr">
        <is>
          <t>P1</t>
        </is>
      </c>
      <c r="E29" s="24" t="inlineStr">
        <is>
          <t>1. New user enters an invalid then a valid mobile, email and code
2. Enters invalid then valid profile and address fields (name, recipient mobile, PIN, map pin)
3. Tops up with an invalid then a valid amount and voucher code
4. Adds an invalid then a valid quantity to the cart
5. Places the order with notes and delivery instructions</t>
        </is>
      </c>
      <c r="F29" s="24" t="inlineStr">
        <is>
          <t>Every invalid entry is stopped at its field with a clear message and typed values are kept. Nothing invalid is saved. The valid path completes with one order and one debit.</t>
        </is>
      </c>
      <c r="G29" s="24" t="inlineStr">
        <is>
          <t>Pass</t>
        </is>
      </c>
      <c r="H29" s="24" t="inlineStr">
        <is>
          <t>Added 3-Oct
[Run 2026-10-24 17:07: Local Pass (partial) · Staging Not run (rule) · Production Not run. local: not covered: the top-up is started on the site and settled in the local database (no payment gateway on the local production build); the top-up and quantity entries are tried on their APIs (the wallet and cart screens send the same requests)
staging: not run on staging: needs the server's database (local run only)]</t>
        </is>
      </c>
    </row>
    <row r="30" ht="68.65000000000001" customHeight="1" s="13">
      <c r="A30" s="24" t="inlineStr">
        <is>
          <t>SC-29</t>
        </is>
      </c>
      <c r="B30" s="24" t="inlineStr">
        <is>
          <t>Order paid online, invoiced and refunded to source</t>
        </is>
      </c>
      <c r="C30" s="24" t="inlineStr">
        <is>
          <t>GS-028, GS-073, SM-005, NEW-007, WF-001</t>
        </is>
      </c>
      <c r="D30" s="24" t="inlineStr">
        <is>
          <t>P0</t>
        </is>
      </c>
      <c r="E30" s="24" t="inlineStr">
        <is>
          <t>1. Customer checks out and pays by UPI
2. Shop fulfils; rider delivers with a photo
3. Customer downloads the tax invoices
4. Customer returns one item; refund is approved
5. Admin runs reconciliation
6. A second customer abandons the payment page</t>
        </is>
      </c>
      <c r="F30" s="24" t="inlineStr">
        <is>
          <t>Paid order moves CAPTURED -&gt; RECONCILED; invoices match the order; the refund goes to the source with a credit note; the abandoned payment leaves no order, no charge and no stock held.</t>
        </is>
      </c>
      <c r="G30" s="24" t="inlineStr">
        <is>
          <t>Pass</t>
        </is>
      </c>
      <c r="H30" s="24" t="inlineStr">
        <is>
          <t>Added 4-Oct
[Run 2026-10-24 17:07: Local Pass · Staging Not run (rule) · Production Not run. local: DB-20261024-H3M80X: paid by UPI (CAPTURED), delivered with a photo (refused without), TAX_INVOICE BKS-000006/2026-27/000005 = goods ₹500, PDF; return of 1 → REFUND_COMPLETED, refund to source SUCCESS ₹250, credit note ₹250; reconciliation MATCHED; abandoned payment → no order, charge or stock
staging: not run on staging: needs the server's database (local run only)]</t>
        </is>
      </c>
    </row>
    <row r="31" ht="57.45" customHeight="1" s="13">
      <c r="A31" s="24" t="inlineStr">
        <is>
          <t>SC-30</t>
        </is>
      </c>
      <c r="B31" s="24" t="inlineStr">
        <is>
          <t>Mobile sign-up by SMS and messages on every channel</t>
        </is>
      </c>
      <c r="C31" s="24" t="inlineStr">
        <is>
          <t>GS-001, GS-074</t>
        </is>
      </c>
      <c r="D31" s="24" t="inlineStr">
        <is>
          <t>P0</t>
        </is>
      </c>
      <c r="E31" s="24" t="inlineStr">
        <is>
          <t>1. New user signs up with a mobile and the SMS code
2. Enters a wrong code first
3. Switches on SMS, WhatsApp and push
4. Places an order through to delivery
5. Switches WhatsApp off and orders again</t>
        </is>
      </c>
      <c r="F31" s="24" t="inlineStr">
        <is>
          <t>Wrong code refused; right code signs in with the mobile verified. Each switched-on channel delivers each event once; the switched-off channel stays silent.</t>
        </is>
      </c>
      <c r="G31" s="24" t="inlineStr">
        <is>
          <t>Blocked</t>
        </is>
      </c>
      <c r="H31" s="24" t="inlineStr">
        <is>
          <t>Added 4-Oct
[Run 2026-10-24 17:07: Local Manual · Staging Manual · Production Not run. local: not automated: needs a real handset: the SMS sign-in code, WhatsApp messages and push notifications go to a phone (the local build sends codes by e-mail only and has no SMS, WhatsApp or push provider); run on staging with a test handset
staging: not automated: needs a real handset: the SMS sign-in code, WhatsApp messages and push notifications go to a phone (the local build sends codes by e-mail only and has no SMS, WhatsApp or push provider); run on staging with a test handset]</t>
        </is>
      </c>
    </row>
    <row r="32" ht="57.45" customHeight="1" s="13">
      <c r="A32" s="24" t="inlineStr">
        <is>
          <t>SC-31</t>
        </is>
      </c>
      <c r="B32" s="24" t="inlineStr">
        <is>
          <t>Shop onboarding with KYC documents and fee gate</t>
        </is>
      </c>
      <c r="C32" s="24" t="inlineStr">
        <is>
          <t>SM-002, GS-007, WF-008, GS-008</t>
        </is>
      </c>
      <c r="D32" s="24" t="inlineStr">
        <is>
          <t>P0</t>
        </is>
      </c>
      <c r="E32" s="24" t="inlineStr">
        <is>
          <t>1. Owner registers and uploads KYC documents, one of them invalid
2. Operations reject that document; owner re-uploads
3. Operator tries to approve before the fee is paid
4. Fee is recorded and verified; operator approves
5. Customer finds the shop</t>
        </is>
      </c>
      <c r="F32" s="24" t="inlineStr">
        <is>
          <t>Invalid document refused; state moves KYC_PENDING -&gt; PAYMENT_PENDING -&gt; VERIFIED -&gt; ACTIVE; approval is blocked until the fee is verified; the shop is listed only when ACTIVE.</t>
        </is>
      </c>
      <c r="G32" s="24" t="inlineStr">
        <is>
          <t>Pass</t>
        </is>
      </c>
      <c r="H32" s="24" t="inlineStr">
        <is>
          <t>Added 4-Oct
[Run 2026-10-24 17:07: Local Pass · Staging Not run (rule) · Production Not run. local: HTML-as-PDF → 422; PAN, GSTIN, Shop Act uploaded; Shop Act rejected ("the stamp is not readable") and re-uploaded; KYC_PENDING → PAYMENT_PENDING → VERIFIED → ACTIVE; approve before the fee → 409 "QA Journey Shop mvmmqb1z 11 cannot be approved until its registration fee is set"; KYC_PENDING:not listed, PAYMENT_PENDING:not listed, VERIFIED:not listed, ACTIVE:listed
staging: not run on staging: needs the server's database (local run only)]</t>
        </is>
      </c>
    </row>
    <row r="33" ht="57.45" customHeight="1" s="13">
      <c r="A33" s="24" t="inlineStr">
        <is>
          <t>SC-32</t>
        </is>
      </c>
      <c r="B33" s="24" t="inlineStr">
        <is>
          <t>Multi-shop purchase with coupon, scheduled slot and master order</t>
        </is>
      </c>
      <c r="C33" s="24" t="inlineStr">
        <is>
          <t>GS-033, NAV-003, GS-027</t>
        </is>
      </c>
      <c r="D33" s="24" t="inlineStr">
        <is>
          <t>P0</t>
        </is>
      </c>
      <c r="E33" s="24" t="inlineStr">
        <is>
          <t>1. Customer fills a cart from two shops
2. Tries an expired coupon, then a valid one
3. Chooses a scheduled slot; a full slot is refused
4. Pays
5. One shop rejects its order</t>
        </is>
      </c>
      <c r="F33" s="24" t="inlineStr">
        <is>
          <t>One master reference with two child orders; discount applied once; slot carried on both; only the rejected part is refunded, in proportion.</t>
        </is>
      </c>
      <c r="G33" s="24" t="inlineStr">
        <is>
          <t>Fail</t>
        </is>
      </c>
      <c r="H33" s="24" t="inlineStr">
        <is>
          <t>Added 4-Oct
[Run 2026-10-24 17:07: Local Fail · Staging Not run (rule) · Production Not run. local: checkout — HTTP 429: Too many requests. Please wait a moment and try again. | expect(received).toContain(expected) // indexOf | Expected value: 429 | Received array: [201]
staging: not run on staging: needs the server's database (local run only)]</t>
        </is>
      </c>
    </row>
    <row r="34" ht="23.85" customHeight="1" s="13">
      <c r="A34" s="24" t="inlineStr">
        <is>
          <t>SC-33</t>
        </is>
      </c>
      <c r="B34" s="24" t="inlineStr">
        <is>
          <t>Shop does not accept in time</t>
        </is>
      </c>
      <c r="C34" s="24" t="inlineStr">
        <is>
          <t>NEW-007, GS-034</t>
        </is>
      </c>
      <c r="D34" s="24" t="inlineStr">
        <is>
          <t>P0</t>
        </is>
      </c>
      <c r="E34" s="24" t="inlineStr">
        <is>
          <t>1. Customer places a wallet order, an online order and a COD order with one shop
2. The shop accepts none before the timeout</t>
        </is>
      </c>
      <c r="F34" s="24" t="inlineStr">
        <is>
          <t>All three are cancelled automatically once: wallet credited, online refunded to source, COD nothing; stock restored; customer and shop notified.</t>
        </is>
      </c>
      <c r="G34" s="24" t="inlineStr">
        <is>
          <t>Pass</t>
        </is>
      </c>
      <c r="H34" s="24" t="inlineStr">
        <is>
          <t>Added 4-Oct
[Run 2026-10-24 17:07: Local Pass · Staging Not run (rule) · Production Not run. local: DB-20261024-M0BOAE / DB-20261024-RPQWE0 / DB-20261024-0V2A4W → REFUNDED, REFUNDED, CANCELLED; wallet back to ₹2788; online refund SUCCESS ₹50; COD nothing; stock 20; customer and shop notified
staging: not run on staging: needs the server's database (local run only)]</t>
        </is>
      </c>
    </row>
    <row r="35" ht="46.25" customHeight="1" s="13">
      <c r="A35" s="24" t="inlineStr">
        <is>
          <t>SC-34</t>
        </is>
      </c>
      <c r="B35" s="24" t="inlineStr">
        <is>
          <t>Rider profile edit, batching and photo proof</t>
        </is>
      </c>
      <c r="C35" s="24" t="inlineStr">
        <is>
          <t>NAV-013, GA-005, SM-003, NEW-007</t>
        </is>
      </c>
      <c r="D35" s="24" t="inlineStr">
        <is>
          <t>P1</t>
        </is>
      </c>
      <c r="E35" s="24" t="inlineStr">
        <is>
          <t>1. Rider changes bank details with the confirmation code
2. Two nearby orders become READY and are batched to the rider
3. Rider delivers both with a photo each
4. Operations block the rider afterwards</t>
        </is>
      </c>
      <c r="F35" s="24" t="inlineStr">
        <is>
          <t>Bank change waits for verification before any payout; both orders delivered with their own codes and photos; the blocked rider gets no further offers.</t>
        </is>
      </c>
      <c r="G35" s="24" t="inlineStr">
        <is>
          <t>Pass</t>
        </is>
      </c>
      <c r="H35" s="24" t="inlineStr">
        <is>
          <t>Added 4-Oct
[Run 2026-10-24 17:07: Local Pass (partial) · Staging Not run (rule) · Production Not run. local: not covered: the bank change goes to an admin's review (no confirmation-code step exists for a rider's bank change on this build — rider-profile.ts requestSensitiveChange); batching and photo proof are rules switched on for the journey
staging: not run on staging: needs the server's database (local run only)]</t>
        </is>
      </c>
    </row>
    <row r="36" ht="35.05" customHeight="1" s="13">
      <c r="A36" s="24" t="inlineStr">
        <is>
          <t>SC-35</t>
        </is>
      </c>
      <c r="B36" s="24" t="inlineStr">
        <is>
          <t>Customer referral</t>
        </is>
      </c>
      <c r="C36" s="24" t="inlineStr">
        <is>
          <t>GS-054, GS-068</t>
        </is>
      </c>
      <c r="D36" s="24" t="inlineStr">
        <is>
          <t>P1</t>
        </is>
      </c>
      <c r="E36" s="24" t="inlineStr">
        <is>
          <t>1. Customer 1 shares the referral code
2. A new customer signs up with it and gets a first order delivered
3. Customer 1 then tries to refer an own second account on the same phone</t>
        </is>
      </c>
      <c r="F36" s="24" t="inlineStr">
        <is>
          <t>First referral rewards both once after delivery. The self-referral earns nothing and raises a risk flag.</t>
        </is>
      </c>
      <c r="G36" s="24" t="inlineStr">
        <is>
          <t>Pass</t>
        </is>
      </c>
      <c r="H36" s="24" t="inlineStr">
        <is>
          <t>Added 4-Oct
[Run 2026-10-24 17:07: Local Pass · Staging Not run (rule) · Production Not run. local: code GKEWL9MZ; friend's DB-20261024-Z03X5Q delivered → ₹50 each, once; own second account: same mobile refused (one account per mobile), same home → referral REJECTED "Delivered to the referrer's own address.", no reward; flags REFERRAL_ABUSE
staging: not run on staging: needs the server's database (local run only)]</t>
        </is>
      </c>
    </row>
    <row r="37">
      <c r="A37" s="24" t="inlineStr">
        <is>
          <t>SC-36</t>
        </is>
      </c>
      <c r="B37" s="24" t="inlineStr">
        <is>
          <t>Release check on both sites</t>
        </is>
      </c>
      <c r="C37" s="24" t="inlineStr">
        <is>
          <t>QA-010, QA-012, QA-013</t>
        </is>
      </c>
      <c r="D37" s="24" t="inlineStr">
        <is>
          <t>P0</t>
        </is>
      </c>
      <c r="E37" s="24" t="inlineStr">
        <is>
          <t>1. The release reaches test.gokesari.com
2. The production-safe and signed-in tiers run there; defects are fixed and re-deployed
3. The release reaches gokesari.com
4. The production-safe tier runs there
5. The register is rebuilt</t>
        </is>
      </c>
      <c r="F37" s="24" t="inlineStr">
        <is>
          <t>The same suite commit has a staging run and a production run in docs/testing/qa-runs, and the register shows each case's status on both sites.</t>
        </is>
      </c>
      <c r="G37" s="24" t="inlineStr">
        <is>
          <t>Pass</t>
        </is>
      </c>
      <c r="H37" s="24" t="inlineStr">
        <is>
          <t>Added 24-Oct (QA automation)
[Run 2026-10-29 13:59: Local Pass · Staging Pass · Production Pass. local: suite 99789f4: staging and production runs; 83 production-safe checks on production
staging: suite 99789f4: staging and production runs; 83 production-safe checks on production
production: suite 99789f4: staging and production runs; 83 production-safe checks on production]</t>
        </is>
      </c>
    </row>
    <row r="38">
      <c r="A38" s="24" t="inlineStr">
        <is>
          <t>SC-37</t>
        </is>
      </c>
      <c r="B38" s="24" t="inlineStr">
        <is>
          <t>Signed-in test run by the Claude QA agent</t>
        </is>
      </c>
      <c r="C38" s="24" t="inlineStr">
        <is>
          <t>QA-011, QA-010</t>
        </is>
      </c>
      <c r="D38" s="24" t="inlineStr">
        <is>
          <t>P1</t>
        </is>
      </c>
      <c r="E38" s="24" t="inlineStr">
        <is>
          <t>1. The agent signs the staging test accounts in with the emailed codes (owner's mailbox)
2. It runs the signed-in tier on test.gokesari.com
3. It collects the results and rebuilds the register</t>
        </is>
      </c>
      <c r="F38" s="24" t="inlineStr">
        <is>
          <t>A staging run with signed-in checks that passed (so the sessions worked), collected into docs/testing/qa-runs.</t>
        </is>
      </c>
      <c r="G38" s="24" t="inlineStr">
        <is>
          <t>Pass</t>
        </is>
      </c>
      <c r="H38" s="24" t="inlineStr">
        <is>
          <t>Added 24-Oct (QA automation)
[Run 2026-10-29 13:59: Local Blocked · Staging Pass · Production Pass. local: needs a collected staging run with signed-in checks
staging: 177 signed-in checks passed on test.gokesari.com (133 case IDs)
production: 177 signed-in checks passed on test.gokesari.com (133 case IDs)]</t>
        </is>
      </c>
    </row>
  </sheetData>
  <autoFilter ref="A1:H38"/>
  <dataValidations count="1">
    <dataValidation sqref="G2:G38" showDropDown="0" showInputMessage="0" showErrorMessage="0" allowBlank="0" type="list" errorStyle="stop" operator="between">
      <formula1>"Not run,Pass,Fail,Blocked"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17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12" min="1" max="1"/>
    <col width="18" customWidth="1" style="12" min="2" max="2"/>
    <col width="40" customWidth="1" style="12" min="3" max="3"/>
    <col width="20" customWidth="1" style="12" min="4" max="4"/>
    <col width="9" customWidth="1" style="12" min="5" max="5"/>
    <col width="70" customWidth="1" style="12" min="6" max="6"/>
    <col width="50" customWidth="1" style="12" min="7" max="7"/>
  </cols>
  <sheetData>
    <row r="1" ht="30" customHeight="1" s="13">
      <c r="A1" s="22" t="inlineStr">
        <is>
          <t>Feature ID</t>
        </is>
      </c>
      <c r="B1" s="22" t="inlineStr">
        <is>
          <t>Module</t>
        </is>
      </c>
      <c r="C1" s="22" t="inlineStr">
        <is>
          <t>Feature</t>
        </is>
      </c>
      <c r="D1" s="22" t="inlineStr">
        <is>
          <t>Development status</t>
        </is>
      </c>
      <c r="E1" s="22" t="inlineStr">
        <is>
          <t>Test cases</t>
        </is>
      </c>
      <c r="F1" s="22" t="inlineStr">
        <is>
          <t>TC IDs</t>
        </is>
      </c>
      <c r="G1" s="22" t="inlineStr">
        <is>
          <t>Not-yet-testable part</t>
        </is>
      </c>
    </row>
    <row r="2" ht="15" customHeight="1" s="13">
      <c r="A2" s="24" t="inlineStr">
        <is>
          <t>RBAC-002</t>
        </is>
      </c>
      <c r="B2" s="24" t="inlineStr">
        <is>
          <t>Security</t>
        </is>
      </c>
      <c r="C2" s="24" t="inlineStr">
        <is>
          <t>Place order (Customer, Admin only)</t>
        </is>
      </c>
      <c r="D2" s="24" t="inlineStr">
        <is>
          <t>COMPLETED</t>
        </is>
      </c>
      <c r="E2" s="24" t="n">
        <v>4</v>
      </c>
      <c r="F2" s="24" t="inlineStr">
        <is>
          <t>TC-RBAC-016, TC-RBAC-017, TC-RBAC-018, TC-SPI-007</t>
        </is>
      </c>
      <c r="G2" s="24" t="n"/>
    </row>
    <row r="3" ht="15" customHeight="1" s="13">
      <c r="A3" s="24" t="inlineStr">
        <is>
          <t>RBAC-007</t>
        </is>
      </c>
      <c r="B3" s="24" t="inlineStr">
        <is>
          <t>Security</t>
        </is>
      </c>
      <c r="C3" s="24" t="inlineStr">
        <is>
          <t>Assign delivery</t>
        </is>
      </c>
      <c r="D3" s="24" t="inlineStr">
        <is>
          <t>COMPLETED (2-Oct)</t>
        </is>
      </c>
      <c r="E3" s="24" t="n">
        <v>4</v>
      </c>
      <c r="F3" s="24" t="inlineStr">
        <is>
          <t>TC-DSP-009, TC-DSP-010, TC-DSP-014, TC-DSP-015</t>
        </is>
      </c>
      <c r="G3" s="24" t="n"/>
    </row>
    <row r="4" ht="15" customHeight="1" s="13">
      <c r="A4" s="24" t="inlineStr">
        <is>
          <t>RBAC-003</t>
        </is>
      </c>
      <c r="B4" s="24" t="inlineStr">
        <is>
          <t>Security</t>
        </is>
      </c>
      <c r="C4" s="24" t="inlineStr">
        <is>
          <t>Manage own shop (Operator Limited)</t>
        </is>
      </c>
      <c r="D4" s="24" t="inlineStr">
        <is>
          <t>UNCLEAR</t>
        </is>
      </c>
      <c r="E4" s="24" t="n">
        <v>1</v>
      </c>
      <c r="F4" s="24" t="inlineStr">
        <is>
          <t>TC-RBAC-008</t>
        </is>
      </c>
      <c r="G4" s="24" t="inlineStr">
        <is>
          <t>Part not built: Operator 'Limited' shop management</t>
        </is>
      </c>
    </row>
    <row r="5" ht="23.25" customHeight="1" s="13">
      <c r="A5" s="24" t="inlineStr">
        <is>
          <t>GS-002</t>
        </is>
      </c>
      <c r="B5" s="24" t="inlineStr">
        <is>
          <t>Identity &amp; Access</t>
        </is>
      </c>
      <c r="C5" s="24" t="inlineStr">
        <is>
          <t>Role-based access control</t>
        </is>
      </c>
      <c r="D5" s="24" t="inlineStr">
        <is>
          <t>COMPLETED</t>
        </is>
      </c>
      <c r="E5" s="24" t="n">
        <v>10</v>
      </c>
      <c r="F5" s="24" t="inlineStr">
        <is>
          <t>TC-RBAC-001, TC-RBAC-002, TC-RBAC-003, TC-RBAC-004, TC-RBAC-005, TC-RBAC-006, TC-RBAC-024, TC-AUTH-033, TC-CAT-048, TC-SPI-027</t>
        </is>
      </c>
      <c r="G5" s="24" t="n"/>
    </row>
    <row r="6" ht="102" customHeight="1" s="13">
      <c r="A6" s="24" t="inlineStr">
        <is>
          <t>GS-001</t>
        </is>
      </c>
      <c r="B6" s="24" t="inlineStr">
        <is>
          <t>Identity &amp; Access</t>
        </is>
      </c>
      <c r="C6" s="24" t="inlineStr">
        <is>
          <t>Mobile/email/Gmail login</t>
        </is>
      </c>
      <c r="D6" s="24" t="inlineStr">
        <is>
          <t>TREATED AS COMPLETED 4-Oct (open-features list 3-Oct: IN PROGRESS) - confirm on test with TC-PRE-012</t>
        </is>
      </c>
      <c r="E6" s="24" t="n">
        <v>63</v>
      </c>
      <c r="F6" s="24" t="inlineStr">
        <is>
          <t>TC-AUTH-001, TC-AUTH-002, TC-AUTH-003, TC-AUTH-004, TC-AUTH-005, TC-AUTH-006, TC-AUTH-007, TC-AUTH-008, TC-AUTH-009, TC-AUTH-010, TC-AUTH-011, TC-AUTH-012, TC-AUTH-013, TC-AUTH-014, TC-AUTH-015, TC-AUTH-016, TC-AUTH-017, TC-AUTH-018, TC-AUTH-019, TC-AUTH-020, TC-AUTH-021, TC-AUTH-022, TC-AUTH-023, TC-AUTH-024, TC-AUTH-025, TC-AUTH-026, TC-AUTH-027, TC-AUTH-028, TC-AUTH-029, TC-AUTH-030, TC-AUTH-031, TC-CART-015, TC-AUTH-032, TC-AUTH-033, TC-AUTH-034, TC-AUTH-035, TC-AUTH-036, TC-AUTH-037, TC-AUTH-038, TC-AUTH-039, TC-AUTH-040, TC-AUTH-041, TC-AUTH-042, TC-AUTH-043, TC-AUTH-044, TC-AUTH-045, TC-FLD-001, TC-FLD-002, TC-FLD-003, TC-FLD-005, TC-FLD-006, TC-FLD-007, TC-FLD-008, TC-FLD-009, TC-AUTH-046, TC-AUTH-047, TC-AUTH-048, TC-AUTH-049, TC-AUTH-050, TC-AUTH-051, TC-AUTH-052, TC-AUTH-053, TC-AUTH-054</t>
        </is>
      </c>
      <c r="G6" s="24" t="n"/>
    </row>
    <row r="7" ht="15" customHeight="1" s="13">
      <c r="A7" s="24" t="inlineStr">
        <is>
          <t>GS-070</t>
        </is>
      </c>
      <c r="B7" s="24" t="inlineStr">
        <is>
          <t>Security</t>
        </is>
      </c>
      <c r="C7" s="24" t="inlineStr">
        <is>
          <t>Privacy/consent management</t>
        </is>
      </c>
      <c r="D7" s="24" t="inlineStr">
        <is>
          <t>COMPLETED</t>
        </is>
      </c>
      <c r="E7" s="24" t="n">
        <v>6</v>
      </c>
      <c r="F7" s="24" t="inlineStr">
        <is>
          <t>TC-MKT-001, TC-MKT-002, TC-MKT-006, TC-FLD-004, TC-FLD-124, TC-NTF-019</t>
        </is>
      </c>
      <c r="G7" s="24" t="n"/>
    </row>
    <row r="8" ht="15" customHeight="1" s="13">
      <c r="A8" s="24" t="inlineStr">
        <is>
          <t>GS-067</t>
        </is>
      </c>
      <c r="B8" s="24" t="inlineStr">
        <is>
          <t>Admin</t>
        </is>
      </c>
      <c r="C8" s="24" t="inlineStr">
        <is>
          <t>Audit logs</t>
        </is>
      </c>
      <c r="D8" s="24" t="inlineStr">
        <is>
          <t>COMPLETED</t>
        </is>
      </c>
      <c r="E8" s="24" t="n">
        <v>7</v>
      </c>
      <c r="F8" s="24" t="inlineStr">
        <is>
          <t>TC-AUTH-028, TC-RBAC-021, TC-RBAC-022, TC-AUTH-045, TC-CAT-051, TC-CAT-064, TC-SPI-021</t>
        </is>
      </c>
      <c r="G8" s="24" t="inlineStr">
        <is>
          <t>Part not built: Dedicated Auditor role</t>
        </is>
      </c>
    </row>
    <row r="9" ht="15" customHeight="1" s="13">
      <c r="A9" s="24" t="inlineStr">
        <is>
          <t>RBAC-010</t>
        </is>
      </c>
      <c r="B9" s="24" t="inlineStr">
        <is>
          <t>Security</t>
        </is>
      </c>
      <c r="C9" s="24" t="inlineStr">
        <is>
          <t>View orders (role-scoped)</t>
        </is>
      </c>
      <c r="D9" s="24" t="inlineStr">
        <is>
          <t>COMPLETED (2-Oct)</t>
        </is>
      </c>
      <c r="E9" s="24" t="n">
        <v>3</v>
      </c>
      <c r="F9" s="24" t="inlineStr">
        <is>
          <t>TC-RBAC-019, TC-SOC-009, TC-CART-026</t>
        </is>
      </c>
      <c r="G9" s="24" t="n"/>
    </row>
    <row r="10" ht="15" customHeight="1" s="13">
      <c r="A10" s="24" t="inlineStr">
        <is>
          <t>SM-001</t>
        </is>
      </c>
      <c r="B10" s="24" t="inlineStr">
        <is>
          <t>Orders</t>
        </is>
      </c>
      <c r="C10" s="24" t="inlineStr">
        <is>
          <t>Order state machine</t>
        </is>
      </c>
      <c r="D10" s="24" t="inlineStr">
        <is>
          <t>COMPLETED</t>
        </is>
      </c>
      <c r="E10" s="24" t="n">
        <v>6</v>
      </c>
      <c r="F10" s="24" t="inlineStr">
        <is>
          <t>TC-ORD-001, TC-ORD-002, TC-ORD-003, TC-ORD-004, TC-ORD-005, TC-SPI-018</t>
        </is>
      </c>
      <c r="G10" s="24" t="n"/>
    </row>
    <row r="11" ht="34.5" customHeight="1" s="13">
      <c r="A11" s="24" t="inlineStr">
        <is>
          <t>SM-005</t>
        </is>
      </c>
      <c r="B11" s="24" t="inlineStr">
        <is>
          <t>Payments</t>
        </is>
      </c>
      <c r="C11" s="24" t="inlineStr">
        <is>
          <t>Payment state machine</t>
        </is>
      </c>
      <c r="D11" s="24" t="inlineStr">
        <is>
          <t>TREATED AS COMPLETED 4-Oct (open-features list 3-Oct: IN PROGRESS) - confirm on test with TC-PRE-012</t>
        </is>
      </c>
      <c r="E11" s="24" t="n">
        <v>8</v>
      </c>
      <c r="F11" s="24" t="inlineStr">
        <is>
          <t>TC-PAY-006, TC-PAY-019, TC-PAY-020, TC-PAY-023, TC-PAY-026, TC-PAY-027, TC-PAY-031, TC-PAY-032</t>
        </is>
      </c>
      <c r="G11" s="24" t="n"/>
    </row>
    <row r="12" ht="34.5" customHeight="1" s="13">
      <c r="A12" s="24" t="inlineStr">
        <is>
          <t>SM-002</t>
        </is>
      </c>
      <c r="B12" s="24" t="inlineStr">
        <is>
          <t>Shop Onboarding</t>
        </is>
      </c>
      <c r="C12" s="24" t="inlineStr">
        <is>
          <t>Shop state machine</t>
        </is>
      </c>
      <c r="D12" s="24" t="inlineStr">
        <is>
          <t>TREATED AS COMPLETED 4-Oct (open-features list 3-Oct: IN PROGRESS) - confirm on test with TC-PRE-012</t>
        </is>
      </c>
      <c r="E12" s="24" t="n">
        <v>6</v>
      </c>
      <c r="F12" s="24" t="inlineStr">
        <is>
          <t>TC-ONB-031, TC-ONB-038, TC-ONB-040, TC-ONB-041, TC-ONB-042, TC-ONB-043</t>
        </is>
      </c>
      <c r="G12" s="24" t="n"/>
    </row>
    <row r="13" ht="23.25" customHeight="1" s="13">
      <c r="A13" s="24" t="inlineStr">
        <is>
          <t>SM-003</t>
        </is>
      </c>
      <c r="B13" s="24" t="inlineStr">
        <is>
          <t>Delivery</t>
        </is>
      </c>
      <c r="C13" s="24" t="inlineStr">
        <is>
          <t>Gig state machine</t>
        </is>
      </c>
      <c r="D13" s="24" t="inlineStr">
        <is>
          <t>TREATED AS COMPLETED 4-Oct (open-features list 3-Oct: IN PROGRESS) - confirm on test with TC-PRE-012</t>
        </is>
      </c>
      <c r="E13" s="24" t="n">
        <v>4</v>
      </c>
      <c r="F13" s="24" t="inlineStr">
        <is>
          <t>TC-DEL-015, TC-DEL-025, TC-DEL-026, TC-DEL-027</t>
        </is>
      </c>
      <c r="G13" s="24" t="n"/>
    </row>
    <row r="14" ht="23.25" customHeight="1" s="13">
      <c r="A14" s="24" t="inlineStr">
        <is>
          <t>SM-004</t>
        </is>
      </c>
      <c r="B14" s="24" t="inlineStr">
        <is>
          <t>Subscription</t>
        </is>
      </c>
      <c r="C14" s="24" t="inlineStr">
        <is>
          <t>Subscription state machine</t>
        </is>
      </c>
      <c r="D14" s="24" t="inlineStr">
        <is>
          <t>TREATED AS COMPLETED 4-Oct (open-features list 3-Oct: IN PROGRESS) - confirm on test with TC-PRE-012</t>
        </is>
      </c>
      <c r="E14" s="24" t="n">
        <v>7</v>
      </c>
      <c r="F14" s="24" t="inlineStr">
        <is>
          <t>TC-SUB-008, TC-SUB-011, TC-SUB-012, TC-SUB-016, TC-SUB-017, TC-SUB-018, TC-SUB-019</t>
        </is>
      </c>
      <c r="G14" s="24" t="n"/>
    </row>
    <row r="15" ht="34.5" customHeight="1" s="13">
      <c r="A15" s="24" t="inlineStr">
        <is>
          <t>SM-006</t>
        </is>
      </c>
      <c r="B15" s="24" t="inlineStr">
        <is>
          <t>Support</t>
        </is>
      </c>
      <c r="C15" s="24" t="inlineStr">
        <is>
          <t>Issue state machine</t>
        </is>
      </c>
      <c r="D15" s="24" t="inlineStr">
        <is>
          <t>TREATED AS COMPLETED 4-Oct (open-features list 3-Oct: IN PROGRESS) - confirm on test with TC-PRE-012</t>
        </is>
      </c>
      <c r="E15" s="24" t="n">
        <v>4</v>
      </c>
      <c r="F15" s="24" t="inlineStr">
        <is>
          <t>TC-SUP-005, TC-SUP-012, TC-SUP-013, TC-SUP-014</t>
        </is>
      </c>
      <c r="G15" s="24" t="n"/>
    </row>
    <row r="16" ht="34.5" customHeight="1" s="13">
      <c r="A16" s="24" t="inlineStr">
        <is>
          <t>GS-004</t>
        </is>
      </c>
      <c r="B16" s="24" t="inlineStr">
        <is>
          <t>Location</t>
        </is>
      </c>
      <c r="C16" s="24" t="inlineStr">
        <is>
          <t>PIN / address selection</t>
        </is>
      </c>
      <c r="D16" s="24" t="inlineStr">
        <is>
          <t>COMPLETED</t>
        </is>
      </c>
      <c r="E16" s="24" t="n">
        <v>19</v>
      </c>
      <c r="F16" s="24" t="inlineStr">
        <is>
          <t>TC-LOC-001, TC-LOC-002, TC-LOC-003, TC-LOC-004, TC-LOC-005, TC-LOC-006, TC-LOC-007, TC-LOC-008, TC-LOC-009, TC-LOC-010, TC-FLD-010, TC-FLD-011, TC-FLD-012, TC-FLD-013, TC-FLD-014, TC-FLD-015, TC-FLD-016, TC-FLD-018, TC-FLD-020</t>
        </is>
      </c>
      <c r="G16" s="24" t="n"/>
    </row>
    <row r="17" ht="23.25" customHeight="1" s="13">
      <c r="A17" s="24" t="inlineStr">
        <is>
          <t>GS-010</t>
        </is>
      </c>
      <c r="B17" s="24" t="inlineStr">
        <is>
          <t>Shop Onboarding</t>
        </is>
      </c>
      <c r="C17" s="24" t="inlineStr">
        <is>
          <t>Service radius / delivery zone</t>
        </is>
      </c>
      <c r="D17" s="24" t="inlineStr">
        <is>
          <t>COMPLETED</t>
        </is>
      </c>
      <c r="E17" s="24" t="n">
        <v>9</v>
      </c>
      <c r="F17" s="24" t="inlineStr">
        <is>
          <t>TC-LOC-011, TC-LOC-012, TC-LOC-013, TC-LOC-014, TC-LOC-015, TC-LOC-016, TC-FLD-046, TC-FLD-049, TC-LOC-032</t>
        </is>
      </c>
      <c r="G17" s="24" t="n"/>
    </row>
    <row r="18" ht="23.25" customHeight="1" s="13">
      <c r="A18" s="24" t="inlineStr">
        <is>
          <t>GS-026</t>
        </is>
      </c>
      <c r="B18" s="24" t="inlineStr">
        <is>
          <t>Checkout</t>
        </is>
      </c>
      <c r="C18" s="24" t="inlineStr">
        <is>
          <t>Address validation</t>
        </is>
      </c>
      <c r="D18" s="24" t="inlineStr">
        <is>
          <t>COMPLETED</t>
        </is>
      </c>
      <c r="E18" s="24" t="n">
        <v>10</v>
      </c>
      <c r="F18" s="24" t="inlineStr">
        <is>
          <t>TC-LOC-018, TC-LOC-019, TC-LOC-020, TC-LOC-021, TC-FLD-013, TC-FLD-015, TC-FLD-016, TC-FLD-017, TC-FLD-025, TC-PAY-035</t>
        </is>
      </c>
      <c r="G18" s="24" t="n"/>
    </row>
    <row r="19" ht="15" customHeight="1" s="13">
      <c r="A19" s="24" t="inlineStr">
        <is>
          <t>GS-072</t>
        </is>
      </c>
      <c r="B19" s="24" t="inlineStr">
        <is>
          <t>Integration</t>
        </is>
      </c>
      <c r="C19" s="24" t="inlineStr">
        <is>
          <t>Maps/navigation</t>
        </is>
      </c>
      <c r="D19" s="24" t="inlineStr">
        <is>
          <t>TREATED AS COMPLETED 4-Oct (open-features list 3-Oct: IN PROGRESS) - confirm on test with TC-PRE-012</t>
        </is>
      </c>
      <c r="E19" s="24" t="n">
        <v>9</v>
      </c>
      <c r="F19" s="24" t="inlineStr">
        <is>
          <t>TC-LOC-006, TC-LOC-010, TC-DEL-012, TC-FLD-017, TC-FLD-021, TC-LOC-029, TC-LOC-030, TC-LOC-031, TC-LOC-032</t>
        </is>
      </c>
      <c r="G19" s="24" t="n"/>
    </row>
    <row r="20" ht="34.5" customHeight="1" s="13">
      <c r="A20" s="24" t="inlineStr">
        <is>
          <t>GS-007</t>
        </is>
      </c>
      <c r="B20" s="24" t="inlineStr">
        <is>
          <t>Shop Onboarding</t>
        </is>
      </c>
      <c r="C20" s="24" t="inlineStr">
        <is>
          <t>Business KYC</t>
        </is>
      </c>
      <c r="D20" s="24" t="inlineStr">
        <is>
          <t>TREATED AS COMPLETED 4-Oct (open-features list 3-Oct: IN PROGRESS) - confirm on test with TC-PRE-012</t>
        </is>
      </c>
      <c r="E20" s="24" t="n">
        <v>18</v>
      </c>
      <c r="F20" s="24" t="inlineStr">
        <is>
          <t>TC-ONB-016, TC-ONB-017, TC-ONB-018, TC-ONB-019, TC-ONB-020, TC-FLD-040, TC-FLD-041, TC-FLD-042, TC-FLD-043, TC-FLD-044, TC-FLD-045, TC-FLD-047, TC-FLD-121, TC-ONB-044, TC-ONB-045, TC-ONB-046, TC-ONB-047, TC-FIN-029</t>
        </is>
      </c>
      <c r="G20" s="24" t="n"/>
    </row>
    <row r="21" ht="34.5" customHeight="1" s="13">
      <c r="A21" s="24" t="inlineStr">
        <is>
          <t>GS-008</t>
        </is>
      </c>
      <c r="B21" s="24" t="inlineStr">
        <is>
          <t>Shop Onboarding</t>
        </is>
      </c>
      <c r="C21" s="24" t="inlineStr">
        <is>
          <t>Payment reference verification</t>
        </is>
      </c>
      <c r="D21" s="24" t="inlineStr">
        <is>
          <t>IN PROGRESS</t>
        </is>
      </c>
      <c r="E21" s="24" t="n">
        <v>6</v>
      </c>
      <c r="F21" s="24" t="inlineStr">
        <is>
          <t>TC-ONB-021, TC-ONB-022, TC-ONB-023, TC-ONB-024, TC-FLD-112, TC-FLD-113</t>
        </is>
      </c>
      <c r="G21" s="24" t="inlineStr">
        <is>
          <t>Part not built: KYC document upload; single KYC status; fee-payment gate before approval; shop states KYC_PENDING / PAYMENT_PENDING / VERIFIED / CLOSED</t>
        </is>
      </c>
    </row>
    <row r="22" ht="23.25" customHeight="1" s="13">
      <c r="A22" s="24" t="inlineStr">
        <is>
          <t>GS-009</t>
        </is>
      </c>
      <c r="B22" s="24" t="inlineStr">
        <is>
          <t>Shop Onboarding</t>
        </is>
      </c>
      <c r="C22" s="24" t="inlineStr">
        <is>
          <t>Shop categories</t>
        </is>
      </c>
      <c r="D22" s="24" t="inlineStr">
        <is>
          <t>COMPLETED (2-Oct)</t>
        </is>
      </c>
      <c r="E22" s="24" t="n">
        <v>10</v>
      </c>
      <c r="F22" s="24" t="inlineStr">
        <is>
          <t>TC-ONB-004, TC-ONB-026, TC-ONB-027, TC-ONB-028, TC-CAT-037, TC-CAT-053, TC-FLD-039, TC-FLD-069, TC-FLD-072, TC-FLD-080</t>
        </is>
      </c>
      <c r="G22" s="24" t="n"/>
    </row>
    <row r="23" ht="34.5" customHeight="1" s="13">
      <c r="A23" s="24" t="inlineStr">
        <is>
          <t>GS-015</t>
        </is>
      </c>
      <c r="B23" s="24" t="inlineStr">
        <is>
          <t>Catalog</t>
        </is>
      </c>
      <c r="C23" s="24" t="inlineStr">
        <is>
          <t>MRP / selling price / discount</t>
        </is>
      </c>
      <c r="D23" s="24" t="inlineStr">
        <is>
          <t>COMPLETED (2-Oct)</t>
        </is>
      </c>
      <c r="E23" s="24" t="n">
        <v>20</v>
      </c>
      <c r="F23" s="24" t="inlineStr">
        <is>
          <t>TC-CART-006, TC-CAT-005, TC-CAT-006, TC-CAT-007, TC-CAT-008, TC-CAT-009, TC-CAT-010, TC-CAT-011, TC-CAT-029, TC-CAT-031, TC-CAT-032, TC-CAT-039, TC-CAT-040, TC-CAT-057, TC-CAT-058, TC-CAT-060, TC-CAT-063, TC-FLD-058, TC-FLD-060, TC-FLD-079</t>
        </is>
      </c>
      <c r="G23" s="24" t="n"/>
    </row>
    <row r="24" ht="34.5" customHeight="1" s="13">
      <c r="A24" s="24" t="inlineStr">
        <is>
          <t>WF-008</t>
        </is>
      </c>
      <c r="B24" s="24" t="inlineStr">
        <is>
          <t>Shop Onboarding</t>
        </is>
      </c>
      <c r="C24" s="24" t="inlineStr">
        <is>
          <t>Shop onboarding</t>
        </is>
      </c>
      <c r="D24" s="24" t="inlineStr">
        <is>
          <t>TREATED AS COMPLETED 4-Oct (open-features list 3-Oct: IN PROGRESS) - confirm on test with TC-PRE-012</t>
        </is>
      </c>
      <c r="E24" s="24" t="n">
        <v>4</v>
      </c>
      <c r="F24" s="24" t="inlineStr">
        <is>
          <t>TC-ONB-001, TC-FLD-121, TC-ONB-040, TC-ONB-044</t>
        </is>
      </c>
      <c r="G24" s="24" t="n"/>
    </row>
    <row r="25" ht="23.25" customHeight="1" s="13">
      <c r="A25" s="24" t="inlineStr">
        <is>
          <t>GS-019</t>
        </is>
      </c>
      <c r="B25" s="24" t="inlineStr">
        <is>
          <t>Search</t>
        </is>
      </c>
      <c r="C25" s="24" t="inlineStr">
        <is>
          <t>Shop search</t>
        </is>
      </c>
      <c r="D25" s="24" t="inlineStr">
        <is>
          <t>COMPLETED</t>
        </is>
      </c>
      <c r="E25" s="24" t="n">
        <v>8</v>
      </c>
      <c r="F25" s="24" t="inlineStr">
        <is>
          <t>TC-LOC-013, TC-LOC-017, TC-DISC-002, TC-DISC-003, TC-DISC-004, TC-DISC-005, TC-SOC-015, TC-FLD-022</t>
        </is>
      </c>
      <c r="G25" s="24" t="n"/>
    </row>
    <row r="26" ht="15" customHeight="1" s="13">
      <c r="A26" s="24" t="inlineStr">
        <is>
          <t>GS-020</t>
        </is>
      </c>
      <c r="B26" s="24" t="inlineStr">
        <is>
          <t>Search</t>
        </is>
      </c>
      <c r="C26" s="24" t="inlineStr">
        <is>
          <t>Product search</t>
        </is>
      </c>
      <c r="D26" s="24" t="inlineStr">
        <is>
          <t>COMPLETED</t>
        </is>
      </c>
      <c r="E26" s="24" t="n">
        <v>3</v>
      </c>
      <c r="F26" s="24" t="inlineStr">
        <is>
          <t>TC-DISC-006, TC-DISC-007, TC-FLD-022</t>
        </is>
      </c>
      <c r="G26" s="24" t="n"/>
    </row>
    <row r="27" ht="15" customHeight="1" s="13">
      <c r="A27" s="24" t="inlineStr">
        <is>
          <t>GS-021</t>
        </is>
      </c>
      <c r="B27" s="24" t="inlineStr">
        <is>
          <t>Search</t>
        </is>
      </c>
      <c r="C27" s="24" t="inlineStr">
        <is>
          <t>All shops selling product</t>
        </is>
      </c>
      <c r="D27" s="24" t="inlineStr">
        <is>
          <t>COMPLETED</t>
        </is>
      </c>
      <c r="E27" s="24" t="n">
        <v>2</v>
      </c>
      <c r="F27" s="24" t="inlineStr">
        <is>
          <t>TC-DISC-008, TC-DISC-012</t>
        </is>
      </c>
      <c r="G27" s="24" t="n"/>
    </row>
    <row r="28" ht="15" customHeight="1" s="13">
      <c r="A28" s="24" t="inlineStr">
        <is>
          <t>GS-022</t>
        </is>
      </c>
      <c r="B28" s="24" t="inlineStr">
        <is>
          <t>Comparison</t>
        </is>
      </c>
      <c r="C28" s="24" t="inlineStr">
        <is>
          <t>Local price comparison</t>
        </is>
      </c>
      <c r="D28" s="24" t="inlineStr">
        <is>
          <t>COMPLETED</t>
        </is>
      </c>
      <c r="E28" s="24" t="n">
        <v>7</v>
      </c>
      <c r="F28" s="24" t="inlineStr">
        <is>
          <t>TC-DISC-009, TC-DISC-010, TC-DISC-011, TC-CAT-034, TC-CAT-059, TC-SPI-023, TC-DISC-021</t>
        </is>
      </c>
      <c r="G28" s="24" t="n"/>
    </row>
    <row r="29" ht="23.25" customHeight="1" s="13">
      <c r="A29" s="24" t="inlineStr">
        <is>
          <t>NAV-001</t>
        </is>
      </c>
      <c r="B29" s="24" t="inlineStr">
        <is>
          <t>Customer</t>
        </is>
      </c>
      <c r="C29" s="24" t="inlineStr">
        <is>
          <t>Customer portal - Home</t>
        </is>
      </c>
      <c r="D29" s="24" t="inlineStr">
        <is>
          <t>TREATED AS COMPLETED 4-Oct (open-features list 3-Oct: IN PROGRESS) - confirm on test with TC-PRE-012</t>
        </is>
      </c>
      <c r="E29" s="24" t="n">
        <v>13</v>
      </c>
      <c r="F29" s="24" t="inlineStr">
        <is>
          <t>TC-DISC-001, TC-UX-001, TC-UX-002, TC-UX-003, TC-UX-004, TC-UX-005, TC-UX-006, TC-AUTH-039, TC-AUTH-043, TC-FLD-125, TC-FLD-126, TC-DISC-021, TC-DISC-022</t>
        </is>
      </c>
      <c r="G29" s="24" t="n"/>
    </row>
    <row r="30" ht="23.25" customHeight="1" s="13">
      <c r="A30" s="24" t="inlineStr">
        <is>
          <t>NAV-002</t>
        </is>
      </c>
      <c r="B30" s="24" t="inlineStr">
        <is>
          <t>Customer</t>
        </is>
      </c>
      <c r="C30" s="24" t="inlineStr">
        <is>
          <t>Customer portal - Shop</t>
        </is>
      </c>
      <c r="D30" s="24" t="inlineStr">
        <is>
          <t>TREATED AS COMPLETED 4-Oct (open-features list 3-Oct: IN PROGRESS) - confirm on test with TC-PRE-012</t>
        </is>
      </c>
      <c r="E30" s="24" t="n">
        <v>4</v>
      </c>
      <c r="F30" s="24" t="inlineStr">
        <is>
          <t>TC-DISC-013, TC-CAT-050, TC-DISC-023, TC-DISC-024</t>
        </is>
      </c>
      <c r="G30" s="24" t="n"/>
    </row>
    <row r="31" ht="15" customHeight="1" s="13">
      <c r="A31" s="24" t="inlineStr">
        <is>
          <t>GS-027</t>
        </is>
      </c>
      <c r="B31" s="24" t="inlineStr">
        <is>
          <t>Checkout</t>
        </is>
      </c>
      <c r="C31" s="24" t="inlineStr">
        <is>
          <t>Delivery slot</t>
        </is>
      </c>
      <c r="D31" s="24" t="inlineStr">
        <is>
          <t>TREATED AS COMPLETED 4-Oct (open-features list 3-Oct: IN PROGRESS) - confirm on test with TC-PRE-012</t>
        </is>
      </c>
      <c r="E31" s="24" t="n">
        <v>7</v>
      </c>
      <c r="F31" s="24" t="inlineStr">
        <is>
          <t>TC-CART-008, TC-FLD-026, TC-CART-020, TC-CART-021, TC-CART-022, TC-CART-023, TC-FLD-131</t>
        </is>
      </c>
      <c r="G31" s="24" t="n"/>
    </row>
    <row r="32" ht="34.5" customHeight="1" s="13">
      <c r="A32" s="24" t="inlineStr">
        <is>
          <t>GS-028</t>
        </is>
      </c>
      <c r="B32" s="24" t="inlineStr">
        <is>
          <t>Payments</t>
        </is>
      </c>
      <c r="C32" s="24" t="inlineStr">
        <is>
          <t>UPI/card/netbanking gateway</t>
        </is>
      </c>
      <c r="D32" s="24" t="inlineStr">
        <is>
          <t>TREATED AS COMPLETED 4-Oct (open-features list 3-Oct: IN PROGRESS) - confirm on test with TC-PRE-012</t>
        </is>
      </c>
      <c r="E32" s="24" t="n">
        <v>13</v>
      </c>
      <c r="F32" s="24" t="inlineStr">
        <is>
          <t>TC-PAY-004, TC-PAY-006, TC-PAY-007, TC-PAY-017, TC-PAY-018, TC-PAY-019, TC-PAY-020, TC-PAY-021, TC-PAY-024, TC-PAY-025, TC-PAY-033, TC-PAY-034, TC-PAY-035</t>
        </is>
      </c>
      <c r="G32" s="24" t="n"/>
    </row>
    <row r="33" ht="34.5" customHeight="1" s="13">
      <c r="A33" s="24" t="inlineStr">
        <is>
          <t>GS-073</t>
        </is>
      </c>
      <c r="B33" s="24" t="inlineStr">
        <is>
          <t>Integration</t>
        </is>
      </c>
      <c r="C33" s="24" t="inlineStr">
        <is>
          <t>Payment gateway</t>
        </is>
      </c>
      <c r="D33" s="24" t="inlineStr">
        <is>
          <t>TREATED AS COMPLETED 4-Oct (open-features list 3-Oct: IN PROGRESS) - confirm on test with TC-PRE-012</t>
        </is>
      </c>
      <c r="E33" s="24" t="n">
        <v>9</v>
      </c>
      <c r="F33" s="24" t="inlineStr">
        <is>
          <t>TC-PAY-002, TC-PAY-004, TC-PAY-005, TC-PAY-022, TC-PAY-023, TC-PAY-028, TC-PAY-029, TC-PAY-030, TC-ORD-019</t>
        </is>
      </c>
      <c r="G33" s="24" t="n"/>
    </row>
    <row r="34" ht="15" customHeight="1" s="13">
      <c r="A34" s="24" t="inlineStr">
        <is>
          <t>GS-033</t>
        </is>
      </c>
      <c r="B34" s="24" t="inlineStr">
        <is>
          <t>Orders</t>
        </is>
      </c>
      <c r="C34" s="24" t="inlineStr">
        <is>
          <t>Shop order split</t>
        </is>
      </c>
      <c r="D34" s="24" t="inlineStr">
        <is>
          <t>TREATED AS COMPLETED 4-Oct (open-features list 3-Oct: IN PROGRESS) - confirm on test with TC-PRE-012</t>
        </is>
      </c>
      <c r="E34" s="24" t="n">
        <v>5</v>
      </c>
      <c r="F34" s="24" t="inlineStr">
        <is>
          <t>TC-CART-010, TC-CART-024, TC-CART-025, TC-CART-026, TC-PAY-025</t>
        </is>
      </c>
      <c r="G34" s="24" t="n"/>
    </row>
    <row r="35" ht="15" customHeight="1" s="13">
      <c r="A35" s="24" t="inlineStr">
        <is>
          <t>GS-031</t>
        </is>
      </c>
      <c r="B35" s="24" t="inlineStr">
        <is>
          <t>Payments</t>
        </is>
      </c>
      <c r="C35" s="24" t="inlineStr">
        <is>
          <t>Payment reconciliation</t>
        </is>
      </c>
      <c r="D35" s="24" t="inlineStr">
        <is>
          <t>COMPLETED</t>
        </is>
      </c>
      <c r="E35" s="24" t="n">
        <v>5</v>
      </c>
      <c r="F35" s="24" t="inlineStr">
        <is>
          <t>TC-FIN-021, TC-FIN-022, TC-FIN-023, TC-PAY-031, TC-PAY-032</t>
        </is>
      </c>
      <c r="G35" s="24" t="n"/>
    </row>
    <row r="36" ht="15" customHeight="1" s="13">
      <c r="A36" s="24" t="inlineStr">
        <is>
          <t>NAV-003</t>
        </is>
      </c>
      <c r="B36" s="24" t="inlineStr">
        <is>
          <t>Customer</t>
        </is>
      </c>
      <c r="C36" s="24" t="inlineStr">
        <is>
          <t>Customer portal - Cart &amp; Checkout</t>
        </is>
      </c>
      <c r="D36" s="24" t="inlineStr">
        <is>
          <t>TREATED AS COMPLETED 4-Oct (open-features list 3-Oct: IN PROGRESS) - confirm on test with TC-PRE-012</t>
        </is>
      </c>
      <c r="E36" s="24" t="n">
        <v>7</v>
      </c>
      <c r="F36" s="24" t="inlineStr">
        <is>
          <t>TC-CART-009, TC-CART-019, TC-CART-027, TC-CART-028, TC-CART-029, TC-CART-030, TC-FLD-130</t>
        </is>
      </c>
      <c r="G36" s="24" t="n"/>
    </row>
    <row r="37" ht="15" customHeight="1" s="13">
      <c r="A37" s="24" t="inlineStr">
        <is>
          <t>WF-001</t>
        </is>
      </c>
      <c r="B37" s="24" t="inlineStr">
        <is>
          <t>Orders</t>
        </is>
      </c>
      <c r="C37" s="24" t="inlineStr">
        <is>
          <t>Customer product purchase</t>
        </is>
      </c>
      <c r="D37" s="24" t="inlineStr">
        <is>
          <t>TREATED AS COMPLETED 4-Oct (open-features list 3-Oct: IN PROGRESS) - confirm on test with TC-PRE-012</t>
        </is>
      </c>
      <c r="E37" s="24" t="n">
        <v>8</v>
      </c>
      <c r="F37" s="24" t="inlineStr">
        <is>
          <t>TC-CART-018, TC-SPI-001, TC-SPI-002, TC-SPI-003, TC-SPI-004, TC-SPI-005, TC-SPI-006, TC-PAY-017</t>
        </is>
      </c>
      <c r="G37" s="24" t="n"/>
    </row>
    <row r="38" ht="15" customHeight="1" s="13">
      <c r="A38" s="24" t="inlineStr">
        <is>
          <t>GS-034</t>
        </is>
      </c>
      <c r="B38" s="24" t="inlineStr">
        <is>
          <t>Orders</t>
        </is>
      </c>
      <c r="C38" s="24" t="inlineStr">
        <is>
          <t>Shop accept/reject</t>
        </is>
      </c>
      <c r="D38" s="24" t="inlineStr">
        <is>
          <t>COMPLETED</t>
        </is>
      </c>
      <c r="E38" s="24" t="n">
        <v>8</v>
      </c>
      <c r="F38" s="24" t="inlineStr">
        <is>
          <t>TC-ORD-010, TC-ORD-015, TC-FUL-001, TC-FUL-002, TC-FUL-003, TC-FUL-004, TC-FLD-082, TC-ORD-016</t>
        </is>
      </c>
      <c r="G38" s="24" t="n"/>
    </row>
    <row r="39" ht="15" customHeight="1" s="13">
      <c r="A39" s="24" t="inlineStr">
        <is>
          <t>GS-036</t>
        </is>
      </c>
      <c r="B39" s="24" t="inlineStr">
        <is>
          <t>Orders</t>
        </is>
      </c>
      <c r="C39" s="24" t="inlineStr">
        <is>
          <t>Pick and pack</t>
        </is>
      </c>
      <c r="D39" s="24" t="inlineStr">
        <is>
          <t>COMPLETED</t>
        </is>
      </c>
      <c r="E39" s="24" t="n">
        <v>6</v>
      </c>
      <c r="F39" s="24" t="inlineStr">
        <is>
          <t>TC-FUL-005, TC-FUL-006, TC-FUL-013, TC-FUL-014, TC-FLD-083, TC-SPI-011</t>
        </is>
      </c>
      <c r="G39" s="24" t="inlineStr">
        <is>
          <t>Part not built: Pick-pack SLA reporting</t>
        </is>
      </c>
    </row>
    <row r="40" ht="23.25" customHeight="1" s="13">
      <c r="A40" s="24" t="inlineStr">
        <is>
          <t>NAV-006</t>
        </is>
      </c>
      <c r="B40" s="24" t="inlineStr">
        <is>
          <t>Shop</t>
        </is>
      </c>
      <c r="C40" s="24" t="inlineStr">
        <is>
          <t>Shop portal - Dashboard</t>
        </is>
      </c>
      <c r="D40" s="24" t="inlineStr">
        <is>
          <t>COMPLETED (2-Oct)</t>
        </is>
      </c>
      <c r="E40" s="24" t="n">
        <v>8</v>
      </c>
      <c r="F40" s="24" t="inlineStr">
        <is>
          <t>TC-ONB-029, TC-ADM-006, TC-FLD-052, TC-FLD-053, TC-FLD-054, TC-FLD-055, TC-FLD-056, TC-SPI-009</t>
        </is>
      </c>
      <c r="G40" s="24" t="n"/>
    </row>
    <row r="41" ht="15" customHeight="1" s="13">
      <c r="A41" s="24" t="inlineStr">
        <is>
          <t>WF-002</t>
        </is>
      </c>
      <c r="B41" s="24" t="inlineStr">
        <is>
          <t>Orders</t>
        </is>
      </c>
      <c r="C41" s="24" t="inlineStr">
        <is>
          <t>Shop fulfillment</t>
        </is>
      </c>
      <c r="D41" s="24" t="inlineStr">
        <is>
          <t>COMPLETED</t>
        </is>
      </c>
      <c r="E41" s="24" t="n">
        <v>7</v>
      </c>
      <c r="F41" s="24" t="inlineStr">
        <is>
          <t>TC-FUL-001, TC-FUL-016, TC-SPI-008, TC-SPI-009, TC-SPI-010, TC-SPI-011, TC-SPI-012</t>
        </is>
      </c>
      <c r="G41" s="24" t="n"/>
    </row>
    <row r="42" ht="15" customHeight="1" s="13">
      <c r="A42" s="24" t="inlineStr">
        <is>
          <t>GS-005</t>
        </is>
      </c>
      <c r="B42" s="24" t="inlineStr">
        <is>
          <t>Location</t>
        </is>
      </c>
      <c r="C42" s="24" t="inlineStr">
        <is>
          <t>Society identification</t>
        </is>
      </c>
      <c r="D42" s="24" t="inlineStr">
        <is>
          <t>COMPLETED</t>
        </is>
      </c>
      <c r="E42" s="24" t="n">
        <v>7</v>
      </c>
      <c r="F42" s="24" t="inlineStr">
        <is>
          <t>TC-LOC-027, TC-LOC-028, TC-SOC-004, TC-SOC-005, TC-SOC-007, TC-SOC-015, TC-FLD-019</t>
        </is>
      </c>
      <c r="G42" s="24" t="n"/>
    </row>
    <row r="43" ht="15" customHeight="1" s="13">
      <c r="A43" s="24" t="inlineStr">
        <is>
          <t>GS-044</t>
        </is>
      </c>
      <c r="B43" s="24" t="inlineStr">
        <is>
          <t>Society</t>
        </is>
      </c>
      <c r="C43" s="24" t="inlineStr">
        <is>
          <t>Society registration</t>
        </is>
      </c>
      <c r="D43" s="24" t="inlineStr">
        <is>
          <t>COMPLETED</t>
        </is>
      </c>
      <c r="E43" s="24" t="n">
        <v>5</v>
      </c>
      <c r="F43" s="24" t="inlineStr">
        <is>
          <t>TC-SOC-001, TC-SOC-002, TC-SOC-003, TC-SOC-017, TC-FLD-104</t>
        </is>
      </c>
      <c r="G43" s="24" t="inlineStr">
        <is>
          <t>Part not built: Map pin picker on the society form</t>
        </is>
      </c>
    </row>
    <row r="44" ht="15" customHeight="1" s="13">
      <c r="A44" s="24" t="inlineStr">
        <is>
          <t>GS-045</t>
        </is>
      </c>
      <c r="B44" s="24" t="inlineStr">
        <is>
          <t>Society</t>
        </is>
      </c>
      <c r="C44" s="24" t="inlineStr">
        <is>
          <t>Authorized Gig worker whitelist</t>
        </is>
      </c>
      <c r="D44" s="24" t="inlineStr">
        <is>
          <t>COMPLETED</t>
        </is>
      </c>
      <c r="E44" s="24" t="n">
        <v>4</v>
      </c>
      <c r="F44" s="24" t="inlineStr">
        <is>
          <t>TC-DSP-019, TC-SOC-011, TC-SOC-012, TC-FLD-106</t>
        </is>
      </c>
      <c r="G44" s="24" t="n"/>
    </row>
    <row r="45" ht="15" customHeight="1" s="13">
      <c r="A45" s="24" t="inlineStr">
        <is>
          <t>RBAC-009</t>
        </is>
      </c>
      <c r="B45" s="24" t="inlineStr">
        <is>
          <t>Security</t>
        </is>
      </c>
      <c r="C45" s="24" t="inlineStr">
        <is>
          <t>Whitelist Gig workers</t>
        </is>
      </c>
      <c r="D45" s="24" t="inlineStr">
        <is>
          <t>COMPLETED</t>
        </is>
      </c>
      <c r="E45" s="24" t="n">
        <v>3</v>
      </c>
      <c r="F45" s="24" t="inlineStr">
        <is>
          <t>TC-SOC-006, TC-SOC-009, TC-SOC-010</t>
        </is>
      </c>
      <c r="G45" s="24" t="n"/>
    </row>
    <row r="46" ht="15" customHeight="1" s="13">
      <c r="A46" s="24" t="inlineStr">
        <is>
          <t>GS-047</t>
        </is>
      </c>
      <c r="B46" s="24" t="inlineStr">
        <is>
          <t>Society</t>
        </is>
      </c>
      <c r="C46" s="24" t="inlineStr">
        <is>
          <t>Delivery instructions</t>
        </is>
      </c>
      <c r="D46" s="24" t="inlineStr">
        <is>
          <t>COMPLETED</t>
        </is>
      </c>
      <c r="E46" s="24" t="n">
        <v>4</v>
      </c>
      <c r="F46" s="24" t="inlineStr">
        <is>
          <t>TC-DEL-021, TC-SOC-013, TC-FLD-029, TC-FLD-105</t>
        </is>
      </c>
      <c r="G46" s="24" t="n"/>
    </row>
    <row r="47" ht="15" customHeight="1" s="13">
      <c r="A47" s="24" t="inlineStr">
        <is>
          <t>NAV-014</t>
        </is>
      </c>
      <c r="B47" s="24" t="inlineStr">
        <is>
          <t>Society</t>
        </is>
      </c>
      <c r="C47" s="24" t="inlineStr">
        <is>
          <t>Society portal - Dashboard</t>
        </is>
      </c>
      <c r="D47" s="24" t="inlineStr">
        <is>
          <t>COMPLETED</t>
        </is>
      </c>
      <c r="E47" s="24" t="n">
        <v>1</v>
      </c>
      <c r="F47" s="24" t="inlineStr">
        <is>
          <t>TC-SOC-008</t>
        </is>
      </c>
      <c r="G47" s="24" t="n"/>
    </row>
    <row r="48" ht="15" customHeight="1" s="13">
      <c r="A48" s="24" t="inlineStr">
        <is>
          <t>GA-006</t>
        </is>
      </c>
      <c r="B48" s="24" t="inlineStr">
        <is>
          <t>Delivery</t>
        </is>
      </c>
      <c r="C48" s="24" t="inlineStr">
        <is>
          <t>Shop readiness</t>
        </is>
      </c>
      <c r="D48" s="24" t="inlineStr">
        <is>
          <t>COMPLETED</t>
        </is>
      </c>
      <c r="E48" s="24" t="n">
        <v>2</v>
      </c>
      <c r="F48" s="24" t="inlineStr">
        <is>
          <t>TC-FUL-006, TC-DSP-001</t>
        </is>
      </c>
      <c r="G48" s="24" t="n"/>
    </row>
    <row r="49" ht="15" customHeight="1" s="13">
      <c r="A49" s="24" t="inlineStr">
        <is>
          <t>GS-039</t>
        </is>
      </c>
      <c r="B49" s="24" t="inlineStr">
        <is>
          <t>Delivery</t>
        </is>
      </c>
      <c r="C49" s="24" t="inlineStr">
        <is>
          <t>Job assignment</t>
        </is>
      </c>
      <c r="D49" s="24" t="inlineStr">
        <is>
          <t>COMPLETED</t>
        </is>
      </c>
      <c r="E49" s="24" t="n">
        <v>5</v>
      </c>
      <c r="F49" s="24" t="inlineStr">
        <is>
          <t>TC-DSP-001, TC-DSP-005, TC-DSP-012, TC-DEL-001, TC-DEL-002</t>
        </is>
      </c>
      <c r="G49" s="24" t="n"/>
    </row>
    <row r="50" ht="23.25" customHeight="1" s="13">
      <c r="A50" s="24" t="inlineStr">
        <is>
          <t>GA-005</t>
        </is>
      </c>
      <c r="B50" s="24" t="inlineStr">
        <is>
          <t>Delivery</t>
        </is>
      </c>
      <c r="C50" s="24" t="inlineStr">
        <is>
          <t>Current load</t>
        </is>
      </c>
      <c r="D50" s="24" t="inlineStr">
        <is>
          <t>TREATED AS COMPLETED 4-Oct (open-features list 3-Oct: IN PROGRESS) - confirm on test with TC-PRE-012</t>
        </is>
      </c>
      <c r="E50" s="24" t="n">
        <v>5</v>
      </c>
      <c r="F50" s="24" t="inlineStr">
        <is>
          <t>TC-DSP-004, TC-DSP-023, TC-DSP-024, TC-DSP-025, TC-DSP-026</t>
        </is>
      </c>
      <c r="G50" s="24" t="n"/>
    </row>
    <row r="51" ht="15" customHeight="1" s="13">
      <c r="A51" s="24" t="inlineStr">
        <is>
          <t>GA-009</t>
        </is>
      </c>
      <c r="B51" s="24" t="inlineStr">
        <is>
          <t>Delivery</t>
        </is>
      </c>
      <c r="C51" s="24" t="inlineStr">
        <is>
          <t>No worker fallback</t>
        </is>
      </c>
      <c r="D51" s="24" t="inlineStr">
        <is>
          <t>COMPLETED</t>
        </is>
      </c>
      <c r="E51" s="24" t="n">
        <v>6</v>
      </c>
      <c r="F51" s="24" t="inlineStr">
        <is>
          <t>TC-DSP-005, TC-DSP-006, TC-DSP-007, TC-DSP-008, TC-DSP-011, TC-DSP-013</t>
        </is>
      </c>
      <c r="G51" s="24" t="inlineStr">
        <is>
          <t>Part not built: Radius widening when no rider is found</t>
        </is>
      </c>
    </row>
    <row r="52" ht="15" customHeight="1" s="13">
      <c r="A52" s="24" t="inlineStr">
        <is>
          <t>GA-001</t>
        </is>
      </c>
      <c r="B52" s="24" t="inlineStr">
        <is>
          <t>Delivery</t>
        </is>
      </c>
      <c r="C52" s="24" t="inlineStr">
        <is>
          <t>Society authorization</t>
        </is>
      </c>
      <c r="D52" s="24" t="inlineStr">
        <is>
          <t>COMPLETED</t>
        </is>
      </c>
      <c r="E52" s="24" t="n">
        <v>3</v>
      </c>
      <c r="F52" s="24" t="inlineStr">
        <is>
          <t>TC-DSP-016, TC-DSP-018, TC-DSP-019</t>
        </is>
      </c>
      <c r="G52" s="24" t="n"/>
    </row>
    <row r="53" ht="15" customHeight="1" s="13">
      <c r="A53" s="24" t="inlineStr">
        <is>
          <t>GA-002</t>
        </is>
      </c>
      <c r="B53" s="24" t="inlineStr">
        <is>
          <t>Delivery</t>
        </is>
      </c>
      <c r="C53" s="24" t="inlineStr">
        <is>
          <t>Society preferred partner</t>
        </is>
      </c>
      <c r="D53" s="24" t="inlineStr">
        <is>
          <t>COMPLETED</t>
        </is>
      </c>
      <c r="E53" s="24" t="n">
        <v>1</v>
      </c>
      <c r="F53" s="24" t="inlineStr">
        <is>
          <t>TC-DSP-017</t>
        </is>
      </c>
      <c r="G53" s="24" t="n"/>
    </row>
    <row r="54" ht="15" customHeight="1" s="13">
      <c r="A54" s="24" t="inlineStr">
        <is>
          <t>GS-040</t>
        </is>
      </c>
      <c r="B54" s="24" t="inlineStr">
        <is>
          <t>Delivery</t>
        </is>
      </c>
      <c r="C54" s="24" t="inlineStr">
        <is>
          <t>Society priority assignment</t>
        </is>
      </c>
      <c r="D54" s="24" t="inlineStr">
        <is>
          <t>COMPLETED</t>
        </is>
      </c>
      <c r="E54" s="24" t="n">
        <v>2</v>
      </c>
      <c r="F54" s="24" t="inlineStr">
        <is>
          <t>TC-DSP-016, TC-DSP-017</t>
        </is>
      </c>
      <c r="G54" s="24" t="n"/>
    </row>
    <row r="55" ht="23.25" customHeight="1" s="13">
      <c r="A55" s="24" t="inlineStr">
        <is>
          <t>WF-003</t>
        </is>
      </c>
      <c r="B55" s="24" t="inlineStr">
        <is>
          <t>Delivery</t>
        </is>
      </c>
      <c r="C55" s="24" t="inlineStr">
        <is>
          <t>Gig assignment</t>
        </is>
      </c>
      <c r="D55" s="24" t="inlineStr">
        <is>
          <t>COMPLETED</t>
        </is>
      </c>
      <c r="E55" s="24" t="n">
        <v>2</v>
      </c>
      <c r="F55" s="24" t="inlineStr">
        <is>
          <t>TC-DSP-022, TC-DSP-024</t>
        </is>
      </c>
      <c r="G55" s="24" t="inlineStr">
        <is>
          <t>Part not built: Lower priority for busy riders and multi-order batching</t>
        </is>
      </c>
    </row>
    <row r="56" ht="15" customHeight="1" s="13">
      <c r="A56" s="24" t="inlineStr">
        <is>
          <t>WF-004</t>
        </is>
      </c>
      <c r="B56" s="24" t="inlineStr">
        <is>
          <t>Society</t>
        </is>
      </c>
      <c r="C56" s="24" t="inlineStr">
        <is>
          <t>Society authorized delivery</t>
        </is>
      </c>
      <c r="D56" s="24" t="inlineStr">
        <is>
          <t>COMPLETED</t>
        </is>
      </c>
      <c r="E56" s="24" t="n">
        <v>1</v>
      </c>
      <c r="F56" s="24" t="inlineStr">
        <is>
          <t>TC-SOC-016</t>
        </is>
      </c>
      <c r="G56" s="24" t="n"/>
    </row>
    <row r="57" ht="23.25" customHeight="1" s="13">
      <c r="A57" s="24" t="inlineStr">
        <is>
          <t>GS-041</t>
        </is>
      </c>
      <c r="B57" s="24" t="inlineStr">
        <is>
          <t>Delivery</t>
        </is>
      </c>
      <c r="C57" s="24" t="inlineStr">
        <is>
          <t>Pickup OTP/QR</t>
        </is>
      </c>
      <c r="D57" s="24" t="inlineStr">
        <is>
          <t>COMPLETED</t>
        </is>
      </c>
      <c r="E57" s="24" t="n">
        <v>4</v>
      </c>
      <c r="F57" s="24" t="inlineStr">
        <is>
          <t>TC-FUL-015, TC-DEL-004, TC-DEL-010, TC-FLD-085</t>
        </is>
      </c>
      <c r="G57" s="24" t="inlineStr">
        <is>
          <t>Part not built: QR pickup variant; photo / signature proof of delivery</t>
        </is>
      </c>
    </row>
    <row r="58" ht="23.25" customHeight="1" s="13">
      <c r="A58" s="24" t="inlineStr">
        <is>
          <t>GS-043</t>
        </is>
      </c>
      <c r="B58" s="24" t="inlineStr">
        <is>
          <t>Delivery</t>
        </is>
      </c>
      <c r="C58" s="24" t="inlineStr">
        <is>
          <t>Delivery OTP/POD</t>
        </is>
      </c>
      <c r="D58" s="24" t="inlineStr">
        <is>
          <t>COMPLETED</t>
        </is>
      </c>
      <c r="E58" s="24" t="n">
        <v>8</v>
      </c>
      <c r="F58" s="24" t="inlineStr">
        <is>
          <t>TC-DEL-007, TC-DEL-008, TC-DEL-009, TC-DEL-010, TC-FLD-086, TC-FLD-087, TC-FLD-088, TC-DEL-022</t>
        </is>
      </c>
      <c r="G58" s="24" t="inlineStr">
        <is>
          <t>Part not built: QR pickup variant; photo / signature proof of delivery</t>
        </is>
      </c>
    </row>
    <row r="59" ht="15" customHeight="1" s="13">
      <c r="A59" s="24" t="inlineStr">
        <is>
          <t>GS-042</t>
        </is>
      </c>
      <c r="B59" s="24" t="inlineStr">
        <is>
          <t>Delivery</t>
        </is>
      </c>
      <c r="C59" s="24" t="inlineStr">
        <is>
          <t>Live tracking</t>
        </is>
      </c>
      <c r="D59" s="24" t="inlineStr">
        <is>
          <t>IN PROGRESS</t>
        </is>
      </c>
      <c r="E59" s="24" t="n">
        <v>2</v>
      </c>
      <c r="F59" s="24" t="inlineStr">
        <is>
          <t>TC-DEL-018, TC-DEL-019</t>
        </is>
      </c>
      <c r="G59" s="24" t="inlineStr">
        <is>
          <t>Part not built: Customer / operations live-tracking screen</t>
        </is>
      </c>
    </row>
    <row r="60" ht="15" customHeight="1" s="13">
      <c r="A60" s="24" t="inlineStr">
        <is>
          <t>WF-005</t>
        </is>
      </c>
      <c r="B60" s="24" t="inlineStr">
        <is>
          <t>Delivery</t>
        </is>
      </c>
      <c r="C60" s="24" t="inlineStr">
        <is>
          <t>Delivery</t>
        </is>
      </c>
      <c r="D60" s="24" t="inlineStr">
        <is>
          <t>COMPLETED (2-Oct)</t>
        </is>
      </c>
      <c r="E60" s="24" t="n">
        <v>3</v>
      </c>
      <c r="F60" s="24" t="inlineStr">
        <is>
          <t>TC-DEL-005, TC-DEL-011, TC-DEL-020</t>
        </is>
      </c>
      <c r="G60" s="24" t="n"/>
    </row>
    <row r="61" ht="23.25" customHeight="1" s="13">
      <c r="A61" s="24" t="inlineStr">
        <is>
          <t>NAV-013</t>
        </is>
      </c>
      <c r="B61" s="24" t="inlineStr">
        <is>
          <t>Gig</t>
        </is>
      </c>
      <c r="C61" s="24" t="inlineStr">
        <is>
          <t>Gig portal - Profile</t>
        </is>
      </c>
      <c r="D61" s="24" t="inlineStr">
        <is>
          <t>TREATED AS COMPLETED 4-Oct (open-features list 3-Oct: IN PROGRESS) - confirm on test with TC-PRE-012</t>
        </is>
      </c>
      <c r="E61" s="24" t="n">
        <v>5</v>
      </c>
      <c r="F61" s="24" t="inlineStr">
        <is>
          <t>TC-DEL-017, TC-DEL-028, TC-DEL-029, TC-DEL-030, TC-DEL-031</t>
        </is>
      </c>
      <c r="G61" s="24" t="n"/>
    </row>
    <row r="62" ht="23.25" customHeight="1" s="13">
      <c r="A62" s="24" t="inlineStr">
        <is>
          <t>GS-055</t>
        </is>
      </c>
      <c r="B62" s="24" t="inlineStr">
        <is>
          <t>Notifications</t>
        </is>
      </c>
      <c r="C62" s="24" t="inlineStr">
        <is>
          <t>Order notifications</t>
        </is>
      </c>
      <c r="D62" s="24" t="inlineStr">
        <is>
          <t>COMPLETED (2-Oct)</t>
        </is>
      </c>
      <c r="E62" s="24" t="n">
        <v>11</v>
      </c>
      <c r="F62" s="24" t="inlineStr">
        <is>
          <t>TC-LOC-025, TC-NTF-001, TC-NTF-002, TC-NTF-003, TC-NTF-004, TC-NTF-005, TC-NTF-006, TC-NTF-008, TC-NTF-009, TC-NTF-012, TC-NTF-013</t>
        </is>
      </c>
      <c r="G62" s="24" t="n"/>
    </row>
    <row r="63" ht="23.25" customHeight="1" s="13">
      <c r="A63" s="24" t="inlineStr">
        <is>
          <t>GS-074</t>
        </is>
      </c>
      <c r="B63" s="24" t="inlineStr">
        <is>
          <t>Integration</t>
        </is>
      </c>
      <c r="C63" s="24" t="inlineStr">
        <is>
          <t>SMS/WhatsApp/email/push</t>
        </is>
      </c>
      <c r="D63" s="24" t="inlineStr">
        <is>
          <t>TREATED AS COMPLETED 4-Oct (open-features list 3-Oct: IN PROGRESS) - confirm on test with TC-PRE-012</t>
        </is>
      </c>
      <c r="E63" s="24" t="n">
        <v>14</v>
      </c>
      <c r="F63" s="24" t="inlineStr">
        <is>
          <t>TC-NTF-002, TC-NTF-007, TC-NTF-010, TC-NTF-011, TC-FLD-124, TC-AUTH-051, TC-NTF-013, TC-NTF-014, TC-NTF-015, TC-NTF-016, TC-NTF-017, TC-NTF-018, TC-NTF-019, TC-NTF-020</t>
        </is>
      </c>
      <c r="G63" s="24" t="n"/>
    </row>
    <row r="64" ht="23.25" customHeight="1" s="13">
      <c r="A64" s="24" t="inlineStr">
        <is>
          <t>GS-056</t>
        </is>
      </c>
      <c r="B64" s="24" t="inlineStr">
        <is>
          <t>Support</t>
        </is>
      </c>
      <c r="C64" s="24" t="inlineStr">
        <is>
          <t>Report an issue</t>
        </is>
      </c>
      <c r="D64" s="24" t="inlineStr">
        <is>
          <t>COMPLETED</t>
        </is>
      </c>
      <c r="E64" s="24" t="n">
        <v>8</v>
      </c>
      <c r="F64" s="24" t="inlineStr">
        <is>
          <t>TC-SUP-001, TC-SUP-002, TC-SUP-003, TC-SUP-004, TC-SUP-011, TC-FLD-100, TC-FLD-101, TC-FLD-103</t>
        </is>
      </c>
      <c r="G64" s="24" t="n"/>
    </row>
    <row r="65" ht="34.5" customHeight="1" s="13">
      <c r="A65" s="24" t="inlineStr">
        <is>
          <t>GS-057</t>
        </is>
      </c>
      <c r="B65" s="24" t="inlineStr">
        <is>
          <t>Support</t>
        </is>
      </c>
      <c r="C65" s="24" t="inlineStr">
        <is>
          <t>Returns/refunds</t>
        </is>
      </c>
      <c r="D65" s="24" t="inlineStr">
        <is>
          <t>COMPLETED (2-Oct)</t>
        </is>
      </c>
      <c r="E65" s="24" t="n">
        <v>20</v>
      </c>
      <c r="F65" s="24" t="inlineStr">
        <is>
          <t>TC-COD-011, TC-RET-001, TC-RET-002, TC-RET-003, TC-RET-004, TC-RET-005, TC-RET-006, TC-RET-010, TC-RET-011, TC-RET-013, TC-RET-014, TC-RET-015, TC-RET-016, TC-RET-017, TC-FLD-094, TC-FLD-095, TC-FLD-096, TC-FLD-097, TC-FLD-098, TC-SPI-020</t>
        </is>
      </c>
      <c r="G65" s="24" t="n"/>
    </row>
    <row r="66" ht="34.5" customHeight="1" s="13">
      <c r="A66" s="24" t="inlineStr">
        <is>
          <t>GS-058</t>
        </is>
      </c>
      <c r="B66" s="24" t="inlineStr">
        <is>
          <t>Support</t>
        </is>
      </c>
      <c r="C66" s="24" t="inlineStr">
        <is>
          <t>Dispute management</t>
        </is>
      </c>
      <c r="D66" s="24" t="inlineStr">
        <is>
          <t>IN PROGRESS</t>
        </is>
      </c>
      <c r="E66" s="24" t="n">
        <v>2</v>
      </c>
      <c r="F66" s="24" t="inlineStr">
        <is>
          <t>TC-RET-020, TC-SUP-013</t>
        </is>
      </c>
      <c r="G66" s="24" t="inlineStr">
        <is>
          <t>Part not built: Dispute case lifecycle with escalation; grievance states TRIAGED / INVESTIGATING / RESOLUTION_PROPOSED / ESCALATED</t>
        </is>
      </c>
    </row>
    <row r="67" ht="15" customHeight="1" s="13">
      <c r="A67" s="24" t="inlineStr">
        <is>
          <t>RBAC-011</t>
        </is>
      </c>
      <c r="B67" s="24" t="inlineStr">
        <is>
          <t>Security</t>
        </is>
      </c>
      <c r="C67" s="24" t="inlineStr">
        <is>
          <t>Refund approval</t>
        </is>
      </c>
      <c r="D67" s="24" t="inlineStr">
        <is>
          <t>COMPLETED</t>
        </is>
      </c>
      <c r="E67" s="24" t="n">
        <v>6</v>
      </c>
      <c r="F67" s="24" t="inlineStr">
        <is>
          <t>TC-RET-017, TC-RET-018, TC-RET-019, TC-FLD-098, TC-FLD-099, TC-PAY-030</t>
        </is>
      </c>
      <c r="G67" s="24" t="n"/>
    </row>
    <row r="68" ht="15" customHeight="1" s="13">
      <c r="A68" s="24" t="inlineStr">
        <is>
          <t>WF-007</t>
        </is>
      </c>
      <c r="B68" s="24" t="inlineStr">
        <is>
          <t>Support</t>
        </is>
      </c>
      <c r="C68" s="24" t="inlineStr">
        <is>
          <t>Return/refund</t>
        </is>
      </c>
      <c r="D68" s="24" t="inlineStr">
        <is>
          <t>COMPLETED (2-Oct)</t>
        </is>
      </c>
      <c r="E68" s="24" t="n">
        <v>6</v>
      </c>
      <c r="F68" s="24" t="inlineStr">
        <is>
          <t>TC-RET-007, TC-RET-008, TC-RET-009, TC-RET-010, TC-RET-012, TC-RET-022</t>
        </is>
      </c>
      <c r="G68" s="24" t="inlineStr">
        <is>
          <t>Part not built: Replacement instead of refund</t>
        </is>
      </c>
    </row>
    <row r="69" ht="15" customHeight="1" s="13">
      <c r="A69" s="24" t="inlineStr">
        <is>
          <t>NAV-004</t>
        </is>
      </c>
      <c r="B69" s="24" t="inlineStr">
        <is>
          <t>Customer</t>
        </is>
      </c>
      <c r="C69" s="24" t="inlineStr">
        <is>
          <t>Customer portal - Orders</t>
        </is>
      </c>
      <c r="D69" s="24" t="inlineStr">
        <is>
          <t>IN PROGRESS</t>
        </is>
      </c>
      <c r="E69" s="24" t="n">
        <v>3</v>
      </c>
      <c r="F69" s="24" t="inlineStr">
        <is>
          <t>TC-RET-001, TC-RET-021, TC-SPI-006</t>
        </is>
      </c>
      <c r="G69" s="24" t="inlineStr">
        <is>
          <t>Part not built: Customer / operations live-tracking screen</t>
        </is>
      </c>
    </row>
    <row r="70" ht="15" customHeight="1" s="13">
      <c r="A70" s="24" t="inlineStr">
        <is>
          <t>GS-061</t>
        </is>
      </c>
      <c r="B70" s="24" t="inlineStr">
        <is>
          <t>Finance</t>
        </is>
      </c>
      <c r="C70" s="24" t="inlineStr">
        <is>
          <t>Shop commission</t>
        </is>
      </c>
      <c r="D70" s="24" t="inlineStr">
        <is>
          <t>COMPLETED</t>
        </is>
      </c>
      <c r="E70" s="24" t="n">
        <v>6</v>
      </c>
      <c r="F70" s="24" t="inlineStr">
        <is>
          <t>TC-FIN-001, TC-FIN-002, TC-FIN-003, TC-FLD-111, TC-SPI-014, TC-CART-029</t>
        </is>
      </c>
      <c r="G70" s="24" t="n"/>
    </row>
    <row r="71" ht="15" customHeight="1" s="13">
      <c r="A71" s="24" t="inlineStr">
        <is>
          <t>GS-062</t>
        </is>
      </c>
      <c r="B71" s="24" t="inlineStr">
        <is>
          <t>Finance</t>
        </is>
      </c>
      <c r="C71" s="24" t="inlineStr">
        <is>
          <t>Shop settlement</t>
        </is>
      </c>
      <c r="D71" s="24" t="inlineStr">
        <is>
          <t>COMPLETED</t>
        </is>
      </c>
      <c r="E71" s="24" t="n">
        <v>6</v>
      </c>
      <c r="F71" s="24" t="inlineStr">
        <is>
          <t>TC-ORD-014, TC-FIN-006, TC-FIN-007, TC-FIN-008, TC-FIN-009, TC-FLD-118</t>
        </is>
      </c>
      <c r="G71" s="24" t="n"/>
    </row>
    <row r="72" ht="23.25" customHeight="1" s="13">
      <c r="A72" s="24" t="inlineStr">
        <is>
          <t>GS-063</t>
        </is>
      </c>
      <c r="B72" s="24" t="inlineStr">
        <is>
          <t>Finance</t>
        </is>
      </c>
      <c r="C72" s="24" t="inlineStr">
        <is>
          <t>Gig earnings</t>
        </is>
      </c>
      <c r="D72" s="24" t="inlineStr">
        <is>
          <t>COMPLETED (2-Oct)</t>
        </is>
      </c>
      <c r="E72" s="24" t="n">
        <v>8</v>
      </c>
      <c r="F72" s="24" t="inlineStr">
        <is>
          <t>TC-FIN-011, TC-FIN-012, TC-FIN-013, TC-FIN-014, TC-FIN-015, TC-FIN-016, TC-FIN-017, TC-FLD-115</t>
        </is>
      </c>
      <c r="G72" s="24" t="n"/>
    </row>
    <row r="73" ht="15" customHeight="1" s="13">
      <c r="A73" s="24" t="inlineStr">
        <is>
          <t>GS-064</t>
        </is>
      </c>
      <c r="B73" s="24" t="inlineStr">
        <is>
          <t>Finance</t>
        </is>
      </c>
      <c r="C73" s="24" t="inlineStr">
        <is>
          <t>Gig payout</t>
        </is>
      </c>
      <c r="D73" s="24" t="inlineStr">
        <is>
          <t>COMPLETED</t>
        </is>
      </c>
      <c r="E73" s="24" t="n">
        <v>4</v>
      </c>
      <c r="F73" s="24" t="inlineStr">
        <is>
          <t>TC-COD-010, TC-FIN-019, TC-FLD-116, TC-DEL-029</t>
        </is>
      </c>
      <c r="G73" s="24" t="n"/>
    </row>
    <row r="74" ht="15" customHeight="1" s="13">
      <c r="A74" s="24" t="inlineStr">
        <is>
          <t>WF-010</t>
        </is>
      </c>
      <c r="B74" s="24" t="inlineStr">
        <is>
          <t>Finance</t>
        </is>
      </c>
      <c r="C74" s="24" t="inlineStr">
        <is>
          <t>Settlement</t>
        </is>
      </c>
      <c r="D74" s="24" t="inlineStr">
        <is>
          <t>COMPLETED</t>
        </is>
      </c>
      <c r="E74" s="24" t="n">
        <v>7</v>
      </c>
      <c r="F74" s="24" t="inlineStr">
        <is>
          <t>TC-FIN-004, TC-FIN-005, TC-FIN-020, TC-FIN-024, TC-FIN-025, TC-FIN-026, TC-SPI-014</t>
        </is>
      </c>
      <c r="G74" s="24" t="n"/>
    </row>
    <row r="75" ht="15" customHeight="1" s="13">
      <c r="A75" s="24" t="inlineStr">
        <is>
          <t>RBAC-012</t>
        </is>
      </c>
      <c r="B75" s="24" t="inlineStr">
        <is>
          <t>Security</t>
        </is>
      </c>
      <c r="C75" s="24" t="inlineStr">
        <is>
          <t>Settlement visibility</t>
        </is>
      </c>
      <c r="D75" s="24" t="inlineStr">
        <is>
          <t>COMPLETED</t>
        </is>
      </c>
      <c r="E75" s="24" t="n">
        <v>3</v>
      </c>
      <c r="F75" s="24" t="inlineStr">
        <is>
          <t>TC-RBAC-020, TC-FIN-009, TC-FIN-027</t>
        </is>
      </c>
      <c r="G75" s="24" t="n"/>
    </row>
    <row r="76" ht="15" customHeight="1" s="13">
      <c r="A76" s="24" t="inlineStr">
        <is>
          <t>NAV-010</t>
        </is>
      </c>
      <c r="B76" s="24" t="inlineStr">
        <is>
          <t>Shop</t>
        </is>
      </c>
      <c r="C76" s="24" t="inlineStr">
        <is>
          <t>Shop portal - Finance</t>
        </is>
      </c>
      <c r="D76" s="24" t="inlineStr">
        <is>
          <t>COMPLETED</t>
        </is>
      </c>
      <c r="E76" s="24" t="n">
        <v>1</v>
      </c>
      <c r="F76" s="24" t="inlineStr">
        <is>
          <t>TC-FIN-010</t>
        </is>
      </c>
      <c r="G76" s="24" t="n"/>
    </row>
    <row r="77" ht="15" customHeight="1" s="13">
      <c r="A77" s="24" t="inlineStr">
        <is>
          <t>NAV-012</t>
        </is>
      </c>
      <c r="B77" s="24" t="inlineStr">
        <is>
          <t>Gig</t>
        </is>
      </c>
      <c r="C77" s="24" t="inlineStr">
        <is>
          <t>Gig portal - Earnings</t>
        </is>
      </c>
      <c r="D77" s="24" t="inlineStr">
        <is>
          <t>COMPLETED</t>
        </is>
      </c>
      <c r="E77" s="24" t="n">
        <v>1</v>
      </c>
      <c r="F77" s="24" t="inlineStr">
        <is>
          <t>TC-FIN-018</t>
        </is>
      </c>
      <c r="G77" s="24" t="n"/>
    </row>
    <row r="78" ht="15" customHeight="1" s="13">
      <c r="A78" s="24" t="inlineStr">
        <is>
          <t>WF-006</t>
        </is>
      </c>
      <c r="B78" s="24" t="inlineStr">
        <is>
          <t>Subscription</t>
        </is>
      </c>
      <c r="C78" s="24" t="inlineStr">
        <is>
          <t>Subscription</t>
        </is>
      </c>
      <c r="D78" s="24" t="inlineStr">
        <is>
          <t>COMPLETED</t>
        </is>
      </c>
      <c r="E78" s="24" t="n">
        <v>2</v>
      </c>
      <c r="F78" s="24" t="inlineStr">
        <is>
          <t>TC-SUB-002, TC-SUB-013</t>
        </is>
      </c>
      <c r="G78" s="24" t="n"/>
    </row>
    <row r="79" ht="15" customHeight="1" s="13">
      <c r="A79" s="24" t="inlineStr">
        <is>
          <t>GS-065</t>
        </is>
      </c>
      <c r="B79" s="24" t="inlineStr">
        <is>
          <t>Admin</t>
        </is>
      </c>
      <c r="C79" s="24" t="inlineStr">
        <is>
          <t>Global dashboard</t>
        </is>
      </c>
      <c r="D79" s="24" t="inlineStr">
        <is>
          <t>COMPLETED (2-Oct)</t>
        </is>
      </c>
      <c r="E79" s="24" t="n">
        <v>3</v>
      </c>
      <c r="F79" s="24" t="inlineStr">
        <is>
          <t>TC-ADM-001, TC-ADM-002, TC-SPI-028</t>
        </is>
      </c>
      <c r="G79" s="24" t="n"/>
    </row>
    <row r="80" ht="15" customHeight="1" s="13">
      <c r="A80" s="24" t="inlineStr">
        <is>
          <t>GS-066</t>
        </is>
      </c>
      <c r="B80" s="24" t="inlineStr">
        <is>
          <t>Admin</t>
        </is>
      </c>
      <c r="C80" s="24" t="inlineStr">
        <is>
          <t>Operator console</t>
        </is>
      </c>
      <c r="D80" s="24" t="inlineStr">
        <is>
          <t>COMPLETED (2-Oct)</t>
        </is>
      </c>
      <c r="E80" s="24" t="n">
        <v>1</v>
      </c>
      <c r="F80" s="24" t="inlineStr">
        <is>
          <t>TC-ADM-003</t>
        </is>
      </c>
      <c r="G80" s="24" t="n"/>
    </row>
    <row r="81" ht="15" customHeight="1" s="13">
      <c r="A81" s="24" t="inlineStr">
        <is>
          <t>NAV-015</t>
        </is>
      </c>
      <c r="B81" s="24" t="inlineStr">
        <is>
          <t>Operator</t>
        </is>
      </c>
      <c r="C81" s="24" t="inlineStr">
        <is>
          <t>Operator portal - Operations</t>
        </is>
      </c>
      <c r="D81" s="24" t="inlineStr">
        <is>
          <t>COMPLETED (2-Oct)</t>
        </is>
      </c>
      <c r="E81" s="24" t="n">
        <v>3</v>
      </c>
      <c r="F81" s="24" t="inlineStr">
        <is>
          <t>TC-FIN-023, TC-ADM-003, TC-ADM-021</t>
        </is>
      </c>
      <c r="G81" s="24" t="n"/>
    </row>
    <row r="82" ht="15" customHeight="1" s="13">
      <c r="A82" s="24" t="inlineStr">
        <is>
          <t>NAV-016</t>
        </is>
      </c>
      <c r="B82" s="24" t="inlineStr">
        <is>
          <t>Operator</t>
        </is>
      </c>
      <c r="C82" s="24" t="inlineStr">
        <is>
          <t>Operator portal - Orders</t>
        </is>
      </c>
      <c r="D82" s="24" t="inlineStr">
        <is>
          <t>COMPLETED (2-Oct)</t>
        </is>
      </c>
      <c r="E82" s="24" t="n">
        <v>3</v>
      </c>
      <c r="F82" s="24" t="inlineStr">
        <is>
          <t>TC-DSP-014, TC-ADM-004, TC-ADM-005</t>
        </is>
      </c>
      <c r="G82" s="24" t="n"/>
    </row>
    <row r="83" ht="15" customHeight="1" s="13">
      <c r="A83" s="24" t="inlineStr">
        <is>
          <t>NAV-017</t>
        </is>
      </c>
      <c r="B83" s="24" t="inlineStr">
        <is>
          <t>Admin</t>
        </is>
      </c>
      <c r="C83" s="24" t="inlineStr">
        <is>
          <t>Admin portal - Control Tower</t>
        </is>
      </c>
      <c r="D83" s="24" t="inlineStr">
        <is>
          <t>COMPLETED (2-Oct)</t>
        </is>
      </c>
      <c r="E83" s="24" t="n">
        <v>1</v>
      </c>
      <c r="F83" s="24" t="inlineStr">
        <is>
          <t>TC-ADM-001</t>
        </is>
      </c>
      <c r="G83" s="24" t="n"/>
    </row>
    <row r="84" ht="15" customHeight="1" s="13">
      <c r="A84" s="24" t="inlineStr">
        <is>
          <t>NAV-019</t>
        </is>
      </c>
      <c r="B84" s="24" t="inlineStr">
        <is>
          <t>Admin</t>
        </is>
      </c>
      <c r="C84" s="24" t="inlineStr">
        <is>
          <t>Admin portal - Security</t>
        </is>
      </c>
      <c r="D84" s="24" t="inlineStr">
        <is>
          <t>IN PROGRESS</t>
        </is>
      </c>
      <c r="E84" s="24" t="n">
        <v>1</v>
      </c>
      <c r="F84" s="24" t="inlineStr">
        <is>
          <t>TC-ADM-019</t>
        </is>
      </c>
      <c r="G84" s="24" t="inlineStr">
        <is>
          <t>Part not built: Operations consent view</t>
        </is>
      </c>
    </row>
    <row r="85" ht="15" customHeight="1" s="13">
      <c r="A85" s="24" t="inlineStr">
        <is>
          <t>GS-069</t>
        </is>
      </c>
      <c r="B85" s="24" t="inlineStr">
        <is>
          <t>Analytics</t>
        </is>
      </c>
      <c r="C85" s="24" t="inlineStr">
        <is>
          <t>Marketplace KPI dashboard</t>
        </is>
      </c>
      <c r="D85" s="24" t="inlineStr">
        <is>
          <t>COMPLETED</t>
        </is>
      </c>
      <c r="E85" s="24" t="n">
        <v>3</v>
      </c>
      <c r="F85" s="24" t="inlineStr">
        <is>
          <t>TC-KPI-001, TC-KPI-002, TC-KPI-013</t>
        </is>
      </c>
      <c r="G85" s="24" t="n"/>
    </row>
    <row r="86" ht="15" customHeight="1" s="13">
      <c r="A86" s="24" t="inlineStr">
        <is>
          <t>KPI-001</t>
        </is>
      </c>
      <c r="B86" s="24" t="inlineStr">
        <is>
          <t>Analytics</t>
        </is>
      </c>
      <c r="C86" s="24" t="inlineStr">
        <is>
          <t>GMV</t>
        </is>
      </c>
      <c r="D86" s="24" t="inlineStr">
        <is>
          <t>COMPLETED</t>
        </is>
      </c>
      <c r="E86" s="24" t="n">
        <v>2</v>
      </c>
      <c r="F86" s="24" t="inlineStr">
        <is>
          <t>TC-FIN-024, TC-KPI-003</t>
        </is>
      </c>
      <c r="G86" s="24" t="n"/>
    </row>
    <row r="87" ht="15" customHeight="1" s="13">
      <c r="A87" s="24" t="inlineStr">
        <is>
          <t>KPI-002</t>
        </is>
      </c>
      <c r="B87" s="24" t="inlineStr">
        <is>
          <t>Analytics</t>
        </is>
      </c>
      <c r="C87" s="24" t="inlineStr">
        <is>
          <t>Order fill rate</t>
        </is>
      </c>
      <c r="D87" s="24" t="inlineStr">
        <is>
          <t>COMPLETED</t>
        </is>
      </c>
      <c r="E87" s="24" t="n">
        <v>1</v>
      </c>
      <c r="F87" s="24" t="inlineStr">
        <is>
          <t>TC-KPI-004</t>
        </is>
      </c>
      <c r="G87" s="24" t="n"/>
    </row>
    <row r="88" ht="15" customHeight="1" s="13">
      <c r="A88" s="24" t="inlineStr">
        <is>
          <t>KPI-003</t>
        </is>
      </c>
      <c r="B88" s="24" t="inlineStr">
        <is>
          <t>Analytics</t>
        </is>
      </c>
      <c r="C88" s="24" t="inlineStr">
        <is>
          <t>Shop acceptance time</t>
        </is>
      </c>
      <c r="D88" s="24" t="inlineStr">
        <is>
          <t>COMPLETED</t>
        </is>
      </c>
      <c r="E88" s="24" t="n">
        <v>1</v>
      </c>
      <c r="F88" s="24" t="inlineStr">
        <is>
          <t>TC-KPI-005</t>
        </is>
      </c>
      <c r="G88" s="24" t="n"/>
    </row>
    <row r="89" ht="15" customHeight="1" s="13">
      <c r="A89" s="24" t="inlineStr">
        <is>
          <t>KPI-004</t>
        </is>
      </c>
      <c r="B89" s="24" t="inlineStr">
        <is>
          <t>Analytics</t>
        </is>
      </c>
      <c r="C89" s="24" t="inlineStr">
        <is>
          <t>Pick-pack time</t>
        </is>
      </c>
      <c r="D89" s="24" t="inlineStr">
        <is>
          <t>COMPLETED</t>
        </is>
      </c>
      <c r="E89" s="24" t="n">
        <v>1</v>
      </c>
      <c r="F89" s="24" t="inlineStr">
        <is>
          <t>TC-KPI-005</t>
        </is>
      </c>
      <c r="G89" s="24" t="n"/>
    </row>
    <row r="90" ht="15" customHeight="1" s="13">
      <c r="A90" s="24" t="inlineStr">
        <is>
          <t>KPI-005</t>
        </is>
      </c>
      <c r="B90" s="24" t="inlineStr">
        <is>
          <t>Analytics</t>
        </is>
      </c>
      <c r="C90" s="24" t="inlineStr">
        <is>
          <t>Assignment time</t>
        </is>
      </c>
      <c r="D90" s="24" t="inlineStr">
        <is>
          <t>COMPLETED</t>
        </is>
      </c>
      <c r="E90" s="24" t="n">
        <v>1</v>
      </c>
      <c r="F90" s="24" t="inlineStr">
        <is>
          <t>TC-KPI-006</t>
        </is>
      </c>
      <c r="G90" s="24" t="n"/>
    </row>
    <row r="91" ht="15" customHeight="1" s="13">
      <c r="A91" s="24" t="inlineStr">
        <is>
          <t>KPI-006</t>
        </is>
      </c>
      <c r="B91" s="24" t="inlineStr">
        <is>
          <t>Analytics</t>
        </is>
      </c>
      <c r="C91" s="24" t="inlineStr">
        <is>
          <t>Delivery time</t>
        </is>
      </c>
      <c r="D91" s="24" t="inlineStr">
        <is>
          <t>COMPLETED</t>
        </is>
      </c>
      <c r="E91" s="24" t="n">
        <v>1</v>
      </c>
      <c r="F91" s="24" t="inlineStr">
        <is>
          <t>TC-KPI-006</t>
        </is>
      </c>
      <c r="G91" s="24" t="n"/>
    </row>
    <row r="92" ht="15" customHeight="1" s="13">
      <c r="A92" s="24" t="inlineStr">
        <is>
          <t>KPI-007</t>
        </is>
      </c>
      <c r="B92" s="24" t="inlineStr">
        <is>
          <t>Analytics</t>
        </is>
      </c>
      <c r="C92" s="24" t="inlineStr">
        <is>
          <t>On-time delivery rate</t>
        </is>
      </c>
      <c r="D92" s="24" t="inlineStr">
        <is>
          <t>COMPLETED</t>
        </is>
      </c>
      <c r="E92" s="24" t="n">
        <v>1</v>
      </c>
      <c r="F92" s="24" t="inlineStr">
        <is>
          <t>TC-KPI-007</t>
        </is>
      </c>
      <c r="G92" s="24" t="n"/>
    </row>
    <row r="93" ht="15" customHeight="1" s="13">
      <c r="A93" s="24" t="inlineStr">
        <is>
          <t>KPI-008</t>
        </is>
      </c>
      <c r="B93" s="24" t="inlineStr">
        <is>
          <t>Analytics</t>
        </is>
      </c>
      <c r="C93" s="24" t="inlineStr">
        <is>
          <t>Cancellation rate</t>
        </is>
      </c>
      <c r="D93" s="24" t="inlineStr">
        <is>
          <t>COMPLETED</t>
        </is>
      </c>
      <c r="E93" s="24" t="n">
        <v>1</v>
      </c>
      <c r="F93" s="24" t="inlineStr">
        <is>
          <t>TC-KPI-008</t>
        </is>
      </c>
      <c r="G93" s="24" t="n"/>
    </row>
    <row r="94" ht="15" customHeight="1" s="13">
      <c r="A94" s="24" t="inlineStr">
        <is>
          <t>KPI-009</t>
        </is>
      </c>
      <c r="B94" s="24" t="inlineStr">
        <is>
          <t>Analytics</t>
        </is>
      </c>
      <c r="C94" s="24" t="inlineStr">
        <is>
          <t>Refund rate</t>
        </is>
      </c>
      <c r="D94" s="24" t="inlineStr">
        <is>
          <t>COMPLETED</t>
        </is>
      </c>
      <c r="E94" s="24" t="n">
        <v>1</v>
      </c>
      <c r="F94" s="24" t="inlineStr">
        <is>
          <t>TC-KPI-008</t>
        </is>
      </c>
      <c r="G94" s="24" t="n"/>
    </row>
    <row r="95" ht="15" customHeight="1" s="13">
      <c r="A95" s="24" t="inlineStr">
        <is>
          <t>KPI-010</t>
        </is>
      </c>
      <c r="B95" s="24" t="inlineStr">
        <is>
          <t>Analytics</t>
        </is>
      </c>
      <c r="C95" s="24" t="inlineStr">
        <is>
          <t>Customer repeat rate</t>
        </is>
      </c>
      <c r="D95" s="24" t="inlineStr">
        <is>
          <t>COMPLETED</t>
        </is>
      </c>
      <c r="E95" s="24" t="n">
        <v>1</v>
      </c>
      <c r="F95" s="24" t="inlineStr">
        <is>
          <t>TC-KPI-009</t>
        </is>
      </c>
      <c r="G95" s="24" t="n"/>
    </row>
    <row r="96" ht="15" customHeight="1" s="13">
      <c r="A96" s="24" t="inlineStr">
        <is>
          <t>KPI-011</t>
        </is>
      </c>
      <c r="B96" s="24" t="inlineStr">
        <is>
          <t>Analytics</t>
        </is>
      </c>
      <c r="C96" s="24" t="inlineStr">
        <is>
          <t>Subscription retention</t>
        </is>
      </c>
      <c r="D96" s="24" t="inlineStr">
        <is>
          <t>COMPLETED</t>
        </is>
      </c>
      <c r="E96" s="24" t="n">
        <v>1</v>
      </c>
      <c r="F96" s="24" t="inlineStr">
        <is>
          <t>TC-KPI-010</t>
        </is>
      </c>
      <c r="G96" s="24" t="n"/>
    </row>
    <row r="97" ht="15" customHeight="1" s="13">
      <c r="A97" s="24" t="inlineStr">
        <is>
          <t>KPI-012</t>
        </is>
      </c>
      <c r="B97" s="24" t="inlineStr">
        <is>
          <t>Analytics</t>
        </is>
      </c>
      <c r="C97" s="24" t="inlineStr">
        <is>
          <t>Gig acceptance rate</t>
        </is>
      </c>
      <c r="D97" s="24" t="inlineStr">
        <is>
          <t>COMPLETED</t>
        </is>
      </c>
      <c r="E97" s="24" t="n">
        <v>1</v>
      </c>
      <c r="F97" s="24" t="inlineStr">
        <is>
          <t>TC-KPI-011</t>
        </is>
      </c>
      <c r="G97" s="24" t="n"/>
    </row>
    <row r="98" ht="15" customHeight="1" s="13">
      <c r="A98" s="24" t="inlineStr">
        <is>
          <t>KPI-013</t>
        </is>
      </c>
      <c r="B98" s="24" t="inlineStr">
        <is>
          <t>Analytics</t>
        </is>
      </c>
      <c r="C98" s="24" t="inlineStr">
        <is>
          <t>Gig utilization</t>
        </is>
      </c>
      <c r="D98" s="24" t="inlineStr">
        <is>
          <t>COMPLETED</t>
        </is>
      </c>
      <c r="E98" s="24" t="n">
        <v>1</v>
      </c>
      <c r="F98" s="24" t="inlineStr">
        <is>
          <t>TC-KPI-011</t>
        </is>
      </c>
      <c r="G98" s="24" t="n"/>
    </row>
    <row r="99" ht="15" customHeight="1" s="13">
      <c r="A99" s="24" t="inlineStr">
        <is>
          <t>KPI-014</t>
        </is>
      </c>
      <c r="B99" s="24" t="inlineStr">
        <is>
          <t>Analytics</t>
        </is>
      </c>
      <c r="C99" s="24" t="inlineStr">
        <is>
          <t>Shop retention</t>
        </is>
      </c>
      <c r="D99" s="24" t="inlineStr">
        <is>
          <t>COMPLETED</t>
        </is>
      </c>
      <c r="E99" s="24" t="n">
        <v>1</v>
      </c>
      <c r="F99" s="24" t="inlineStr">
        <is>
          <t>TC-KPI-009</t>
        </is>
      </c>
      <c r="G99" s="24" t="n"/>
    </row>
    <row r="100" ht="15" customHeight="1" s="13">
      <c r="A100" s="24" t="inlineStr">
        <is>
          <t>NAV-018</t>
        </is>
      </c>
      <c r="B100" s="24" t="inlineStr">
        <is>
          <t>Admin</t>
        </is>
      </c>
      <c r="C100" s="24" t="inlineStr">
        <is>
          <t>Admin portal - Analytics</t>
        </is>
      </c>
      <c r="D100" s="24" t="inlineStr">
        <is>
          <t>COMPLETED</t>
        </is>
      </c>
      <c r="E100" s="24" t="n">
        <v>1</v>
      </c>
      <c r="F100" s="24" t="inlineStr">
        <is>
          <t>TC-KPI-001</t>
        </is>
      </c>
      <c r="G100" s="24" t="n"/>
    </row>
    <row r="101" ht="23.25" customHeight="1" s="13">
      <c r="A101" s="24" t="inlineStr">
        <is>
          <t>GS-014</t>
        </is>
      </c>
      <c r="B101" s="24" t="inlineStr">
        <is>
          <t>Catalog</t>
        </is>
      </c>
      <c r="C101" s="24" t="inlineStr">
        <is>
          <t>Product images/specifications</t>
        </is>
      </c>
      <c r="D101" s="24" t="inlineStr">
        <is>
          <t>TREATED AS COMPLETED 4-Oct (open-features list 3-Oct: IN PROGRESS) - confirm on test with TC-PRE-012</t>
        </is>
      </c>
      <c r="E101" s="24" t="n">
        <v>11</v>
      </c>
      <c r="F101" s="24" t="inlineStr">
        <is>
          <t>TC-DISC-018, TC-CAT-022, TC-CAT-023, TC-CAT-024, TC-CAT-025, TC-CAT-026, TC-FLD-066, TC-FLD-067, TC-CAT-068, TC-CAT-069, TC-CAT-070</t>
        </is>
      </c>
      <c r="G101" s="24" t="n"/>
    </row>
    <row r="102" ht="23.25" customHeight="1" s="13">
      <c r="A102" s="24" t="inlineStr">
        <is>
          <t>GS-035</t>
        </is>
      </c>
      <c r="B102" s="24" t="inlineStr">
        <is>
          <t>Orders</t>
        </is>
      </c>
      <c r="C102" s="24" t="inlineStr">
        <is>
          <t>Substitution approval</t>
        </is>
      </c>
      <c r="D102" s="24" t="inlineStr">
        <is>
          <t>COMPLETED</t>
        </is>
      </c>
      <c r="E102" s="24" t="n">
        <v>9</v>
      </c>
      <c r="F102" s="24" t="inlineStr">
        <is>
          <t>TC-FUL-007, TC-FUL-008, TC-FUL-009, TC-FUL-010, TC-FUL-011, TC-FUL-012, TC-FLD-084, TC-SPI-010, TC-PAY-029</t>
        </is>
      </c>
      <c r="G102" s="24" t="n"/>
    </row>
    <row r="103" ht="15" customHeight="1" s="13">
      <c r="A103" s="24" t="inlineStr">
        <is>
          <t>GS-059</t>
        </is>
      </c>
      <c r="B103" s="24" t="inlineStr">
        <is>
          <t>Ratings</t>
        </is>
      </c>
      <c r="C103" s="24" t="inlineStr">
        <is>
          <t>Shop rating</t>
        </is>
      </c>
      <c r="D103" s="24" t="inlineStr">
        <is>
          <t>COMPLETED</t>
        </is>
      </c>
      <c r="E103" s="24" t="n">
        <v>5</v>
      </c>
      <c r="F103" s="24" t="inlineStr">
        <is>
          <t>TC-SUP-006, TC-SUP-007, TC-SUP-009, TC-SUP-010, TC-FLD-102</t>
        </is>
      </c>
      <c r="G103" s="24" t="n"/>
    </row>
    <row r="104" ht="15" customHeight="1" s="13">
      <c r="A104" s="24" t="inlineStr">
        <is>
          <t>GS-060</t>
        </is>
      </c>
      <c r="B104" s="24" t="inlineStr">
        <is>
          <t>Ratings</t>
        </is>
      </c>
      <c r="C104" s="24" t="inlineStr">
        <is>
          <t>Gig rating</t>
        </is>
      </c>
      <c r="D104" s="24" t="inlineStr">
        <is>
          <t>COMPLETED</t>
        </is>
      </c>
      <c r="E104" s="24" t="n">
        <v>2</v>
      </c>
      <c r="F104" s="24" t="inlineStr">
        <is>
          <t>TC-SUP-008, TC-FLD-102</t>
        </is>
      </c>
      <c r="G104" s="24" t="n"/>
    </row>
    <row r="105" ht="15" customHeight="1" s="13">
      <c r="A105" s="24" t="inlineStr">
        <is>
          <t>GA-007</t>
        </is>
      </c>
      <c r="B105" s="24" t="inlineStr">
        <is>
          <t>Delivery</t>
        </is>
      </c>
      <c r="C105" s="24" t="inlineStr">
        <is>
          <t>Reliability</t>
        </is>
      </c>
      <c r="D105" s="24" t="inlineStr">
        <is>
          <t>COMPLETED</t>
        </is>
      </c>
      <c r="E105" s="24" t="n">
        <v>1</v>
      </c>
      <c r="F105" s="24" t="inlineStr">
        <is>
          <t>TC-DSP-020</t>
        </is>
      </c>
      <c r="G105" s="24" t="n"/>
    </row>
    <row r="106" ht="15" customHeight="1" s="13">
      <c r="A106" s="24" t="inlineStr">
        <is>
          <t>GA-008</t>
        </is>
      </c>
      <c r="B106" s="24" t="inlineStr">
        <is>
          <t>Delivery</t>
        </is>
      </c>
      <c r="C106" s="24" t="inlineStr">
        <is>
          <t>Fairness</t>
        </is>
      </c>
      <c r="D106" s="24" t="inlineStr">
        <is>
          <t>COMPLETED</t>
        </is>
      </c>
      <c r="E106" s="24" t="n">
        <v>1</v>
      </c>
      <c r="F106" s="24" t="inlineStr">
        <is>
          <t>TC-DSP-021</t>
        </is>
      </c>
      <c r="G106" s="24" t="n"/>
    </row>
    <row r="107" ht="15" customHeight="1" s="13">
      <c r="A107" s="24" t="inlineStr">
        <is>
          <t>GS-003</t>
        </is>
      </c>
      <c r="B107" s="24" t="inlineStr">
        <is>
          <t>Identity &amp; Access</t>
        </is>
      </c>
      <c r="C107" s="24" t="inlineStr">
        <is>
          <t>Multi-role user account</t>
        </is>
      </c>
      <c r="D107" s="24" t="inlineStr">
        <is>
          <t>COMPLETED</t>
        </is>
      </c>
      <c r="E107" s="24" t="n">
        <v>6</v>
      </c>
      <c r="F107" s="24" t="inlineStr">
        <is>
          <t>TC-RBAC-011, TC-RBAC-012, TC-RBAC-013, TC-RBAC-014, TC-RBAC-015, TC-AUTH-041</t>
        </is>
      </c>
      <c r="G107" s="24" t="n"/>
    </row>
    <row r="108" ht="15" customHeight="1" s="13">
      <c r="A108" s="24" t="inlineStr">
        <is>
          <t>GS-018</t>
        </is>
      </c>
      <c r="B108" s="24" t="inlineStr">
        <is>
          <t>Inventory</t>
        </is>
      </c>
      <c r="C108" s="24" t="inlineStr">
        <is>
          <t>Reorder level / quantity</t>
        </is>
      </c>
      <c r="D108" s="24" t="inlineStr">
        <is>
          <t>COMPLETED (2-Oct)</t>
        </is>
      </c>
      <c r="E108" s="24" t="n">
        <v>3</v>
      </c>
      <c r="F108" s="24" t="inlineStr">
        <is>
          <t>TC-CAT-019, TC-CAT-021, TC-FLD-063</t>
        </is>
      </c>
      <c r="G108" s="24" t="n"/>
    </row>
    <row r="109" ht="15" customHeight="1" s="13">
      <c r="A109" s="24" t="inlineStr">
        <is>
          <t>GS-023</t>
        </is>
      </c>
      <c r="B109" s="24" t="inlineStr">
        <is>
          <t>Comparison</t>
        </is>
      </c>
      <c r="C109" s="24" t="inlineStr">
        <is>
          <t>E-commerce price benchmark</t>
        </is>
      </c>
      <c r="D109" s="24" t="inlineStr">
        <is>
          <t>TREATED AS COMPLETED 4-Oct (open-features list 3-Oct: IN PROGRESS) - confirm on test with TC-PRE-012</t>
        </is>
      </c>
      <c r="E109" s="24" t="n">
        <v>6</v>
      </c>
      <c r="F109" s="24" t="inlineStr">
        <is>
          <t>TC-DISC-015, TC-DISC-016, TC-CAT-012, TC-FLD-081, TC-DISC-019, TC-DISC-020</t>
        </is>
      </c>
      <c r="G109" s="24" t="n"/>
    </row>
    <row r="110" ht="34.5" customHeight="1" s="13">
      <c r="A110" s="24" t="inlineStr">
        <is>
          <t>GS-030</t>
        </is>
      </c>
      <c r="B110" s="24" t="inlineStr">
        <is>
          <t>Payments</t>
        </is>
      </c>
      <c r="C110" s="24" t="inlineStr">
        <is>
          <t>COD</t>
        </is>
      </c>
      <c r="D110" s="24" t="inlineStr">
        <is>
          <t>COMPLETED</t>
        </is>
      </c>
      <c r="E110" s="24" t="n">
        <v>16</v>
      </c>
      <c r="F110" s="24" t="inlineStr">
        <is>
          <t>TC-COD-001, TC-COD-002, TC-COD-003, TC-COD-004, TC-COD-005, TC-COD-006, TC-COD-007, TC-COD-008, TC-COD-009, TC-COD-010, TC-COD-011, TC-COD-012, TC-FLD-027, TC-FLD-057, TC-FLD-089, TC-FLD-117</t>
        </is>
      </c>
      <c r="G110" s="24" t="n"/>
    </row>
    <row r="111" ht="15" customHeight="1" s="13">
      <c r="A111" s="24" t="inlineStr">
        <is>
          <t>GS-046</t>
        </is>
      </c>
      <c r="B111" s="24" t="inlineStr">
        <is>
          <t>Society</t>
        </is>
      </c>
      <c r="C111" s="24" t="inlineStr">
        <is>
          <t>Security notification</t>
        </is>
      </c>
      <c r="D111" s="24" t="inlineStr">
        <is>
          <t>COMPLETED</t>
        </is>
      </c>
      <c r="E111" s="24" t="n">
        <v>2</v>
      </c>
      <c r="F111" s="24" t="inlineStr">
        <is>
          <t>TC-SOC-014, TC-FLD-105</t>
        </is>
      </c>
      <c r="G111" s="24" t="n"/>
    </row>
    <row r="112" ht="15" customHeight="1" s="13">
      <c r="A112" s="24" t="inlineStr">
        <is>
          <t>GS-049</t>
        </is>
      </c>
      <c r="B112" s="24" t="inlineStr">
        <is>
          <t>Subscription</t>
        </is>
      </c>
      <c r="C112" s="24" t="inlineStr">
        <is>
          <t>Recurring vegetables/daily goods</t>
        </is>
      </c>
      <c r="D112" s="24" t="inlineStr">
        <is>
          <t>COMPLETED</t>
        </is>
      </c>
      <c r="E112" s="24" t="n">
        <v>2</v>
      </c>
      <c r="F112" s="24" t="inlineStr">
        <is>
          <t>TC-SUB-003, TC-FLD-108</t>
        </is>
      </c>
      <c r="G112" s="24" t="n"/>
    </row>
    <row r="113" ht="15" customHeight="1" s="13">
      <c r="A113" s="24" t="inlineStr">
        <is>
          <t>GS-052</t>
        </is>
      </c>
      <c r="B113" s="24" t="inlineStr">
        <is>
          <t>Marketing</t>
        </is>
      </c>
      <c r="C113" s="24" t="inlineStr">
        <is>
          <t>Customer segmentation</t>
        </is>
      </c>
      <c r="D113" s="24" t="inlineStr">
        <is>
          <t>COMPLETED</t>
        </is>
      </c>
      <c r="E113" s="24" t="n">
        <v>5</v>
      </c>
      <c r="F113" s="24" t="inlineStr">
        <is>
          <t>TC-MKT-004, TC-MKT-005, TC-MKT-006, TC-MKT-013, TC-FLD-122</t>
        </is>
      </c>
      <c r="G113" s="24" t="n"/>
    </row>
    <row r="114" ht="23.25" customHeight="1" s="13">
      <c r="A114" s="24" t="inlineStr">
        <is>
          <t>GS-053</t>
        </is>
      </c>
      <c r="B114" s="24" t="inlineStr">
        <is>
          <t>Marketing</t>
        </is>
      </c>
      <c r="C114" s="24" t="inlineStr">
        <is>
          <t>Shop promotional campaigns</t>
        </is>
      </c>
      <c r="D114" s="24" t="inlineStr">
        <is>
          <t>COMPLETED</t>
        </is>
      </c>
      <c r="E114" s="24" t="n">
        <v>13</v>
      </c>
      <c r="F114" s="24" t="inlineStr">
        <is>
          <t>TC-PAY-012, TC-PAY-013, TC-PAY-014, TC-MKT-007, TC-MKT-008, TC-MKT-009, TC-MKT-010, TC-MKT-011, TC-FLD-031, TC-FLD-114, TC-FLD-123, TC-DISC-023, TC-CART-027</t>
        </is>
      </c>
      <c r="G114" s="24" t="n"/>
    </row>
    <row r="115" ht="15" customHeight="1" s="13">
      <c r="A115" s="24" t="inlineStr">
        <is>
          <t>GS-054</t>
        </is>
      </c>
      <c r="B115" s="24" t="inlineStr">
        <is>
          <t>Marketing</t>
        </is>
      </c>
      <c r="C115" s="24" t="inlineStr">
        <is>
          <t>Referral program</t>
        </is>
      </c>
      <c r="D115" s="24" t="inlineStr">
        <is>
          <t>TREATED AS COMPLETED 4-Oct (open-features list 3-Oct: IN PROGRESS) - confirm on test with TC-PRE-012</t>
        </is>
      </c>
      <c r="E115" s="24" t="n">
        <v>7</v>
      </c>
      <c r="F115" s="24" t="inlineStr">
        <is>
          <t>TC-ONB-025, TC-FLD-048, TC-MKT-014, TC-MKT-015, TC-MKT-016, TC-MKT-017, TC-FLD-132</t>
        </is>
      </c>
      <c r="G115" s="24" t="n"/>
    </row>
    <row r="116" ht="15" customHeight="1" s="13">
      <c r="A116" s="24" t="inlineStr">
        <is>
          <t>WF-009</t>
        </is>
      </c>
      <c r="B116" s="24" t="inlineStr">
        <is>
          <t>Marketing</t>
        </is>
      </c>
      <c r="C116" s="24" t="inlineStr">
        <is>
          <t>Marketing campaign</t>
        </is>
      </c>
      <c r="D116" s="24" t="inlineStr">
        <is>
          <t>COMPLETED</t>
        </is>
      </c>
      <c r="E116" s="24" t="n">
        <v>3</v>
      </c>
      <c r="F116" s="24" t="inlineStr">
        <is>
          <t>TC-MKT-007, TC-MKT-012, TC-FLD-123</t>
        </is>
      </c>
      <c r="G116" s="24" t="n"/>
    </row>
    <row r="117" ht="15" customHeight="1" s="13">
      <c r="A117" s="24" t="inlineStr">
        <is>
          <t>NAV-009</t>
        </is>
      </c>
      <c r="B117" s="24" t="inlineStr">
        <is>
          <t>Shop</t>
        </is>
      </c>
      <c r="C117" s="24" t="inlineStr">
        <is>
          <t>Shop portal - Marketing</t>
        </is>
      </c>
      <c r="D117" s="24" t="inlineStr">
        <is>
          <t>COMPLETED</t>
        </is>
      </c>
      <c r="E117" s="24" t="n">
        <v>1</v>
      </c>
      <c r="F117" s="24" t="inlineStr">
        <is>
          <t>TC-MKT-003</t>
        </is>
      </c>
      <c r="G117" s="24" t="n"/>
    </row>
    <row r="118" ht="15" customHeight="1" s="13">
      <c r="A118" s="24" t="inlineStr">
        <is>
          <t>KPI-015</t>
        </is>
      </c>
      <c r="B118" s="24" t="inlineStr">
        <is>
          <t>Analytics</t>
        </is>
      </c>
      <c r="C118" s="24" t="inlineStr">
        <is>
          <t>Marketing conversion</t>
        </is>
      </c>
      <c r="D118" s="24" t="inlineStr">
        <is>
          <t>COMPLETED</t>
        </is>
      </c>
      <c r="E118" s="24" t="n">
        <v>2</v>
      </c>
      <c r="F118" s="24" t="inlineStr">
        <is>
          <t>TC-MKT-012, TC-KPI-012</t>
        </is>
      </c>
      <c r="G118" s="24" t="n"/>
    </row>
    <row r="119" ht="23.25" customHeight="1" s="13">
      <c r="A119" s="24" t="inlineStr">
        <is>
          <t>GS-068</t>
        </is>
      </c>
      <c r="B119" s="24" t="inlineStr">
        <is>
          <t>Admin</t>
        </is>
      </c>
      <c r="C119" s="24" t="inlineStr">
        <is>
          <t>Fraud/risk rules</t>
        </is>
      </c>
      <c r="D119" s="24" t="inlineStr">
        <is>
          <t>COMPLETED</t>
        </is>
      </c>
      <c r="E119" s="24" t="n">
        <v>12</v>
      </c>
      <c r="F119" s="24" t="inlineStr">
        <is>
          <t>TC-COD-004, TC-ONB-037, TC-ADM-011, TC-ADM-012, TC-ADM-013, TC-ADM-014, TC-ADM-015, TC-ADM-016, TC-ADM-017, TC-ADM-018, TC-MKT-015, TC-MKT-017</t>
        </is>
      </c>
      <c r="G119" s="24" t="n"/>
    </row>
    <row r="120" ht="34.5" customHeight="1" s="13">
      <c r="A120" s="24" t="inlineStr">
        <is>
          <t>GS-006</t>
        </is>
      </c>
      <c r="B120" s="24" t="inlineStr">
        <is>
          <t>Shop Onboarding</t>
        </is>
      </c>
      <c r="C120" s="24" t="inlineStr">
        <is>
          <t>Shop registration</t>
        </is>
      </c>
      <c r="D120" s="24" t="inlineStr">
        <is>
          <t>COMPLETED</t>
        </is>
      </c>
      <c r="E120" s="24" t="n">
        <v>17</v>
      </c>
      <c r="F120" s="24" t="inlineStr">
        <is>
          <t>TC-ONB-001, TC-ONB-002, TC-ONB-003, TC-ONB-005, TC-ONB-006, TC-ONB-007, TC-ONB-008, TC-ONB-009, TC-ONB-010, TC-ONB-011, TC-FLD-034, TC-FLD-035, TC-FLD-036, TC-FLD-037, TC-FLD-038, TC-FLD-040, TC-FLD-046</t>
        </is>
      </c>
      <c r="G120" s="24" t="n"/>
    </row>
    <row r="121" ht="34.5" customHeight="1" s="13">
      <c r="A121" s="24" t="inlineStr">
        <is>
          <t>GS-011</t>
        </is>
      </c>
      <c r="B121" s="24" t="inlineStr">
        <is>
          <t>Catalog</t>
        </is>
      </c>
      <c r="C121" s="24" t="inlineStr">
        <is>
          <t>Product master</t>
        </is>
      </c>
      <c r="D121" s="24" t="inlineStr">
        <is>
          <t>COMPLETED</t>
        </is>
      </c>
      <c r="E121" s="24" t="n">
        <v>20</v>
      </c>
      <c r="F121" s="24" t="inlineStr">
        <is>
          <t>TC-CAT-001, TC-CAT-002, TC-PMD-001, TC-PMD-002, TC-PMD-003, TC-PMD-004, TC-PMD-005, TC-PMD-006, TC-CAT-027, TC-CAT-045, TC-CAT-055, TC-FLD-068, TC-FLD-071, TC-FLD-072, TC-FLD-073, TC-FLD-074, TC-FLD-075, TC-FLD-076, TC-FLD-077, TC-FLD-078</t>
        </is>
      </c>
      <c r="G121" s="24" t="n"/>
    </row>
    <row r="122" ht="23.25" customHeight="1" s="13">
      <c r="A122" s="24" t="inlineStr">
        <is>
          <t>GS-012</t>
        </is>
      </c>
      <c r="B122" s="24" t="inlineStr">
        <is>
          <t>Catalog</t>
        </is>
      </c>
      <c r="C122" s="24" t="inlineStr">
        <is>
          <t>Shop catalog mapping</t>
        </is>
      </c>
      <c r="D122" s="24" t="inlineStr">
        <is>
          <t>COMPLETED</t>
        </is>
      </c>
      <c r="E122" s="24" t="n">
        <v>9</v>
      </c>
      <c r="F122" s="24" t="inlineStr">
        <is>
          <t>TC-DISC-014, TC-CAT-003, TC-CAT-004, TC-PMD-004, TC-CAT-028, TC-CAT-037, TC-FLD-059, TC-FLD-064, TC-SPI-013</t>
        </is>
      </c>
      <c r="G122" s="24" t="n"/>
    </row>
    <row r="123" ht="15" customHeight="1" s="13">
      <c r="A123" s="24" t="inlineStr">
        <is>
          <t>GS-013</t>
        </is>
      </c>
      <c r="B123" s="24" t="inlineStr">
        <is>
          <t>Catalog</t>
        </is>
      </c>
      <c r="C123" s="24" t="inlineStr">
        <is>
          <t>Bulk product upload</t>
        </is>
      </c>
      <c r="D123" s="24" t="inlineStr">
        <is>
          <t>COMPLETED</t>
        </is>
      </c>
      <c r="E123" s="24" t="n">
        <v>7</v>
      </c>
      <c r="F123" s="24" t="inlineStr">
        <is>
          <t>TC-CAT-013, TC-CAT-014, TC-CAT-015, TC-CAT-033, TC-CAT-065, TC-FLD-070, TC-SPI-024</t>
        </is>
      </c>
      <c r="G123" s="24" t="n"/>
    </row>
    <row r="124" ht="45.75" customHeight="1" s="13">
      <c r="A124" s="24" t="inlineStr">
        <is>
          <t>GS-016</t>
        </is>
      </c>
      <c r="B124" s="24" t="inlineStr">
        <is>
          <t>Inventory</t>
        </is>
      </c>
      <c r="C124" s="24" t="inlineStr">
        <is>
          <t>Stock quantity</t>
        </is>
      </c>
      <c r="D124" s="24" t="inlineStr">
        <is>
          <t>COMPLETED</t>
        </is>
      </c>
      <c r="E124" s="24" t="n">
        <v>30</v>
      </c>
      <c r="F124" s="24" t="inlineStr">
        <is>
          <t>TC-CART-003, TC-ORD-012, TC-CAT-017, TC-CAT-018, TC-CAT-038, TC-CAT-042, TC-CAT-052, TC-FLD-061, TC-FLD-065, TC-SPI-001, TC-SPI-003, TC-SPI-007, TC-SPI-010, TC-SPI-011, TC-SPI-012, TC-SPI-013, TC-SPI-015, TC-SPI-016, TC-SPI-017, TC-SPI-018, TC-SPI-019, TC-SPI-020, TC-SPI-021, TC-SPI-022, TC-SPI-023, TC-SPI-024, TC-SPI-025, TC-SPI-026, TC-SPI-027, TC-SPI-028</t>
        </is>
      </c>
      <c r="G124" s="24" t="n"/>
    </row>
    <row r="125" ht="15" customHeight="1" s="13">
      <c r="A125" s="24" t="inlineStr">
        <is>
          <t>GS-017</t>
        </is>
      </c>
      <c r="B125" s="24" t="inlineStr">
        <is>
          <t>Inventory</t>
        </is>
      </c>
      <c r="C125" s="24" t="inlineStr">
        <is>
          <t>Low-stock threshold</t>
        </is>
      </c>
      <c r="D125" s="24" t="inlineStr">
        <is>
          <t>COMPLETED</t>
        </is>
      </c>
      <c r="E125" s="24" t="n">
        <v>4</v>
      </c>
      <c r="F125" s="24" t="inlineStr">
        <is>
          <t>TC-CAT-019, TC-CAT-020, TC-CAT-051, TC-FLD-062</t>
        </is>
      </c>
      <c r="G125" s="24" t="n"/>
    </row>
    <row r="126" ht="23.25" customHeight="1" s="13">
      <c r="A126" s="24" t="inlineStr">
        <is>
          <t>GS-024</t>
        </is>
      </c>
      <c r="B126" s="24" t="inlineStr">
        <is>
          <t>Cart</t>
        </is>
      </c>
      <c r="C126" s="24" t="inlineStr">
        <is>
          <t>Single-shop cart</t>
        </is>
      </c>
      <c r="D126" s="24" t="inlineStr">
        <is>
          <t>COMPLETED</t>
        </is>
      </c>
      <c r="E126" s="24" t="n">
        <v>12</v>
      </c>
      <c r="F126" s="24" t="inlineStr">
        <is>
          <t>TC-CART-001, TC-CART-002, TC-CART-003, TC-CART-004, TC-CART-006, TC-CART-007, TC-AUTH-037, TC-CAT-030, TC-CAT-035, TC-FLD-023, TC-FLD-024, TC-SPI-002</t>
        </is>
      </c>
      <c r="G126" s="24" t="n"/>
    </row>
    <row r="127" ht="15" customHeight="1" s="13">
      <c r="A127" s="24" t="inlineStr">
        <is>
          <t>GS-025</t>
        </is>
      </c>
      <c r="B127" s="24" t="inlineStr">
        <is>
          <t>Cart</t>
        </is>
      </c>
      <c r="C127" s="24" t="inlineStr">
        <is>
          <t>Multi-shop cart</t>
        </is>
      </c>
      <c r="D127" s="24" t="inlineStr">
        <is>
          <t>COMPLETED</t>
        </is>
      </c>
      <c r="E127" s="24" t="n">
        <v>2</v>
      </c>
      <c r="F127" s="24" t="inlineStr">
        <is>
          <t>TC-CART-005, TC-CART-010</t>
        </is>
      </c>
      <c r="G127" s="24" t="n"/>
    </row>
    <row r="128" ht="23.25" customHeight="1" s="13">
      <c r="A128" s="24" t="inlineStr">
        <is>
          <t>GS-029</t>
        </is>
      </c>
      <c r="B128" s="24" t="inlineStr">
        <is>
          <t>Payments</t>
        </is>
      </c>
      <c r="C128" s="24" t="inlineStr">
        <is>
          <t>Wallet</t>
        </is>
      </c>
      <c r="D128" s="24" t="inlineStr">
        <is>
          <t>COMPLETED</t>
        </is>
      </c>
      <c r="E128" s="24" t="n">
        <v>13</v>
      </c>
      <c r="F128" s="24" t="inlineStr">
        <is>
          <t>TC-CART-011, TC-PAY-001, TC-PAY-002, TC-PAY-003, TC-PAY-008, TC-PAY-009, TC-PAY-010, TC-PAY-011, TC-PAY-015, TC-PAY-016, TC-FLD-030, TC-FLD-032, TC-FLD-033</t>
        </is>
      </c>
      <c r="G128" s="24" t="n"/>
    </row>
    <row r="129" ht="23.25" customHeight="1" s="13">
      <c r="A129" s="24" t="inlineStr">
        <is>
          <t>GS-032</t>
        </is>
      </c>
      <c r="B129" s="24" t="inlineStr">
        <is>
          <t>Orders</t>
        </is>
      </c>
      <c r="C129" s="24" t="inlineStr">
        <is>
          <t>Order creation</t>
        </is>
      </c>
      <c r="D129" s="24" t="inlineStr">
        <is>
          <t>COMPLETED</t>
        </is>
      </c>
      <c r="E129" s="24" t="n">
        <v>14</v>
      </c>
      <c r="F129" s="24" t="inlineStr">
        <is>
          <t>TC-CART-009, TC-CART-011, TC-CART-012, TC-CART-013, TC-CART-014, TC-CART-015, TC-CART-016, TC-CART-017, TC-CAT-067, TC-FLD-025, TC-FLD-027, TC-FLD-028, TC-SPI-001, TC-SPI-004</t>
        </is>
      </c>
      <c r="G129" s="24" t="n"/>
    </row>
    <row r="130" ht="15" customHeight="1" s="13">
      <c r="A130" s="24" t="inlineStr">
        <is>
          <t>GS-037</t>
        </is>
      </c>
      <c r="B130" s="24" t="inlineStr">
        <is>
          <t>Delivery</t>
        </is>
      </c>
      <c r="C130" s="24" t="inlineStr">
        <is>
          <t>Gig worker onboarding</t>
        </is>
      </c>
      <c r="D130" s="24" t="inlineStr">
        <is>
          <t>COMPLETED</t>
        </is>
      </c>
      <c r="E130" s="24" t="n">
        <v>7</v>
      </c>
      <c r="F130" s="24" t="inlineStr">
        <is>
          <t>TC-DEL-014, TC-DEL-015, TC-DEL-016, TC-FLD-090, TC-FLD-091, TC-FLD-092, TC-FLD-093</t>
        </is>
      </c>
      <c r="G130" s="24" t="n"/>
    </row>
    <row r="131" ht="15" customHeight="1" s="13">
      <c r="A131" s="24" t="inlineStr">
        <is>
          <t>GS-038</t>
        </is>
      </c>
      <c r="B131" s="24" t="inlineStr">
        <is>
          <t>Delivery</t>
        </is>
      </c>
      <c r="C131" s="24" t="inlineStr">
        <is>
          <t>Online/offline status</t>
        </is>
      </c>
      <c r="D131" s="24" t="inlineStr">
        <is>
          <t>COMPLETED</t>
        </is>
      </c>
      <c r="E131" s="24" t="n">
        <v>2</v>
      </c>
      <c r="F131" s="24" t="inlineStr">
        <is>
          <t>TC-DEL-013, TC-AUTH-040</t>
        </is>
      </c>
      <c r="G131" s="24" t="n"/>
    </row>
    <row r="132" ht="15" customHeight="1" s="13">
      <c r="A132" s="24" t="inlineStr">
        <is>
          <t>GS-048</t>
        </is>
      </c>
      <c r="B132" s="24" t="inlineStr">
        <is>
          <t>Subscription</t>
        </is>
      </c>
      <c r="C132" s="24" t="inlineStr">
        <is>
          <t>Daily milk subscription</t>
        </is>
      </c>
      <c r="D132" s="24" t="inlineStr">
        <is>
          <t>COMPLETED</t>
        </is>
      </c>
      <c r="E132" s="24" t="n">
        <v>5</v>
      </c>
      <c r="F132" s="24" t="inlineStr">
        <is>
          <t>TC-SUB-001, TC-SUB-014, TC-SUB-015, TC-FLD-107, TC-FLD-108</t>
        </is>
      </c>
      <c r="G132" s="24" t="n"/>
    </row>
    <row r="133" ht="15" customHeight="1" s="13">
      <c r="A133" s="24" t="inlineStr">
        <is>
          <t>GS-050</t>
        </is>
      </c>
      <c r="B133" s="24" t="inlineStr">
        <is>
          <t>Subscription</t>
        </is>
      </c>
      <c r="C133" s="24" t="inlineStr">
        <is>
          <t>Subscription payment</t>
        </is>
      </c>
      <c r="D133" s="24" t="inlineStr">
        <is>
          <t>COMPLETED</t>
        </is>
      </c>
      <c r="E133" s="24" t="n">
        <v>2</v>
      </c>
      <c r="F133" s="24" t="inlineStr">
        <is>
          <t>TC-SUB-002, TC-SUB-010</t>
        </is>
      </c>
      <c r="G133" s="24" t="n"/>
    </row>
    <row r="134" ht="15" customHeight="1" s="13">
      <c r="A134" s="24" t="inlineStr">
        <is>
          <t>GS-051</t>
        </is>
      </c>
      <c r="B134" s="24" t="inlineStr">
        <is>
          <t>Subscription</t>
        </is>
      </c>
      <c r="C134" s="24" t="inlineStr">
        <is>
          <t>Skip/pause/resume/cancel</t>
        </is>
      </c>
      <c r="D134" s="24" t="inlineStr">
        <is>
          <t>COMPLETED</t>
        </is>
      </c>
      <c r="E134" s="24" t="n">
        <v>6</v>
      </c>
      <c r="F134" s="24" t="inlineStr">
        <is>
          <t>TC-SUB-004, TC-SUB-005, TC-SUB-006, TC-SUB-007, TC-SUB-009, TC-FLD-109</t>
        </is>
      </c>
      <c r="G134" s="24" t="n"/>
    </row>
    <row r="135" ht="34.5" customHeight="1" s="13">
      <c r="A135" s="24" t="inlineStr">
        <is>
          <t>GS-071</t>
        </is>
      </c>
      <c r="B135" s="24" t="inlineStr">
        <is>
          <t>Security</t>
        </is>
      </c>
      <c r="C135" s="24" t="inlineStr">
        <is>
          <t>Data access controls</t>
        </is>
      </c>
      <c r="D135" s="24" t="inlineStr">
        <is>
          <t>COMPLETED</t>
        </is>
      </c>
      <c r="E135" s="24" t="n">
        <v>29</v>
      </c>
      <c r="F135" s="24" t="inlineStr">
        <is>
          <t>TC-PRE-009, TC-RBAC-002, TC-RBAC-023, TC-DEL-010, TC-SUB-012, TC-RET-015, TC-PMD-006, TC-MKT-013, TC-SEC-001, TC-SEC-002, TC-SEC-003, TC-SEC-004, TC-SEC-005, TC-SEC-006, TC-AUTH-034, TC-AUTH-038, TC-AUTH-042, TC-FLD-127, TC-FLD-128, TC-FLD-129, TC-AUTH-052, TC-PAY-021, TC-PAY-034, TC-DSP-026, TC-DEL-024, TC-DEL-031, TC-ONB-046, TC-CAT-070, TC-FIN-031</t>
        </is>
      </c>
      <c r="G135" s="24" t="n"/>
    </row>
    <row r="136" ht="15" customHeight="1" s="13">
      <c r="A136" s="24" t="inlineStr">
        <is>
          <t>RBAC-001</t>
        </is>
      </c>
      <c r="B136" s="24" t="inlineStr">
        <is>
          <t>Security</t>
        </is>
      </c>
      <c r="C136" s="24" t="inlineStr">
        <is>
          <t>Browse/search</t>
        </is>
      </c>
      <c r="D136" s="24" t="inlineStr">
        <is>
          <t>COMPLETED</t>
        </is>
      </c>
      <c r="E136" s="24" t="n">
        <v>2</v>
      </c>
      <c r="F136" s="24" t="inlineStr">
        <is>
          <t>TC-RBAC-001, TC-DISC-017</t>
        </is>
      </c>
      <c r="G136" s="24" t="n"/>
    </row>
    <row r="137" ht="15" customHeight="1" s="13">
      <c r="A137" s="24" t="inlineStr">
        <is>
          <t>RBAC-004</t>
        </is>
      </c>
      <c r="B137" s="24" t="inlineStr">
        <is>
          <t>Security</t>
        </is>
      </c>
      <c r="C137" s="24" t="inlineStr">
        <is>
          <t>Manage catalog</t>
        </is>
      </c>
      <c r="D137" s="24" t="inlineStr">
        <is>
          <t>COMPLETED</t>
        </is>
      </c>
      <c r="E137" s="24" t="n">
        <v>4</v>
      </c>
      <c r="F137" s="24" t="inlineStr">
        <is>
          <t>TC-RBAC-004, TC-CAT-006, TC-CAT-049, TC-CAT-061</t>
        </is>
      </c>
      <c r="G137" s="24" t="n"/>
    </row>
    <row r="138" ht="15" customHeight="1" s="13">
      <c r="A138" s="24" t="inlineStr">
        <is>
          <t>RBAC-005</t>
        </is>
      </c>
      <c r="B138" s="24" t="inlineStr">
        <is>
          <t>Security</t>
        </is>
      </c>
      <c r="C138" s="24" t="inlineStr">
        <is>
          <t>Upload product lists</t>
        </is>
      </c>
      <c r="D138" s="24" t="inlineStr">
        <is>
          <t>COMPLETED</t>
        </is>
      </c>
      <c r="E138" s="24" t="n">
        <v>4</v>
      </c>
      <c r="F138" s="24" t="inlineStr">
        <is>
          <t>TC-RBAC-004, TC-CAT-013, TC-CAT-015, TC-CAT-016</t>
        </is>
      </c>
      <c r="G138" s="24" t="n"/>
    </row>
    <row r="139" ht="15" customHeight="1" s="13">
      <c r="A139" s="24" t="inlineStr">
        <is>
          <t>RBAC-006</t>
        </is>
      </c>
      <c r="B139" s="24" t="inlineStr">
        <is>
          <t>Security</t>
        </is>
      </c>
      <c r="C139" s="24" t="inlineStr">
        <is>
          <t>Verify shop</t>
        </is>
      </c>
      <c r="D139" s="24" t="inlineStr">
        <is>
          <t>COMPLETED</t>
        </is>
      </c>
      <c r="E139" s="24" t="n">
        <v>6</v>
      </c>
      <c r="F139" s="24" t="inlineStr">
        <is>
          <t>TC-RBAC-007, TC-ONB-012, TC-ONB-013, TC-ONB-014, TC-ONB-015, TC-ONB-039</t>
        </is>
      </c>
      <c r="G139" s="24" t="n"/>
    </row>
    <row r="140" ht="15" customHeight="1" s="13">
      <c r="A140" s="24" t="inlineStr">
        <is>
          <t>RBAC-008</t>
        </is>
      </c>
      <c r="B140" s="24" t="inlineStr">
        <is>
          <t>Security</t>
        </is>
      </c>
      <c r="C140" s="24" t="inlineStr">
        <is>
          <t>Manage own availability</t>
        </is>
      </c>
      <c r="D140" s="24" t="inlineStr">
        <is>
          <t>COMPLETED</t>
        </is>
      </c>
      <c r="E140" s="24" t="n">
        <v>1</v>
      </c>
      <c r="F140" s="24" t="inlineStr">
        <is>
          <t>TC-RBAC-006</t>
        </is>
      </c>
      <c r="G140" s="24" t="n"/>
    </row>
    <row r="141" ht="15" customHeight="1" s="13">
      <c r="A141" s="24" t="inlineStr">
        <is>
          <t>RBAC-013</t>
        </is>
      </c>
      <c r="B141" s="24" t="inlineStr">
        <is>
          <t>Security</t>
        </is>
      </c>
      <c r="C141" s="24" t="inlineStr">
        <is>
          <t>Manage users/roles</t>
        </is>
      </c>
      <c r="D141" s="24" t="inlineStr">
        <is>
          <t>COMPLETED</t>
        </is>
      </c>
      <c r="E141" s="24" t="n">
        <v>5</v>
      </c>
      <c r="F141" s="24" t="inlineStr">
        <is>
          <t>TC-AUTH-022, TC-RBAC-009, TC-RBAC-010, TC-ADM-010, TC-FLD-120</t>
        </is>
      </c>
      <c r="G141" s="24" t="n"/>
    </row>
    <row r="142" ht="15" customHeight="1" s="13">
      <c r="A142" s="24" t="inlineStr">
        <is>
          <t>RBAC-014</t>
        </is>
      </c>
      <c r="B142" s="24" t="inlineStr">
        <is>
          <t>Security</t>
        </is>
      </c>
      <c r="C142" s="24" t="inlineStr">
        <is>
          <t>System configuration</t>
        </is>
      </c>
      <c r="D142" s="24" t="inlineStr">
        <is>
          <t>COMPLETED</t>
        </is>
      </c>
      <c r="E142" s="24" t="n">
        <v>4</v>
      </c>
      <c r="F142" s="24" t="inlineStr">
        <is>
          <t>TC-RBAC-007, TC-ADM-007, TC-ADM-020, TC-FLD-110</t>
        </is>
      </c>
      <c r="G142" s="24" t="n"/>
    </row>
    <row r="143" ht="15" customHeight="1" s="13">
      <c r="A143" s="24" t="inlineStr">
        <is>
          <t>RBAC-015</t>
        </is>
      </c>
      <c r="B143" s="24" t="inlineStr">
        <is>
          <t>Security</t>
        </is>
      </c>
      <c r="C143" s="24" t="inlineStr">
        <is>
          <t>Audit logs</t>
        </is>
      </c>
      <c r="D143" s="24" t="inlineStr">
        <is>
          <t>COMPLETED</t>
        </is>
      </c>
      <c r="E143" s="24" t="n">
        <v>2</v>
      </c>
      <c r="F143" s="24" t="inlineStr">
        <is>
          <t>TC-RBAC-007, TC-RBAC-021</t>
        </is>
      </c>
      <c r="G143" s="24" t="n"/>
    </row>
    <row r="144" ht="15" customHeight="1" s="13">
      <c r="A144" s="24" t="inlineStr">
        <is>
          <t>GA-003</t>
        </is>
      </c>
      <c r="B144" s="24" t="inlineStr">
        <is>
          <t>Delivery</t>
        </is>
      </c>
      <c r="C144" s="24" t="inlineStr">
        <is>
          <t>Distance</t>
        </is>
      </c>
      <c r="D144" s="24" t="inlineStr">
        <is>
          <t>COMPLETED</t>
        </is>
      </c>
      <c r="E144" s="24" t="n">
        <v>1</v>
      </c>
      <c r="F144" s="24" t="inlineStr">
        <is>
          <t>TC-DSP-003</t>
        </is>
      </c>
      <c r="G144" s="24" t="n"/>
    </row>
    <row r="145" ht="15" customHeight="1" s="13">
      <c r="A145" s="24" t="inlineStr">
        <is>
          <t>GA-004</t>
        </is>
      </c>
      <c r="B145" s="24" t="inlineStr">
        <is>
          <t>Delivery</t>
        </is>
      </c>
      <c r="C145" s="24" t="inlineStr">
        <is>
          <t>Availability</t>
        </is>
      </c>
      <c r="D145" s="24" t="inlineStr">
        <is>
          <t>COMPLETED</t>
        </is>
      </c>
      <c r="E145" s="24" t="n">
        <v>1</v>
      </c>
      <c r="F145" s="24" t="inlineStr">
        <is>
          <t>TC-DSP-002</t>
        </is>
      </c>
      <c r="G145" s="24" t="n"/>
    </row>
    <row r="146" ht="15" customHeight="1" s="13">
      <c r="A146" s="24" t="inlineStr">
        <is>
          <t>NAV-005</t>
        </is>
      </c>
      <c r="B146" s="24" t="inlineStr">
        <is>
          <t>Customer</t>
        </is>
      </c>
      <c r="C146" s="24" t="inlineStr">
        <is>
          <t>Customer portal - Subscriptions</t>
        </is>
      </c>
      <c r="D146" s="24" t="inlineStr">
        <is>
          <t>COMPLETED</t>
        </is>
      </c>
      <c r="E146" s="24" t="n">
        <v>1</v>
      </c>
      <c r="F146" s="24" t="inlineStr">
        <is>
          <t>TC-SUB-001</t>
        </is>
      </c>
      <c r="G146" s="24" t="n"/>
    </row>
    <row r="147" ht="15" customHeight="1" s="13">
      <c r="A147" s="24" t="inlineStr">
        <is>
          <t>NAV-007</t>
        </is>
      </c>
      <c r="B147" s="24" t="inlineStr">
        <is>
          <t>Shop</t>
        </is>
      </c>
      <c r="C147" s="24" t="inlineStr">
        <is>
          <t>Shop portal - Catalog</t>
        </is>
      </c>
      <c r="D147" s="24" t="inlineStr">
        <is>
          <t>COMPLETED</t>
        </is>
      </c>
      <c r="E147" s="24" t="n">
        <v>3</v>
      </c>
      <c r="F147" s="24" t="inlineStr">
        <is>
          <t>TC-CAT-003, TC-SPI-015, TC-SPI-026</t>
        </is>
      </c>
      <c r="G147" s="24" t="n"/>
    </row>
    <row r="148" ht="15" customHeight="1" s="13">
      <c r="A148" s="24" t="inlineStr">
        <is>
          <t>NAV-008</t>
        </is>
      </c>
      <c r="B148" s="24" t="inlineStr">
        <is>
          <t>Shop</t>
        </is>
      </c>
      <c r="C148" s="24" t="inlineStr">
        <is>
          <t>Shop portal - Orders</t>
        </is>
      </c>
      <c r="D148" s="24" t="inlineStr">
        <is>
          <t>COMPLETED</t>
        </is>
      </c>
      <c r="E148" s="24" t="n">
        <v>2</v>
      </c>
      <c r="F148" s="24" t="inlineStr">
        <is>
          <t>TC-FUL-017, TC-SPI-008</t>
        </is>
      </c>
      <c r="G148" s="24" t="n"/>
    </row>
    <row r="149" ht="15" customHeight="1" s="13">
      <c r="A149" s="24" t="inlineStr">
        <is>
          <t>NAV-011</t>
        </is>
      </c>
      <c r="B149" s="24" t="inlineStr">
        <is>
          <t>Gig</t>
        </is>
      </c>
      <c r="C149" s="24" t="inlineStr">
        <is>
          <t>Gig portal - Jobs</t>
        </is>
      </c>
      <c r="D149" s="24" t="inlineStr">
        <is>
          <t>COMPLETED</t>
        </is>
      </c>
      <c r="E149" s="24" t="n">
        <v>1</v>
      </c>
      <c r="F149" s="24" t="inlineStr">
        <is>
          <t>TC-DEL-001</t>
        </is>
      </c>
      <c r="G149" s="24" t="n"/>
    </row>
    <row r="150" ht="23.25" customHeight="1" s="13">
      <c r="A150" s="24" t="inlineStr">
        <is>
          <t>NEW-001</t>
        </is>
      </c>
      <c r="B150" s="24" t="inlineStr">
        <is>
          <t>Admin</t>
        </is>
      </c>
      <c r="C150" s="24" t="inlineStr">
        <is>
          <t>Business-rules console (admin-tunable thresholds)</t>
        </is>
      </c>
      <c r="D150" s="24" t="inlineStr">
        <is>
          <t>COMPLETED</t>
        </is>
      </c>
      <c r="E150" s="24" t="n">
        <v>8</v>
      </c>
      <c r="F150" s="24" t="inlineStr">
        <is>
          <t>TC-AUTH-029, TC-DSP-012, TC-RET-016, TC-ONB-036, TC-ADM-007, TC-ADM-008, TC-ADM-009, TC-FLD-110</t>
        </is>
      </c>
      <c r="G150" s="24" t="n"/>
    </row>
    <row r="151" ht="23.25" customHeight="1" s="13">
      <c r="A151" s="24" t="inlineStr">
        <is>
          <t>NEW-002</t>
        </is>
      </c>
      <c r="B151" s="24" t="inlineStr">
        <is>
          <t>Shop Onboarding</t>
        </is>
      </c>
      <c r="C151" s="24" t="inlineStr">
        <is>
          <t>Shop suspension policy, impact preview &amp; review</t>
        </is>
      </c>
      <c r="D151" s="24" t="inlineStr">
        <is>
          <t>COMPLETED</t>
        </is>
      </c>
      <c r="E151" s="24" t="n">
        <v>10</v>
      </c>
      <c r="F151" s="24" t="inlineStr">
        <is>
          <t>TC-FUL-018, TC-ONB-030, TC-ONB-031, TC-ONB-032, TC-ONB-033, TC-ONB-034, TC-ONB-035, TC-ONB-036, TC-ONB-037, TC-FLD-119</t>
        </is>
      </c>
      <c r="G151" s="24" t="n"/>
    </row>
    <row r="152" ht="15" customHeight="1" s="13">
      <c r="A152" s="24" t="inlineStr">
        <is>
          <t>NEW-003</t>
        </is>
      </c>
      <c r="B152" s="24" t="inlineStr">
        <is>
          <t>Orders</t>
        </is>
      </c>
      <c r="C152" s="24" t="inlineStr">
        <is>
          <t>Order placed while the shop is closed</t>
        </is>
      </c>
      <c r="D152" s="24" t="inlineStr">
        <is>
          <t>COMPLETED</t>
        </is>
      </c>
      <c r="E152" s="24" t="n">
        <v>4</v>
      </c>
      <c r="F152" s="24" t="inlineStr">
        <is>
          <t>TC-LOC-024, TC-LOC-025, TC-LOC-026, TC-ORD-018</t>
        </is>
      </c>
      <c r="G152" s="24" t="n"/>
    </row>
    <row r="153" ht="15" customHeight="1" s="13">
      <c r="A153" s="24" t="inlineStr">
        <is>
          <t>NEW-004</t>
        </is>
      </c>
      <c r="B153" s="24" t="inlineStr">
        <is>
          <t>Delivery</t>
        </is>
      </c>
      <c r="C153" s="24" t="inlineStr">
        <is>
          <t>Rider arrival checkpoints &amp; customer notices</t>
        </is>
      </c>
      <c r="D153" s="24" t="inlineStr">
        <is>
          <t>COMPLETED</t>
        </is>
      </c>
      <c r="E153" s="24" t="n">
        <v>3</v>
      </c>
      <c r="F153" s="24" t="inlineStr">
        <is>
          <t>TC-DEL-003, TC-DEL-006, TC-DEL-021</t>
        </is>
      </c>
      <c r="G153" s="24" t="n"/>
    </row>
    <row r="154" ht="23.25" customHeight="1" s="13">
      <c r="A154" s="24" t="inlineStr">
        <is>
          <t>NEW-005</t>
        </is>
      </c>
      <c r="B154" s="24" t="inlineStr">
        <is>
          <t>Location</t>
        </is>
      </c>
      <c r="C154" s="24" t="inlineStr">
        <is>
          <t>Minimum order value, pause new orders, extra delivery PIN zones</t>
        </is>
      </c>
      <c r="D154" s="24" t="inlineStr">
        <is>
          <t>COMPLETED</t>
        </is>
      </c>
      <c r="E154" s="24" t="n">
        <v>6</v>
      </c>
      <c r="F154" s="24" t="inlineStr">
        <is>
          <t>TC-LOC-015, TC-LOC-022, TC-LOC-023, TC-FLD-050, TC-FLD-051, TC-FLD-057</t>
        </is>
      </c>
      <c r="G154" s="24" t="n"/>
    </row>
    <row r="155" ht="23.25" customHeight="1" s="13">
      <c r="A155" s="24" t="inlineStr">
        <is>
          <t>NEW-006</t>
        </is>
      </c>
      <c r="B155" s="24" t="inlineStr">
        <is>
          <t>Orders</t>
        </is>
      </c>
      <c r="C155" s="24" t="inlineStr">
        <is>
          <t>D10 cancellation &amp; refund policy</t>
        </is>
      </c>
      <c r="D155" s="24" t="inlineStr">
        <is>
          <t>COMPLETED</t>
        </is>
      </c>
      <c r="E155" s="24" t="n">
        <v>12</v>
      </c>
      <c r="F155" s="24" t="inlineStr">
        <is>
          <t>TC-ORD-006, TC-ORD-007, TC-ORD-008, TC-ORD-009, TC-ORD-010, TC-ORD-011, TC-ORD-012, TC-ORD-013, TC-ORD-014, TC-SPI-019, TC-CART-030, TC-PAY-028</t>
        </is>
      </c>
      <c r="G155" s="24" t="n"/>
    </row>
    <row r="156" ht="45.75" customHeight="1" s="13">
      <c r="A156" s="24" t="inlineStr">
        <is>
          <t>NEW-007</t>
        </is>
      </c>
      <c r="B156" s="24" t="inlineStr">
        <is>
          <t>Payments</t>
        </is>
      </c>
      <c r="C156" s="24" t="inlineStr">
        <is>
          <t>Direct per-order payments, tax invoicing, photo POD, accept timeout</t>
        </is>
      </c>
      <c r="D156" s="24" t="inlineStr">
        <is>
          <t>TREATED AS COMPLETED 4-Oct (open-features list 3-Oct: YET TO START) - confirm on test with TC-PRE-012</t>
        </is>
      </c>
      <c r="E156" s="24" t="n">
        <v>14</v>
      </c>
      <c r="F156" s="24" t="inlineStr">
        <is>
          <t>TC-PAY-017, TC-PAY-018, TC-ORD-016, TC-ORD-017, TC-ORD-018, TC-ORD-019, TC-DEL-022, TC-DEL-023, TC-DEL-024, TC-FIN-028, TC-FIN-029, TC-FIN-030, TC-FIN-031, TC-FIN-032</t>
        </is>
      </c>
      <c r="G156" s="24" t="n"/>
    </row>
    <row r="157" ht="45.75" customHeight="1" s="13">
      <c r="A157" s="24" t="inlineStr">
        <is>
          <t>NEW-008</t>
        </is>
      </c>
      <c r="B157" s="24" t="inlineStr">
        <is>
          <t>Catalog</t>
        </is>
      </c>
      <c r="C157" s="24" t="inlineStr">
        <is>
          <t>Loose goods: price left empty until the shop sets it</t>
        </is>
      </c>
      <c r="D157" s="24" t="inlineStr">
        <is>
          <t>NEW REQUIREMENT 3-Oct - confirm on test with TC-PRE-011</t>
        </is>
      </c>
      <c r="E157" s="24" t="n">
        <v>23</v>
      </c>
      <c r="F157" s="24" t="inlineStr">
        <is>
          <t>TC-PRE-011, TC-DISC-011, TC-CART-007, TC-CAT-004, TC-CAT-007, TC-CAT-013, TC-CAT-027, TC-CAT-028, TC-CAT-029, TC-CAT-030, TC-CAT-031, TC-CAT-032, TC-CAT-033, TC-CAT-034, TC-CAT-035, TC-CAT-036, TC-CAT-041, TC-FLD-024, TC-FLD-058, TC-FLD-075, TC-SPI-002, TC-SPI-025, TC-DISC-022</t>
        </is>
      </c>
      <c r="G157" s="24" t="n"/>
    </row>
    <row r="158" ht="45.75" customHeight="1" s="13">
      <c r="A158" s="24" t="inlineStr">
        <is>
          <t>NEW-009</t>
        </is>
      </c>
      <c r="B158" s="24" t="inlineStr">
        <is>
          <t>Inventory</t>
        </is>
      </c>
      <c r="C158" s="24" t="inlineStr">
        <is>
          <t>Adding a category adds all its products to the shop at stock 100; owner prices those with no price</t>
        </is>
      </c>
      <c r="D158" s="24" t="inlineStr">
        <is>
          <t>NEW REQUIREMENT 3-Oct - confirm on test with TC-PRE-011</t>
        </is>
      </c>
      <c r="E158" s="24" t="n">
        <v>26</v>
      </c>
      <c r="F158" s="24" t="inlineStr">
        <is>
          <t>TC-PRE-011, TC-ONB-027, TC-ONB-028, TC-CAT-017, TC-CAT-037, TC-CAT-038, TC-CAT-039, TC-CAT-040, TC-CAT-041, TC-CAT-042, TC-CAT-043, TC-CAT-044, TC-CAT-045, TC-CAT-046, TC-CAT-047, TC-CAT-048, TC-CAT-049, TC-CAT-050, TC-CAT-051, TC-CAT-052, TC-CAT-053, TC-CAT-054, TC-CAT-055, TC-CAT-056, TC-FLD-069, TC-SPI-025</t>
        </is>
      </c>
      <c r="G158" s="24" t="n"/>
    </row>
    <row r="159" ht="34.5" customHeight="1" s="13">
      <c r="A159" s="24" t="inlineStr">
        <is>
          <t>NEW-010</t>
        </is>
      </c>
      <c r="B159" s="24" t="inlineStr">
        <is>
          <t>Catalog</t>
        </is>
      </c>
      <c r="C159" s="24" t="inlineStr">
        <is>
          <t>MRP changed by a shop owner applies to that shop only</t>
        </is>
      </c>
      <c r="D159" s="24" t="inlineStr">
        <is>
          <t>NEW REQUIREMENT 3-Oct - confirm on test with TC-PRE-011</t>
        </is>
      </c>
      <c r="E159" s="24" t="n">
        <v>19</v>
      </c>
      <c r="F159" s="24" t="inlineStr">
        <is>
          <t>TC-PRE-011, TC-CAT-007, TC-CAT-008, TC-CAT-009, TC-CAT-010, TC-CAT-011, TC-CAT-057, TC-CAT-058, TC-CAT-059, TC-CAT-060, TC-CAT-061, TC-CAT-062, TC-CAT-063, TC-CAT-064, TC-CAT-065, TC-CAT-066, TC-CAT-067, TC-FLD-060, TC-SPI-005</t>
        </is>
      </c>
      <c r="G159" s="24" t="n"/>
    </row>
    <row r="160">
      <c r="A160" s="24" t="inlineStr">
        <is>
          <t>QA-010</t>
        </is>
      </c>
      <c r="B160" s="24" t="inlineStr">
        <is>
          <t>QA</t>
        </is>
      </c>
      <c r="C160" s="24" t="inlineStr">
        <is>
          <t>Automated QA suite: the 791-case plan as UI + API checks (tests/qa), tiers guest / signed / local</t>
        </is>
      </c>
      <c r="D160" s="24" t="inlineStr">
        <is>
          <t>COMPLETED (24-Oct)</t>
        </is>
      </c>
      <c r="E160" s="24" t="n">
        <v>5</v>
      </c>
      <c r="F160" s="24" t="inlineStr">
        <is>
          <t>TC-QA-001, TC-QA-002, TC-QA-003, SC-36, SC-37</t>
        </is>
      </c>
      <c r="G160" s="24" t="inlineStr"/>
    </row>
    <row r="161">
      <c r="A161" s="24" t="inlineStr">
        <is>
          <t>QA-011</t>
        </is>
      </c>
      <c r="B161" s="24" t="inlineStr">
        <is>
          <t>QA</t>
        </is>
      </c>
      <c r="C161" s="24" t="inlineStr">
        <is>
          <t>Claude QA agent and skills (.claude/agents/gokesari-qa.md, .claude/skills/gokesari-qa-*)</t>
        </is>
      </c>
      <c r="D161" s="24" t="inlineStr">
        <is>
          <t>COMPLETED (24-Oct)</t>
        </is>
      </c>
      <c r="E161" s="24" t="n">
        <v>2</v>
      </c>
      <c r="F161" s="24" t="inlineStr">
        <is>
          <t>TC-QA-005, SC-37</t>
        </is>
      </c>
      <c r="G161" s="24" t="inlineStr"/>
    </row>
    <row r="162">
      <c r="A162" s="24" t="inlineStr">
        <is>
          <t>QA-012</t>
        </is>
      </c>
      <c r="B162" s="24" t="inlineStr">
        <is>
          <t>QA</t>
        </is>
      </c>
      <c r="C162" s="24" t="inlineStr">
        <is>
          <t>Master test register with execution status per site (docs/testing/GOKESARI_MASTER_TEST_REGISTER.xlsx)</t>
        </is>
      </c>
      <c r="D162" s="24" t="inlineStr">
        <is>
          <t>COMPLETED (24-Oct)</t>
        </is>
      </c>
      <c r="E162" s="24" t="n">
        <v>2</v>
      </c>
      <c r="F162" s="24" t="inlineStr">
        <is>
          <t>TC-QA-004, SC-36</t>
        </is>
      </c>
      <c r="G162" s="24" t="inlineStr"/>
    </row>
    <row r="163">
      <c r="A163" s="24" t="inlineStr">
        <is>
          <t>QA-013</t>
        </is>
      </c>
      <c r="B163" s="24" t="inlineStr">
        <is>
          <t>QA</t>
        </is>
      </c>
      <c r="C163" s="24" t="inlineStr">
        <is>
          <t>Scheduled QA workflow (weekly + by hand): production-safe tier on test.gokesari.com and gokesari.com; whole suite on a local build by hand</t>
        </is>
      </c>
      <c r="D163" s="24" t="inlineStr">
        <is>
          <t>COMPLETED (24-Oct)</t>
        </is>
      </c>
      <c r="E163" s="24" t="n">
        <v>2</v>
      </c>
      <c r="F163" s="24" t="inlineStr">
        <is>
          <t>TC-QA-006, SC-36</t>
        </is>
      </c>
      <c r="G163" s="24" t="inlineStr"/>
    </row>
    <row r="164">
      <c r="A164" s="24" t="inlineStr">
        <is>
          <t>QA-014</t>
        </is>
      </c>
      <c r="B164" s="24" t="inlineStr">
        <is>
          <t>QA</t>
        </is>
      </c>
      <c r="C164" s="24" t="inlineStr">
        <is>
          <t>Local QA environment: seeded test data, local mail catcher, one-command setup</t>
        </is>
      </c>
      <c r="D164" s="24" t="inlineStr">
        <is>
          <t>COMPLETED (24-Oct)</t>
        </is>
      </c>
      <c r="E164" s="24" t="n">
        <v>1</v>
      </c>
      <c r="F164" s="24" t="inlineStr">
        <is>
          <t>TC-QA-007</t>
        </is>
      </c>
      <c r="G164" s="24" t="inlineStr"/>
    </row>
    <row r="165">
      <c r="A165" s="24" t="inlineStr">
        <is>
          <t>PL-001</t>
        </is>
      </c>
      <c r="B165" s="24" t="inlineStr">
        <is>
          <t>Purchase lists</t>
        </is>
      </c>
      <c r="C165" s="24" t="inlineStr">
        <is>
          <t>Named lists per customer: shopping or medicines, weekly or monthly, reminder on/off; unique names; edit, delete; only the owner sees a list; guests refused</t>
        </is>
      </c>
      <c r="D165" s="24" t="inlineStr">
        <is>
          <t>BUILT 24-Oct (PR #231, staging pending)</t>
        </is>
      </c>
      <c r="E165" s="24" t="n">
        <v>8</v>
      </c>
      <c r="F165" s="24" t="inlineStr">
        <is>
          <t>TC-LIST-001, TC-LIST-002, TC-LIST-003, TC-LIST-004, TC-LIST-005, TC-LIST-023, TC-LIST-024, TC-LIST-025</t>
        </is>
      </c>
      <c r="G165" s="24" t="inlineStr"/>
    </row>
    <row r="166">
      <c r="A166" s="24" t="inlineStr">
        <is>
          <t>PL-002</t>
        </is>
      </c>
      <c r="B166" s="24" t="inlineStr">
        <is>
          <t>Purchase lists</t>
        </is>
      </c>
      <c r="C166" s="24" t="inlineStr">
        <is>
          <t>Products on a list: 'Add to list' on product cards (pick, create &amp; add, already on), only visible products, quantities 0-99 (0 = skip), notes, remove</t>
        </is>
      </c>
      <c r="D166" s="24" t="inlineStr">
        <is>
          <t>BUILT 24-Oct (PR #231, staging pending)</t>
        </is>
      </c>
      <c r="E166" s="24" t="n">
        <v>7</v>
      </c>
      <c r="F166" s="24" t="inlineStr">
        <is>
          <t>TC-LIST-006, TC-LIST-007, TC-LIST-008, TC-LIST-009, TC-LIST-010, TC-LIST-011, TC-LIST-012</t>
        </is>
      </c>
      <c r="G166" s="24" t="inlineStr"/>
    </row>
    <row r="167">
      <c r="A167" s="24" t="inlineStr">
        <is>
          <t>PL-003</t>
        </is>
      </c>
      <c r="B167" s="24" t="inlineStr">
        <is>
          <t>Purchase lists</t>
        </is>
      </c>
      <c r="C167" s="24" t="inlineStr">
        <is>
          <t>Check list: the list priced like the cart (per shop, delivery, total), left-out lines with reasons, add-to / replace choice</t>
        </is>
      </c>
      <c r="D167" s="24" t="inlineStr">
        <is>
          <t>BUILT 24-Oct (PR #231, staging pending)</t>
        </is>
      </c>
      <c r="E167" s="24" t="n">
        <v>3</v>
      </c>
      <c r="F167" s="24" t="inlineStr">
        <is>
          <t>TC-LIST-013, TC-LIST-014, TC-LIST-015</t>
        </is>
      </c>
      <c r="G167" s="24" t="inlineStr"/>
    </row>
    <row r="168">
      <c r="A168" s="24" t="inlineStr">
        <is>
          <t>PL-004</t>
        </is>
      </c>
      <c r="B168" s="24" t="inlineStr">
        <is>
          <t>Purchase lists</t>
        </is>
      </c>
      <c r="C168" s="24" t="inlineStr">
        <is>
          <t>Confirm order: the list to the cart (add or replace), nothing-to-order refusal, the cart never emptied for nothing, list marked ordered</t>
        </is>
      </c>
      <c r="D168" s="24" t="inlineStr">
        <is>
          <t>BUILT 24-Oct (PR #231, staging pending)</t>
        </is>
      </c>
      <c r="E168" s="24" t="n">
        <v>5</v>
      </c>
      <c r="F168" s="24" t="inlineStr">
        <is>
          <t>TC-LIST-016, TC-LIST-017, TC-LIST-018, TC-LIST-019, TC-LIST-020</t>
        </is>
      </c>
      <c r="G168" s="24" t="inlineStr"/>
    </row>
    <row r="169">
      <c r="A169" s="24" t="inlineStr">
        <is>
          <t>PL-005</t>
        </is>
      </c>
      <c r="B169" s="24" t="inlineStr">
        <is>
          <t>Purchase lists</t>
        </is>
      </c>
      <c r="C169" s="24" t="inlineStr">
        <is>
          <t>'Save as a list' on the cart: a new list or an existing one (cart quantities win)</t>
        </is>
      </c>
      <c r="D169" s="24" t="inlineStr">
        <is>
          <t>BUILT 24-Oct (PR #231, staging pending)</t>
        </is>
      </c>
      <c r="E169" s="24" t="n">
        <v>2</v>
      </c>
      <c r="F169" s="24" t="inlineStr">
        <is>
          <t>TC-LIST-021, TC-LIST-022</t>
        </is>
      </c>
      <c r="G169" s="24" t="inlineStr"/>
    </row>
    <row r="170">
      <c r="A170" s="24" t="inlineStr">
        <is>
          <t>PL-006</t>
        </is>
      </c>
      <c r="B170" s="24" t="inlineStr">
        <is>
          <t>Purchase lists</t>
        </is>
      </c>
      <c r="C170" s="24" t="inlineStr">
        <is>
          <t>Ways in (account menu, Orders menu, /orders tab) and the phone layout (Check list bar, Add to list sheet)</t>
        </is>
      </c>
      <c r="D170" s="24" t="inlineStr">
        <is>
          <t>BUILT 24-Oct (PR #231, staging pending)</t>
        </is>
      </c>
      <c r="E170" s="24" t="n">
        <v>2</v>
      </c>
      <c r="F170" s="24" t="inlineStr">
        <is>
          <t>TC-LIST-026, TC-LIST-027</t>
        </is>
      </c>
      <c r="G170" s="24" t="inlineStr"/>
    </row>
    <row r="171">
      <c r="A171" s="24" t="inlineStr">
        <is>
          <t>PL-007</t>
        </is>
      </c>
      <c r="B171" s="24" t="inlineStr">
        <is>
          <t>Purchase lists</t>
        </is>
      </c>
      <c r="C171" s="24" t="inlineStr">
        <is>
          <t>Daily reminder (05:00 IST) for a list that is due again</t>
        </is>
      </c>
      <c r="D171" s="24" t="inlineStr">
        <is>
          <t>BUILT 24-Oct (PR #231, staging pending)</t>
        </is>
      </c>
      <c r="E171" s="24" t="n">
        <v>1</v>
      </c>
      <c r="F171" s="24" t="inlineStr">
        <is>
          <t>TC-LIST-028</t>
        </is>
      </c>
      <c r="G171" s="24" t="inlineStr"/>
    </row>
    <row r="172">
      <c r="A172" s="24" t="inlineStr">
        <is>
          <t>AI-001</t>
        </is>
      </c>
      <c r="B172" s="24" t="inlineStr">
        <is>
          <t>App install &amp; updates</t>
        </is>
      </c>
      <c r="C172" s="24" t="inlineStr">
        <is>
          <t>Install prompt on every visit until installed; Not now for the page view only; phone layout (Tile Board)</t>
        </is>
      </c>
      <c r="D172" s="24" t="inlineStr">
        <is>
          <t>BUILT 31-Oct</t>
        </is>
      </c>
      <c r="E172" s="24" t="n">
        <v>4</v>
      </c>
      <c r="F172" s="24" t="inlineStr">
        <is>
          <t>TC-APP-001, TC-APP-002, TC-APP-003, TC-APP-013</t>
        </is>
      </c>
      <c r="G172" s="24" t="inlineStr"/>
    </row>
    <row r="173">
      <c r="A173" s="24" t="inlineStr">
        <is>
          <t>AI-002</t>
        </is>
      </c>
      <c r="B173" s="24" t="inlineStr">
        <is>
          <t>App install &amp; updates</t>
        </is>
      </c>
      <c r="C173" s="24" t="inlineStr">
        <is>
          <t>Install detection: Chrome install dialog, appinstalled, standalone, related apps, native app user agent</t>
        </is>
      </c>
      <c r="D173" s="24" t="inlineStr">
        <is>
          <t>BUILT 31-Oct</t>
        </is>
      </c>
      <c r="E173" s="24" t="n">
        <v>3</v>
      </c>
      <c r="F173" s="24" t="inlineStr">
        <is>
          <t>TC-APP-004, TC-APP-005, TC-APP-006</t>
        </is>
      </c>
      <c r="G173" s="24" t="inlineStr"/>
    </row>
    <row r="174">
      <c r="A174" s="24" t="inlineStr">
        <is>
          <t>AI-003</t>
        </is>
      </c>
      <c r="B174" s="24" t="inlineStr">
        <is>
          <t>App install &amp; updates</t>
        </is>
      </c>
      <c r="C174" s="24" t="inlineStr">
        <is>
          <t>iPhone / iPad: Add to Home Screen guide; store links when listed</t>
        </is>
      </c>
      <c r="D174" s="24" t="inlineStr">
        <is>
          <t>BUILT 31-Oct</t>
        </is>
      </c>
      <c r="E174" s="24" t="n">
        <v>1</v>
      </c>
      <c r="F174" s="24" t="inlineStr">
        <is>
          <t>TC-APP-007</t>
        </is>
      </c>
      <c r="G174" s="24" t="inlineStr"/>
    </row>
    <row r="175">
      <c r="A175" s="24" t="inlineStr">
        <is>
          <t>AI-004</t>
        </is>
      </c>
      <c r="B175" s="24" t="inlineStr">
        <is>
          <t>App install &amp; updates</t>
        </is>
      </c>
      <c r="C175" s="24" t="inlineStr">
        <is>
          <t>Server-side record for signed-in people (app_install_states)</t>
        </is>
      </c>
      <c r="D175" s="24" t="inlineStr">
        <is>
          <t>BUILT 31-Oct</t>
        </is>
      </c>
      <c r="E175" s="24" t="n">
        <v>1</v>
      </c>
      <c r="F175" s="24" t="inlineStr">
        <is>
          <t>TC-APP-008</t>
        </is>
      </c>
      <c r="G175" s="24" t="inlineStr"/>
    </row>
    <row r="176">
      <c r="A176" s="24" t="inlineStr">
        <is>
          <t>AI-005</t>
        </is>
      </c>
      <c r="B176" s="24" t="inlineStr">
        <is>
          <t>App install &amp; updates</t>
        </is>
      </c>
      <c r="C176" s="24" t="inlineStr">
        <is>
          <t>Service worker with versioned cache; Reload bar; update on next launch</t>
        </is>
      </c>
      <c r="D176" s="24" t="inlineStr">
        <is>
          <t>BUILT 31-Oct</t>
        </is>
      </c>
      <c r="E176" s="24" t="n">
        <v>2</v>
      </c>
      <c r="F176" s="24" t="inlineStr">
        <is>
          <t>TC-APP-009, TC-APP-010</t>
        </is>
      </c>
      <c r="G176" s="24" t="inlineStr"/>
    </row>
    <row r="177">
      <c r="A177" s="24" t="inlineStr">
        <is>
          <t>AI-006</t>
        </is>
      </c>
      <c r="B177" s="24" t="inlineStr">
        <is>
          <t>App install &amp; updates</t>
        </is>
      </c>
      <c r="C177" s="24" t="inlineStr">
        <is>
          <t>Native app update check (Android / iPhone 1.5.0)</t>
        </is>
      </c>
      <c r="D177" s="24" t="inlineStr">
        <is>
          <t>BUILT 31-Oct</t>
        </is>
      </c>
      <c r="E177" s="24" t="n">
        <v>2</v>
      </c>
      <c r="F177" s="24" t="inlineStr">
        <is>
          <t>TC-APP-011, TC-APP-012</t>
        </is>
      </c>
      <c r="G177" s="24" t="inlineStr"/>
    </row>
  </sheetData>
  <autoFilter ref="A1:G17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12" min="1" max="1"/>
    <col width="60" customWidth="1" style="12" min="2" max="2"/>
    <col width="38" customWidth="1" style="12" min="3" max="3"/>
    <col width="60" customWidth="1" style="12" min="4" max="4"/>
  </cols>
  <sheetData>
    <row r="1" ht="30" customHeight="1" s="13">
      <c r="A1" s="22" t="inlineStr">
        <is>
          <t>Feature IDs</t>
        </is>
      </c>
      <c r="B1" s="22" t="inlineStr">
        <is>
          <t>What is missing</t>
        </is>
      </c>
      <c r="C1" s="22" t="inlineStr">
        <is>
          <t>Why</t>
        </is>
      </c>
      <c r="D1" s="22" t="inlineStr">
        <is>
          <t>What this suite does instead</t>
        </is>
      </c>
    </row>
    <row r="2" ht="23.25" customHeight="1" s="13">
      <c r="A2" s="24" t="inlineStr">
        <is>
          <t>GS-042 / NAV-004</t>
        </is>
      </c>
      <c r="B2" s="24" t="inlineStr">
        <is>
          <t>Customer / operations live-tracking screen</t>
        </is>
      </c>
      <c r="C2" s="24" t="inlineStr">
        <is>
          <t>Component exists but is not mounted; nothing posts rider location</t>
        </is>
      </c>
      <c r="D2" s="24" t="inlineStr">
        <is>
          <t>Tracking API privacy is tested; record that no screen exists.</t>
        </is>
      </c>
    </row>
    <row r="3" ht="23.25" customHeight="1" s="13">
      <c r="A3" s="24" t="inlineStr">
        <is>
          <t>GS-041 / GS-043</t>
        </is>
      </c>
      <c r="B3" s="24" t="inlineStr">
        <is>
          <t>QR pickup variant; signature proof of delivery</t>
        </is>
      </c>
      <c r="C3" s="24" t="inlineStr">
        <is>
          <t>Not built</t>
        </is>
      </c>
      <c r="D3" s="24" t="inlineStr">
        <is>
          <t>Code-based pickup, OTP delivery and photo proof are tested.</t>
        </is>
      </c>
    </row>
    <row r="4" ht="23.25" customHeight="1" s="13">
      <c r="A4" s="24" t="inlineStr">
        <is>
          <t>GA-009</t>
        </is>
      </c>
      <c r="B4" s="24" t="inlineStr">
        <is>
          <t>Radius widening when no rider is found</t>
        </is>
      </c>
      <c r="C4" s="24" t="inlineStr">
        <is>
          <t>Not built</t>
        </is>
      </c>
      <c r="D4" s="24" t="inlineStr">
        <is>
          <t>Bounded retry search is tested.</t>
        </is>
      </c>
    </row>
    <row r="5" ht="15" customHeight="1" s="13">
      <c r="A5" s="24" t="inlineStr">
        <is>
          <t>WF-007</t>
        </is>
      </c>
      <c r="B5" s="24" t="inlineStr">
        <is>
          <t>Replacement instead of refund</t>
        </is>
      </c>
      <c r="C5" s="24" t="inlineStr">
        <is>
          <t>Not built</t>
        </is>
      </c>
      <c r="D5" s="24" t="inlineStr">
        <is>
          <t>Refund path is tested.</t>
        </is>
      </c>
    </row>
    <row r="6" ht="15" customHeight="1" s="13">
      <c r="A6" s="24" t="inlineStr">
        <is>
          <t>NAV-019</t>
        </is>
      </c>
      <c r="B6" s="24" t="inlineStr">
        <is>
          <t>Operations consent view</t>
        </is>
      </c>
      <c r="C6" s="24" t="inlineStr">
        <is>
          <t>Reported not built (a /admin/consents route exists)</t>
        </is>
      </c>
      <c r="D6" s="24" t="inlineStr">
        <is>
          <t>Record what the page shows.</t>
        </is>
      </c>
    </row>
    <row r="7" ht="15" customHeight="1" s="13">
      <c r="A7" s="24" t="inlineStr">
        <is>
          <t>RBAC-003</t>
        </is>
      </c>
      <c r="B7" s="24" t="inlineStr">
        <is>
          <t>Operator 'Limited' shop management</t>
        </is>
      </c>
      <c r="C7" s="24" t="inlineStr">
        <is>
          <t>Scope not defined</t>
        </is>
      </c>
      <c r="D7" s="24" t="inlineStr">
        <is>
          <t>Record current operator behaviour as evidence for the decision.</t>
        </is>
      </c>
    </row>
    <row r="8" ht="23.25" customHeight="1" s="13">
      <c r="A8" s="24" t="inlineStr">
        <is>
          <t>GS-067</t>
        </is>
      </c>
      <c r="B8" s="24" t="inlineStr">
        <is>
          <t>Dedicated Auditor role</t>
        </is>
      </c>
      <c r="C8" s="24" t="inlineStr">
        <is>
          <t>Optional, not built</t>
        </is>
      </c>
      <c r="D8" s="24" t="inlineStr">
        <is>
          <t>Admin / operator audit views are tested.</t>
        </is>
      </c>
    </row>
    <row r="9" ht="15" customHeight="1" s="13">
      <c r="A9" s="24" t="inlineStr">
        <is>
          <t>GS-036</t>
        </is>
      </c>
      <c r="B9" s="24" t="inlineStr">
        <is>
          <t>Pick-pack SLA reporting</t>
        </is>
      </c>
      <c r="C9" s="24" t="inlineStr">
        <is>
          <t>Not built</t>
        </is>
      </c>
      <c r="D9" s="24" t="inlineStr">
        <is>
          <t>Pick-pack time KPI is tested.</t>
        </is>
      </c>
    </row>
    <row r="10" ht="15" customHeight="1" s="13">
      <c r="A10" s="24" t="inlineStr">
        <is>
          <t>GS-044</t>
        </is>
      </c>
      <c r="B10" s="24" t="inlineStr">
        <is>
          <t>Map pin picker on the society form</t>
        </is>
      </c>
      <c r="C10" s="24" t="inlineStr">
        <is>
          <t>Not built</t>
        </is>
      </c>
      <c r="D10" s="24" t="inlineStr">
        <is>
          <t>PIN-based matching is tested.</t>
        </is>
      </c>
    </row>
    <row r="11" ht="15" customHeight="1" s="13"/>
    <row r="12" ht="15" customHeight="1" s="13"/>
    <row r="13" ht="23.25" customHeight="1" s="13"/>
    <row r="14" ht="23.25" customHeight="1" s="13"/>
    <row r="15" ht="23.25" customHeight="1" s="13"/>
    <row r="16" ht="15" customHeight="1" s="13"/>
    <row r="17" ht="15" customHeight="1" s="13"/>
    <row r="18" ht="15" customHeight="1" s="13"/>
    <row r="19" ht="15" customHeight="1" s="13"/>
    <row r="20" ht="15" customHeight="1" s="13"/>
    <row r="21" ht="23.25" customHeight="1" s="13"/>
    <row r="22" ht="15" customHeight="1" s="13"/>
    <row r="23" ht="15" customHeight="1" s="13"/>
    <row r="24" ht="15" customHeight="1" s="13"/>
    <row r="25" ht="15" customHeight="1" s="13"/>
    <row r="26" ht="15" customHeight="1" s="13"/>
  </sheetData>
  <autoFilter ref="A1:D1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3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2" min="1" max="1"/>
    <col width="18" customWidth="1" style="12" min="2" max="2"/>
    <col width="90" customWidth="1" style="12" min="3" max="3"/>
    <col width="40" customWidth="1" style="12" min="4" max="4"/>
  </cols>
  <sheetData>
    <row r="1" ht="30" customHeight="1" s="13">
      <c r="A1" s="22" t="inlineStr">
        <is>
          <t>Kind</t>
        </is>
      </c>
      <c r="B1" s="22" t="inlineStr">
        <is>
          <t>Item</t>
        </is>
      </c>
      <c r="C1" s="22" t="inlineStr">
        <is>
          <t>What is needed</t>
        </is>
      </c>
      <c r="D1" s="22" t="inlineStr">
        <is>
          <t>Used by</t>
        </is>
      </c>
    </row>
    <row r="2" ht="15" customHeight="1" s="13">
      <c r="A2" s="24" t="inlineStr">
        <is>
          <t>Account</t>
        </is>
      </c>
      <c r="B2" s="24" t="inlineStr">
        <is>
          <t>ADMIN</t>
        </is>
      </c>
      <c r="C2" s="24" t="inlineStr">
        <is>
          <t>One admin account on test.</t>
        </is>
      </c>
      <c r="D2" s="24" t="inlineStr">
        <is>
          <t>All admin cases</t>
        </is>
      </c>
    </row>
    <row r="3" ht="15" customHeight="1" s="13">
      <c r="A3" s="24" t="inlineStr">
        <is>
          <t>Account</t>
        </is>
      </c>
      <c r="B3" s="24" t="inlineStr">
        <is>
          <t>OPERATOR</t>
        </is>
      </c>
      <c r="C3" s="24" t="inlineStr">
        <is>
          <t>One operator.</t>
        </is>
      </c>
      <c r="D3" s="24" t="inlineStr">
        <is>
          <t>Verification, refunds, exceptions, risk</t>
        </is>
      </c>
    </row>
    <row r="4" ht="23.25" customHeight="1" s="13">
      <c r="A4" s="24" t="inlineStr">
        <is>
          <t>Account</t>
        </is>
      </c>
      <c r="B4" s="24" t="inlineStr">
        <is>
          <t>SHOP_OWNER A</t>
        </is>
      </c>
      <c r="C4" s="24" t="inlineStr">
        <is>
          <t>Approved, delivering, pinned location, radius 5 km, COD off to start. Sells 3+ products with stock &gt;= 20 incl. one packaged product with a verified MRP and one subscribable milk product at Rs 70/L.</t>
        </is>
      </c>
      <c r="D4" s="24" t="inlineStr">
        <is>
          <t>Most order cases</t>
        </is>
      </c>
    </row>
    <row r="5" ht="15" customHeight="1" s="13">
      <c r="A5" s="24" t="inlineStr">
        <is>
          <t>Account</t>
        </is>
      </c>
      <c r="B5" s="24" t="inlineStr">
        <is>
          <t>SHOP_OWNER B</t>
        </is>
      </c>
      <c r="C5" s="24" t="inlineStr">
        <is>
          <t>Approved, same PIN as A, sells at least one of the same master products at a different price. One offline-only product.</t>
        </is>
      </c>
      <c r="D5" s="24" t="inlineStr">
        <is>
          <t>Comparison, multi-shop cart, IDOR</t>
        </is>
      </c>
    </row>
    <row r="6" ht="15" customHeight="1" s="13">
      <c r="A6" s="24" t="inlineStr">
        <is>
          <t>Account</t>
        </is>
      </c>
      <c r="B6" s="24" t="inlineStr">
        <is>
          <t>CUSTOMER 1</t>
        </is>
      </c>
      <c r="C6" s="24" t="inlineStr">
        <is>
          <t>Mobile linked, default address with coordinates inside Shop A's radius, wallet &gt;= Rs 2,000, marketing consent on.</t>
        </is>
      </c>
      <c r="D6" s="24" t="inlineStr">
        <is>
          <t>Ordering</t>
        </is>
      </c>
    </row>
    <row r="7" ht="15" customHeight="1" s="13">
      <c r="A7" s="24" t="inlineStr">
        <is>
          <t>Account</t>
        </is>
      </c>
      <c r="B7" s="24" t="inlineStr">
        <is>
          <t>CUSTOMER 2</t>
        </is>
      </c>
      <c r="C7" s="24" t="inlineStr">
        <is>
          <t>Email-only, no mobile, an address outside Shop A's radius.</t>
        </is>
      </c>
      <c r="D7" s="24" t="inlineStr">
        <is>
          <t>IDOR, onboarding prompts, serviceability</t>
        </is>
      </c>
    </row>
    <row r="8" ht="15" customHeight="1" s="13">
      <c r="A8" s="24" t="inlineStr">
        <is>
          <t>Account</t>
        </is>
      </c>
      <c r="B8" s="24" t="inlineStr">
        <is>
          <t>RIDER 1</t>
        </is>
      </c>
      <c r="C8" s="24" t="inlineStr">
        <is>
          <t>Approved delivery partner, online, location pinned near Shop A.</t>
        </is>
      </c>
      <c r="D8" s="24" t="inlineStr">
        <is>
          <t>Dispatch and delivery</t>
        </is>
      </c>
    </row>
    <row r="9" ht="15" customHeight="1" s="13">
      <c r="A9" s="24" t="inlineStr">
        <is>
          <t>Account</t>
        </is>
      </c>
      <c r="B9" s="24" t="inlineStr">
        <is>
          <t>RIDER 2</t>
        </is>
      </c>
      <c r="C9" s="24" t="inlineStr">
        <is>
          <t>Approved, online, farther away.</t>
        </is>
      </c>
      <c r="D9" s="24" t="inlineStr">
        <is>
          <t>Ranking, decline/re-offer</t>
        </is>
      </c>
    </row>
    <row r="10" ht="15" customHeight="1" s="13">
      <c r="A10" s="24" t="inlineStr">
        <is>
          <t>Account</t>
        </is>
      </c>
      <c r="B10" s="24" t="inlineStr">
        <is>
          <t>SOCIETY ADMIN</t>
        </is>
      </c>
      <c r="C10" s="24" t="inlineStr">
        <is>
          <t>Admin of one verified society whose address is inside Shop A's zone.</t>
        </is>
      </c>
      <c r="D10" s="24" t="inlineStr">
        <is>
          <t>Society cases</t>
        </is>
      </c>
    </row>
    <row r="11" ht="15" customHeight="1" s="13">
      <c r="A11" s="24" t="inlineStr">
        <is>
          <t>Account</t>
        </is>
      </c>
      <c r="B11" s="24" t="inlineStr">
        <is>
          <t>New sign-ups</t>
        </is>
      </c>
      <c r="C11" s="24" t="inlineStr">
        <is>
          <t>3 unused email inboxes that can be read during the run and 2 unused Indian mobile numbers.</t>
        </is>
      </c>
      <c r="D11" s="24" t="inlineStr">
        <is>
          <t>Login cases</t>
        </is>
      </c>
    </row>
    <row r="12" ht="15" customHeight="1" s="13">
      <c r="A12" s="24" t="inlineStr">
        <is>
          <t>Config</t>
        </is>
      </c>
      <c r="B12" s="24" t="inlineStr">
        <is>
          <t>SMTP</t>
        </is>
      </c>
      <c r="C12" s="24" t="inlineStr">
        <is>
          <t>AUTH_EMAIL_FROM and AUTH_EMAIL_SERVER set on test.</t>
        </is>
      </c>
      <c r="D12" s="24" t="inlineStr">
        <is>
          <t>OTP and email cases</t>
        </is>
      </c>
    </row>
    <row r="13" ht="23.25" customHeight="1" s="13">
      <c r="A13" s="24" t="inlineStr">
        <is>
          <t>Config</t>
        </is>
      </c>
      <c r="B13" s="24" t="inlineStr">
        <is>
          <t>Cron</t>
        </is>
      </c>
      <c r="C13" s="24" t="inlineStr">
        <is>
          <t>delivery-dispatch and notifications every minute; risk-rules hourly; finance-weekly weekly; daily-orders daily. CRON_SECRET available to trigger runs by hand.</t>
        </is>
      </c>
      <c r="D13" s="24" t="inlineStr">
        <is>
          <t>Dispatch, notifications, subscriptions, finance</t>
        </is>
      </c>
    </row>
    <row r="14" ht="15" customHeight="1" s="13">
      <c r="A14" s="24" t="inlineStr">
        <is>
          <t>Config</t>
        </is>
      </c>
      <c r="B14" s="24" t="inlineStr">
        <is>
          <t>Payments</t>
        </is>
      </c>
      <c r="C14" s="24" t="inlineStr">
        <is>
          <t>Cashfree in mock or sandbox mode on test.</t>
        </is>
      </c>
      <c r="D14" s="24" t="inlineStr">
        <is>
          <t>Wallet top-up</t>
        </is>
      </c>
    </row>
    <row r="15" ht="15" customHeight="1" s="13">
      <c r="A15" s="24" t="inlineStr">
        <is>
          <t>Config</t>
        </is>
      </c>
      <c r="B15" s="24" t="inlineStr">
        <is>
          <t>Maps</t>
        </is>
      </c>
      <c r="C15" s="24" t="inlineStr">
        <is>
          <t>Google Maps keys (optional). Without them use 'Use my current location' and PIN matching.</t>
        </is>
      </c>
      <c r="D15" s="24" t="inlineStr">
        <is>
          <t>Address search, map pin</t>
        </is>
      </c>
    </row>
    <row r="16" ht="15" customHeight="1" s="13">
      <c r="A16" s="24" t="inlineStr">
        <is>
          <t>Config</t>
        </is>
      </c>
      <c r="B16" s="24" t="inlineStr">
        <is>
          <t>Migrations</t>
        </is>
      </c>
      <c r="C16" s="24" t="inlineStr">
        <is>
          <t>0000 through 0037 applied to the test database.</t>
        </is>
      </c>
      <c r="D16" s="24" t="inlineStr">
        <is>
          <t>Everything after Preflight</t>
        </is>
      </c>
    </row>
    <row r="17" ht="34.5" customHeight="1" s="13">
      <c r="A17" s="24" t="inlineStr">
        <is>
          <t>Config</t>
        </is>
      </c>
      <c r="B17" s="24" t="inlineStr">
        <is>
          <t>Business rules</t>
        </is>
      </c>
      <c r="C17" s="24" t="inlineStr">
        <is>
          <t>/admin/settings at defaults: OTP 6 digits / 10 min / 5 attempts / 60 s resend / 5 per hour; dispatch offer 120 s, retry 60 s, 10 attempts / 30 min, manual cooldown 30 s; rider base Rs 20 + Rs 8/km; returns window 48 h; COD limit Rs 2,000 and 2 open orders; marketing 2 campaigns per shop per week.</t>
        </is>
      </c>
      <c r="D17" s="24" t="inlineStr">
        <is>
          <t>Boundary cases</t>
        </is>
      </c>
    </row>
    <row r="18" ht="23.25" customHeight="1" s="13">
      <c r="A18" s="24" t="inlineStr">
        <is>
          <t>Files</t>
        </is>
      </c>
      <c r="B18" s="24" t="inlineStr">
        <is>
          <t>Excel</t>
        </is>
      </c>
      <c r="C18" s="24" t="inlineStr">
        <is>
          <t>The shop price template (downloaded in the test) plus bad variants: wrong type, missing column, negative price, duplicate row, formula cell.</t>
        </is>
      </c>
      <c r="D18" s="24" t="inlineStr">
        <is>
          <t>Excel upload</t>
        </is>
      </c>
    </row>
    <row r="19" ht="15" customHeight="1" s="13">
      <c r="A19" s="24" t="inlineStr">
        <is>
          <t>Files</t>
        </is>
      </c>
      <c r="B19" s="24" t="inlineStr">
        <is>
          <t>Images</t>
        </is>
      </c>
      <c r="C19" s="24" t="inlineStr">
        <is>
          <t>A normal JPG, a 6 MB image, a PDF renamed .jpg, an SVG renamed .jpg, a 20x20 px image, a 4000 px photo.</t>
        </is>
      </c>
      <c r="D19" s="24" t="inlineStr">
        <is>
          <t>Image validation, return evidence</t>
        </is>
      </c>
    </row>
    <row r="20" ht="23.25" customHeight="1" s="13">
      <c r="A20" s="24" t="inlineStr">
        <is>
          <t>Account</t>
        </is>
      </c>
      <c r="B20" s="24" t="inlineStr">
        <is>
          <t>SHOP_OWNER C</t>
        </is>
      </c>
      <c r="C20" s="24" t="inlineStr">
        <is>
          <t>Approved shop with no categories beyond the registration one and no products. Reset before each run of the category cases.</t>
        </is>
      </c>
      <c r="D20" s="24" t="inlineStr">
        <is>
          <t>Category add cases (NEW-009), SC-23</t>
        </is>
      </c>
    </row>
    <row r="21" ht="15" customHeight="1" s="13">
      <c r="A21" s="24" t="inlineStr">
        <is>
          <t>Seed</t>
        </is>
      </c>
      <c r="B21" s="24" t="inlineStr">
        <is>
          <t>Loose product</t>
        </is>
      </c>
      <c r="C21" s="24" t="inlineStr">
        <is>
          <t>One loose product sold by weight in the master with no price, plus one loose product already priced by Shop A.</t>
        </is>
      </c>
      <c r="D21" s="24" t="inlineStr">
        <is>
          <t>Loose price cases (NEW-008)</t>
        </is>
      </c>
    </row>
    <row r="22" ht="23.25" customHeight="1" s="13">
      <c r="A22" s="24" t="inlineStr">
        <is>
          <t>Seed</t>
        </is>
      </c>
      <c r="B22" s="24" t="inlineStr">
        <is>
          <t>Test categories</t>
        </is>
      </c>
      <c r="C22" s="24" t="inlineStr">
        <is>
          <t>Category X: 5+ master products incl. one with no catalogue price, one loose, one already listed by Shop A, one inactive. Category Z sharing one product with X. One empty category. One category with several hundred products.</t>
        </is>
      </c>
      <c r="D22" s="24" t="inlineStr">
        <is>
          <t>Category add cases (NEW-009)</t>
        </is>
      </c>
    </row>
    <row r="23" ht="23.25" customHeight="1" s="13">
      <c r="A23" s="24" t="inlineStr">
        <is>
          <t>Seed</t>
        </is>
      </c>
      <c r="B23" s="24" t="inlineStr">
        <is>
          <t>Shared packaged product</t>
        </is>
      </c>
      <c r="C23" s="24" t="inlineStr">
        <is>
          <t>One packaged product with a master MRP of Rs 50 listed by Shop A and Shop B.</t>
        </is>
      </c>
      <c r="D23" s="24" t="inlineStr">
        <is>
          <t>Shop MRP cases (NEW-010)</t>
        </is>
      </c>
    </row>
    <row r="24" ht="15" customHeight="1" s="13">
      <c r="A24" s="24" t="inlineStr">
        <is>
          <t>Config</t>
        </is>
      </c>
      <c r="B24" s="24" t="inlineStr">
        <is>
          <t>Second browser profile</t>
        </is>
      </c>
      <c r="C24" s="24" t="inlineStr">
        <is>
          <t>A second browser profile or device for the same account, and a way to copy a session cookie.</t>
        </is>
      </c>
      <c r="D24" s="24" t="inlineStr">
        <is>
          <t>Log out cases</t>
        </is>
      </c>
    </row>
    <row r="25" ht="23.85" customHeight="1" s="13">
      <c r="A25" s="24" t="inlineStr">
        <is>
          <t>Config</t>
        </is>
      </c>
      <c r="B25" s="24" t="inlineStr">
        <is>
          <t>SMS / WhatsApp / push</t>
        </is>
      </c>
      <c r="C25" s="24" t="inlineStr">
        <is>
          <t>SMS provider in test mode with two real handsets that can receive SMS; WhatsApp business sandbox; a browser or phone that accepts push. A switch to make each provider fail.</t>
        </is>
      </c>
      <c r="D25" s="24" t="inlineStr">
        <is>
          <t>SMS sign-in and channel cases</t>
        </is>
      </c>
    </row>
    <row r="26" ht="23.85" customHeight="1" s="13">
      <c r="A26" s="24" t="inlineStr">
        <is>
          <t>Config</t>
        </is>
      </c>
      <c r="B26" s="24" t="inlineStr">
        <is>
          <t>Online order payments</t>
        </is>
      </c>
      <c r="C26" s="24" t="inlineStr">
        <is>
          <t>Cashfree sandbox enabled for order payments with test UPI, card and netbanking instruments (success and failure), a chargeback trigger and a settlement file.</t>
        </is>
      </c>
      <c r="D26" s="24" t="inlineStr">
        <is>
          <t>Per-order payment cases</t>
        </is>
      </c>
    </row>
    <row r="27" ht="23.85" customHeight="1" s="13">
      <c r="A27" s="24" t="inlineStr">
        <is>
          <t>Seed</t>
        </is>
      </c>
      <c r="B27" s="24" t="inlineStr">
        <is>
          <t>Coupons and offers</t>
        </is>
      </c>
      <c r="C27" s="24" t="inlineStr">
        <is>
          <t>One valid coupon (10% off above Rs 200), one expired, one used up, one limited to Shop B; an active and an expired shop offer.</t>
        </is>
      </c>
      <c r="D27" s="24" t="inlineStr">
        <is>
          <t>Coupon and shop-offer cases</t>
        </is>
      </c>
    </row>
    <row r="28" ht="15" customHeight="1" s="13">
      <c r="A28" s="24" t="inlineStr">
        <is>
          <t>Seed</t>
        </is>
      </c>
      <c r="B28" s="24" t="inlineStr">
        <is>
          <t>Slots</t>
        </is>
      </c>
      <c r="C28" s="24" t="inlineStr">
        <is>
          <t>Scheduled slots for tomorrow, one with capacity 1.</t>
        </is>
      </c>
      <c r="D28" s="24" t="inlineStr">
        <is>
          <t>Slot cases</t>
        </is>
      </c>
    </row>
    <row r="29" ht="15" customHeight="1" s="13">
      <c r="A29" s="24" t="inlineStr">
        <is>
          <t>Files</t>
        </is>
      </c>
      <c r="B29" s="24" t="inlineStr">
        <is>
          <t>KYC documents</t>
        </is>
      </c>
      <c r="C29" s="24" t="inlineStr">
        <is>
          <t>Sample GST certificate, PAN, FSSAI and Shop Act files (PDF / JPG) plus bad variants: oversized, .exe, HTML renamed .pdf.</t>
        </is>
      </c>
      <c r="D29" s="24" t="inlineStr">
        <is>
          <t>Shop KYC cases</t>
        </is>
      </c>
    </row>
    <row r="30" ht="23.85" customHeight="1" s="13">
      <c r="A30" s="24" t="inlineStr">
        <is>
          <t>Account</t>
        </is>
      </c>
      <c r="B30" s="24" t="inlineStr">
        <is>
          <t>New shop for the state path</t>
        </is>
      </c>
      <c r="C30" s="24" t="inlineStr">
        <is>
          <t>One unapproved shop registration to take through KYC_PENDING to ACTIVE; shortened accept timeout in /admin/settings.</t>
        </is>
      </c>
      <c r="D30" s="24" t="inlineStr">
        <is>
          <t>Shop state and accept-timeout cases</t>
        </is>
      </c>
    </row>
  </sheetData>
  <autoFilter ref="A1:D3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2026-10-03T14:40:54Z</dcterms:created>
  <dcterms:modified xsi:type="dcterms:W3CDTF">2026-10-31T08:36:40Z</dcterms:modified>
  <cp:revision>0</cp:revision>
</cp:coreProperties>
</file>