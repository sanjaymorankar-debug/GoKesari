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Run summary" sheetId="2" state="visible" r:id="rId2"/>
    <sheet name="Change log" sheetId="3" state="visible" r:id="rId3"/>
    <sheet name="Test cases" sheetId="4" state="visible" r:id="rId4"/>
    <sheet name="E2E scenarios" sheetId="5" state="visible" r:id="rId5"/>
    <sheet name="Coverage" sheetId="6" state="visible" r:id="rId6"/>
    <sheet name="Not yet testable" sheetId="7" state="visible" r:id="rId7"/>
    <sheet name="Test data" sheetId="8" state="visible" r:id="rId8"/>
  </sheets>
  <definedNames>
    <definedName name="_xlnm._FilterDatabase" localSheetId="2" hidden="1">'Change log'!$A$1:$C$73</definedName>
    <definedName name="_xlnm._FilterDatabase" localSheetId="3" hidden="1">'Test cases'!$A$1:$P$840</definedName>
    <definedName name="_xlnm._FilterDatabase" localSheetId="4" hidden="1">'E2E scenarios'!$A$1:$H$38</definedName>
    <definedName name="_xlnm._FilterDatabase" localSheetId="5" hidden="1">'Coverage'!$A$1:$G$177</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cases'!$B$2:$B$840,A2)</f>
        <v/>
      </c>
      <c r="C2" s="20">
        <f>COUNTIFS('Test cases'!$B$2:$B$840,$A2,'Test cases'!$M$2:$M$840,"Pass")</f>
        <v/>
      </c>
      <c r="D2" s="20">
        <f>COUNTIFS('Test cases'!$B$2:$B$840,$A2,'Test cases'!$M$2:$M$840,"Fail")</f>
        <v/>
      </c>
      <c r="E2" s="20">
        <f>COUNTIFS('Test cases'!$B$2:$B$840,$A2,'Test cases'!$M$2:$M$840,"Blocked")</f>
        <v/>
      </c>
      <c r="F2" s="20">
        <f>COUNTIFS('Test cases'!$B$2:$B$840,$A2,'Test cases'!$M$2:$M$840,"Not run")</f>
        <v/>
      </c>
      <c r="G2" s="20">
        <f>COUNTIFS('Test cases'!$B$2:$B$840,$A2,'Test cases'!$F$2:$F$840,"P0")</f>
        <v/>
      </c>
      <c r="H2" s="20">
        <f>G2-COUNTIFS('Test cases'!$B$2:$B$840,$A2,'Test cases'!$F$2:$F$840,"P0",'Test cases'!$M$2:$M$840,"Pass")</f>
        <v/>
      </c>
    </row>
    <row r="3" ht="15" customHeight="1" s="13">
      <c r="A3" s="20" t="inlineStr">
        <is>
          <t>Login, onboarding &amp; profile</t>
        </is>
      </c>
      <c r="B3" s="20">
        <f>COUNTIF('Test cases'!$B$2:$B$840,A3)</f>
        <v/>
      </c>
      <c r="C3" s="20">
        <f>COUNTIFS('Test cases'!$B$2:$B$840,$A3,'Test cases'!$M$2:$M$840,"Pass")</f>
        <v/>
      </c>
      <c r="D3" s="20">
        <f>COUNTIFS('Test cases'!$B$2:$B$840,$A3,'Test cases'!$M$2:$M$840,"Fail")</f>
        <v/>
      </c>
      <c r="E3" s="20">
        <f>COUNTIFS('Test cases'!$B$2:$B$840,$A3,'Test cases'!$M$2:$M$840,"Blocked")</f>
        <v/>
      </c>
      <c r="F3" s="20">
        <f>COUNTIFS('Test cases'!$B$2:$B$840,$A3,'Test cases'!$M$2:$M$840,"Not run")</f>
        <v/>
      </c>
      <c r="G3" s="20">
        <f>COUNTIFS('Test cases'!$B$2:$B$840,$A3,'Test cases'!$F$2:$F$840,"P0")</f>
        <v/>
      </c>
      <c r="H3" s="20">
        <f>G3-COUNTIFS('Test cases'!$B$2:$B$840,$A3,'Test cases'!$F$2:$F$840,"P0",'Test cases'!$M$2:$M$840,"Pass")</f>
        <v/>
      </c>
    </row>
    <row r="4" ht="15" customHeight="1" s="13">
      <c r="A4" s="20" t="inlineStr">
        <is>
          <t>Roles &amp; access control</t>
        </is>
      </c>
      <c r="B4" s="20">
        <f>COUNTIF('Test cases'!$B$2:$B$840,A4)</f>
        <v/>
      </c>
      <c r="C4" s="20">
        <f>COUNTIFS('Test cases'!$B$2:$B$840,$A4,'Test cases'!$M$2:$M$840,"Pass")</f>
        <v/>
      </c>
      <c r="D4" s="20">
        <f>COUNTIFS('Test cases'!$B$2:$B$840,$A4,'Test cases'!$M$2:$M$840,"Fail")</f>
        <v/>
      </c>
      <c r="E4" s="20">
        <f>COUNTIFS('Test cases'!$B$2:$B$840,$A4,'Test cases'!$M$2:$M$840,"Blocked")</f>
        <v/>
      </c>
      <c r="F4" s="20">
        <f>COUNTIFS('Test cases'!$B$2:$B$840,$A4,'Test cases'!$M$2:$M$840,"Not run")</f>
        <v/>
      </c>
      <c r="G4" s="20">
        <f>COUNTIFS('Test cases'!$B$2:$B$840,$A4,'Test cases'!$F$2:$F$840,"P0")</f>
        <v/>
      </c>
      <c r="H4" s="20">
        <f>G4-COUNTIFS('Test cases'!$B$2:$B$840,$A4,'Test cases'!$F$2:$F$840,"P0",'Test cases'!$M$2:$M$840,"Pass")</f>
        <v/>
      </c>
    </row>
    <row r="5" ht="15" customHeight="1" s="13">
      <c r="A5" s="20" t="inlineStr">
        <is>
          <t>Location, addresses &amp; serviceability</t>
        </is>
      </c>
      <c r="B5" s="20">
        <f>COUNTIF('Test cases'!$B$2:$B$840,A5)</f>
        <v/>
      </c>
      <c r="C5" s="20">
        <f>COUNTIFS('Test cases'!$B$2:$B$840,$A5,'Test cases'!$M$2:$M$840,"Pass")</f>
        <v/>
      </c>
      <c r="D5" s="20">
        <f>COUNTIFS('Test cases'!$B$2:$B$840,$A5,'Test cases'!$M$2:$M$840,"Fail")</f>
        <v/>
      </c>
      <c r="E5" s="20">
        <f>COUNTIFS('Test cases'!$B$2:$B$840,$A5,'Test cases'!$M$2:$M$840,"Blocked")</f>
        <v/>
      </c>
      <c r="F5" s="20">
        <f>COUNTIFS('Test cases'!$B$2:$B$840,$A5,'Test cases'!$M$2:$M$840,"Not run")</f>
        <v/>
      </c>
      <c r="G5" s="20">
        <f>COUNTIFS('Test cases'!$B$2:$B$840,$A5,'Test cases'!$F$2:$F$840,"P0")</f>
        <v/>
      </c>
      <c r="H5" s="20">
        <f>G5-COUNTIFS('Test cases'!$B$2:$B$840,$A5,'Test cases'!$F$2:$F$840,"P0",'Test cases'!$M$2:$M$840,"Pass")</f>
        <v/>
      </c>
    </row>
    <row r="6" ht="15" customHeight="1" s="13">
      <c r="A6" s="20" t="inlineStr">
        <is>
          <t>Discovery, search &amp; price comparison</t>
        </is>
      </c>
      <c r="B6" s="20">
        <f>COUNTIF('Test cases'!$B$2:$B$840,A6)</f>
        <v/>
      </c>
      <c r="C6" s="20">
        <f>COUNTIFS('Test cases'!$B$2:$B$840,$A6,'Test cases'!$M$2:$M$840,"Pass")</f>
        <v/>
      </c>
      <c r="D6" s="20">
        <f>COUNTIFS('Test cases'!$B$2:$B$840,$A6,'Test cases'!$M$2:$M$840,"Fail")</f>
        <v/>
      </c>
      <c r="E6" s="20">
        <f>COUNTIFS('Test cases'!$B$2:$B$840,$A6,'Test cases'!$M$2:$M$840,"Blocked")</f>
        <v/>
      </c>
      <c r="F6" s="20">
        <f>COUNTIFS('Test cases'!$B$2:$B$840,$A6,'Test cases'!$M$2:$M$840,"Not run")</f>
        <v/>
      </c>
      <c r="G6" s="20">
        <f>COUNTIFS('Test cases'!$B$2:$B$840,$A6,'Test cases'!$F$2:$F$840,"P0")</f>
        <v/>
      </c>
      <c r="H6" s="20">
        <f>G6-COUNTIFS('Test cases'!$B$2:$B$840,$A6,'Test cases'!$F$2:$F$840,"P0",'Test cases'!$M$2:$M$840,"Pass")</f>
        <v/>
      </c>
    </row>
    <row r="7" ht="15" customHeight="1" s="13">
      <c r="A7" s="20" t="inlineStr">
        <is>
          <t>Cart &amp; checkout</t>
        </is>
      </c>
      <c r="B7" s="20">
        <f>COUNTIF('Test cases'!$B$2:$B$840,A7)</f>
        <v/>
      </c>
      <c r="C7" s="20">
        <f>COUNTIFS('Test cases'!$B$2:$B$840,$A7,'Test cases'!$M$2:$M$840,"Pass")</f>
        <v/>
      </c>
      <c r="D7" s="20">
        <f>COUNTIFS('Test cases'!$B$2:$B$840,$A7,'Test cases'!$M$2:$M$840,"Fail")</f>
        <v/>
      </c>
      <c r="E7" s="20">
        <f>COUNTIFS('Test cases'!$B$2:$B$840,$A7,'Test cases'!$M$2:$M$840,"Blocked")</f>
        <v/>
      </c>
      <c r="F7" s="20">
        <f>COUNTIFS('Test cases'!$B$2:$B$840,$A7,'Test cases'!$M$2:$M$840,"Not run")</f>
        <v/>
      </c>
      <c r="G7" s="20">
        <f>COUNTIFS('Test cases'!$B$2:$B$840,$A7,'Test cases'!$F$2:$F$840,"P0")</f>
        <v/>
      </c>
      <c r="H7" s="20">
        <f>G7-COUNTIFS('Test cases'!$B$2:$B$840,$A7,'Test cases'!$F$2:$F$840,"P0",'Test cases'!$M$2:$M$840,"Pass")</f>
        <v/>
      </c>
    </row>
    <row r="8" ht="15" customHeight="1" s="13">
      <c r="A8" s="20" t="inlineStr">
        <is>
          <t>Wallet, vouchers &amp; gateway</t>
        </is>
      </c>
      <c r="B8" s="20">
        <f>COUNTIF('Test cases'!$B$2:$B$840,A8)</f>
        <v/>
      </c>
      <c r="C8" s="20">
        <f>COUNTIFS('Test cases'!$B$2:$B$840,$A8,'Test cases'!$M$2:$M$840,"Pass")</f>
        <v/>
      </c>
      <c r="D8" s="20">
        <f>COUNTIFS('Test cases'!$B$2:$B$840,$A8,'Test cases'!$M$2:$M$840,"Fail")</f>
        <v/>
      </c>
      <c r="E8" s="20">
        <f>COUNTIFS('Test cases'!$B$2:$B$840,$A8,'Test cases'!$M$2:$M$840,"Blocked")</f>
        <v/>
      </c>
      <c r="F8" s="20">
        <f>COUNTIFS('Test cases'!$B$2:$B$840,$A8,'Test cases'!$M$2:$M$840,"Not run")</f>
        <v/>
      </c>
      <c r="G8" s="20">
        <f>COUNTIFS('Test cases'!$B$2:$B$840,$A8,'Test cases'!$F$2:$F$840,"P0")</f>
        <v/>
      </c>
      <c r="H8" s="20">
        <f>G8-COUNTIFS('Test cases'!$B$2:$B$840,$A8,'Test cases'!$F$2:$F$840,"P0",'Test cases'!$M$2:$M$840,"Pass")</f>
        <v/>
      </c>
    </row>
    <row r="9" ht="15" customHeight="1" s="13">
      <c r="A9" s="20" t="inlineStr">
        <is>
          <t>Cash on delivery</t>
        </is>
      </c>
      <c r="B9" s="20">
        <f>COUNTIF('Test cases'!$B$2:$B$840,A9)</f>
        <v/>
      </c>
      <c r="C9" s="20">
        <f>COUNTIFS('Test cases'!$B$2:$B$840,$A9,'Test cases'!$M$2:$M$840,"Pass")</f>
        <v/>
      </c>
      <c r="D9" s="20">
        <f>COUNTIFS('Test cases'!$B$2:$B$840,$A9,'Test cases'!$M$2:$M$840,"Fail")</f>
        <v/>
      </c>
      <c r="E9" s="20">
        <f>COUNTIFS('Test cases'!$B$2:$B$840,$A9,'Test cases'!$M$2:$M$840,"Blocked")</f>
        <v/>
      </c>
      <c r="F9" s="20">
        <f>COUNTIFS('Test cases'!$B$2:$B$840,$A9,'Test cases'!$M$2:$M$840,"Not run")</f>
        <v/>
      </c>
      <c r="G9" s="20">
        <f>COUNTIFS('Test cases'!$B$2:$B$840,$A9,'Test cases'!$F$2:$F$840,"P0")</f>
        <v/>
      </c>
      <c r="H9" s="20">
        <f>G9-COUNTIFS('Test cases'!$B$2:$B$840,$A9,'Test cases'!$F$2:$F$840,"P0",'Test cases'!$M$2:$M$840,"Pass")</f>
        <v/>
      </c>
    </row>
    <row r="10" ht="15" customHeight="1" s="13">
      <c r="A10" s="20" t="inlineStr">
        <is>
          <t>Order state machine &amp; cancellation</t>
        </is>
      </c>
      <c r="B10" s="20">
        <f>COUNTIF('Test cases'!$B$2:$B$840,A10)</f>
        <v/>
      </c>
      <c r="C10" s="20">
        <f>COUNTIFS('Test cases'!$B$2:$B$840,$A10,'Test cases'!$M$2:$M$840,"Pass")</f>
        <v/>
      </c>
      <c r="D10" s="20">
        <f>COUNTIFS('Test cases'!$B$2:$B$840,$A10,'Test cases'!$M$2:$M$840,"Fail")</f>
        <v/>
      </c>
      <c r="E10" s="20">
        <f>COUNTIFS('Test cases'!$B$2:$B$840,$A10,'Test cases'!$M$2:$M$840,"Blocked")</f>
        <v/>
      </c>
      <c r="F10" s="20">
        <f>COUNTIFS('Test cases'!$B$2:$B$840,$A10,'Test cases'!$M$2:$M$840,"Not run")</f>
        <v/>
      </c>
      <c r="G10" s="20">
        <f>COUNTIFS('Test cases'!$B$2:$B$840,$A10,'Test cases'!$F$2:$F$840,"P0")</f>
        <v/>
      </c>
      <c r="H10" s="20">
        <f>G10-COUNTIFS('Test cases'!$B$2:$B$840,$A10,'Test cases'!$F$2:$F$840,"P0",'Test cases'!$M$2:$M$840,"Pass")</f>
        <v/>
      </c>
    </row>
    <row r="11" ht="15" customHeight="1" s="13">
      <c r="A11" s="20" t="inlineStr">
        <is>
          <t>Shop fulfilment &amp; substitution</t>
        </is>
      </c>
      <c r="B11" s="20">
        <f>COUNTIF('Test cases'!$B$2:$B$840,A11)</f>
        <v/>
      </c>
      <c r="C11" s="20">
        <f>COUNTIFS('Test cases'!$B$2:$B$840,$A11,'Test cases'!$M$2:$M$840,"Pass")</f>
        <v/>
      </c>
      <c r="D11" s="20">
        <f>COUNTIFS('Test cases'!$B$2:$B$840,$A11,'Test cases'!$M$2:$M$840,"Fail")</f>
        <v/>
      </c>
      <c r="E11" s="20">
        <f>COUNTIFS('Test cases'!$B$2:$B$840,$A11,'Test cases'!$M$2:$M$840,"Blocked")</f>
        <v/>
      </c>
      <c r="F11" s="20">
        <f>COUNTIFS('Test cases'!$B$2:$B$840,$A11,'Test cases'!$M$2:$M$840,"Not run")</f>
        <v/>
      </c>
      <c r="G11" s="20">
        <f>COUNTIFS('Test cases'!$B$2:$B$840,$A11,'Test cases'!$F$2:$F$840,"P0")</f>
        <v/>
      </c>
      <c r="H11" s="20">
        <f>G11-COUNTIFS('Test cases'!$B$2:$B$840,$A11,'Test cases'!$F$2:$F$840,"P0",'Test cases'!$M$2:$M$840,"Pass")</f>
        <v/>
      </c>
    </row>
    <row r="12" ht="15" customHeight="1" s="13">
      <c r="A12" s="20" t="inlineStr">
        <is>
          <t>Rider dispatch &amp; assignment rules</t>
        </is>
      </c>
      <c r="B12" s="20">
        <f>COUNTIF('Test cases'!$B$2:$B$840,A12)</f>
        <v/>
      </c>
      <c r="C12" s="20">
        <f>COUNTIFS('Test cases'!$B$2:$B$840,$A12,'Test cases'!$M$2:$M$840,"Pass")</f>
        <v/>
      </c>
      <c r="D12" s="20">
        <f>COUNTIFS('Test cases'!$B$2:$B$840,$A12,'Test cases'!$M$2:$M$840,"Fail")</f>
        <v/>
      </c>
      <c r="E12" s="20">
        <f>COUNTIFS('Test cases'!$B$2:$B$840,$A12,'Test cases'!$M$2:$M$840,"Blocked")</f>
        <v/>
      </c>
      <c r="F12" s="20">
        <f>COUNTIFS('Test cases'!$B$2:$B$840,$A12,'Test cases'!$M$2:$M$840,"Not run")</f>
        <v/>
      </c>
      <c r="G12" s="20">
        <f>COUNTIFS('Test cases'!$B$2:$B$840,$A12,'Test cases'!$F$2:$F$840,"P0")</f>
        <v/>
      </c>
      <c r="H12" s="20">
        <f>G12-COUNTIFS('Test cases'!$B$2:$B$840,$A12,'Test cases'!$F$2:$F$840,"P0",'Test cases'!$M$2:$M$840,"Pass")</f>
        <v/>
      </c>
    </row>
    <row r="13" ht="15" customHeight="1" s="13">
      <c r="A13" s="20" t="inlineStr">
        <is>
          <t>Rider delivery &amp; handover</t>
        </is>
      </c>
      <c r="B13" s="20">
        <f>COUNTIF('Test cases'!$B$2:$B$840,A13)</f>
        <v/>
      </c>
      <c r="C13" s="20">
        <f>COUNTIFS('Test cases'!$B$2:$B$840,$A13,'Test cases'!$M$2:$M$840,"Pass")</f>
        <v/>
      </c>
      <c r="D13" s="20">
        <f>COUNTIFS('Test cases'!$B$2:$B$840,$A13,'Test cases'!$M$2:$M$840,"Fail")</f>
        <v/>
      </c>
      <c r="E13" s="20">
        <f>COUNTIFS('Test cases'!$B$2:$B$840,$A13,'Test cases'!$M$2:$M$840,"Blocked")</f>
        <v/>
      </c>
      <c r="F13" s="20">
        <f>COUNTIFS('Test cases'!$B$2:$B$840,$A13,'Test cases'!$M$2:$M$840,"Not run")</f>
        <v/>
      </c>
      <c r="G13" s="20">
        <f>COUNTIFS('Test cases'!$B$2:$B$840,$A13,'Test cases'!$F$2:$F$840,"P0")</f>
        <v/>
      </c>
      <c r="H13" s="20">
        <f>G13-COUNTIFS('Test cases'!$B$2:$B$840,$A13,'Test cases'!$F$2:$F$840,"P0",'Test cases'!$M$2:$M$840,"Pass")</f>
        <v/>
      </c>
    </row>
    <row r="14" ht="15" customHeight="1" s="13">
      <c r="A14" s="20" t="inlineStr">
        <is>
          <t>Society module</t>
        </is>
      </c>
      <c r="B14" s="20">
        <f>COUNTIF('Test cases'!$B$2:$B$840,A14)</f>
        <v/>
      </c>
      <c r="C14" s="20">
        <f>COUNTIFS('Test cases'!$B$2:$B$840,$A14,'Test cases'!$M$2:$M$840,"Pass")</f>
        <v/>
      </c>
      <c r="D14" s="20">
        <f>COUNTIFS('Test cases'!$B$2:$B$840,$A14,'Test cases'!$M$2:$M$840,"Fail")</f>
        <v/>
      </c>
      <c r="E14" s="20">
        <f>COUNTIFS('Test cases'!$B$2:$B$840,$A14,'Test cases'!$M$2:$M$840,"Blocked")</f>
        <v/>
      </c>
      <c r="F14" s="20">
        <f>COUNTIFS('Test cases'!$B$2:$B$840,$A14,'Test cases'!$M$2:$M$840,"Not run")</f>
        <v/>
      </c>
      <c r="G14" s="20">
        <f>COUNTIFS('Test cases'!$B$2:$B$840,$A14,'Test cases'!$F$2:$F$840,"P0")</f>
        <v/>
      </c>
      <c r="H14" s="20">
        <f>G14-COUNTIFS('Test cases'!$B$2:$B$840,$A14,'Test cases'!$F$2:$F$840,"P0",'Test cases'!$M$2:$M$840,"Pass")</f>
        <v/>
      </c>
    </row>
    <row r="15" ht="15" customHeight="1" s="13">
      <c r="A15" s="20" t="inlineStr">
        <is>
          <t>Subscriptions</t>
        </is>
      </c>
      <c r="B15" s="20">
        <f>COUNTIF('Test cases'!$B$2:$B$840,A15)</f>
        <v/>
      </c>
      <c r="C15" s="20">
        <f>COUNTIFS('Test cases'!$B$2:$B$840,$A15,'Test cases'!$M$2:$M$840,"Pass")</f>
        <v/>
      </c>
      <c r="D15" s="20">
        <f>COUNTIFS('Test cases'!$B$2:$B$840,$A15,'Test cases'!$M$2:$M$840,"Fail")</f>
        <v/>
      </c>
      <c r="E15" s="20">
        <f>COUNTIFS('Test cases'!$B$2:$B$840,$A15,'Test cases'!$M$2:$M$840,"Blocked")</f>
        <v/>
      </c>
      <c r="F15" s="20">
        <f>COUNTIFS('Test cases'!$B$2:$B$840,$A15,'Test cases'!$M$2:$M$840,"Not run")</f>
        <v/>
      </c>
      <c r="G15" s="20">
        <f>COUNTIFS('Test cases'!$B$2:$B$840,$A15,'Test cases'!$F$2:$F$840,"P0")</f>
        <v/>
      </c>
      <c r="H15" s="20">
        <f>G15-COUNTIFS('Test cases'!$B$2:$B$840,$A15,'Test cases'!$F$2:$F$840,"P0",'Test cases'!$M$2:$M$840,"Pass")</f>
        <v/>
      </c>
    </row>
    <row r="16" ht="15" customHeight="1" s="13">
      <c r="A16" s="20" t="inlineStr">
        <is>
          <t>Returns, refunds &amp; disputes</t>
        </is>
      </c>
      <c r="B16" s="20">
        <f>COUNTIF('Test cases'!$B$2:$B$840,A16)</f>
        <v/>
      </c>
      <c r="C16" s="20">
        <f>COUNTIFS('Test cases'!$B$2:$B$840,$A16,'Test cases'!$M$2:$M$840,"Pass")</f>
        <v/>
      </c>
      <c r="D16" s="20">
        <f>COUNTIFS('Test cases'!$B$2:$B$840,$A16,'Test cases'!$M$2:$M$840,"Fail")</f>
        <v/>
      </c>
      <c r="E16" s="20">
        <f>COUNTIFS('Test cases'!$B$2:$B$840,$A16,'Test cases'!$M$2:$M$840,"Blocked")</f>
        <v/>
      </c>
      <c r="F16" s="20">
        <f>COUNTIFS('Test cases'!$B$2:$B$840,$A16,'Test cases'!$M$2:$M$840,"Not run")</f>
        <v/>
      </c>
      <c r="G16" s="20">
        <f>COUNTIFS('Test cases'!$B$2:$B$840,$A16,'Test cases'!$F$2:$F$840,"P0")</f>
        <v/>
      </c>
      <c r="H16" s="20">
        <f>G16-COUNTIFS('Test cases'!$B$2:$B$840,$A16,'Test cases'!$F$2:$F$840,"P0",'Test cases'!$M$2:$M$840,"Pass")</f>
        <v/>
      </c>
    </row>
    <row r="17" ht="15" customHeight="1" s="13">
      <c r="A17" s="20" t="inlineStr">
        <is>
          <t>Support, grievances &amp; ratings</t>
        </is>
      </c>
      <c r="B17" s="20">
        <f>COUNTIF('Test cases'!$B$2:$B$840,A17)</f>
        <v/>
      </c>
      <c r="C17" s="20">
        <f>COUNTIFS('Test cases'!$B$2:$B$840,$A17,'Test cases'!$M$2:$M$840,"Pass")</f>
        <v/>
      </c>
      <c r="D17" s="20">
        <f>COUNTIFS('Test cases'!$B$2:$B$840,$A17,'Test cases'!$M$2:$M$840,"Fail")</f>
        <v/>
      </c>
      <c r="E17" s="20">
        <f>COUNTIFS('Test cases'!$B$2:$B$840,$A17,'Test cases'!$M$2:$M$840,"Blocked")</f>
        <v/>
      </c>
      <c r="F17" s="20">
        <f>COUNTIFS('Test cases'!$B$2:$B$840,$A17,'Test cases'!$M$2:$M$840,"Not run")</f>
        <v/>
      </c>
      <c r="G17" s="20">
        <f>COUNTIFS('Test cases'!$B$2:$B$840,$A17,'Test cases'!$F$2:$F$840,"P0")</f>
        <v/>
      </c>
      <c r="H17" s="20">
        <f>G17-COUNTIFS('Test cases'!$B$2:$B$840,$A17,'Test cases'!$F$2:$F$840,"P0",'Test cases'!$M$2:$M$840,"Pass")</f>
        <v/>
      </c>
    </row>
    <row r="18" ht="15" customHeight="1" s="13">
      <c r="A18" s="20" t="inlineStr">
        <is>
          <t>Shop onboarding, KYC, fees &amp; suspension</t>
        </is>
      </c>
      <c r="B18" s="20">
        <f>COUNTIF('Test cases'!$B$2:$B$840,A18)</f>
        <v/>
      </c>
      <c r="C18" s="20">
        <f>COUNTIFS('Test cases'!$B$2:$B$840,$A18,'Test cases'!$M$2:$M$840,"Pass")</f>
        <v/>
      </c>
      <c r="D18" s="20">
        <f>COUNTIFS('Test cases'!$B$2:$B$840,$A18,'Test cases'!$M$2:$M$840,"Fail")</f>
        <v/>
      </c>
      <c r="E18" s="20">
        <f>COUNTIFS('Test cases'!$B$2:$B$840,$A18,'Test cases'!$M$2:$M$840,"Blocked")</f>
        <v/>
      </c>
      <c r="F18" s="20">
        <f>COUNTIFS('Test cases'!$B$2:$B$840,$A18,'Test cases'!$M$2:$M$840,"Not run")</f>
        <v/>
      </c>
      <c r="G18" s="20">
        <f>COUNTIFS('Test cases'!$B$2:$B$840,$A18,'Test cases'!$F$2:$F$840,"P0")</f>
        <v/>
      </c>
      <c r="H18" s="20">
        <f>G18-COUNTIFS('Test cases'!$B$2:$B$840,$A18,'Test cases'!$F$2:$F$840,"P0",'Test cases'!$M$2:$M$840,"Pass")</f>
        <v/>
      </c>
    </row>
    <row r="19" ht="15" customHeight="1" s="13">
      <c r="A19" s="20" t="inlineStr">
        <is>
          <t>Catalogue, pricing, MRP, inventory &amp; images</t>
        </is>
      </c>
      <c r="B19" s="20">
        <f>COUNTIF('Test cases'!$B$2:$B$840,A19)</f>
        <v/>
      </c>
      <c r="C19" s="20">
        <f>COUNTIFS('Test cases'!$B$2:$B$840,$A19,'Test cases'!$M$2:$M$840,"Pass")</f>
        <v/>
      </c>
      <c r="D19" s="20">
        <f>COUNTIFS('Test cases'!$B$2:$B$840,$A19,'Test cases'!$M$2:$M$840,"Fail")</f>
        <v/>
      </c>
      <c r="E19" s="20">
        <f>COUNTIFS('Test cases'!$B$2:$B$840,$A19,'Test cases'!$M$2:$M$840,"Blocked")</f>
        <v/>
      </c>
      <c r="F19" s="20">
        <f>COUNTIFS('Test cases'!$B$2:$B$840,$A19,'Test cases'!$M$2:$M$840,"Not run")</f>
        <v/>
      </c>
      <c r="G19" s="20">
        <f>COUNTIFS('Test cases'!$B$2:$B$840,$A19,'Test cases'!$F$2:$F$840,"P0")</f>
        <v/>
      </c>
      <c r="H19" s="20">
        <f>G19-COUNTIFS('Test cases'!$B$2:$B$840,$A19,'Test cases'!$F$2:$F$840,"P0",'Test cases'!$M$2:$M$840,"Pass")</f>
        <v/>
      </c>
    </row>
    <row r="20" ht="15" customHeight="1" s="13">
      <c r="A20" s="20" t="inlineStr">
        <is>
          <t>Product master data</t>
        </is>
      </c>
      <c r="B20" s="20">
        <f>COUNTIF('Test cases'!$B$2:$B$840,A20)</f>
        <v/>
      </c>
      <c r="C20" s="20">
        <f>COUNTIFS('Test cases'!$B$2:$B$840,$A20,'Test cases'!$M$2:$M$840,"Pass")</f>
        <v/>
      </c>
      <c r="D20" s="20">
        <f>COUNTIFS('Test cases'!$B$2:$B$840,$A20,'Test cases'!$M$2:$M$840,"Fail")</f>
        <v/>
      </c>
      <c r="E20" s="20">
        <f>COUNTIFS('Test cases'!$B$2:$B$840,$A20,'Test cases'!$M$2:$M$840,"Blocked")</f>
        <v/>
      </c>
      <c r="F20" s="20">
        <f>COUNTIFS('Test cases'!$B$2:$B$840,$A20,'Test cases'!$M$2:$M$840,"Not run")</f>
        <v/>
      </c>
      <c r="G20" s="20">
        <f>COUNTIFS('Test cases'!$B$2:$B$840,$A20,'Test cases'!$F$2:$F$840,"P0")</f>
        <v/>
      </c>
      <c r="H20" s="20">
        <f>G20-COUNTIFS('Test cases'!$B$2:$B$840,$A20,'Test cases'!$F$2:$F$840,"P0",'Test cases'!$M$2:$M$840,"Pass")</f>
        <v/>
      </c>
    </row>
    <row r="21" ht="15" customHeight="1" s="13">
      <c r="A21" s="20" t="inlineStr">
        <is>
          <t>Notifications</t>
        </is>
      </c>
      <c r="B21" s="20">
        <f>COUNTIF('Test cases'!$B$2:$B$840,A21)</f>
        <v/>
      </c>
      <c r="C21" s="20">
        <f>COUNTIFS('Test cases'!$B$2:$B$840,$A21,'Test cases'!$M$2:$M$840,"Pass")</f>
        <v/>
      </c>
      <c r="D21" s="20">
        <f>COUNTIFS('Test cases'!$B$2:$B$840,$A21,'Test cases'!$M$2:$M$840,"Fail")</f>
        <v/>
      </c>
      <c r="E21" s="20">
        <f>COUNTIFS('Test cases'!$B$2:$B$840,$A21,'Test cases'!$M$2:$M$840,"Blocked")</f>
        <v/>
      </c>
      <c r="F21" s="20">
        <f>COUNTIFS('Test cases'!$B$2:$B$840,$A21,'Test cases'!$M$2:$M$840,"Not run")</f>
        <v/>
      </c>
      <c r="G21" s="20">
        <f>COUNTIFS('Test cases'!$B$2:$B$840,$A21,'Test cases'!$F$2:$F$840,"P0")</f>
        <v/>
      </c>
      <c r="H21" s="20">
        <f>G21-COUNTIFS('Test cases'!$B$2:$B$840,$A21,'Test cases'!$F$2:$F$840,"P0",'Test cases'!$M$2:$M$840,"Pass")</f>
        <v/>
      </c>
    </row>
    <row r="22" ht="15" customHeight="1" s="13">
      <c r="A22" s="20" t="inlineStr">
        <is>
          <t>Finance, settlement &amp; rider earnings</t>
        </is>
      </c>
      <c r="B22" s="20">
        <f>COUNTIF('Test cases'!$B$2:$B$840,A22)</f>
        <v/>
      </c>
      <c r="C22" s="20">
        <f>COUNTIFS('Test cases'!$B$2:$B$840,$A22,'Test cases'!$M$2:$M$840,"Pass")</f>
        <v/>
      </c>
      <c r="D22" s="20">
        <f>COUNTIFS('Test cases'!$B$2:$B$840,$A22,'Test cases'!$M$2:$M$840,"Fail")</f>
        <v/>
      </c>
      <c r="E22" s="20">
        <f>COUNTIFS('Test cases'!$B$2:$B$840,$A22,'Test cases'!$M$2:$M$840,"Blocked")</f>
        <v/>
      </c>
      <c r="F22" s="20">
        <f>COUNTIFS('Test cases'!$B$2:$B$840,$A22,'Test cases'!$M$2:$M$840,"Not run")</f>
        <v/>
      </c>
      <c r="G22" s="20">
        <f>COUNTIFS('Test cases'!$B$2:$B$840,$A22,'Test cases'!$F$2:$F$840,"P0")</f>
        <v/>
      </c>
      <c r="H22" s="20">
        <f>G22-COUNTIFS('Test cases'!$B$2:$B$840,$A22,'Test cases'!$F$2:$F$840,"P0",'Test cases'!$M$2:$M$840,"Pass")</f>
        <v/>
      </c>
    </row>
    <row r="23" ht="15" customHeight="1" s="13">
      <c r="A23" s="20" t="inlineStr">
        <is>
          <t>Admin &amp; operations console</t>
        </is>
      </c>
      <c r="B23" s="20">
        <f>COUNTIF('Test cases'!$B$2:$B$840,A23)</f>
        <v/>
      </c>
      <c r="C23" s="20">
        <f>COUNTIFS('Test cases'!$B$2:$B$840,$A23,'Test cases'!$M$2:$M$840,"Pass")</f>
        <v/>
      </c>
      <c r="D23" s="20">
        <f>COUNTIFS('Test cases'!$B$2:$B$840,$A23,'Test cases'!$M$2:$M$840,"Fail")</f>
        <v/>
      </c>
      <c r="E23" s="20">
        <f>COUNTIFS('Test cases'!$B$2:$B$840,$A23,'Test cases'!$M$2:$M$840,"Blocked")</f>
        <v/>
      </c>
      <c r="F23" s="20">
        <f>COUNTIFS('Test cases'!$B$2:$B$840,$A23,'Test cases'!$M$2:$M$840,"Not run")</f>
        <v/>
      </c>
      <c r="G23" s="20">
        <f>COUNTIFS('Test cases'!$B$2:$B$840,$A23,'Test cases'!$F$2:$F$840,"P0")</f>
        <v/>
      </c>
      <c r="H23" s="20">
        <f>G23-COUNTIFS('Test cases'!$B$2:$B$840,$A23,'Test cases'!$F$2:$F$840,"P0",'Test cases'!$M$2:$M$840,"Pass")</f>
        <v/>
      </c>
    </row>
    <row r="24" ht="15" customHeight="1" s="13">
      <c r="A24" s="20" t="inlineStr">
        <is>
          <t>Marketing &amp; consent</t>
        </is>
      </c>
      <c r="B24" s="20">
        <f>COUNTIF('Test cases'!$B$2:$B$840,A24)</f>
        <v/>
      </c>
      <c r="C24" s="20">
        <f>COUNTIFS('Test cases'!$B$2:$B$840,$A24,'Test cases'!$M$2:$M$840,"Pass")</f>
        <v/>
      </c>
      <c r="D24" s="20">
        <f>COUNTIFS('Test cases'!$B$2:$B$840,$A24,'Test cases'!$M$2:$M$840,"Fail")</f>
        <v/>
      </c>
      <c r="E24" s="20">
        <f>COUNTIFS('Test cases'!$B$2:$B$840,$A24,'Test cases'!$M$2:$M$840,"Blocked")</f>
        <v/>
      </c>
      <c r="F24" s="20">
        <f>COUNTIFS('Test cases'!$B$2:$B$840,$A24,'Test cases'!$M$2:$M$840,"Not run")</f>
        <v/>
      </c>
      <c r="G24" s="20">
        <f>COUNTIFS('Test cases'!$B$2:$B$840,$A24,'Test cases'!$F$2:$F$840,"P0")</f>
        <v/>
      </c>
      <c r="H24" s="20">
        <f>G24-COUNTIFS('Test cases'!$B$2:$B$840,$A24,'Test cases'!$F$2:$F$840,"P0",'Test cases'!$M$2:$M$840,"Pass")</f>
        <v/>
      </c>
    </row>
    <row r="25" ht="15" customHeight="1" s="13">
      <c r="A25" s="20" t="inlineStr">
        <is>
          <t>Analytics &amp; KPIs</t>
        </is>
      </c>
      <c r="B25" s="20">
        <f>COUNTIF('Test cases'!$B$2:$B$840,A25)</f>
        <v/>
      </c>
      <c r="C25" s="20">
        <f>COUNTIFS('Test cases'!$B$2:$B$840,$A25,'Test cases'!$M$2:$M$840,"Pass")</f>
        <v/>
      </c>
      <c r="D25" s="20">
        <f>COUNTIFS('Test cases'!$B$2:$B$840,$A25,'Test cases'!$M$2:$M$840,"Fail")</f>
        <v/>
      </c>
      <c r="E25" s="20">
        <f>COUNTIFS('Test cases'!$B$2:$B$840,$A25,'Test cases'!$M$2:$M$840,"Blocked")</f>
        <v/>
      </c>
      <c r="F25" s="20">
        <f>COUNTIFS('Test cases'!$B$2:$B$840,$A25,'Test cases'!$M$2:$M$840,"Not run")</f>
        <v/>
      </c>
      <c r="G25" s="20">
        <f>COUNTIFS('Test cases'!$B$2:$B$840,$A25,'Test cases'!$F$2:$F$840,"P0")</f>
        <v/>
      </c>
      <c r="H25" s="20">
        <f>G25-COUNTIFS('Test cases'!$B$2:$B$840,$A25,'Test cases'!$F$2:$F$840,"P0",'Test cases'!$M$2:$M$840,"Pass")</f>
        <v/>
      </c>
    </row>
    <row r="26" ht="15" customHeight="1" s="13">
      <c r="A26" s="20" t="inlineStr">
        <is>
          <t>Security &amp; platform</t>
        </is>
      </c>
      <c r="B26" s="20">
        <f>COUNTIF('Test cases'!$B$2:$B$840,A26)</f>
        <v/>
      </c>
      <c r="C26" s="20">
        <f>COUNTIFS('Test cases'!$B$2:$B$840,$A26,'Test cases'!$M$2:$M$840,"Pass")</f>
        <v/>
      </c>
      <c r="D26" s="20">
        <f>COUNTIFS('Test cases'!$B$2:$B$840,$A26,'Test cases'!$M$2:$M$840,"Fail")</f>
        <v/>
      </c>
      <c r="E26" s="20">
        <f>COUNTIFS('Test cases'!$B$2:$B$840,$A26,'Test cases'!$M$2:$M$840,"Blocked")</f>
        <v/>
      </c>
      <c r="F26" s="20">
        <f>COUNTIFS('Test cases'!$B$2:$B$840,$A26,'Test cases'!$M$2:$M$840,"Not run")</f>
        <v/>
      </c>
      <c r="G26" s="20">
        <f>COUNTIFS('Test cases'!$B$2:$B$840,$A26,'Test cases'!$F$2:$F$840,"P0")</f>
        <v/>
      </c>
      <c r="H26" s="20">
        <f>G26-COUNTIFS('Test cases'!$B$2:$B$840,$A26,'Test cases'!$F$2:$F$840,"P0",'Test cases'!$M$2:$M$840,"Pass")</f>
        <v/>
      </c>
    </row>
    <row r="27" ht="15" customHeight="1" s="13">
      <c r="A27" s="20" t="inlineStr">
        <is>
          <t>Navigation, responsive &amp; legal</t>
        </is>
      </c>
      <c r="B27" s="20">
        <f>COUNTIF('Test cases'!$B$2:$B$840,A27)</f>
        <v/>
      </c>
      <c r="C27" s="20">
        <f>COUNTIFS('Test cases'!$B$2:$B$840,$A27,'Test cases'!$M$2:$M$840,"Pass")</f>
        <v/>
      </c>
      <c r="D27" s="20">
        <f>COUNTIFS('Test cases'!$B$2:$B$840,$A27,'Test cases'!$M$2:$M$840,"Fail")</f>
        <v/>
      </c>
      <c r="E27" s="20">
        <f>COUNTIFS('Test cases'!$B$2:$B$840,$A27,'Test cases'!$M$2:$M$840,"Blocked")</f>
        <v/>
      </c>
      <c r="F27" s="20">
        <f>COUNTIFS('Test cases'!$B$2:$B$840,$A27,'Test cases'!$M$2:$M$840,"Not run")</f>
        <v/>
      </c>
      <c r="G27" s="20">
        <f>COUNTIFS('Test cases'!$B$2:$B$840,$A27,'Test cases'!$F$2:$F$840,"P0")</f>
        <v/>
      </c>
      <c r="H27" s="20">
        <f>G27-COUNTIFS('Test cases'!$B$2:$B$840,$A27,'Test cases'!$F$2:$F$840,"P0",'Test cases'!$M$2:$M$840,"Pass")</f>
        <v/>
      </c>
    </row>
    <row r="28" ht="15" customHeight="1" s="13">
      <c r="A28" s="20" t="inlineStr">
        <is>
          <t>Field-level validation</t>
        </is>
      </c>
      <c r="B28" s="20">
        <f>COUNTIF('Test cases'!$B$2:$B$840,A28)</f>
        <v/>
      </c>
      <c r="C28" s="20">
        <f>COUNTIFS('Test cases'!$B$2:$B$840,$A28,'Test cases'!$M$2:$M$840,"Pass")</f>
        <v/>
      </c>
      <c r="D28" s="20">
        <f>COUNTIFS('Test cases'!$B$2:$B$840,$A28,'Test cases'!$M$2:$M$840,"Fail")</f>
        <v/>
      </c>
      <c r="E28" s="20">
        <f>COUNTIFS('Test cases'!$B$2:$B$840,$A28,'Test cases'!$M$2:$M$840,"Blocked")</f>
        <v/>
      </c>
      <c r="F28" s="20">
        <f>COUNTIFS('Test cases'!$B$2:$B$840,$A28,'Test cases'!$M$2:$M$840,"Not run")</f>
        <v/>
      </c>
      <c r="G28" s="20">
        <f>COUNTIFS('Test cases'!$B$2:$B$840,$A28,'Test cases'!$F$2:$F$840,"P0")</f>
        <v/>
      </c>
      <c r="H28" s="20">
        <f>G28-COUNTIFS('Test cases'!$B$2:$B$840,$A28,'Test cases'!$F$2:$F$840,"P0",'Test cases'!$M$2:$M$840,"Pass")</f>
        <v/>
      </c>
    </row>
    <row r="29" ht="15" customHeight="1" s="13">
      <c r="A29" s="20" t="inlineStr">
        <is>
          <t>Sell, purchase &amp; inventory</t>
        </is>
      </c>
      <c r="B29" s="20">
        <f>COUNTIF('Test cases'!$B$2:$B$840,A29)</f>
        <v/>
      </c>
      <c r="C29" s="20">
        <f>COUNTIFS('Test cases'!$B$2:$B$840,$A29,'Test cases'!$M$2:$M$840,"Pass")</f>
        <v/>
      </c>
      <c r="D29" s="20">
        <f>COUNTIFS('Test cases'!$B$2:$B$840,$A29,'Test cases'!$M$2:$M$840,"Fail")</f>
        <v/>
      </c>
      <c r="E29" s="20">
        <f>COUNTIFS('Test cases'!$B$2:$B$840,$A29,'Test cases'!$M$2:$M$840,"Blocked")</f>
        <v/>
      </c>
      <c r="F29" s="20">
        <f>COUNTIFS('Test cases'!$B$2:$B$840,$A29,'Test cases'!$M$2:$M$840,"Not run")</f>
        <v/>
      </c>
      <c r="G29" s="20">
        <f>COUNTIFS('Test cases'!$B$2:$B$840,$A29,'Test cases'!$F$2:$F$840,"P0")</f>
        <v/>
      </c>
      <c r="H29" s="20">
        <f>G29-COUNTIFS('Test cases'!$B$2:$B$840,$A29,'Test cases'!$F$2:$F$840,"P0",'Test cases'!$M$2:$M$840,"Pass")</f>
        <v/>
      </c>
    </row>
    <row r="30" ht="15" customHeight="1" s="13">
      <c r="A30" s="20" t="inlineStr">
        <is>
          <t>QA automation</t>
        </is>
      </c>
      <c r="B30" s="20">
        <f>COUNTIF('Test cases'!$B$2:$B$840,A30)</f>
        <v/>
      </c>
      <c r="C30" s="20">
        <f>COUNTIFS('Test cases'!$B$2:$B$840,$A30,'Test cases'!$M$2:$M$840,"Pass")</f>
        <v/>
      </c>
      <c r="D30" s="20">
        <f>COUNTIFS('Test cases'!$B$2:$B$840,$A30,'Test cases'!$M$2:$M$840,"Fail")</f>
        <v/>
      </c>
      <c r="E30" s="20">
        <f>COUNTIFS('Test cases'!$B$2:$B$840,$A30,'Test cases'!$M$2:$M$840,"Blocked")</f>
        <v/>
      </c>
      <c r="F30" s="20">
        <f>COUNTIFS('Test cases'!$B$2:$B$840,$A30,'Test cases'!$M$2:$M$840,"Not run")</f>
        <v/>
      </c>
      <c r="G30" s="20">
        <f>COUNTIFS('Test cases'!$B$2:$B$840,$A30,'Test cases'!$F$2:$F$840,"P0")</f>
        <v/>
      </c>
      <c r="H30" s="20">
        <f>G30-COUNTIFS('Test cases'!$B$2:$B$840,$A30,'Test cases'!$F$2:$F$840,"P0",'Test cases'!$M$2:$M$840,"Pass")</f>
        <v/>
      </c>
    </row>
    <row r="31">
      <c r="A31" s="20" t="inlineStr">
        <is>
          <t>Purchase lists</t>
        </is>
      </c>
      <c r="B31" s="20">
        <f>COUNTIF('Test cases'!$B$2:$B$840,A31)</f>
        <v/>
      </c>
      <c r="C31" s="20">
        <f>COUNTIFS('Test cases'!$B$2:$B$840,$A31,'Test cases'!$M$2:$M$840,"Pass")</f>
        <v/>
      </c>
      <c r="D31" s="20">
        <f>COUNTIFS('Test cases'!$B$2:$B$840,$A31,'Test cases'!$M$2:$M$840,"Fail")</f>
        <v/>
      </c>
      <c r="E31" s="20">
        <f>COUNTIFS('Test cases'!$B$2:$B$840,$A31,'Test cases'!$M$2:$M$840,"Blocked")</f>
        <v/>
      </c>
      <c r="F31" s="20">
        <f>COUNTIFS('Test cases'!$B$2:$B$840,$A31,'Test cases'!$M$2:$M$840,"Not run")</f>
        <v/>
      </c>
      <c r="G31" s="20">
        <f>COUNTIFS('Test cases'!$B$2:$B$840,$A31,'Test cases'!$F$2:$F$840,"P0")</f>
        <v/>
      </c>
      <c r="H31" s="20">
        <f>G31-COUNTIFS('Test cases'!$B$2:$B$840,$A31,'Test cases'!$F$2:$F$840,"P0",'Test cases'!$M$2:$M$840,"Pass")</f>
        <v/>
      </c>
    </row>
    <row r="32">
      <c r="A32" s="20" t="inlineStr">
        <is>
          <t>App install &amp; updates</t>
        </is>
      </c>
      <c r="B32" s="20">
        <f>COUNTIF('Test cases'!$B$2:$B$840,A32)</f>
        <v/>
      </c>
      <c r="C32" s="20">
        <f>COUNTIFS('Test cases'!$B$2:$B$840,$A32,'Test cases'!$M$2:$M$840,"Pass")</f>
        <v/>
      </c>
      <c r="D32" s="20">
        <f>COUNTIFS('Test cases'!$B$2:$B$840,$A32,'Test cases'!$M$2:$M$840,"Fail")</f>
        <v/>
      </c>
      <c r="E32" s="20">
        <f>COUNTIFS('Test cases'!$B$2:$B$840,$A32,'Test cases'!$M$2:$M$840,"Blocked")</f>
        <v/>
      </c>
      <c r="F32" s="20">
        <f>COUNTIFS('Test cases'!$B$2:$B$840,$A32,'Test cases'!$M$2:$M$840,"Not run")</f>
        <v/>
      </c>
      <c r="G32" s="20">
        <f>COUNTIFS('Test cases'!$B$2:$B$840,$A32,'Test cases'!$F$2:$F$840,"P0")</f>
        <v/>
      </c>
      <c r="H32" s="20">
        <f>G32-COUNTIFS('Test cases'!$B$2:$B$840,$A32,'Test cases'!$F$2:$F$840,"P0",'Test cases'!$M$2:$M$840,"Pass")</f>
        <v/>
      </c>
    </row>
    <row r="33">
      <c r="A33" s="21" t="inlineStr">
        <is>
          <t>Total</t>
        </is>
      </c>
      <c r="B33" s="21">
        <f>SUM(B2:B32)</f>
        <v/>
      </c>
      <c r="C33" s="21">
        <f>SUM(C2:C32)</f>
        <v/>
      </c>
      <c r="D33" s="21">
        <f>SUM(D2:D32)</f>
        <v/>
      </c>
      <c r="E33" s="21">
        <f>SUM(E2:E32)</f>
        <v/>
      </c>
      <c r="F33" s="21">
        <f>SUM(F2:F32)</f>
        <v/>
      </c>
      <c r="G33" s="21">
        <f>SUM(G2:G32)</f>
        <v/>
      </c>
      <c r="H33" s="21">
        <f>SUM(H2:H32)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row r="73">
      <c r="A73" s="24" t="inlineStr">
        <is>
          <t>AI 31-Oct</t>
        </is>
      </c>
      <c r="B73" s="24" t="inlineStr">
        <is>
          <t>New module</t>
        </is>
      </c>
      <c r="C73" s="24" t="inlineStr">
        <is>
          <t>App install &amp; updates (AI-001 to AI-006, docs/app-install-2026-10): TC-APP-001 to TC-APP-013. Automated in tests/qa/guest/app-install.spec.ts (production-safe, Android and iPhone profiles) and tests/qa/signed-in/app-install.spec.ts (account record). TC-APP-010 needs a deploy and TC-APP-012 a phone: declared manual.</t>
        </is>
      </c>
    </row>
  </sheetData>
  <autoFilter ref="A1:C7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40"/>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https://test.gokesari.com renders; console errors: none
production: https://gokesari.com renders; console errors: none</t>
        </is>
      </c>
      <c r="O2" s="24" t="inlineStr">
        <is>
          <t>E-02</t>
        </is>
      </c>
      <c r="P2" s="24" t="inlineStr">
        <is>
          <t>2026-10-29 14:00</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/shops/agtci-yivu6, /products/246c8d08-c44c-44b9-9ddd-458955580ba5
production: loaded: /shops, /search?q=milk, /categories, /shops/agtci-yivu6, /products/246c8d08-c44c-44b9-9ddd-458955580ba5</t>
        </is>
      </c>
      <c r="O3" s="24" t="n"/>
      <c r="P3" s="24" t="inlineStr">
        <is>
          <t>2026-10-29 14:00</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2026-10-24 17:10</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2026-10-24 17:12</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2026-10-24 20:55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2026-10-24 17:42</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2026-10-24 17:12</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suite's guard; a manual run's discipline is outside automation
production: not covered: proves the suite's guard; a manual run's discipline is outside automation</t>
        </is>
      </c>
      <c r="O10" s="24" t="n"/>
      <c r="P10" s="24" t="inlineStr">
        <is>
          <t>2026-10-29 13:58</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'Add to cart / subscribe prompts sign-in' is checked in TC-RBAC-001 add-to-cart below
production: not covered: 'Add to cart / subscribe prompts sign-in' is checked in TC-RBAC-001 add-to-cart below</t>
        </is>
      </c>
      <c r="O11" s="24" t="n"/>
      <c r="P11" s="24" t="inlineStr">
        <is>
          <t>2026-10-29 14:00</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2026-10-24 17:12</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Pass (partial) · Production Not run
local: not covered: record-only: presence of each screen/API and the switch of its business rule; the features' own cases test their behaviour
staging: not covered: record-only: presence of each screen/API and the switch of its business rule; the features' own cases test their behaviour</t>
        </is>
      </c>
      <c r="O13" s="24" t="n"/>
      <c r="P13" s="24" t="inlineStr">
        <is>
          <t>2026-10-24 17:13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2026-10-29 14:00</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2026-10-24 18:06</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mvmphu8y", gender → Male; 'Saved.'; header initial Z; both kept after reload ‖ [phone] name → "Zara QA mvmvdlwt", gender → Male; 'Saved.'; header initial Z; both kept after reload</t>
        </is>
      </c>
      <c r="O36" s="24" t="n"/>
      <c r="P36" s="24" t="inlineStr">
        <is>
          <t>2026-10-24 20:57</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2026-10-24 18:06</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2026-10-24 18:06</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2026-10-24 18:08</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2026-10-24 20:58</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2026-10-24 18:09</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Fail</t>
        </is>
      </c>
      <c r="N46" s="24" t="inlineStr">
        <is>
          <t>Local Pass (partial) · Staging Pass · Production Fail
local: not covered: the signed-out guest half of TC-AUTH-033 (every page) is in tests/qa/guest/access.spec.ts
staging: 194 signed-in pages and account APIs not closed to a guest: all refused
production: 7 of 194 signed-in pages and account APIs not closed to a guest: | /admin/dealers → 404 | /admin/dealers/analytics → 404 | /admin/dealers/claims → 404</t>
        </is>
      </c>
      <c r="O46" s="24" t="inlineStr">
        <is>
          <t>E-12</t>
        </is>
      </c>
      <c r="P46" s="24" t="inlineStr">
        <is>
          <t>2026-10-29 14:04</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2026-10-24 18:09</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2026-10-24 18:09</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2026-10-24 18:09</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2026-10-24 18:09</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2026-10-24 18:09</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2026-10-24 18:09</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2026-10-24 18:09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2026-10-24 18:09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2026-10-24 18:09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2026-10-24 20:58</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2026-10-24 18:06</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production: not covered: 'Add to cart / subscribe prompts sign-in' is checked in TC-RBAC-001 add-to-cart below</t>
        </is>
      </c>
      <c r="O68" s="24" t="n"/>
      <c r="P68" s="24" t="inlineStr">
        <is>
          <t>2026-10-29 14:00</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Fail</t>
        </is>
      </c>
      <c r="N69" s="24" t="inlineStr">
        <is>
          <t>Local Pass (partial) · Staging Pass · Production Fail
local: not covered: the no-cookie sweep of every page and write API is tests/qa/guest/access.spec.ts; known D-01 routes answer 404/422 there
staging: 194 signed-in pages and account APIs not closed to a guest: all refused ‖ 368 session-protected write endpoints not refusing a guest: all refused
production: 7 of 194 signed-in pages and account APIs not closed to a guest: | /admin/dealers → 404 | /admin/dealers/analytics → 404 | /admin/dealers/claims → 404 ‖ 25 of 368 session-protected write endpoints not refusing a guest: | POST /api/admin/dealer-analytics → 404 NOT_FOUND | POST /api/admin/dealer-commission → 404 NOT_FOUND | POST /api/admin/dealer-disputes/[id] → 404 NOT_FOUND</t>
        </is>
      </c>
      <c r="O69" s="24" t="inlineStr">
        <is>
          <t>D-01, E-12</t>
        </is>
      </c>
      <c r="P69" s="24" t="inlineStr">
        <is>
          <t>2026-10-29 14:06</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Pass (partial) · Production Not run
local: not covered: pages only; the write APIs of each area are the next check ‖ not covered: an empty body and an id that exists nowhere; the refusal must come before validation or a lookup
staging: not covered: pages only; the write APIs of each area are the next check ‖ not covered: an empty body and an id that exists nowhere; the refusal must come before validation or a lookup</t>
        </is>
      </c>
      <c r="O70" s="24" t="inlineStr">
        <is>
          <t>D-81</t>
        </is>
      </c>
      <c r="P70" s="24" t="inlineStr">
        <is>
          <t>2026-10-24 18:00</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2026-10-24 17:48</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71 admin pages + /operator, /delivery-partner refused (/admin/users/00000000-0000-4000-8000-000000000000/privileges 307→/; /operator 307→/admin; /delivery-partner 307→/delivery-partner/apply); settings API 403 ‖ 106 admin API calls: 403×106</t>
        </is>
      </c>
      <c r="O72" s="24" t="inlineStr">
        <is>
          <t>D-81</t>
        </is>
      </c>
      <c r="P72" s="24" t="inlineStr">
        <is>
          <t>2026-10-24 17:48</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2026-10-24 17:48</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2026-10-24 17:49</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Pass · Production Not run
local: ADMIN 403, OPERATOR 403, SHOP_OWNER 403, NOT_A_ROLE 422; still CUSTOMER (["CUSTOMER"])
staging: ADMIN 403, OPERATOR 403, SHOP_OWNER 403, NOT_A_ROLE 422; still CUSTOMER (["CUSTOMER"])</t>
        </is>
      </c>
      <c r="O79" s="24" t="n"/>
      <c r="P79" s="24" t="inlineStr">
        <is>
          <t>2026-10-24 17:48</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2026-10-24 17:49</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2026-10-24 17:49</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2026-10-24 18:00</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2026-10-24 17:50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2026-10-24 17:50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wallet.topup_verified, user.profile_updated, order.status_changed, order.placed, consent.recorded, society.registered, with actor role and before/after; operator: 'operational entries' with shop.updated, no role or settings changes; customer and shop redirected</t>
        </is>
      </c>
      <c r="O88" s="24" t="n"/>
      <c r="P88" s="24" t="inlineStr">
        <is>
          <t>2026-10-24 17:50</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delivery offer reached the rider for order f82cbd1c-5874-4040-96c3-32c5a3e358df within 45 s (rider offline or busy?)</t>
        </is>
      </c>
      <c r="O90" s="24" t="n"/>
      <c r="P90" s="24" t="inlineStr">
        <is>
          <t>2026-10-24 17:54</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 Production Pass
local: expect(locator).toBeVisible() failed | Locator: getByTestId('home-shops').getByTestId('shop-card').filter({ hasText: 'QA Shop A mvmkyclr' }).first() | Expected: visible | Timeout: 15000ms
staging: PIN 411038 set from the location bar, then cleared
production: PIN 411038 set from the location bar, then cleared</t>
        </is>
      </c>
      <c r="O92" s="24" t="n"/>
      <c r="P92" s="24" t="inlineStr">
        <is>
          <t>2026-10-29 14:02</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 Production Pass
local: not covered: PINs starting with 0 (000000, 011001) are accepted — known defect D-04, asserted by the guest check in guest/storefront.spec.ts
staging: 7 digits cut to 6; refused on the field: 12345, 011001, abcdef; API 000000 → 422
production: 7 digits cut to 6; refused on the field: 12345, 011001, abcdef; API 000000 → 422</t>
        </is>
      </c>
      <c r="O93" s="24" t="inlineStr">
        <is>
          <t>D-04</t>
        </is>
      </c>
      <c r="P93" s="24" t="inlineStr">
        <is>
          <t>2026-10-29 14:02</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2026-10-24 21:56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2026-10-24 21:56</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2026-10-24 21:56</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97" s="24" t="n"/>
      <c r="P97" s="24" t="inlineStr">
        <is>
          <t>2026-10-24 20:46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 Production Pass
local: not covered: TC-LOC-007's guest half (all shops / a prompt) is guest/storefront.spec.ts
staging: PIN 411038 set from the location bar, then cleared
production: PIN 411038 set from the location bar, then cleared</t>
        </is>
      </c>
      <c r="O98" s="24" t="n"/>
      <c r="P98" s="24" t="inlineStr">
        <is>
          <t>2026-10-29 14:02</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2026-10-24 21:56</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2026-10-24 20:46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2026-10-24 20:46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2026-10-24 20:46</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2026-10-24 20:46</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2026-10-24 21:56</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2026-10-24 20:46</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2026-10-24 20:46</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2026-10-24 21:56</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2026-10-24 20:46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2026-10-24 21:56</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2026-10-24 21:56</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2026-10-24 20:46</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2026-10-24 20:47</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2026-10-24 21:56</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2026-10-24 21:56</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2026-10-24 20:46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2026-10-24 20:46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 Production Pass
local: shop A is near the customer | expect(received).toBe(expected) // Object.is equality | Expected: true | Received: false
staging: home: search box, categories, 6 shop cards
production: home: search box, categories, 6 shop cards</t>
        </is>
      </c>
      <c r="O124" s="24" t="n"/>
      <c r="P124" s="24" t="inlineStr">
        <is>
          <t>2026-10-29 14:00</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2026-10-24 21:54</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1 dairy shops</t>
        </is>
      </c>
      <c r="O126" s="24" t="inlineStr">
        <is>
          <t>D-13</t>
        </is>
      </c>
      <c r="P126" s="24" t="inlineStr">
        <is>
          <t>2026-10-24 20:45</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Pass</t>
        </is>
      </c>
      <c r="N127" s="24" t="inlineStr">
        <is>
          <t>Passed, partly covered. Local Pass (partial) · Staging Blocked · Production Blocked
local: not covered: the Kesari/Green filter is not offered on the page (removed from the cards, src/components/shop-grid.tsx); it is checked on /api/shops ‖ not covered: search by shop type and area: TC-DISC-005 filters
staging: /search?q=%3Cscript%3Ealert(1)%3C%2Fscript%3E: the host firewall answered 403 for 80 s, not the app (E-01)
production: /search?q=%3Cscript%3Ealert(1)%3C%2Fscript%3E: the host firewall answered 403 for 80 s, not the app (E-01)</t>
        </is>
      </c>
      <c r="O127" s="24" t="inlineStr">
        <is>
          <t>D-06</t>
        </is>
      </c>
      <c r="P127" s="24" t="inlineStr">
        <is>
          <t>2026-10-29 14:02</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Pass</t>
        </is>
      </c>
      <c r="N128" s="24" t="inlineStr">
        <is>
          <t>Passed, partly covered. Local Pass (partial) · Staging Pass (partial)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not covered: checks the filters load; that every listed shop matches the filter needs known shop data (signed-in tier)
production: not covered: checks the filters load; that every listed shop matches the filter needs known shop data (signed-in tier)</t>
        </is>
      </c>
      <c r="O128" s="24" t="n"/>
      <c r="P128" s="24" t="inlineStr">
        <is>
          <t>2026-10-29 14:02</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2026-10-24 21:54</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public routes only; signed-in id routes are swept in the signed-in tier ‖ blocked: /search?q=%3Cscript%3Ealert(1)%3C%2Fscript%3E: the host firewall answered 403 for 80 s, not the app (E-01)
production: not covered: public routes only; signed-in id routes are swept in the signed-in tier ‖ blocked: /search?q=%3Cscript%3Ealert(1)%3C%2Fscript%3E: the host firewall answered 403 for 80 s, not the app (E-01)</t>
        </is>
      </c>
      <c r="O130" s="24" t="inlineStr">
        <is>
          <t>D-02, D-14</t>
        </is>
      </c>
      <c r="P130" s="24" t="inlineStr">
        <is>
          <t>2026-10-29 14:02</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2026-10-24 21:54</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2026-10-24 21:54</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2026-10-24 21:54</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404 pages are branded with a way home
production: 404 pages are branded with a way home</t>
        </is>
      </c>
      <c r="O135" s="24" t="n"/>
      <c r="P135" s="24" t="inlineStr">
        <is>
          <t>2026-10-29 14:02</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Pass</t>
        </is>
      </c>
      <c r="N136" s="24" t="inlineStr">
        <is>
          <t>Passed, partly covered. Local Pass (partial) · Staging Pass (partial)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not covered: contact form submission needs sign-in (signed-in tier)
production: not covered: contact form submission needs sign-in (signed-in tier)</t>
        </is>
      </c>
      <c r="O136" s="24" t="inlineStr">
        <is>
          <t>D-15</t>
        </is>
      </c>
      <c r="P136" s="24" t="inlineStr">
        <is>
          <t>2026-10-29 14:02</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2026-10-24 21:55</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 Production Pass
local: not covered: the category page lists products of every shop, not only the ones near the customer (src/app/category/[type]/page.tsx)
staging: categories, DAIRY, BAKERY, /dairy and /bakery redirects load
production: categories, DAIRY, BAKERY, /dairy and /bakery redirects load</t>
        </is>
      </c>
      <c r="O140" s="24" t="n"/>
      <c r="P140" s="24" t="inlineStr">
        <is>
          <t>2026-10-29 14:02</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Agtci: no broken images
production: Agtci: no broken images</t>
        </is>
      </c>
      <c r="O141" s="24" t="inlineStr">
        <is>
          <t>D-16</t>
        </is>
      </c>
      <c r="P141" s="24" t="inlineStr">
        <is>
          <t>2026-10-29 14:03</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 Production Pass
local: in-shop-only at B leaves ghee with one online offer | expect(locator).not.toContainText(expected) failed | Locator: getByTestId('home-price-comparison') | Expected substring: not "QA Ghee 1 L mvmkyclr"
staging: no location: 'Set your location' prompt shown
production: no location: 'Set your location' prompt shown</t>
        </is>
      </c>
      <c r="O145" s="24" t="n"/>
      <c r="P145" s="24" t="inlineStr">
        <is>
          <t>2026-10-29 14:03</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2026-10-24 21:53</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2026-10-24 21:53</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2026-10-24 20:42</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2026-10-24 20:42</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2026-10-24 21:53</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2026-10-24 20:42</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2026-10-24 21:53</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"packaged" listing of the test data</t>
        </is>
      </c>
      <c r="O155" s="24" t="n"/>
      <c r="P155" s="24" t="inlineStr">
        <is>
          <t>2026-10-24 20:42</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2026-10-24 21:53</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2026-10-24 20:42</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Blocked · Production Not run
local: not covered: the top-up prompt on the page is a UI check in cart-ui.spec.ts
staging: the wallet (468000 paise) needs 79 units to exceed — too many for one cart line ‖ needs the "premium" listing of the test data</t>
        </is>
      </c>
      <c r="O158" s="24" t="n"/>
      <c r="P158" s="24" t="inlineStr">
        <is>
          <t>2026-10-24 21:53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2026-10-24 21:53</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10</t>
        </is>
      </c>
      <c r="O161" s="24" t="n"/>
      <c r="P161" s="24" t="inlineStr">
        <is>
          <t>2026-10-24 20:44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2026-10-24 20:42</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2026-10-24 20:42</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2026-10-24 20:44</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expect(locator).toBeVisible() failed | Locator: getByTestId('order-card').filter({ hasText: 'DB-20261024-1FQCW0' }).first() | Expected: visible | Timeout: 30000ms ‖ [phone] expect(locator).toContainText(expected) failed | Locator: getByTestId('order-card').filter({ hasText: 'DB-20261024-1FQCW0' }).first() | Expected pattern: /missing/i | Received string:  "refundedDB-20261024-1FQCW0₹50E2E Four Features Bakery24 Oct 2026, 6:56 pmBurger Bun · 1 piece₹30Details, refunds &amp; helpGet help with this orderReport a problem"</t>
        </is>
      </c>
      <c r="O165" s="24" t="n"/>
      <c r="P165" s="24" t="inlineStr">
        <is>
          <t>2026-10-24 22:33</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2026-10-24 20:52</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₹4,700, today's deduction ₹990, 15-day forecast ₹0, 30 transactions; low-balance warning shown when the threshold is above the balance ‖ [phone] balance ₹3,310, today's deduction ₹8380, 15-day forecast ₹0, 30 transactions; low-balance warning shown when the threshold is above the balance</t>
        </is>
      </c>
      <c r="O178" s="24" t="inlineStr">
        <is>
          <t>D-43</t>
        </is>
      </c>
      <c r="P178" s="24" t="inlineStr">
        <is>
          <t>2026-10-24 21:09</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session_MA6q…); paying it needs the "Sandbox payment" workflow (this browser cannot reach Cashfree), then re-check the balance (+₹5,000) and the transaction row ‖ the Cashfree checkout opened for 500000 paise (session session_8e77…); paying it needs the "Sandbox payment" workflow (this browser cannot reach Cashfree), then re-check the balance (+₹5,000) and the transaction row</t>
        </is>
      </c>
      <c r="O179" s="24" t="inlineStr">
        <is>
          <t>D-32</t>
        </is>
      </c>
      <c r="P179" s="24" t="inlineStr">
        <is>
          <t>2026-10-24 21:09</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2026-10-24 18:50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session_qeo0… paid through the "Sandbox payment" workflow, then two /api/wallet/verify calls</t>
        </is>
      </c>
      <c r="O181" s="24" t="inlineStr">
        <is>
          <t>D-40</t>
        </is>
      </c>
      <c r="P181" s="24" t="inlineStr">
        <is>
          <t>2026-10-24 18:51</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2026-10-29 14:06</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2026-10-24 18:51</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2026-10-24 22:29</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2026-10-24 18:55</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18:52</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18:53</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production: not covered: checked signed out; the signed-in half is in tests/qa/signed-in</t>
        </is>
      </c>
      <c r="O193" s="24" t="n"/>
      <c r="P193" s="24" t="inlineStr">
        <is>
          <t>2026-10-29 14:06</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2026-10-24 22:30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DB-20261024-J3984S CONFIRMED; Netbanking: DB-20261024-T4MH7B CONFIRMED</t>
        </is>
      </c>
      <c r="O195" s="24" t="n"/>
      <c r="P195" s="24" t="inlineStr">
        <is>
          <t>2026-10-24 18:40</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18:43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2026-10-24 18:44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2026-10-24 18:44</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2026-10-29 14:06</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2026-10-24 18:46</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2026-10-24 18:46</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2026-10-24 18:46</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2026-10-24 18:46</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18:48</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2026-10-24 18:49</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expect(locator).not.toBeChecked() failed | Locator:  getByTestId('cod-toggle') | Expected: not checked | Received: checked</t>
        </is>
      </c>
      <c r="O213" s="24" t="n"/>
      <c r="P213" s="24" t="inlineStr">
        <is>
          <t>2026-10-24 22:26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214" s="24" t="n"/>
      <c r="P214" s="24" t="inlineStr">
        <is>
          <t>2026-10-24 22:27</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Pass (partial) · Production Not run
local: blocked: "QA Butter 100 g mvmkyclr" cannot be added to the cart — HTTP 409: This product is currently unavailable online.
staging: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18:23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2026-10-24 18:18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no delivery offer reached the rider for order 3a906748-c483-4e89-8247-2c6e959fd620 within 45 s (rider offline or busy?)</t>
        </is>
      </c>
      <c r="O218" s="24" t="n"/>
      <c r="P218" s="24" t="inlineStr">
        <is>
          <t>2026-10-24 18:26</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no delivery offer reached the rider for order 556cc1c9-a7fc-423b-825d-d2a3e3bbf29a within 45 s (rider offline or busy?)</t>
        </is>
      </c>
      <c r="O219" s="24" t="n"/>
      <c r="P219" s="24" t="inlineStr">
        <is>
          <t>2026-10-24 18:29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2026-10-24 18:29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2026-10-24 18:29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Blocked · Staging Pass · Production Not run
local: "QA Butter 100 g mvmkyclr" cannot be added to the cart — HTTP 409: This product is currently unavailable online.
staging: replay of qa-mvmq2pby-c3dbbc90 → deduplicated, same order DB-20261024-H8XVA2; one order stored</t>
        </is>
      </c>
      <c r="O224" s="24" t="n"/>
      <c r="P224" s="24" t="inlineStr">
        <is>
          <t>2026-10-24 18:20</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delivery offer reached the rider for order a3bd0d5f-8965-42d5-8a15-09e6dcbb9ec7 within 30 s (rider offline or busy?)</t>
        </is>
      </c>
      <c r="O225" s="24" t="n"/>
      <c r="P225" s="24" t="inlineStr">
        <is>
          <t>2026-10-24 21:14</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2026-10-24 19:06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2026-10-24 19:06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29" s="24" t="n"/>
      <c r="P229" s="24" t="inlineStr">
        <is>
          <t>2026-10-24 19:08</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21:16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'DB-20261024-5J36V8' }).first().getByRole('button', { name: 'Cancel order' }) | Expected: 0 ‖ expect(received).toBe(expected) // Object.is equality | Expected: "READY" | Received: "missing" ‖ shop accepts — HTTP 409: Cannot change status from Refunded to Accepted by shop. | expect(received).toContain(expected) // indexOf | Expected value: 409 | Received array: [200]</t>
        </is>
      </c>
      <c r="O231" s="24" t="n"/>
      <c r="P231" s="24" t="inlineStr">
        <is>
          <t>2026-10-24 22:36</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delivery offer reached the rider for order 6e8d8c38-8ab5-4080-ad89-35fb2557d02a within 30 s (rider offline or busy?) ‖ no delivery offer reached the rider for order f659ef23-2c28-4f3c-8e14-b524a4286bb2 within 30 s (rider offline or busy?)</t>
        </is>
      </c>
      <c r="O232" s="24" t="inlineStr">
        <is>
          <t>D-46</t>
        </is>
      </c>
      <c r="P232" s="24" t="inlineStr">
        <is>
          <t>2026-10-24 21:23</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delivery offer reached the rider for order 16c46c17-d8b8-4cf8-8526-3fc6b17d7811 within 30 s (rider offline or busy?) ‖ needs the order delivered by the TC-ORD-001 check in this run</t>
        </is>
      </c>
      <c r="O233" s="24" t="n"/>
      <c r="P233" s="24" t="inlineStr">
        <is>
          <t>2026-10-24 19:08</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Fail</t>
        </is>
      </c>
      <c r="N234" s="24" t="inlineStr">
        <is>
          <t>Local Blocked · Staging Fail · Production Not run
local: "QA Butter 100 g mvmkyclr" cannot be added to the cart — HTTP 409: This product is currently unavailable online.
staging: checkout — HTTP 500: Something went wrong. Please try again. | expect(received).toContain(expected) // indexOf | Expected value: 500 | Received array: [201]</t>
        </is>
      </c>
      <c r="O234" s="24" t="n"/>
      <c r="P234" s="24" t="inlineStr">
        <is>
          <t>2026-10-24 22:39</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2026-10-24 19:26</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2026-10-24 19:29</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452000 (one refund)</t>
        </is>
      </c>
      <c r="O237" s="24" t="n"/>
      <c r="P237" s="24" t="inlineStr">
        <is>
          <t>2026-10-24 19:30</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DB-20261024-BQTNLF on /shop/orders?status=new | expect(locator).toBeVisible() failed | Locator: getByTestId('shop-order').filter({ hasText: 'DB-20261024-BQTNLF' }).first() | Expected: visible ‖ [phone] order DB-20261024-D7D6KX on /shop/orders?status=new | expect(locator).toBeVisible() failed | Locator: getByTestId('shop-order').filter({ hasText: 'DB-20261024-D7D6KX' }).first() | Expected: visible</t>
        </is>
      </c>
      <c r="O244" s="24" t="n"/>
      <c r="P244" s="24" t="inlineStr">
        <is>
          <t>2026-10-24 21:34</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picking | expect(received).toBe(expected) // Object.is equality | Expected: "PREPARING" | Received: "missing" ‖ order DB-20261024-AP37R8 on /shop/orders?status=new | expect(locator).toBeVisible() failed | Locator: getByTestId('shop-order').filter({ hasText: 'DB-20261024-AP37R8' }).first() | Expected: visible ‖ [phone] order DB-20261024-HAE422 on /shop/orders?status=new | expect(locator).toBeVisible() failed | Locator: getByTestId('shop-order').filter({ hasText: 'DB-20261024-HAE422' }).first() | Expected: visible</t>
        </is>
      </c>
      <c r="O245" s="24" t="n"/>
      <c r="P245" s="24" t="inlineStr">
        <is>
          <t>2026-10-24 22:33</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DB-20261024-5FJ79E on /shop/orders?status=new | expect(locator).toBeVisible() failed | Locator: getByTestId('shop-order').filter({ hasText: 'DB-20261024-5FJ79E' }).first() | Expected: visible ‖ [phone] order DB-20261024-TDXDBR on /shop/orders?status=new | expect(locator).toBeVisible() failed | Locator: getByTestId('shop-order').filter({ hasText: 'DB-20261024-TDXDBR' }).first() | Expected: visible</t>
        </is>
      </c>
      <c r="O246" s="24" t="n"/>
      <c r="P246" s="24" t="inlineStr">
        <is>
          <t>2026-10-24 21:37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timed out after 300 s ‖ order DB-20261024-KJBJ1X on /shop/orders?status=new | expect(locator).toBeVisible() failed | Locator: getByTestId('shop-order').filter({ hasText: 'DB-20261024-KJBJ1X' }).first() | Expected: visible ‖ [phone] order DB-20261024-5NEKTF on /shop/orders?status=new | expect(locator).toBeVisible() failed | Locator: getByTestId('shop-order').filter({ hasText: 'DB-20261024-5NEKTF' }).first() | Expected: visible</t>
        </is>
      </c>
      <c r="O247" s="24" t="n"/>
      <c r="P247" s="24" t="inlineStr">
        <is>
          <t>2026-10-24 21:39</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2026-10-24 21:39</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Fail</t>
        </is>
      </c>
      <c r="N249" s="24" t="inlineStr">
        <is>
          <t>Local Pass (partial) · Staging Fail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picking | expect(received).toBe(expected) // Object.is equality | Expected: "PREPARING" | Received: "missing"</t>
        </is>
      </c>
      <c r="O249" s="24" t="n"/>
      <c r="P249" s="24" t="inlineStr">
        <is>
          <t>2026-10-24 22:33</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2026-10-24 21:39</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2026-10-24 21:39</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2026-10-24 19:55</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2026-10-24 21:39</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2026-10-24 19:55</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2026-10-24 21:39</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2026-10-24 21:39</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2026-10-24 19:55</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delivery offer reached the rider for order 7416631a-ca0e-49b4-b0c2-b67f139b1939 within 30 s (rider offline or busy?) ‖ no delivery offer reached the rider for order 706bc2e1-bdb8-4bda-b0fa-f54a9712a43f within 30 s (rider offline or busy?)</t>
        </is>
      </c>
      <c r="O258" s="24" t="n"/>
      <c r="P258" s="24" t="inlineStr">
        <is>
          <t>2026-10-24 21:42</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Fail</t>
        </is>
      </c>
      <c r="N260" s="24" t="inlineStr">
        <is>
          <t>Local Blocked · Staging Fail · Production Not run
local: "QA Butter 100 g mvmkyclr" cannot be added to the cart — HTTP 409: This product is currently unavailable online.
staging: timed out after 360 s</t>
        </is>
      </c>
      <c r="O260" s="24" t="n"/>
      <c r="P260" s="24" t="inlineStr">
        <is>
          <t>2026-10-24 20:04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2026-10-24 19:48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inlineStr">
        <is>
          <t>E-12</t>
        </is>
      </c>
      <c r="P283" s="24" t="inlineStr">
        <is>
          <t>2026-10-29 14:06</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2026-10-24 21:23</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2026-10-24 21:24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2026-10-24 21:25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2026-10-24 21:26</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2026-10-24 21:26</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delivery offer reached the rider for order 25036ead-a7de-46df-9702-ad1aac839968 within 30 s (rider offline or busy?) ‖ needs the delivery from TC-DEL-001</t>
        </is>
      </c>
      <c r="O294" s="24" t="n"/>
      <c r="P294" s="24" t="inlineStr">
        <is>
          <t>2026-10-24 19:36</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5" s="24" t="n"/>
      <c r="P295" s="24" t="inlineStr">
        <is>
          <t>2026-10-24 19:39</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6" s="24" t="n"/>
      <c r="P296" s="24" t="inlineStr">
        <is>
          <t>2026-10-24 19:39</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2026-10-24 21:23</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98" s="24" t="n"/>
      <c r="P298" s="24" t="inlineStr">
        <is>
          <t>2026-10-24 19:08</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2026-10-24 21:23</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production: not covered: unknown id only; the customer / other-customer halves run in the signed-in tier</t>
        </is>
      </c>
      <c r="O305" s="24" t="n"/>
      <c r="P305" s="24" t="inlineStr">
        <is>
          <t>2026-10-29 14:06</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2026-10-24 21:30</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2026-10-24 21:32</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production: not covered: guest half; owner / other-shop / operator halves run in the signed-in tier</t>
        </is>
      </c>
      <c r="O311" s="24" t="n"/>
      <c r="P311" s="24" t="inlineStr">
        <is>
          <t>2026-10-29 14:06</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2026-10-24 20:59</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MVMPHU8Y" + 411038 → 409 (API); the same from the page → "already registered — ask to join it instead"</t>
        </is>
      </c>
      <c r="O320" s="24" t="n"/>
      <c r="P320" s="24" t="inlineStr">
        <is>
          <t>2026-10-24 18:09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2026-10-24 18:10</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2026-10-24 18:10</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2026-10-24 20:59</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2026-10-24 18:10</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2026-10-24 21:08</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2026-10-24 18:49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2026-10-24 18:49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2026-10-24 18:49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2026-10-24 21:08</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2026-10-24 18:49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2026-10-24 18:49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2026-10-24 18:49</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2026-10-24 21:08</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2026-10-24 18:49</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2026-10-24 21:42</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2026-10-24 21:42</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2026-10-24 20:09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2026-10-24 21:42</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2026-10-24 21:42</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2026-10-24 21:42</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2026-10-24 21:42</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2026-10-24 21:42</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2026-10-24 21:42</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2026-10-24 20:09</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2026-10-24 21:42</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2026-10-24 21:42</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production: not covered: guest half; owner / other-shop / operator halves run in the signed-in tier</t>
        </is>
      </c>
      <c r="O369" s="24" t="n"/>
      <c r="P369" s="24" t="inlineStr">
        <is>
          <t>2026-10-29 14:06</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2026-10-24 20:09</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2026-10-24 20:09</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2026-10-24 20:09</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2026-10-24 21:42</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2026-10-24 21:42</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7" s="24" t="n"/>
      <c r="P377" s="24" t="inlineStr">
        <is>
          <t>2026-10-24 21:45</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8" s="24" t="n"/>
      <c r="P378" s="24" t="inlineStr">
        <is>
          <t>2026-10-24 21:45</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379" s="24" t="n"/>
      <c r="P379" s="24" t="inlineStr">
        <is>
          <t>2026-10-24 20:16</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2026-10-29 14:03</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2026-10-24 20:16</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Fail</t>
        </is>
      </c>
      <c r="N382"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382" s="24" t="n"/>
      <c r="P382" s="24" t="inlineStr">
        <is>
          <t>2026-10-24 21:47</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delivery offer reached the rider for order a44abda7-6486-4e23-b801-53076d95c9f5 within 30 s (rider offline or busy?)</t>
        </is>
      </c>
      <c r="O383" s="24" t="n"/>
      <c r="P383" s="24" t="inlineStr">
        <is>
          <t>2026-10-24 20:25</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delivery offer reached the rider for order 3048e58c-118c-4426-9750-4cd83f5a6513 within 30 s (rider offline or busy?) ‖ no delivery offer reached the rider for order 6abc78da-506a-405d-9145-bec11ad825c1 within 30 s (rider offline or busy?)</t>
        </is>
      </c>
      <c r="O384" s="24" t="n"/>
      <c r="P384" s="24" t="inlineStr">
        <is>
          <t>2026-10-24 21:52</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5" s="24" t="n"/>
      <c r="P385" s="24" t="inlineStr">
        <is>
          <t>2026-10-24 20:29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6" s="24" t="n"/>
      <c r="P386" s="24" t="inlineStr">
        <is>
          <t>2026-10-24 20:29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production: not covered: contact form submission needs sign-in (signed-in tier)</t>
        </is>
      </c>
      <c r="O387" s="24" t="n"/>
      <c r="P387" s="24" t="inlineStr">
        <is>
          <t>2026-10-29 14:02</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88" s="24" t="n"/>
      <c r="P388" s="24" t="inlineStr">
        <is>
          <t>2026-10-24 20:32</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90" s="24" t="n"/>
      <c r="P390" s="24" t="inlineStr">
        <is>
          <t>2026-10-24 20:32</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2026-10-24 20:36</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2026-10-29 14:06</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2026-10-24 20:35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2026-10-24 20:35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2026-10-24 20:35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2026-10-24 20:35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2026-10-24 20:36</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production: not covered: guest half only; the other-role half (customer, other shop) runs in the signed-in tier</t>
        </is>
      </c>
      <c r="O513" s="24" t="n"/>
      <c r="P513" s="24" t="inlineStr">
        <is>
          <t>2026-10-29 14:06</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delivery offer reached the rider for order d858d0ee-c17d-4ef3-9f20-439837e49b4e within 45 s (rider offline or busy?)</t>
        </is>
      </c>
      <c r="O514" s="24" t="n"/>
      <c r="P514" s="24" t="inlineStr">
        <is>
          <t>2026-10-24 18:32</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2026-10-24 18:32</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136 → open one → 135 → Mark all read → 0 ‖ [phone] unread 211 → open one → 210 → Mark all read → 0</t>
        </is>
      </c>
      <c r="O517" s="24" t="n"/>
      <c r="P517" s="24" t="inlineStr">
        <is>
          <t>2026-10-24 21:05</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21:06</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2026-10-24 18:33</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25" s="24" t="inlineStr">
        <is>
          <t>D-39</t>
        </is>
      </c>
      <c r="P525" s="24" t="inlineStr">
        <is>
          <t>2026-10-29 14:06</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2026-10-24 18:33</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2026-10-24 18:33</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2026-10-24 18:34</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2026-10-24 18:34</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2026-10-24 18:34</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2026-10-24 18:34</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18:10</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Pass · Production Not run
local: 16 prepare / approve / pay / rate / adjustment calls by ops and oplim: all 403; exceptions queue open without batches
staging: 16 prepare / approve / pay / rate / adjustment calls by ops and oplim: all 403; exceptions queue open without batches</t>
        </is>
      </c>
      <c r="O542" s="24" t="n"/>
      <c r="P542" s="24" t="inlineStr">
        <is>
          <t>2026-10-24 18:10</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[phone] "Not yet settled" (admin payable 51000 + pending adjustments 6000) | expect(received).toBe(expected) // Object.is equality | Expected: 57000 | Received: 0</t>
        </is>
      </c>
      <c r="O543" s="24" t="n"/>
      <c r="P543" s="24" t="inlineStr">
        <is>
          <t>2026-10-24 22:23</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Pass · Production Not run
local: 50 earnings in the API, 42 rows on the page with status; payouts card shown; none of rider 2's ‖ [phone] 1 earnings in the API, 1 rows on the page with status; payouts card shown; none of rider 2's
staging: 3 earnings in the API, 3 rows on the page with status; payouts card shown; none of rider 2's ‖ [phone] 3 earnings in the API, 3 rows on the page with status; payouts card shown; none of rider 2's</t>
        </is>
      </c>
      <c r="O551" s="24" t="n"/>
      <c r="P551" s="24" t="inlineStr">
        <is>
          <t>2026-10-24 20:59</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2026-10-29 14:06</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production: not covered: guest half only; the other-role half (customer, other shop) runs in the signed-in tier</t>
        </is>
      </c>
      <c r="O564" s="24" t="n"/>
      <c r="P564" s="24" t="inlineStr">
        <is>
          <t>2026-10-29 14:06</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2026-10-24 17:14</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delivery offer reached the rider for order f1c51427-ffd4-437a-a1f1-edd606eaf0bf within 45 s (rider offline or busy?)</t>
        </is>
      </c>
      <c r="O567" s="24" t="n"/>
      <c r="P567" s="24" t="inlineStr">
        <is>
          <t>2026-10-24 17:19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2026-10-24 17:19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2026-10-24 17:19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2026-10-24 17:49</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2026-10-24 17:20</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2026-10-24 17:20</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8 Missing 4 Review required 14; maps: Maps &amp; location usage This shows how many server-side Geocoding calls this app has made — it is a count of requests, not; operator on maps 307→/admin</t>
        </is>
      </c>
      <c r="O585" s="24" t="n"/>
      <c r="P585" s="24" t="inlineStr">
        <is>
          <t>2026-10-24 17:20</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Pass · Production Not run
local: OPERATOR /operator → /admin; reachable: onboarding, product uploads, payments, exceptions; OPERATOR_LIMITED /operator: onboard, shops, documents, payments open
staging: OPERATOR /operator → /admin; reachable: onboarding, product uploads, payments, exceptions; OPERATOR_LIMITED /operator: onboard, shops, documents, payments open</t>
        </is>
      </c>
      <c r="O586" s="24" t="n"/>
      <c r="P586" s="24" t="inlineStr">
        <is>
          <t>2026-10-24 17:20</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2026-10-24 20:58</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2026-10-29 13:59</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2026-10-24 20:57</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Blocked</t>
        </is>
      </c>
      <c r="N590" s="24" t="inlineStr">
        <is>
          <t>Local Blocked · Staging Blocked · Production Not run
local: "QA Butter 100 g mvmkyclr" cannot be added to the cart — HTTP 409: This product is currently unavailable online.
staging: the customer account has not agreed to offers</t>
        </is>
      </c>
      <c r="O590" s="24" t="n"/>
      <c r="P590" s="24" t="inlineStr">
        <is>
          <t>2026-10-24 18:00</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2026-10-24 18:00</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2026-10-24 18:02</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99" s="24" t="n"/>
      <c r="P599" s="24" t="inlineStr">
        <is>
          <t>2026-10-29 14:06</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2026-10-29 14:06</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5" s="24" t="n"/>
      <c r="P605" s="24" t="inlineStr">
        <is>
          <t>2026-10-29 14:06</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2026-10-24 17:21</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Fail</t>
        </is>
      </c>
      <c r="N617" s="24" t="inlineStr">
        <is>
          <t>Local Pass (partial) · Staging Pass (partial) · Production Fail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production: 25 of 368 session-protected write endpoints not refusing a guest: | POST /api/admin/dealer-analytics → 404 NOT_FOUND | POST /api/admin/dealer-commission → 404 NOT_FOUND | POST /api/admin/dealer-disputes/[id] → 404 NOT_FOUND</t>
        </is>
      </c>
      <c r="O617" s="24" t="inlineStr">
        <is>
          <t>D-01, E-12</t>
        </is>
      </c>
      <c r="P617" s="24" t="inlineStr">
        <is>
          <t>2026-10-29 14:06</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production: not covered: public routes only; signed-in id routes are swept in the signed-in tier</t>
        </is>
      </c>
      <c r="O618" s="24" t="inlineStr">
        <is>
          <t>D-02</t>
        </is>
      </c>
      <c r="P618" s="24" t="inlineStr">
        <is>
          <t>2026-10-29 14:02</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2026-10-24 17:38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Pass (partial) · Production Not run
local: add to cart — HTTP 409: This product is currently unavailable online. | expect(received).toContain(expected) // indexOf | Expected value: 409 | Received array: [200, 201]
staging: not covered: POST /api/shops with status/classification/ownerId registers a shop (role change): tests/qa/local/access-roles.spec.ts</t>
        </is>
      </c>
      <c r="O620" s="24" t="n"/>
      <c r="P620" s="24" t="inlineStr">
        <is>
          <t>2026-10-24 17:58</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Pass</t>
        </is>
      </c>
      <c r="N621" s="24" t="inlineStr">
        <is>
          <t>Passed, partly covered. Local Pass (partial) · Staging Pass (partial) · Production Pass (partial)
local: not covered: no 500 was found to read; signed-in responses (PAN, bank, codes) are checked in the signed-in tier ‖ blocked: "QA Butter 100 g mvmkyclr" cannot be added to the cart — HTTP 409: This product is currently unavailable online.
staging: not covered: no 500 was found to read; signed-in responses (PAN, bank, codes) are checked in the signed-in tier
production: not covered: no 500 was found to read; signed-in responses (PAN, bank, codes) are checked in the signed-in tier</t>
        </is>
      </c>
      <c r="O621" s="24" t="inlineStr">
        <is>
          <t>D-03</t>
        </is>
      </c>
      <c r="P621" s="24" t="inlineStr">
        <is>
          <t>2026-10-29 14:00</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production: not covered: reads the Auth.js CSRF cookie, set with the session cookie's options; the session cookie itself is read in the signed-in tier</t>
        </is>
      </c>
      <c r="O622" s="24" t="n"/>
      <c r="P622" s="24" t="inlineStr">
        <is>
          <t>2026-10-29 14:00</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 → 301 https://test.gokesari.com/
production: http://gokesari.com → 301 https://gokesari.com/</t>
        </is>
      </c>
      <c r="O623" s="24" t="n"/>
      <c r="P623" s="24" t="inlineStr">
        <is>
          <t>2026-10-29 14:00</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2026-10-29 14:00</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production: 404 pages are branded with a way home</t>
        </is>
      </c>
      <c r="O625" s="24" t="n"/>
      <c r="P625" s="24" t="inlineStr">
        <is>
          <t>2026-10-29 14:02</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production: not covered: no 500 was found to read; signed-in responses (PAN, bank, codes) are checked in the signed-in tier</t>
        </is>
      </c>
      <c r="O626" s="24" t="inlineStr">
        <is>
          <t>D-03</t>
        </is>
      </c>
      <c r="P626" s="24" t="inlineStr">
        <is>
          <t>2026-10-29 14:00</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Pass</t>
        </is>
      </c>
      <c r="N627" s="24" t="inlineStr">
        <is>
          <t>Passed, partly covered. Local Pass (partial) · Staging Pass (partial)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not covered: guest header; the per-role headers run in the signed-in tier
production: not covered: guest header; the per-role headers run in the signed-in tier</t>
        </is>
      </c>
      <c r="O627" s="24" t="inlineStr">
        <is>
          <t>D-104</t>
        </is>
      </c>
      <c r="P627" s="24" t="inlineStr">
        <is>
          <t>2026-10-29 14:03</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guest pages; signed-in screens (cart, checkout, orders) run in the signed-in tier
production: not covered: guest pages; signed-in screens (cart, checkout, orders) run in the signed-in tier</t>
        </is>
      </c>
      <c r="O628" s="24" t="n"/>
      <c r="P628" s="24" t="inlineStr">
        <is>
          <t>2026-10-29 14:03</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2026-10-29 14:03</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630" s="24" t="n"/>
      <c r="P630" s="24" t="inlineStr">
        <is>
          <t>2026-10-29 14:03</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2026-10-24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2026-10-29 14:00</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2026-10-29 14:00</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2026-10-29 13:59</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18:04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2026-10-24 18:05</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2026-10-24 18:06</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2026-10-24 18:07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2026-10-24 20:46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2026-10-24 20:46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2026-10-24 20:46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2026-10-24 20:46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2026-10-24 20:46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2026-10-24 20:46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2026-10-24 20:46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2026-10-24 20:46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2026-10-24 20:46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2026-10-24 20:46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 Production Pass
local: not covered: PINs starting with 0 (000000, 011001) are accepted — known defect D-04, asserted by the guest check in guest/storefront.spec.ts
staging: PIN 411038 set from the location bar, then cleared ‖ 7 digits cut to 6; refused on the field: 12345, 011001, abcdef; API 000000 → 422
production: PIN 411038 set from the location bar, then cleared ‖ 7 digits cut to 6; refused on the field: 12345, 011001, abcdef; API 000000 → 422</t>
        </is>
      </c>
      <c r="O652" s="24" t="inlineStr">
        <is>
          <t>D-04</t>
        </is>
      </c>
      <c r="P652" s="24" t="inlineStr">
        <is>
          <t>2026-10-29 14:02</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653" s="24" t="n"/>
      <c r="P653" s="24" t="inlineStr">
        <is>
          <t>2026-10-24 20:46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Blocked · Production Blocked
local: symbols act as LIKE wildcards and match every product/shop: "%" → 6 results; "_" → 0 results (no-results message); "%%_" → 0 results (no-results message) | expect(received).toBe(expected) // Object.is equality | Expected: 0 | Received: 6
staging: /search?q=%3Cscript%3Ealert(1)%3C%2Fscript%3E: the host firewall answered 403 for 80 s, not the app (E-01)
production: /search?q=%3Cscript%3Ealert(1)%3C%2Fscript%3E: the host firewall answered 403 for 80 s, not the app (E-01)</t>
        </is>
      </c>
      <c r="O654" s="24" t="inlineStr">
        <is>
          <t>D-14</t>
        </is>
      </c>
      <c r="P654" s="24" t="inlineStr">
        <is>
          <t>2026-10-29 14:02</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2026-10-24 20:42</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2026-10-24 20:42</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2026-10-24 20:46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2026-10-24 20:42</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2026-10-24 20:42</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2026-10-24 20:44</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2026-10-24 20:44</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18:50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2026-10-24 18:52</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18:52</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2026-10-24 20:37</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2026-10-24 20:37</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2026-10-24 20:38</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2026-10-24 20:38</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2026-10-24 20:39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2026-10-24 20:39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2026-10-24 20:40</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20:40</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2026-10-24 20:42</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Fail</t>
        </is>
      </c>
      <c r="N714" s="24" t="inlineStr">
        <is>
          <t>Local Blocked · Staging Fail · Production Not run
local: "QA Butter 100 g mvmkyclr" cannot be added to the cart — HTTP 409: This product is currently unavailable online.
staging: timed out after 300 s</t>
        </is>
      </c>
      <c r="O714" s="24" t="n"/>
      <c r="P714" s="24" t="inlineStr">
        <is>
          <t>2026-10-24 20:09</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2026-10-24 20:09</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2026-10-24 19:55</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2026-10-24 21:25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18" s="24" t="n"/>
      <c r="P718" s="24" t="inlineStr">
        <is>
          <t>2026-10-24 19:39</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delivery offer reached the rider for order 3f65e139-33c0-453a-b982-f64ec2da9c63 within 30 s (rider offline or busy?)</t>
        </is>
      </c>
      <c r="O719" s="24" t="inlineStr">
        <is>
          <t>D-54</t>
        </is>
      </c>
      <c r="P719" s="24" t="inlineStr">
        <is>
          <t>2026-10-24 19:42</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20" s="24" t="n"/>
      <c r="P720" s="24" t="inlineStr">
        <is>
          <t>2026-10-24 19:39</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no delivery offer reached the rider for order 8106bfaa-79e4-484d-8230-346b30de0a33 within 30 s (rider offline or busy?) ‖ no delivery offer reached the rider for order c74f9b1e-a0df-425a-b672-e2ef3b81a056 within 30 s (rider offline or busy?)</t>
        </is>
      </c>
      <c r="O721" s="24" t="n"/>
      <c r="P721" s="24" t="inlineStr">
        <is>
          <t>2026-10-24 21:29</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2026-10-24 20:09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2026-10-24 21:42</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2026-10-24 21:42</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2026-10-24 21:42</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2026-10-24 20:09</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delivery offer reached the rider for order 3e976eab-ac75-4caf-a5f3-ba86b1f48988 within 30 s (rider offline or busy?) ‖ needs the "premium" listing in this site's test data</t>
        </is>
      </c>
      <c r="O731" s="24" t="inlineStr">
        <is>
          <t>D-56</t>
        </is>
      </c>
      <c r="P731" s="24" t="inlineStr">
        <is>
          <t>2026-10-24 20:11</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732" s="24" t="n"/>
      <c r="P732" s="24" t="inlineStr">
        <is>
          <t>2026-10-24 20:16</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Fail</t>
        </is>
      </c>
      <c r="N734"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734" s="24" t="n"/>
      <c r="P734" s="24" t="inlineStr">
        <is>
          <t>2026-10-24 21:50</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2026-10-24 20:30</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2026-10-24 18:10</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2026-10-24 18:10</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2026-10-24 18:49</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2026-10-24 18:49</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2026-10-24 18:49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18:10</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 D-105</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18:01</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mvmys731', { exact: true }) | Expected: visible | Timeout: 30000ms</t>
        </is>
      </c>
      <c r="O755" s="24" t="n"/>
      <c r="P755" s="24" t="inlineStr">
        <is>
          <t>2026-10-24 22:23</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2026-10-24 18:08</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2026-10-24 20:56</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2026-10-24 20:56</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2026-10-24 17:39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2026-10-24 17:39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2026-10-24 20:55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22:25</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checkout — HTTP 500: Something went wrong. Please try again. | expect(received).toContain(expected) // indexOf | Expected value: 500 | Received array: [201] ‖ [phone] expect(locator).toBeVisible() failed | Locator: getByTestId('shop-order').filter({ hasText: 'DB-20261024-5KFC1K' }).first() | Expected: visible | Timeout: 30000ms</t>
        </is>
      </c>
      <c r="O772" s="24" t="inlineStr">
        <is>
          <t>D-92</t>
        </is>
      </c>
      <c r="P772" s="24" t="inlineStr">
        <is>
          <t>2026-10-24 22:24</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2026-10-24 20:59</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791" s="24" t="inlineStr">
        <is>
          <t>D-90</t>
        </is>
      </c>
      <c r="P791" s="24" t="inlineStr">
        <is>
          <t>2026-10-29 14:06</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863 IDs, all declared in 78 spec files
production: 863 IDs, all declared in 78 spec files</t>
        </is>
      </c>
      <c r="O793" s="24" t="n"/>
      <c r="P793" s="24" t="inlineStr">
        <is>
          <t>2026-10-29 13:59</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2026-10-29 13:59</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28 rows, all complete (25 case IDs)
production: 28 rows, all complete (25 case IDs)</t>
        </is>
      </c>
      <c r="O795" s="24" t="n"/>
      <c r="P795" s="24" t="inlineStr">
        <is>
          <t>2026-10-29 13:59</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2026-10-29 13:59</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2026-10-29 13:59</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2026-10-29 13:59</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2026-10-29 13:59</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t>
        </is>
      </c>
      <c r="O800" s="24" t="n"/>
      <c r="P800" s="24" t="inlineStr">
        <is>
          <t>2026-10-29 14:06</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2026-10-29 13:59</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mvmudh9v Weekly dairy" created from the form → /lists/59f374f5…, empty ("Browse shops"), SHOPPING/WEEKLY/remind on, next due +7 d, card under Shopping lists ‖ [phone] "QA PL mvmx96wg m Weekly dairy" created from the form → /lists/3923fc6e…, empty ("Browse shops"), SHOPPING/WEEKLY/remind on, next due +7 d, card under Shopping lists</t>
        </is>
      </c>
      <c r="O802" s="24" t="n"/>
      <c r="P802" s="24" t="inlineStr">
        <is>
          <t>2026-10-24 21:52</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mvmudh9v BP medicines" MEDICINE/MONTHLY/reminder off; empty list links "Find a pharmacy" → /shops?type=PHARMACY; card under Medicine lists</t>
        </is>
      </c>
      <c r="O803" s="24" t="n"/>
      <c r="P803" s="24" t="inlineStr">
        <is>
          <t>2026-10-24 20:33</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MVMUDH9V  MONTHLY  GROCERIES" (form) and "qa pl mvmudh9v monthly groceries" (API, 409) refused: "HTTP 409: You already have a list called "qa pl mvmudh9v monthly groceries"."; one list keeps the name</t>
        </is>
      </c>
      <c r="O804" s="24" t="n"/>
      <c r="P804" s="24" t="inlineStr">
        <is>
          <t>2026-10-24 20:34</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production: not covered: the guest half only: the signed-in picker is checked in tests/qa/signed-in/purchase-lists.spec.ts</t>
        </is>
      </c>
      <c r="O805" s="24" t="n"/>
      <c r="P805" s="24" t="inlineStr">
        <is>
          <t>2026-10-29 13:59</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Blocked</t>
        </is>
      </c>
      <c r="N806" s="24" t="inlineStr">
        <is>
          <t>Local Blocked · Staging Blocked · Production Not run
local: needs 1 products of shop A on sale online with 5+ in stock (found 0)
staging: needs 1 products of shop A on sale online with 5+ in stock (found 0)</t>
        </is>
      </c>
      <c r="O806" s="24" t="n"/>
      <c r="P806" s="24" t="inlineStr">
        <is>
          <t>2026-10-24 20:34</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Blocked</t>
        </is>
      </c>
      <c r="N807" s="24" t="inlineStr">
        <is>
          <t>Local Blocked · Staging Blocked · Production Not run
local: needs 1 products of shop A on sale online with 5+ in stock (found 0)
staging: needs 1 products of shop A on sale online with 5+ in stock (found 0)</t>
        </is>
      </c>
      <c r="O807" s="24" t="n"/>
      <c r="P807" s="24" t="inlineStr">
        <is>
          <t>2026-10-24 20:34</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20:34</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Blocked</t>
        </is>
      </c>
      <c r="N809" s="24" t="inlineStr">
        <is>
          <t>Local Blocked · Staging Blocked · Production Not run
local: needs 2 products of shop A on sale online with 10+ in stock (found 0)
staging: needs 2 products of shop A on sale online with 10+ in stock (found 0)</t>
        </is>
      </c>
      <c r="O809" s="24" t="n"/>
      <c r="P809" s="24" t="inlineStr">
        <is>
          <t>2026-10-24 21:52</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Blocked</t>
        </is>
      </c>
      <c r="N810" s="24" t="inlineStr">
        <is>
          <t>Local Blocked · Staging Blocked · Production Not run
local: needs 1 products of shop A on sale online with 5+ in stock (found 0)
staging: needs 1 products of shop A on sale online with 5+ in stock (found 0)</t>
        </is>
      </c>
      <c r="O810" s="24" t="n"/>
      <c r="P810" s="24" t="inlineStr">
        <is>
          <t>2026-10-24 20:34</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Blocked</t>
        </is>
      </c>
      <c r="N811" s="24" t="inlineStr">
        <is>
          <t>Local Blocked · Staging Blocked · Production Not run
local: needs 2 products of shop A on sale online with 5+ in stock (found 0)
staging: needs 2 products of shop A on sale online with 5+ in stock (found 0)</t>
        </is>
      </c>
      <c r="O811" s="24" t="n"/>
      <c r="P811" s="24" t="inlineStr">
        <is>
          <t>2026-10-24 20:34</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Blocked</t>
        </is>
      </c>
      <c r="N812" s="24" t="inlineStr">
        <is>
          <t>Local Blocked · Staging Blocked · Production Not run
local: needs 2 products of shop A on sale online with 5+ in stock (found 0)
staging: needs 2 products of shop A on sale online with 5+ in stock (found 0)</t>
        </is>
      </c>
      <c r="O812" s="24" t="n"/>
      <c r="P812" s="24" t="inlineStr">
        <is>
          <t>2026-10-24 21:52</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Blocked</t>
        </is>
      </c>
      <c r="N813" s="24" t="inlineStr">
        <is>
          <t>Local Blocked · Staging Blocked · Production Not run
local: needs 1 products of shop A on sale online with 5+ in stock (found 0)
staging: needs 1 products of shop A on sale online with 5+ in stock (found 0)</t>
        </is>
      </c>
      <c r="O813" s="24" t="n"/>
      <c r="P813" s="24" t="inlineStr">
        <is>
          <t>2026-10-24 20:34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Blocked</t>
        </is>
      </c>
      <c r="N814" s="24" t="inlineStr">
        <is>
          <t>Local Blocked · Staging Blocked · Production Not run
local: needs 2 products of shop A on sale online with 5+ in stock (found 0)
staging: needs 2 products of shop A on sale online with 5+ in stock (found 0)</t>
        </is>
      </c>
      <c r="O814" s="24" t="n"/>
      <c r="P814" s="24" t="inlineStr">
        <is>
          <t>2026-10-24 20:34</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Blocked</t>
        </is>
      </c>
      <c r="N815" s="24" t="inlineStr">
        <is>
          <t>Local Blocked · Staging Blocked · Production Not run
local: needs 2 products of shop A on sale online with 5+ in stock (found 0)
staging: needs 2 products of shop A on sale online with 5+ in stock (found 0)</t>
        </is>
      </c>
      <c r="O815" s="24" t="n"/>
      <c r="P815" s="24" t="inlineStr">
        <is>
          <t>2026-10-24 21:52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Blocked</t>
        </is>
      </c>
      <c r="N816" s="24" t="inlineStr">
        <is>
          <t>Local Blocked · Staging Blocked · Production Not run
local: needs 2 products of shop A on sale online with 10+ in stock (found 0)
staging: needs 2 products of shop A on sale online with 10+ in stock (found 0)</t>
        </is>
      </c>
      <c r="O816" s="24" t="n"/>
      <c r="P816" s="24" t="inlineStr">
        <is>
          <t>2026-10-24 20:34</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Blocked</t>
        </is>
      </c>
      <c r="N817" s="24" t="inlineStr">
        <is>
          <t>Local Blocked · Staging Blocked · Production Not run
local: needs 2 products of shop A on sale online with 5+ in stock (found 0)
staging: needs 2 products of shop A on sale online with 5+ in stock (found 0)</t>
        </is>
      </c>
      <c r="O817" s="24" t="n"/>
      <c r="P817" s="24" t="inlineStr">
        <is>
          <t>2026-10-24 20:34</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Blocked</t>
        </is>
      </c>
      <c r="N818" s="24" t="inlineStr">
        <is>
          <t>Local Blocked · Staging Blocked · Production Not run
local: needs 2 products of shop A on sale online with 5+ in stock (found 0)
staging: needs 2 products of shop A on sale online with 5+ in stock (found 0)</t>
        </is>
      </c>
      <c r="O818" s="24" t="n"/>
      <c r="P818" s="24" t="inlineStr">
        <is>
          <t>2026-10-24 20:34</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Blocked</t>
        </is>
      </c>
      <c r="N819" s="24" t="inlineStr">
        <is>
          <t>Local Blocked · Staging Blocked · Production Not run
local: needs a product of shop A with stock not tracked or 100+ in stock (a cart line at the 99 cap) ‖ needs 1 products of shop A on sale online with 5+ in stock (found 0)
staging: needs a product of shop A with stock not tracked or 100+ in stock (a cart line at the 99 cap) ‖ needs 1 products of shop A on sale online with 5+ in stock (found 0)</t>
        </is>
      </c>
      <c r="O819" s="24" t="n"/>
      <c r="P819" s="24" t="inlineStr">
        <is>
          <t>2026-10-24 20:34</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Blocked</t>
        </is>
      </c>
      <c r="N820" s="24" t="inlineStr">
        <is>
          <t>Local Blocked · Staging Blocked · Production Not run
local: needs 2 products of shop A on sale online with 5+ in stock (found 0)
staging: needs 2 products of shop A on sale online with 5+ in stock (found 0)</t>
        </is>
      </c>
      <c r="O820" s="24" t="inlineStr">
        <is>
          <t>D-102</t>
        </is>
      </c>
      <c r="P820" s="24" t="inlineStr">
        <is>
          <t>2026-10-24 21:53</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Blocked</t>
        </is>
      </c>
      <c r="N821" s="24" t="inlineStr">
        <is>
          <t>Local Blocked · Staging Blocked · Production Not run
local: needs 2 products of shop A on sale online with 5+ in stock (found 0)
staging: needs 2 products of shop A on sale online with 5+ in stock (found 0)</t>
        </is>
      </c>
      <c r="O821" s="24" t="n"/>
      <c r="P821" s="24" t="inlineStr">
        <is>
          <t>2026-10-24 20:34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mvmudh9v Edited meds", MEDICINE, WEEKLY, reminder off; next due +7 d; card moved to Medicine lists</t>
        </is>
      </c>
      <c r="O822" s="24" t="n"/>
      <c r="P822" s="24" t="inlineStr">
        <is>
          <t>2026-10-24 20:35</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Blocked</t>
        </is>
      </c>
      <c r="N823" s="24" t="inlineStr">
        <is>
          <t>Local Blocked · Staging Blocked · Production Not run
local: needs 1 products of shop A on sale online with 5+ in stock (found 0)
staging: needs 1 products of shop A on sale online with 5+ in stock (found 0)</t>
        </is>
      </c>
      <c r="O823" s="24" t="n"/>
      <c r="P823" s="24" t="inlineStr">
        <is>
          <t>2026-10-24 20:35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Blocked</t>
        </is>
      </c>
      <c r="N824" s="24" t="inlineStr">
        <is>
          <t>Local Blocked · Staging Blocked · Production Not run
local: needs 1 products of shop A on sale online with 5+ in stock (found 0)
staging: needs 1 products of shop A on sale online with 5+ in stock (found 0)</t>
        </is>
      </c>
      <c r="O824" s="24" t="n"/>
      <c r="P824" s="24" t="inlineStr">
        <is>
          <t>2026-10-24 20:35</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21:53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Blocked</t>
        </is>
      </c>
      <c r="N826" s="24" t="inlineStr">
        <is>
          <t>Local Blocked · Staging Blocked · Production Not run
local: needs 1 products of shop A on sale online with 5+ in stock (found 0)
staging: needs 1 products of shop A on sale online with 5+ in stock (found 0)</t>
        </is>
      </c>
      <c r="O826" s="24" t="n"/>
      <c r="P826" s="24" t="inlineStr">
        <is>
          <t>2026-10-24 21:53</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20:35</t>
        </is>
      </c>
    </row>
    <row r="828">
      <c r="A828" s="24" t="inlineStr">
        <is>
          <t>TC-APP-001</t>
        </is>
      </c>
      <c r="B828" s="24" t="inlineStr">
        <is>
          <t>App install &amp; updates</t>
        </is>
      </c>
      <c r="C828" s="24" t="inlineStr">
        <is>
          <t>AI-001</t>
        </is>
      </c>
      <c r="D828" s="24" t="inlineStr">
        <is>
          <t>First visit on an Android phone shows the install prompt</t>
        </is>
      </c>
      <c r="E828" s="24" t="inlineStr">
        <is>
          <t>Positive</t>
        </is>
      </c>
      <c r="F828" s="24" t="inlineStr">
        <is>
          <t>P0</t>
        </is>
      </c>
      <c r="G828" s="24" t="inlineStr">
        <is>
          <t>Guest</t>
        </is>
      </c>
      <c r="H828" s="24" t="inlineStr">
        <is>
          <t>UI</t>
        </is>
      </c>
      <c r="I828" s="24" t="inlineStr">
        <is>
          <t>Android phone browser, app not installed, fresh browser storage</t>
        </is>
      </c>
      <c r="J828" s="24" t="inlineStr">
        <is>
          <t>1. Open the home page</t>
        </is>
      </c>
      <c r="K828" s="24" t="inlineStr">
        <is>
          <t>A bottom sheet 'Get the GoKesari app' with Install and Not now appears without a backdrop; the page behind stays usable.</t>
        </is>
      </c>
      <c r="L828" s="24" t="inlineStr">
        <is>
          <t>docs/app-install-2026-10/README.md (31 Oct 2026)</t>
        </is>
      </c>
      <c r="M828" s="24" t="inlineStr">
        <is>
          <t>Not run</t>
        </is>
      </c>
      <c r="N828" s="24" t="n"/>
      <c r="O828" s="24" t="n"/>
      <c r="P828" s="24" t="n"/>
    </row>
    <row r="829">
      <c r="A829" s="24" t="inlineStr">
        <is>
          <t>TC-APP-002</t>
        </is>
      </c>
      <c r="B829" s="24" t="inlineStr">
        <is>
          <t>App install &amp; updates</t>
        </is>
      </c>
      <c r="C829" s="24" t="inlineStr">
        <is>
          <t>AI-001</t>
        </is>
      </c>
      <c r="D829" s="24" t="inlineStr">
        <is>
          <t>Not now hides the prompt for this page view only</t>
        </is>
      </c>
      <c r="E829" s="24" t="inlineStr">
        <is>
          <t>Positive</t>
        </is>
      </c>
      <c r="F829" s="24" t="inlineStr">
        <is>
          <t>P0</t>
        </is>
      </c>
      <c r="G829" s="24" t="inlineStr">
        <is>
          <t>Guest</t>
        </is>
      </c>
      <c r="H829" s="24" t="inlineStr">
        <is>
          <t>UI</t>
        </is>
      </c>
      <c r="I829" s="24" t="inlineStr">
        <is>
          <t>TC-APP-001 shown</t>
        </is>
      </c>
      <c r="J829" s="24" t="inlineStr">
        <is>
          <t>1. Tap Not now\n2. Read localStorage gk_app_install_declines</t>
        </is>
      </c>
      <c r="K829" s="24" t="inlineStr">
        <is>
          <t>The sheet closes; the decline is counted (count 1) but no flag that stops prompting is stored.</t>
        </is>
      </c>
      <c r="L829" s="24" t="inlineStr">
        <is>
          <t>docs/app-install-2026-10/README.md (31 Oct 2026)</t>
        </is>
      </c>
      <c r="M829" s="24" t="inlineStr">
        <is>
          <t>Not run</t>
        </is>
      </c>
      <c r="N829" s="24" t="n"/>
      <c r="O829" s="24" t="n"/>
      <c r="P829" s="24" t="n"/>
    </row>
    <row r="830">
      <c r="A830" s="24" t="inlineStr">
        <is>
          <t>TC-APP-003</t>
        </is>
      </c>
      <c r="B830" s="24" t="inlineStr">
        <is>
          <t>App install &amp; updates</t>
        </is>
      </c>
      <c r="C830" s="24" t="inlineStr">
        <is>
          <t>AI-001</t>
        </is>
      </c>
      <c r="D830" s="24" t="inlineStr">
        <is>
          <t>After declining, the prompt shows again on visits 2 and 3</t>
        </is>
      </c>
      <c r="E830" s="24" t="inlineStr">
        <is>
          <t>Positive</t>
        </is>
      </c>
      <c r="F830" s="24" t="inlineStr">
        <is>
          <t>P0</t>
        </is>
      </c>
      <c r="G830" s="24" t="inlineStr">
        <is>
          <t>Guest</t>
        </is>
      </c>
      <c r="H830" s="24" t="inlineStr">
        <is>
          <t>UI</t>
        </is>
      </c>
      <c r="I830" s="24" t="inlineStr">
        <is>
          <t>Declined once (TC-APP-002)</t>
        </is>
      </c>
      <c r="J830" s="24" t="inlineStr">
        <is>
          <t>1. Open another page (full load) - visit 2\n2. Tap Not now\n3. Open the home page again - visit 3</t>
        </is>
      </c>
      <c r="K830" s="24" t="inlineStr">
        <is>
          <t>The prompt is shown on visit 2 and on visit 3; the decline count rises to 2. Declining never suppresses it.</t>
        </is>
      </c>
      <c r="L830" s="24" t="inlineStr">
        <is>
          <t>docs/app-install-2026-10/README.md (31 Oct 2026)</t>
        </is>
      </c>
      <c r="M830" s="24" t="inlineStr">
        <is>
          <t>Not run</t>
        </is>
      </c>
      <c r="N830" s="24" t="n"/>
      <c r="O830" s="24" t="n"/>
      <c r="P830" s="24" t="n"/>
    </row>
    <row r="831">
      <c r="A831" s="24" t="inlineStr">
        <is>
          <t>TC-APP-004</t>
        </is>
      </c>
      <c r="B831" s="24" t="inlineStr">
        <is>
          <t>App install &amp; updates</t>
        </is>
      </c>
      <c r="C831" s="24" t="inlineStr">
        <is>
          <t>AI-002</t>
        </is>
      </c>
      <c r="D831" s="24" t="inlineStr">
        <is>
          <t>Install from Chrome's own dialog; no prompt after install</t>
        </is>
      </c>
      <c r="E831" s="24" t="inlineStr">
        <is>
          <t>Positive</t>
        </is>
      </c>
      <c r="F831" s="24" t="inlineStr">
        <is>
          <t>P0</t>
        </is>
      </c>
      <c r="G831" s="24" t="inlineStr">
        <is>
          <t>Guest</t>
        </is>
      </c>
      <c r="H831" s="24" t="inlineStr">
        <is>
          <t>UI</t>
        </is>
      </c>
      <c r="I831" s="24" t="inlineStr">
        <is>
          <t>Android Chrome fires beforeinstallprompt</t>
        </is>
      </c>
      <c r="J831" s="24" t="inlineStr">
        <is>
          <t>1. Tap Install\n2. Accept Chrome's dialog (appinstalled)\n3. Reload</t>
        </is>
      </c>
      <c r="K831" s="24" t="inlineStr">
        <is>
          <t>Chrome's install dialog opens from the button (its own mini-bar is suppressed); after install the sheet is gone and does not return on reload (gk_app_installed set).</t>
        </is>
      </c>
      <c r="L831" s="24" t="inlineStr">
        <is>
          <t>docs/app-install-2026-10/README.md (31 Oct 2026)</t>
        </is>
      </c>
      <c r="M831" s="24" t="inlineStr">
        <is>
          <t>Not run</t>
        </is>
      </c>
      <c r="N831" s="24" t="n"/>
      <c r="O831" s="24" t="n"/>
      <c r="P831" s="24" t="n"/>
    </row>
    <row r="832">
      <c r="A832" s="24" t="inlineStr">
        <is>
          <t>TC-APP-005</t>
        </is>
      </c>
      <c r="B832" s="24" t="inlineStr">
        <is>
          <t>App install &amp; updates</t>
        </is>
      </c>
      <c r="C832" s="24" t="inlineStr">
        <is>
          <t>AI-002</t>
        </is>
      </c>
      <c r="D832" s="24" t="inlineStr">
        <is>
          <t>Installed app (standalone, installed flag, related app) never shows the prompt</t>
        </is>
      </c>
      <c r="E832" s="24" t="inlineStr">
        <is>
          <t>Positive</t>
        </is>
      </c>
      <c r="F832" s="24" t="inlineStr">
        <is>
          <t>P0</t>
        </is>
      </c>
      <c r="G832" s="24" t="inlineStr">
        <is>
          <t>Guest</t>
        </is>
      </c>
      <c r="H832" s="24" t="inlineStr">
        <is>
          <t>UI</t>
        </is>
      </c>
      <c r="I832" s="24" t="inlineStr">
        <is>
          <t>App installed on this device</t>
        </is>
      </c>
      <c r="J832" s="24" t="inlineStr">
        <is>
          <t>1. Open the site from the installed app / with the installed flag set</t>
        </is>
      </c>
      <c r="K832" s="24" t="inlineStr">
        <is>
          <t>No install prompt anywhere on the website.</t>
        </is>
      </c>
      <c r="L832" s="24" t="inlineStr">
        <is>
          <t>docs/app-install-2026-10/README.md (31 Oct 2026)</t>
        </is>
      </c>
      <c r="M832" s="24" t="inlineStr">
        <is>
          <t>Not run</t>
        </is>
      </c>
      <c r="N832" s="24" t="n"/>
      <c r="O832" s="24" t="n"/>
      <c r="P832" s="24" t="n"/>
    </row>
    <row r="833">
      <c r="A833" s="24" t="inlineStr">
        <is>
          <t>TC-APP-006</t>
        </is>
      </c>
      <c r="B833" s="24" t="inlineStr">
        <is>
          <t>App install &amp; updates</t>
        </is>
      </c>
      <c r="C833" s="24" t="inlineStr">
        <is>
          <t>AI-002</t>
        </is>
      </c>
      <c r="D833" s="24" t="inlineStr">
        <is>
          <t>No install prompt inside the native Android / iPhone app</t>
        </is>
      </c>
      <c r="E833" s="24" t="inlineStr">
        <is>
          <t>Positive</t>
        </is>
      </c>
      <c r="F833" s="24" t="inlineStr">
        <is>
          <t>P0</t>
        </is>
      </c>
      <c r="G833" s="24" t="inlineStr">
        <is>
          <t>Guest</t>
        </is>
      </c>
      <c r="H833" s="24" t="inlineStr">
        <is>
          <t>UI</t>
        </is>
      </c>
      <c r="I833" s="24" t="inlineStr">
        <is>
          <t>User agent contains GoKesariApp/&lt;version&gt;</t>
        </is>
      </c>
      <c r="J833" s="24" t="inlineStr">
        <is>
          <t>1. Open the home page in the app's WebView</t>
        </is>
      </c>
      <c r="K833" s="24" t="inlineStr">
        <is>
          <t>No install prompt and no service-worker update bar.</t>
        </is>
      </c>
      <c r="L833" s="24" t="inlineStr">
        <is>
          <t>docs/app-install-2026-10/README.md (31 Oct 2026)</t>
        </is>
      </c>
      <c r="M833" s="24" t="inlineStr">
        <is>
          <t>Not run</t>
        </is>
      </c>
      <c r="N833" s="24" t="n"/>
      <c r="O833" s="24" t="n"/>
      <c r="P833" s="24" t="n"/>
    </row>
    <row r="834">
      <c r="A834" s="24" t="inlineStr">
        <is>
          <t>TC-APP-007</t>
        </is>
      </c>
      <c r="B834" s="24" t="inlineStr">
        <is>
          <t>App install &amp; updates</t>
        </is>
      </c>
      <c r="C834" s="24" t="inlineStr">
        <is>
          <t>AI-003</t>
        </is>
      </c>
      <c r="D834" s="24" t="inlineStr">
        <is>
          <t>iPhone Safari shows the Add to Home Screen guide</t>
        </is>
      </c>
      <c r="E834" s="24" t="inlineStr">
        <is>
          <t>Positive</t>
        </is>
      </c>
      <c r="F834" s="24" t="inlineStr">
        <is>
          <t>P0</t>
        </is>
      </c>
      <c r="G834" s="24" t="inlineStr">
        <is>
          <t>Guest</t>
        </is>
      </c>
      <c r="H834" s="24" t="inlineStr">
        <is>
          <t>UI</t>
        </is>
      </c>
      <c r="I834" s="24" t="inlineStr">
        <is>
          <t>iPhone Safari, not added to the home screen</t>
        </is>
      </c>
      <c r="J834" s="24" t="inlineStr">
        <is>
          <t>1. Open the home page\n2. Tap Install</t>
        </is>
      </c>
      <c r="K834" s="24" t="inlineStr">
        <is>
          <t>The sheet shows; Install opens a three-step picture guide: Tap Share -&gt; Add to Home Screen -&gt; Tap Add.</t>
        </is>
      </c>
      <c r="L834" s="24" t="inlineStr">
        <is>
          <t>docs/app-install-2026-10/README.md (31 Oct 2026)</t>
        </is>
      </c>
      <c r="M834" s="24" t="inlineStr">
        <is>
          <t>Not run</t>
        </is>
      </c>
      <c r="N834" s="24" t="n"/>
      <c r="O834" s="24" t="n"/>
      <c r="P834" s="24" t="n"/>
    </row>
    <row r="835">
      <c r="A835" s="24" t="inlineStr">
        <is>
          <t>TC-APP-008</t>
        </is>
      </c>
      <c r="B835" s="24" t="inlineStr">
        <is>
          <t>App install &amp; updates</t>
        </is>
      </c>
      <c r="C835" s="24" t="inlineStr">
        <is>
          <t>AI-004</t>
        </is>
      </c>
      <c r="D835" s="24" t="inlineStr">
        <is>
          <t>Decline and install are kept on the signed-in account</t>
        </is>
      </c>
      <c r="E835" s="24" t="inlineStr">
        <is>
          <t>Positive</t>
        </is>
      </c>
      <c r="F835" s="24" t="inlineStr">
        <is>
          <t>P1</t>
        </is>
      </c>
      <c r="G835" s="24" t="inlineStr">
        <is>
          <t>Customer</t>
        </is>
      </c>
      <c r="H835" s="24" t="inlineStr">
        <is>
          <t>API</t>
        </is>
      </c>
      <c r="I835" s="24" t="inlineStr">
        <is>
          <t>Signed in</t>
        </is>
      </c>
      <c r="J835" s="24" t="inlineStr">
        <is>
          <t>1. POST /api/app-install declined (x2), installed android\n2. GET /api/app-install\n3. Same calls signed out</t>
        </is>
      </c>
      <c r="K835" s="24" t="inlineStr">
        <is>
          <t>The record shows declineCount up by 2 and android among installedPlatforms; signed out every call answers 401.</t>
        </is>
      </c>
      <c r="L835" s="24" t="inlineStr">
        <is>
          <t>docs/app-install-2026-10/README.md (31 Oct 2026)</t>
        </is>
      </c>
      <c r="M835" s="24" t="inlineStr">
        <is>
          <t>Not run</t>
        </is>
      </c>
      <c r="N835" s="24" t="n"/>
      <c r="O835" s="24" t="n"/>
      <c r="P835" s="24" t="n"/>
    </row>
    <row r="836">
      <c r="A836" s="24" t="inlineStr">
        <is>
          <t>TC-APP-009</t>
        </is>
      </c>
      <c r="B836" s="24" t="inlineStr">
        <is>
          <t>App install &amp; updates</t>
        </is>
      </c>
      <c r="C836" s="24" t="inlineStr">
        <is>
          <t>AI-005</t>
        </is>
      </c>
      <c r="D836" s="24" t="inlineStr">
        <is>
          <t>Service worker served fresh with a versioned cache</t>
        </is>
      </c>
      <c r="E836" s="24" t="inlineStr">
        <is>
          <t>Positive</t>
        </is>
      </c>
      <c r="F836" s="24" t="inlineStr">
        <is>
          <t>P0</t>
        </is>
      </c>
      <c r="G836" s="24" t="inlineStr">
        <is>
          <t>Guest</t>
        </is>
      </c>
      <c r="H836" s="24" t="inlineStr">
        <is>
          <t>API</t>
        </is>
      </c>
      <c r="I836" s="24" t="inlineStr">
        <is>
          <t>-</t>
        </is>
      </c>
      <c r="J836" s="24" t="inlineStr">
        <is>
          <t>1. GET /sw.js</t>
        </is>
      </c>
      <c r="K836" s="24" t="inlineStr">
        <is>
          <t>200 JavaScript, Cache-Control no-store; names its build version and caches only /_next/static and /pwa files in gk-static-&lt;version&gt;.</t>
        </is>
      </c>
      <c r="L836" s="24" t="inlineStr">
        <is>
          <t>docs/app-install-2026-10/README.md (31 Oct 2026)</t>
        </is>
      </c>
      <c r="M836" s="24" t="inlineStr">
        <is>
          <t>Not run</t>
        </is>
      </c>
      <c r="N836" s="24" t="n"/>
      <c r="O836" s="24" t="n"/>
      <c r="P836" s="24" t="n"/>
    </row>
    <row r="837">
      <c r="A837" s="24" t="inlineStr">
        <is>
          <t>TC-APP-010</t>
        </is>
      </c>
      <c r="B837" s="24" t="inlineStr">
        <is>
          <t>App install &amp; updates</t>
        </is>
      </c>
      <c r="C837" s="24" t="inlineStr">
        <is>
          <t>AI-005</t>
        </is>
      </c>
      <c r="D837" s="24" t="inlineStr">
        <is>
          <t>A new deploy is picked up by the installed app without reinstalling</t>
        </is>
      </c>
      <c r="E837" s="24" t="inlineStr">
        <is>
          <t>Positive</t>
        </is>
      </c>
      <c r="F837" s="24" t="inlineStr">
        <is>
          <t>P0</t>
        </is>
      </c>
      <c r="G837" s="24" t="inlineStr">
        <is>
          <t>Guest</t>
        </is>
      </c>
      <c r="H837" s="24" t="inlineStr">
        <is>
          <t>UI</t>
        </is>
      </c>
      <c r="I837" s="24" t="inlineStr">
        <is>
          <t>App open on the old version; a new version deployed</t>
        </is>
      </c>
      <c r="J837" s="24" t="inlineStr">
        <is>
          <t>1. Return to the app / reload\n2. Tap Reload on 'A new version of GoKesari is ready'</t>
        </is>
      </c>
      <c r="K837" s="24" t="inlineStr">
        <is>
          <t>The bar appears; Reload switches to the new version (the old gk-static cache is deleted). Without Reload, the new version runs on the next launch.</t>
        </is>
      </c>
      <c r="L837" s="24" t="inlineStr">
        <is>
          <t>docs/app-install-2026-10/README.md (31 Oct 2026)</t>
        </is>
      </c>
      <c r="M837" s="24" t="inlineStr">
        <is>
          <t>Not run</t>
        </is>
      </c>
      <c r="N837" s="24" t="n"/>
      <c r="O837" s="24" t="n"/>
      <c r="P837" s="24" t="n"/>
    </row>
    <row r="838">
      <c r="A838" s="24" t="inlineStr">
        <is>
          <t>TC-APP-011</t>
        </is>
      </c>
      <c r="B838" s="24" t="inlineStr">
        <is>
          <t>App install &amp; updates</t>
        </is>
      </c>
      <c r="C838" s="24" t="inlineStr">
        <is>
          <t>AI-006</t>
        </is>
      </c>
      <c r="D838" s="24" t="inlineStr">
        <is>
          <t>Native update check endpoint</t>
        </is>
      </c>
      <c r="E838" s="24" t="inlineStr">
        <is>
          <t>Positive</t>
        </is>
      </c>
      <c r="F838" s="24" t="inlineStr">
        <is>
          <t>P1</t>
        </is>
      </c>
      <c r="G838" s="24" t="inlineStr">
        <is>
          <t>Guest</t>
        </is>
      </c>
      <c r="H838" s="24" t="inlineStr">
        <is>
          <t>API</t>
        </is>
      </c>
      <c r="I838" s="24" t="inlineStr">
        <is>
          <t>-</t>
        </is>
      </c>
      <c r="J838" s="24" t="inlineStr">
        <is>
          <t>1. GET /api/app/version</t>
        </is>
      </c>
      <c r="K838" s="24" t="inlineStr">
        <is>
          <t>android and ios each with latest, minimum, url (null until configured; versions as x.y.z, links https).</t>
        </is>
      </c>
      <c r="L838" s="24" t="inlineStr">
        <is>
          <t>docs/app-install-2026-10/README.md (31 Oct 2026)</t>
        </is>
      </c>
      <c r="M838" s="24" t="inlineStr">
        <is>
          <t>Not run</t>
        </is>
      </c>
      <c r="N838" s="24" t="n"/>
      <c r="O838" s="24" t="n"/>
      <c r="P838" s="24" t="n"/>
    </row>
    <row r="839">
      <c r="A839" s="24" t="inlineStr">
        <is>
          <t>TC-APP-012</t>
        </is>
      </c>
      <c r="B839" s="24" t="inlineStr">
        <is>
          <t>App install &amp; updates</t>
        </is>
      </c>
      <c r="C839" s="24" t="inlineStr">
        <is>
          <t>AI-006</t>
        </is>
      </c>
      <c r="D839" s="24" t="inlineStr">
        <is>
          <t>Native app offers a newer build and installs it over the old one</t>
        </is>
      </c>
      <c r="E839" s="24" t="inlineStr">
        <is>
          <t>Positive</t>
        </is>
      </c>
      <c r="F839" s="24" t="inlineStr">
        <is>
          <t>P0</t>
        </is>
      </c>
      <c r="G839" s="24" t="inlineStr">
        <is>
          <t>Customer</t>
        </is>
      </c>
      <c r="H839" s="24" t="inlineStr">
        <is>
          <t>Manual</t>
        </is>
      </c>
      <c r="I839" s="24" t="inlineStr">
        <is>
          <t>App 1.4.0 installed; MOBILE_APP_&lt;platform&gt;_LATEST set higher with a URL</t>
        </is>
      </c>
      <c r="J839" s="24" t="inlineStr">
        <is>
          <t>1. Open the app (or bring it back)\n2. Tap Update</t>
        </is>
      </c>
      <c r="K839" s="24" t="inlineStr">
        <is>
          <t>'A new version of GoKesari is ready' with Later / Update (only Update below the minimum); Update opens the Play Store / App Store / APK and the new build installs over the old one, still signed in.</t>
        </is>
      </c>
      <c r="L839" s="24" t="inlineStr">
        <is>
          <t>docs/app-install-2026-10/README.md (31 Oct 2026)</t>
        </is>
      </c>
      <c r="M839" s="24" t="inlineStr">
        <is>
          <t>Not run</t>
        </is>
      </c>
      <c r="N839" s="24" t="n"/>
      <c r="O839" s="24" t="n"/>
      <c r="P839" s="24" t="n"/>
    </row>
    <row r="840">
      <c r="A840" s="24" t="inlineStr">
        <is>
          <t>TC-APP-013</t>
        </is>
      </c>
      <c r="B840" s="24" t="inlineStr">
        <is>
          <t>App install &amp; updates</t>
        </is>
      </c>
      <c r="C840" s="24" t="inlineStr">
        <is>
          <t>AI-001</t>
        </is>
      </c>
      <c r="D840" s="24" t="inlineStr">
        <is>
          <t>The prompt fits a phone screen</t>
        </is>
      </c>
      <c r="E840" s="24" t="inlineStr">
        <is>
          <t>Positive</t>
        </is>
      </c>
      <c r="F840" s="24" t="inlineStr">
        <is>
          <t>P1</t>
        </is>
      </c>
      <c r="G840" s="24" t="inlineStr">
        <is>
          <t>Guest</t>
        </is>
      </c>
      <c r="H840" s="24" t="inlineStr">
        <is>
          <t>UI</t>
        </is>
      </c>
      <c r="I840" s="24" t="inlineStr">
        <is>
          <t>Phone 360-412 px wide</t>
        </is>
      </c>
      <c r="J840" s="24" t="inlineStr">
        <is>
          <t>1. Open the home page\n2. Open the guide</t>
        </is>
      </c>
      <c r="K840" s="24" t="inlineStr">
        <is>
          <t>The whole sheet (title, text, guide, buttons) is on screen without scrolling, buttons 44 px tall, no sideways scroll, Kesari colours.</t>
        </is>
      </c>
      <c r="L840" s="24" t="inlineStr">
        <is>
          <t>docs/app-install-2026-10/README.md (31 Oct 2026)</t>
        </is>
      </c>
      <c r="M840" s="24" t="inlineStr">
        <is>
          <t>Not run</t>
        </is>
      </c>
      <c r="N840" s="24" t="n"/>
      <c r="O840" s="24" t="n"/>
      <c r="P840" s="24" t="n"/>
    </row>
  </sheetData>
  <autoFilter ref="A1:P840"/>
  <conditionalFormatting sqref="M2:M840">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40"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2026-10-29 13:59: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2026-10-29 13:59: Local Blocked · Staging Pass · Production Pass. local: needs a collected staging run with signed-in checks
staging: 177 signed-in checks passed on test.gokesari.com (133 case IDs)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row r="172">
      <c r="A172" s="24" t="inlineStr">
        <is>
          <t>AI-001</t>
        </is>
      </c>
      <c r="B172" s="24" t="inlineStr">
        <is>
          <t>App install &amp; updates</t>
        </is>
      </c>
      <c r="C172" s="24" t="inlineStr">
        <is>
          <t>Install prompt on every visit until installed; Not now for the page view only; phone layout (Tile Board)</t>
        </is>
      </c>
      <c r="D172" s="24" t="inlineStr">
        <is>
          <t>BUILT 31-Oct</t>
        </is>
      </c>
      <c r="E172" s="24" t="n">
        <v>4</v>
      </c>
      <c r="F172" s="24" t="inlineStr">
        <is>
          <t>TC-APP-001, TC-APP-002, TC-APP-003, TC-APP-013</t>
        </is>
      </c>
      <c r="G172" s="24" t="inlineStr"/>
    </row>
    <row r="173">
      <c r="A173" s="24" t="inlineStr">
        <is>
          <t>AI-002</t>
        </is>
      </c>
      <c r="B173" s="24" t="inlineStr">
        <is>
          <t>App install &amp; updates</t>
        </is>
      </c>
      <c r="C173" s="24" t="inlineStr">
        <is>
          <t>Install detection: Chrome install dialog, appinstalled, standalone, related apps, native app user agent</t>
        </is>
      </c>
      <c r="D173" s="24" t="inlineStr">
        <is>
          <t>BUILT 31-Oct</t>
        </is>
      </c>
      <c r="E173" s="24" t="n">
        <v>3</v>
      </c>
      <c r="F173" s="24" t="inlineStr">
        <is>
          <t>TC-APP-004, TC-APP-005, TC-APP-006</t>
        </is>
      </c>
      <c r="G173" s="24" t="inlineStr"/>
    </row>
    <row r="174">
      <c r="A174" s="24" t="inlineStr">
        <is>
          <t>AI-003</t>
        </is>
      </c>
      <c r="B174" s="24" t="inlineStr">
        <is>
          <t>App install &amp; updates</t>
        </is>
      </c>
      <c r="C174" s="24" t="inlineStr">
        <is>
          <t>iPhone / iPad: Add to Home Screen guide; store links when listed</t>
        </is>
      </c>
      <c r="D174" s="24" t="inlineStr">
        <is>
          <t>BUILT 31-Oct</t>
        </is>
      </c>
      <c r="E174" s="24" t="n">
        <v>1</v>
      </c>
      <c r="F174" s="24" t="inlineStr">
        <is>
          <t>TC-APP-007</t>
        </is>
      </c>
      <c r="G174" s="24" t="inlineStr"/>
    </row>
    <row r="175">
      <c r="A175" s="24" t="inlineStr">
        <is>
          <t>AI-004</t>
        </is>
      </c>
      <c r="B175" s="24" t="inlineStr">
        <is>
          <t>App install &amp; updates</t>
        </is>
      </c>
      <c r="C175" s="24" t="inlineStr">
        <is>
          <t>Server-side record for signed-in people (app_install_states)</t>
        </is>
      </c>
      <c r="D175" s="24" t="inlineStr">
        <is>
          <t>BUILT 31-Oct</t>
        </is>
      </c>
      <c r="E175" s="24" t="n">
        <v>1</v>
      </c>
      <c r="F175" s="24" t="inlineStr">
        <is>
          <t>TC-APP-008</t>
        </is>
      </c>
      <c r="G175" s="24" t="inlineStr"/>
    </row>
    <row r="176">
      <c r="A176" s="24" t="inlineStr">
        <is>
          <t>AI-005</t>
        </is>
      </c>
      <c r="B176" s="24" t="inlineStr">
        <is>
          <t>App install &amp; updates</t>
        </is>
      </c>
      <c r="C176" s="24" t="inlineStr">
        <is>
          <t>Service worker with versioned cache; Reload bar; update on next launch</t>
        </is>
      </c>
      <c r="D176" s="24" t="inlineStr">
        <is>
          <t>BUILT 31-Oct</t>
        </is>
      </c>
      <c r="E176" s="24" t="n">
        <v>2</v>
      </c>
      <c r="F176" s="24" t="inlineStr">
        <is>
          <t>TC-APP-009, TC-APP-010</t>
        </is>
      </c>
      <c r="G176" s="24" t="inlineStr"/>
    </row>
    <row r="177">
      <c r="A177" s="24" t="inlineStr">
        <is>
          <t>AI-006</t>
        </is>
      </c>
      <c r="B177" s="24" t="inlineStr">
        <is>
          <t>App install &amp; updates</t>
        </is>
      </c>
      <c r="C177" s="24" t="inlineStr">
        <is>
          <t>Native app update check (Android / iPhone 1.4.0)</t>
        </is>
      </c>
      <c r="D177" s="24" t="inlineStr">
        <is>
          <t>BUILT 31-Oct</t>
        </is>
      </c>
      <c r="E177" s="24" t="n">
        <v>2</v>
      </c>
      <c r="F177" s="24" t="inlineStr">
        <is>
          <t>TC-APP-011, TC-APP-012</t>
        </is>
      </c>
      <c r="G177" s="24" t="inlineStr"/>
    </row>
  </sheetData>
  <autoFilter ref="A1:G17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2026-10-03T14:40:54Z</dcterms:created>
  <dcterms:modified xsi:type="dcterms:W3CDTF">2026-10-31T08:29:27Z</dcterms:modified>
  <cp:revision>0</cp:revision>
</cp:coreProperties>
</file>