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Run summary" sheetId="2" state="visible" r:id="rId2"/>
    <sheet xmlns:r="http://schemas.openxmlformats.org/officeDocument/2006/relationships" name="Change log" sheetId="3" state="visible" r:id="rId3"/>
    <sheet xmlns:r="http://schemas.openxmlformats.org/officeDocument/2006/relationships" name="Test cases" sheetId="4" state="visible" r:id="rId4"/>
    <sheet xmlns:r="http://schemas.openxmlformats.org/officeDocument/2006/relationships" name="E2E scenarios" sheetId="5" state="visible" r:id="rId5"/>
    <sheet xmlns:r="http://schemas.openxmlformats.org/officeDocument/2006/relationships" name="Coverage" sheetId="6" state="visible" r:id="rId6"/>
    <sheet xmlns:r="http://schemas.openxmlformats.org/officeDocument/2006/relationships" name="Not yet testable" sheetId="7" state="visible" r:id="rId7"/>
    <sheet xmlns:r="http://schemas.openxmlformats.org/officeDocument/2006/relationships" name="Test data" sheetId="8" state="visible" r:id="rId8"/>
  </sheets>
  <definedNames>
    <definedName name="_xlnm._FilterDatabase" localSheetId="2" hidden="1">'Change log'!$A$1:$C$72</definedName>
    <definedName name="_xlnm._FilterDatabase" localSheetId="3" hidden="1">'Test cases'!$A$1:$P$827</definedName>
    <definedName name="_xlnm._FilterDatabase" localSheetId="4" hidden="1">'E2E scenarios'!$A$1:$H$38</definedName>
    <definedName name="_xlnm._FilterDatabase" localSheetId="5" hidden="1">'Coverage'!$A$1:$G$171</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cases'!$B$2:$B$827,A2)</f>
        <v/>
      </c>
      <c r="C2" s="20">
        <f>COUNTIFS('Test cases'!$B$2:$B$827,$A2,'Test cases'!$M$2:$M$827,"Pass")</f>
        <v/>
      </c>
      <c r="D2" s="20">
        <f>COUNTIFS('Test cases'!$B$2:$B$827,$A2,'Test cases'!$M$2:$M$827,"Fail")</f>
        <v/>
      </c>
      <c r="E2" s="20">
        <f>COUNTIFS('Test cases'!$B$2:$B$827,$A2,'Test cases'!$M$2:$M$827,"Blocked")</f>
        <v/>
      </c>
      <c r="F2" s="20">
        <f>COUNTIFS('Test cases'!$B$2:$B$827,$A2,'Test cases'!$M$2:$M$827,"Not run")</f>
        <v/>
      </c>
      <c r="G2" s="20">
        <f>COUNTIFS('Test cases'!$B$2:$B$827,$A2,'Test cases'!$F$2:$F$827,"P0")</f>
        <v/>
      </c>
      <c r="H2" s="20">
        <f>G2-COUNTIFS('Test cases'!$B$2:$B$827,$A2,'Test cases'!$F$2:$F$827,"P0",'Test cases'!$M$2:$M$827,"Pass")</f>
        <v/>
      </c>
    </row>
    <row r="3" ht="15" customHeight="1" s="13">
      <c r="A3" s="20" t="inlineStr">
        <is>
          <t>Login, onboarding &amp; profile</t>
        </is>
      </c>
      <c r="B3" s="20">
        <f>COUNTIF('Test cases'!$B$2:$B$827,A3)</f>
        <v/>
      </c>
      <c r="C3" s="20">
        <f>COUNTIFS('Test cases'!$B$2:$B$827,$A3,'Test cases'!$M$2:$M$827,"Pass")</f>
        <v/>
      </c>
      <c r="D3" s="20">
        <f>COUNTIFS('Test cases'!$B$2:$B$827,$A3,'Test cases'!$M$2:$M$827,"Fail")</f>
        <v/>
      </c>
      <c r="E3" s="20">
        <f>COUNTIFS('Test cases'!$B$2:$B$827,$A3,'Test cases'!$M$2:$M$827,"Blocked")</f>
        <v/>
      </c>
      <c r="F3" s="20">
        <f>COUNTIFS('Test cases'!$B$2:$B$827,$A3,'Test cases'!$M$2:$M$827,"Not run")</f>
        <v/>
      </c>
      <c r="G3" s="20">
        <f>COUNTIFS('Test cases'!$B$2:$B$827,$A3,'Test cases'!$F$2:$F$827,"P0")</f>
        <v/>
      </c>
      <c r="H3" s="20">
        <f>G3-COUNTIFS('Test cases'!$B$2:$B$827,$A3,'Test cases'!$F$2:$F$827,"P0",'Test cases'!$M$2:$M$827,"Pass")</f>
        <v/>
      </c>
    </row>
    <row r="4" ht="15" customHeight="1" s="13">
      <c r="A4" s="20" t="inlineStr">
        <is>
          <t>Roles &amp; access control</t>
        </is>
      </c>
      <c r="B4" s="20">
        <f>COUNTIF('Test cases'!$B$2:$B$827,A4)</f>
        <v/>
      </c>
      <c r="C4" s="20">
        <f>COUNTIFS('Test cases'!$B$2:$B$827,$A4,'Test cases'!$M$2:$M$827,"Pass")</f>
        <v/>
      </c>
      <c r="D4" s="20">
        <f>COUNTIFS('Test cases'!$B$2:$B$827,$A4,'Test cases'!$M$2:$M$827,"Fail")</f>
        <v/>
      </c>
      <c r="E4" s="20">
        <f>COUNTIFS('Test cases'!$B$2:$B$827,$A4,'Test cases'!$M$2:$M$827,"Blocked")</f>
        <v/>
      </c>
      <c r="F4" s="20">
        <f>COUNTIFS('Test cases'!$B$2:$B$827,$A4,'Test cases'!$M$2:$M$827,"Not run")</f>
        <v/>
      </c>
      <c r="G4" s="20">
        <f>COUNTIFS('Test cases'!$B$2:$B$827,$A4,'Test cases'!$F$2:$F$827,"P0")</f>
        <v/>
      </c>
      <c r="H4" s="20">
        <f>G4-COUNTIFS('Test cases'!$B$2:$B$827,$A4,'Test cases'!$F$2:$F$827,"P0",'Test cases'!$M$2:$M$827,"Pass")</f>
        <v/>
      </c>
    </row>
    <row r="5" ht="15" customHeight="1" s="13">
      <c r="A5" s="20" t="inlineStr">
        <is>
          <t>Location, addresses &amp; serviceability</t>
        </is>
      </c>
      <c r="B5" s="20">
        <f>COUNTIF('Test cases'!$B$2:$B$827,A5)</f>
        <v/>
      </c>
      <c r="C5" s="20">
        <f>COUNTIFS('Test cases'!$B$2:$B$827,$A5,'Test cases'!$M$2:$M$827,"Pass")</f>
        <v/>
      </c>
      <c r="D5" s="20">
        <f>COUNTIFS('Test cases'!$B$2:$B$827,$A5,'Test cases'!$M$2:$M$827,"Fail")</f>
        <v/>
      </c>
      <c r="E5" s="20">
        <f>COUNTIFS('Test cases'!$B$2:$B$827,$A5,'Test cases'!$M$2:$M$827,"Blocked")</f>
        <v/>
      </c>
      <c r="F5" s="20">
        <f>COUNTIFS('Test cases'!$B$2:$B$827,$A5,'Test cases'!$M$2:$M$827,"Not run")</f>
        <v/>
      </c>
      <c r="G5" s="20">
        <f>COUNTIFS('Test cases'!$B$2:$B$827,$A5,'Test cases'!$F$2:$F$827,"P0")</f>
        <v/>
      </c>
      <c r="H5" s="20">
        <f>G5-COUNTIFS('Test cases'!$B$2:$B$827,$A5,'Test cases'!$F$2:$F$827,"P0",'Test cases'!$M$2:$M$827,"Pass")</f>
        <v/>
      </c>
    </row>
    <row r="6" ht="15" customHeight="1" s="13">
      <c r="A6" s="20" t="inlineStr">
        <is>
          <t>Discovery, search &amp; price comparison</t>
        </is>
      </c>
      <c r="B6" s="20">
        <f>COUNTIF('Test cases'!$B$2:$B$827,A6)</f>
        <v/>
      </c>
      <c r="C6" s="20">
        <f>COUNTIFS('Test cases'!$B$2:$B$827,$A6,'Test cases'!$M$2:$M$827,"Pass")</f>
        <v/>
      </c>
      <c r="D6" s="20">
        <f>COUNTIFS('Test cases'!$B$2:$B$827,$A6,'Test cases'!$M$2:$M$827,"Fail")</f>
        <v/>
      </c>
      <c r="E6" s="20">
        <f>COUNTIFS('Test cases'!$B$2:$B$827,$A6,'Test cases'!$M$2:$M$827,"Blocked")</f>
        <v/>
      </c>
      <c r="F6" s="20">
        <f>COUNTIFS('Test cases'!$B$2:$B$827,$A6,'Test cases'!$M$2:$M$827,"Not run")</f>
        <v/>
      </c>
      <c r="G6" s="20">
        <f>COUNTIFS('Test cases'!$B$2:$B$827,$A6,'Test cases'!$F$2:$F$827,"P0")</f>
        <v/>
      </c>
      <c r="H6" s="20">
        <f>G6-COUNTIFS('Test cases'!$B$2:$B$827,$A6,'Test cases'!$F$2:$F$827,"P0",'Test cases'!$M$2:$M$827,"Pass")</f>
        <v/>
      </c>
    </row>
    <row r="7" ht="15" customHeight="1" s="13">
      <c r="A7" s="20" t="inlineStr">
        <is>
          <t>Cart &amp; checkout</t>
        </is>
      </c>
      <c r="B7" s="20">
        <f>COUNTIF('Test cases'!$B$2:$B$827,A7)</f>
        <v/>
      </c>
      <c r="C7" s="20">
        <f>COUNTIFS('Test cases'!$B$2:$B$827,$A7,'Test cases'!$M$2:$M$827,"Pass")</f>
        <v/>
      </c>
      <c r="D7" s="20">
        <f>COUNTIFS('Test cases'!$B$2:$B$827,$A7,'Test cases'!$M$2:$M$827,"Fail")</f>
        <v/>
      </c>
      <c r="E7" s="20">
        <f>COUNTIFS('Test cases'!$B$2:$B$827,$A7,'Test cases'!$M$2:$M$827,"Blocked")</f>
        <v/>
      </c>
      <c r="F7" s="20">
        <f>COUNTIFS('Test cases'!$B$2:$B$827,$A7,'Test cases'!$M$2:$M$827,"Not run")</f>
        <v/>
      </c>
      <c r="G7" s="20">
        <f>COUNTIFS('Test cases'!$B$2:$B$827,$A7,'Test cases'!$F$2:$F$827,"P0")</f>
        <v/>
      </c>
      <c r="H7" s="20">
        <f>G7-COUNTIFS('Test cases'!$B$2:$B$827,$A7,'Test cases'!$F$2:$F$827,"P0",'Test cases'!$M$2:$M$827,"Pass")</f>
        <v/>
      </c>
    </row>
    <row r="8" ht="15" customHeight="1" s="13">
      <c r="A8" s="20" t="inlineStr">
        <is>
          <t>Wallet, vouchers &amp; gateway</t>
        </is>
      </c>
      <c r="B8" s="20">
        <f>COUNTIF('Test cases'!$B$2:$B$827,A8)</f>
        <v/>
      </c>
      <c r="C8" s="20">
        <f>COUNTIFS('Test cases'!$B$2:$B$827,$A8,'Test cases'!$M$2:$M$827,"Pass")</f>
        <v/>
      </c>
      <c r="D8" s="20">
        <f>COUNTIFS('Test cases'!$B$2:$B$827,$A8,'Test cases'!$M$2:$M$827,"Fail")</f>
        <v/>
      </c>
      <c r="E8" s="20">
        <f>COUNTIFS('Test cases'!$B$2:$B$827,$A8,'Test cases'!$M$2:$M$827,"Blocked")</f>
        <v/>
      </c>
      <c r="F8" s="20">
        <f>COUNTIFS('Test cases'!$B$2:$B$827,$A8,'Test cases'!$M$2:$M$827,"Not run")</f>
        <v/>
      </c>
      <c r="G8" s="20">
        <f>COUNTIFS('Test cases'!$B$2:$B$827,$A8,'Test cases'!$F$2:$F$827,"P0")</f>
        <v/>
      </c>
      <c r="H8" s="20">
        <f>G8-COUNTIFS('Test cases'!$B$2:$B$827,$A8,'Test cases'!$F$2:$F$827,"P0",'Test cases'!$M$2:$M$827,"Pass")</f>
        <v/>
      </c>
    </row>
    <row r="9" ht="15" customHeight="1" s="13">
      <c r="A9" s="20" t="inlineStr">
        <is>
          <t>Cash on delivery</t>
        </is>
      </c>
      <c r="B9" s="20">
        <f>COUNTIF('Test cases'!$B$2:$B$827,A9)</f>
        <v/>
      </c>
      <c r="C9" s="20">
        <f>COUNTIFS('Test cases'!$B$2:$B$827,$A9,'Test cases'!$M$2:$M$827,"Pass")</f>
        <v/>
      </c>
      <c r="D9" s="20">
        <f>COUNTIFS('Test cases'!$B$2:$B$827,$A9,'Test cases'!$M$2:$M$827,"Fail")</f>
        <v/>
      </c>
      <c r="E9" s="20">
        <f>COUNTIFS('Test cases'!$B$2:$B$827,$A9,'Test cases'!$M$2:$M$827,"Blocked")</f>
        <v/>
      </c>
      <c r="F9" s="20">
        <f>COUNTIFS('Test cases'!$B$2:$B$827,$A9,'Test cases'!$M$2:$M$827,"Not run")</f>
        <v/>
      </c>
      <c r="G9" s="20">
        <f>COUNTIFS('Test cases'!$B$2:$B$827,$A9,'Test cases'!$F$2:$F$827,"P0")</f>
        <v/>
      </c>
      <c r="H9" s="20">
        <f>G9-COUNTIFS('Test cases'!$B$2:$B$827,$A9,'Test cases'!$F$2:$F$827,"P0",'Test cases'!$M$2:$M$827,"Pass")</f>
        <v/>
      </c>
    </row>
    <row r="10" ht="15" customHeight="1" s="13">
      <c r="A10" s="20" t="inlineStr">
        <is>
          <t>Order state machine &amp; cancellation</t>
        </is>
      </c>
      <c r="B10" s="20">
        <f>COUNTIF('Test cases'!$B$2:$B$827,A10)</f>
        <v/>
      </c>
      <c r="C10" s="20">
        <f>COUNTIFS('Test cases'!$B$2:$B$827,$A10,'Test cases'!$M$2:$M$827,"Pass")</f>
        <v/>
      </c>
      <c r="D10" s="20">
        <f>COUNTIFS('Test cases'!$B$2:$B$827,$A10,'Test cases'!$M$2:$M$827,"Fail")</f>
        <v/>
      </c>
      <c r="E10" s="20">
        <f>COUNTIFS('Test cases'!$B$2:$B$827,$A10,'Test cases'!$M$2:$M$827,"Blocked")</f>
        <v/>
      </c>
      <c r="F10" s="20">
        <f>COUNTIFS('Test cases'!$B$2:$B$827,$A10,'Test cases'!$M$2:$M$827,"Not run")</f>
        <v/>
      </c>
      <c r="G10" s="20">
        <f>COUNTIFS('Test cases'!$B$2:$B$827,$A10,'Test cases'!$F$2:$F$827,"P0")</f>
        <v/>
      </c>
      <c r="H10" s="20">
        <f>G10-COUNTIFS('Test cases'!$B$2:$B$827,$A10,'Test cases'!$F$2:$F$827,"P0",'Test cases'!$M$2:$M$827,"Pass")</f>
        <v/>
      </c>
    </row>
    <row r="11" ht="15" customHeight="1" s="13">
      <c r="A11" s="20" t="inlineStr">
        <is>
          <t>Shop fulfilment &amp; substitution</t>
        </is>
      </c>
      <c r="B11" s="20">
        <f>COUNTIF('Test cases'!$B$2:$B$827,A11)</f>
        <v/>
      </c>
      <c r="C11" s="20">
        <f>COUNTIFS('Test cases'!$B$2:$B$827,$A11,'Test cases'!$M$2:$M$827,"Pass")</f>
        <v/>
      </c>
      <c r="D11" s="20">
        <f>COUNTIFS('Test cases'!$B$2:$B$827,$A11,'Test cases'!$M$2:$M$827,"Fail")</f>
        <v/>
      </c>
      <c r="E11" s="20">
        <f>COUNTIFS('Test cases'!$B$2:$B$827,$A11,'Test cases'!$M$2:$M$827,"Blocked")</f>
        <v/>
      </c>
      <c r="F11" s="20">
        <f>COUNTIFS('Test cases'!$B$2:$B$827,$A11,'Test cases'!$M$2:$M$827,"Not run")</f>
        <v/>
      </c>
      <c r="G11" s="20">
        <f>COUNTIFS('Test cases'!$B$2:$B$827,$A11,'Test cases'!$F$2:$F$827,"P0")</f>
        <v/>
      </c>
      <c r="H11" s="20">
        <f>G11-COUNTIFS('Test cases'!$B$2:$B$827,$A11,'Test cases'!$F$2:$F$827,"P0",'Test cases'!$M$2:$M$827,"Pass")</f>
        <v/>
      </c>
    </row>
    <row r="12" ht="15" customHeight="1" s="13">
      <c r="A12" s="20" t="inlineStr">
        <is>
          <t>Rider dispatch &amp; assignment rules</t>
        </is>
      </c>
      <c r="B12" s="20">
        <f>COUNTIF('Test cases'!$B$2:$B$827,A12)</f>
        <v/>
      </c>
      <c r="C12" s="20">
        <f>COUNTIFS('Test cases'!$B$2:$B$827,$A12,'Test cases'!$M$2:$M$827,"Pass")</f>
        <v/>
      </c>
      <c r="D12" s="20">
        <f>COUNTIFS('Test cases'!$B$2:$B$827,$A12,'Test cases'!$M$2:$M$827,"Fail")</f>
        <v/>
      </c>
      <c r="E12" s="20">
        <f>COUNTIFS('Test cases'!$B$2:$B$827,$A12,'Test cases'!$M$2:$M$827,"Blocked")</f>
        <v/>
      </c>
      <c r="F12" s="20">
        <f>COUNTIFS('Test cases'!$B$2:$B$827,$A12,'Test cases'!$M$2:$M$827,"Not run")</f>
        <v/>
      </c>
      <c r="G12" s="20">
        <f>COUNTIFS('Test cases'!$B$2:$B$827,$A12,'Test cases'!$F$2:$F$827,"P0")</f>
        <v/>
      </c>
      <c r="H12" s="20">
        <f>G12-COUNTIFS('Test cases'!$B$2:$B$827,$A12,'Test cases'!$F$2:$F$827,"P0",'Test cases'!$M$2:$M$827,"Pass")</f>
        <v/>
      </c>
    </row>
    <row r="13" ht="15" customHeight="1" s="13">
      <c r="A13" s="20" t="inlineStr">
        <is>
          <t>Rider delivery &amp; handover</t>
        </is>
      </c>
      <c r="B13" s="20">
        <f>COUNTIF('Test cases'!$B$2:$B$827,A13)</f>
        <v/>
      </c>
      <c r="C13" s="20">
        <f>COUNTIFS('Test cases'!$B$2:$B$827,$A13,'Test cases'!$M$2:$M$827,"Pass")</f>
        <v/>
      </c>
      <c r="D13" s="20">
        <f>COUNTIFS('Test cases'!$B$2:$B$827,$A13,'Test cases'!$M$2:$M$827,"Fail")</f>
        <v/>
      </c>
      <c r="E13" s="20">
        <f>COUNTIFS('Test cases'!$B$2:$B$827,$A13,'Test cases'!$M$2:$M$827,"Blocked")</f>
        <v/>
      </c>
      <c r="F13" s="20">
        <f>COUNTIFS('Test cases'!$B$2:$B$827,$A13,'Test cases'!$M$2:$M$827,"Not run")</f>
        <v/>
      </c>
      <c r="G13" s="20">
        <f>COUNTIFS('Test cases'!$B$2:$B$827,$A13,'Test cases'!$F$2:$F$827,"P0")</f>
        <v/>
      </c>
      <c r="H13" s="20">
        <f>G13-COUNTIFS('Test cases'!$B$2:$B$827,$A13,'Test cases'!$F$2:$F$827,"P0",'Test cases'!$M$2:$M$827,"Pass")</f>
        <v/>
      </c>
    </row>
    <row r="14" ht="15" customHeight="1" s="13">
      <c r="A14" s="20" t="inlineStr">
        <is>
          <t>Society module</t>
        </is>
      </c>
      <c r="B14" s="20">
        <f>COUNTIF('Test cases'!$B$2:$B$827,A14)</f>
        <v/>
      </c>
      <c r="C14" s="20">
        <f>COUNTIFS('Test cases'!$B$2:$B$827,$A14,'Test cases'!$M$2:$M$827,"Pass")</f>
        <v/>
      </c>
      <c r="D14" s="20">
        <f>COUNTIFS('Test cases'!$B$2:$B$827,$A14,'Test cases'!$M$2:$M$827,"Fail")</f>
        <v/>
      </c>
      <c r="E14" s="20">
        <f>COUNTIFS('Test cases'!$B$2:$B$827,$A14,'Test cases'!$M$2:$M$827,"Blocked")</f>
        <v/>
      </c>
      <c r="F14" s="20">
        <f>COUNTIFS('Test cases'!$B$2:$B$827,$A14,'Test cases'!$M$2:$M$827,"Not run")</f>
        <v/>
      </c>
      <c r="G14" s="20">
        <f>COUNTIFS('Test cases'!$B$2:$B$827,$A14,'Test cases'!$F$2:$F$827,"P0")</f>
        <v/>
      </c>
      <c r="H14" s="20">
        <f>G14-COUNTIFS('Test cases'!$B$2:$B$827,$A14,'Test cases'!$F$2:$F$827,"P0",'Test cases'!$M$2:$M$827,"Pass")</f>
        <v/>
      </c>
    </row>
    <row r="15" ht="15" customHeight="1" s="13">
      <c r="A15" s="20" t="inlineStr">
        <is>
          <t>Subscriptions</t>
        </is>
      </c>
      <c r="B15" s="20">
        <f>COUNTIF('Test cases'!$B$2:$B$827,A15)</f>
        <v/>
      </c>
      <c r="C15" s="20">
        <f>COUNTIFS('Test cases'!$B$2:$B$827,$A15,'Test cases'!$M$2:$M$827,"Pass")</f>
        <v/>
      </c>
      <c r="D15" s="20">
        <f>COUNTIFS('Test cases'!$B$2:$B$827,$A15,'Test cases'!$M$2:$M$827,"Fail")</f>
        <v/>
      </c>
      <c r="E15" s="20">
        <f>COUNTIFS('Test cases'!$B$2:$B$827,$A15,'Test cases'!$M$2:$M$827,"Blocked")</f>
        <v/>
      </c>
      <c r="F15" s="20">
        <f>COUNTIFS('Test cases'!$B$2:$B$827,$A15,'Test cases'!$M$2:$M$827,"Not run")</f>
        <v/>
      </c>
      <c r="G15" s="20">
        <f>COUNTIFS('Test cases'!$B$2:$B$827,$A15,'Test cases'!$F$2:$F$827,"P0")</f>
        <v/>
      </c>
      <c r="H15" s="20">
        <f>G15-COUNTIFS('Test cases'!$B$2:$B$827,$A15,'Test cases'!$F$2:$F$827,"P0",'Test cases'!$M$2:$M$827,"Pass")</f>
        <v/>
      </c>
    </row>
    <row r="16" ht="15" customHeight="1" s="13">
      <c r="A16" s="20" t="inlineStr">
        <is>
          <t>Returns, refunds &amp; disputes</t>
        </is>
      </c>
      <c r="B16" s="20">
        <f>COUNTIF('Test cases'!$B$2:$B$827,A16)</f>
        <v/>
      </c>
      <c r="C16" s="20">
        <f>COUNTIFS('Test cases'!$B$2:$B$827,$A16,'Test cases'!$M$2:$M$827,"Pass")</f>
        <v/>
      </c>
      <c r="D16" s="20">
        <f>COUNTIFS('Test cases'!$B$2:$B$827,$A16,'Test cases'!$M$2:$M$827,"Fail")</f>
        <v/>
      </c>
      <c r="E16" s="20">
        <f>COUNTIFS('Test cases'!$B$2:$B$827,$A16,'Test cases'!$M$2:$M$827,"Blocked")</f>
        <v/>
      </c>
      <c r="F16" s="20">
        <f>COUNTIFS('Test cases'!$B$2:$B$827,$A16,'Test cases'!$M$2:$M$827,"Not run")</f>
        <v/>
      </c>
      <c r="G16" s="20">
        <f>COUNTIFS('Test cases'!$B$2:$B$827,$A16,'Test cases'!$F$2:$F$827,"P0")</f>
        <v/>
      </c>
      <c r="H16" s="20">
        <f>G16-COUNTIFS('Test cases'!$B$2:$B$827,$A16,'Test cases'!$F$2:$F$827,"P0",'Test cases'!$M$2:$M$827,"Pass")</f>
        <v/>
      </c>
    </row>
    <row r="17" ht="15" customHeight="1" s="13">
      <c r="A17" s="20" t="inlineStr">
        <is>
          <t>Support, grievances &amp; ratings</t>
        </is>
      </c>
      <c r="B17" s="20">
        <f>COUNTIF('Test cases'!$B$2:$B$827,A17)</f>
        <v/>
      </c>
      <c r="C17" s="20">
        <f>COUNTIFS('Test cases'!$B$2:$B$827,$A17,'Test cases'!$M$2:$M$827,"Pass")</f>
        <v/>
      </c>
      <c r="D17" s="20">
        <f>COUNTIFS('Test cases'!$B$2:$B$827,$A17,'Test cases'!$M$2:$M$827,"Fail")</f>
        <v/>
      </c>
      <c r="E17" s="20">
        <f>COUNTIFS('Test cases'!$B$2:$B$827,$A17,'Test cases'!$M$2:$M$827,"Blocked")</f>
        <v/>
      </c>
      <c r="F17" s="20">
        <f>COUNTIFS('Test cases'!$B$2:$B$827,$A17,'Test cases'!$M$2:$M$827,"Not run")</f>
        <v/>
      </c>
      <c r="G17" s="20">
        <f>COUNTIFS('Test cases'!$B$2:$B$827,$A17,'Test cases'!$F$2:$F$827,"P0")</f>
        <v/>
      </c>
      <c r="H17" s="20">
        <f>G17-COUNTIFS('Test cases'!$B$2:$B$827,$A17,'Test cases'!$F$2:$F$827,"P0",'Test cases'!$M$2:$M$827,"Pass")</f>
        <v/>
      </c>
    </row>
    <row r="18" ht="15" customHeight="1" s="13">
      <c r="A18" s="20" t="inlineStr">
        <is>
          <t>Shop onboarding, KYC, fees &amp; suspension</t>
        </is>
      </c>
      <c r="B18" s="20">
        <f>COUNTIF('Test cases'!$B$2:$B$827,A18)</f>
        <v/>
      </c>
      <c r="C18" s="20">
        <f>COUNTIFS('Test cases'!$B$2:$B$827,$A18,'Test cases'!$M$2:$M$827,"Pass")</f>
        <v/>
      </c>
      <c r="D18" s="20">
        <f>COUNTIFS('Test cases'!$B$2:$B$827,$A18,'Test cases'!$M$2:$M$827,"Fail")</f>
        <v/>
      </c>
      <c r="E18" s="20">
        <f>COUNTIFS('Test cases'!$B$2:$B$827,$A18,'Test cases'!$M$2:$M$827,"Blocked")</f>
        <v/>
      </c>
      <c r="F18" s="20">
        <f>COUNTIFS('Test cases'!$B$2:$B$827,$A18,'Test cases'!$M$2:$M$827,"Not run")</f>
        <v/>
      </c>
      <c r="G18" s="20">
        <f>COUNTIFS('Test cases'!$B$2:$B$827,$A18,'Test cases'!$F$2:$F$827,"P0")</f>
        <v/>
      </c>
      <c r="H18" s="20">
        <f>G18-COUNTIFS('Test cases'!$B$2:$B$827,$A18,'Test cases'!$F$2:$F$827,"P0",'Test cases'!$M$2:$M$827,"Pass")</f>
        <v/>
      </c>
    </row>
    <row r="19" ht="15" customHeight="1" s="13">
      <c r="A19" s="20" t="inlineStr">
        <is>
          <t>Catalogue, pricing, MRP, inventory &amp; images</t>
        </is>
      </c>
      <c r="B19" s="20">
        <f>COUNTIF('Test cases'!$B$2:$B$827,A19)</f>
        <v/>
      </c>
      <c r="C19" s="20">
        <f>COUNTIFS('Test cases'!$B$2:$B$827,$A19,'Test cases'!$M$2:$M$827,"Pass")</f>
        <v/>
      </c>
      <c r="D19" s="20">
        <f>COUNTIFS('Test cases'!$B$2:$B$827,$A19,'Test cases'!$M$2:$M$827,"Fail")</f>
        <v/>
      </c>
      <c r="E19" s="20">
        <f>COUNTIFS('Test cases'!$B$2:$B$827,$A19,'Test cases'!$M$2:$M$827,"Blocked")</f>
        <v/>
      </c>
      <c r="F19" s="20">
        <f>COUNTIFS('Test cases'!$B$2:$B$827,$A19,'Test cases'!$M$2:$M$827,"Not run")</f>
        <v/>
      </c>
      <c r="G19" s="20">
        <f>COUNTIFS('Test cases'!$B$2:$B$827,$A19,'Test cases'!$F$2:$F$827,"P0")</f>
        <v/>
      </c>
      <c r="H19" s="20">
        <f>G19-COUNTIFS('Test cases'!$B$2:$B$827,$A19,'Test cases'!$F$2:$F$827,"P0",'Test cases'!$M$2:$M$827,"Pass")</f>
        <v/>
      </c>
    </row>
    <row r="20" ht="15" customHeight="1" s="13">
      <c r="A20" s="20" t="inlineStr">
        <is>
          <t>Product master data</t>
        </is>
      </c>
      <c r="B20" s="20">
        <f>COUNTIF('Test cases'!$B$2:$B$827,A20)</f>
        <v/>
      </c>
      <c r="C20" s="20">
        <f>COUNTIFS('Test cases'!$B$2:$B$827,$A20,'Test cases'!$M$2:$M$827,"Pass")</f>
        <v/>
      </c>
      <c r="D20" s="20">
        <f>COUNTIFS('Test cases'!$B$2:$B$827,$A20,'Test cases'!$M$2:$M$827,"Fail")</f>
        <v/>
      </c>
      <c r="E20" s="20">
        <f>COUNTIFS('Test cases'!$B$2:$B$827,$A20,'Test cases'!$M$2:$M$827,"Blocked")</f>
        <v/>
      </c>
      <c r="F20" s="20">
        <f>COUNTIFS('Test cases'!$B$2:$B$827,$A20,'Test cases'!$M$2:$M$827,"Not run")</f>
        <v/>
      </c>
      <c r="G20" s="20">
        <f>COUNTIFS('Test cases'!$B$2:$B$827,$A20,'Test cases'!$F$2:$F$827,"P0")</f>
        <v/>
      </c>
      <c r="H20" s="20">
        <f>G20-COUNTIFS('Test cases'!$B$2:$B$827,$A20,'Test cases'!$F$2:$F$827,"P0",'Test cases'!$M$2:$M$827,"Pass")</f>
        <v/>
      </c>
    </row>
    <row r="21" ht="15" customHeight="1" s="13">
      <c r="A21" s="20" t="inlineStr">
        <is>
          <t>Notifications</t>
        </is>
      </c>
      <c r="B21" s="20">
        <f>COUNTIF('Test cases'!$B$2:$B$827,A21)</f>
        <v/>
      </c>
      <c r="C21" s="20">
        <f>COUNTIFS('Test cases'!$B$2:$B$827,$A21,'Test cases'!$M$2:$M$827,"Pass")</f>
        <v/>
      </c>
      <c r="D21" s="20">
        <f>COUNTIFS('Test cases'!$B$2:$B$827,$A21,'Test cases'!$M$2:$M$827,"Fail")</f>
        <v/>
      </c>
      <c r="E21" s="20">
        <f>COUNTIFS('Test cases'!$B$2:$B$827,$A21,'Test cases'!$M$2:$M$827,"Blocked")</f>
        <v/>
      </c>
      <c r="F21" s="20">
        <f>COUNTIFS('Test cases'!$B$2:$B$827,$A21,'Test cases'!$M$2:$M$827,"Not run")</f>
        <v/>
      </c>
      <c r="G21" s="20">
        <f>COUNTIFS('Test cases'!$B$2:$B$827,$A21,'Test cases'!$F$2:$F$827,"P0")</f>
        <v/>
      </c>
      <c r="H21" s="20">
        <f>G21-COUNTIFS('Test cases'!$B$2:$B$827,$A21,'Test cases'!$F$2:$F$827,"P0",'Test cases'!$M$2:$M$827,"Pass")</f>
        <v/>
      </c>
    </row>
    <row r="22" ht="15" customHeight="1" s="13">
      <c r="A22" s="20" t="inlineStr">
        <is>
          <t>Finance, settlement &amp; rider earnings</t>
        </is>
      </c>
      <c r="B22" s="20">
        <f>COUNTIF('Test cases'!$B$2:$B$827,A22)</f>
        <v/>
      </c>
      <c r="C22" s="20">
        <f>COUNTIFS('Test cases'!$B$2:$B$827,$A22,'Test cases'!$M$2:$M$827,"Pass")</f>
        <v/>
      </c>
      <c r="D22" s="20">
        <f>COUNTIFS('Test cases'!$B$2:$B$827,$A22,'Test cases'!$M$2:$M$827,"Fail")</f>
        <v/>
      </c>
      <c r="E22" s="20">
        <f>COUNTIFS('Test cases'!$B$2:$B$827,$A22,'Test cases'!$M$2:$M$827,"Blocked")</f>
        <v/>
      </c>
      <c r="F22" s="20">
        <f>COUNTIFS('Test cases'!$B$2:$B$827,$A22,'Test cases'!$M$2:$M$827,"Not run")</f>
        <v/>
      </c>
      <c r="G22" s="20">
        <f>COUNTIFS('Test cases'!$B$2:$B$827,$A22,'Test cases'!$F$2:$F$827,"P0")</f>
        <v/>
      </c>
      <c r="H22" s="20">
        <f>G22-COUNTIFS('Test cases'!$B$2:$B$827,$A22,'Test cases'!$F$2:$F$827,"P0",'Test cases'!$M$2:$M$827,"Pass")</f>
        <v/>
      </c>
    </row>
    <row r="23" ht="15" customHeight="1" s="13">
      <c r="A23" s="20" t="inlineStr">
        <is>
          <t>Admin &amp; operations console</t>
        </is>
      </c>
      <c r="B23" s="20">
        <f>COUNTIF('Test cases'!$B$2:$B$827,A23)</f>
        <v/>
      </c>
      <c r="C23" s="20">
        <f>COUNTIFS('Test cases'!$B$2:$B$827,$A23,'Test cases'!$M$2:$M$827,"Pass")</f>
        <v/>
      </c>
      <c r="D23" s="20">
        <f>COUNTIFS('Test cases'!$B$2:$B$827,$A23,'Test cases'!$M$2:$M$827,"Fail")</f>
        <v/>
      </c>
      <c r="E23" s="20">
        <f>COUNTIFS('Test cases'!$B$2:$B$827,$A23,'Test cases'!$M$2:$M$827,"Blocked")</f>
        <v/>
      </c>
      <c r="F23" s="20">
        <f>COUNTIFS('Test cases'!$B$2:$B$827,$A23,'Test cases'!$M$2:$M$827,"Not run")</f>
        <v/>
      </c>
      <c r="G23" s="20">
        <f>COUNTIFS('Test cases'!$B$2:$B$827,$A23,'Test cases'!$F$2:$F$827,"P0")</f>
        <v/>
      </c>
      <c r="H23" s="20">
        <f>G23-COUNTIFS('Test cases'!$B$2:$B$827,$A23,'Test cases'!$F$2:$F$827,"P0",'Test cases'!$M$2:$M$827,"Pass")</f>
        <v/>
      </c>
    </row>
    <row r="24" ht="15" customHeight="1" s="13">
      <c r="A24" s="20" t="inlineStr">
        <is>
          <t>Marketing &amp; consent</t>
        </is>
      </c>
      <c r="B24" s="20">
        <f>COUNTIF('Test cases'!$B$2:$B$827,A24)</f>
        <v/>
      </c>
      <c r="C24" s="20">
        <f>COUNTIFS('Test cases'!$B$2:$B$827,$A24,'Test cases'!$M$2:$M$827,"Pass")</f>
        <v/>
      </c>
      <c r="D24" s="20">
        <f>COUNTIFS('Test cases'!$B$2:$B$827,$A24,'Test cases'!$M$2:$M$827,"Fail")</f>
        <v/>
      </c>
      <c r="E24" s="20">
        <f>COUNTIFS('Test cases'!$B$2:$B$827,$A24,'Test cases'!$M$2:$M$827,"Blocked")</f>
        <v/>
      </c>
      <c r="F24" s="20">
        <f>COUNTIFS('Test cases'!$B$2:$B$827,$A24,'Test cases'!$M$2:$M$827,"Not run")</f>
        <v/>
      </c>
      <c r="G24" s="20">
        <f>COUNTIFS('Test cases'!$B$2:$B$827,$A24,'Test cases'!$F$2:$F$827,"P0")</f>
        <v/>
      </c>
      <c r="H24" s="20">
        <f>G24-COUNTIFS('Test cases'!$B$2:$B$827,$A24,'Test cases'!$F$2:$F$827,"P0",'Test cases'!$M$2:$M$827,"Pass")</f>
        <v/>
      </c>
    </row>
    <row r="25" ht="15" customHeight="1" s="13">
      <c r="A25" s="20" t="inlineStr">
        <is>
          <t>Analytics &amp; KPIs</t>
        </is>
      </c>
      <c r="B25" s="20">
        <f>COUNTIF('Test cases'!$B$2:$B$827,A25)</f>
        <v/>
      </c>
      <c r="C25" s="20">
        <f>COUNTIFS('Test cases'!$B$2:$B$827,$A25,'Test cases'!$M$2:$M$827,"Pass")</f>
        <v/>
      </c>
      <c r="D25" s="20">
        <f>COUNTIFS('Test cases'!$B$2:$B$827,$A25,'Test cases'!$M$2:$M$827,"Fail")</f>
        <v/>
      </c>
      <c r="E25" s="20">
        <f>COUNTIFS('Test cases'!$B$2:$B$827,$A25,'Test cases'!$M$2:$M$827,"Blocked")</f>
        <v/>
      </c>
      <c r="F25" s="20">
        <f>COUNTIFS('Test cases'!$B$2:$B$827,$A25,'Test cases'!$M$2:$M$827,"Not run")</f>
        <v/>
      </c>
      <c r="G25" s="20">
        <f>COUNTIFS('Test cases'!$B$2:$B$827,$A25,'Test cases'!$F$2:$F$827,"P0")</f>
        <v/>
      </c>
      <c r="H25" s="20">
        <f>G25-COUNTIFS('Test cases'!$B$2:$B$827,$A25,'Test cases'!$F$2:$F$827,"P0",'Test cases'!$M$2:$M$827,"Pass")</f>
        <v/>
      </c>
    </row>
    <row r="26" ht="15" customHeight="1" s="13">
      <c r="A26" s="20" t="inlineStr">
        <is>
          <t>Security &amp; platform</t>
        </is>
      </c>
      <c r="B26" s="20">
        <f>COUNTIF('Test cases'!$B$2:$B$827,A26)</f>
        <v/>
      </c>
      <c r="C26" s="20">
        <f>COUNTIFS('Test cases'!$B$2:$B$827,$A26,'Test cases'!$M$2:$M$827,"Pass")</f>
        <v/>
      </c>
      <c r="D26" s="20">
        <f>COUNTIFS('Test cases'!$B$2:$B$827,$A26,'Test cases'!$M$2:$M$827,"Fail")</f>
        <v/>
      </c>
      <c r="E26" s="20">
        <f>COUNTIFS('Test cases'!$B$2:$B$827,$A26,'Test cases'!$M$2:$M$827,"Blocked")</f>
        <v/>
      </c>
      <c r="F26" s="20">
        <f>COUNTIFS('Test cases'!$B$2:$B$827,$A26,'Test cases'!$M$2:$M$827,"Not run")</f>
        <v/>
      </c>
      <c r="G26" s="20">
        <f>COUNTIFS('Test cases'!$B$2:$B$827,$A26,'Test cases'!$F$2:$F$827,"P0")</f>
        <v/>
      </c>
      <c r="H26" s="20">
        <f>G26-COUNTIFS('Test cases'!$B$2:$B$827,$A26,'Test cases'!$F$2:$F$827,"P0",'Test cases'!$M$2:$M$827,"Pass")</f>
        <v/>
      </c>
    </row>
    <row r="27" ht="15" customHeight="1" s="13">
      <c r="A27" s="20" t="inlineStr">
        <is>
          <t>Navigation, responsive &amp; legal</t>
        </is>
      </c>
      <c r="B27" s="20">
        <f>COUNTIF('Test cases'!$B$2:$B$827,A27)</f>
        <v/>
      </c>
      <c r="C27" s="20">
        <f>COUNTIFS('Test cases'!$B$2:$B$827,$A27,'Test cases'!$M$2:$M$827,"Pass")</f>
        <v/>
      </c>
      <c r="D27" s="20">
        <f>COUNTIFS('Test cases'!$B$2:$B$827,$A27,'Test cases'!$M$2:$M$827,"Fail")</f>
        <v/>
      </c>
      <c r="E27" s="20">
        <f>COUNTIFS('Test cases'!$B$2:$B$827,$A27,'Test cases'!$M$2:$M$827,"Blocked")</f>
        <v/>
      </c>
      <c r="F27" s="20">
        <f>COUNTIFS('Test cases'!$B$2:$B$827,$A27,'Test cases'!$M$2:$M$827,"Not run")</f>
        <v/>
      </c>
      <c r="G27" s="20">
        <f>COUNTIFS('Test cases'!$B$2:$B$827,$A27,'Test cases'!$F$2:$F$827,"P0")</f>
        <v/>
      </c>
      <c r="H27" s="20">
        <f>G27-COUNTIFS('Test cases'!$B$2:$B$827,$A27,'Test cases'!$F$2:$F$827,"P0",'Test cases'!$M$2:$M$827,"Pass")</f>
        <v/>
      </c>
    </row>
    <row r="28" ht="15" customHeight="1" s="13">
      <c r="A28" s="20" t="inlineStr">
        <is>
          <t>Field-level validation</t>
        </is>
      </c>
      <c r="B28" s="20">
        <f>COUNTIF('Test cases'!$B$2:$B$827,A28)</f>
        <v/>
      </c>
      <c r="C28" s="20">
        <f>COUNTIFS('Test cases'!$B$2:$B$827,$A28,'Test cases'!$M$2:$M$827,"Pass")</f>
        <v/>
      </c>
      <c r="D28" s="20">
        <f>COUNTIFS('Test cases'!$B$2:$B$827,$A28,'Test cases'!$M$2:$M$827,"Fail")</f>
        <v/>
      </c>
      <c r="E28" s="20">
        <f>COUNTIFS('Test cases'!$B$2:$B$827,$A28,'Test cases'!$M$2:$M$827,"Blocked")</f>
        <v/>
      </c>
      <c r="F28" s="20">
        <f>COUNTIFS('Test cases'!$B$2:$B$827,$A28,'Test cases'!$M$2:$M$827,"Not run")</f>
        <v/>
      </c>
      <c r="G28" s="20">
        <f>COUNTIFS('Test cases'!$B$2:$B$827,$A28,'Test cases'!$F$2:$F$827,"P0")</f>
        <v/>
      </c>
      <c r="H28" s="20">
        <f>G28-COUNTIFS('Test cases'!$B$2:$B$827,$A28,'Test cases'!$F$2:$F$827,"P0",'Test cases'!$M$2:$M$827,"Pass")</f>
        <v/>
      </c>
    </row>
    <row r="29" ht="15" customHeight="1" s="13">
      <c r="A29" s="20" t="inlineStr">
        <is>
          <t>Sell, purchase &amp; inventory</t>
        </is>
      </c>
      <c r="B29" s="20">
        <f>COUNTIF('Test cases'!$B$2:$B$827,A29)</f>
        <v/>
      </c>
      <c r="C29" s="20">
        <f>COUNTIFS('Test cases'!$B$2:$B$827,$A29,'Test cases'!$M$2:$M$827,"Pass")</f>
        <v/>
      </c>
      <c r="D29" s="20">
        <f>COUNTIFS('Test cases'!$B$2:$B$827,$A29,'Test cases'!$M$2:$M$827,"Fail")</f>
        <v/>
      </c>
      <c r="E29" s="20">
        <f>COUNTIFS('Test cases'!$B$2:$B$827,$A29,'Test cases'!$M$2:$M$827,"Blocked")</f>
        <v/>
      </c>
      <c r="F29" s="20">
        <f>COUNTIFS('Test cases'!$B$2:$B$827,$A29,'Test cases'!$M$2:$M$827,"Not run")</f>
        <v/>
      </c>
      <c r="G29" s="20">
        <f>COUNTIFS('Test cases'!$B$2:$B$827,$A29,'Test cases'!$F$2:$F$827,"P0")</f>
        <v/>
      </c>
      <c r="H29" s="20">
        <f>G29-COUNTIFS('Test cases'!$B$2:$B$827,$A29,'Test cases'!$F$2:$F$827,"P0",'Test cases'!$M$2:$M$827,"Pass")</f>
        <v/>
      </c>
    </row>
    <row r="30" ht="15" customHeight="1" s="13">
      <c r="A30" s="20" t="inlineStr">
        <is>
          <t>QA automation</t>
        </is>
      </c>
      <c r="B30" s="20">
        <f>COUNTIF('Test cases'!$B$2:$B$827,A30)</f>
        <v/>
      </c>
      <c r="C30" s="20">
        <f>COUNTIFS('Test cases'!$B$2:$B$827,$A30,'Test cases'!$M$2:$M$827,"Pass")</f>
        <v/>
      </c>
      <c r="D30" s="20">
        <f>COUNTIFS('Test cases'!$B$2:$B$827,$A30,'Test cases'!$M$2:$M$827,"Fail")</f>
        <v/>
      </c>
      <c r="E30" s="20">
        <f>COUNTIFS('Test cases'!$B$2:$B$827,$A30,'Test cases'!$M$2:$M$827,"Blocked")</f>
        <v/>
      </c>
      <c r="F30" s="20">
        <f>COUNTIFS('Test cases'!$B$2:$B$827,$A30,'Test cases'!$M$2:$M$827,"Not run")</f>
        <v/>
      </c>
      <c r="G30" s="20">
        <f>COUNTIFS('Test cases'!$B$2:$B$827,$A30,'Test cases'!$F$2:$F$827,"P0")</f>
        <v/>
      </c>
      <c r="H30" s="20">
        <f>G30-COUNTIFS('Test cases'!$B$2:$B$827,$A30,'Test cases'!$F$2:$F$827,"P0",'Test cases'!$M$2:$M$827,"Pass")</f>
        <v/>
      </c>
    </row>
    <row r="31">
      <c r="A31" s="20" t="inlineStr">
        <is>
          <t>Purchase lists</t>
        </is>
      </c>
      <c r="B31" s="20">
        <f>COUNTIF('Test cases'!$B$2:$B$827,A31)</f>
        <v/>
      </c>
      <c r="C31" s="20">
        <f>COUNTIFS('Test cases'!$B$2:$B$827,$A31,'Test cases'!$M$2:$M$827,"Pass")</f>
        <v/>
      </c>
      <c r="D31" s="20">
        <f>COUNTIFS('Test cases'!$B$2:$B$827,$A31,'Test cases'!$M$2:$M$827,"Fail")</f>
        <v/>
      </c>
      <c r="E31" s="20">
        <f>COUNTIFS('Test cases'!$B$2:$B$827,$A31,'Test cases'!$M$2:$M$827,"Blocked")</f>
        <v/>
      </c>
      <c r="F31" s="20">
        <f>COUNTIFS('Test cases'!$B$2:$B$827,$A31,'Test cases'!$M$2:$M$827,"Not run")</f>
        <v/>
      </c>
      <c r="G31" s="20">
        <f>COUNTIFS('Test cases'!$B$2:$B$827,$A31,'Test cases'!$F$2:$F$827,"P0")</f>
        <v/>
      </c>
      <c r="H31" s="20">
        <f>G31-COUNTIFS('Test cases'!$B$2:$B$827,$A31,'Test cases'!$F$2:$F$827,"P0",'Test cases'!$M$2:$M$827,"Pass")</f>
        <v/>
      </c>
    </row>
    <row r="32">
      <c r="A32" s="21" t="inlineStr">
        <is>
          <t>Total</t>
        </is>
      </c>
      <c r="B32" s="21">
        <f>SUM(B2:B31)</f>
        <v/>
      </c>
      <c r="C32" s="21">
        <f>SUM(C2:C31)</f>
        <v/>
      </c>
      <c r="D32" s="21">
        <f>SUM(D2:D31)</f>
        <v/>
      </c>
      <c r="E32" s="21">
        <f>SUM(E2:E31)</f>
        <v/>
      </c>
      <c r="F32" s="21">
        <f>SUM(F2:F31)</f>
        <v/>
      </c>
      <c r="G32" s="21">
        <f>SUM(G2:G31)</f>
        <v/>
      </c>
      <c r="H32" s="21">
        <f>SUM(H2:H31)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sheetData>
  <autoFilter ref="A1:C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2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http://localhost:3301 renders; console errors: none
staging: https://test.gokesari.com renders; console errors: none ‖ [phone] https://test.gokesari.com renders; console errors: none
production: https://gokesari.com renders; console errors: none ‖ [phone] https://gokesari.com renders; console errors: none</t>
        </is>
      </c>
      <c r="O2" s="24" t="n"/>
      <c r="P2" s="24" t="inlineStr">
        <is>
          <t>2026-10-24 16:17</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/products/f21a0a8a-d89e-4a57-9695-35cf02f56ea6 ‖ loaded signed in: /shops, /search?q=milk, /categories, /shops/qa-shop-a-mvmfd66g-mvmfd6ay-1, /products/78919aa9-6bf9-4438-a624-59e9db621b06, /orders, /wallet
staging: loaded: /shops, /search?q=milk, /categories, /shops/agtci-yivu6, /products/246c8d08-c44c-44b9-9ddd-458955580ba5
production: loaded: /shops, /search?q=milk, /categories, /shops/agtci-yivu6, /products/246c8d08-c44c-44b9-9ddd-458955580ba5</t>
        </is>
      </c>
      <c r="O3" s="24" t="n"/>
      <c r="P3" s="24" t="inlineStr">
        <is>
          <t>2026-10-24 16:10</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Not run · Production Not run
local: 18/18 admin pages load: none blocks a module</t>
        </is>
      </c>
      <c r="O4" s="24" t="n"/>
      <c r="P4" s="24" t="inlineStr">
        <is>
          <t>2026-10-24 12:38</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Not run · Production Not run
local: not covered: the listing of the nine groups is the signed-tier TC-PRE-004 check ‖ not covered: restoring overridden rules to their defaults is admin-settings work kept to the local tier (tests/qa/local/access-admin.spec.ts)</t>
        </is>
      </c>
      <c r="O5" s="24" t="n"/>
      <c r="P5" s="24" t="inlineStr">
        <is>
          <t>2026-10-24 13:18</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Not run · Production Not run
local: not covered: a code actually reaching a mailbox is the local-tier check (local mail catcher)</t>
        </is>
      </c>
      <c r="O6" s="24" t="n"/>
      <c r="P6" s="24" t="inlineStr">
        <is>
          <t>2026-10-24 13:37</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 Production Not run
local: not covered: the local server has no scheduler, so the test calls the dispatch cron as the host's scheduler would; whether the host schedules it every minute is checked on the test site (the exceptions page warns 'dispatch looks stalled')</t>
        </is>
      </c>
      <c r="O7" s="24" t="n"/>
      <c r="P7" s="24" t="inlineStr">
        <is>
          <t>2026-10-24 12:30</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Not run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t>
        </is>
      </c>
      <c r="O8" s="24" t="n"/>
      <c r="P8" s="24" t="inlineStr">
        <is>
          <t>2026-10-24 13:30</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Pass</t>
        </is>
      </c>
      <c r="N9" s="24" t="inlineStr">
        <is>
          <t>Passed, partly covered. Local Pass (partial) · Staging Not run · Production Not run
local: not covered: 'category X with 5+ master products (one unpriced, one loose, one listed by A)' is checked through the product-category specs; shop C is not in the staging world</t>
        </is>
      </c>
      <c r="O9" s="24" t="n"/>
      <c r="P9" s="24" t="inlineStr">
        <is>
          <t>2026-10-24 12:38</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suite's guard; a manual run's discipline is outside automation
production: not covered: proves the suite's guard; a manual run's discipline is outside automation</t>
        </is>
      </c>
      <c r="O10" s="24" t="n"/>
      <c r="P10" s="24" t="inlineStr">
        <is>
          <t>2026-10-24 16:09</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'Add to cart / subscribe prompts sign-in' is checked in TC-RBAC-001 add-to-cart below
production: not covered: 'Add to cart / subscribe prompts sign-in' is checked in TC-RBAC-001 add-to-cart below</t>
        </is>
      </c>
      <c r="O11" s="24" t="n"/>
      <c r="P11" s="24" t="inlineStr">
        <is>
          <t>2026-10-24 16:17</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Not run · Production Not run
local: not covered: record-only (the case decides Blocked vs run for later modules); src/server/authz/permissions.ts documents the owner may dispute an MRP but never write it (§13)</t>
        </is>
      </c>
      <c r="O12" s="24" t="n"/>
      <c r="P12" s="24" t="inlineStr">
        <is>
          <t>2026-10-24 12:38</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Not run · Production Not run
local: not covered: record-only: presence of each screen/API and the switch of its business rule; the features' own cases test their behaviour</t>
        </is>
      </c>
      <c r="O13" s="24" t="n"/>
      <c r="P13" s="24" t="inlineStr">
        <is>
          <t>2026-10-24 12:38</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t>
        </is>
      </c>
      <c r="O14" s="24" t="inlineStr">
        <is>
          <t>D-99</t>
        </is>
      </c>
      <c r="P14" s="24" t="inlineStr">
        <is>
          <t>2026-10-24 12:33</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 Production Not run
local: not covered: dragging the map pin needs a Google Maps key (not set locally): 'Use my current location' geo-tags the address</t>
        </is>
      </c>
      <c r="O15" s="24" t="n"/>
      <c r="P15" s="24" t="inlineStr">
        <is>
          <t>2026-10-24 12:33</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 Production Not run
local: not covered: the account email is no longer shown masked for a mobile sign-in (expected result superseded by docs/login-profile/DEPLOY_AND_TEST.md 'Returning user via mobile': no address shown)</t>
        </is>
      </c>
      <c r="O16" s="24" t="n"/>
      <c r="P16" s="24" t="inlineStr">
        <is>
          <t>2026-10-24 12:36</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 Production Not run
local: qa-auth-email-signup-mvmdr7l1-ce9db6@test.local: account + wallet, details form with empty mobile, saved without a mobile, 'Fill in later' → home</t>
        </is>
      </c>
      <c r="O17" s="24" t="n"/>
      <c r="P17" s="24" t="inlineStr">
        <is>
          <t>2026-10-24 12:34</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 Production Not run
local: not covered: the minute between sign-ins is simulated by ageing the codes</t>
        </is>
      </c>
      <c r="O18" s="24" t="n"/>
      <c r="P18" s="24" t="inlineStr">
        <is>
          <t>2026-10-24 12:36</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 Production Not run
local: not covered: signed in by emailed code; the magic link is TC-AUTH-009, Google needs a Google account (TC-AUTH-008)</t>
        </is>
      </c>
      <c r="O19" s="24" t="n"/>
      <c r="P19" s="24" t="inlineStr">
        <is>
          <t>2026-10-24 12:37</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 Production Not run
local: not covered: the wallet top-up is settled in the database (a gateway payment is not available on a local production build); top-ups are covered by the wallet specs</t>
        </is>
      </c>
      <c r="O20" s="24" t="n"/>
      <c r="P20" s="24" t="inlineStr">
        <is>
          <t>2026-10-24 12:36</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 Production Not run
local: not automated: needs a Google account and Google OAuth keys (AUTH_GOOGLE_ID / AUTH_GOOGLE_SECRET are not set on the local server, whose sign-in page says 'Google sign-in is not configured'); run by hand on test.gokesari.com</t>
        </is>
      </c>
      <c r="O21" s="24" t="n"/>
      <c r="P21" s="24" t="inlineStr">
        <is>
          <t>2026-10-24 12:37</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 Production Not run
local: link mailed and signed in; after signing out the same link → /signin?error=Verification, not signed in</t>
        </is>
      </c>
      <c r="O22" s="24" t="n"/>
      <c r="P22" s="24" t="inlineStr">
        <is>
          <t>2026-10-24 12:37</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 Production Not run
local: not covered: SMS codes are a Phase 2 stub with no vendor (src/server/otp/providers.ts; docs/decision-log.md D-A02, D-F08), so no SMS option is offered and the SMS half needs a vendor and a handset</t>
        </is>
      </c>
      <c r="O23" s="24" t="n"/>
      <c r="P23" s="24" t="inlineStr">
        <is>
          <t>2026-10-24 12:37</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 Production Not run
local: not covered: the designed 'Sign up with your email' link shows for every number (no 'not registered' message at all)</t>
        </is>
      </c>
      <c r="O24" s="24" t="n"/>
      <c r="P24" s="24" t="inlineStr">
        <is>
          <t>2026-10-24 12:35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 Production Not run
local: 5 × 'That code is wrong or has expired…'; the right code then → 'Too many wrong attempts. Request a new code.'; not signed in</t>
        </is>
      </c>
      <c r="O25" s="24" t="n"/>
      <c r="P25" s="24" t="inlineStr">
        <is>
          <t>2026-10-24 12:34</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 Production Not run
local: not covered: default expiry is now 5 minutes, not 10 (expected result superseded by docs/decision-log.md D-A01); the wait is simulated by moving the code's expiry into the past</t>
        </is>
      </c>
      <c r="O26" s="24" t="n"/>
      <c r="P26" s="24" t="inlineStr">
        <is>
          <t>2026-10-24 12:34</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 Production Not run
local: not covered: the 60 s wait between the two codes is simulated by ageing the first code</t>
        </is>
      </c>
      <c r="O27" s="24" t="n"/>
      <c r="P27" s="24" t="inlineStr">
        <is>
          <t>2026-10-24 12:34</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 Production Not run
local: signed in with 829530, signed out; the same code → "That code is wrong or has expired…"; no session</t>
        </is>
      </c>
      <c r="O28" s="24" t="n"/>
      <c r="P28" s="24" t="inlineStr">
        <is>
          <t>2026-10-24 12:36</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 Production Not run
local: Resend disabled with a countdown; API at once → 429 "Please wait 60 seconds before requesting another code."; after 60 s Resend sent a new code (239099 → 954651) that signed in</t>
        </is>
      </c>
      <c r="O29" s="24" t="n"/>
      <c r="P29" s="24" t="inlineStr">
        <is>
          <t>2026-10-24 12:35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 Production Not run
local: not covered: the 60 s between requests is simulated by ageing each code</t>
        </is>
      </c>
      <c r="O30" s="24" t="n"/>
      <c r="P30" s="24" t="inlineStr">
        <is>
          <t>2026-10-24 12:35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 Production Not run
local: 20 × 200 from 10.147.72.191; 21st → 429 RATE_LIMITED, retryAfterSeconds 3599; another IP still 200</t>
        </is>
      </c>
      <c r="O31" s="24" t="n"/>
      <c r="P31" s="24" t="inlineStr">
        <is>
          <t>2026-10-24 12:35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2026-10-24 16:17</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Not run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t>
        </is>
      </c>
      <c r="O33" s="24" t="n"/>
      <c r="P33" s="24" t="inlineStr">
        <is>
          <t>2026-10-24 12:47</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t>
        </is>
      </c>
      <c r="O34" s="24" t="n"/>
      <c r="P34" s="24" t="inlineStr">
        <is>
          <t>2026-10-24 12:36</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 Production Not run
local: released +916163568409 from the console (audited by the admin); holder's profile shows no mobile; the claimant added it</t>
        </is>
      </c>
      <c r="O35" s="24" t="n"/>
      <c r="P35" s="24" t="inlineStr">
        <is>
          <t>2026-10-24 12:32</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Not run · Production Not run
local: name → "Zara QA mvme4yfn", gender → Male; 'Saved.'; header initial Z; both kept after reload ‖ [phone] name → "Zara QA mvmeejct", gender → Male; 'Saved.'; header initial Z; both kept after reload</t>
        </is>
      </c>
      <c r="O36" s="24" t="n"/>
      <c r="P36" s="24" t="inlineStr">
        <is>
          <t>2026-10-24 12:52</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Pass</t>
        </is>
      </c>
      <c r="N37" s="24" t="inlineStr">
        <is>
          <t>Passed, partly covered. Local Pass (partial) · Staging Not run · Production Not run
local: not covered: the notice is checked in-app; its email copy follows the customer's notification settings (notification specs)</t>
        </is>
      </c>
      <c r="O37" s="24" t="n"/>
      <c r="P37" s="24" t="inlineStr">
        <is>
          <t>2026-10-24 12:47</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 Production Not run
local: code to qa***@ ("NNNNNN is your Gokesari email confirmation code"); wrong code → error, email kept; right code → changed, old address mailed "was changed", audited; the new email signs in</t>
        </is>
      </c>
      <c r="O38" s="24" t="n"/>
      <c r="P38" s="24" t="inlineStr">
        <is>
          <t>2026-10-24 12:32</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Not run · Production Not run
local: page and API (409) refuse qa***@test.local; email unchanged</t>
        </is>
      </c>
      <c r="O39" s="24" t="n"/>
      <c r="P39" s="24" t="inlineStr">
        <is>
          <t>2026-10-24 12:47</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 Production Not run
local: not covered: Google sign-in is not configured on the local server (needs a Google account and OAuth keys); the emailed link is the next check</t>
        </is>
      </c>
      <c r="O40" s="24" t="inlineStr">
        <is>
          <t>D-19</t>
        </is>
      </c>
      <c r="P40" s="24" t="inlineStr">
        <is>
          <t>2026-10-24 12:37</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 Production Not run
local: not covered: the admin audit page lists the latest 100 events and has no search box; SMS text, sender and template need an SMS vendor (Phase 2 — TC-AUTH-052's SMS half)</t>
        </is>
      </c>
      <c r="O41" s="24" t="n"/>
      <c r="P41" s="24" t="inlineStr">
        <is>
          <t>2026-10-24 12:37</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 Production Not run
local: not covered: the rule is set through the admin settings API (PUT/DELETE /api/admin/settings, the endpoint the /admin/settings form uses); the 1-minute expiry is read from the stored code rather than waited out</t>
        </is>
      </c>
      <c r="O42" s="24" t="n"/>
      <c r="P42" s="24" t="inlineStr">
        <is>
          <t>2026-10-24 12:37</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 Production Not run
local: after Sign out: Back → /signin; /wallet → /signin; API 401 UNAUTHENTICATED</t>
        </is>
      </c>
      <c r="O43" s="24" t="n"/>
      <c r="P43" s="24" t="inlineStr">
        <is>
          <t>2026-10-24 12:47</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Not run · Production Not run
local: /wallet, /orders, /profile: stayed signed in through each reload ‖ [phone] /wallet, /orders, /profile: stayed signed in through each reload</t>
        </is>
      </c>
      <c r="O44" s="24" t="n"/>
      <c r="P44" s="24" t="inlineStr">
        <is>
          <t>2026-10-24 12:52</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 Production Not run
local: customer (/, account-dropdown) → /; shop (/shop, seller-account-button) → /; rider (/delivery-partner, account-button) → /; society (/society, account-button) → /; ops (/admin, board-account) → /; admin (/admin, board-account) → /</t>
        </is>
      </c>
      <c r="O45" s="24" t="n"/>
      <c r="P45" s="24" t="inlineStr">
        <is>
          <t>2026-10-24 12:47</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Pass</t>
        </is>
      </c>
      <c r="N46" s="24" t="inlineStr">
        <is>
          <t>Local Pass (partial) · Staging Pass · Production Pass
local: not covered: the signed-out guest half of TC-AUTH-033 (every page) is in tests/qa/guest/access.spec.ts
staging: 180 signed-in pages and account APIs not closed to a guest: all refused
production: 180 signed-in pages and account APIs not closed to a guest: all refused</t>
        </is>
      </c>
      <c r="O46" s="24" t="n"/>
      <c r="P46" s="24" t="inlineStr">
        <is>
          <t>2026-10-24 16:06</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 Production Not run
local: both refused with 401</t>
        </is>
      </c>
      <c r="O47" s="24" t="inlineStr">
        <is>
          <t>D-17, D-99</t>
        </is>
      </c>
      <c r="P47" s="24" t="inlineStr">
        <is>
          <t>2026-10-24 12:48</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 Production Not run
local: tab 2: Save details refused (name unchanged), next link → /signin</t>
        </is>
      </c>
      <c r="O48" s="24" t="n"/>
      <c r="P48" s="24" t="inlineStr">
        <is>
          <t>2026-10-24 12:48</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 Production Not run
local: device 2 after device 1 signs out: still signed in, still signed in (per-device sessions)</t>
        </is>
      </c>
      <c r="O49" s="24" t="n"/>
      <c r="P49" s="24" t="inlineStr">
        <is>
          <t>2026-10-24 12:48</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Pass</t>
        </is>
      </c>
      <c r="N50" s="24" t="inlineStr">
        <is>
          <t>Passed, partly covered. Local Pass (partial) · Staging Not run · Production Not run
local: not covered: the second person signs in with their own session cookie on the same browser (no emailed code in the signed-in tier)</t>
        </is>
      </c>
      <c r="O50" s="24" t="n"/>
      <c r="P50" s="24" t="inlineStr">
        <is>
          <t>2026-10-24 12:48</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 Production Not run
local: not covered: the second person signs in with their own session cookie on the same browser (no emailed code in the signed-in tier)</t>
        </is>
      </c>
      <c r="O51" s="24" t="inlineStr">
        <is>
          <t>D-21</t>
        </is>
      </c>
      <c r="P51" s="24" t="inlineStr">
        <is>
          <t>2026-10-24 12:48</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 Production Not run
local: edited the price of QA Butter 100 g mvmdce6i without saving, signed out without a warning; price still 5800 paise</t>
        </is>
      </c>
      <c r="O52" s="24" t="n"/>
      <c r="P52" s="24" t="inlineStr">
        <is>
          <t>2026-10-24 12:48</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Pass</t>
        </is>
      </c>
      <c r="N53" s="24" t="inlineStr">
        <is>
          <t>Passed, partly covered. Local Pass (partial) · Staging Not run · Production Not run
local: not covered: the case asks to confirm the intended behaviour with the owner; this check asserts the stated expectation</t>
        </is>
      </c>
      <c r="O53" s="24" t="inlineStr">
        <is>
          <t>D-20</t>
        </is>
      </c>
      <c r="P53" s="24" t="inlineStr">
        <is>
          <t>2026-10-24 12:49</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 Production Not run
local: not covered: signing in again reuses the account's session (no emailed code in the signed-in tier)</t>
        </is>
      </c>
      <c r="O54" s="24" t="n"/>
      <c r="P54" s="24" t="inlineStr">
        <is>
          <t>2026-10-24 12:49</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 Production Not run
local: not covered: Next.js server actions (the menu's Sign out) are protected by Next's own origin check, not probed here</t>
        </is>
      </c>
      <c r="O55" s="24" t="n"/>
      <c r="P55" s="24" t="inlineStr">
        <is>
          <t>2026-10-24 12:49</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 Production Not run
local: 360 px: menu → Sign out at x=12–298 px, no sideways scroll, signed out ‖ [phone] 360 px: menu → Sign out at x=12–298 px, no sideways scroll, signed out</t>
        </is>
      </c>
      <c r="O56" s="24" t="n"/>
      <c r="P56" s="24" t="inlineStr">
        <is>
          <t>2026-10-24 12:52</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 Production Not run
local: signed in again; the sign-in page was /signin and after the code it went to /, not back to /wallet | expect(received).toBe(expected) // Object.is equality | Expected: "/wallet" | Received: "/"</t>
        </is>
      </c>
      <c r="O57" s="24" t="inlineStr">
        <is>
          <t>D-23</t>
        </is>
      </c>
      <c r="P57" s="24" t="inlineStr">
        <is>
          <t>2026-10-24 12:33</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 Production Not run
local: not covered: the sign-out address shows the Auth.js 'Sign out' confirmation page, not the home page; the recorded events are the next check ‖ not covered: read from the audit table the admin's audit view lists (/admin/console/audit-log)</t>
        </is>
      </c>
      <c r="O58" s="24" t="inlineStr">
        <is>
          <t>D-22</t>
        </is>
      </c>
      <c r="P58" s="24" t="inlineStr">
        <is>
          <t>2026-10-24 12:32</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 Production Not run
local: not automated: needs an SMS vendor in test mode and a real handset: SMS codes are a Phase 2 stub on this build (src/server/otp/providers.ts SmsOtpProvider; docs/decision-log.md D-A02, D-F08) and new mobiles sign up through email</t>
        </is>
      </c>
      <c r="O59" s="24" t="n"/>
      <c r="P59" s="24" t="inlineStr">
        <is>
          <t>2026-10-24 12:37</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 Production Not run
local: not covered: SMS codes are a Phase 2 stub with no vendor (src/server/otp/providers.ts; docs/decision-log.md D-A02, D-F08), so no SMS option is offered and the SMS half needs a vendor and a handset</t>
        </is>
      </c>
      <c r="O60" s="24" t="n"/>
      <c r="P60" s="24" t="inlineStr">
        <is>
          <t>2026-10-24 12:37</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 Production Not run
local: not automated: needs an SMS vendor and a handset to read SMS codes; the same rules for emailed codes are TC-AUTH-012/013/014/029</t>
        </is>
      </c>
      <c r="O61" s="24" t="n"/>
      <c r="P61" s="24" t="inlineStr">
        <is>
          <t>2026-10-24 12:37</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 Production Not run
local: not automated: needs an SMS vendor and a handset (no SMS cost can be observed without one); the same limits for emailed codes are TC-AUTH-016/017</t>
        </is>
      </c>
      <c r="O62" s="24" t="n"/>
      <c r="P62" s="24" t="inlineStr">
        <is>
          <t>2026-10-24 12:37</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 Production Not run
local: not covered: SMS itself is not sent by this build (SMS codes are a Phase 2 stub — src/server/otp/providers.ts, docs/decision-log.md D-A02/D-F08); a handset is needed to prove no SMS goes out</t>
        </is>
      </c>
      <c r="O63" s="24" t="n"/>
      <c r="P63" s="24" t="inlineStr">
        <is>
          <t>2026-10-24 12:35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t>
        </is>
      </c>
      <c r="O64" s="24" t="n"/>
      <c r="P64" s="24" t="inlineStr">
        <is>
          <t>2026-10-24 12:37</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 Production Not run
local: not covered: the admin audit page lists the latest 100 events and has no search box; SMS text, sender and template need an SMS vendor (Phase 2 — TC-AUTH-052's SMS half)</t>
        </is>
      </c>
      <c r="O65" s="24" t="n"/>
      <c r="P65" s="24" t="inlineStr">
        <is>
          <t>2026-10-24 12:37</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t>
        </is>
      </c>
      <c r="O66" s="24" t="n"/>
      <c r="P66" s="24" t="inlineStr">
        <is>
          <t>2026-10-24 12:37</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Not run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t>
        </is>
      </c>
      <c r="O67" s="24" t="n"/>
      <c r="P67" s="24" t="inlineStr">
        <is>
          <t>2026-10-24 12:47</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production: not covered: 'Add to cart / subscribe prompts sign-in' is checked in TC-RBAC-001 add-to-cart below</t>
        </is>
      </c>
      <c r="O68" s="24" t="n"/>
      <c r="P68" s="24" t="inlineStr">
        <is>
          <t>2026-10-24 16:18</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Fail</t>
        </is>
      </c>
      <c r="N69" s="24" t="inlineStr">
        <is>
          <t>Local Pass (partial) · Staging Pass · Production Fail
local: not covered: the no-cookie sweep of every page and write API is tests/qa/guest/access.spec.ts; known D-01 routes answer 404/422 there
staging: 180 signed-in pages and account APIs not closed to a guest: all refused ‖ 321 session-protected write endpoints not refusing a guest: all refused
production: 17 of 321 session-protected write endpoints not refusing a guest: | PATCH /api/admin/payouts/batches/[id] → 422 VALIDATION_FAILED | POST /api/excel-uploads → 422 VALIDATION_FAILED | POST /api/excel-uploads/[id]/apply → 404 NOT_FOUND</t>
        </is>
      </c>
      <c r="O69" s="24" t="inlineStr">
        <is>
          <t>D-01</t>
        </is>
      </c>
      <c r="P69" s="24" t="inlineStr">
        <is>
          <t>2026-10-24 16:09</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Pass</t>
        </is>
      </c>
      <c r="N70" s="24" t="inlineStr">
        <is>
          <t>Passed, partly covered. Local Pass (partial) · Staging Not run · Production Not run
local: not covered: pages only; the write APIs of each area are the next check ‖ not covered: an empty body and an id that exists nowhere; the refusal must come before validation or a lookup</t>
        </is>
      </c>
      <c r="O70" s="24" t="inlineStr">
        <is>
          <t>D-81</t>
        </is>
      </c>
      <c r="P70" s="24" t="inlineStr">
        <is>
          <t>2026-10-24 13:32</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Not run · Production Not run
local: not covered: empty bodies refused with 422 before the ownership check reveal field names only (the D-01 pattern, here for a signed-in owner); with a valid body each is refused</t>
        </is>
      </c>
      <c r="O71" s="24" t="n"/>
      <c r="P71" s="24" t="inlineStr">
        <is>
          <t>2026-10-24 13:30</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Not run · Production Not run
local: 71 admin pages + /operator, /delivery-partner, /society/{id} refused (/operator 307→/admin; /delivery-partner 307→/delivery-partner/apply; /society/0df15aac-c450-40d2-8766-5cf9674407e5 404); settings API 403 ‖ 106 admin API calls: 403×106</t>
        </is>
      </c>
      <c r="O72" s="24" t="inlineStr">
        <is>
          <t>D-81</t>
        </is>
      </c>
      <c r="P72" s="24" t="inlineStr">
        <is>
          <t>2026-10-24 13:30</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Not run · Production Not run
local: not covered: locally the other riders go offline so the offer reaches rider 2; on the test site rider2 does not exist (blocked)</t>
        </is>
      </c>
      <c r="O73" s="24" t="n"/>
      <c r="P73" s="24" t="inlineStr">
        <is>
          <t>2026-10-24 13:31</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Not run · Production Not run
local: not covered: the refusals of admin-only functions are the signed-tier TC-RBAC-007 check ‖ not covered: approving / rejecting a shop as operator is in tests/qa/local/access-roles.spec.ts; the limited audit view is TC-RBAC-021</t>
        </is>
      </c>
      <c r="O74" s="24" t="n"/>
      <c r="P74" s="24" t="inlineStr">
        <is>
          <t>2026-10-24 13:31</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 Production Not run
local: not covered: evidence for the pending 'Limited' decision (TC-RBAC-008 is record-only): an operator holds SHOP_UPDATE_ANY and SHOP_PRODUCT_MANAGE_ANY</t>
        </is>
      </c>
      <c r="O75" s="24" t="n"/>
      <c r="P75" s="24" t="inlineStr">
        <is>
          <t>2026-10-24 12:31</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 Production Not run
local: "Privileges updated for QA rbac009"; CUSTOMER→OPERATOR audited (user.privileges_updated); notification received; /admin 200</t>
        </is>
      </c>
      <c r="O76" s="24" t="n"/>
      <c r="P76" s="24" t="inlineStr">
        <is>
          <t>2026-10-24 12:31</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 Production Not run
local: not covered: links outside the form (site header, 'Edit profile') leave without a prompt by design (src/components/unsaved-changes-guard.tsx: the guard is page-scoped)</t>
        </is>
      </c>
      <c r="O77" s="24" t="n"/>
      <c r="P77" s="24" t="inlineStr">
        <is>
          <t>2026-10-24 12:31</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 Production Not run
local: held CUSTOMER+SHOP_OWNER+DELIVERY_PARTNER; DELIVERY_PARTNER→/delivery-partner; CUSTOMER→/; SHOP_OWNER→/shop</t>
        </is>
      </c>
      <c r="O78" s="24" t="n"/>
      <c r="P78" s="24" t="inlineStr">
        <is>
          <t>2026-10-24 12:31</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Pass</t>
        </is>
      </c>
      <c r="N79" s="24" t="inlineStr">
        <is>
          <t>Local Pass · Staging Not run · Production Not run
local: ADMIN 403, OPERATOR 403, SHOP_OWNER 403, NOT_A_ROLE 422; still CUSTOMER (["CUSTOMER"])</t>
        </is>
      </c>
      <c r="O79" s="24" t="n"/>
      <c r="P79" s="24" t="inlineStr">
        <is>
          <t>2026-10-24 13:31</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 Production Not run
local: OPERATOR → revoked → CUSTOMER at once; /admin now 307 → /</t>
        </is>
      </c>
      <c r="O80" s="24" t="n"/>
      <c r="P80" s="24" t="inlineStr">
        <is>
          <t>2026-10-24 12:31</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 Production Not run
local: after OPERATOR: CUSTOMER+SHOP_OWNER+OPERATOR (active OPERATOR); after ADMIN: CUSTOMER+SHOP_OWNER+ADMIN (active ADMIN); both at once → 422</t>
        </is>
      </c>
      <c r="O81" s="24" t="n"/>
      <c r="P81" s="24" t="inlineStr">
        <is>
          <t>2026-10-24 12:31</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 Production Not run
local: not covered: the local database has no accounts from before the role-grant migration; the backfill is read from drizzle/0023 and the grant query is the one to run on the sites' databases</t>
        </is>
      </c>
      <c r="O82" s="24" t="n"/>
      <c r="P82" s="24" t="inlineStr">
        <is>
          <t>2026-10-24 12:31</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Not run · Production Not run
local: not covered: the shop owner's personal order is the signed-tier TC-RBAC-016 check; wallets topped up in the database first ‖ not covered: rider and operator personal orders need their wallets funded: tests/qa/local/access-roles.spec.ts</t>
        </is>
      </c>
      <c r="O83" s="24" t="n"/>
      <c r="P83" s="24" t="inlineStr">
        <is>
          <t>2026-10-24 13:31</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Not run · Production Not run
local: DB-20261024-JC7DOQ B2B for QA Shop A mvmfd66g from QA Shop B mvmfd66g, no address sent, ₹45</t>
        </is>
      </c>
      <c r="O84" s="24" t="n"/>
      <c r="P84" s="24" t="inlineStr">
        <is>
          <t>2026-10-24 13:31</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Pass</t>
        </is>
      </c>
      <c r="N85" s="24" t="inlineStr">
        <is>
          <t>Local Pass · Staging Not run · Production Not run
local: customer B2B 403 FORBIDDEN; owner A for shop B 403 FORBIDDEN; owner A, own shop's items 422 VALIDATION_FAILED; PERSONAL with buyerShopId 422 VALIDATION_FAILED ‖ customer and owner A carts empty</t>
        </is>
      </c>
      <c r="O85" s="24" t="n"/>
      <c r="P85" s="24" t="inlineStr">
        <is>
          <t>2026-10-24 13:32</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Not run · Production Not run
local: not covered: the society admin's deliveries view (no customer PII or contents) needs an order to a society address: TC-RBAC-019 society check below ‖ not covered: no order is delivered to a society address in this run, so the deliveries list is empty: the check proves the page and the absence of PII, not a populated list</t>
        </is>
      </c>
      <c r="O86" s="24" t="n"/>
      <c r="P86" s="24" t="inlineStr">
        <is>
          <t>2026-10-24 13:31</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Not run · Production Not run
local: shop /shop/finance 200 (own shop only); rider earnings 200 (own); operator: /admin/finance → exceptions; summary/settlements/payouts/ledger 403; exceptions 200; customer: /shop/finance refused, finance summary 403; owner A on B's wallet 403</t>
        </is>
      </c>
      <c r="O87" s="24" t="n"/>
      <c r="P87" s="24" t="inlineStr">
        <is>
          <t>2026-10-24 13:31</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Not run · Production Not run
local: admin: role grants with actor role and before/after; operator: 'operational entries' with shop.updated only; customer and shop redirected</t>
        </is>
      </c>
      <c r="O88" s="24" t="n"/>
      <c r="P88" s="24" t="inlineStr">
        <is>
          <t>2026-10-24 13:31</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 Production Not run
local: update: refused (audit_logs is append-only: UPDATE is not allowed); delete: refused (audit_logs is append-only: DELETE is not allowed)</t>
        </is>
      </c>
      <c r="O89" s="24" t="n"/>
      <c r="P89" s="24" t="inlineStr">
        <is>
          <t>2026-10-24 12:31</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Pass</t>
        </is>
      </c>
      <c r="N90" s="24" t="inlineStr">
        <is>
          <t>Passed, partly covered. Local Pass (partial) · Staging Not run · Production Not run
local: not covered: the direction is customer 2 → customer 1 (customer 2 cannot order: its address is outside every radius)</t>
        </is>
      </c>
      <c r="O90" s="24" t="n"/>
      <c r="P90" s="24" t="inlineStr">
        <is>
          <t>2026-10-24 13:32</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 Production Not run
local: suspended mid-session: /orders → /signin, /api/wallet 401; sign-in again refused: "no sign-in code was emailed within 15 s"</t>
        </is>
      </c>
      <c r="O91" s="24" t="n"/>
      <c r="P91" s="24" t="inlineStr">
        <is>
          <t>2026-10-24 12:32</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Pass</t>
        </is>
      </c>
      <c r="N92" s="24" t="inlineStr">
        <is>
          <t>Local Pass (partial) · Staging Pass · Production Pass
local: not covered: the guest half (set by PIN, clear) is guest/storefront.spec.ts
staging: PIN 411038 set from the location bar, then cleared ‖ [phone] PIN 411038 set from the location bar, then cleared
production: PIN 411038 set from the location bar, then cleared ‖ [phone] PIN 411038 set from the location bar, then cleared</t>
        </is>
      </c>
      <c r="O92" s="24" t="n"/>
      <c r="P92" s="24" t="inlineStr">
        <is>
          <t>2026-10-24 16:18</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Fail</t>
        </is>
      </c>
      <c r="N93" s="24" t="inlineStr">
        <is>
          <t>Local Pass (partial) · Staging Pass · Production Fail
local: not covered: PINs starting with 0 (000000, 011001) are accepted — known defect D-04, asserted by the guest check in guest/storefront.spec.ts
staging: 7 digits cut to 6; refused on the field: 12345, 011001, abcdef; API 000000 → 422
production: dialog stays open for "011001" | expect(locator).toBeVisible() failed | Locator: getByRole('dialog', { name: /delivery location/i }) | Expected: visible</t>
        </is>
      </c>
      <c r="O93" s="24" t="inlineStr">
        <is>
          <t>D-04</t>
        </is>
      </c>
      <c r="P93" s="24" t="inlineStr">
        <is>
          <t>2026-10-24 16:14</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Not run · Production Not run
local: allowed: 18.50745678,73.80771234 stored as 18.5075,73.8077; denied: "Location permission was not given…", PIN 411038 kept ‖ [phone] allowed: 18.50745678,73.80771234 stored as 18.5075,73.8077; denied: "Location permission was not given…", PIN 411038 kept</t>
        </is>
      </c>
      <c r="O94" s="24" t="n"/>
      <c r="P94" s="24" t="inlineStr">
        <is>
          <t>2026-10-24 13:46</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Local Pass · Staging Not run · Production Not run
local: far address (411057): QA Shop A mvmfd66g not listed, cart preselects it and warns; near address: listed again, cart preselects it ‖ [phone] far address (411057): QA Shop A mvmfd66g not listed, cart preselects it and warns; near address: listed again, cart preselects it</t>
        </is>
      </c>
      <c r="O95" s="24" t="n"/>
      <c r="P95" s="24" t="inlineStr">
        <is>
          <t>2026-10-24 13:39</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Not run · Production Not run
local: not covered: TC-LOC-007's guest half (all shops / a prompt) is guest/storefront.spec.ts</t>
        </is>
      </c>
      <c r="O96" s="24" t="n"/>
      <c r="P96" s="24" t="inlineStr">
        <is>
          <t>2026-10-24 13:40</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Blocked</t>
        </is>
      </c>
      <c r="N97" s="24" t="inlineStr">
        <is>
          <t>Local Blocked · Staging Not run · Production Not run
local: Google Maps is not configured on this site (NEXT_PUBLIC_GOOGLE_MAPS_API_KEY unset): the chooser offers no 'Search an address'</t>
        </is>
      </c>
      <c r="O97" s="24" t="n"/>
      <c r="P97" s="24" t="inlineStr">
        <is>
          <t>2026-10-24 13:36</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 Production Pass
local: not covered: TC-LOC-007's guest half (all shops / a prompt) is guest/storefront.spec.ts
staging: PIN 411038 set from the location bar, then cleared ‖ [phone] PIN 411038 set from the location bar, then cleared
production: PIN 411038 set from the location bar, then cleared ‖ [phone] PIN 411038 set from the location bar, then cleared</t>
        </is>
      </c>
      <c r="O98" s="24" t="n"/>
      <c r="P98" s="24" t="inlineStr">
        <is>
          <t>2026-10-24 16:18</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Local Pass · Staging Not run · Production Not run
local: added WORK address with recipient, landmark, PIN and map pin; edited landmark and made it default; deleted it; not in the cart's list ‖ [phone] added WORK address with recipient, landmark, PIN and map pin; edited landmark and made it default; deleted it; not in the cart's list</t>
        </is>
      </c>
      <c r="O99" s="24" t="n"/>
      <c r="P99" s="24" t="inlineStr">
        <is>
          <t>2026-10-24 13:40</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Not run · Production Not run
local: not covered: blank is accepted: the field is labelled '(optional)' in src/components/address-manager.tsx (expected result superseded)</t>
        </is>
      </c>
      <c r="O100" s="24" t="inlineStr">
        <is>
          <t>D-09</t>
        </is>
      </c>
      <c r="P100" s="24" t="inlineStr">
        <is>
          <t>2026-10-24 13:36</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Not run · Production Not run
local: not covered: the map itself (drag the pin) needs a Google Maps key; the device position path is used</t>
        </is>
      </c>
      <c r="O101" s="24" t="n"/>
      <c r="P101" s="24" t="inlineStr">
        <is>
          <t>2026-10-24 13:36</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Not run · Production Not run
local: not covered: the audit entry with the previous value is checked in local/shopping-rules.spec.ts (needs the database)</t>
        </is>
      </c>
      <c r="O102" s="24" t="n"/>
      <c r="P102" s="24" t="inlineStr">
        <is>
          <t>2026-10-24 12:40</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Not run · Production Not run
local: 0→422, 51→422, 2.5→422, -1→422, ""→422, null→422; the form shows an error for 51; radius stays 5 km</t>
        </is>
      </c>
      <c r="O103" s="24" t="n"/>
      <c r="P103" s="24" t="inlineStr">
        <is>
          <t>2026-10-24 12:41</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Not run · Production Not run
local: not covered: 'Shops that deliver to you' is now 'Shops near you', which also lists nearby non-delivering shops marked 'Pickup · outside its delivery area' (src/app/shops/page.tsx, nearby-referral-2026-10)</t>
        </is>
      </c>
      <c r="O104" s="24" t="n"/>
      <c r="P104" s="24" t="inlineStr">
        <is>
          <t>2026-10-24 13:40</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Pass</t>
        </is>
      </c>
      <c r="N105" s="24" t="inlineStr">
        <is>
          <t>Local Pass · Staging Not run · Production Not run
local: 1.9 km → served, 2 km → served, 2.1 km → not served</t>
        </is>
      </c>
      <c r="O105" s="24" t="n"/>
      <c r="P105" s="24" t="inlineStr">
        <is>
          <t>2026-10-24 12:41</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Pass</t>
        </is>
      </c>
      <c r="N106" s="24" t="inlineStr">
        <is>
          <t>Local Pass · Staging Not run · Production Not run
local: 411057 (12 km): not served → zone added in the Location card → listed as delivering, checkout DB-20261024-ZANPLD</t>
        </is>
      </c>
      <c r="O106" s="24" t="n"/>
      <c r="P106" s="24" t="inlineStr">
        <is>
          <t>2026-10-24 12:41</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 Production Not run
local: PIN 411038: listed, delivers, no distance; PIN 411045: not listed</t>
        </is>
      </c>
      <c r="O107" s="24" t="n"/>
      <c r="P107" s="24" t="inlineStr">
        <is>
          <t>2026-10-24 12:21</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 Production Not run
local: delivery off: 'Pickup only', not in the delivering filter; pending: absent from /shops, ?all=1, search and the API; its page 404; suspended: absent everywhere</t>
        </is>
      </c>
      <c r="O108" s="24" t="n"/>
      <c r="P108" s="24" t="inlineStr">
        <is>
          <t>2026-10-24 12:22</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Not run · Production Not run
local: not covered: the delivery fee does not depend on the address in this build (computeDeliveryFee uses the subtotal only), so only issues and eligibility change</t>
        </is>
      </c>
      <c r="O109" s="24" t="n"/>
      <c r="P109" s="24" t="inlineStr">
        <is>
          <t>2026-10-24 13:40</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Pass</t>
        </is>
      </c>
      <c r="N110" s="24" t="inlineStr">
        <is>
          <t>Passed, partly covered. Local Pass (partial) · Staging Not run · Production Not run
local: not covered: TC-FLD-025 'each listed option saves and shows': the cart's address list is checked in TC-LOC-004/TC-LOC-008</t>
        </is>
      </c>
      <c r="O110" s="24" t="n"/>
      <c r="P110" s="24" t="inlineStr">
        <is>
          <t>2026-10-24 13:46</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Not run · Production Not run
local: not covered: the delivery fee does not depend on the address in this build (computeDeliveryFee uses the subtotal only), so only issues and eligibility change</t>
        </is>
      </c>
      <c r="O111" s="24" t="n"/>
      <c r="P111" s="24" t="inlineStr">
        <is>
          <t>2026-10-24 13:40</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Not run · Production Not run
local: not covered: an out-of-zone group offers 'Change address' (not a remove) — that path is TC-LOC-018; here the flagged shop is one not taking orders</t>
        </is>
      </c>
      <c r="O112" s="24" t="n"/>
      <c r="P112" s="24" t="inlineStr">
        <is>
          <t>2026-10-24 13:40</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Not run · Production Not run
local: not covered: TC-LOC-022: the below / exactly-at minimum cases are in shopping-shop-rules.spec.ts ‖ not covered: the pickup exemption is TC-CART-016 in shopping-cart.spec.ts; ₹200 is rounded up to a whole number of the ₹40 test bread (₹200)</t>
        </is>
      </c>
      <c r="O113" s="24" t="n"/>
      <c r="P113" s="24" t="inlineStr">
        <is>
          <t>2026-10-24 12:41</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Pass</t>
        </is>
      </c>
      <c r="N114" s="24" t="inlineStr">
        <is>
          <t>Passed, partly covered. Local Pass (partial) · Staging Not run · Production Not run
local: not covered: a paused shop is still listed on /shops, marked 'Not taking new orders right now' (src/components/shop-grid.tsx), and is absent from the delivering filter</t>
        </is>
      </c>
      <c r="O114" s="24" t="n"/>
      <c r="P114" s="24" t="inlineStr">
        <is>
          <t>2026-10-24 12:41</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Local Pass · Staging Not run · Production Not run
local: API without ack → 409 "QA Shop A mvmd4oyo is closed right now. Confirm you want to …"; cart 'might be closed (opens … 6:00 AM)'; No keeps the cart; Yes → DB-20261024-K27IBP ‖ [phone] API without ack → 409 "QA Shop A mvmd4oyo is closed right now. Confirm you want to …"; cart 'might be closed (opens … 6:00 AM)'; No keeps the cart; Yes → DB-20261024-R1WO01</t>
        </is>
      </c>
      <c r="O115" s="24" t="n"/>
      <c r="P115" s="24" t="inlineStr">
        <is>
          <t>2026-10-24 12:48</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 Production Not run
local: not covered: e-mail delivery is recorded in the detail (count of mails to the shop owner), not asserted</t>
        </is>
      </c>
      <c r="O116" s="24" t="n"/>
      <c r="P116" s="24" t="inlineStr">
        <is>
          <t>2026-10-24 12:22</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Not run · Production Not run
local: not covered: hours that cross midnight: next check</t>
        </is>
      </c>
      <c r="O117" s="24" t="inlineStr">
        <is>
          <t>D-10</t>
        </is>
      </c>
      <c r="P117" s="24" t="inlineStr">
        <is>
          <t>2026-10-24 12:48</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Pass</t>
        </is>
      </c>
      <c r="N118" s="24" t="inlineStr">
        <is>
          <t>Local Pass · Staging Not run · Production Not run
local: member approved, address linked to QA Society mvmfd66g; order DB-20261024-YNZU1V listed on the society dashboard</t>
        </is>
      </c>
      <c r="O118" s="24" t="n"/>
      <c r="P118" s="24" t="inlineStr">
        <is>
          <t>2026-10-24 13:36</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Not run · Production Not run
local: not covered: TC-FLD-019 'each listed option saves' is TC-LOC-027</t>
        </is>
      </c>
      <c r="O119" s="24" t="n"/>
      <c r="P119" s="24" t="inlineStr">
        <is>
          <t>2026-10-24 13:36</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 Production Not run
local: needs a routing provider: GOOGLE_MAPS_SERVER_API_KEY (Google Routes) or a reachable OSRM server — the local server has neither and no outbound internet; the straight-line fallback is TC-LOC-031</t>
        </is>
      </c>
      <c r="O120" s="24" t="n"/>
      <c r="P120" s="24" t="inlineStr">
        <is>
          <t>2026-10-24 12:22</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Pass</t>
        </is>
      </c>
      <c r="N121" s="24" t="inlineStr">
        <is>
          <t>Passed, partly covered. Local Pass (partial) · Staging Not run · Production Not run
local: not covered: routing reachable (a real road route, 'far by road' addresses) needs a routing provider — see TC-LOC-029; the 'approximate' marker is the tracking map's 'in a straight line' and is not shown at checkout, which shows no ETA</t>
        </is>
      </c>
      <c r="O121" s="24" t="n"/>
      <c r="P121" s="24" t="inlineStr">
        <is>
          <t>2026-10-24 12:23</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Pass</t>
        </is>
      </c>
      <c r="N122" s="24" t="inlineStr">
        <is>
          <t>Passed, partly covered. Local Pass (partial) · Staging Not run · Production Not run
local: not covered: routing reachable (a real road route, 'far by road' addresses) needs a routing provider — see TC-LOC-029; the 'approximate' marker is the tracking map's 'in a straight line' and is not shown at checkout, which shows no ETA</t>
        </is>
      </c>
      <c r="O122" s="24" t="n"/>
      <c r="P122" s="24" t="inlineStr">
        <is>
          <t>2026-10-24 12:23</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Pass</t>
        </is>
      </c>
      <c r="N123" s="24" t="inlineStr">
        <is>
          <t>Passed, partly covered. Local Pass (partial) · Staging Not run · Production Not run
local: not covered: routing reachable (a real road route, 'far by road' addresses) needs a routing provider — see TC-LOC-029; the 'approximate' marker is the tracking map's 'in a straight line' and is not shown at checkout, which shows no ETA</t>
        </is>
      </c>
      <c r="O123" s="24" t="n"/>
      <c r="P123" s="24" t="inlineStr">
        <is>
          <t>2026-10-24 12:23</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Pass</t>
        </is>
      </c>
      <c r="N124" s="24" t="inlineStr">
        <is>
          <t>Local Pass (partial) · Staging Pass · Production Pass
local: not covered: the featured / Kesari / Green shelves were replaced by categories, 'Shops near you' and 'Popular in your area' (docs/homepage-uiux-2026-10)
staging: home: search box, categories, 6 shop cards ‖ [phone] home: search box, categories, 6 shop cards
production: home: search box, categories, 6 shop cards ‖ [phone] home: search box, categories, 6 shop cards</t>
        </is>
      </c>
      <c r="O124" s="24" t="n"/>
      <c r="P124" s="24" t="inlineStr">
        <is>
          <t>2026-10-24 16:18</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Pass</t>
        </is>
      </c>
      <c r="N125" s="24" t="inlineStr">
        <is>
          <t>Passed, partly covered. Local Pass (partial) · Staging Not run · Production Not run
local: not covered: the list also shows nearby shops that do not deliver (marked 'Pickup · outside its delivery area', after the delivering ones) — src/app/shops/page.tsx, superseding 'only delivering shops'</t>
        </is>
      </c>
      <c r="O125" s="24" t="n"/>
      <c r="P125" s="24" t="inlineStr">
        <is>
          <t>2026-10-24 13:38</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Not run · Production Not run
local: ?type=DAIRY → Show all → ?type=DAIRY&amp;all=1&amp;city=Pune, 9 dairy shops</t>
        </is>
      </c>
      <c r="O126" s="24" t="inlineStr">
        <is>
          <t>D-13</t>
        </is>
      </c>
      <c r="P126" s="24" t="inlineStr">
        <is>
          <t>2026-10-24 13:33</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Fail</t>
        </is>
      </c>
      <c r="N127" s="24" t="inlineStr">
        <is>
          <t>Local Pass (partial) · Staging Pass (partial) · Production Fail
local: not covered: the Kesari/Green filter is not offered on the page (removed from the cards, src/components/shop-grid.tsx); it is checked on /api/shops ‖ not covered: search by shop type and area: TC-DISC-005 filters
staging: not covered: search by shop type and area: TC-DISC-005 filters
production: "411014" finds Agtci | expect(locator).toBeVisible() failed | Locator: getByText('Agtci').first() | Expected: visible</t>
        </is>
      </c>
      <c r="O127" s="24" t="inlineStr">
        <is>
          <t>D-06</t>
        </is>
      </c>
      <c r="P127" s="24" t="inlineStr">
        <is>
          <t>2026-10-24 16:12</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Pass</t>
        </is>
      </c>
      <c r="N128" s="24" t="inlineStr">
        <is>
          <t>Passed, partly covered. Local Pass (partial) · Staging Pass (partial)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not covered: checks the filters load; that every listed shop matches the filter needs known shop data (signed-in tier)
production: not covered: checks the filters load; that every listed shop matches the filter needs known shop data (signed-in tier)</t>
        </is>
      </c>
      <c r="O128" s="24" t="n"/>
      <c r="P128" s="24" t="inlineStr">
        <is>
          <t>2026-10-24 16:12</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Pass</t>
        </is>
      </c>
      <c r="N129" s="24" t="inlineStr">
        <is>
          <t>Local Pass · Staging Not run · Production Not run
local: "QA Bread mvmfd66g": only QA Shop A mvmfd66g (with km and Compare prices) while shop B's radius is 1 km; ?all=1 adds shop B ‖ [phone] "QA Bread mvmfd66g": only QA Shop A mvmfd66g (with km and Compare prices) while shop B's radius is 1 km; ?all=1 adds shop B</t>
        </is>
      </c>
      <c r="O129" s="24" t="n"/>
      <c r="P129" s="24" t="inlineStr">
        <is>
          <t>2026-10-24 13:38</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Pass (partial) · Staging Pass (partial) · Production Fail
local: not covered: search by shop type and area: TC-DISC-005 filters ‖ not covered: script and Hindi inputs (escaped, no script) are the guest check in guest/storefront.spec.ts ‖ not covered: public routes only; signed-in id routes are swept in the signed-in tier
staging: not covered: search by shop type and area: TC-DISC-005 filters ‖ not covered: public routes only; signed-in id routes are swept in the signed-in tier
production: "411014" finds Agtci | expect(locator).toBeVisible() failed | Locator: getByText('Agtci').first() | Expected: visible ‖ /api/shops/abc/products → 500; /api/shops/99999999999999999999999999999999999999999999999999999999999999999999999999999999/products → 500; /api/shops/1%27%20OR%201%3D1/products → 500 | expect(received).toEqual(expected) // deep equality | - Expected  - 1 | + Received  + 5</t>
        </is>
      </c>
      <c r="O130" s="24" t="inlineStr">
        <is>
          <t>D-02, D-14</t>
        </is>
      </c>
      <c r="P130" s="24" t="inlineStr">
        <is>
          <t>2026-10-24 16:13</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Not run · Production Not run
local: not covered: the plan's 'Shop B cheaper' data is the other way round here (A ₹40, B ₹45): the same rule is asserted on the cheaper shop</t>
        </is>
      </c>
      <c r="O131" s="24" t="n"/>
      <c r="P131" s="24" t="inlineStr">
        <is>
          <t>2026-10-24 13:39</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Not run · Production Not run
local: not covered: the plan's 'Shop B cheaper' data is the other way round here (A ₹40, B ₹45): the same rule is asserted on the cheaper shop</t>
        </is>
      </c>
      <c r="O132" s="24" t="n"/>
      <c r="P132" s="24" t="inlineStr">
        <is>
          <t>2026-10-24 13:39</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 Production Not run
local: not covered: a 500 ml and a 1 L pack are two catalogue products, so they never meet on one comparison; each row shows the per-unit and the pack price so they compare fairly</t>
        </is>
      </c>
      <c r="O133" s="24" t="n"/>
      <c r="P133" s="24" t="inlineStr">
        <is>
          <t>2026-10-24 12:22</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Not run · Production Not run
local: bread: B out of stock → marked, after A; ghee: B in-shop only → marked, after A; sugar (no price): marked, no 'Buy from' ‖ [phone] bread: B out of stock → marked, after A; ghee: B in-shop only → marked, after A; sugar (no price): marked, no 'Buy from'</t>
        </is>
      </c>
      <c r="O134" s="24" t="n"/>
      <c r="P134" s="24" t="inlineStr">
        <is>
          <t>2026-10-24 13:39</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404 pages are branded with a way home ‖ [phone] 404 pages are branded with a way home
production: 404 pages are branded with a way home ‖ [phone] 404 pages are branded with a way home</t>
        </is>
      </c>
      <c r="O135" s="24" t="n"/>
      <c r="P135" s="24" t="inlineStr">
        <is>
          <t>2026-10-24 16:18</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Pass</t>
        </is>
      </c>
      <c r="N136" s="24" t="inlineStr">
        <is>
          <t>Passed, partly covered. Local Pass (partial) · Staging Pass (partial) · Production Pass (partial)
local: not covered: the rating badge average is covered by the ratings spec; here the recent-review list ‖ not covered: rating with recent reviews needs a delivered, rated order: local/shopping-delivery-leg.spec.ts; minimum order: next check ‖ not covered: contact form submission needs sign-in (signed-in tier)
staging: not covered: contact form submission needs sign-in (signed-in tier)
production: not covered: contact form submission needs sign-in (signed-in tier)</t>
        </is>
      </c>
      <c r="O136" s="24" t="inlineStr">
        <is>
          <t>D-15</t>
        </is>
      </c>
      <c r="P136" s="24" t="inlineStr">
        <is>
          <t>2026-10-24 16:13</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Local Pass · Staging Not run · Production Not run
local: QA Ghee 1 L mvmfd66g at QA Shop B mvmfd66g: 'In-shop only' disabled, no Add to cart ‖ [phone] QA Ghee 1 L mvmfd66g at QA Shop B mvmfd66g: 'In-shop only' disabled, no Add to cart</t>
        </is>
      </c>
      <c r="O137" s="24" t="n"/>
      <c r="P137" s="24" t="inlineStr">
        <is>
          <t>2026-10-24 13:39</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Pass</t>
        </is>
      </c>
      <c r="N138" s="24" t="inlineStr">
        <is>
          <t>Passed, partly covered. Local Pass (partial) · Staging Not run · Production Not run
local: not covered: expected result superseded: F1.4.3 'Online reference prices' is DROPPED and the block is never rendered (src/lib/price-references-drop.ts, batch-2026-10 WS-A)</t>
        </is>
      </c>
      <c r="O138" s="24" t="n"/>
      <c r="P138" s="24" t="inlineStr">
        <is>
          <t>2026-10-24 13:27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Pass</t>
        </is>
      </c>
      <c r="N139" s="24" t="inlineStr">
        <is>
          <t>Passed, partly covered. Local Pass (partial) · Staging Not run · Production Not run
local: not covered: expected result superseded: F1.4.3 'Online reference prices' is DROPPED and the block is never rendered (src/lib/price-references-drop.ts, batch-2026-10 WS-A)</t>
        </is>
      </c>
      <c r="O139" s="24" t="n"/>
      <c r="P139" s="24" t="inlineStr">
        <is>
          <t>2026-10-24 13:27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Pass</t>
        </is>
      </c>
      <c r="N140" s="24" t="inlineStr">
        <is>
          <t>Local Pass (partial) · Staging Pass · Production Pass
local: not covered: the category page lists products of every shop, not only the ones near the customer (src/app/category/[type]/page.tsx)
staging: categories, DAIRY, BAKERY, /dairy and /bakery redirects load
production: categories, DAIRY, BAKERY, /dairy and /bakery redirects load</t>
        </is>
      </c>
      <c r="O140" s="24" t="n"/>
      <c r="P140" s="24" t="inlineStr">
        <is>
          <t>2026-10-24 16:13</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Pass</t>
        </is>
      </c>
      <c r="N141" s="24" t="inlineStr">
        <is>
          <t>Local Pass (partial) · Staging Pass · Production Pass
local: not covered: the 'no image at all' half is the guest check in guest/storefront.spec.ts
staging: Agtci: no broken images ‖ [phone] Agtci: no broken images
production: Agtci: no broken images ‖ [phone] Agtci: no broken images</t>
        </is>
      </c>
      <c r="O141" s="24" t="inlineStr">
        <is>
          <t>D-16</t>
        </is>
      </c>
      <c r="P141" s="24" t="inlineStr">
        <is>
          <t>2026-10-24 16:19</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Pass</t>
        </is>
      </c>
      <c r="N142" s="24" t="inlineStr">
        <is>
          <t>Passed, partly covered. Local Pass (partial) · Staging Not run · Production Not run
local: not covered: expected result superseded: F1.4.3 'Online reference prices' is DROPPED and the block is never rendered (src/lib/price-references-drop.ts, batch-2026-10 WS-A)</t>
        </is>
      </c>
      <c r="O142" s="24" t="n"/>
      <c r="P142" s="24" t="inlineStr">
        <is>
          <t>2026-10-24 13:27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Pass</t>
        </is>
      </c>
      <c r="N143" s="24" t="inlineStr">
        <is>
          <t>Passed, partly covered. Local Pass (partial) · Staging Not run · Production Not run
local: not covered: expected result superseded: F1.4.3 'Online reference prices' is DROPPED and the block is never rendered (src/lib/price-references-drop.ts, batch-2026-10 WS-A)</t>
        </is>
      </c>
      <c r="O143" s="24" t="n"/>
      <c r="P143" s="24" t="inlineStr">
        <is>
          <t>2026-10-24 13:27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Pass</t>
        </is>
      </c>
      <c r="N144" s="24" t="inlineStr">
        <is>
          <t>Passed, partly covered. Local Pass (partial) · Staging Not run · Production Not run
local: not covered: the comparison moved from the home page to Shops › Compare prices (/search/compare, docs/homepage-uiux-2026-10); the home page links to it from product tiles</t>
        </is>
      </c>
      <c r="O144" s="24" t="n"/>
      <c r="P144" s="24" t="inlineStr">
        <is>
          <t>2026-10-24 13:37</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Pass</t>
        </is>
      </c>
      <c r="N145" s="24" t="inlineStr">
        <is>
          <t>Local Pass (partial) · Staging Pass · Production Pass
local: not covered: unpriced / out-of-stock / non-delivering listings in the comparison: local/shopping-rules.spec.ts (rule homePriceComparison)
staging: no location: 'Set your location' prompt shown ‖ [phone] no location: 'Set your location' prompt shown
production: no location: 'Set your location' prompt shown ‖ [phone] no location: 'Set your location' prompt shown</t>
        </is>
      </c>
      <c r="O145" s="24" t="n"/>
      <c r="P145" s="24" t="inlineStr">
        <is>
          <t>2026-10-24 16:19</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 Production Not run
local: "QA 10% off mvmfno32" on the shop page (10% off on QA Butter 100 g mvmfd66g, until …); cart and order at ₹52.20 instead of ₹58 ‖ [phone] "QA 10% off mvmg0jak" on the shop page (10% off on QA Butter 100 g mvmfd66g, until …); cart and order at ₹52.20 instead of ₹58</t>
        </is>
      </c>
      <c r="O146" s="24" t="n"/>
      <c r="P146" s="24" t="inlineStr">
        <is>
          <t>2026-10-24 13:37</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 Production Not run
local: expired and paused offers hidden on shop A (no offers box), none on shop C, cart at the list price</t>
        </is>
      </c>
      <c r="O147" s="24" t="n"/>
      <c r="P147" s="24" t="inlineStr">
        <is>
          <t>2026-10-24 13:27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Pass</t>
        </is>
      </c>
      <c r="N148" s="24" t="inlineStr">
        <is>
          <t>Passed, partly covered. Local Pass (partial) · Staging Blocked · Production Not run
local: not covered: second product and the /cart page's grouping and empty state are UI checks in cart-ui.spec.ts
staging: no product of "E2E Four Features Bakery" is on sale online with 3+ in stock</t>
        </is>
      </c>
      <c r="O148" s="24" t="inlineStr">
        <is>
          <t>D-100</t>
        </is>
      </c>
      <c r="P148" s="24" t="inlineStr">
        <is>
          <t>2026-10-24 15:59</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Pass</t>
        </is>
      </c>
      <c r="N149" s="24" t="inlineStr">
        <is>
          <t>Passed, partly covered. Local Pass (partial) · Staging Blocked · Production Not run
local: not covered: second product and the /cart page's grouping and empty state are UI checks in cart-ui.spec.ts ‖ not covered: there is no 'clear cart' button on /cart; DELETE /api/cart is checked in order-lifecycle.spec.ts
staging: no product of "E2E Four Features Bakery" is on sale online with 3+ in stock</t>
        </is>
      </c>
      <c r="O149" s="24" t="n"/>
      <c r="P149" s="24" t="inlineStr">
        <is>
          <t>2026-10-24 15:59</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Not run · Production Not run
local: not covered: the cart has −/+ buttons, not a typed quantity field, so blank/text/decimal are API-only here</t>
        </is>
      </c>
      <c r="O150" s="24" t="n"/>
      <c r="P150" s="24" t="inlineStr">
        <is>
          <t>2026-10-24 12:33</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Pass</t>
        </is>
      </c>
      <c r="N151" s="24" t="inlineStr">
        <is>
          <t>Local Pass · Staging Not run · Production Not run
local: 0→422, -1→422, 1.5→422, "2"→422, 100→422, 1 (unknown product)→404, 1 (bad id)→422</t>
        </is>
      </c>
      <c r="O151" s="24" t="n"/>
      <c r="P151" s="24" t="inlineStr">
        <is>
          <t>2026-10-24 12:33</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Local Pass · Staging Not run · Production Not run
local: A: 2 × QA Butter 100 g mvmd4oyo + 1 × bread, subtotal ₹156, delivery ₹20; B: 3 × bread ₹135, delivery ₹15; grand ₹326 ‖ [phone] A: 2 × QA Butter 100 g mvmd4oyo + 1 × bread, subtotal ₹156, delivery ₹20; B: 3 × bread ₹135, delivery ₹15; grand ₹326</t>
        </is>
      </c>
      <c r="O152" s="24" t="n"/>
      <c r="P152" s="24" t="inlineStr">
        <is>
          <t>2026-10-24 12:44</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Pass</t>
        </is>
      </c>
      <c r="N153" s="24" t="inlineStr">
        <is>
          <t>Local Pass · Staging Not run · Production Not run
local: ₹58 → ₹55: cart and order DB-20261024-KVMPA4 at ₹55</t>
        </is>
      </c>
      <c r="O153" s="24" t="n"/>
      <c r="P153" s="24" t="inlineStr">
        <is>
          <t>2026-10-24 12:33</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Local Pass · Staging Not run · Production Not run
local: {"onlineSaleEnabled":false} → "Available only at the physical shop."; {"onlineStock":0} → "Currently unavailable online."; {"onlinePricePaise":null,"onlineSaleEnabled":false} → "Available only at the physical shop."; pay disabled each time; 'Remove unavailable items' empties the cart ‖ [phone] {"onlineSaleEnabled":false} → "Available only at the physical shop."; {"onlineStock":0} → "Currently unavailable online."; {"onlinePricePaise":null,"onlineSaleEnabled":false} → "Available only at the physical shop."; pay disabled each time; 'Remove unavailable items' empties the cart</t>
        </is>
      </c>
      <c r="O154" s="24" t="n"/>
      <c r="P154" s="24" t="inlineStr">
        <is>
          <t>2026-10-24 12:45</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Not run · Production Not run
local: not covered: no estimated-minutes figure: the route deliberately returns only the windows (src/app/api/checkout/delivery-windows/route.ts — the estimate would place the nearest rider); 'no rider online' is recorded in local/shopping-rules.spec.ts</t>
        </is>
      </c>
      <c r="O155" s="24" t="n"/>
      <c r="P155" s="24" t="inlineStr">
        <is>
          <t>2026-10-24 13:27</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Not run · Production Not run
local: not covered: stock reduction and the shop notification are checked in the inventory and notification specs</t>
        </is>
      </c>
      <c r="O156" s="24" t="n"/>
      <c r="P156" s="24" t="inlineStr">
        <is>
          <t>2026-10-24 13:46</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Pass</t>
        </is>
      </c>
      <c r="N157" s="24" t="inlineStr">
        <is>
          <t>Passed, partly covered. Local Pass (partial) · Staging Not run · Production Not run
local: not covered: TC-CART-024 (one master reference) needs rule parentOrders on: local/shopping-rules.spec.ts</t>
        </is>
      </c>
      <c r="O157" s="24" t="n"/>
      <c r="P157" s="24" t="inlineStr">
        <is>
          <t>2026-10-24 12:33</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Not run · Production Not run
local: not covered: the top-up prompt on the page is a UI check in cart-ui.spec.ts</t>
        </is>
      </c>
      <c r="O158" s="24" t="n"/>
      <c r="P158" s="24" t="inlineStr">
        <is>
          <t>2026-10-24 13:33</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Local Pass · Staging Not run · Production Not run
local: one order, wallet −₹58 after a double-click ‖ replay → deduplicated, same order DB-20261024-DHTW9U, balance unchanged</t>
        </is>
      </c>
      <c r="O159" s="24" t="n"/>
      <c r="P159" s="24" t="inlineStr">
        <is>
          <t>2026-10-24 13:32</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 Production Not run
local: stock 1: one 201, the other 409 OUT_OF_STOCK "This product is currently unavailable online.", loser's wallet unchanged</t>
        </is>
      </c>
      <c r="O160" s="24" t="n"/>
      <c r="P160" s="24" t="inlineStr">
        <is>
          <t>2026-10-24 12:22</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Not run · Production Not run
local: shopC: requests 1–15 → 422, 16th → 429 RATE_LIMITED, retryAfterSeconds 60</t>
        </is>
      </c>
      <c r="O161" s="24" t="n"/>
      <c r="P161" s="24" t="inlineStr">
        <is>
          <t>2026-10-24 12:34</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Not run · Production Not run
local: not covered: the no-address prompt on the page, pickup-only and B2B without an address: next checks (TC-CART-015/016) ‖ not covered: TC-LOC-022: the below / exactly-at minimum cases are in shopping-shop-rules.spec.ts</t>
        </is>
      </c>
      <c r="O162" s="24" t="n"/>
      <c r="P162" s="24" t="inlineStr">
        <is>
          <t>2026-10-24 12:34</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Pass</t>
        </is>
      </c>
      <c r="N163" s="24" t="inlineStr">
        <is>
          <t>Passed, partly covered. Local Pass (partial) · Staging Not run · Production Not run
local: not covered: TC-LOC-022: the below / exactly-at minimum cases are in shopping-shop-rules.spec.ts</t>
        </is>
      </c>
      <c r="O163" s="24" t="n"/>
      <c r="P163" s="24" t="inlineStr">
        <is>
          <t>2026-10-24 12:34</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Pass</t>
        </is>
      </c>
      <c r="N164" s="24" t="inlineStr">
        <is>
          <t>Passed, partly covered. Local Pass (partial) · Staging Not run · Production Not run
local: not covered: the cart page (src/components/cart-view.tsx) has no notes field, so notes can only be sent through the API</t>
        </is>
      </c>
      <c r="O164" s="24" t="inlineStr">
        <is>
          <t>D-11</t>
        </is>
      </c>
      <c r="P164" s="24" t="inlineStr">
        <is>
          <t>2026-10-24 12:35</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Pass</t>
        </is>
      </c>
      <c r="N165" s="24" t="inlineStr">
        <is>
          <t>Passed, partly covered. Local Pass (partial) · Staging Not run · Production Not run
local: not covered: number, shop, amount and 'confirmed' are checked in order-lifecycle.spec.ts ‖ not covered: the card's action buttons are checked in the cancellation and support specs</t>
        </is>
      </c>
      <c r="O165" s="24" t="n"/>
      <c r="P165" s="24" t="inlineStr">
        <is>
          <t>2026-10-24 13:38</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 Production Not run
local: not covered: TC-CART-019 'vouchers still apply to wallet top-ups': the voucher field on /wallet is checked in the next check</t>
        </is>
      </c>
      <c r="O166" s="24" t="n"/>
      <c r="P166" s="24" t="inlineStr">
        <is>
          <t>2026-10-24 13:37</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 Production Not run
local: not covered: the rider sees the slot once dispatch starts (dispatchLeadMinutes before it), which a same-day run cannot reach for a slot tomorrow</t>
        </is>
      </c>
      <c r="O167" s="24" t="n"/>
      <c r="P167" s="24" t="inlineStr">
        <is>
          <t>2026-10-24 13:37</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Pass</t>
        </is>
      </c>
      <c r="N168" s="24" t="inlineStr">
        <is>
          <t>Passed, partly covered. Local Pass (partial) · Staging Not run · Production Not run
local: not covered: a full time slot is left out of the list rather than shown as 'Full' (scheduled-slots.ts lists only slots with places left)</t>
        </is>
      </c>
      <c r="O168" s="24" t="n"/>
      <c r="P168" s="24" t="inlineStr">
        <is>
          <t>2026-10-24 13:27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 Production Not run
local: not covered: a full slot is TC-CART-021</t>
        </is>
      </c>
      <c r="O169" s="24" t="n"/>
      <c r="P169" s="24" t="inlineStr">
        <is>
          <t>2026-10-24 13:27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Pass</t>
        </is>
      </c>
      <c r="N170" s="24" t="inlineStr">
        <is>
          <t>Passed, partly covered. Local Pass (partial) · Staging Not run · Production Not run
local: not covered: a full time slot is left out of the list rather than shown as 'Full' (scheduled-slots.ts lists only slots with places left)</t>
        </is>
      </c>
      <c r="O170" s="24" t="n"/>
      <c r="P170" s="24" t="inlineStr">
        <is>
          <t>2026-10-24 13:27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Not run · Production Not run
local: not covered: TC-CART-024 (one master reference) needs rule parentOrders on: local/shopping-rules.spec.ts</t>
        </is>
      </c>
      <c r="O171" s="24" t="n"/>
      <c r="P171" s="24" t="inlineStr">
        <is>
          <t>2026-10-24 13:37</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 Production Not run
local: not covered: the parent page shows each part's status; it has no overall 'partly cancelled' label (src/app/orders/group/[reference]/page.tsx)</t>
        </is>
      </c>
      <c r="O172" s="24" t="n"/>
      <c r="P172" s="24" t="inlineStr">
        <is>
          <t>2026-10-24 13:37</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 Production Not run
local: GK-20261024-VTZP9S over DB-20261024-VGSWDT (A) and DB-20261024-Y8XTS7 (B), each with its status; /orders 'Part of GK-20261024-VTZP9S'; shop /orders/group/GK-… → 404; shop /orders/… → 404; shop /orders/… → 200; customer2 /orders/group/GK-… → 404; customer2 /orders/… → 404 ‖ [phone] GK-20261024-W1N5FQ over DB-20261024-PJ3XSZ (A) and DB-20261024-T0HG2L (B), each with its status; /orders 'Part of GK-20261024-W1N5FQ'; shop /orders/group/GK-… → 404; shop /orders/… → 404; shop /orders/… → 200; customer2 /orders/group/GK-… → 404; customer2 /orders/… → 404</t>
        </is>
      </c>
      <c r="O173" s="24" t="n"/>
      <c r="P173" s="24" t="inlineStr">
        <is>
          <t>2026-10-24 13:37</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 Production Not run
local: not covered: TC-CART-019 'vouchers still apply to wallet top-ups': the voucher field on /wallet is checked in the next check</t>
        </is>
      </c>
      <c r="O174" s="24" t="n"/>
      <c r="P174" s="24" t="inlineStr">
        <is>
          <t>2026-10-24 13:37</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 Production Not run
local: not covered: 'a coupon for another shop' does not exist: coupons are order-level and platform-wide (src/server/services/coupons.ts, marketplace-features-2026-10 F7)</t>
        </is>
      </c>
      <c r="O175" s="24" t="n"/>
      <c r="P175" s="24" t="inlineStr">
        <is>
          <t>2026-10-24 13:25</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 Production Not run
local: not covered: 'cancelling restores the use' superseded: a use is one checkout and is not returned on cancellation (docs/marketplace-features-2026-10/README.md, Decisions); settlement: next check ‖ not covered: refunds are capped at what was paid (the discount is used up by the last lines refunded — fulfilment.ts refundLine, README Decisions) rather than split pro rata</t>
        </is>
      </c>
      <c r="O176" s="24" t="n"/>
      <c r="P176" s="24" t="inlineStr">
        <is>
          <t>2026-10-24 13:43</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Pass</t>
        </is>
      </c>
      <c r="N177" s="24" t="inlineStr">
        <is>
          <t>Passed, partly covered. Local Pass (partial) · Staging Not run · Production Not run
local: not covered: refunds are capped at what was paid (the discount is used up by the last lines refunded — fulfilment.ts refundLine, README Decisions) rather than split pro rata</t>
        </is>
      </c>
      <c r="O177" s="24" t="n"/>
      <c r="P177" s="24" t="inlineStr">
        <is>
          <t>2026-10-24 13:43</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Not run · Production Not run
local: balance ₹2,864, today's deduction ₹9698.2, 15-day forecast ₹1960, 30 transactions; low-balance warning shown when the threshold is above the balance ‖ [phone] balance ₹2,690, today's deduction ₹15121.4, 15-day forecast ₹1960, 30 transactions; low-balance warning shown when the threshold is above the balance</t>
        </is>
      </c>
      <c r="O178" s="24" t="inlineStr">
        <is>
          <t>D-43</t>
        </is>
      </c>
      <c r="P178" s="24" t="inlineStr">
        <is>
          <t>2026-10-24 12:44</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Not run · Production Not run
local: this server has no Cashfree keys: the top-up ran in MOCK mode (order mock_order_c9cee228-b924-4c8a-9f7c-f669fa1dd736 for 500000 paise) and its settle step is development-only — the page answered "Endpoint was not found.". Run on test.gokesari.com and pay through the "Sandbox payment" workflow ‖ this server has no Cashfree keys: the top-up ran in MOCK mode (order mock_order_37b5a774-258f-471e-887e-aec84c9af097 for 500000 paise) and its settle step is development-only — the page answered "Endpoint was not found.". Run on test.gokesari.com and pay through the "Sandbox payment" workflow</t>
        </is>
      </c>
      <c r="O179" s="24" t="inlineStr">
        <is>
          <t>D-32</t>
        </is>
      </c>
      <c r="P179" s="24" t="inlineStr">
        <is>
          <t>2026-10-24 12:44</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Not run · Production Not run
local: not covered: the page half (field messages) is TC-FLD-030 below; accepted amounts only start a gateway order here (nothing is paid)</t>
        </is>
      </c>
      <c r="O180" s="24" t="n"/>
      <c r="P180" s="24" t="inlineStr">
        <is>
          <t>2026-10-24 12:30</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Not run · Production Not run
local: not covered: unknown ids answer 404 NOT_FOUND (not 400): nothing is credited either way; the unpaid and replay halves are the next two checks ‖ blocked: needs a paid top-up: this server has no Cashfree keys (MOCK mode cannot be paid in a production build)</t>
        </is>
      </c>
      <c r="O181" s="24" t="inlineStr">
        <is>
          <t>D-40</t>
        </is>
      </c>
      <c r="P181" s="24" t="inlineStr">
        <is>
          <t>2026-10-24 12:30</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2026-10-24 16:09</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Not run · Production Not run
local: not covered: 'cancel at the gateway' is Cashfree's own page (not reachable here); the unpaid attempt's stored status (CREATED) is not exposed to the customer by any API</t>
        </is>
      </c>
      <c r="O183" s="24" t="n"/>
      <c r="P183" s="24" t="inlineStr">
        <is>
          <t>2026-10-24 12:30</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Pass</t>
        </is>
      </c>
      <c r="N184" s="24" t="inlineStr">
        <is>
          <t>Passed, partly covered. Local Pass (partial) · Staging Not run · Production Not run
local: not covered: each option is proven to work by its own case (TC-PAY-017 online, TC-COD-002 cash, TC-CART-009 wallet)</t>
        </is>
      </c>
      <c r="O184" s="24" t="n"/>
      <c r="P184" s="24" t="inlineStr">
        <is>
          <t>2026-10-24 13:46</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Not run · Production Not run
local: create: 200,200,200,200,200,200,200,200,200,200,429; verify: 404,404,404,404,404,404,404,404,404,404,429</t>
        </is>
      </c>
      <c r="O185" s="24" t="n"/>
      <c r="P185" s="24" t="inlineStr">
        <is>
          <t>2026-10-24 12:31</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Not run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2026-10-24 12:30</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Not run · Production Not run
local: not covered: one cart per customer: the second tab checks out the same cart, so its refusal is the cart already used or INSUFFICIENT_BALANCE — two separate ₹80 orders cannot be open at once to show INSUFFICIENT_BALANCE itself</t>
        </is>
      </c>
      <c r="O187" s="24" t="n"/>
      <c r="P187" s="24" t="inlineStr">
        <is>
          <t>2026-10-24 12:30</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 Production Not run
local: two deductions of ₹140 from threshold+₹100 → 1 "Low wallet balance" notice ("Your wallet balance is ₹360.00 but your next 15 days of subscriptions need ₹3,780.00. We recommend adding ₹3,5"); /wallet shows "Low balance" and the forecast warning</t>
        </is>
      </c>
      <c r="O188" s="24" t="n"/>
      <c r="P188" s="24" t="inlineStr">
        <is>
          <t>2026-10-24 12:21</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t>
        </is>
      </c>
      <c r="O189" s="24" t="n"/>
      <c r="P189" s="24" t="inlineStr">
        <is>
          <t>2026-10-24 13:25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t>
        </is>
      </c>
      <c r="O190" s="24" t="n"/>
      <c r="P190" s="24" t="inlineStr">
        <is>
          <t>2026-10-24 13:25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 Production Not run
local: not covered: redemptions only appear after a paid top-up (not possible here), so the redemptions report is only shown to load</t>
        </is>
      </c>
      <c r="O191" s="24" t="n"/>
      <c r="P191" s="24" t="inlineStr">
        <is>
          <t>2026-10-24 13:25</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 Production Not run
local: not covered: the promotional balance is set on the local wallet (a voucher bonus needs a paid top-up)</t>
        </is>
      </c>
      <c r="O192" s="24" t="n"/>
      <c r="P192" s="24" t="inlineStr">
        <is>
          <t>2026-10-24 13:25</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production: not covered: checked signed out; the signed-in half is in tests/qa/signed-in</t>
        </is>
      </c>
      <c r="O193" s="24" t="n"/>
      <c r="P193" s="24" t="inlineStr">
        <is>
          <t>2026-10-24 16:09</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Pass</t>
        </is>
      </c>
      <c r="N194" s="24" t="inlineStr">
        <is>
          <t>Passed, partly covered. Local Pass (partial) · Staging Not run · Production Not run
local: not covered: the gateway returns to /orders/payment-return (shows 'Payment received' and the order), not to the order's own page</t>
        </is>
      </c>
      <c r="O194" s="24" t="n"/>
      <c r="P194" s="24" t="inlineStr">
        <is>
          <t>2026-10-24 13:46</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Pass · Staging Not run · Production Not run
local: Card: DB-20261024-ICY3CW CONFIRMED; Netbanking: DB-20261024-LQBBZU CONFIRMED</t>
        </is>
      </c>
      <c r="O195" s="24" t="n"/>
      <c r="P195" s="24" t="inlineStr">
        <is>
          <t>2026-10-24 13:44</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Pass (partial) · Staging Not run · Production Not run
local: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2026-10-24 13:44</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Not run · Production Not run
local: not covered: expiry is the gateway's 'Let it expire' here; the time-based expiry by the reconciliation job is TC-PAY-020 in tests/qa/local/money-gateway.spec.ts. 'The cart is still there' is superseded (D-A07: the order waits for Retry payment) ‖ not covered: 'the cart is still there' is superseded by D-A07 (docs/decision-log.md): the cart is cleared at checkout and the order waits for Retry payment</t>
        </is>
      </c>
      <c r="O197" s="24" t="n"/>
      <c r="P197" s="24" t="inlineStr">
        <is>
          <t>2026-10-24 13:44</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Not run · Production Not run
local: not covered: 'the server verifies status and amount with the gateway' (a changed amount never confirms) is TC-PAY-021 in tests/qa/local/money-gateway.spec.ts (needs the gateway ledger)</t>
        </is>
      </c>
      <c r="O198" s="24" t="n"/>
      <c r="P198" s="24" t="inlineStr">
        <is>
          <t>2026-10-24 12:29</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2026-10-24 16:09</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 Production Not run
local: DB-20261024-4N0I8L: gateway ledger CAPTURED + signed webhook → CONFIRMED; "Order confirmed"; /orders card shows it confirmed</t>
        </is>
      </c>
      <c r="O200" s="24" t="n"/>
      <c r="P200" s="24" t="inlineStr">
        <is>
          <t>2026-10-24 12:17</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Pass (partial) · Staging Not run · Production Not run
local: not covered: one captured payment is read from the customer's payment view; the gateway ledger itself is checked in the local tier (TC-PAY-022)</t>
        </is>
      </c>
      <c r="O201" s="24" t="n"/>
      <c r="P201" s="24" t="inlineStr">
        <is>
          <t>2026-10-24 13:44</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Pass</t>
        </is>
      </c>
      <c r="N202" s="24" t="inlineStr">
        <is>
          <t>Passed, partly covered. Local Pass (partial) · Staging Not run · Production Not run
local: not covered: shop B's own view is the mirror of shop A's and is not opened separately</t>
        </is>
      </c>
      <c r="O202" s="24" t="n"/>
      <c r="P202" s="24" t="inlineStr">
        <is>
          <t>2026-10-24 13:44</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 Production Not run
local: not covered: the expected AUTHORIZED / RECONCILED states are superseded by D-A06 (CREATED → … → CAPTURED; reconciliation is a separate record); wallet and COD orders are unaffected by construction (no intent)</t>
        </is>
      </c>
      <c r="O203" s="24" t="inlineStr">
        <is>
          <t>D-33</t>
        </is>
      </c>
      <c r="P203" s="24" t="inlineStr">
        <is>
          <t>2026-10-24 12:17</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 Production Not run
local: not covered: 'RECONCILED → CREATED' is tested as CAPTURED → CREATED: the documented state machine (D-A06, docs/payments-gateway-2026-10.md §2) has no RECONCILED state; no API moves a payment by hand, so the gateway's word (webhook) is the only way in</t>
        </is>
      </c>
      <c r="O204" s="24" t="n"/>
      <c r="P204" s="24" t="inlineStr">
        <is>
          <t>2026-10-24 12:17</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Pass</t>
        </is>
      </c>
      <c r="N205" s="24" t="inlineStr">
        <is>
          <t>Passed, partly covered. Local Pass (partial) · Staging Not run · Production Not run
local: not covered: the 'expected time' text is read from the refund timeline notes when present; the bank-side settlement time is the gateway's</t>
        </is>
      </c>
      <c r="O205" s="24" t="n"/>
      <c r="P205" s="24" t="inlineStr">
        <is>
          <t>2026-10-24 13:44</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Pass</t>
        </is>
      </c>
      <c r="N206" s="24" t="inlineStr">
        <is>
          <t>Passed, partly covered. Local Pass (partial) · Staging Not run · Production Not run
local: not covered: the cheaper-substitute and approved-return differences are not run here</t>
        </is>
      </c>
      <c r="O206" s="24" t="inlineStr">
        <is>
          <t>D-30</t>
        </is>
      </c>
      <c r="P206" s="24" t="inlineStr">
        <is>
          <t>2026-10-24 13:44</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 Production Not run
local: not covered: the failing refund is retried by payments-reconcile and support is alerted after onlinePayments.maxReconcileAttempts (48) checks (D-A09) — whether a finance exception is listed meanwhile is recorded in the detail, not asserted</t>
        </is>
      </c>
      <c r="O207" s="24" t="n"/>
      <c r="P207" s="24" t="inlineStr">
        <is>
          <t>2026-10-24 12:18</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t>
        </is>
      </c>
      <c r="O208" s="24" t="n"/>
      <c r="P208" s="24" t="inlineStr">
        <is>
          <t>2026-10-24 12:18</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 Production Not run
local: wallet-paid DB-20261024-WNPZXZ MATCHED (expected 5800, actual 5800); online-paid DB-20261024-4N0I8L MATCHED (expected 5800, actual 5800); altered DB-20261024-CUITIH PARTIAL (expected 5900, actual 5800)</t>
        </is>
      </c>
      <c r="O209" s="24" t="inlineStr">
        <is>
          <t>D-29</t>
        </is>
      </c>
      <c r="P209" s="24" t="inlineStr">
        <is>
          <t>2026-10-24 12:18</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Pass (partial) · Staging Not run · Production Not run
local: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2026-10-24 13:44</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 Production Not run
local: not covered: a real card payment happens on the gateway's page (Cashfree sandbox on staging); here the sandbox stands in, so 'after a card payment' is the sandbox Card method</t>
        </is>
      </c>
      <c r="O211" s="24" t="n"/>
      <c r="P211" s="24" t="inlineStr">
        <is>
          <t>2026-10-24 12:18</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Not run · Production Not run
local: not covered: a suspended shop is TC-PAY-035 in tests/qa/local/money-gateway.spec.ts (suspending is an operator action)</t>
        </is>
      </c>
      <c r="O212" s="24" t="n"/>
      <c r="P212" s="24" t="inlineStr">
        <is>
          <t>2026-10-24 13:44</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Pass</t>
        </is>
      </c>
      <c r="N213" s="24" t="inlineStr">
        <is>
          <t>Local Pass · Staging Not run · Production Not run
local: "Accept cash on delivery" ticked → "Cash on delivery turned on." and saved; the customer's cart now offers Cash on delivery (eligibility allowed, up to ₹2000) ‖ [phone] "Accept cash on delivery" ticked → "Cash on delivery turned on." and saved; the customer's cart now offers Cash on delivery (eligibility allowed, up to ₹2000)</t>
        </is>
      </c>
      <c r="O213" s="24" t="n"/>
      <c r="P213" s="24" t="inlineStr">
        <is>
          <t>2026-10-24 13:46</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Pass</t>
        </is>
      </c>
      <c r="N214" s="24" t="inlineStr">
        <is>
          <t>Local Pass · Staging Not run · Production Not run
local: DB-20261024-162V9R: CONFIRMED, COD, unpaid; wallet 490400 unchanged; stock 48 → 47 ‖ [phone] DB-20261024-IKOZAZ: CONFIRMED, COD, unpaid; wallet 490400 unchanged; stock 38 → 37</t>
        </is>
      </c>
      <c r="O214" s="24" t="n"/>
      <c r="P214" s="24" t="inlineStr">
        <is>
          <t>2026-10-24 13:46</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Pass</t>
        </is>
      </c>
      <c r="N215" s="24" t="inlineStr">
        <is>
          <t>Passed, partly covered. Local Pass (partial) · Staging Not run · Production Not run
local: not covered: GET /api/cod/eligibility is customer-level by design (src/server/services/cod.ts getCodEligibility: shop opt-in and amount are checked per order at checkout and shown on the cart page), so it explains only the open-orders / risk refusals; 'exactly ₹2,000 is allowed' is TC-COD-003 in tests/qa/local/money-cod.spec.ts</t>
        </is>
      </c>
      <c r="O215" s="24" t="n"/>
      <c r="P215" s="24" t="inlineStr">
        <is>
          <t>2026-10-24 13:43</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 Production Not run
local: not covered: the two failed deliveries are status-history rows arranged in the database (a rider's 'fail' twice would leave the customer paused for 90 days), removed afterwards</t>
        </is>
      </c>
      <c r="O216" s="24" t="n"/>
      <c r="P216" s="24" t="inlineStr">
        <is>
          <t>2026-10-24 12:16</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Pass</t>
        </is>
      </c>
      <c r="N217" s="24" t="inlineStr">
        <is>
          <t>Local Pass · Staging Not run · Production Not run
local: DB-20261024-162V9R: cancelled → CANCELLED; wallet 490400 unchanged; stock 47 → 48</t>
        </is>
      </c>
      <c r="O217" s="24" t="n"/>
      <c r="P217" s="24" t="inlineStr">
        <is>
          <t>2026-10-24 13:43</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Pass</t>
        </is>
      </c>
      <c r="N218" s="24" t="inlineStr">
        <is>
          <t>Local Pass · Staging Not run · Production Not run
local: DB-20261024-A9IYKL: deliver without cash → 422 "Collect ₹58.00 in cash and confirm it before marking this order delivered."; with cash → DELIVERED, paid; rider holds +5800 paise (0 → 5800)</t>
        </is>
      </c>
      <c r="O218" s="24" t="n"/>
      <c r="P218" s="24" t="inlineStr">
        <is>
          <t>2026-10-24 13:44</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Not run · Production Not run
local: not covered: the audit row (DELIVERY_CONFIRMED_BY_OPERATOR) is read in the local tier (tests/qa/local/money-cod.spec.ts)</t>
        </is>
      </c>
      <c r="O219" s="24" t="n"/>
      <c r="P219" s="24" t="inlineStr">
        <is>
          <t>2026-10-24 13:44</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 Production Not run
local: DB-20261024-8VFUBW: own delivery; deliver without cash → 422; with cash → DELIVERED; the shop holds +5800 (0 → 5800), adjustment party SHOP, no rider</t>
        </is>
      </c>
      <c r="O220" s="24" t="n"/>
      <c r="P220" s="24" t="inlineStr">
        <is>
          <t>2026-10-24 12:16</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Pass</t>
        </is>
      </c>
      <c r="N221" s="24" t="inlineStr">
        <is>
          <t>Local Pass · Staging Not run · Production Not run
local: held 11600 → after the page's deposit of 5800 (ref QA-DEP-mvmdgnmy) 5800; deposit of held+₹1 → 409 "Test Rider holds ₹58.00 — the deposit cannot be larger."; ₹1 deposit replayed with the same requestId → same record, held 5800 → 5700</t>
        </is>
      </c>
      <c r="O221" s="24" t="n"/>
      <c r="P221" s="24" t="inlineStr">
        <is>
          <t>2026-10-24 12:27</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Pass</t>
        </is>
      </c>
      <c r="N222" s="24" t="inlineStr">
        <is>
          <t>Passed, partly covered. Local Pass (partial) · Staging Not run · Production Not run
local: not covered: the weekly payout is GS-064 rider payouts (/api/finance/rider-payouts) prepared for the current week</t>
        </is>
      </c>
      <c r="O222" s="24" t="inlineStr">
        <is>
          <t>D-36</t>
        </is>
      </c>
      <c r="P222" s="24" t="inlineStr">
        <is>
          <t>2026-10-24 12:17</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Not run · Production Not run
local: not covered: the refund-as-wallet-credit half is TC-COD-011 in tests/qa/signed-in/money-cod.spec.ts ‖ not covered: 'reconciliation treats collected cash as the payment' is TC-COD-011 in tests/qa/local/money-cod.spec.ts</t>
        </is>
      </c>
      <c r="O223" s="24" t="inlineStr">
        <is>
          <t>D-29</t>
        </is>
      </c>
      <c r="P223" s="24" t="inlineStr">
        <is>
          <t>2026-10-24 12:27</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Pass</t>
        </is>
      </c>
      <c r="N224" s="24" t="inlineStr">
        <is>
          <t>Local Pass · Staging Not run · Production Not run
local: replay of qa-mvmg73y9-349e4362 → deduplicated, same order DB-20261024-S5PLZJ; one order stored</t>
        </is>
      </c>
      <c r="O224" s="24" t="n"/>
      <c r="P224" s="24" t="inlineStr">
        <is>
          <t>2026-10-24 13:43</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Not run · Production Not run
local: not covered: stock reduction and the shop notification are checked in the inventory and notification specs ‖ not covered: rider earning, finance snapshot and per-step history rows are checked in finance.spec.ts and the local-tier audit checks ‖ not covered: the customer's label per step is TC-ORD-001 in signed-in/orders-cancel.spec.ts</t>
        </is>
      </c>
      <c r="O225" s="24" t="n"/>
      <c r="P225" s="24" t="inlineStr">
        <is>
          <t>2026-10-24 13:33</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Pass</t>
        </is>
      </c>
      <c r="N226" s="24" t="inlineStr">
        <is>
          <t>Passed, partly covered. Local Pass (partial) · Staging Not run · Production Not run
local: not covered: CANCELLED → PREPARING is checked on a cancelled wallet order, which ends REFUNDED; READY → ACCEPTED answers 422 on /status (ACCEPTED is not a target there) and 409 on the accept action</t>
        </is>
      </c>
      <c r="O226" s="24" t="n"/>
      <c r="P226" s="24" t="inlineStr">
        <is>
          <t>2026-10-24 13:26</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 Production Not run
local: not covered: WALLET_INSUFFICIENT (subscription renewals) is not produced; CONFIRMED is not a target of /status at all (DEF-06) — 422</t>
        </is>
      </c>
      <c r="O227" s="24" t="n"/>
      <c r="P227" s="24" t="inlineStr">
        <is>
          <t>2026-10-24 13:23</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Not run · Production Not run
local: not covered: exclusion of a disputed order from settlement is checked by TC-ORD-004 / TC-RET-020 in local/orders-rules.spec.ts ‖ not covered: the delivery date is moved into last week (only a finished week is settled, TC-FLD-118); the batches are prepared through the API the Finance page's button uses</t>
        </is>
      </c>
      <c r="O228" s="24" t="n"/>
      <c r="P228" s="24" t="inlineStr">
        <is>
          <t>2026-10-24 13:26</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Pass</t>
        </is>
      </c>
      <c r="N229" s="24" t="inlineStr">
        <is>
          <t>Passed, partly covered. Local Pass (partial) · Staging Not run · Production Not run
local: not covered: TC-ORD-009 here covers FAILED and RETURNED (DELIVERED and DISPUTED in the checks above)</t>
        </is>
      </c>
      <c r="O229" s="24" t="n"/>
      <c r="P229" s="24" t="inlineStr">
        <is>
          <t>2026-10-24 13:26</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Not run · Production Not run
local: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2026-10-24 13:46</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Pass</t>
        </is>
      </c>
      <c r="N231" s="24" t="inlineStr">
        <is>
          <t>Passed, partly covered. Local Pass (partial) · Staging Not run · Production Not run
local: not covered: READY and ASSIGNED are checked by TC-ORD-007 (ready) below</t>
        </is>
      </c>
      <c r="O231" s="24" t="n"/>
      <c r="P231" s="24" t="inlineStr">
        <is>
          <t>2026-10-24 13:32</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Not run · Production Not run
local: not covered: driven through the cancel API the page would call — see the next check for the page</t>
        </is>
      </c>
      <c r="O232" s="24" t="inlineStr">
        <is>
          <t>D-46</t>
        </is>
      </c>
      <c r="P232" s="24" t="inlineStr">
        <is>
          <t>2026-10-24 13:31</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Pass</t>
        </is>
      </c>
      <c r="N233" s="24" t="inlineStr">
        <is>
          <t>Passed, partly covered. Local Pass (partial) · Staging Not run · Production Not run
local: not covered: TC-ORD-009 here covers FAILED and RETURNED (DELIVERED and DISPUTED in the checks above) ‖ not covered: for DELIVERED and DISPUTED the API answers with the plain transition refusal; the card's 'Get help with this order' link is the route to support (FAILED and RETURNED name support in the message — next check)</t>
        </is>
      </c>
      <c r="O233" s="24" t="n"/>
      <c r="P233" s="24" t="inlineStr">
        <is>
          <t>2026-10-24 13:26</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Pass</t>
        </is>
      </c>
      <c r="N234" s="24" t="inlineStr">
        <is>
          <t>Passed, partly covered. Local Pass (partial) · Staging Not run · Production Not run
local: not covered: cancelled through the status API (the shop's screen offers Reject at CONFIRMED and Cancel &amp; refund at RETURNED only)</t>
        </is>
      </c>
      <c r="O234" s="24" t="n"/>
      <c r="P234" s="24" t="inlineStr">
        <is>
          <t>2026-10-24 13:45</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Pass</t>
        </is>
      </c>
      <c r="N235" s="24" t="inlineStr">
        <is>
          <t>Local Pass · Staging Not run · Production Not run
local: DB-20261024-A522Q3: line refund ₹58, cancel refund ₹40 (still held), wallet back to 490400; stock butter −1 (removed, not restocked), bread back (replaced), milk (substitute) restored</t>
        </is>
      </c>
      <c r="O235" s="24" t="n"/>
      <c r="P235" s="24" t="inlineStr">
        <is>
          <t>2026-10-24 13:47</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Pass</t>
        </is>
      </c>
      <c r="N236" s="24" t="inlineStr">
        <is>
          <t>Passed, partly covered. Local Pass (partial) · Staging Not run · Production Not run
local: not covered: the inventory movement row is read on the local run only</t>
        </is>
      </c>
      <c r="O236" s="24" t="n"/>
      <c r="P236" s="24" t="inlineStr">
        <is>
          <t>2026-10-24 13:45</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Pass · Staging Not run · Production Not run
local: two parallel cancels → 200 + 409; wallet back to 386000 (one refund)</t>
        </is>
      </c>
      <c r="O237" s="24" t="n"/>
      <c r="P237" s="24" t="inlineStr">
        <is>
          <t>2026-10-24 13:27</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 Production Not run
local: not covered: the delivery date is moved into last week (only a finished week is settled, TC-FLD-118); the batches are prepared through the API the Finance page's button uses</t>
        </is>
      </c>
      <c r="O238" s="24" t="n"/>
      <c r="P238" s="24" t="inlineStr">
        <is>
          <t>2026-10-24 13:23</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 Production Not run
local: not covered: the time is aged in the database; the rule is changed through the settings API the /admin/settings page uses</t>
        </is>
      </c>
      <c r="O239" s="24" t="n"/>
      <c r="P239" s="24" t="inlineStr">
        <is>
          <t>2026-10-24 13:23</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 Production Not run
local: not covered: the time is aged in the database; the rule is changed through the settings API the /admin/settings page uses</t>
        </is>
      </c>
      <c r="O240" s="24" t="n"/>
      <c r="P240" s="24" t="inlineStr">
        <is>
          <t>2026-10-24 13:23</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 Production Not run
local: not covered: the time is aged in the database; the rule is changed through the settings API the /admin/settings page uses</t>
        </is>
      </c>
      <c r="O241" s="24" t="n"/>
      <c r="P241" s="24" t="inlineStr">
        <is>
          <t>2026-10-24 13:23</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 Production Not run
local: closed shop: accept-by = opening (2026-10-25T03:30:00.000Z) + 30 min; kept while closed; cancelled once its time from opening had passed (aged)</t>
        </is>
      </c>
      <c r="O242" s="24" t="n"/>
      <c r="P242" s="24" t="inlineStr">
        <is>
          <t>2026-10-24 13:23</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 Production Not run
local: not covered: online is the local sandbox gateway</t>
        </is>
      </c>
      <c r="O243" s="24" t="n"/>
      <c r="P243" s="24" t="inlineStr">
        <is>
          <t>2026-10-24 13:23</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Pass</t>
        </is>
      </c>
      <c r="N244" s="24" t="inlineStr">
        <is>
          <t>Passed, partly covered. Local Pass (partial) · Staging Not run · Production Not run
local: not covered: the e-mail is read from the local mail catcher only</t>
        </is>
      </c>
      <c r="O244" s="24" t="n"/>
      <c r="P244" s="24" t="inlineStr">
        <is>
          <t>2026-10-24 13:31</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Pass</t>
        </is>
      </c>
      <c r="N245" s="24" t="inlineStr">
        <is>
          <t>Passed, partly covered. Local Pass (partial) · Staging Not run · Production Not run
local: not covered: 'without explicit picks' is this run (no line was picked); the all-picked variant is in fulfilment.spec.ts</t>
        </is>
      </c>
      <c r="O245" s="24" t="n"/>
      <c r="P245" s="24" t="inlineStr">
        <is>
          <t>2026-10-24 13:32</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Pass</t>
        </is>
      </c>
      <c r="N246" s="24" t="inlineStr">
        <is>
          <t>Local Pass · Staging Not run · Production Not run
local: DB-20261024-OQ9PGI rejected → REFUNDED; wallet back to 490400; notice "Your order DB-20261024-OQ9PGI was cancelled: Rejected by shop: Closed today" ‖ [phone] DB-20261024-W38GFK rejected → REFUNDED; wallet back to 490400; notice "Your order DB-20261024-W38GFK was cancelled: Rejected by shop: Closed today"</t>
        </is>
      </c>
      <c r="O246" s="24" t="n"/>
      <c r="P246" s="24" t="inlineStr">
        <is>
          <t>2026-10-24 13:46</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Pass</t>
        </is>
      </c>
      <c r="N247" s="24" t="inlineStr">
        <is>
          <t>Local Pass · Staging Not run · Production Not run
local: blank → 422, spaces → 422, 1 character → 422, 301 characters → 422, 300 characters → 200; kept as written: script, Marathi, padded (trimmed), shown as text on /notifications ‖ "" → 422 {"reason":"Invalid input"}; "   " → 422 "Tell the customer why the order is being rejected."</t>
        </is>
      </c>
      <c r="O247" s="24" t="n"/>
      <c r="P247" s="24" t="inlineStr">
        <is>
          <t>2026-10-24 13:31</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Not run · Production Not run
local: not covered: READY without explicit picks is the lifecycle run (order-lifecycle.spec.ts TC-FUL-006)</t>
        </is>
      </c>
      <c r="O248" s="24" t="n"/>
      <c r="P248" s="24" t="inlineStr">
        <is>
          <t>2026-10-24 13:31</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Pass</t>
        </is>
      </c>
      <c r="N249" s="24" t="inlineStr">
        <is>
          <t>Passed, partly covered. Local Pass (partial) · Staging Not run · Production Not run
local: not covered: 'without explicit picks' is this run (no line was picked); the all-picked variant is in fulfilment.spec.ts ‖ not covered: READY without explicit picks is the lifecycle run (order-lifecycle.spec.ts TC-FUL-006)</t>
        </is>
      </c>
      <c r="O249" s="24" t="n"/>
      <c r="P249" s="24" t="inlineStr">
        <is>
          <t>2026-10-24 13:32</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Local Pass · Staging Not run · Production Not run
local: ready while pending → 409; approved: ₹18 refunded, total 5800 → 4000, refund shown on the card ‖ [phone] ready while pending → 409; approved: ₹18 refunded, total 5800 → 4000, refund shown on the card</t>
        </is>
      </c>
      <c r="O250" s="24" t="n"/>
      <c r="P250" s="24" t="inlineStr">
        <is>
          <t>2026-10-24 13:46</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Local Pass · Staging Not run · Production Not run
local: ready while pending → 409; approved: ₹18 refunded, total 5800 → 4000, refund shown on the card ‖ [phone] ready while pending → 409; approved: ₹18 refunded, total 5800 → 4000, refund shown on the card</t>
        </is>
      </c>
      <c r="O251" s="24" t="n"/>
      <c r="P251" s="24" t="inlineStr">
        <is>
          <t>2026-10-24 13:46</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Pass</t>
        </is>
      </c>
      <c r="N252" s="24" t="inlineStr">
        <is>
          <t>Local Pass · Staging Not run · Production Not run
local: QA Bread mvmfditq ₹40 → QA Butter 100 g mvmfditq ₹58: charged ₹40, wallet unchanged</t>
        </is>
      </c>
      <c r="O252" s="24" t="n"/>
      <c r="P252" s="24" t="inlineStr">
        <is>
          <t>2026-10-24 13:27</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Local Pass · Staging Not run · Production Not run
local: customer 2 → 404; refused substitute: QA Bread mvmfditq removed, ₹40 refunded, order PREPARING ‖ [phone] customer 2 → 404; refused substitute: QA Bread mvmfditq removed, ₹40 refunded, order PREPARING</t>
        </is>
      </c>
      <c r="O253" s="24" t="n"/>
      <c r="P253" s="24" t="inlineStr">
        <is>
          <t>2026-10-24 13:31</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Pass</t>
        </is>
      </c>
      <c r="N254" s="24" t="inlineStr">
        <is>
          <t>Passed, partly covered. Local Pass (partial) · Staging Not run · Production Not run
local: not covered: 'a different unit count' has no separate rule: the substitute is taken in the same number of units (fulfilment.ts proposeSubstitution); an unknown id answers 404, not 422</t>
        </is>
      </c>
      <c r="O254" s="24" t="n"/>
      <c r="P254" s="24" t="inlineStr">
        <is>
          <t>2026-10-24 13:28</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Local Pass · Staging Not run · Production Not run
local: customer 2 → 404; refused substitute: QA Bread mvmfditq removed, ₹40 refunded, order PREPARING ‖ [phone] customer 2 → 404; refused substitute: QA Bread mvmfditq removed, ₹40 refunded, order PREPARING</t>
        </is>
      </c>
      <c r="O255" s="24" t="n"/>
      <c r="P255" s="24" t="inlineStr">
        <is>
          <t>2026-10-24 13:31</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Local Pass · Staging Not run · Production Not run
local: QA Butter 100 g mvmfditq removed (Out of stock): ₹58 back, total lowered, "Item unavailable" sent ‖ [phone] QA Butter 100 g mvmfditq removed (Out of stock): ₹58 back, total lowered, "Item unavailable" sent</t>
        </is>
      </c>
      <c r="O256" s="24" t="n"/>
      <c r="P256" s="24" t="inlineStr">
        <is>
          <t>2026-10-24 13:31</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Pass</t>
        </is>
      </c>
      <c r="N257" s="24" t="inlineStr">
        <is>
          <t>Local Pass · Staging Not run · Production Not run
local: DB-20261024-2HDWOX: both lines removed → REFUNDED; wallet back to 386000 (₹25 fee included)</t>
        </is>
      </c>
      <c r="O257" s="24" t="n"/>
      <c r="P257" s="24" t="inlineStr">
        <is>
          <t>2026-10-24 13:28</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Local Pass · Staging Not run · Production Not run
local: pickup code 1730 on the shop card (= slip 1730); delivery code •••• absent from the shop's card, page and API ‖ [phone] pickup code 8842 on the shop card (= slip 8842); delivery code •••• absent from the shop's card, page and API</t>
        </is>
      </c>
      <c r="O258" s="24" t="n"/>
      <c r="P258" s="24" t="inlineStr">
        <is>
          <t>2026-10-24 13:31</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 Production Not run
local: not covered: the order is marked a subscription order in the database rather than generated by the daily subscription run</t>
        </is>
      </c>
      <c r="O259" s="24" t="n"/>
      <c r="P259" s="24" t="inlineStr">
        <is>
          <t>2026-10-24 13:23</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Pass</t>
        </is>
      </c>
      <c r="N260" s="24" t="inlineStr">
        <is>
          <t>Passed, partly covered. Local Pass (partial) · Staging Not run · Production Not run
local: not covered: absence is checked on each tab's first page (the newest five) — these orders are the newest of their status</t>
        </is>
      </c>
      <c r="O260" s="24" t="n"/>
      <c r="P260" s="24" t="inlineStr">
        <is>
          <t>2026-10-24 13:28</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 Production Not run
local: not covered: with the default suspension policy (CONFIRMED cancel+refund, ACCEPTED–ASSIGNED review, PICKED_UP/OUT_FOR_DELIVERY continue)</t>
        </is>
      </c>
      <c r="O261" s="24" t="n"/>
      <c r="P261" s="24" t="inlineStr">
        <is>
          <t>2026-10-24 13:23</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 Production Not run
local: not covered: an open dashboard shows a new offer after a reload (it does not refresh itself while broadcast offers are off); 'offers resume' is shown with the dispatch sweep (it runs every minute on the sites)</t>
        </is>
      </c>
      <c r="O262" s="24" t="n"/>
      <c r="P262" s="24" t="inlineStr">
        <is>
          <t>2026-10-24 13:29</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 Production Not run
local: rider offline, rider 2 online → rider 2 offered; suspended + REGISTERED riders flagged online → NO_RIDER</t>
        </is>
      </c>
      <c r="O263" s="24" t="n"/>
      <c r="P263" s="24" t="inlineStr">
        <is>
          <t>2026-10-24 13:19</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 Production Not run
local: near rider offered first: rider, then (swapped) rider2</t>
        </is>
      </c>
      <c r="O264" s="24" t="n"/>
      <c r="P264" s="24" t="inlineStr">
        <is>
          <t>2026-10-24 13:19</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 Production Not run
local: not covered: with rule dispatch.busyRidersAsFallback on (GA-005/F3, off by default — off, a busy rider is excluded, as before)</t>
        </is>
      </c>
      <c r="O265" s="24" t="n"/>
      <c r="P265" s="24" t="inlineStr">
        <is>
          <t>2026-10-24 13:19</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 Production Not run
local: not covered: the 2 minutes are aged in the database, not waited for</t>
        </is>
      </c>
      <c r="O266" s="24" t="n"/>
      <c r="P266" s="24" t="inlineStr">
        <is>
          <t>2026-10-24 13:19</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 Production Not run
local: rider declined → rider2 offered → declined; sweep offered nobody again; 1 row, 2 decliners remembered; no order with two live assignments</t>
        </is>
      </c>
      <c r="O267" s="24" t="n"/>
      <c r="P267" s="24" t="inlineStr">
        <is>
          <t>2026-10-24 13:19</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t>
        </is>
      </c>
      <c r="O268" s="24" t="n"/>
      <c r="P268" s="24" t="inlineStr">
        <is>
          <t>2026-10-24 13:29</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 Production Not run
local: not covered: the limit is lowered to 2 attempts for the run (rule dispatch.maxAttempts, restored); 10 attempts / 30 min are the defaults; the promised-time stop (window + 15 min) needs a delivery window and is not exercised</t>
        </is>
      </c>
      <c r="O269" s="24" t="n"/>
      <c r="P269" s="24" t="inlineStr">
        <is>
          <t>2026-10-24 13:29</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t>
        </is>
      </c>
      <c r="O270" s="24" t="n"/>
      <c r="P270" s="24" t="inlineStr">
        <is>
          <t>2026-10-24 13:29</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 Production Not run
local: not covered: the limit is lowered to 2 attempts for the run (rule dispatch.maxAttempts, restored); 10 attempts / 30 min are the defaults; the promised-time stop (window + 15 min) needs a delivery window and is not exercised</t>
        </is>
      </c>
      <c r="O271" s="24" t="n"/>
      <c r="P271" s="24" t="inlineStr">
        <is>
          <t>2026-10-24 13:29</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 Production Not run
local: after cancel: STOPPED / ORDER_CANCELLED; no offer</t>
        </is>
      </c>
      <c r="O272" s="24" t="inlineStr">
        <is>
          <t>D-52</t>
        </is>
      </c>
      <c r="P272" s="24" t="inlineStr">
        <is>
          <t>2026-10-24 13:20</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 Production Not run
local: not covered: changed through the settings API the /admin/settings page uses</t>
        </is>
      </c>
      <c r="O273" s="24" t="n"/>
      <c r="P273" s="24" t="inlineStr">
        <is>
          <t>2026-10-24 13:20</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 Production Not run
local: simultaneous READY at shops A and B → rider holds 1 offer; DB-20261024-8KPKTI waits</t>
        </is>
      </c>
      <c r="O274" s="24" t="n"/>
      <c r="P274" s="24" t="inlineStr">
        <is>
          <t>2026-10-24 13:20</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 Production Not run
local: Assign rider → offered; Reassign (ACCEPTED → cancelled) → READY with the reason → new offer; after pickup: no button, API 409 "This order has already been picked up and cannot be reassigned."</t>
        </is>
      </c>
      <c r="O275" s="24" t="n"/>
      <c r="P275" s="24" t="inlineStr">
        <is>
          <t>2026-10-24 13:20</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Pass</t>
        </is>
      </c>
      <c r="N276" s="24" t="inlineStr">
        <is>
          <t>Local Pass · Staging Not run · Production Not run
local: shop B 403, customer 403, own shop reassign 403</t>
        </is>
      </c>
      <c r="O276" s="24" t="n"/>
      <c r="P276" s="24" t="inlineStr">
        <is>
          <t>2026-10-24 12:38</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 Production Not run
local: listed rider 2 (2.2 km) offered, unlisted rider 1 (55 m) not; arrival notice: "Order DB-20261024-Z1YGZF: Your rider is at the gate. Security may call you to approve entry — please pick up."; listed rider offline → nobody; shop told "No rider has taken order DB-20261024-SNWMEA yet — we keep trying automatically (attempt 1 of 10). No delivery partner allowed by this society is currently available for this order."</t>
        </is>
      </c>
      <c r="O277" s="24" t="n"/>
      <c r="P277" s="24" t="inlineStr">
        <is>
          <t>2026-10-24 13:20</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 Production Not run
local: offers in turn: preferred → listed → unlisted (the unlisted rider was slightly nearer)</t>
        </is>
      </c>
      <c r="O278" s="24" t="n"/>
      <c r="P278" s="24" t="inlineStr">
        <is>
          <t>2026-10-24 13:20</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 Production Not run
local: exclusive society, no listed riders → the nearest rider offered</t>
        </is>
      </c>
      <c r="O279" s="24" t="n"/>
      <c r="P279" s="24" t="inlineStr">
        <is>
          <t>2026-10-24 13:20</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 Production Not run
local: rider 1 revoked → the order went to rider 2 although rider 1 was nearer</t>
        </is>
      </c>
      <c r="O280" s="24" t="n"/>
      <c r="P280" s="24" t="inlineStr">
        <is>
          <t>2026-10-24 13:20</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 Production Not run
local: not covered: the declines are dated to yesterday so that only reliability (not today's offer count) differs; run both ways round so a fixed tie order cannot pass it</t>
        </is>
      </c>
      <c r="O281" s="24" t="inlineStr">
        <is>
          <t>D-45</t>
        </is>
      </c>
      <c r="P281" s="24" t="inlineStr">
        <is>
          <t>2026-10-24 13:21</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 Production Not run
local: not covered: run both ways round so a fixed tie order cannot pass it; 'nobody is starved over several orders' follows from the same weight</t>
        </is>
      </c>
      <c r="O282" s="24" t="inlineStr">
        <is>
          <t>D-45</t>
        </is>
      </c>
      <c r="P282" s="24" t="inlineStr">
        <is>
          <t>2026-10-24 13:21</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n"/>
      <c r="P283" s="24" t="inlineStr">
        <is>
          <t>2026-10-24 16:09</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 Production Not run
local: not covered: with rule dispatch.busyRidersAsFallback on (GA-005/F3, off by default — off, a busy rider is excluded, as before)</t>
        </is>
      </c>
      <c r="O284" s="24" t="n"/>
      <c r="P284" s="24" t="inlineStr">
        <is>
          <t>2026-10-24 13:19</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 Production Not run
local: not covered: with rule batching on (GA-005, off by default)</t>
        </is>
      </c>
      <c r="O285" s="24" t="n"/>
      <c r="P285" s="24" t="inlineStr">
        <is>
          <t>2026-10-24 13:22</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 Production Not run
local: not covered: with rule batching on (GA-005, off by default)</t>
        </is>
      </c>
      <c r="O286" s="24" t="n"/>
      <c r="P286" s="24" t="inlineStr">
        <is>
          <t>2026-10-24 13:22</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 Production Not run
local: not covered: with rule batching on (GA-005, off by default)</t>
        </is>
      </c>
      <c r="O287" s="24" t="n"/>
      <c r="P287" s="24" t="inlineStr">
        <is>
          <t>2026-10-24 13:22</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Not run · Production Not run
local: not covered: Google Maps itself is not opened (no outside network in the run): the deep link and its destination are checked; the customer's phone is checked on the local run ‖ not covered: customer name/phone absence before pickup is asserted by TC-DEL-010 in rider.spec.ts with the page</t>
        </is>
      </c>
      <c r="O288" s="24" t="n"/>
      <c r="P288" s="24" t="inlineStr">
        <is>
          <t>2026-10-24 13:32</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 Production Not run
local: not covered: the 2 minutes are aged in the database, not waited for</t>
        </is>
      </c>
      <c r="O289" s="24" t="n"/>
      <c r="P289" s="24" t="inlineStr">
        <is>
          <t>2026-10-24 13:19</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Local Pass · Staging Not run · Production Not run
local: chip ticked; second tap 200; shop notices: 1 ‖ [phone] chip ticked; second tap 200; shop notices: 1</t>
        </is>
      </c>
      <c r="O290" s="24" t="n"/>
      <c r="P290" s="24" t="inlineStr">
        <is>
          <t>2026-10-24 12:44</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Not run · Production Not run
local: not covered: shop and customer notifications are checked in notifications.spec.ts ‖ not covered: wrong pickup codes are not counted at all — there is no attempt limit on the pickup code (only the delivery code locks)</t>
        </is>
      </c>
      <c r="O291" s="24" t="n"/>
      <c r="P291" s="24" t="inlineStr">
        <is>
          <t>2026-10-24 13:32</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Not run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t>
        </is>
      </c>
      <c r="O292" s="24" t="n"/>
      <c r="P292" s="24" t="inlineStr">
        <is>
          <t>2026-10-24 12:44</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Not run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t>
        </is>
      </c>
      <c r="O293" s="24" t="n"/>
      <c r="P293" s="24" t="inlineStr">
        <is>
          <t>2026-10-24 13:20</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Pass</t>
        </is>
      </c>
      <c r="N294" s="24" t="inlineStr">
        <is>
          <t>Passed, partly covered. Local Pass (partial) · Staging Not run · Production Not run
local: not covered: rider earning, finance snapshot and per-step history rows are checked in finance.spec.ts and the local-tier audit checks</t>
        </is>
      </c>
      <c r="O294" s="24" t="n"/>
      <c r="P294" s="24" t="inlineStr">
        <is>
          <t>2026-10-24 13:33</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Pass</t>
        </is>
      </c>
      <c r="N295" s="24" t="inlineStr">
        <is>
          <t>Passed, partly covered. Local Pass (partial) · Staging Not run · Production Not run
local: not covered: the override note is checked as stored (rider history API); its display as plain text on an operator screen is not checked</t>
        </is>
      </c>
      <c r="O295" s="24" t="n"/>
      <c r="P295" s="24" t="inlineStr">
        <is>
          <t>2026-10-24 12:37</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Pass</t>
        </is>
      </c>
      <c r="N296" s="24" t="inlineStr">
        <is>
          <t>Passed, partly covered. Local Pass (partial) · Staging Not run · Production Not run
local: not covered: the override note is checked as stored (rider history API); its display as plain text on an operator screen is not checked</t>
        </is>
      </c>
      <c r="O296" s="24" t="n"/>
      <c r="P296" s="24" t="inlineStr">
        <is>
          <t>2026-10-24 12:37</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Not run · Production Not run
local: not covered: Google Maps itself is not opened (no outside network in the run): the deep link and its destination are checked; the customer's phone is checked on the local run ‖ not covered: customer name/phone absence before pickup is asserted by TC-DEL-010 in rider.spec.ts with the page</t>
        </is>
      </c>
      <c r="O297" s="24" t="n"/>
      <c r="P297" s="24" t="inlineStr">
        <is>
          <t>2026-10-24 13:32</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Pass</t>
        </is>
      </c>
      <c r="N298" s="24" t="inlineStr">
        <is>
          <t>Passed, partly covered. Local Pass (partial) · Staging Not run · Production Not run
local: not covered: TC-ORD-009 here covers FAILED and RETURNED (DELIVERED and DISPUTED in the checks above)</t>
        </is>
      </c>
      <c r="O298" s="24" t="n"/>
      <c r="P298" s="24" t="inlineStr">
        <is>
          <t>2026-10-24 13:26</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Not run · Production Not run
local: not covered: Google Maps itself is not opened (no outside network in the run): the deep link and its destination are checked; the customer's phone is checked on the local run</t>
        </is>
      </c>
      <c r="O299" s="24" t="n"/>
      <c r="P299" s="24" t="inlineStr">
        <is>
          <t>2026-10-24 12:44</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 Production Not run
local: not covered: an open dashboard shows a new offer after a reload (it does not refresh itself while broadcast offers are off); 'offers resume' is shown with the dispatch sweep (it runs every minute on the sites)</t>
        </is>
      </c>
      <c r="O300" s="24" t="n"/>
      <c r="P300" s="24" t="inlineStr">
        <is>
          <t>2026-10-24 13:29</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 Production Not run
local: empty submit flagged fullName, mobile, vehicleType (nothing created; API 422 names fullName, mobile, vehicleType); complete application → REGISTERED, "waiting to be reviewed", KYC/bank in *_encrypted columns only</t>
        </is>
      </c>
      <c r="O301" s="24" t="n"/>
      <c r="P301" s="24" t="inlineStr">
        <is>
          <t>2026-10-24 13:22</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 Production Not run
local: not covered: the rider notices are checked in the next check</t>
        </is>
      </c>
      <c r="O302" s="24" t="inlineStr">
        <is>
          <t>D-50</t>
        </is>
      </c>
      <c r="P302" s="24" t="inlineStr">
        <is>
          <t>2026-10-24 13:22</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 Production Not run
local: not covered: "Profile is read-only" is superseded by F2 (docs/marketplace-features-2026-10/README.md, src/server/services/rider-profile.ts): everyday details are editable, identity/bank changes go to admin review — see TC-DEL-028/029</t>
        </is>
      </c>
      <c r="O303" s="24" t="n"/>
      <c r="P303" s="24" t="inlineStr">
        <is>
          <t>2026-10-24 13:22</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 Production Not run
local: unregistered: apply link on both pages; not approved: 'Not receiving offers', no go-online / offer / ID-card links; approved, no job: offline note with a Go online link; approved with a job: current DB-20261024-PGVTN0 (offer), history DB-20261024-PZE7TW without the active row</t>
        </is>
      </c>
      <c r="O304" s="24" t="n"/>
      <c r="P304" s="24" t="inlineStr">
        <is>
          <t>2026-10-24 13:22</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not covered: coordinates appear once the drop starts (stricter than 'after pickup'; tracking rule description, src/server/config/rules.ts)
staging: not covered: unknown id only; the customer / other-customer halves run in the signed-in tier
production: not covered: unknown id only; the customer / other-customer halves run in the signed-in tier</t>
        </is>
      </c>
      <c r="O305" s="24" t="n"/>
      <c r="P305" s="24" t="inlineStr">
        <is>
          <t>2026-10-24 16:09</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Not run · Production Not run
local: not covered: the 3-Oct 'known gap' (component not mounted) is superseded: the tracking view is mounted on My Orders (src/app/orders/page.tsx, event layer)</t>
        </is>
      </c>
      <c r="O306" s="24" t="n"/>
      <c r="P306" s="24" t="inlineStr">
        <is>
          <t>2026-10-24 12:45</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Pass</t>
        </is>
      </c>
      <c r="N307" s="24" t="inlineStr">
        <is>
          <t>Local Pass · Staging Not run · Production Not run
local: self-delivery READY → OUT_FOR_DELIVERY → DELIVERED from the shop screen; with a rider assigned no manual buttons and DELIVERED → 409 ‖ [phone] self-delivery READY → OUT_FOR_DELIVERY → DELIVERED from the shop screen; with a rider assigned no manual buttons and DELIVERED → 409</t>
        </is>
      </c>
      <c r="O307" s="24" t="n"/>
      <c r="P307" s="24" t="inlineStr">
        <is>
          <t>2026-10-24 12:45</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 Production Not run
local: not covered: recorded behaviour (the plan calls it a known gap) ‖ blocked: no delivery offer reached the rider for order c634d671-dcb4-4233-a78d-6d2c79b83d42 within 30 s (rider offline or busy?)</t>
        </is>
      </c>
      <c r="O308" s="24" t="n"/>
      <c r="P308" s="24" t="inlineStr">
        <is>
          <t>2026-10-24 13:30</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 Production Not run
local: no photo → 409 "Take a photo of the order at the door before marking it delivered."; oversized/PDF/empty → 422; valid photo → delivered; 'Photo at delivery' on the customer's order and in /admin/orders</t>
        </is>
      </c>
      <c r="O309" s="24" t="n"/>
      <c r="P309" s="24" t="inlineStr">
        <is>
          <t>2026-10-24 13:24</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 Production Not run
local: no photo → 409 "Take a photo of the order at the door before marking it delivered."; oversized/PDF/empty → 422; valid photo → delivered; 'Photo at delivery' on the customer's order and in /admin/orders</t>
        </is>
      </c>
      <c r="O310" s="24" t="n"/>
      <c r="P310" s="24" t="inlineStr">
        <is>
          <t>2026-10-24 13:24</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also in guest/access.spec.ts; with the photo rule off the upload is optional (the required-photo rule is TC-DEL-022/023, local) ‖ not covered: guest half; owner / other-shop / operator halves run in the signed-in tier
staging: not covered: guest half; owner / other-shop / operator halves run in the signed-in tier
production: not covered: guest half; owner / other-shop / operator halves run in the signed-in tier</t>
        </is>
      </c>
      <c r="O311" s="24" t="n"/>
      <c r="P311" s="24" t="inlineStr">
        <is>
          <t>2026-10-24 16:09</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 Production Not run
local: approving a rider with no identity document | expect(received).not.toBe(expected) // Object.is equality | Expected: not "200 APPROVED/OFFLINE"</t>
        </is>
      </c>
      <c r="O312" s="24" t="inlineStr">
        <is>
          <t>D-57</t>
        </is>
      </c>
      <c r="P312" s="24" t="inlineStr">
        <is>
          <t>2026-10-24 13:22</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 Production Not run
local: not covered: the plan's BLOCKED state is SUSPENDED in the rider model (src/lib/status-models.ts)</t>
        </is>
      </c>
      <c r="O313" s="24" t="inlineStr">
        <is>
          <t>D-44</t>
        </is>
      </c>
      <c r="P313" s="24" t="inlineStr">
        <is>
          <t>2026-10-24 13:21</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t>
        </is>
      </c>
      <c r="O314" s="24" t="inlineStr">
        <is>
          <t>D-49</t>
        </is>
      </c>
      <c r="P314" s="24" t="inlineStr">
        <is>
          <t>2026-10-24 13:22</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 Production Not run
local: saved: SCOOTER · "MH14 CD 5678" (typed "  mh14 cd   5678 "); the rider stays APPROVED and can go online at once (200) — no re-verification; audited fields ["vehicleType", "vehicleRegistrationNumber"]</t>
        </is>
      </c>
      <c r="O315" s="24" t="n"/>
      <c r="P315" s="24" t="inlineStr">
        <is>
          <t>2026-10-24 13:22</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t>
        </is>
      </c>
      <c r="O316" s="24" t="n"/>
      <c r="P316" s="24" t="inlineStr">
        <is>
          <t>2026-10-24 13:22</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 Production Not run
local: not covered: step 2 (a wrong confirmation code) does not apply: there is no code — identity/bank changes wait for operator approval (F2, src/server/services/rider-profile.ts); the IFSC refusal is a message under the form, not on the field</t>
        </is>
      </c>
      <c r="O317" s="24" t="inlineStr">
        <is>
          <t>D-47, D-51</t>
        </is>
      </c>
      <c r="P317" s="24" t="inlineStr">
        <is>
          <t>2026-10-24 13:42</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 Production Not run
local: not covered: status fields are refused with 422 (strict body) rather than ignored — nothing is changed either way; a KYC change is held for admin review (F2) instead of returning the rider to review</t>
        </is>
      </c>
      <c r="O318" s="24" t="n"/>
      <c r="P318" s="24" t="inlineStr">
        <is>
          <t>2026-10-24 13:22</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Not run · Production Not run
local: not covered: 'pending verification' is the society's APPLIED status; the operator's verification is TC-SOC-003</t>
        </is>
      </c>
      <c r="O319" s="24" t="n"/>
      <c r="P319" s="24" t="inlineStr">
        <is>
          <t>2026-10-24 12:52</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Not run · Production Not run
local: "QA TOWERS MVME4YFN" + 411038 → 409 (API); the same from the page → "already registered — ask to join it instead"</t>
        </is>
      </c>
      <c r="O320" s="24" t="n"/>
      <c r="P320" s="24" t="inlineStr">
        <is>
          <t>2026-10-24 12:49</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 Production Not run
local: audited A:APPLIED→VERIFIED, B:APPLIED→REJECTED, A:VERIFIED→SUSPENDED, A:SUSPENDED→VERIFIED; registrant of A now holds CUSTOMER, SOCIETY_ADMIN</t>
        </is>
      </c>
      <c r="O321" s="24" t="n"/>
      <c r="P321" s="24" t="inlineStr">
        <is>
          <t>2026-10-24 12:37</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Not run · Production Not run
local: not covered: the resident's dashboard page answers 404 (it does not reveal the society) rather than 403; the API answers 403</t>
        </is>
      </c>
      <c r="O322" s="24" t="n"/>
      <c r="P322" s="24" t="inlineStr">
        <is>
          <t>2026-10-24 12:49</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Not run · Production Not run
local: POST /api/societies/{APPLIED}/members → 409 "This society is not open for residents yet."</t>
        </is>
      </c>
      <c r="O323" s="24" t="n"/>
      <c r="P323" s="24" t="inlineStr">
        <is>
          <t>2026-10-24 12:49</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 Production Not run
local: B → OPERATOR by the admin; B changing C's role → 403; last admin demote → 409 "A society needs at least one admin.", leave → 409 "A society needs at least one admin — hand over first."</t>
        </is>
      </c>
      <c r="O324" s="24" t="n"/>
      <c r="P324" s="24" t="inlineStr">
        <is>
          <t>2026-10-24 12:37</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 Production Not run
local: left QA Society mvmdce6i from /society; the address link cleared; DB-20261024-EN5Q73 carries no society</t>
        </is>
      </c>
      <c r="O325" s="24" t="n"/>
      <c r="P325" s="24" t="inlineStr">
        <is>
          <t>2026-10-24 12:38</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Not run · Production Not run
local: QA Society mvmdce6i: Rules &amp; instructions, /^Residents \(\d+\)$/, Authorised riders, Shops for our residents, Deliveries to the society (last 7 days) ‖ [phone] QA Society mvmdce6i: Rules &amp; instructions, /^Residents \(\d+\)$/, Authorised riders, Shops for our residents, Deliveries to the society (last 7 days)</t>
        </is>
      </c>
      <c r="O326" s="24" t="n"/>
      <c r="P326" s="24" t="inlineStr">
        <is>
          <t>2026-10-24 12:52</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 Production Not run
local: DB-20261024-HWE7B7 listed with number, status, shop, rider and unit only; no resident email, mobile or items in the API or the page</t>
        </is>
      </c>
      <c r="O327" s="24" t="n"/>
      <c r="P327" s="24" t="inlineStr">
        <is>
          <t>2026-10-24 12:38</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Not run · Production Not run
local: not covered: the resident's dashboard page answers 404 (it does not reveal the society) rather than 403; the API answers 403</t>
        </is>
      </c>
      <c r="O328" s="24" t="n"/>
      <c r="P328" s="24" t="inlineStr">
        <is>
          <t>2026-10-24 12:49</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 Production Not run
local: not covered: the riders' mobile numbers are made unique first (the seeded riders share 9876543210)</t>
        </is>
      </c>
      <c r="O329" s="24" t="n"/>
      <c r="P329" s="24" t="inlineStr">
        <is>
          <t>2026-10-24 12:37</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 Production Not run
local: not covered: the dashboard keeps the revoked rider on its list, marked 'revoked' (no longer authorised), rather than removing the row</t>
        </is>
      </c>
      <c r="O330" s="24" t="n"/>
      <c r="P330" s="24" t="inlineStr">
        <is>
          <t>2026-10-24 12:37</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 Production Not run
local: not covered: the dashboard's view of the delivery (no PII) is TC-SOC-009 below</t>
        </is>
      </c>
      <c r="O331" s="24" t="n"/>
      <c r="P331" s="24" t="inlineStr">
        <is>
          <t>2026-10-24 12:38</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 Production Not run
local: not covered: the notice when switched on is checked by TC-SOC-016 above ‖ not covered: the dashboard's view of the delivery (no PII) is TC-SOC-009 below</t>
        </is>
      </c>
      <c r="O332" s="24" t="n"/>
      <c r="P332" s="24" t="inlineStr">
        <is>
          <t>2026-10-24 12:38</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 Production Not run
local: not covered: checked on the home page's 'Shops near you' (the nearby-shops order); the /shops list re-sorts nearest-first by default, so there shop C stays ahead; shop A delivers to the resident anyway — a partner outside its own radius is not set up in this world</t>
        </is>
      </c>
      <c r="O333" s="24" t="n"/>
      <c r="P333" s="24" t="inlineStr">
        <is>
          <t>2026-10-24 12:38</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 Production Not run
local: not covered: the dashboard's view of the delivery (no PII) is TC-SOC-009 below</t>
        </is>
      </c>
      <c r="O334" s="24" t="n"/>
      <c r="P334" s="24" t="inlineStr">
        <is>
          <t>2026-10-24 12:38</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 Production Not run
local: suspended (exclusive, rider 2 listed): DB-20261024-WXCZQM has no society, went to the nearer rider 1 and was delivered</t>
        </is>
      </c>
      <c r="O335" s="24" t="n"/>
      <c r="P335" s="24" t="inlineStr">
        <is>
          <t>2026-10-24 12:38</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Pass</t>
        </is>
      </c>
      <c r="N336" s="24" t="inlineStr">
        <is>
          <t>Local Pass · Staging Not run · Production Not run
local: /subscribe for QA Cow Milk 1 L mvmd4oyo: 1 L +0.5 +0.5 = 2 L; preview ₹140 per delivery, ₹980 for 7 days; Subscribe → /subscriptions/50ce360d… "Active"; calendar ₹140 per delivery ‖ [phone] /subscribe for QA Cow Milk 1 L mvmd4oyo: 1 L +0.5 +0.5 = 2 L; preview ₹140 per delivery, ₹980 for 7 days; Subscribe → /subscriptions/515feff6… "Active"; calendar ₹140 per delivery</t>
        </is>
      </c>
      <c r="O336" s="24" t="n"/>
      <c r="P336" s="24" t="inlineStr">
        <is>
          <t>2026-10-24 12:44</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 Production Not run
local: 2026-10-25: run 1 → generated 1 (DB-20261024-N8Z7K4, CONFIRMED, source SUBSCRIPTION, ₹140; wallet 300000 → 286000); run 2 → generated 0, alreadyExisted 1, wallet unchanged</t>
        </is>
      </c>
      <c r="O337" s="24" t="n"/>
      <c r="P337" s="24" t="inlineStr">
        <is>
          <t>2026-10-24 12:20</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Not run · Production Not run
local: not covered: read from the calendar API the page draws (the page's day tiles are the same data)</t>
        </is>
      </c>
      <c r="O338" s="24" t="n"/>
      <c r="P338" s="24" t="inlineStr">
        <is>
          <t>2026-10-24 12:29</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Not run · Production Not run
local: not covered: set through the API the day panel calls; the page's own tile wording is not asserted</t>
        </is>
      </c>
      <c r="O339" s="24" t="n"/>
      <c r="P339" s="24" t="inlineStr">
        <is>
          <t>2026-10-24 12:29</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 Production Not run
local: 2026-10-26 skipped → job: generated 0, skipped 1; wallet unchanged; delivery SKIPPED</t>
        </is>
      </c>
      <c r="O340" s="24" t="n"/>
      <c r="P340" s="24" t="inlineStr">
        <is>
          <t>2026-10-24 12:21</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Not run · Production Not run
local: not covered: pause and resume are sent through the API the subscription page's Pause / Resume buttons call; the calendar is read from its API</t>
        </is>
      </c>
      <c r="O341" s="24" t="n"/>
      <c r="P341" s="24" t="inlineStr">
        <is>
          <t>2026-10-24 12:29</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Not run · Production Not run
local: not covered: the page sends a fixed reason ('Cancelled by customer'); a reason of the customer's own is only possible through the API</t>
        </is>
      </c>
      <c r="O342" s="24" t="n"/>
      <c r="P342" s="24" t="inlineStr">
        <is>
          <t>2026-10-24 12:44</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Not run · Production Not run
local: pause → 409, resume → 409, skip → 409, PATCH → 409, activate → 409; still CANCELLED, quantity unchanged</t>
        </is>
      </c>
      <c r="O343" s="24" t="inlineStr">
        <is>
          <t>D-34</t>
        </is>
      </c>
      <c r="P343" s="24" t="inlineStr">
        <is>
          <t>2026-10-24 12:29</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Not run · Production Not run
local: not covered: a date already generated (processed) is TC-SUB-009 in tests/qa/local/money-subscriptions.spec.ts (needs the daily job)</t>
        </is>
      </c>
      <c r="O344" s="24" t="n"/>
      <c r="P344" s="24" t="inlineStr">
        <is>
          <t>2026-10-24 12:29</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 Production Not run
local: not covered: the top-up between the failed day and the retry is a wallet balance set on the local database (a gateway top-up cannot be paid on this server); retry and history are read through the APIs the subscription page uses</t>
        </is>
      </c>
      <c r="O345" s="24" t="n"/>
      <c r="P345" s="24" t="inlineStr">
        <is>
          <t>2026-10-24 12:21</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 Production Not run
local: not covered: the top-up between the failed day and the retry is a wallet balance set on the local database (a gateway top-up cannot be paid on this server); retry and history are read through the APIs the subscription page uses</t>
        </is>
      </c>
      <c r="O346" s="24" t="n"/>
      <c r="P346" s="24" t="inlineStr">
        <is>
          <t>2026-10-24 12:21</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Not run · Production Not run
local: shop: API 403, calendar 403, pause 403, page 404; rider: API 403, calendar 403, pause 403, page 404; society: API 403, calendar 403, pause 403, page 404; guest: 401</t>
        </is>
      </c>
      <c r="O347" s="24" t="n"/>
      <c r="P347" s="24" t="inlineStr">
        <is>
          <t>2026-10-24 12:30</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 Production Not run
local: not covered: the customer's address in this world is not linked to a society, so the society half shows 'none'</t>
        </is>
      </c>
      <c r="O348" s="24" t="inlineStr">
        <is>
          <t>D-31</t>
        </is>
      </c>
      <c r="P348" s="24" t="inlineStr">
        <is>
          <t>2026-10-24 12:21</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 Production Not run
local: not covered: the 'shop suspended' variant is not run (suspending shop A would stop the other checks); the product-disabled variant is</t>
        </is>
      </c>
      <c r="O349" s="24" t="n"/>
      <c r="P349" s="24" t="inlineStr">
        <is>
          <t>2026-10-24 12:21</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 Production Not run
local: shop closed all week → job generated 1, DB-20261024-XL0DC4 CONFIRMED without any confirmation</t>
        </is>
      </c>
      <c r="O350" s="24" t="n"/>
      <c r="P350" s="24" t="inlineStr">
        <is>
          <t>2026-10-24 12:21</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Not run · Production Not run
local: not covered: 'no orders' for a draft on its delivery day is TC-SUB-019 in the local tier (daily job)</t>
        </is>
      </c>
      <c r="O351" s="24" t="n"/>
      <c r="P351" s="24" t="inlineStr">
        <is>
          <t>2026-10-24 12:44</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 Production Not run
local: end date D+2 → both RENEWAL_PENDING ("Your subscription ends soon"); renewed to D+40 → ACTIVE; ignored → after D+2 the job makes no order and it is COMPLETED</t>
        </is>
      </c>
      <c r="O352" s="24" t="n"/>
      <c r="P352" s="24" t="inlineStr">
        <is>
          <t>2026-10-24 12:21</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 Production Not run
local: not covered: expected history entries 'ORDER_CREATED / FULFILLED' are superseded by SM-004 (src/lib/subscription-deliveries.ts): each delivery carries the order's own status (CONFIRMED … DELIVERED)</t>
        </is>
      </c>
      <c r="O353" s="24" t="n"/>
      <c r="P353" s="24" t="inlineStr">
        <is>
          <t>2026-10-24 12:21</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Not run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t>
        </is>
      </c>
      <c r="O354" s="24" t="n"/>
      <c r="P354" s="24" t="inlineStr">
        <is>
          <t>2026-10-24 12:30</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Not run · Production Not run
local: not covered: 'each option saved and shown after reload' is shown for one reason/condition (DAMAGED, next check); the others are not each submitted</t>
        </is>
      </c>
      <c r="O355" s="24" t="n"/>
      <c r="P355" s="24" t="inlineStr">
        <is>
          <t>2026-10-24 12:45</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Local Pass · Staging Not run · Production Not run
local: empty file → 422 "The image file is empty."; PDF renamed .jpg → 422 "Upload a JPEG, PNG or WebP image."; SVG renamed .jpg → 422 "Upload a JPEG, PNG or WebP image."; over 2 MB → 422 "Images can be at most 2.0 MB."; no photo → 422; 7 photos → 422 "You can attach at most 6 photos."; form refused Damaged without a photo, then created RT-F5683145 'Under review' with one; shop told; photo access {"customer":200,"shop":200,"ops":200,"customer2":404,"guest":404} ‖ [phone] empty file → 422 "The image file is empty."; PDF renamed .jpg → 422 "Upload a JPEG, PNG or WebP image."; SVG renamed .jpg → 422 "Upload a JPEG, PNG or WebP image."; over 2 MB → 422 "Images can be at most 2.0 MB."; no photo → 422; 7 photos → 422 "You can attach at most 6 photos."; form refused Damaged without a photo, then created RT-5E42B90F 'Under review' with one; shop told; photo access {"customer":200,"shop":200,"ops":200,"customer2":404,"guest":404}</t>
        </is>
      </c>
      <c r="O356" s="24" t="n"/>
      <c r="P356" s="24" t="inlineStr">
        <is>
          <t>2026-10-24 12:45</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Pass</t>
        </is>
      </c>
      <c r="N357" s="24" t="inlineStr">
        <is>
          <t>Passed, partly covered. Local Pass (partial) · Staging Not run · Production Not run
local: not covered: '2 accepted' is shown by the 2-unit lines elsewhere (returns of 1 unit each are accepted in the checks around)</t>
        </is>
      </c>
      <c r="O357" s="24" t="inlineStr">
        <is>
          <t>D-48</t>
        </is>
      </c>
      <c r="P357" s="24" t="inlineStr">
        <is>
          <t>2026-10-24 12:39</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 Production Not run
local: not covered: the delivery time is aged in the database</t>
        </is>
      </c>
      <c r="O358" s="24" t="n"/>
      <c r="P358" s="24" t="inlineStr">
        <is>
          <t>2026-10-24 13:23</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Local Pass · Staging Not run · Production Not run
local: RT-F5683145: shop saw the photo and approved; customer told; rider accepted on the dashboard (no code shown); customer saw the handover code and chose a time → PICKUP_SCHEDULED ‖ [phone] RT-5E42B90F: shop saw the photo and approved; customer told; rider accepted on the dashboard (no code shown); customer saw the handover code and chose a time → PICKUP_SCHEDULED</t>
        </is>
      </c>
      <c r="O359" s="24" t="n"/>
      <c r="P359" s="24" t="inlineStr">
        <is>
          <t>2026-10-24 12:46</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Not run · Production Not run
local: not covered: a blank comment is the default of every other return here (accepted)</t>
        </is>
      </c>
      <c r="O360" s="24" t="n"/>
      <c r="P360" s="24" t="inlineStr">
        <is>
          <t>2026-10-24 12:46</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Local Pass · Staging Not run · Production Not run
local: RT-F5683145: shop saw the photo and approved; customer told; rider accepted on the dashboard (no code shown); customer saw the handover code and chose a time → PICKUP_SCHEDULED ‖ [phone] RT-5E42B90F: shop saw the photo and approved; customer told; rider accepted on the dashboard (no code shown); customer saw the handover code and chose a time → PICKUP_SCHEDULED</t>
        </is>
      </c>
      <c r="O361" s="24" t="n"/>
      <c r="P361" s="24" t="inlineStr">
        <is>
          <t>2026-10-24 12:46</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Local Pass · Staging Not run · Production Not run
local: wrong code refused, right code → PICKUP_COMPLETED, rider fee ₹20.00; refund ₹58 → wallet; shop share -5800 paise (REFUND_SHOP); timeline of 11 steps on /returns/8b072387-d953-4386-ac94-9da4436e6445 ‖ RT-2C856445: 5 wrong codes then the right one → "Too many wrong codes"; operations completed the pickup from /admin/returns; inspection REJECT → REJECTED, wallet unchanged</t>
        </is>
      </c>
      <c r="O362" s="24" t="n"/>
      <c r="P362" s="24" t="inlineStr">
        <is>
          <t>2026-10-24 12:46</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Local Pass · Staging Not run · Production Not run
local: RT-D90D39A3: could not collect → APPROVED (both told); Find a rider again → offered; customer cancelled before set-off → RETURN_CANCELLED, pickup cancelled ‖ [phone] RT-600ADB48: could not collect → APPROVED (both told); Find a rider again → offered; customer cancelled before set-off → RETURN_CANCELLED, pickup cancelled</t>
        </is>
      </c>
      <c r="O363" s="24" t="n"/>
      <c r="P363" s="24" t="inlineStr">
        <is>
          <t>2026-10-24 12:46</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Not run · Production Not run
local: not covered: the screen rounds amounts typed with 3 decimals before sending (return-case.tsx Math.round) — the API half refuses them</t>
        </is>
      </c>
      <c r="O364" s="24" t="n"/>
      <c r="P364" s="24" t="inlineStr">
        <is>
          <t>2026-10-24 12:46</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Pass</t>
        </is>
      </c>
      <c r="N365" s="24" t="inlineStr">
        <is>
          <t>Local Pass · Staging Not run · Production Not run
local: RT-2C856445: 5 wrong codes then the right one → "Too many wrong codes"; operations completed the pickup from /admin/returns; inspection REJECT → REJECTED, wallet unchanged</t>
        </is>
      </c>
      <c r="O365" s="24" t="n"/>
      <c r="P365" s="24" t="inlineStr">
        <is>
          <t>2026-10-24 12:40</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Local Pass · Staging Not run · Production Not run
local: RT-573F8510: approved with no pickup; handed over at the shop → INSPECTION_PENDING ‖ [phone] RT-7FB32AAC: approved with no pickup; handed over at the shop → INSPECTION_PENDING</t>
        </is>
      </c>
      <c r="O366" s="24" t="n"/>
      <c r="P366" s="24" t="inlineStr">
        <is>
          <t>2026-10-24 12:46</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Local Pass · Staging Not run · Production Not run
local: RT-D90D39A3: could not collect → APPROVED (both told); Find a rider again → offered; customer cancelled before set-off → RETURN_CANCELLED, pickup cancelled ‖ RT-48D0E026: customer cancel en route → 409 "The rider is already on the way — contact support to cancel."; operations cancelled it from /admin/returns</t>
        </is>
      </c>
      <c r="O367" s="24" t="n"/>
      <c r="P367" s="24" t="inlineStr">
        <is>
          <t>2026-10-24 12:46</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 Production Not run
local: not covered: 'stuck at Refund initiated' is arranged in the database (status set after an inspection with auto-refund off)</t>
        </is>
      </c>
      <c r="O368" s="24" t="n"/>
      <c r="P368" s="24" t="inlineStr">
        <is>
          <t>2026-10-24 13:23</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staging: not covered: guest half; owner / other-shop / operator halves run in the signed-in tier
production: not covered: guest half; owner / other-shop / operator halves run in the signed-in tier</t>
        </is>
      </c>
      <c r="O369" s="24" t="n"/>
      <c r="P369" s="24" t="inlineStr">
        <is>
          <t>2026-10-24 16:09</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 Production Not run
local: form offers 'Changed my mind'; return RT-A296C484 accepted, charged to PLATFORM; window 24 h; after restoring the default → 422</t>
        </is>
      </c>
      <c r="O370" s="24" t="n"/>
      <c r="P370" s="24" t="inlineStr">
        <is>
          <t>2026-10-24 13:23</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Not run · Production Not run
local: not covered: the refunds are sent through the API the forms use; the /admin/finance form (administrators) is only opened</t>
        </is>
      </c>
      <c r="O371" s="24" t="n"/>
      <c r="P371" s="24" t="inlineStr">
        <is>
          <t>2026-10-24 12:40</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Not run · Production Not run
local: not covered: the refunds are sent through the API the forms use; the /admin/finance form (administrators) is only opened</t>
        </is>
      </c>
      <c r="O372" s="24" t="n"/>
      <c r="P372" s="24" t="inlineStr">
        <is>
          <t>2026-10-24 12:40</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Not run · Production Not run
local: not covered: the refunds are sent through the API the forms use; the /admin/finance form (administrators) is only opened</t>
        </is>
      </c>
      <c r="O373" s="24" t="n"/>
      <c r="P373" s="24" t="inlineStr">
        <is>
          <t>2026-10-24 12:40</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 Production Not run
local: not covered: the delivery date is moved into last week (only a finished week is settled, TC-FLD-118); the batches are prepared through the API the Finance page's button uses</t>
        </is>
      </c>
      <c r="O374" s="24" t="n"/>
      <c r="P374" s="24" t="inlineStr">
        <is>
          <t>2026-10-24 13:23</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Local Pass · Staging Not run · Production Not run
local: wrong code refused, right code → PICKUP_COMPLETED, rider fee ₹20.00; refund ₹58 → wallet; shop share -5800 paise (REFUND_SHOP); timeline of 11 steps on /returns/8b072387-d953-4386-ac94-9da4436e6445 ‖ [phone] wrong code refused, right code → PICKUP_COMPLETED, rider fee ₹20.00; refund ₹58 → wallet; shop share -5800 paise (REFUND_SHOP); timeline of 11 steps on /returns/7c1ddce4-1b69-4ab0-94f6-3684c4ba26f2</t>
        </is>
      </c>
      <c r="O375" s="24" t="n"/>
      <c r="P375" s="24" t="inlineStr">
        <is>
          <t>2026-10-24 12:46</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Local Pass · Staging Not run · Production Not run
local: RT-2C856445: 5 wrong codes then the right one → "Too many wrong codes"; operations completed the pickup from /admin/returns; inspection REJECT → REJECTED, wallet unchanged ‖ RT-48D0E026: customer cancel en route → 409 "The rider is already on the way — contact support to cancel."; operations cancelled it from /admin/returns</t>
        </is>
      </c>
      <c r="O376" s="24" t="n"/>
      <c r="P376" s="24" t="inlineStr">
        <is>
          <t>2026-10-24 12:46</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Local Pass · Staging Not run · Production Not run
local: GRV-000004 linked to DB-20261024-2N12PK, listed for operations; customer 2 → 404 ‖ [phone] GRV-000006 linked to DB-20261024-X67CS5, listed for operations; customer 2 → 404</t>
        </is>
      </c>
      <c r="O377" s="24" t="n"/>
      <c r="P377" s="24" t="inlineStr">
        <is>
          <t>2026-10-24 12:46</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Local Pass · Staging Not run · Production Not run
local: GRV-000004 linked to DB-20261024-2N12PK, listed for operations; customer 2 → 404 ‖ [phone] GRV-000006 linked to DB-20261024-X67CS5, listed for operations; customer 2 → 404</t>
        </is>
      </c>
      <c r="O378" s="24" t="n"/>
      <c r="P378" s="24" t="inlineStr">
        <is>
          <t>2026-10-24 12:46</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Pass</t>
        </is>
      </c>
      <c r="N379" s="24" t="inlineStr">
        <is>
          <t>Passed, partly covered. Local Pass (partial) · Staging Not run · Production Not run
local: not covered: display as plain text is checked for the grievance list in the operator console only through its API</t>
        </is>
      </c>
      <c r="O379" s="24" t="n"/>
      <c r="P379" s="24" t="inlineStr">
        <is>
          <t>2026-10-24 12:40</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2026-10-24 16:15</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Pass</t>
        </is>
      </c>
      <c r="N381" s="24" t="inlineStr">
        <is>
          <t>Passed, partly covered. Local Pass (partial) · Staging Not run · Production Not run
local: not covered: worked through the grievance API the admin console's grievance screen uses; SLA overdue counting by age is not exercised</t>
        </is>
      </c>
      <c r="O381" s="24" t="n"/>
      <c r="P381" s="24" t="inlineStr">
        <is>
          <t>2026-10-24 12:41</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Pass</t>
        </is>
      </c>
      <c r="N382" s="24" t="inlineStr">
        <is>
          <t>Local Pass · Staging Not run · Production Not run
local: 0 stars 422, 6 stars 422, 2.5 stars 422, 1000-character comment 422; 4★ "Fresh stock, quick packing mvmdxgy2" saved; count 0 → 1, average 4; public without identity; twice → 409 ‖ [phone] 0 stars 422, 6 stars 422, 2.5 stars 422, 1000-character comment 422; 4★ "Fresh stock, quick packing mvme6n02" saved; count 3 → 4, average 3; public without identity; twice → 409</t>
        </is>
      </c>
      <c r="O382" s="24" t="n"/>
      <c r="P382" s="24" t="inlineStr">
        <is>
          <t>2026-10-24 12:46</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Not run · Production Not run
local: not covered: the other eligibility rules are TC-SUP-007 in signed-in/orders-support.spec.ts ‖ not covered: an order delivered more than 30 days ago is TC-SUP-007 in local/orders-rules.spec.ts (needs aging)</t>
        </is>
      </c>
      <c r="O383" s="24" t="n"/>
      <c r="P383" s="24" t="inlineStr">
        <is>
          <t>2026-10-24 13:23</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Not run · Production Not run
local: not covered: operations' view of the rider average is not opened</t>
        </is>
      </c>
      <c r="O384" s="24" t="n"/>
      <c r="P384" s="24" t="inlineStr">
        <is>
          <t>2026-10-24 12:46</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Pass</t>
        </is>
      </c>
      <c r="N385" s="24" t="inlineStr">
        <is>
          <t>Local Pass · Staging Not run · Production Not run
local: shop owner PATCH → 403; hidden from the public list (count 3 → 2) and restored</t>
        </is>
      </c>
      <c r="O385" s="24" t="n"/>
      <c r="P385" s="24" t="inlineStr">
        <is>
          <t>2026-10-24 12:41</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Pass</t>
        </is>
      </c>
      <c r="N386" s="24" t="inlineStr">
        <is>
          <t>Local Pass · Staging Not run · Production Not run
local: shop owner PATCH → 403; hidden from the public list (count 3 → 2) and restored</t>
        </is>
      </c>
      <c r="O386" s="24" t="n"/>
      <c r="P386" s="24" t="inlineStr">
        <is>
          <t>2026-10-24 12:41</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production: not covered: contact form submission needs sign-in (signed-in tier)</t>
        </is>
      </c>
      <c r="O387" s="24" t="n"/>
      <c r="P387" s="24" t="inlineStr">
        <is>
          <t>2026-10-24 16:13</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Pass</t>
        </is>
      </c>
      <c r="N388" s="24" t="inlineStr">
        <is>
          <t>Passed, partly covered. Local Pass (partial) · Staging Not run · Production Not run
local: not covered: the ladder is the dispute case's (src/lib/dispute-states.ts, SM-006 decision): RESOLVED is final, there is no separate CLOSED step</t>
        </is>
      </c>
      <c r="O388" s="24" t="n"/>
      <c r="P388" s="24" t="inlineStr">
        <is>
          <t>2026-10-24 12:41</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 Production Not run
local: not covered: the customer's rejection does not escalate at once: it restarts the response clock and the hourly SLA check escalates after 24 h (src/lib/dispute-states.ts: back to investigation on a rejection; rule disputes.responseSlaHours) — aged in the database</t>
        </is>
      </c>
      <c r="O389" s="24" t="n"/>
      <c r="P389" s="24" t="inlineStr">
        <is>
          <t>2026-10-24 13:23</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Pass</t>
        </is>
      </c>
      <c r="N390" s="24" t="inlineStr">
        <is>
          <t>Passed, partly covered. Local Pass (partial) · Staging Not run · Production Not run
local: not covered: the ladder is the dispute case's (src/lib/dispute-states.ts, SM-006 decision): RESOLVED is final, there is no separate CLOSED step</t>
        </is>
      </c>
      <c r="O390" s="24" t="n"/>
      <c r="P390" s="24" t="inlineStr">
        <is>
          <t>2026-10-24 12:41</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 Production Not run
local: "QA Register UI mvmdn2tq" → PENDING_APPROVAL, BKS-000059, lifecycle KYC_PENDING; role SHOP_OWNER; /shop shows "awaiting approval" ‖ [phone] "QA Register UI mvme20ga" → PENDING_APPROVAL, BKS-000096, lifecycle KYC_PENDING; role SHOP_OWNER; /shop shows "awaiting approval"</t>
        </is>
      </c>
      <c r="O391" s="24" t="n"/>
      <c r="P391" s="24" t="inlineStr">
        <is>
          <t>2026-10-24 12:44</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 Production Not run
local: none → 422 "Please check the highlighted fields."; PAN without holder → 422 fields.panHolderName; form shows the identifier message and asks for the PAN holder name</t>
        </is>
      </c>
      <c r="O392" s="24" t="n"/>
      <c r="P392" s="24" t="inlineStr">
        <is>
          <t>2026-10-24 12:34</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 Production Not run
local: PAN ABCDE12345 → 422 panNumber; Udyam 123412341234 → 422 udyamNumber; Shop Act NA → 422 shopActNumber; Shop Act 0000 → 422 shopActNumber; loose "qtjpl 6739-b" / "udyam mh 26 5489460" / "mh  -  pune  -  mvmdn2tq  -  0059" accepted → stored UDYAM-MH-26-5489460, MH - PUNE - MVMDN2TQ - 0059, PAN …739B; field messages shown on blur</t>
        </is>
      </c>
      <c r="O393" s="24" t="n"/>
      <c r="P393" s="24" t="inlineStr">
        <is>
          <t>2026-10-24 12:34</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 Production Not run
local: API → 422 "Please check the highlighted fields."; the form refuses with "Please select at least one shop category."</t>
        </is>
      </c>
      <c r="O394" s="24" t="n"/>
      <c r="P394" s="24" t="inlineStr">
        <is>
          <t>2026-10-24 12:34</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 Production Not run
local: double-click → button "Submitting…" disabled + aria-busy; 1 POST; 1 shop</t>
        </is>
      </c>
      <c r="O395" s="24" t="n"/>
      <c r="P395" s="24" t="inlineStr">
        <is>
          <t>2026-10-24 12:34</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 Production Not run
local: duplicate refused with the message; name, phone, address, Shop Act, description, category and type kept</t>
        </is>
      </c>
      <c r="O396" s="24" t="n"/>
      <c r="P396" s="24" t="inlineStr">
        <is>
          <t>2026-10-24 12:34</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 Production Not run
local: "mh pune mvmdn2tq 0065" vs pending "MH-PUNE-MVMDN2TQ-0065" → 409: Shop Act licence number already registered (ending 0065). This shop is already registered and is waiting for admin approval. You'll be notified once it's reviewed. You don't need to submit again.</t>
        </is>
      </c>
      <c r="O397" s="24" t="n"/>
      <c r="P397" s="24" t="inlineStr">
        <is>
          <t>2026-10-24 12:34</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 Production Not run
local: PAN …908O: same place → 409 (PAN); other PIN + name → 201 BKS-000064</t>
        </is>
      </c>
      <c r="O398" s="24" t="n"/>
      <c r="P398" s="24" t="inlineStr">
        <is>
          <t>2026-10-24 12:34</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mvmdn2tq 77"</t>
        </is>
      </c>
      <c r="O399" s="24" t="n"/>
      <c r="P399" s="24" t="inlineStr">
        <is>
          <t>2026-10-24 12:34</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 Production Not run
local: BKS-000067: REJECTED → resubmitted from the /shop link → PENDING_APPROVAL, same record</t>
        </is>
      </c>
      <c r="O400" s="24" t="n"/>
      <c r="P400" s="24" t="inlineStr">
        <is>
          <t>2026-10-24 12:34</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 Production Not run
local: blur → warning; POST http://localhost:3303/api/shops/duplicate-check; CLEAR / DUPLICATE / RESUBMISSION; GET 405; 429 at check #20</t>
        </is>
      </c>
      <c r="O401" s="24" t="n"/>
      <c r="P401" s="24" t="inlineStr">
        <is>
          <t>2026-10-24 12:34</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 Production Not run
local: QA Sellers Shop mvmfii7h 1 → APPROVED KESARI, history row, owner notified, listed; QA Sellers Shop mvmfii7h 3 → APPROVED GREEN, history row, owner notified, listed</t>
        </is>
      </c>
      <c r="O402" s="24" t="n"/>
      <c r="P402" s="24" t="inlineStr">
        <is>
          <t>2026-10-24 13:24</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 Production Not run
local: REJECTED with reason; notification "Your shop registration wasn't approved"; GET /api/shops/{id} as guest → 404; not in search</t>
        </is>
      </c>
      <c r="O403" s="24" t="n"/>
      <c r="P403" s="24" t="inlineStr">
        <is>
          <t>2026-10-24 13:24</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 Production Not run
local: X rejected, Y registered with the same licence, approve X → 409 "Another live shop already has this Shop Act licence number. Resolve the duplicate first."</t>
        </is>
      </c>
      <c r="O404" s="24" t="n"/>
      <c r="P404" s="24" t="inlineStr">
        <is>
          <t>2026-10-24 13:24</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 Production Not run
local: not covered: immutability of the history table is a database property (no update/delete API exists) — not probed further</t>
        </is>
      </c>
      <c r="O405" s="24" t="n"/>
      <c r="P405" s="24" t="inlineStr">
        <is>
          <t>2026-10-24 13:24</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 Production Not run
local: not covered: the rejection reason itself is not shown to the owner (only 'could not be verified'); the reason is in the audit log</t>
        </is>
      </c>
      <c r="O406" s="24" t="n"/>
      <c r="P406" s="24" t="inlineStr">
        <is>
          <t>2026-10-24 13:24</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 Production Not run
local: owner and operator screens show XXXXXX931P only; customer 403, other owner 403, operator 403, guest 401; admin reveal → full PAN, audit "shop.pan_revealed"</t>
        </is>
      </c>
      <c r="O407" s="24" t="n"/>
      <c r="P407" s="24" t="inlineStr">
        <is>
          <t>2026-10-24 13:24</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 Production Not run
local: not covered: state-code and check-character validation of the GSTIN is TC-FLD-043</t>
        </is>
      </c>
      <c r="O408" s="24" t="n"/>
      <c r="P408" s="24" t="inlineStr">
        <is>
          <t>2026-10-24 13:24</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t>
        </is>
      </c>
      <c r="O409" s="24" t="n"/>
      <c r="P409" s="24" t="inlineStr">
        <is>
          <t>2026-10-24 12:33</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 Production Not run
local: /shop/documents shows an upload card (Upload file / Take photo) for PAN, GSTIN, Shop Act and FSSAI — the gap is closed</t>
        </is>
      </c>
      <c r="O410" s="24" t="n"/>
      <c r="P410" s="24" t="inlineStr">
        <is>
          <t>2026-10-24 12:33</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 Production Not run
local: shop at ₹500 kept ₹500 after the fee became ₹750; a later shop got ₹750; history has 2 rows</t>
        </is>
      </c>
      <c r="O411" s="24" t="n"/>
      <c r="P411" s="24" t="inlineStr">
        <is>
          <t>2026-10-24 13:24</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 Production Not run
local: ₹500 fee: approve → 409; ₹200 → PARTIALLY_PAID (approve still 409); ₹300 → PAID; PATCH/PUT/DELETE a payment refused; reversal of ₹200 → paid ₹300, PARTIALLY_PAID; paid again → PAID → approved; 4 ledger rows incl. REVERSAL</t>
        </is>
      </c>
      <c r="O412" s="24" t="n"/>
      <c r="P412" s="24" t="inlineStr">
        <is>
          <t>2026-10-24 13:24</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 Production Not run
local: ₹500 fee: approve → 409; ₹200 → PARTIALLY_PAID (approve still 409); ₹300 → PAID; PATCH/PUT/DELETE a payment refused; reversal of ₹200 → paid ₹300, PARTIALLY_PAID; paid again → PAID → approved; 4 ledger rows incl. REVERSAL</t>
        </is>
      </c>
      <c r="O413" s="24" t="n"/>
      <c r="P413" s="24" t="inlineStr">
        <is>
          <t>2026-10-24 13:24</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 Production Not run
local: own history 200; other shop 403; all 403; owner POST 403; /shop/manage/registration shows the registration number with no edit controls</t>
        </is>
      </c>
      <c r="O414" s="24" t="n"/>
      <c r="P414" s="24" t="inlineStr">
        <is>
          <t>2026-10-24 13:24</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 Production Not run
local: code QAMVMFII7H: Shops 0 → 1 on /admin/console/referral-codes; shop.referral_code_id set; performance API 200</t>
        </is>
      </c>
      <c r="O415" s="24" t="inlineStr">
        <is>
          <t>D-61</t>
        </is>
      </c>
      <c r="P415" s="24" t="inlineStr">
        <is>
          <t>2026-10-24 13:24</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 Production Not run
local: blank 422, spaces 422, 1 char 422, 81 chars 422, 301 chars 422, Marathi → 201 किराणा दुकान mvmfii7h; trimmed, case duplicate 409, script stored as text; UI add with "Category created" confirmation; rename + deactivate; DELETE not offered; General delete → 403, rename → 403; removing a category moved its product to General</t>
        </is>
      </c>
      <c r="O416" s="24" t="n"/>
      <c r="P416" s="24" t="inlineStr">
        <is>
          <t>2026-10-24 13:24</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t>
        </is>
      </c>
      <c r="O417" s="24" t="n"/>
      <c r="P417" s="24" t="inlineStr">
        <is>
          <t>2026-10-24 13:24</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 Production Not run
local: POST/PATCH/DELETE /api/shop-categories as owner → 403/405; PUT another shop's categories → 403; own shop → 200; product category add: own 201, other shop 403</t>
        </is>
      </c>
      <c r="O418" s="24" t="n"/>
      <c r="P418" s="24" t="inlineStr">
        <is>
          <t>2026-10-24 13:24</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Pass</t>
        </is>
      </c>
      <c r="N419" s="24" t="inlineStr">
        <is>
          <t>Passed, partly covered. Local Pass (partial) · Staging Not run · Production Not run
local: not covered: there is no owner screen for the delivery fee, threshold, description or logo (PATCH /api/shops/{id} only), and no preparation-time setting at all (TC-FLD-054)</t>
        </is>
      </c>
      <c r="O419" s="24" t="n"/>
      <c r="P419" s="24" t="inlineStr">
        <is>
          <t>2026-10-24 13:28</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 Production Not run
local: not covered: PICKED_UP is covered by the policy table (CONTINUE) but not arranged — the OUT_FOR_DELIVERY order passed through it</t>
        </is>
      </c>
      <c r="O420" s="24" t="n"/>
      <c r="P420" s="24" t="inlineStr">
        <is>
          <t>2026-10-24 12:34</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 Production Not run
local: "Suspended — 1 cancelled, 1 continuing, 4 under review."; CONFIRMED → REFUNDED with ₹60 back in the wallet and +1 stock; the out-for-delivery order was delivered; the rest held</t>
        </is>
      </c>
      <c r="O421" s="24" t="n"/>
      <c r="P421" s="24" t="inlineStr">
        <is>
          <t>2026-10-24 12:35</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 Production Not run
local: banner on /shop and /shop/manage/today with reason, since-time, what to do and the order note; notification "Your shop has been suspended"; email sent</t>
        </is>
      </c>
      <c r="O422" s="24" t="n"/>
      <c r="P422" s="24" t="inlineStr">
        <is>
          <t>2026-10-24 12:35</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 Production Not run
local: search: absent; storefront 404; add to cart 409; checkout of the cart line → 409 CONFLICT</t>
        </is>
      </c>
      <c r="O423" s="24" t="n"/>
      <c r="P423" s="24" t="inlineStr">
        <is>
          <t>2026-10-24 12:35</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 Production Not run
local: not covered: an owner notification for each decision is not asserted (none is sent for a CONTINUE decision on this build — recorded in the detail)</t>
        </is>
      </c>
      <c r="O424" s="24" t="n"/>
      <c r="P424" s="24" t="inlineStr">
        <is>
          <t>2026-10-24 12:36</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 Production Not run
local: APPROVED; the two held orders → CONTINUING and the shop could mark one READY; owner notified; add to cart works</t>
        </is>
      </c>
      <c r="O425" s="24" t="n"/>
      <c r="P425" s="24" t="inlineStr">
        <is>
          <t>2026-10-24 12:36</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 Production Not run
local: READY → CONTINUE in the preview and the outcome (continuing 1, review 0); rule restored afterwards</t>
        </is>
      </c>
      <c r="O426" s="24" t="n"/>
      <c r="P426" s="24" t="inlineStr">
        <is>
          <t>2026-10-24 12:36</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 Production Not run
local: risk page → shop SUSPENDED, its confirmed order cancelled by the policy, owner notified; flag ACTIONED "Suspended: QA: refunds far above normal"</t>
        </is>
      </c>
      <c r="O427" s="24" t="n"/>
      <c r="P427" s="24" t="inlineStr">
        <is>
          <t>2026-10-24 12:36</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 Production Not run
local: two suspends → 200/409, one audit row; reject after suspend → 409</t>
        </is>
      </c>
      <c r="O428" s="24" t="inlineStr">
        <is>
          <t>D-62</t>
        </is>
      </c>
      <c r="P428" s="24" t="inlineStr">
        <is>
          <t>2026-10-24 12:36</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 Production Not run
local: operator → shop owned by onb039owner with fee ₹123; customer → own shop, ownerId and fee ignored (fee 0)</t>
        </is>
      </c>
      <c r="O429" s="24" t="n"/>
      <c r="P429" s="24" t="inlineStr">
        <is>
          <t>2026-10-24 13:24</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 Production Not run
local: not covered: documents are marked verified in the database here; the upload and review path is TC-ONB-044 / TC-ONB-047</t>
        </is>
      </c>
      <c r="O430" s="24" t="n"/>
      <c r="P430" s="24" t="inlineStr">
        <is>
          <t>2026-10-24 13:24</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 Production Not run
local: KYC_PENDING: not listed, cart 409; PAYMENT_PENDING: not listed, cart 409; VERIFIED: not listed, cart 409</t>
        </is>
      </c>
      <c r="O431" s="24" t="n"/>
      <c r="P431" s="24" t="inlineStr">
        <is>
          <t>2026-10-24 13:24</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 Production Not run
local: no way for the owner to close the shop: no control on /shop, /shop/manage/{today,hours,location}; PATCH {status:"CLOSED"} → 422, {closed:true} → 422 | expect(received).toBeGreaterThan(expected) | Expected: &gt; 0 | Received:   0</t>
        </is>
      </c>
      <c r="O432" s="24" t="inlineStr">
        <is>
          <t>D-69</t>
        </is>
      </c>
      <c r="P432" s="24" t="inlineStr">
        <is>
          <t>2026-10-24 13:24</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 Production Not run
local: not covered: a REJECTED shop whose documents are all verified may be approved directly — the path TC-ONB-014 relies on (shop-onboarding.ts:80 'covers approving a REJECTED shop directly')</t>
        </is>
      </c>
      <c r="O433" s="24" t="inlineStr">
        <is>
          <t>D-72</t>
        </is>
      </c>
      <c r="P433" s="24" t="inlineStr">
        <is>
          <t>2026-10-24 13:24</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t>
        </is>
      </c>
      <c r="O434" s="24" t="n"/>
      <c r="P434" s="24" t="inlineStr">
        <is>
          <t>2026-10-24 12:33</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 Production Not run
local: not covered: TC-FLD-047's 'valid file accepted and shown' is proven by TC-ONB-044</t>
        </is>
      </c>
      <c r="O435" s="24" t="n"/>
      <c r="P435" s="24" t="inlineStr">
        <is>
          <t>2026-10-24 12:33</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2026-10-24 16:09</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 Production Not run
local: not covered: the documents card itself shows only 'Not verified'; the reason is on /shop/verification</t>
        </is>
      </c>
      <c r="O437" s="24" t="n"/>
      <c r="P437" s="24" t="inlineStr">
        <is>
          <t>2026-10-24 12:33</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 Production Not run
local: not covered: brand and GTIN are not fields of the catalogue product form — they arrive through the product master (TC-PMD-002/005, TC-FLD-073/076)</t>
        </is>
      </c>
      <c r="O438" s="24" t="n"/>
      <c r="P438" s="24" t="inlineStr">
        <is>
          <t>2026-10-24 13:24</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 Production Not run
local: near-duplicate → 409 suggestion; own product PENDING_APPROVAL, hidden from shop B until approved, then visible; another rejected with a reason (none → 422)</t>
        </is>
      </c>
      <c r="O439" s="24" t="n"/>
      <c r="P439" s="24" t="inlineStr">
        <is>
          <t>2026-10-24 13:24</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 Production Not run
local: not covered: the add row takes one price for both channels and a fixed opening stock of 100 — separate offline price and stock are edited afterwards (TC-CAT-017)</t>
        </is>
      </c>
      <c r="O440" s="24" t="n"/>
      <c r="P440" s="24" t="inlineStr">
        <is>
          <t>2026-10-24 13:24</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 Production Not run
local: not covered: the owner's forms check the same rules (Save is refused below ₹0.01 on /shop/inventory — TC-CAT-032)</t>
        </is>
      </c>
      <c r="O441" s="24" t="inlineStr">
        <is>
          <t>D-58</t>
        </is>
      </c>
      <c r="P441" s="24" t="inlineStr">
        <is>
          <t>2026-10-24 13:24</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 Production Not run
local: ₹60 → ₹72.50: "Saved 1 price."; storefront shows 7250 paise; history ONLINE 6000→7250 by the owner; audit "shop_product.price_changed"</t>
        </is>
      </c>
      <c r="O442" s="24" t="n"/>
      <c r="P442" s="24" t="inlineStr">
        <is>
          <t>2026-10-24 13:24</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 Production Not run
local: operator ₹55 → 202, live ₹50 until the owner approved; ₹60 rejected → stays ₹55; ₹59 admin override → live (operator override 403); audit actions shop_product.created, shop_product.price_changed, price_request.approved, price_request.rejected, price_request.overridden</t>
        </is>
      </c>
      <c r="O443" s="24" t="n"/>
      <c r="P443" s="24" t="inlineStr">
        <is>
          <t>2026-10-24 13:24</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 Production Not run
local: not covered: TC-CAT-063 (check against the shop's own MRP) is superseded: no shop-level MRP exists — docs/three-modules-2026-10/PLAN.md §1.2 'MRP is master-only'; the check uses the master MRP as asserted here</t>
        </is>
      </c>
      <c r="O444" s="24" t="n"/>
      <c r="P444" s="24" t="inlineStr">
        <is>
          <t>2026-10-24 13:24</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Pass</t>
        </is>
      </c>
      <c r="N445" s="24" t="inlineStr">
        <is>
          <t>Passed, partly covered. Local Pass (partial) · Staging Not run · Production Not run
local: not covered: MRP of the shop being viewed (NEW-010) is superseded: one master MRP (docs/three-modules-2026-10/PLAN.md §1.2)</t>
        </is>
      </c>
      <c r="O445" s="24" t="inlineStr">
        <is>
          <t>D-70</t>
        </is>
      </c>
      <c r="P445" s="24" t="inlineStr">
        <is>
          <t>2026-10-24 13:25</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 Production Not run
local: not covered: the /admin/mrp form itself is not driven; the owner changes a price for the own shop on the shop screens (TC-CAT-057)</t>
        </is>
      </c>
      <c r="O446" s="24" t="n"/>
      <c r="P446" s="24" t="inlineStr">
        <is>
          <t>2026-10-24 13:25</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 Production Not run
local: not covered: 'a shop-specific MRP is not overwritten' (TC-CAT-060) is superseded: no shop-level MRP exists (docs/three-modules-2026-10/PLAN.md §1.2)</t>
        </is>
      </c>
      <c r="O447" s="24" t="n"/>
      <c r="P447" s="24" t="inlineStr">
        <is>
          <t>2026-10-24 13:25</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 Production Not run
local: claims raised; MRP unchanged (B status while pending PENDING_VERIFICATION); accept → ₹55; reject → ₹50 and VERIFIED</t>
        </is>
      </c>
      <c r="O448" s="24" t="n"/>
      <c r="P448" s="24" t="inlineStr">
        <is>
          <t>2026-10-24 13:25</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t>
        </is>
      </c>
      <c r="O449" s="24" t="n"/>
      <c r="P449" s="24" t="inlineStr">
        <is>
          <t>2026-10-24 13:25</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 Production Not run
local: template 21 rows (loose rows blank); preview "2 to update" with old/new; Apply → ₹55 and ₹65.50 live, price history + "excel_upload.applied"</t>
        </is>
      </c>
      <c r="O450" s="24" t="n"/>
      <c r="P450" s="24" t="inlineStr">
        <is>
          <t>2026-10-24 13:25</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 Production Not run
local: fake .xlsx → 422 "That file could not be read as a spreadsheet."; 2.2 MB → 422; no Price column → 422; rows: 2:INVALID_PRICE, 3:INVALID_PRICE, 4:VALID, 5:DUPLICATE, 6:NOT_FOUND, 7:NOT_FOUND; '=' and '+' cells stored with a leading quote; discarded, nothing applied</t>
        </is>
      </c>
      <c r="O451" s="24" t="n"/>
      <c r="P451" s="24" t="inlineStr">
        <is>
          <t>2026-10-24 13:25</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 Production Not run
local: operator sheet ₹61 → pending 1 for the owner, live price ₹50 unchanged</t>
        </is>
      </c>
      <c r="O452" s="24" t="n"/>
      <c r="P452" s="24" t="inlineStr">
        <is>
          <t>2026-10-24 13:25</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Not run · Production Not run
local: customer upload → 403 "This shop does not belong to you."; template → 403</t>
        </is>
      </c>
      <c r="O453" s="24" t="n"/>
      <c r="P453" s="24" t="inlineStr">
        <is>
          <t>2026-10-24 12:41</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 Production Not run
local: not covered: listings created at stock 100 by a category add are corrected the same way in TC-CAT-052</t>
        </is>
      </c>
      <c r="O454" s="24" t="n"/>
      <c r="P454" s="24" t="inlineStr">
        <is>
          <t>2026-10-24 13:25</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 Production Not run
local: DB-20261024-ROR396: available 3, reserved 2, on hand 5; 4 more refused (409)</t>
        </is>
      </c>
      <c r="O455" s="24" t="n"/>
      <c r="P455" s="24" t="inlineStr">
        <is>
          <t>2026-10-24 13:25</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 Production Not run
local: not covered: the source column on /shop/inventory renders the same values (SOURCE_LABEL); the page is not opened here</t>
        </is>
      </c>
      <c r="O456" s="24" t="n"/>
      <c r="P456" s="24" t="inlineStr">
        <is>
          <t>2026-10-24 13:25</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 Production Not run
local: 6 → 3 (threshold 3): one LOW_STOCK alert and one notification; → 2: no new alert; restock to 30: resolved</t>
        </is>
      </c>
      <c r="O457" s="24" t="n"/>
      <c r="P457" s="24" t="inlineStr">
        <is>
          <t>2026-10-24 13:25</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 Production Not run
local: reorder at 5, order 24: row flagged reorder; dashboard reorderRequired 1</t>
        </is>
      </c>
      <c r="O458" s="24" t="n"/>
      <c r="P458" s="24" t="inlineStr">
        <is>
          <t>2026-10-24 13:25</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 Production Not run
local: QA Product mvmfkx3j 24: 3 added on the page, the third moved earlier, the middle one replaced in place, the main deleted → the next is main; storefront imageUrl /api/images/18d9cb99-02df-48f8-80f3-e981ba17b324</t>
        </is>
      </c>
      <c r="O459" s="24" t="n"/>
      <c r="P459" s="24" t="inlineStr">
        <is>
          <t>2026-10-24 13:25</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 Production Not run
local: 6 MB (6.3 MB) → 422, PDF named .jpg (0.0 MB) → 422, SVG named .jpg (0.0 MB) → 422, HTML named .jpg (0.0 MB) → 422, 20×20 (0.0 MB) → 422; a 4000×3000 phone photo of 11.5 MB went up as 0.00 MB and was accepted</t>
        </is>
      </c>
      <c r="O460" s="24" t="n"/>
      <c r="P460" s="24" t="inlineStr">
        <is>
          <t>2026-10-24 13:25</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Not run · Production Not run
local: read media 403, add photo 403, reorder 403, delete 403, descriptions 403, product photo 403</t>
        </is>
      </c>
      <c r="O461" s="24" t="n"/>
      <c r="P461" s="24" t="inlineStr">
        <is>
          <t>2026-10-24 12:41</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 Production Not run
local: 429 at upload #61 (limit 60 per 10 minutes; uploads past the 5-photo cap answered 422 until then)</t>
        </is>
      </c>
      <c r="O462" s="24" t="n"/>
      <c r="P462" s="24" t="inlineStr">
        <is>
          <t>2026-10-24 13:25</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 Production Not run
local: not covered: specifications are stored but not displayed on the product page on this build, so 'shown escaped' is proven only for the description</t>
        </is>
      </c>
      <c r="O463" s="24" t="n"/>
      <c r="P463" s="24" t="inlineStr">
        <is>
          <t>2026-10-24 13:25</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 Production Not run
local: QA Loose Paneer mvmfditq: kind LOOSE, MRP null (not 0); no MRP shown on its page</t>
        </is>
      </c>
      <c r="O464" s="24" t="n"/>
      <c r="P464" s="24" t="inlineStr">
        <is>
          <t>2026-10-24 13:25</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 Production Not run
local: not covered: added through the category add (the path that lists without a price); the single-product Add row asks for a price first</t>
        </is>
      </c>
      <c r="O465" s="24" t="n"/>
      <c r="P465" s="24" t="inlineStr">
        <is>
          <t>2026-10-24 13:25</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 Production Not run
local: not covered: the unpriced listing is off sale online, so the shop page leaves it out rather than labelling it</t>
        </is>
      </c>
      <c r="O466" s="24" t="n"/>
      <c r="P466" s="24" t="inlineStr">
        <is>
          <t>2026-10-24 13:25</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Not run · Production Not run
local: add to cart → 409 "This product is currently available only at the physical shop."; checkout → 422 "Your cart is empty."</t>
        </is>
      </c>
      <c r="O467" s="24" t="n"/>
      <c r="P467" s="24" t="inlineStr">
        <is>
          <t>2026-10-24 12:41</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 Production Not run
local: ₹60/kg saved (history null → 6000, audited), on sale; cart line at 6000 paise; product page shows ₹60 per kg</t>
        </is>
      </c>
      <c r="O468" s="24" t="n"/>
      <c r="P468" s="24" t="inlineStr">
        <is>
          <t>2026-10-24 13:25</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 Production Not run
local: "0" refused; "-5" refused; "abc" refused; empty → unpriced; API 0 → 422; API -500 → 422; API 1055.5 → 422</t>
        </is>
      </c>
      <c r="O469" s="24" t="inlineStr">
        <is>
          <t>D-71</t>
        </is>
      </c>
      <c r="P469" s="24" t="inlineStr">
        <is>
          <t>2026-10-24 13:25</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 Production Not run
local: blank loose rows → NO_CHANGE, NO_CHANGE, NO_CHANGE, NO_CHANGE; a 0 → INVALID_PRICE</t>
        </is>
      </c>
      <c r="O470" s="24" t="inlineStr">
        <is>
          <t>D-60</t>
        </is>
      </c>
      <c r="P470" s="24" t="inlineStr">
        <is>
          <t>2026-10-24 13:25</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 Production Not run
local: search shows QA Loose Jaggery mvmfkx3j with no ₹0; compare: B ₹45/kg first with "Lowest price"; A "Not available online", after B, no ₹0</t>
        </is>
      </c>
      <c r="O471" s="24" t="inlineStr">
        <is>
          <t>D-68</t>
        </is>
      </c>
      <c r="P471" s="24" t="inlineStr">
        <is>
          <t>2026-10-24 13:25</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 Production Not run
local: line flagged with a reason; Pay disabled; checkout → 409</t>
        </is>
      </c>
      <c r="O472" s="24" t="n"/>
      <c r="P472" s="24" t="inlineStr">
        <is>
          <t>2026-10-24 13:25</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 Production Not run
local: QA Loose Paneer mvmfditq keeps ₹400; QA Loose Sugar mvmfditq stays empty</t>
        </is>
      </c>
      <c r="O473" s="24" t="n"/>
      <c r="P473" s="24" t="inlineStr">
        <is>
          <t>2026-10-24 13:25</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 Production Not run
local: not covered: TC-CAT-045 'merged duplicate': catalogue products have no merged state; a retired (deleted) duplicate stands in for it</t>
        </is>
      </c>
      <c r="O474" s="24" t="n"/>
      <c r="P474" s="24" t="inlineStr">
        <is>
          <t>2026-10-24 12:31</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 Production Not run
local: not covered: the opening row says 'Stock entered when the product was listed' (source CATALOGUE) — it does not name the category add; the add itself is audited (TC-CAT-051)</t>
        </is>
      </c>
      <c r="O475" s="24" t="n"/>
      <c r="P475" s="24" t="inlineStr">
        <is>
          <t>2026-10-24 12:31</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 Production Not run
local: QA Product mvmdn2tq 2: ₹40, QA Product mvmdn2tq 3: ₹65 pre-filled and on sale; owner lowered one by ₹3; above MRP → 422</t>
        </is>
      </c>
      <c r="O476" s="24" t="n"/>
      <c r="P476" s="24" t="inlineStr">
        <is>
          <t>2026-10-24 12:31</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 Production Not run
local: QA Product mvmdn2tq 4: empty, off sale, add to cart 409; listed under "Needs a price"; ₹33 saved → buyable</t>
        </is>
      </c>
      <c r="O477" s="24" t="n"/>
      <c r="P477" s="24" t="inlineStr">
        <is>
          <t>2026-10-24 12:31</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 Production Not run
local: QA Product mvmdn2tq 5: empty price, off sale; stock 100 kg (the listing's unit)</t>
        </is>
      </c>
      <c r="O478" s="24" t="n"/>
      <c r="P478" s="24" t="inlineStr">
        <is>
          <t>2026-10-24 12:31</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 Production Not run
local: existing listing kept stock 7 and ₹71; the add listed only the other product (addedProducts 1)</t>
        </is>
      </c>
      <c r="O479" s="24" t="n"/>
      <c r="P479" s="24" t="inlineStr">
        <is>
          <t>2026-10-24 12:31</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 Production Not run
local: two concurrent adds → 200/201, 4 listings; re-add → added:false, stock stays 93, one OPENING row; double-click → 4 listings</t>
        </is>
      </c>
      <c r="O480" s="24" t="n"/>
      <c r="P480" s="24" t="inlineStr">
        <is>
          <t>2026-10-24 12:31</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 Production Not run
local: not covered: a product belongs to one category only (products.category_id), so the X-and-Z overlap cannot be arranged</t>
        </is>
      </c>
      <c r="O481" s="24" t="n"/>
      <c r="P481" s="24" t="inlineStr">
        <is>
          <t>2026-10-24 12:31</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 Production Not run
local: not covered: TC-CAT-045 'merged duplicate': catalogue products have no merged state; a retired (deleted) duplicate stands in for it</t>
        </is>
      </c>
      <c r="O482" s="24" t="n"/>
      <c r="P482" s="24" t="inlineStr">
        <is>
          <t>2026-10-24 12:31</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 Production Not run
local: "Added QA Cat Empty mvmdn2tq. Its products are now visible to this shop." — no listings, no error</t>
        </is>
      </c>
      <c r="O483" s="24" t="n"/>
      <c r="P483" s="24" t="inlineStr">
        <is>
          <t>2026-10-24 12:31</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 Production Not run
local: not covered: 'no partial result' rests on the single transaction of the route; a mid-way failure was not forced</t>
        </is>
      </c>
      <c r="O484" s="24" t="n"/>
      <c r="P484" s="24" t="inlineStr">
        <is>
          <t>2026-10-24 12:33</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 Production Not run
local: shop B: 2 listings, prices and stock identical</t>
        </is>
      </c>
      <c r="O485" s="24" t="n"/>
      <c r="P485" s="24" t="inlineStr">
        <is>
          <t>2026-10-24 12:31</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 Production Not run
local: owner A 403, customer 403, guest 401; shop B still has 2 listings</t>
        </is>
      </c>
      <c r="O486" s="24" t="n"/>
      <c r="P486" s="24" t="inlineStr">
        <is>
          <t>2026-10-24 12:31</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 Production Not run
local: with 662 products on sale, "QA Cat X mvmdn2tq" and its products are still on the shop page ‖ shop C page: 2 priced products with Add; unpriced not buyable; no ₹0</t>
        </is>
      </c>
      <c r="O487" s="24" t="inlineStr">
        <is>
          <t>D-59</t>
        </is>
      </c>
      <c r="P487" s="24" t="inlineStr">
        <is>
          <t>2026-10-24 12:33</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 Production Not run
local: 0 stock alerts; one "shop.product_category_added" audit row with productsListed 4</t>
        </is>
      </c>
      <c r="O488" s="24" t="n"/>
      <c r="P488" s="24" t="inlineStr">
        <is>
          <t>2026-10-24 12:31</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 Production Not run
local: 100 → 12 (movement -88) and 100 → 0 (-100); the 0 listing is out of stock (add to cart 409)</t>
        </is>
      </c>
      <c r="O489" s="24" t="n"/>
      <c r="P489" s="24" t="inlineStr">
        <is>
          <t>2026-10-24 12:31</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 Production Not run
local: recorded: an operator's add fills the inventory too (4 listings at 100), audited with byOwner false</t>
        </is>
      </c>
      <c r="O490" s="24" t="n"/>
      <c r="P490" s="24" t="inlineStr">
        <is>
          <t>2026-10-24 12:31</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 Production Not run
local: not covered: documents are marked verified in the database here; the upload and review path is TC-ONB-044 / TC-ONB-047</t>
        </is>
      </c>
      <c r="O491" s="24" t="n"/>
      <c r="P491" s="24" t="inlineStr">
        <is>
          <t>2026-10-24 13:24</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 Production Not run
local: recorded: a later master product is not auto-listed (the fill runs when the category is added); it shows in the shop's 'add existing product' search</t>
        </is>
      </c>
      <c r="O492" s="24" t="n"/>
      <c r="P492" s="24" t="inlineStr">
        <is>
          <t>2026-10-24 12:31</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 Production Not run
local: remove: 4 listings paused (impact said 4), none deleted, hidden from customers; DB-20261024-SMGX5E still went through to DELIVERED; X added back</t>
        </is>
      </c>
      <c r="O493" s="24" t="n"/>
      <c r="P493" s="24" t="inlineStr">
        <is>
          <t>2026-10-24 12:33</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Pass</t>
        </is>
      </c>
      <c r="N494" s="24" t="inlineStr">
        <is>
          <t>Passed, partly covered. Local Pass (partial) · Staging Not run · Production Not run
local: not covered: expected result superseded by docs/three-modules-2026-10/PLAN.md §1.2 (approved 8 Oct): 'No shop-level MRP exists. MRP is master-only and the shop's own selling price is per shop'</t>
        </is>
      </c>
      <c r="O494" s="24" t="n"/>
      <c r="P494" s="24" t="inlineStr">
        <is>
          <t>2026-10-24 13:25</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Pass</t>
        </is>
      </c>
      <c r="N495" s="24" t="inlineStr">
        <is>
          <t>Passed, partly covered. Local Pass (partial) · Staging Not run · Production Not run
local: not covered: expected result superseded by docs/three-modules-2026-10/PLAN.md §1.2 (approved 8 Oct): 'No shop-level MRP exists. MRP is master-only and the shop's own selling price is per shop'</t>
        </is>
      </c>
      <c r="O495" s="24" t="n"/>
      <c r="P495" s="24" t="inlineStr">
        <is>
          <t>2026-10-24 13:25</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 Production Not run
local: not covered: per-shop MRP display and 'Shop A keeps ₹55' — expected result superseded by docs/three-modules-2026-10/PLAN.md §1.2 (approved 8 Oct): 'No shop-level MRP exists. MRP is master-only and the shop's own selling price is per shop'</t>
        </is>
      </c>
      <c r="O496" s="24" t="n"/>
      <c r="P496" s="24" t="inlineStr">
        <is>
          <t>2026-10-24 13:25</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 Production Not run
local: not covered: per-shop MRP display and 'Shop A keeps ₹55' — expected result superseded by docs/three-modules-2026-10/PLAN.md §1.2 (approved 8 Oct): 'No shop-level MRP exists. MRP is master-only and the shop's own selling price is per shop'</t>
        </is>
      </c>
      <c r="O497" s="24" t="n"/>
      <c r="P497" s="24" t="inlineStr">
        <is>
          <t>2026-10-24 13:25</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Not run · Production Not run
local: not covered: there is no shop-level MRP (docs/three-modules-2026-10/PLAN.md §1.2), so 'the MRP change for a Shop B listing' is its per-shop price</t>
        </is>
      </c>
      <c r="O498" s="24" t="n"/>
      <c r="P498" s="24" t="inlineStr">
        <is>
          <t>2026-10-24 12:41</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t>
        </is>
      </c>
      <c r="O499" s="24" t="inlineStr">
        <is>
          <t>D-67</t>
        </is>
      </c>
      <c r="P499" s="24" t="inlineStr">
        <is>
          <t>2026-10-24 13:25</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 Production Not run
local: not covered: TC-CAT-063 (check against the shop's own MRP) is superseded: no shop-level MRP exists — docs/three-modules-2026-10/PLAN.md §1.2 'MRP is master-only'; the check uses the master MRP as asserted here</t>
        </is>
      </c>
      <c r="O500" s="24" t="n"/>
      <c r="P500" s="24" t="inlineStr">
        <is>
          <t>2026-10-24 13:24</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 Production Not run
local: not covered: history per shop — expected result superseded by docs/three-modules-2026-10/PLAN.md §1.2 (approved 8 Oct): 'No shop-level MRP exists. MRP is master-only and the shop's own selling price is per shop'</t>
        </is>
      </c>
      <c r="O501" s="24" t="n"/>
      <c r="P501" s="24" t="inlineStr">
        <is>
          <t>2026-10-24 13:25</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 Production Not run
local: the price template has no MRP column (columns: Product ID, Product Name, Unit, Price) — the case's precondition says to mark it Blocked</t>
        </is>
      </c>
      <c r="O502" s="24" t="n"/>
      <c r="P502" s="24" t="inlineStr">
        <is>
          <t>2026-10-24 13:25</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Pass</t>
        </is>
      </c>
      <c r="N503" s="24" t="inlineStr">
        <is>
          <t>Passed, partly covered. Local Pass (partial) · Staging Not run · Production Not run
local: not covered: expected result superseded by docs/three-modules-2026-10/PLAN.md §1.2 (approved 8 Oct): 'No shop-level MRP exists. MRP is master-only and the shop's own selling price is per shop'</t>
        </is>
      </c>
      <c r="O503" s="24" t="n"/>
      <c r="P503" s="24" t="inlineStr">
        <is>
          <t>2026-10-24 13:25</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 Production Not run
local: not covered: the shop settlement row is created by the payout cycle, not checked here</t>
        </is>
      </c>
      <c r="O504" s="24" t="n"/>
      <c r="P504" s="24" t="inlineStr">
        <is>
          <t>2026-10-24 13:26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 Production Not run
local: upload PENDING, customers keep the placeholder; in the queue; approve → shown; a second rejected "QA: shows a person" → owner sees the reason, customers keep the approved one; replaced (PENDING)</t>
        </is>
      </c>
      <c r="O505" s="24" t="n"/>
      <c r="P505" s="24" t="inlineStr">
        <is>
          <t>2026-10-24 13:26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 Production Not run
local: upload PENDING, customers keep the placeholder; in the queue; approve → shown; a second rejected "QA: shows a person" → owner sees the reason, customers keep the approved one; replaced (PENDING)</t>
        </is>
      </c>
      <c r="O506" s="24" t="n"/>
      <c r="P506" s="24" t="inlineStr">
        <is>
          <t>2026-10-24 13:26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Not run · Production Not run
local: not covered: the owner's own image id is not used (a 403 is decided before the image is looked up); TC-CAT-068 shows a moderator deciding one</t>
        </is>
      </c>
      <c r="O507" s="24" t="n"/>
      <c r="P507" s="24" t="inlineStr">
        <is>
          <t>2026-10-24 12:41</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 Production Not run
local: dashboard shows totals, source records, missing-field figures and the review section; data-quality API totals {"total_products":11,"new_products":11,"updated_products":0,"duplicates_merged":0,"missing_gtin":4,"missing_brand":1,"missing_manufacturer":11,"missing_category</t>
        </is>
      </c>
      <c r="O508" s="24" t="n"/>
      <c r="P508" s="24" t="inlineStr">
        <is>
          <t>2026-10-24 12:33</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 Production Not run
local: search by GTIN 8901234000014 → GKS-PROD-000000001 "Acme Farms Basmati Rice 1 kg QAmvmdn2tq"; MRP is carried on the offers (with the seller/source), not on the detail; detail with GTIN/HSN/GST/brand/manufacturer/MRP and provenance; 2 offer(s); price history {"masterProductId":"GKS-PROD-000000001","summary":{"observations":2,"lowestMinor":18500,"highestMinor":18900,"averageMin</t>
        </is>
      </c>
      <c r="O509" s="24" t="n"/>
      <c r="P509" s="24" t="inlineStr">
        <is>
          <t>2026-10-24 12:33</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 Production Not run
local: candidate 2 → CONFIRMED_SAME ({"candidateId":2,"decision":"CONFIRMED_SAME","merged":{"fromProductId":13,"intoProductId":12,"sourcesMoved":1,"offersMoved":0,"historyRowsMoved":0,"specsMoved":); deciding it again → 409</t>
        </is>
      </c>
      <c r="O510" s="24" t="n"/>
      <c r="P510" s="24" t="inlineStr">
        <is>
          <t>2026-10-24 12:33</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Pass</t>
        </is>
      </c>
      <c r="N511" s="24" t="inlineStr">
        <is>
          <t>Local Pass · Staging Not run · Production Not run
local: GKS-PROD-000000014 promoted (201) → catalogue QA Promote Butter mvmdn2tq APPROVED, pmd.catalogue_link set; shop C can list it</t>
        </is>
      </c>
      <c r="O511" s="24" t="n"/>
      <c r="P511" s="24" t="inlineStr">
        <is>
          <t>2026-10-24 12:33</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 Production Not run
local: 1001-0: valid; 1002-1: valid; 1003-2: valid; 2001-3: valid; 2002-4: valid; 2003-5: valid; 3001-6: valid; 3002-7: valid; 9001-8: invalid; 9002-9: valid; 9003-10: valid; null-11: valid; 1-12: valid; mvmdn2tq-bad: invalid; validate wrote nothing; import run 1 (manual_import): {"recordsRead":14,"recordsStaged":14,"recordsUnchanged":0,"productsCreated":11,"productsLinked":1,"productsUpdated":0,"offersUpserted":9,"priceChanges":0,"reviewQueued":0,"conflictsOpened":0,"errorCou; master 0 → 11</t>
        </is>
      </c>
      <c r="O512" s="24" t="n"/>
      <c r="P512" s="24" t="inlineStr">
        <is>
          <t>2026-10-24 12:33</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production: not covered: guest half only; the other-role half (customer, other shop) runs in the signed-in tier</t>
        </is>
      </c>
      <c r="O513" s="24" t="n"/>
      <c r="P513" s="24" t="inlineStr">
        <is>
          <t>2026-10-24 16:09</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Pass</t>
        </is>
      </c>
      <c r="N514" s="24" t="inlineStr">
        <is>
          <t>Passed, partly covered. Local Pass (partial) · Staging Not run · Production Not run
local: not covered: the cancelled order is cancelled by the shop: a customer cancelling their own order gets no notice by design (src/server/events/catalog.ts: the actor of an event is not told what they just did)</t>
        </is>
      </c>
      <c r="O514" s="24" t="n"/>
      <c r="P514" s="24" t="inlineStr">
        <is>
          <t>2026-10-24 12:28</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 Production Not run
local: qa-customer-mvmd4oyo@test.local: Order delivered — Gokesari | 5662 is your delivery code for order DB-20261024-T9JT6B | Your rider has arrived — Gokesari | Your order is on the way — Gokesari | Order picked up — Gokesari | Rider assigned — Gokesari | 3770 is your delivery code for order DB-20261024-T9JT6B | Order accepted — Gokesari | Order confirmed — Gokesari | Order cancelled — Gokesari | Order confirmed — Gokesari</t>
        </is>
      </c>
      <c r="O515" s="24" t="n"/>
      <c r="P515" s="24" t="inlineStr">
        <is>
          <t>2026-10-24 12:19</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Pass</t>
        </is>
      </c>
      <c r="N516" s="24" t="inlineStr">
        <is>
          <t>Passed, partly covered. Local Pass (partial) · Staging Not run · Production Not run
local: not covered: 'Looking for a rider' / 'No rider found' appear only when dispatch has to search; here the rider accepted the first offer</t>
        </is>
      </c>
      <c r="O516" s="24" t="n"/>
      <c r="P516" s="24" t="inlineStr">
        <is>
          <t>2026-10-24 12:28</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Not run · Production Not run
local: unread 185 → open one → 184 → Mark all read → 0 ‖ [phone] unread 120 → open one → 119 → Mark all read → 0</t>
        </is>
      </c>
      <c r="O517" s="24" t="n"/>
      <c r="P517" s="24" t="inlineStr">
        <is>
          <t>2026-10-24 12:43</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 Production Not run
local: ORDERS e-mail off → DB-20261024-3Y1K4F placed + accepted: in-app "Order accepted", 0 e-mails</t>
        </is>
      </c>
      <c r="O518" s="24" t="n"/>
      <c r="P518" s="24" t="inlineStr">
        <is>
          <t>2026-10-24 12:19</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Not run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2026-10-24 12:43</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Blocked</t>
        </is>
      </c>
      <c r="N520" s="24" t="inlineStr">
        <is>
          <t>Local Blocked · Staging Not run · Production Not run
local: SMS, Push and WhatsApp are not available on this server (shown as "soon"): SMS, PUSH, WHATSAPP — SMS_PROVIDER / WHATSAPP_PROVIDER are "none" and rule push is off</t>
        </is>
      </c>
      <c r="O520" s="24" t="n"/>
      <c r="P520" s="24" t="inlineStr">
        <is>
          <t>2026-10-24 12:29</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 Production Not run
local: not covered: linking / removing a mobile number needs an SMS code to a handset and is not run</t>
        </is>
      </c>
      <c r="O521" s="24" t="n"/>
      <c r="P521" s="24" t="inlineStr">
        <is>
          <t>2026-10-24 12:19</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 Production Not run
local: two deductions of ₹140 from threshold+₹100 → 1 "Low wallet balance" notice ("Your wallet balance is ₹360.00 but your next 15 days of subscriptions need ₹3,780.00. We recommend adding ₹3,5"); /wallet shows "Low balance" and the forecast warning</t>
        </is>
      </c>
      <c r="O522" s="24" t="n"/>
      <c r="P522" s="24" t="inlineStr">
        <is>
          <t>2026-10-24 12:21</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t>
        </is>
      </c>
      <c r="O523" s="24" t="n"/>
      <c r="P523" s="24" t="inlineStr">
        <is>
          <t>2026-10-24 12:20</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 Production Not run
local: not automated: needs a server started without AUTH_EMAIL_SERVER (every local server here has the mail catcher); then trigger an order event and check the delivery is SKIPPED in /api/admin/notifications</t>
        </is>
      </c>
      <c r="O524" s="24" t="n"/>
      <c r="P524" s="24" t="inlineStr">
        <is>
          <t>2026-10-24 12:20</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25" s="24" t="inlineStr">
        <is>
          <t>D-39</t>
        </is>
      </c>
      <c r="P525" s="24" t="inlineStr">
        <is>
          <t>2026-10-24 16:09</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Not run · Production Not run
local: no SMS or WhatsApp provider on this server (SMS_PROVIDER / WHATSAPP_PROVIDER none): needs the test site's mock outbox, or a real handset with a vendor</t>
        </is>
      </c>
      <c r="O526" s="24" t="n"/>
      <c r="P526" s="24" t="inlineStr">
        <is>
          <t>2026-10-24 12:29</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Not run · Production Not run
local: no SMS or WhatsApp provider on this server (SMS_PROVIDER / WHATSAPP_PROVIDER none): needs the test site's mock outbox, or a real handset with a vendor</t>
        </is>
      </c>
      <c r="O527" s="24" t="n"/>
      <c r="P527" s="24" t="inlineStr">
        <is>
          <t>2026-10-24 12:29</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Not run · Production Not run
local: not automated: needs a phone (or browser profile) with the GoKesari app signed in and Expo push credentials (rule push, provider expo) — allow the prompt, trigger an order event, tap the notice and confirm it opens /orders/&lt;id&gt;</t>
        </is>
      </c>
      <c r="O528" s="24" t="n"/>
      <c r="P528" s="24" t="inlineStr">
        <is>
          <t>2026-10-24 12:29</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Blocked</t>
        </is>
      </c>
      <c r="N529" s="24" t="inlineStr">
        <is>
          <t>Local Blocked · Staging Not run · Production Not run
local: SMS, WhatsApp and push are not available on this server, so there is no channel to switch off</t>
        </is>
      </c>
      <c r="O529" s="24" t="n"/>
      <c r="P529" s="24" t="inlineStr">
        <is>
          <t>2026-10-24 12:29</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 Production Not run
local: not automated: needs one channel provider made to fail (an SMS / WhatsApp vendor in test mode or broken SMTP); the providers here are none (SMS, WhatsApp) and the shared mail catcher</t>
        </is>
      </c>
      <c r="O530" s="24" t="n"/>
      <c r="P530" s="24" t="inlineStr">
        <is>
          <t>2026-10-24 12:20</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Not run · Production Not run
local: not automated: needs a real device or browser profile to deny / revoke the OS permission and an Expo receipt for the dead token (push-receipts cron); the server side of dropping an unregistered token is D-F01</t>
        </is>
      </c>
      <c r="O531" s="24" t="n"/>
      <c r="P531" s="24" t="inlineStr">
        <is>
          <t>2026-10-24 12:29</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Not run · Production Not run
local: not covered: shop campaigns are in-app only (src/server/services/marketing.ts) — no promotional SMS / WhatsApp is sent at all; replying STOP to a promotional SMS needs an inbound SMS vendor (manual)</t>
        </is>
      </c>
      <c r="O532" s="24" t="n"/>
      <c r="P532" s="24" t="inlineStr">
        <is>
          <t>2026-10-24 12:29</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 Production Not run
local: not covered: SMS / WhatsApp copies (cut at 480 characters by design) are not available on this server</t>
        </is>
      </c>
      <c r="O533" s="24" t="n"/>
      <c r="P533" s="24" t="inlineStr">
        <is>
          <t>2026-10-24 12:20</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 Production Not run
local: before any rate: DB-20261024-POJVI9 snapshot 0%; saved default 5%, Bakery 3%, QA Shop A mvmfdu68 7.5% through the form; 3 audit rows ‖ 0 earlier rates active again</t>
        </is>
      </c>
      <c r="O534" s="24" t="n"/>
      <c r="P534" s="24" t="inlineStr">
        <is>
          <t>2026-10-24 13:23</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 Production Not run
local: A 750bp; B/Bakery 300bp; B/Kirana 500bp; default → 750bp: next 750bp, earlier kept</t>
        </is>
      </c>
      <c r="O535" s="24" t="n"/>
      <c r="P535" s="24" t="inlineStr">
        <is>
          <t>2026-10-24 13:22</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Not run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2026-10-24 12:34</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 Production Not run
local: DB-20261024-RPZPPF: butter removed, bread → curd; goods ₹35, GMV ₹35, commission 750bp = ₹2.63, payable ₹32.37; journal GOODS_SALE, COMMISSION, RIDER_EARNING</t>
        </is>
      </c>
      <c r="O537" s="24" t="n"/>
      <c r="P537" s="24" t="inlineStr">
        <is>
          <t>2026-10-24 13:22</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 Production Not run
local: rider DB-20261024-B6NYSL: 1; shop's own DB-20261024-B7ZWFS: 1; operator DB-20261024-LUX76M: 1; dispute DB-20261024-C6ES80: 1</t>
        </is>
      </c>
      <c r="O538" s="24" t="n"/>
      <c r="P538" s="24" t="inlineStr">
        <is>
          <t>2026-10-24 13:23</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 Production Not run
local: A: 2 orders, goods ₹75 − commission ₹5.63 + refunds ₹-9.25 + adjustments ₹100 = ₹160.12; B: 2 orders ₹86.4; hold / disputed / refund-pending left out; re-run added none</t>
        </is>
      </c>
      <c r="O539" s="24" t="n"/>
      <c r="P539" s="24" t="inlineStr">
        <is>
          <t>2026-10-24 13:23</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 Production Not run
local: 2026-10-14 (a Wednesday) → 422 "A settlement week starts on a Monday." on settlements and rider payouts</t>
        </is>
      </c>
      <c r="O540" s="24" t="n"/>
      <c r="P540" s="24" t="inlineStr">
        <is>
          <t>2026-10-24 13:23</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 Production Not run
local: not covered: 'no money is transferred by the system' is by construction (no bank API is called; PAID records a reference) and not observable here</t>
        </is>
      </c>
      <c r="O541" s="24" t="n"/>
      <c r="P541" s="24" t="inlineStr">
        <is>
          <t>2026-10-24 13:23</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Not run · Production Not run
local: 16 prepare / approve / pay / rate / adjustment calls by ops and oplim: all 403; exceptions queue open without batches</t>
        </is>
      </c>
      <c r="O542" s="24" t="n"/>
      <c r="P542" s="24" t="inlineStr">
        <is>
          <t>2026-10-24 12:34</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Pass</t>
        </is>
      </c>
      <c r="N543" s="24" t="inlineStr">
        <is>
          <t>Passed, partly covered. Local Pass (partial) · Staging Not run · Production Not run
local: not covered: per-order payable lines against each order's snapshot are checked in local/finance-settlement.spec.ts</t>
        </is>
      </c>
      <c r="O543" s="24" t="n"/>
      <c r="P543" s="24" t="inlineStr">
        <is>
          <t>2026-10-24 12:36</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 Production Not run
local: not covered: the /delivery-partner page lists each earning's total; its breakdown lines are in the rider's statement (GET /api/delivery-partner/earnings), not on the page</t>
        </is>
      </c>
      <c r="O544" s="24" t="n"/>
      <c r="P544" s="24" t="inlineStr">
        <is>
          <t>2026-10-24 13:25</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 Production Not run
local: 09:30 → "Slot: QA Morning mvmfgced — net ₹55 Base fee (QA Morning mvmfgced) ₹30 Distance 3.0 km ₹15 Slot bonus (QA Morning mvmfgc"; 15:00 → "Slot: none (default rate) — net ₹44 Base fee ₹20 Distance 3."</t>
        </is>
      </c>
      <c r="O545" s="24" t="n"/>
      <c r="P545" s="24" t="inlineStr">
        <is>
          <t>2026-10-24 13:21</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 Production Not run
local: 23:30 QA Night mvmfgced; 01:00 QA Night mvmfgced; 03:00 default; overlap 09:30 QA Narrow mvmfgced; next week QA Wide mvmfgced; next day QA Wide mvmfgced; 11:30 QA Wide mvmfgced</t>
        </is>
      </c>
      <c r="O546" s="24" t="n"/>
      <c r="P546" s="24" t="inlineStr">
        <is>
          <t>2026-10-24 13:21</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 Production Not run
local: not covered: a weekly target (WEEKLY_TARGET) is the same rule with the ISO week as its period; it was not run here</t>
        </is>
      </c>
      <c r="O547" s="24" t="n"/>
      <c r="P547" s="24" t="inlineStr">
        <is>
          <t>2026-10-24 13:21</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 Production Not run
local: DB-20261024-QZJ4DQ: base ₹20 + 1 km ₹8 → top-up ₹32 → ₹60.00</t>
        </is>
      </c>
      <c r="O548" s="24" t="n"/>
      <c r="P548" s="24" t="inlineStr">
        <is>
          <t>2026-10-24 13:21</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 Production Not run
local: failed at 50%: ₹14 with "Only 50% paid for a failed delivery" −₹14; failed at 100%: ₹28; cancelled after pickup: ₹28 (full)</t>
        </is>
      </c>
      <c r="O549" s="24" t="n"/>
      <c r="P549" s="24" t="inlineStr">
        <is>
          <t>2026-10-24 13:22</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 Production Not run
local: DB-20261024-B9TOZ4 ₹41 under "QA Now mvmfgced"; slot switched off on the page; DB-20261024-6JGXN8 ₹28 default; the first keeps its breakdown ‖ 0 slots and 0 incentives active again</t>
        </is>
      </c>
      <c r="O550" s="24" t="n"/>
      <c r="P550" s="24" t="inlineStr">
        <is>
          <t>2026-10-24 13:22</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Not run · Production Not run
local: 50 earnings in the API, 39 rows on the page with status; payouts card shown; none of rider 2's ‖ [phone] 50 earnings in the API, 39 rows on the page with status; payouts card shown; none of rider 2's</t>
        </is>
      </c>
      <c r="O551" s="24" t="n"/>
      <c r="P551" s="24" t="inlineStr">
        <is>
          <t>2026-10-24 12:36</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 Production Not run
local: not covered: the return-pickup fee is checked with the return journey in scenarios/SC-10-returns.spec.ts</t>
        </is>
      </c>
      <c r="O552" s="24" t="n"/>
      <c r="P552" s="24" t="inlineStr">
        <is>
          <t>2026-10-24 13:23</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 Production Not run
local: not covered: flowing into the next settlement / payout is asserted by TC-FIN-006 and TC-FIN-019 below</t>
        </is>
      </c>
      <c r="O553" s="24" t="n"/>
      <c r="P553" s="24" t="inlineStr">
        <is>
          <t>2026-10-24 13:23</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 Production Not run
local: 2026-09-19…2026-10-25: MATCHED for ORDER, PAYMENT, PAYOUT, RIDER, SETTLEMENT; the uncredited ₹77 top-up is UNMATCHED ("Gateway reports success but the wallet credit is missing or short."); 128 records stored, the admin list shows 128</t>
        </is>
      </c>
      <c r="O554" s="24" t="inlineStr">
        <is>
          <t>D-29</t>
        </is>
      </c>
      <c r="P554" s="24" t="inlineStr">
        <is>
          <t>2026-10-24 13:23</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 Production Not run
local: PAYMENT exception qa_mvmfgced_511ebbbd → RECONCILED by the operator through the exceptions page, audited; no / short note → 422; operator on a PAYOUT record → 404</t>
        </is>
      </c>
      <c r="O555" s="24" t="n"/>
      <c r="P555" s="24" t="inlineStr">
        <is>
          <t>2026-10-24 13:23</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 Production Not run
local: operator: 5 sections, no settlement / payout section; admin: + failed / reversed batches and DB-20261024-1LC44Y under "Delivered 9+ days ago, not settled"</t>
        </is>
      </c>
      <c r="O556" s="24" t="n"/>
      <c r="P556" s="24" t="inlineStr">
        <is>
          <t>2026-10-24 13:23</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 Production Not run
local: 2026-09-15 (IST): 1 delivered, GMV ₹80, commission ₹6, delivery fees ₹0, rider cost ₹28.01, refunds ₹5 (incl. this run's ₹5) — all equal; the 23:50 IST drop counted on the 14th</t>
        </is>
      </c>
      <c r="O557" s="24" t="n"/>
      <c r="P557" s="24" t="inlineStr">
        <is>
          <t>2026-10-24 13:23</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 Production Not run
local: DB-20261024-6QC529: payment ₹45, 1 wallet entries, snapshot, 5 journal lines, settlement PAID, earning ₹30.32, 2 reconciliation records; DB-20261024-B6NYSL: refund adjustment + wallet refund</t>
        </is>
      </c>
      <c r="O558" s="24" t="n"/>
      <c r="P558" s="24" t="inlineStr">
        <is>
          <t>2026-10-24 13:23</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 Production Not run
local: ORDER_PAYMENT MATCHED (₹140)</t>
        </is>
      </c>
      <c r="O559" s="24" t="inlineStr">
        <is>
          <t>D-29</t>
        </is>
      </c>
      <c r="P559" s="24" t="inlineStr">
        <is>
          <t>2026-10-24 12:31</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60" s="24" t="n"/>
      <c r="P560" s="24" t="inlineStr">
        <is>
          <t>2026-10-24 16:09</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t>
        </is>
      </c>
      <c r="O561" s="24" t="n"/>
      <c r="P561" s="24" t="inlineStr">
        <is>
          <t>2026-10-24 12:25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 Production Not run
local: DB-20261024-CV2OT3: BKS-000007/2026-27/000001 BILL_OF_SUPPLY, tax 0, "Not GST-registered", no GSTIN</t>
        </is>
      </c>
      <c r="O562" s="24" t="n"/>
      <c r="P562" s="24" t="inlineStr">
        <is>
          <t>2026-10-24 12:25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 Production Not run
local: not covered: the refund is the admin's after-delivery refund of one line's value (the return → approve path is in scenarios/SC-10); 'for the refunded line' superseded by src/server/gst/credit-notes.ts: a refund is an amount, spread over the invoice lines in proportion</t>
        </is>
      </c>
      <c r="O563" s="24" t="n"/>
      <c r="P563" s="24" t="inlineStr">
        <is>
          <t>2026-10-24 12:25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not covered: the PDF of an issued invoice (buyer, selling shop and finance staff only) is checked with invoicing on in local/finance-invoices.spec.ts
staging: not covered: guest half only; the other-role half (customer, other shop) runs in the signed-in tier
production: not covered: guest half only; the other-role half (customer, other shop) runs in the signed-in tier</t>
        </is>
      </c>
      <c r="O564" s="24" t="n"/>
      <c r="P564" s="24" t="inlineStr">
        <is>
          <t>2026-10-24 16:09</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 Production Not run
local: BKS-000006/2026-27/000002: 0% ₹64.99 → 6499+0+0; 5% ₹400.11 → 38106+952+953; 18% ₹99.01 → 8391+755+755; 5% ₹89.99 → 8570+214+215; numbers BKS-000006/2026-27/000002, BKS-000006/2026-27/000003, BKS-000006/2026-27/000004 consecutive; the cancelled order has none (409)</t>
        </is>
      </c>
      <c r="O565" s="24" t="n"/>
      <c r="P565" s="24" t="inlineStr">
        <is>
          <t>2026-10-24 12:25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Not run · Production Not run
local: 14 sections present; 7 links open (/admin/analytics, /admin/orders, /admin/exceptions, /admin/suspensions, /admin, /admin/finance/exceptions, /admin/risk …)</t>
        </is>
      </c>
      <c r="O566" s="24" t="n"/>
      <c r="P566" s="24" t="inlineStr">
        <is>
          <t>2026-10-24 12:38</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Pass</t>
        </is>
      </c>
      <c r="N567" s="24" t="inlineStr">
        <is>
          <t>Passed, partly covered. Local Pass (partial) · Staging Not run · Production Not run
local: not covered: exact deltas locally; on the test site at least the run's own changes (other activity may add more)</t>
        </is>
      </c>
      <c r="O567" s="24" t="n"/>
      <c r="P567" s="24" t="inlineStr">
        <is>
          <t>2026-10-24 12:39</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 Production Not run
local: not covered: two of the twelve categories are created (shop not accepting, no rider); the others are listed with their counts</t>
        </is>
      </c>
      <c r="O568" s="24" t="n"/>
      <c r="P568" s="24" t="inlineStr">
        <is>
          <t>2026-10-24 13:20</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Not run · Production Not run
local: not covered: the IST day boundary of the date filter needs an order aged across midnight: tests/qa/local/access-admin.spec.ts ‖ not covered: status, shop, combined and invalid-value filters are the signed-tier TC-ADM-004 check</t>
        </is>
      </c>
      <c r="O569" s="24" t="inlineStr">
        <is>
          <t>D-80</t>
        </is>
      </c>
      <c r="P569" s="24" t="inlineStr">
        <is>
          <t>2026-10-24 13:19</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 Production Not run
local: DB-20261024-KJ44MR: rider declined, rider2 (QA Rider Two) accepted → one row naming QA Rider Two</t>
        </is>
      </c>
      <c r="O570" s="24" t="n"/>
      <c r="P570" s="24" t="inlineStr">
        <is>
          <t>2026-10-24 13:20</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Not run · Production Not run
local: not covered: presence of each block; that revenue counts delivered orders only is checked by TC-KPI-003 (GMV)</t>
        </is>
      </c>
      <c r="O571" s="24" t="n"/>
      <c r="P571" s="24" t="inlineStr">
        <is>
          <t>2026-10-24 12:39</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Not run · Production Not run
local: not covered: approving / rejecting a shop as operator is in tests/qa/local/access-roles.spec.ts; the limited audit view is TC-RBAC-021</t>
        </is>
      </c>
      <c r="O572" s="24" t="n"/>
      <c r="P572" s="24" t="inlineStr">
        <is>
          <t>2026-10-24 13:31</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 Production Not run
local: UI: "length: Invalid input" (names the field; the allowed range 4–8 is not stated); API 422 on field 'length'; value and override state unchanged</t>
        </is>
      </c>
      <c r="O573" s="24" t="n"/>
      <c r="P573" s="24" t="inlineStr">
        <is>
          <t>2026-10-24 13:18</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 Production Not run
local: returns.windowHours 48→72 (Saved, customised, applied) → Restore default (default again); audit: 48→72, 72→reset</t>
        </is>
      </c>
      <c r="O574" s="24" t="n"/>
      <c r="P574" s="24" t="inlineStr">
        <is>
          <t>2026-10-24 13:18</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 Production Not run
local: "Profile updated for QA After Name: name, phone"; reload shows the new name; audit user.profile_updated before/after</t>
        </is>
      </c>
      <c r="O575" s="24" t="n"/>
      <c r="P575" s="24" t="inlineStr">
        <is>
          <t>2026-10-24 12:32</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Not run · Production Not run
local: not covered: flag rows with every subject type are arranged in the local tier (TC-ADM-014/015/016)</t>
        </is>
      </c>
      <c r="O576" s="24" t="n"/>
      <c r="P576" s="24" t="inlineStr">
        <is>
          <t>2026-10-24 12:39</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 Production Not run
local: not covered: the failed top-ups are arranged as payment rows; the rule and the queue are the app's</t>
        </is>
      </c>
      <c r="O577" s="24" t="n"/>
      <c r="P577" s="24" t="inlineStr">
        <is>
          <t>2026-10-24 13:20</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 Production Not run
local: not covered: order values are arranged on real orders; B2B, subscription and unpaid orders being ignored is read from the rule's SQL (order_type PERSONAL, source DIRECT, paid statuses) but not exercised</t>
        </is>
      </c>
      <c r="O578" s="24" t="n"/>
      <c r="P578" s="24" t="inlineStr">
        <is>
          <t>2026-10-24 13:20</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 Production Not run
local: API: no note / a 3-letter note 422; page: buttons disabled without a note; DISMISSED and ACTIONED with their notes</t>
        </is>
      </c>
      <c r="O579" s="24" t="n"/>
      <c r="P579" s="24" t="inlineStr">
        <is>
          <t>2026-10-24 13:20</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 Production Not run
local: not covered: a deleted subject is not arranged (no delete flow for accounts in this build's admin screens)</t>
        </is>
      </c>
      <c r="O580" s="24" t="n"/>
      <c r="P580" s="24" t="inlineStr">
        <is>
          <t>2026-10-24 13:20</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 Production Not run
local: operator: 'Suspend &amp; mark actioned' on the shop and rider flags, none on the customer flag</t>
        </is>
      </c>
      <c r="O581" s="24" t="n"/>
      <c r="P581" s="24" t="inlineStr">
        <is>
          <t>2026-10-24 13:20</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 Production Not run
local: not covered: no PERMANENT_ADMIN_EMAILS account exists on the local server, so the permanent-bootstrap-admin case is not exercised (findAdminUserIds covers it in src/server/services/users.ts)</t>
        </is>
      </c>
      <c r="O582" s="24" t="n"/>
      <c r="P582" s="24" t="inlineStr">
        <is>
          <t>2026-10-24 12:32</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 Production Not run
local: operator 403; SUSPENDED→ACTIVE 200 (audited user.reinstated); ACTIVE 409; unknown 404; rider profile stays SUSPENDED; signs in again with an emailed code</t>
        </is>
      </c>
      <c r="O583" s="24" t="n"/>
      <c r="P583" s="24" t="inlineStr">
        <is>
          <t>2026-10-24 12:32</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Not run · Production Not run
local: not covered: record-only: the status report listed it as not built; it is now a working page</t>
        </is>
      </c>
      <c r="O584" s="24" t="n"/>
      <c r="P584" s="24" t="inlineStr">
        <is>
          <t>2026-10-24 12:39</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Not run · Production Not run
local: compliance: Active 8 Missing 5 Review required 13; maps: Maps &amp; location usage This shows how many server-side Geocoding calls this app has made — it is a count of requests, not; operator on maps 307→/admin</t>
        </is>
      </c>
      <c r="O585" s="24" t="n"/>
      <c r="P585" s="24" t="inlineStr">
        <is>
          <t>2026-10-24 12:39</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Not run · Production Not run
local: OPERATOR /operator → /admin; reachable: onboarding, product uploads, payments, exceptions; OPERATOR_LIMITED /operator: onboard, shops, documents, payments open</t>
        </is>
      </c>
      <c r="O586" s="24" t="n"/>
      <c r="P586" s="24" t="inlineStr">
        <is>
          <t>2026-10-24 12:39</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Not run · Production Not run
local: not covered: there is no Save button to disable: the switch saves on each tap so withdrawing is one click (expected result superseded by src/components/marketing-consent-toggle.tsx, DPDPA §6(4))</t>
        </is>
      </c>
      <c r="O587" s="24" t="n"/>
      <c r="P587" s="24" t="inlineStr">
        <is>
          <t>2026-10-24 12:52</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2026-10-24 16:17</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Not run · Production Not run
local: counts 26/4/2/3 (customers/agreed/repeat/lapsed); segments, campaigns and the COD switch shown ‖ [phone] counts 26/4/2/3 (customers/agreed/repeat/lapsed); segments, campaigns and the COD switch shown</t>
        </is>
      </c>
      <c r="O589" s="24" t="n"/>
      <c r="P589" s="24" t="inlineStr">
        <is>
          <t>2026-10-24 12:52</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Pass</t>
        </is>
      </c>
      <c r="N590" s="24" t="inlineStr">
        <is>
          <t>Passed, partly covered. Local Pass (partial) · Staging Not run · Production Not run
local: not covered: that a non-consenting customer is matched but not reachable is shown with new accounts in tests/qa/local/auth-marketing.spec.ts (TC-MKT-006)</t>
        </is>
      </c>
      <c r="O590" s="24" t="n"/>
      <c r="P590" s="24" t="inlineStr">
        <is>
          <t>2026-10-24 12:47</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Not run · Production Not run
local: API 422 "'Ordered within' must be longer than 'not ordered for' — otherwise nobody matches."; the page shows the same message and saves nothing</t>
        </is>
      </c>
      <c r="O591" s="24" t="n"/>
      <c r="P591" s="24" t="inlineStr">
        <is>
          <t>2026-10-24 12:47</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 Production Not run
local: reachable 4 → 3 (matched 14); the next campaign reached the consenting customer only</t>
        </is>
      </c>
      <c r="O592" s="24" t="n"/>
      <c r="P592" s="24" t="inlineStr">
        <is>
          <t>2026-10-24 12:32</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 Production Not run
local: DRAFT → SUBMITTED (shop page) → APPROVED (/admin/campaigns) → SENT (shop page); sent 2 ≤ budget 100; the new consenting customer got "QA Shop A mvmdce6i: QA weekend mvmdn9wh"</t>
        </is>
      </c>
      <c r="O593" s="24" t="n"/>
      <c r="P593" s="24" t="inlineStr">
        <is>
          <t>2026-10-24 12:32</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Not run · Production Not run
local: draft → 409 "Only an approved campaign can be sent."; submitted half not run: A shop can run at most 2 campaigns a week.</t>
        </is>
      </c>
      <c r="O594" s="24" t="n"/>
      <c r="P594" s="24" t="inlineStr">
        <is>
          <t>2026-10-24 12:47</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 Production Not run
local: rejected with "QA: say which products are on offer" (shown to the shop); operations edit/send → 403 "Only the shop owner can change its campaigns."; the shop edited (back to DRAFT) and resubmitted (SUBMITTED)</t>
        </is>
      </c>
      <c r="O595" s="24" t="n"/>
      <c r="P595" s="24" t="inlineStr">
        <is>
          <t>2026-10-24 12:32</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 Production Not run
local: not covered: the total cap is exercised with rule marketing.totalPerCustomerPerWeek lowered to 1 (the default 3 needs four shops the customer ordered from; this world has two that sell)</t>
        </is>
      </c>
      <c r="O596" s="24" t="n"/>
      <c r="P596" s="24" t="inlineStr">
        <is>
          <t>2026-10-24 12:32</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 Production Not run
local: 0 → 422 "Budget must be between 1 and 5000 customers."; 5001 → 422 "Budget must be between 1 and 5000 customers."; 5000 accepted; send → SENT (0), second send → 409 "Only an approved campaign can be sent.", 0 recipient rows</t>
        </is>
      </c>
      <c r="O597" s="24" t="n"/>
      <c r="P597" s="24" t="inlineStr">
        <is>
          <t>2026-10-24 12:32</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 Production Not run
local: not covered: shown on the shop's campaign row and the review queue; there is no separate analytics chart for campaigns</t>
        </is>
      </c>
      <c r="O598" s="24" t="n"/>
      <c r="P598" s="24" t="inlineStr">
        <is>
          <t>2026-10-24 12:32</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99" s="24" t="n"/>
      <c r="P599" s="24" t="inlineStr">
        <is>
          <t>2026-10-24 16:09</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 Production Not run
local: code GKQLWDY7 entered at sign-up → PENDING; DB-20261024-D2UFXR delivered → ₹50 each ("Referral reward — your friend's first order was delivered" / "Welcome reward — referred by a friend"); a second delivered order adds nothing</t>
        </is>
      </c>
      <c r="O600" s="24" t="n"/>
      <c r="P600" s="24" t="inlineStr">
        <is>
          <t>2026-10-24 12:33</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 Production Not run
local: not covered: a new account on the referrer's own mobile cannot exist (mobile numbers are unique per account); the same device is not tracked; a delivered-then-refunded first order is TC-MKT-017's reversal; the risk flag is the next check</t>
        </is>
      </c>
      <c r="O601" s="24" t="inlineStr">
        <is>
          <t>D-24</t>
        </is>
      </c>
      <c r="P601" s="24" t="inlineStr">
        <is>
          <t>2026-10-24 12:33</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 Production Not run
local: not covered: the cap is exercised at 1 (rule customerReferrals.maxRewardsPerReferrer lowered from its default 20)</t>
        </is>
      </c>
      <c r="O602" s="24" t="n"/>
      <c r="P602" s="24" t="inlineStr">
        <is>
          <t>2026-10-24 12:33</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 Production Not run
local: referral a4abd370-10af-4b05-a13d-3c04b8a704ca is REWARDED but no risk flag can be raised on it (risk rules have no referral rule — src/server/services/risk.ts) and nothing reverses a referral reward (src/server/services/customer-referrals.ts); reversal rows: 0 | expect(received).toBeGreaterThan(expected) | Expected: &gt; 0 | Received:   0</t>
        </is>
      </c>
      <c r="O603" s="24" t="inlineStr">
        <is>
          <t>D-25</t>
        </is>
      </c>
      <c r="P603" s="24" t="inlineStr">
        <is>
          <t>2026-10-24 12:33</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2026-10-24 16:09</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5" s="24" t="n"/>
      <c r="P605" s="24" t="inlineStr">
        <is>
          <t>2026-10-24 16:09</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 Production Not run
local: not covered: the analytics page offers 7/30/90-day windows ending today, so the past day is compared on the API that feeds it; the page itself is TC-KPI-001 ‖ not covered: arranging step: each KPI is compared in its own check below</t>
        </is>
      </c>
      <c r="O606" s="24" t="n"/>
      <c r="P606" s="24" t="inlineStr">
        <is>
          <t>2026-10-24 13:25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 Production Not run
local: not covered: arranging step: each KPI is compared in its own check below</t>
        </is>
      </c>
      <c r="O607" s="24" t="n"/>
      <c r="P607" s="24" t="inlineStr">
        <is>
          <t>2026-10-24 13:25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 Production Not run
local: not covered: arranging step: each KPI is compared in its own check below</t>
        </is>
      </c>
      <c r="O608" s="24" t="n"/>
      <c r="P608" s="24" t="inlineStr">
        <is>
          <t>2026-10-24 13:25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 Production Not run
local: not covered: arranging step: each KPI is compared in its own check below</t>
        </is>
      </c>
      <c r="O609" s="24" t="n"/>
      <c r="P609" s="24" t="inlineStr">
        <is>
          <t>2026-10-24 13:25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 Production Not run
local: not covered: arranging step: each KPI is compared in its own check below</t>
        </is>
      </c>
      <c r="O610" s="24" t="n"/>
      <c r="P610" s="24" t="inlineStr">
        <is>
          <t>2026-10-24 13:25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 Production Not run
local: not covered: arranging step: each KPI is compared in its own check below</t>
        </is>
      </c>
      <c r="O611" s="24" t="n"/>
      <c r="P611" s="24" t="inlineStr">
        <is>
          <t>2026-10-24 13:25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 Production Not run
local: not covered: arranging step: each KPI is compared in its own check below</t>
        </is>
      </c>
      <c r="O612" s="24" t="n"/>
      <c r="P612" s="24" t="inlineStr">
        <is>
          <t>2026-10-24 13:25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 Production Not run
local: not covered: arranging step: each KPI is compared in its own check below</t>
        </is>
      </c>
      <c r="O613" s="24" t="n"/>
      <c r="P613" s="24" t="inlineStr">
        <is>
          <t>2026-10-24 13:25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 Production Not run
local: not covered: arranging step: each KPI is compared in its own check below ‖ not covered: utilisation needs online sessions in the past day, which a moved timeline cannot create honestly; it shows '—' (null), as the case allows for sessions recorded since release</t>
        </is>
      </c>
      <c r="O614" s="24" t="n"/>
      <c r="P614" s="24" t="inlineStr">
        <is>
          <t>2026-10-24 13:25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 Production Not run
local: not covered: arranging step: each KPI is compared in its own check below ‖ not covered: the campaign is real (segment, approval, send) and its send time is moved into the day with the orders</t>
        </is>
      </c>
      <c r="O615" s="24" t="n"/>
      <c r="P615" s="24" t="inlineStr">
        <is>
          <t>2026-10-24 13:25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Not run · Production Not run
local: API: placed 0, rates null; shop C /shop/analytics shows dashes/zeros; reversed window 422</t>
        </is>
      </c>
      <c r="O616" s="24" t="n"/>
      <c r="P616" s="24" t="inlineStr">
        <is>
          <t>2026-10-24 12:39</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Fail</t>
        </is>
      </c>
      <c r="N617" s="24" t="inlineStr">
        <is>
          <t>Local Pass (partial) · Staging Pass (partial) · Production Fail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not covered: 'nothing runs' is proven by the refusal; the POST of GET-capable crons is not sent, to leave the shared cron rate limit to the real runs
production: 17 of 321 session-protected write endpoints not refusing a guest: | PATCH /api/admin/payouts/batches/[id] → 422 VALIDATION_FAILED | POST /api/excel-uploads → 422 VALIDATION_FAILED | POST /api/excel-uploads/[id]/apply → 404 NOT_FOUND</t>
        </is>
      </c>
      <c r="O617" s="24" t="inlineStr">
        <is>
          <t>D-01</t>
        </is>
      </c>
      <c r="P617" s="24" t="inlineStr">
        <is>
          <t>2026-10-24 16:09</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Fail</t>
        </is>
      </c>
      <c r="N618" s="24" t="inlineStr">
        <is>
          <t>Local Pass (partial) · Staging Pass (partial) · Production Fail
local: not covered: public routes only; signed-in id routes are swept in the signed-in tier ‖ not covered: 405 for a method a route does not export counts as refused
staging: not covered: public routes only; signed-in id routes are swept in the signed-in tier
production: /api/shops/abc/products → 500; /api/shops/99999999999999999999999999999999999999999999999999999999999999999999999999999999/products → 500; /api/shops/1%27%20OR%201%3D1/products → 500 | expect(received).toEqual(expected) // deep equality | - Expected  - 1 | + Received  + 5</t>
        </is>
      </c>
      <c r="O618" s="24" t="inlineStr">
        <is>
          <t>D-02</t>
        </is>
      </c>
      <c r="P618" s="24" t="inlineStr">
        <is>
          <t>2026-10-24 16:13</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Not run · Production Not run
local: not covered: the grievance description is the public form (tests/qa/guest); script text on the shop's own name is not tried (the name is a registration field)</t>
        </is>
      </c>
      <c r="O619" s="24" t="n"/>
      <c r="P619" s="24" t="inlineStr">
        <is>
          <t>2026-10-24 13:28</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Pass</t>
        </is>
      </c>
      <c r="N620" s="24" t="inlineStr">
        <is>
          <t>Passed, partly covered. Local Pass (partial) · Staging Not run · Production Not run
local: not covered: the checkout total and profile role halves are the signed-tier TC-SEC-004 check ‖ not covered: POST /api/shops with status/classification/ownerId registers a shop (role change): tests/qa/local/access-roles.spec.ts</t>
        </is>
      </c>
      <c r="O620" s="24" t="n"/>
      <c r="P620" s="24" t="inlineStr">
        <is>
          <t>2026-10-24 13:32</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Fail</t>
        </is>
      </c>
      <c r="N621" s="24" t="inlineStr">
        <is>
          <t>Local Pass (partial) · Staging Pass (partial) · Production Fail
local: not covered: the seeded shops have no PAN or bank account on file, so masking of a stored one is checked where they are added (KYC specs) ‖ not covered: no 500 was found to read; signed-in responses (PAN, bank, codes) are checked in the signed-in tier
staging: not covered: no 500 was found to read; signed-in responses (PAN, bank, codes) are checked in the signed-in tier
production: /api/products/abc: X-Powered-By Next.js; /this-page-does-not-exist: X-Powered-By Next.js | expect(received).toEqual(expected) // deep equality | - Expected  - 1 | + Received  + 4</t>
        </is>
      </c>
      <c r="O621" s="24" t="inlineStr">
        <is>
          <t>D-03</t>
        </is>
      </c>
      <c r="P621" s="24" t="inlineStr">
        <is>
          <t>2026-10-24 16:10</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production: not covered: reads the Auth.js CSRF cookie, set with the session cookie's options; the session cookie itself is read in the signed-in tier</t>
        </is>
      </c>
      <c r="O622" s="24" t="n"/>
      <c r="P622" s="24" t="inlineStr">
        <is>
          <t>2026-10-24 16:10</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 → 301 https://test.gokesari.com/
production: http://gokesari.com → 301 https://gokesari.com/</t>
        </is>
      </c>
      <c r="O623" s="24" t="n"/>
      <c r="P623" s="24" t="inlineStr">
        <is>
          <t>2026-10-24 16:10</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2026-10-24 16:10</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Pass</t>
        </is>
      </c>
      <c r="N625" s="24" t="inlineStr">
        <is>
          <t>Local Pass · Staging Pass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404 pages are branded with a way home ‖ [phone] 404 pages are branded with a way home
production: 404 pages are branded with a way home ‖ [phone] 404 pages are branded with a way home</t>
        </is>
      </c>
      <c r="O625" s="24" t="n"/>
      <c r="P625" s="24" t="inlineStr">
        <is>
          <t>2026-10-24 16:18</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Fail</t>
        </is>
      </c>
      <c r="N626" s="24" t="inlineStr">
        <is>
          <t>Local Pass (partial) · Staging Pass (partial) · Production Fail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production: /api/products/abc: X-Powered-By Next.js; /this-page-does-not-exist: X-Powered-By Next.js | expect(received).toEqual(expected) // deep equality | - Expected  - 1 | + Received  + 4</t>
        </is>
      </c>
      <c r="O626" s="24" t="inlineStr">
        <is>
          <t>D-03</t>
        </is>
      </c>
      <c r="P626" s="24" t="inlineStr">
        <is>
          <t>2026-10-24 16:10</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Pass</t>
        </is>
      </c>
      <c r="N627" s="24" t="inlineStr">
        <is>
          <t>Passed, partly covered. Local Pass (partial) · Staging Pass (partial) · Production Pass (partial)
local: not covered: links read from each role's home portal page (header, menus, tiles); a link the role may not open redirects (not counted dead) — refusals are TC-RBAC-003/005 ‖ not covered: guest header; the per-role headers run in the signed-in tier
staging: not covered: guest header; the per-role headers run in the signed-in tier
production: not covered: guest header; the per-role headers run in the signed-in tier</t>
        </is>
      </c>
      <c r="O627" s="24" t="n"/>
      <c r="P627" s="24" t="inlineStr">
        <is>
          <t>2026-10-24 16:19</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Pass</t>
        </is>
      </c>
      <c r="N628" s="24" t="inlineStr">
        <is>
          <t>Passed, partly covered. Local Pass (partial) · Staging Pass (partial) · Production Pass (partial)
local: not covered: the checkout confirmation itself is placed through the API (TC-CART-009); the page walk stops at the cart's checkout button ‖ not covered: guest pages; signed-in screens (cart, checkout, orders) run in the signed-in tier
staging: not covered: guest pages; signed-in screens (cart, checkout, orders) run in the signed-in tier
production: not covered: guest pages; signed-in screens (cart, checkout, orders) run in the signed-in tier</t>
        </is>
      </c>
      <c r="O628" s="24" t="n"/>
      <c r="P628" s="24" t="inlineStr">
        <is>
          <t>2026-10-24 16:18</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production: not covered: guest pages; signed-in pages run in the signed-in tier</t>
        </is>
      </c>
      <c r="O629" s="24" t="n"/>
      <c r="P629" s="24" t="inlineStr">
        <is>
          <t>2026-10-24 16:19</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630" s="24" t="n"/>
      <c r="P630" s="24" t="inlineStr">
        <is>
          <t>2026-10-24 16:15</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Not run · Production Not run
local: not covered: in-app links outside the form (site header) leave without a prompt by design (src/components/unsaved-changes-guard.tsx)</t>
        </is>
      </c>
      <c r="O631" s="24" t="n"/>
      <c r="P631" s="24" t="inlineStr">
        <is>
          <t>2026-10-24 12:40</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 Production Not run
local: /orders: "No orders"; /subscriptions: "No subscriptions"; /returns: "No returns"; /cart: "cart is empty"; /notifications: "No notifications"</t>
        </is>
      </c>
      <c r="O632" s="24" t="n"/>
      <c r="P632" s="24" t="inlineStr">
        <is>
          <t>2026-10-24 12:31</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2026-10-24 16:17</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2026-10-24 16:17</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 Production Not run
local: 5 digits → refused, attempts 1; 7 digits → refused, attempts 2 (short and long codes count towards the 5 attempts); letters cannot be typed; " 355149 " cleaned and accepted</t>
        </is>
      </c>
      <c r="O635" s="24" t="n"/>
      <c r="P635" s="24" t="inlineStr">
        <is>
          <t>2026-10-24 12:34</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2026-10-24 16:17</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Not run · Production Not run
local: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2026-10-24 12:47</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Not run · Production Not run
local: not covered: 'nothing chosen' is the 'Prefer not to say' choice and is accepted, by design (expected result superseded by docs/login-profile/DEPLOY_AND_TEST.md: every detail optional)</t>
        </is>
      </c>
      <c r="O638" s="24" t="n"/>
      <c r="P638" s="24" t="inlineStr">
        <is>
          <t>2026-10-24 12:47</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Not run · Production Not run
local: UI: blank → Add disabled, letters dropped, 11th digit cut, 9 digits and 5… → message; API: 9/11 digits, 5…, letters, symbols → 422, nothing saved; "+91 6045708202", "60457 08202" and "6045708202" all saved as +916045708202 (+91 stripped); another account's number → 409, without saying whose</t>
        </is>
      </c>
      <c r="O639" s="24" t="n"/>
      <c r="P639" s="24" t="inlineStr">
        <is>
          <t>2026-10-24 12:47</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Not run · Production Not run
local: not covered: a valid address in capitals with spaces (code to the lower-case address) is in tests/qa/local/auth-profile.spec.ts — it mails a code</t>
        </is>
      </c>
      <c r="O640" s="24" t="n"/>
      <c r="P640" s="24" t="inlineStr">
        <is>
          <t>2026-10-24 12:47</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 Production Not run
local: blank blocked; 5 digits → refused (attempts 1); 7 digits → refused (attempts 2) — short/long codes count as attempts; letters cannot be typed; "  740777  " cleaned and accepted; email changed only then</t>
        </is>
      </c>
      <c r="O641" s="24" t="n"/>
      <c r="P641" s="24" t="inlineStr">
        <is>
          <t>2026-10-24 12:32</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Not run · Production Not run
local: not covered: 'nothing chosen' cannot happen in the form (Home is preselected) and the API defaults a missing type to OTHER (addresses.ts) — recorded, not refused</t>
        </is>
      </c>
      <c r="O642" s="24" t="n"/>
      <c r="P642" s="24" t="inlineStr">
        <is>
          <t>2026-10-24 13:36</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Not run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t>
        </is>
      </c>
      <c r="O643" s="24" t="n"/>
      <c r="P643" s="24" t="inlineStr">
        <is>
          <t>2026-10-24 13:36</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Not run · Production Not run
local: not covered: blank is accepted: the field is labelled '(optional)' in src/components/address-manager.tsx (expected result superseded)</t>
        </is>
      </c>
      <c r="O644" s="24" t="inlineStr">
        <is>
          <t>D-09</t>
        </is>
      </c>
      <c r="P644" s="24" t="inlineStr">
        <is>
          <t>2026-10-24 13:36</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Not run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t>
        </is>
      </c>
      <c r="O645" s="24" t="inlineStr">
        <is>
          <t>D-08</t>
        </is>
      </c>
      <c r="P645" s="24" t="inlineStr">
        <is>
          <t>2026-10-24 13:36</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Not run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t>
        </is>
      </c>
      <c r="O646" s="24" t="n"/>
      <c r="P646" s="24" t="inlineStr">
        <is>
          <t>2026-10-24 13:36</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Not run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t>
        </is>
      </c>
      <c r="O647" s="24" t="n"/>
      <c r="P647" s="24" t="inlineStr">
        <is>
          <t>2026-10-24 13:36</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Not run · Production Not run
local: not covered: PINs starting with 0 are accepted — known defect D-04 (checked in the next check)</t>
        </is>
      </c>
      <c r="O648" s="24" t="inlineStr">
        <is>
          <t>D-04</t>
        </is>
      </c>
      <c r="P648" s="24" t="inlineStr">
        <is>
          <t>2026-10-24 13:36</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Not run · Production Not run
local: not covered: the map itself (drag the pin) needs a Google Maps key; the device position path is used</t>
        </is>
      </c>
      <c r="O649" s="24" t="n"/>
      <c r="P649" s="24" t="inlineStr">
        <is>
          <t>2026-10-24 13:36</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Not run · Production Not run
local: second → only default; both via API → one; new default replaces; delete default → 204, 1 default left</t>
        </is>
      </c>
      <c r="O650" s="24" t="inlineStr">
        <is>
          <t>D-12</t>
        </is>
      </c>
      <c r="P650" s="24" t="inlineStr">
        <is>
          <t>2026-10-24 13:36</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Not run · Production Not run
local: not covered: TC-FLD-019 'each listed option saves' is TC-LOC-027</t>
        </is>
      </c>
      <c r="O651" s="24" t="n"/>
      <c r="P651" s="24" t="inlineStr">
        <is>
          <t>2026-10-24 13:36</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Fail</t>
        </is>
      </c>
      <c r="N652" s="24" t="inlineStr">
        <is>
          <t>Local Pass (partial) · Staging Pass · Production Fail
local: not covered: PINs starting with 0 (000000, 011001) are accepted — known defect D-04, asserted by the guest check in guest/storefront.spec.ts
staging: PIN 411038 set from the location bar, then cleared ‖ 7 digits cut to 6; refused on the field: 12345, 011001, abcdef; API 000000 → 422
production: dialog stays open for "011001" | expect(locator).toBeVisible() failed | Locator: getByRole('dialog', { name: /delivery location/i }) | Expected: visible</t>
        </is>
      </c>
      <c r="O652" s="24" t="inlineStr">
        <is>
          <t>D-04</t>
        </is>
      </c>
      <c r="P652" s="24" t="inlineStr">
        <is>
          <t>2026-10-24 16:18</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Blocked</t>
        </is>
      </c>
      <c r="N653" s="24" t="inlineStr">
        <is>
          <t>Local Blocked · Staging Not run · Production Not run
local: Google Maps is not configured on this site (NEXT_PUBLIC_GOOGLE_MAPS_API_KEY unset): the chooser offers no 'Search an address'</t>
        </is>
      </c>
      <c r="O653" s="24" t="n"/>
      <c r="P653" s="24" t="inlineStr">
        <is>
          <t>2026-10-24 13:36</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Pass (partial) · Staging Pass (partial) · Production Fail
local: not covered: search by shop type and area: TC-DISC-005 filters ‖ not covered: script and Hindi inputs (escaped, no script) are the guest check in guest/storefront.spec.ts
staging: not covered: search by shop type and area: TC-DISC-005 filters
production: "411014" finds Agtci | expect(locator).toBeVisible() failed | Locator: getByText('Agtci').first() | Expected: visible</t>
        </is>
      </c>
      <c r="O654" s="24" t="inlineStr">
        <is>
          <t>D-14</t>
        </is>
      </c>
      <c r="P654" s="24" t="inlineStr">
        <is>
          <t>2026-10-24 16:12</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Not run · Production Not run
local: not covered: the cart has −/+ buttons, not a typed quantity field, so blank/text/decimal are API-only here</t>
        </is>
      </c>
      <c r="O655" s="24" t="n"/>
      <c r="P655" s="24" t="inlineStr">
        <is>
          <t>2026-10-24 12:33</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Not run · Production Not run
local: not covered: the seeded loose product is sold in 1 kg steps (unitSizeMilli 1000), so 250 g / 1.5 kg are outside the step and refused; a 250 g-step product is not in the test data</t>
        </is>
      </c>
      <c r="O656" s="24" t="n"/>
      <c r="P656" s="24" t="inlineStr">
        <is>
          <t>2026-10-24 12:33</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Pass</t>
        </is>
      </c>
      <c r="N657" s="24" t="inlineStr">
        <is>
          <t>Passed, partly covered. Local Pass (partial) · Staging Not run · Production Not run
local: not covered: TC-FLD-025 'each listed option saves and shows': the cart's address list is checked in TC-LOC-004/TC-LOC-008</t>
        </is>
      </c>
      <c r="O657" s="24" t="inlineStr">
        <is>
          <t>D-07</t>
        </is>
      </c>
      <c r="P657" s="24" t="inlineStr">
        <is>
          <t>2026-10-24 13:46</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Pass</t>
        </is>
      </c>
      <c r="N658" s="24" t="inlineStr">
        <is>
          <t>Passed, partly covered. Local Pass (partial) · Staging Not run · Production Not run
local: not covered: a window that has already passed is a scheduled slot in the past: TC-CART-022 / TC-FLD-131 (local); COD where the shop allows it: shopping-shop-rules.spec.ts</t>
        </is>
      </c>
      <c r="O658" s="24" t="n"/>
      <c r="P658" s="24" t="inlineStr">
        <is>
          <t>2026-10-24 12:34</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Pass</t>
        </is>
      </c>
      <c r="N659" s="24" t="inlineStr">
        <is>
          <t>Passed, partly covered. Local Pass (partial) · Staging Not run · Production Not run
local: not covered: a window that has already passed is a scheduled slot in the past: TC-CART-022 / TC-FLD-131 (local); COD where the shop allows it: shopping-shop-rules.spec.ts</t>
        </is>
      </c>
      <c r="O659" s="24" t="n"/>
      <c r="P659" s="24" t="inlineStr">
        <is>
          <t>2026-10-24 12:34</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Pass</t>
        </is>
      </c>
      <c r="N660" s="24" t="inlineStr">
        <is>
          <t>Passed, partly covered. Local Pass (partial) · Staging Not run · Production Not run
local: not covered: the cart page (src/components/cart-view.tsx) has no notes field, so notes can only be sent through the API</t>
        </is>
      </c>
      <c r="O660" s="24" t="inlineStr">
        <is>
          <t>D-11</t>
        </is>
      </c>
      <c r="P660" s="24" t="inlineStr">
        <is>
          <t>2026-10-24 12:35</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Pass</t>
        </is>
      </c>
      <c r="N661" s="24" t="inlineStr">
        <is>
          <t>Local Pass · Staging Not run · Production Not run
local: after pickup: street line, landmark (script as text) and Marathi instructions as saved ‖ DB-20261024-F7G3FR accepted by the rider: area only, no street, landmark or instructions</t>
        </is>
      </c>
      <c r="O661" s="24" t="n"/>
      <c r="P661" s="24" t="inlineStr">
        <is>
          <t>2026-10-24 12:35</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Not run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2026-10-24 12:30</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 Production Not run
local: blank → 200, no bonus; unknown → 422 "That voucher code was not found."; "  qafmvmfd8yv  " → 200 bonus 500 = exact code; 100 characters → 422; &lt;script&gt; → 422</t>
        </is>
      </c>
      <c r="O663" s="24" t="n"/>
      <c r="P663" s="24" t="inlineStr">
        <is>
          <t>2026-10-24 13:25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Not run · Production Not run
local: not covered: there is no threshold field on /wallet (settings are API-only), so the page half and its field messages cannot be checked</t>
        </is>
      </c>
      <c r="O664" s="24" t="inlineStr">
        <is>
          <t>D-42</t>
        </is>
      </c>
      <c r="P664" s="24" t="inlineStr">
        <is>
          <t>2026-10-24 12:30</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Not run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2026-10-24 12:30</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 Production Not run
local: blank → 422, spaces → 422, 1 char → 422, 301 chars → 422 (limit 120); script and Marathi stored verbatim and shown as text; "   QA Trimmed   " → trimmed; spaces-only shows "Shop name is required."</t>
        </is>
      </c>
      <c r="O666" s="24" t="n"/>
      <c r="P666" s="24" t="inlineStr">
        <is>
          <t>2026-10-24 12:34</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 Production Not run
local: not covered: the display of the owner name is the operator's queue (TC-ONB-012 opens it)</t>
        </is>
      </c>
      <c r="O667" s="24" t="n"/>
      <c r="P667" s="24" t="inlineStr">
        <is>
          <t>2026-10-24 12:34</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 Production Not run
local: "", "987654321", "98765432101", "5876543210", "98765abcde", "98765 43210", "+919876543210" → 422 (+91 is refused, consistently); the form's pattern flags them; 9876543210 stored exactly</t>
        </is>
      </c>
      <c r="O668" s="24" t="n"/>
      <c r="P668" s="24" t="inlineStr">
        <is>
          <t>2026-10-24 12:34</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 Production Not run
local: blank → 422; 1 char → 422; 301 chars → 422; spaces-only → 422; "   12 Padded Road   " → 201 stored "12 Padded Road"</t>
        </is>
      </c>
      <c r="O669" s="24" t="inlineStr">
        <is>
          <t>D-73</t>
        </is>
      </c>
      <c r="P669" s="24" t="inlineStr">
        <is>
          <t>2026-10-24 12:34</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 Production Not run
local: not covered: the field message on the form is the browser's pattern check (pattern [0-9]{6})</t>
        </is>
      </c>
      <c r="O670" s="24" t="n"/>
      <c r="P670" s="24" t="inlineStr">
        <is>
          <t>2026-10-24 12:34</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 Production Not run
local: [] → 422; all 45 listed categories saved together and read back; unknown uuid → 422; text → 422</t>
        </is>
      </c>
      <c r="O671" s="24" t="n"/>
      <c r="P671" s="24" t="inlineStr">
        <is>
          <t>2026-10-24 12:34</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 Production Not run
local: blank + PAN → 201; all blank → 422; symbols / 100 chars → 422; "mh pune mvmdn2tq 0201" stored, "MH-PUNE-MVMDN2TQ-0201" from another account → 409</t>
        </is>
      </c>
      <c r="O672" s="24" t="n"/>
      <c r="P672" s="24" t="inlineStr">
        <is>
          <t>2026-10-24 12:34</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 Production Not run
local: not covered: the masked PAN on the owner's GST/PAN screen is checked by TC-ONB-017</t>
        </is>
      </c>
      <c r="O673" s="24" t="n"/>
      <c r="P673" s="24" t="inlineStr">
        <is>
          <t>2026-10-24 12:34</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 Production Not run
local: UDYAM-MH-00, bare digits → 422; UDYAM-MH-26-6811933 accepted</t>
        </is>
      </c>
      <c r="O674" s="24" t="n"/>
      <c r="P674" s="24" t="inlineStr">
        <is>
          <t>2026-10-24 12:34</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 Production Not run
local: 14 chars → 422; 16 chars → 422; state 00 → 422; state 99 → 422; wrong check character → 422; another PAN inside → 200 (PENDING_VERIFICATION); GSTIN validator for the wrong check character → 405 {}</t>
        </is>
      </c>
      <c r="O675" s="24" t="inlineStr">
        <is>
          <t>D-63</t>
        </is>
      </c>
      <c r="P675" s="24" t="inlineStr">
        <is>
          <t>2026-10-24 12:33</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t>
        </is>
      </c>
      <c r="O676" s="24" t="inlineStr">
        <is>
          <t>D-74</t>
        </is>
      </c>
      <c r="P676" s="24" t="inlineStr">
        <is>
          <t>2026-10-24 12:33</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t>
        </is>
      </c>
      <c r="O677" s="24" t="n"/>
      <c r="P677" s="24" t="inlineStr">
        <is>
          <t>2026-10-24 12:33</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 Production Not run
local: fee -100 / "abc" / 10.5 paise → 422; 0 (free) accepted; delivery off → no fee asked (field hidden); a blank fee on the form is sent as 0 paise (free delivery)</t>
        </is>
      </c>
      <c r="O678" s="24" t="n"/>
      <c r="P678" s="24" t="inlineStr">
        <is>
          <t>2026-10-24 12:34</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 Production Not run
local: not covered: TC-FLD-047's 'valid file accepted and shown' is proven by TC-ONB-044</t>
        </is>
      </c>
      <c r="O679" s="24" t="inlineStr">
        <is>
          <t>D-64</t>
        </is>
      </c>
      <c r="P679" s="24" t="inlineStr">
        <is>
          <t>2026-10-24 12:33</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 Production Not run
local: blank → 201; 301 chars → 422 (limit 32, input maxLength 32); &lt;script&gt;x&lt;/script&gt; → 422, संदर्भ → 422, NOPEmvmdn2tq → 422, NOPEmvmdn2tq → 422 — an unknown code blocks registration consistently, with a message on the field</t>
        </is>
      </c>
      <c r="O680" s="24" t="n"/>
      <c r="P680" s="24" t="inlineStr">
        <is>
          <t>2026-10-24 12:34</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Not run · Production Not run
local: not covered: the form's number box (min 1, max 50, step 1) is not driven</t>
        </is>
      </c>
      <c r="O681" s="24" t="n"/>
      <c r="P681" s="24" t="inlineStr">
        <is>
          <t>2026-10-24 13:29</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Not run · Production Not run
local: blank accepted; 41103 → 422, 4110381 → 422, 41a03b → 422, 000000 → 422, 011038 → 422; 411045 twice → stored ["411045"]; the shop's own PIN 411038 → 200 (["411038"])</t>
        </is>
      </c>
      <c r="O682" s="24" t="n"/>
      <c r="P682" s="24" t="inlineStr">
        <is>
          <t>2026-10-24 13:29</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Pass</t>
        </is>
      </c>
      <c r="N683" s="24" t="inlineStr">
        <is>
          <t>Local Pass · Staging Not run · Production Not run
local: negative → 422, text → 422, 10.555 → 422, ₹10 crore → 422; 0 accepted (no minimum); ₹70.50 → 7050 paise, shown back as 70.5</t>
        </is>
      </c>
      <c r="O683" s="24" t="inlineStr">
        <is>
          <t>D-75</t>
        </is>
      </c>
      <c r="P683" s="24" t="inlineStr">
        <is>
          <t>2026-10-24 13:29</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Not run · Production Not run
local: not covered: closing-before-opening is the overnight case, so it cannot be both refused and accepted; it is judged as overnight</t>
        </is>
      </c>
      <c r="O684" s="24" t="inlineStr">
        <is>
          <t>D-10, D-65</t>
        </is>
      </c>
      <c r="P684" s="24" t="inlineStr">
        <is>
          <t>2026-10-24 13:29</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Not run · Production Not run
local: not covered: no owner screen edits these (API only); 'shown as ₹70.50' — the shop page prints whole rupees</t>
        </is>
      </c>
      <c r="O685" s="24" t="inlineStr">
        <is>
          <t>D-75</t>
        </is>
      </c>
      <c r="P685" s="24" t="inlineStr">
        <is>
          <t>2026-10-24 13:29</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Not run · Production Not run
local: preparation time is editable</t>
        </is>
      </c>
      <c r="O686" s="24" t="inlineStr">
        <is>
          <t>D-76</t>
        </is>
      </c>
      <c r="P686" s="24" t="inlineStr">
        <is>
          <t>2026-10-24 13:29</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Not run · Production Not run
local: blank ok; 1001 chars → 422 (limit 1000); script shown as text; Marathi kept; line break kept</t>
        </is>
      </c>
      <c r="O687" s="24" t="inlineStr">
        <is>
          <t>D-77</t>
        </is>
      </c>
      <c r="P687" s="24" t="inlineStr">
        <is>
          <t>2026-10-24 13:29</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Not run · Production Not run
local: no logo upload exists (no file input on the shop's settings screens; logoUrl is a free URL — "not a url" → 422, "javascript:alert(1)" → 422) | expect(received).toEqual(expected) // deep equality | - Expected  - 1 | + Received  + 1</t>
        </is>
      </c>
      <c r="O688" s="24" t="inlineStr">
        <is>
          <t>D-78</t>
        </is>
      </c>
      <c r="P688" s="24" t="inlineStr">
        <is>
          <t>2026-10-24 13:29</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Pass</t>
        </is>
      </c>
      <c r="N689" s="24" t="inlineStr">
        <is>
          <t>Passed, partly covered. Local Pass (partial) · Staging Not run · Production Not run
local: not covered: 'COD on: customers are offered COD' also needs the platform COD rule and a cart from this shop — covered by the COD cases</t>
        </is>
      </c>
      <c r="O689" s="24" t="n"/>
      <c r="P689" s="24" t="inlineStr">
        <is>
          <t>2026-10-24 13:29</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 Production Not run
local: blank while on sale online → 422; ₹0 → 422; −₹1 → 422; text → 422; 10.555 (1055.5 paise) → 422; ₹10,00,00,000 → 422; ₹51 above the ₹50 MRP → 422; ₹70.50 → 200; loose: blank price, off sale → 200</t>
        </is>
      </c>
      <c r="O690" s="24" t="inlineStr">
        <is>
          <t>D-97</t>
        </is>
      </c>
      <c r="P690" s="24" t="inlineStr">
        <is>
          <t>2026-10-24 13:19</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 Production Not run
local: not covered: API only; the form's handling of decimals is the same input as the online price (TC-FLD-058)</t>
        </is>
      </c>
      <c r="O691" s="24" t="inlineStr">
        <is>
          <t>D-97</t>
        </is>
      </c>
      <c r="P691" s="24" t="inlineStr">
        <is>
          <t>2026-10-24 13:19</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t>
        </is>
      </c>
      <c r="O692" s="24" t="n"/>
      <c r="P692" s="24" t="inlineStr">
        <is>
          <t>2026-10-24 13:19</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 Production Not run
local: not covered: decimals for loose goods are TC-SPI-025 (refused: whole steps only)</t>
        </is>
      </c>
      <c r="O693" s="24" t="inlineStr">
        <is>
          <t>D-97</t>
        </is>
      </c>
      <c r="P693" s="24" t="inlineStr">
        <is>
          <t>2026-10-24 13:19</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 Production Not run
local: not covered: API only (the inventory page sends the same fields)</t>
        </is>
      </c>
      <c r="O694" s="24" t="inlineStr">
        <is>
          <t>D-97</t>
        </is>
      </c>
      <c r="P694" s="24" t="inlineStr">
        <is>
          <t>2026-10-24 13:19</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 Production Not run
local: not covered: API only (the inventory page sends the same fields)</t>
        </is>
      </c>
      <c r="O695" s="24" t="inlineStr">
        <is>
          <t>D-97</t>
        </is>
      </c>
      <c r="P695" s="24" t="inlineStr">
        <is>
          <t>2026-10-24 13:19</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 Production Not run
local: offline on with a price → 200; online off → 200; online on again → 200; non-boolean "yes" → 422; 1 for a switch → 422; online on with the price blank → 422</t>
        </is>
      </c>
      <c r="O696" s="24" t="n"/>
      <c r="P696" s="24" t="inlineStr">
        <is>
          <t>2026-10-24 13:19</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 Production Not run
local: write-off 0 → 422; write-off text → 422; write-off 1.5 units of a packaged product (1500 milli) → 422; reduce by 11 of 10 → 422; write-off 1 with no reason → 201; add 5 with a reason (physical count 15) → 200; the reason is optional (recorded when given)</t>
        </is>
      </c>
      <c r="O697" s="24" t="inlineStr">
        <is>
          <t>D-97</t>
        </is>
      </c>
      <c r="P697" s="24" t="inlineStr">
        <is>
          <t>2026-10-24 13:19</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 Production Not run
local: not covered: the upload API (the page's uploader shrinks the image first and posts the same file)</t>
        </is>
      </c>
      <c r="O698" s="24" t="n"/>
      <c r="P698" s="24" t="inlineStr">
        <is>
          <t>2026-10-24 13:19</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 Production Not run
local: blank → 200; 300 characters → 422; script text → 200; Hindi / Marathi → 200; accepted up to 160 characters (short description limit from rule shopProductMedia); Hindi saved</t>
        </is>
      </c>
      <c r="O699" s="24" t="n"/>
      <c r="P699" s="24" t="inlineStr">
        <is>
          <t>2026-10-24 13:19</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 Production Not run
local: not covered: the product form has no brand field (a new product's brand is not asked for); API only</t>
        </is>
      </c>
      <c r="O700" s="24" t="inlineStr">
        <is>
          <t>D-97</t>
        </is>
      </c>
      <c r="P700" s="24" t="inlineStr">
        <is>
          <t>2026-10-24 13:19</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 Production Not run
local: not covered: two of the listed options were saved (each adds that category's products to shop B), not every option</t>
        </is>
      </c>
      <c r="O701" s="24" t="n"/>
      <c r="P701" s="24" t="inlineStr">
        <is>
          <t>2026-10-24 13:19</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 Production Not run
local: not covered: the upload API (the page posts the same form); the upload limit is rule spreadsheets.maxBytes</t>
        </is>
      </c>
      <c r="O702" s="24" t="n"/>
      <c r="P702" s="24" t="inlineStr">
        <is>
          <t>2026-10-24 13:19</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 xml:space="preserve">Local Pass · Staging Not run · Production Not run
local: blank 422, spaces 422, 1 char 422, 301 chars 422 (limit 200); pipeline: spaces → NAME_MISSING; script and Marathi stored verbatim; trimmed; near-duplicate → 409 "This looks similar to an existing product: QA Butter 100 g mvmdcrzs. Resubmit wi"; the same name in capitals → 409 </t>
        </is>
      </c>
      <c r="O703" s="24" t="n"/>
      <c r="P703" s="24" t="inlineStr">
        <is>
          <t>2026-10-24 12:33</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 Production Not run
local: not covered: 'an empty required choice is refused' is superseded by the documented default to General (docs/category-management/README.md, Screens)</t>
        </is>
      </c>
      <c r="O704" s="24" t="n"/>
      <c r="P704" s="24" t="inlineStr">
        <is>
          <t>2026-10-24 12:33</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 Production Not run
local: not covered: the catalogue's own product form has no brand or manufacturer field — they come from the product master</t>
        </is>
      </c>
      <c r="O705" s="24" t="n"/>
      <c r="P705" s="24" t="inlineStr">
        <is>
          <t>2026-10-24 12:33</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 Production Not run
local: form 0 → 422; form -1 → 422; form text → 422; 0.5 kg → 201; pipeline "-1 kg" → pack 100 g BRAND_MISSING/INFO,QUANTITY_INVALID/WARNING,CATEGORY_UNMAPPED/INFO; "0 kg" → QUANTITY_INVALID/WARNING; unit "bananas" → 422</t>
        </is>
      </c>
      <c r="O706" s="24" t="inlineStr">
        <is>
          <t>D-79</t>
        </is>
      </c>
      <c r="P706" s="24" t="inlineStr">
        <is>
          <t>2026-10-24 12:33</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Pass</t>
        </is>
      </c>
      <c r="N707" s="24" t="inlineStr">
        <is>
          <t>Passed, partly covered. Local Pass (partial) · Staging Not run · Production Not run
local: not covered: steps 3–4 (change a packaged product to loose and back) cannot be done: no control exists for the flag after creation</t>
        </is>
      </c>
      <c r="O707" s="24" t="n"/>
      <c r="P707" s="24" t="inlineStr">
        <is>
          <t>2026-10-24 12:33</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t>
        </is>
      </c>
      <c r="O708" s="24" t="n"/>
      <c r="P708" s="24" t="inlineStr">
        <is>
          <t>2026-10-24 12:33</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 Production Not run
local: 123 → 422 (pipeline: dropped, HSN_INVALID); 123456789 → 422 (pipeline: dropped, HSN_INVALID); ABCD → 422 (pipeline: dropped, HSN_INVALID); 4/6/8 digits saved; blank (null) allowed</t>
        </is>
      </c>
      <c r="O709" s="24" t="n"/>
      <c r="P709" s="24" t="inlineStr">
        <is>
          <t>2026-10-24 12:33</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 Production Not run
local: editor -5 → 422; editor 7 → 422; pipeline "7" → null bp GST_RATE_UNUSUAL/WARNING; pipeline "-5" → null bp GST_RATE_INVALID/WARNING</t>
        </is>
      </c>
      <c r="O710" s="24" t="inlineStr">
        <is>
          <t>D-66</t>
        </is>
      </c>
      <c r="P710" s="24" t="inlineStr">
        <is>
          <t>2026-10-24 12:33</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 Production Not run
local: blank → 422; 0 → 422; -1 → 422; text → 422; 10.555 → 422; ₹10 crore → 422; no source → 422; ₹70.50 → 7050 paise; loose product not asked for an MRP</t>
        </is>
      </c>
      <c r="O711" s="24" t="inlineStr">
        <is>
          <t>D-67</t>
        </is>
      </c>
      <c r="P711" s="24" t="inlineStr">
        <is>
          <t>2026-10-24 12:33</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 Production Not run
local: blank 422, spaces 422, 1 char 422, 81 chars 422, 301 chars 422, Marathi → 201 किराणा दुकान mvmfii7h; trimmed, case duplicate 409, script stored as text; UI add with "Category created" confirmation; rename + deactivate; DELETE not offered; General delete → 403, rename → 403; removing a category moved its product to General</t>
        </is>
      </c>
      <c r="O712" s="24" t="n"/>
      <c r="P712" s="24" t="inlineStr">
        <is>
          <t>2026-10-24 13:24</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t>
        </is>
      </c>
      <c r="O713" s="24" t="n"/>
      <c r="P713" s="24" t="inlineStr">
        <is>
          <t>2026-10-24 13:25</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Pass</t>
        </is>
      </c>
      <c r="N714" s="24" t="inlineStr">
        <is>
          <t>Local Pass · Staging Not run · Production Not run
local: blank → 422, spaces → 422, 1 character → 422, 301 characters → 422, 300 characters → 200; kept as written: script, Marathi, padded (trimmed), shown as text on /notifications</t>
        </is>
      </c>
      <c r="O714" s="24" t="n"/>
      <c r="P714" s="24" t="inlineStr">
        <is>
          <t>2026-10-24 13:28</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Pass</t>
        </is>
      </c>
      <c r="N715" s="24" t="inlineStr">
        <is>
          <t>Local Pass · Staging Not run · Production Not run
local: no reason → 200 (saved "Unavailable"); unlisted "Banana" → 422; 'Out of stock' (the only reason the screen sends) → 200, kept</t>
        </is>
      </c>
      <c r="O715" s="24" t="inlineStr">
        <is>
          <t>D-53</t>
        </is>
      </c>
      <c r="P715" s="24" t="inlineStr">
        <is>
          <t>2026-10-24 13:28</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Pass</t>
        </is>
      </c>
      <c r="N716" s="24" t="inlineStr">
        <is>
          <t>Passed, partly covered. Local Pass (partial) · Staging Not run · Production Not run
local: not covered: 'a different unit count' has no separate rule: the substitute is taken in the same number of units (fulfilment.ts proposeSubstitution); an unknown id answers 404, not 422</t>
        </is>
      </c>
      <c r="O716" s="24" t="n"/>
      <c r="P716" s="24" t="inlineStr">
        <is>
          <t>2026-10-24 13:28</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Not run · Production Not run
local: not covered: wrong pickup codes are not counted at all — there is no attempt limit on the pickup code (only the delivery code locks)</t>
        </is>
      </c>
      <c r="O717" s="24" t="n"/>
      <c r="P717" s="24" t="inlineStr">
        <is>
          <t>2026-10-24 12:44</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Pass</t>
        </is>
      </c>
      <c r="N718" s="24" t="inlineStr">
        <is>
          <t>Passed, partly covered. Local Pass (partial) · Staging Not run · Production Not run
local: not covered: the override note is checked as stored (rider history API); its display as plain text on an operator screen is not checked</t>
        </is>
      </c>
      <c r="O718" s="24" t="n"/>
      <c r="P718" s="24" t="inlineStr">
        <is>
          <t>2026-10-24 12:37</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Pass</t>
        </is>
      </c>
      <c r="N719" s="24" t="inlineStr">
        <is>
          <t>Passed, partly covered. Local Pass (partial) · Staging Not run · Production Not run
local: not covered: the failure reason is one free-text field (no option list, no separate note)</t>
        </is>
      </c>
      <c r="O719" s="24" t="inlineStr">
        <is>
          <t>D-54</t>
        </is>
      </c>
      <c r="P719" s="24" t="inlineStr">
        <is>
          <t>2026-10-24 12:37</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Pass</t>
        </is>
      </c>
      <c r="N720" s="24" t="inlineStr">
        <is>
          <t>Passed, partly covered. Local Pass (partial) · Staging Not run · Production Not run
local: not covered: the override note is checked as stored (rider history API); its display as plain text on an operator screen is not checked</t>
        </is>
      </c>
      <c r="O720" s="24" t="n"/>
      <c r="P720" s="24" t="inlineStr">
        <is>
          <t>2026-10-24 12:37</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Not run · Production Not run
local: not covered: the tick is part of the deliver action, not a saved setting — 'persists after reload' does not apply</t>
        </is>
      </c>
      <c r="O721" s="24" t="n"/>
      <c r="P721" s="24" t="inlineStr">
        <is>
          <t>2026-10-24 12:45</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 Production Not run
local: not covered: +91 is refused on the application but stripped by the later profile edit (rider-profile.ts parsePhone) — each place is consistent with itself</t>
        </is>
      </c>
      <c r="O722" s="24" t="n"/>
      <c r="P722" s="24" t="inlineStr">
        <is>
          <t>2026-10-24 13:22</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 Production Not run
local: not covered: there is no 'on foot' vehicle type (Bicycle, Motorcycle, Scooter, Electric Vehicle, Other); the form marks the type required in the browser too (TC-DEL-014)</t>
        </is>
      </c>
      <c r="O723" s="24" t="inlineStr">
        <is>
          <t>D-51</t>
        </is>
      </c>
      <c r="P723" s="24" t="inlineStr">
        <is>
          <t>2026-10-24 13:23</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 Production Not run
local: not covered: KYC files are images only by design (C5-3, docs/gokesari-audit/ITEMS_A_E_2026-10-07.md), so a real PDF is refused too; the KYC number is optional at application ('can be added later')</t>
        </is>
      </c>
      <c r="O724" s="24" t="inlineStr">
        <is>
          <t>D-47</t>
        </is>
      </c>
      <c r="P724" s="24" t="inlineStr">
        <is>
          <t>2026-10-24 13:23</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 Production Not run
local: not covered: both blank is allowed (bank details are optional at application, 'can be added later'); the stored values are encrypted and never displayed — the change request shows the last 4 characters</t>
        </is>
      </c>
      <c r="O725" s="24" t="inlineStr">
        <is>
          <t>D-47</t>
        </is>
      </c>
      <c r="P725" s="24" t="inlineStr">
        <is>
          <t>2026-10-24 13:23</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Pass</t>
        </is>
      </c>
      <c r="N726" s="24" t="inlineStr">
        <is>
          <t>Passed, partly covered. Local Pass (partial) · Staging Not run · Production Not run
local: not covered: '2 accepted' is shown by the 2-unit lines elsewhere (returns of 1 unit each are accepted in the checks around)</t>
        </is>
      </c>
      <c r="O726" s="24" t="inlineStr">
        <is>
          <t>D-48</t>
        </is>
      </c>
      <c r="P726" s="24" t="inlineStr">
        <is>
          <t>2026-10-24 12:39</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Not run · Production Not run
local: not covered: 'each option saved and shown after reload' is shown for one reason/condition (DAMAGED, next check); the others are not each submitted</t>
        </is>
      </c>
      <c r="O727" s="24" t="n"/>
      <c r="P727" s="24" t="inlineStr">
        <is>
          <t>2026-10-24 12:45</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Not run · Production Not run
local: not covered: a blank comment is the default of every other return here (accepted)</t>
        </is>
      </c>
      <c r="O728" s="24" t="n"/>
      <c r="P728" s="24" t="inlineStr">
        <is>
          <t>2026-10-24 12:46</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Local Pass · Staging Not run · Production Not run
local: empty file → 422 "The image file is empty."; PDF renamed .jpg → 422 "Upload a JPEG, PNG or WebP image."; SVG renamed .jpg → 422 "Upload a JPEG, PNG or WebP image."; over 2 MB → 422 "Images can be at most 2.0 MB."; no photo → 422; 7 photos → 422 "You can attach at most 6 photos."; form refused Damaged without a photo, then created RT-F5683145 'Under review' with one; shop told; photo access {"customer":200,"shop":200,"ops":200,"customer2":404,"guest":404} ‖ [phone] empty file → 422 "The image file is empty."; PDF renamed .jpg → 422 "Upload a JPEG, PNG or WebP image."; SVG renamed .jpg → 422 "Upload a JPEG, PNG or WebP image."; over 2 MB → 422 "Images can be at most 2.0 MB."; no photo → 422; 7 photos → 422 "You can attach at most 6 photos."; form refused Damaged without a photo, then created RT-5E42B90F 'Under review' with one; shop told; photo access {"customer":200,"shop":200,"ops":200,"customer2":404,"guest":404}</t>
        </is>
      </c>
      <c r="O729" s="24" t="n"/>
      <c r="P729" s="24" t="inlineStr">
        <is>
          <t>2026-10-24 12:45</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Pass</t>
        </is>
      </c>
      <c r="N730" s="24" t="inlineStr">
        <is>
          <t>Passed, partly covered. Local Pass (partial) · Staging Not run · Production Not run
local: not covered: the screen rounds amounts typed with 3 decimals before sending (return-case.tsx Math.round) — the API half refuses them</t>
        </is>
      </c>
      <c r="O730" s="24" t="n"/>
      <c r="P730" s="24" t="inlineStr">
        <is>
          <t>2026-10-24 12:40</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Not run · Production Not run
local: not covered: the refunds are sent through the API the forms use; the /admin/finance form (administrators) is only opened</t>
        </is>
      </c>
      <c r="O731" s="24" t="inlineStr">
        <is>
          <t>D-56</t>
        </is>
      </c>
      <c r="P731" s="24" t="inlineStr">
        <is>
          <t>2026-10-24 12:40</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Pass</t>
        </is>
      </c>
      <c r="N732" s="24" t="inlineStr">
        <is>
          <t>Passed, partly covered. Local Pass (partial) · Staging Not run · Production Not run
local: not covered: display as plain text is checked for the grievance list in the operator console only through its API</t>
        </is>
      </c>
      <c r="O732" s="24" t="n"/>
      <c r="P732" s="24" t="inlineStr">
        <is>
          <t>2026-10-24 12:40</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 Production Not run
local: not covered: the public form has no order-reference field (its description carries one); per-IP limit spread with a test address per request</t>
        </is>
      </c>
      <c r="O733" s="24" t="inlineStr">
        <is>
          <t>D-55</t>
        </is>
      </c>
      <c r="P733" s="24" t="inlineStr">
        <is>
          <t>2026-10-24 13:23</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Pass</t>
        </is>
      </c>
      <c r="N734" s="24" t="inlineStr">
        <is>
          <t>Local Pass · Staging Not run · Production Not run
local: script comment shown as text; blank comment accepted ‖ 0 stars 422, 6 stars 422, 2.5 stars 422, 1000-character comment 422; 4★ "Fresh stock, quick packing mvmdxgy2" saved; count 0 → 1, average 4; public without identity; twice → 409</t>
        </is>
      </c>
      <c r="O734" s="24" t="n"/>
      <c r="P734" s="24" t="inlineStr">
        <is>
          <t>2026-10-24 12:46</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Not run · Production Not run
local: /shops/[slug]/contact has no message field to test — it lists the shop's phone / WhatsApp (or GoKesari customer care); written contact goes through the help desk (/support)</t>
        </is>
      </c>
      <c r="O735" s="24" t="n"/>
      <c r="P735" s="24" t="inlineStr">
        <is>
          <t>2026-10-24 12:41</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Not run · Production Not run
local: not covered: a PIN starting with 0 is accepted (known defect D-04, not asserted); duplicates are TC-SOC-002</t>
        </is>
      </c>
      <c r="O736" s="24" t="n"/>
      <c r="P736" s="24" t="inlineStr">
        <is>
          <t>2026-10-24 12:49</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Not run · Production Not run
local: not covered: the security contact is a phone field: an email address is refused rather than accepted (src/components/society-actions.tsx 'Security desk phone')</t>
        </is>
      </c>
      <c r="O737" s="24" t="inlineStr">
        <is>
          <t>D-26</t>
        </is>
      </c>
      <c r="P737" s="24" t="inlineStr">
        <is>
          <t>2026-10-24 12:49</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 Production Not run
local: UI: blank and 9 digits → Add rider disabled; refused: 987654321→422, 5876543210→422, abcdefghij→422, 16470888027→422, 64708ab88027→422; "+91 6470888027" accepted (+91 stripped); a number of no approved rider → 404; the same rider again → still one row</t>
        </is>
      </c>
      <c r="O738" s="24" t="inlineStr">
        <is>
          <t>D-27</t>
        </is>
      </c>
      <c r="P738" s="24" t="inlineStr">
        <is>
          <t>2026-10-24 12:37</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Not run · Production Not run
local: not covered: the page itself only steps in 0.5 L (−0.5 stops at 0.5, no free text), so the off-step and out-of-range values reach the server only through the API</t>
        </is>
      </c>
      <c r="O739" s="24" t="inlineStr">
        <is>
          <t>D-38</t>
        </is>
      </c>
      <c r="P739" s="24" t="inlineStr">
        <is>
          <t>2026-10-24 12:30</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Not run · Production Not run
local: not covered: the page's date box has min = today, but the page sends whatever date is typed; the API answer is the one checked here</t>
        </is>
      </c>
      <c r="O740" s="24" t="inlineStr">
        <is>
          <t>D-35</t>
        </is>
      </c>
      <c r="P740" s="24" t="inlineStr">
        <is>
          <t>2026-10-24 12:30</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Not run · Production Not run
local: not covered: 'skip a date already processed' is TC-SUB-009 in the local tier; the calendar page's day panel sends the same API calls</t>
        </is>
      </c>
      <c r="O741" s="24" t="inlineStr">
        <is>
          <t>D-37</t>
        </is>
      </c>
      <c r="P741" s="24" t="inlineStr">
        <is>
          <t>2026-10-24 12:29</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 Production Not run
local: not covered: the editor is one JSON box per rule group, so the page's message is the API's per-field message; the field-level checks run through the API</t>
        </is>
      </c>
      <c r="O742" s="24" t="n"/>
      <c r="P742" s="24" t="inlineStr">
        <is>
          <t>2026-10-24 13:18</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Not run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2026-10-24 13:22</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 Production Not run
local: blank → 422; −₹1 → 422; text → 422; 10.555 → 422; ₹10,00,00,000 → 422; ₹70.50 → 201; ₹0 (free) → 201; restored to ₹0</t>
        </is>
      </c>
      <c r="O744" s="24" t="inlineStr">
        <is>
          <t>D-98</t>
        </is>
      </c>
      <c r="P744" s="24" t="inlineStr">
        <is>
          <t>2026-10-24 13:19</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 Production Not run
local: not covered: API only (the operator's form posts the same fields)</t>
        </is>
      </c>
      <c r="O745" s="24" t="inlineStr">
        <is>
          <t>D-98</t>
        </is>
      </c>
      <c r="P745" s="24" t="inlineStr">
        <is>
          <t>2026-10-24 13:19</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 Production Not run
local: not covered: a minimum top-up of 0 means 'no minimum' (src/app/api/vouchers/route.ts allows min 0) and is not counted as a refusal case</t>
        </is>
      </c>
      <c r="O746" s="24" t="inlineStr">
        <is>
          <t>D-83</t>
        </is>
      </c>
      <c r="P746" s="24" t="inlineStr">
        <is>
          <t>2026-10-24 13:20</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 Production Not run
local: equal times, negative, text and 25:00 → 422; overnight and overlapping → 201; a ₹0 base fee is accepted (a free base is a valid rate)</t>
        </is>
      </c>
      <c r="O747" s="24" t="n"/>
      <c r="P747" s="24" t="inlineStr">
        <is>
          <t>2026-10-24 13:21</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 Production Not run
local: API: 0, blank, text, 1055.5 paise, 10^10 paise and a missing / short reason → 422; form: ₹70.50 → 7050, −₹25 → −2500, no reason keeps the button off, 10.555 refused</t>
        </is>
      </c>
      <c r="O748" s="24" t="inlineStr">
        <is>
          <t>D-98</t>
        </is>
      </c>
      <c r="P748" s="24" t="inlineStr">
        <is>
          <t>2026-10-24 13:23</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 Production Not run
local: rider held ₹500: blank / 0 / negative / text / 10.555 / ₹10 crore / held + 1 paisa → refused; blank reference → 422; ₹70.50 through the form → 7050 paise; above-held keeps the button off</t>
        </is>
      </c>
      <c r="O749" s="24" t="inlineStr">
        <is>
          <t>D-98</t>
        </is>
      </c>
      <c r="P749" s="24" t="inlineStr">
        <is>
          <t>2026-10-24 13:22</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 Production Not run
local: not covered: the page has no date field (it prepares last week only), so 'the API gives the same answer as the page' is the API alone</t>
        </is>
      </c>
      <c r="O750" s="24" t="inlineStr">
        <is>
          <t>D-98</t>
        </is>
      </c>
      <c r="P750" s="24" t="inlineStr">
        <is>
          <t>2026-10-24 13:23</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 Production Not run
local: blank reason 422, spaces only 422, 1 character 422, 501 characters 422, blank expected action 422, 301-char expected action 422; limits: reason 3–500, expected action 3–300; script/Hindi stored trimmed and shown as text on the owner's /shop</t>
        </is>
      </c>
      <c r="O751" s="24" t="n"/>
      <c r="P751" s="24" t="inlineStr">
        <is>
          <t>2026-10-24 13:20</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Pass</t>
        </is>
      </c>
      <c r="N752" s="24" t="inlineStr">
        <is>
          <t>Passed, partly covered. Local Pass (partial) · Staging Not run · Production Not run
local: not covered: expected result superseded by src/server/services/users.ts (updateUserProfileByAdmin): email and the login mobile are not editable on the admin screen, and 'Contact phone' is a free-text contact column, so another account's number is not refused there</t>
        </is>
      </c>
      <c r="O752" s="24" t="n"/>
      <c r="P752" s="24" t="inlineStr">
        <is>
          <t>2026-10-24 12:32</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 Production Not run
local: not covered: an approved shop is suspended (with the suspension policy and notices), never 'rejected'; approveShop refuses a non-pending shop, rejectShop has no such check</t>
        </is>
      </c>
      <c r="O753" s="24" t="inlineStr">
        <is>
          <t>D-62, D-84</t>
        </is>
      </c>
      <c r="P753" s="24" t="inlineStr">
        <is>
          <t>2026-10-24 13:20</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Not run · Production Not run
local: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2026-10-24 12:47</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Pass</t>
        </is>
      </c>
      <c r="N755" s="24" t="inlineStr">
        <is>
          <t>Passed, partly covered. Local Pass (partial) · Staging Not run · Production Not run
local: not covered: campaigns have no schedule (they are sent by the owner once approved), so 'schedule in the past' has no field to test</t>
        </is>
      </c>
      <c r="O755" s="24" t="n"/>
      <c r="P755" s="24" t="inlineStr">
        <is>
          <t>2026-10-24 12:47</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Not run · Production Not run
local: not covered: 'takes effect where it should' (marketing audiences, email delivery) is TC-MKT-006 and the notification specs</t>
        </is>
      </c>
      <c r="O756" s="24" t="n"/>
      <c r="P756" s="24" t="inlineStr">
        <is>
          <t>2026-10-24 12:47</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Not run · Production Not run
local: not covered: one long form (address); the admin forms' messages are checked by TC-ADM-008 and TC-FLD-120</t>
        </is>
      </c>
      <c r="O757" s="24" t="inlineStr">
        <is>
          <t>D-82</t>
        </is>
      </c>
      <c r="P757" s="24" t="inlineStr">
        <is>
          <t>2026-10-24 13:37</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Not run · Production Not run
local: not covered: sign-in, location, wallet and address forms; the OTP field's keypad is read on the profile email-change form only when it is open</t>
        </is>
      </c>
      <c r="O758" s="24" t="n"/>
      <c r="P758" s="24" t="inlineStr">
        <is>
          <t>2026-10-24 13:37</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Not run · Production Not run
local: not covered: unknown fields: ignored by most forms; PATCH /api/shops/[id] refuses them (422) by its deliberate .strict() schema (src/app/api/shops/[id]/route.ts); the double-click half is the next check</t>
        </is>
      </c>
      <c r="O759" s="24" t="n"/>
      <c r="P759" s="24" t="inlineStr">
        <is>
          <t>2026-10-24 13:29</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Not run · Production Not run
local: not covered: the wallet amount (a number field); the payment is stopped before the gateway; price and stock fields of the shop screens are not repeated here</t>
        </is>
      </c>
      <c r="O760" s="24" t="n"/>
      <c r="P760" s="24" t="inlineStr">
        <is>
          <t>2026-10-24 13:29</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Not run · Production Not run
local: address emoji 201 as typed; address word 201 as typed; address sql 201 as typed; address lines 201 as typed; ticket 201 ‖ [phone] address emoji 201 as typed; address word 201 as typed; address sql 201 as typed; address lines 201 as typed; ticket 201</t>
        </is>
      </c>
      <c r="O761" s="24" t="n"/>
      <c r="P761" s="24" t="inlineStr">
        <is>
          <t>2026-10-24 13:37</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 Production Not run
local: not covered: 'a coupon for another shop' does not exist: coupons are order-level and platform-wide (src/server/services/coupons.ts, marketplace-features-2026-10 F7)</t>
        </is>
      </c>
      <c r="O762" s="24" t="n"/>
      <c r="P762" s="24" t="inlineStr">
        <is>
          <t>2026-10-24 13:25</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 Production Not run
local: not covered: the rider sees the slot once dispatch starts (dispatchLeadMinutes before it), which a same-day run cannot reach for a slot tomorrow ‖ not covered: a full slot is TC-CART-021</t>
        </is>
      </c>
      <c r="O763" s="24" t="n"/>
      <c r="P763" s="24" t="inlineStr">
        <is>
          <t>2026-10-24 13:37</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 Production Not run
local: blank → setup continues (qa-auth-blank-code-mvmdqm6h-eff924); unknown → 'This referral code is not valid.' on the field, then continues without it; the field stops at 40 characters; "  gkrnf4vy  " accepted; "xxxxxxxxxx…" → 422; "!@#$%^&amp;*()…" → 422</t>
        </is>
      </c>
      <c r="O764" s="24" t="n"/>
      <c r="P764" s="24" t="inlineStr">
        <is>
          <t>2026-10-24 12:33</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 Production Not run
local: DB-20261024-6U3KC2: 2 × ₹45 = ₹90 + fee ₹0 = ₹90; one debit; stock 100 → 98 (movement −2, order-linked)</t>
        </is>
      </c>
      <c r="O765" s="24" t="n"/>
      <c r="P765" s="24" t="inlineStr">
        <is>
          <t>2026-10-24 13:19</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 Production Not run
local: not covered: uses a loose product sold in 250 g steps; a loose product listed per 1 kg (the seeded paneer, unit size 1000) can be bought in whole kg only — see TC-SPI-025</t>
        </is>
      </c>
      <c r="O766" s="24" t="n"/>
      <c r="P766" s="24" t="inlineStr">
        <is>
          <t>2026-10-24 13:19</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 Production Not run
local: not covered: bought as 99 + 1: one cart line takes at most 99 units (POST /api/cart quantity ≤ 99); a listing added by category is replaced by a fresh one at stock 100</t>
        </is>
      </c>
      <c r="O767" s="24" t="n"/>
      <c r="P767" s="24" t="inlineStr">
        <is>
          <t>2026-10-24 13:20</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 Production Not run
local: DB-20261024-8K3F75: lines ₹251 + ₹239 + 1.5 kg ₹72.75 = ₹562.75; total ₹562.75 on cart, order, e-mail and the debit</t>
        </is>
      </c>
      <c r="O768" s="24" t="inlineStr">
        <is>
          <t>D-93</t>
        </is>
      </c>
      <c r="P768" s="24" t="inlineStr">
        <is>
          <t>2026-10-24 13:20</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 Production Not run
local: the order line records the MRP in force at payment | expect(received).not.toEqual(expected) // deep equality | Expected: not []</t>
        </is>
      </c>
      <c r="O769" s="24" t="inlineStr">
        <is>
          <t>D-91</t>
        </is>
      </c>
      <c r="P769" s="24" t="inlineStr">
        <is>
          <t>2026-10-24 13:20</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Not run · Production Not run
local: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2026-10-24 12:36</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 Production Not run
local: DB-20261024-C762SR (B2B) delivered: shop B 40 → 30 (sale movement); shop A's stock does not rise automatically (A has no listing of it) — the owner records the stock-in by hand (TC-SPI-016)</t>
        </is>
      </c>
      <c r="O771" s="24" t="n"/>
      <c r="P771" s="24" t="inlineStr">
        <is>
          <t>2026-10-24 13:20</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Not run · Production Not run
local: shop order card lacks: MRP at sale — card reads "confirmed DB-20261024-FPWJMV Payment: Wallet ₹116 Get help with this order QA Butter 100 g mvmdd451 · 2 piece@ ₹58 / piece ₹116 Accept order Reject" | expect(received).toEqual(expected) // deep equality | - Expected  - 1 | + Received  + 3 ‖ [phone] shop order card lacks: MRP at sale — card reads "confirmed DB-20261024-3FQ5HN Payment: Wallet ₹116 Get help with this order QA Butter 100 g mvmdd451 · 2 piece@ ₹58 / piece ₹116 Accept order Reject" | expect(received).toEqual(expected) // deep equality | - Expected  - 1 | + Received  + 3</t>
        </is>
      </c>
      <c r="O772" s="24" t="inlineStr">
        <is>
          <t>D-92</t>
        </is>
      </c>
      <c r="P772" s="24" t="inlineStr">
        <is>
          <t>2026-10-24 12:36</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 Production Not run
local: "Goods delivered" ₹40 → ₹130 (+₹90; the cancelled ₹50 adds nothing)</t>
        </is>
      </c>
      <c r="O773" s="24" t="n"/>
      <c r="P773" s="24" t="inlineStr">
        <is>
          <t>2026-10-24 13:20</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 Production Not run
local: DB-20261024-ZJSHT6: P 10, Q 9; movements P -1, P 1, Q -1</t>
        </is>
      </c>
      <c r="O774" s="24" t="inlineStr">
        <is>
          <t>D-88</t>
        </is>
      </c>
      <c r="P774" s="24" t="inlineStr">
        <is>
          <t>2026-10-24 13:20</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 Production Not run
local: DB-20261024-7ETJNH: removed line refunded ₹20 at once; delivered goods ₹30; removed product's stock 9 (not put back)</t>
        </is>
      </c>
      <c r="O775" s="24" t="n"/>
      <c r="P775" s="24" t="inlineStr">
        <is>
          <t>2026-10-24 13:21</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 Production Not run
local: owner's save of 1 → 200; available 1, reserved 3, on hand 4; buying 3 → 409</t>
        </is>
      </c>
      <c r="O776" s="24" t="n"/>
      <c r="P776" s="24" t="inlineStr">
        <is>
          <t>2026-10-24 13:20</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 Production Not run
local: sales invoice S2627-00001: 12 → 8 ("sale S2627-00001 (books)"), storefront 8; the in-shop sale screen is /shop/accounts/sales</t>
        </is>
      </c>
      <c r="O777" s="24" t="n"/>
      <c r="P777" s="24" t="inlineStr">
        <is>
          <t>2026-10-24 13:42</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 Production Not run
local: DB-20261024-6QC529: goods ₹45 and payable ₹43.65 unchanged after a price cut and an MRP change; settlement net ₹86.4 unchanged</t>
        </is>
      </c>
      <c r="O778" s="24" t="n"/>
      <c r="P778" s="24" t="inlineStr">
        <is>
          <t>2026-10-24 13:23</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Not run · Production Not run
local: 91 rows: unit, available, reserved, on hand (= available + reserved on every row), low-stock threshold, price / "Needs a price" ‖ [phone] 91 rows: unit, available, reserved, on hand (= available + reserved on every row), low-stock threshold, price / "Needs a price"</t>
        </is>
      </c>
      <c r="O779" s="24" t="n"/>
      <c r="P779" s="24" t="inlineStr">
        <is>
          <t>2026-10-24 12:36</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 Production Not run
local: not covered: the reason the owner types is kept on the purchase bill (note) and the ledger names the purchase; the movement's own reason reads 'purchase … (books)'</t>
        </is>
      </c>
      <c r="O780" s="24" t="n"/>
      <c r="P780" s="24" t="inlineStr">
        <is>
          <t>2026-10-24 13:20</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 Production Not run
local: 50 → 45 (movement "write off damage (books)"); −60 → 422 "Only 45 in stock."</t>
        </is>
      </c>
      <c r="O781" s="24" t="n"/>
      <c r="P781" s="24" t="inlineStr">
        <is>
          <t>2026-10-24 13:20</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 Production Not run
local: DB-20261024-M5TTAB: 100/0/100 → 98/2/100 (confirmed, ready) → 98/0/98 delivered; never negative</t>
        </is>
      </c>
      <c r="O782" s="24" t="n"/>
      <c r="P782" s="24" t="inlineStr">
        <is>
          <t>2026-10-24 13:20</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 Production Not run
local: cancel 2 → 100; reject 3 → 100; failed → returned (stock 99) → shop cancels (REFUNDED) → 100</t>
        </is>
      </c>
      <c r="O783" s="24" t="n"/>
      <c r="P783" s="24" t="inlineStr">
        <is>
          <t>2026-10-24 13:20</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 Production Not run
local: UNOPENED: stock 8 → 9, 1 movement; DAMAGED: stock 7 → 7, 1 movement</t>
        </is>
      </c>
      <c r="O784" s="24" t="inlineStr">
        <is>
          <t>D-87</t>
        </is>
      </c>
      <c r="P784" s="24" t="inlineStr">
        <is>
          <t>2026-10-24 13:21</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 Production Not run
local: not covered: the listing is a fresh one with opening stock 100 (the category add's opening is the same OPENING ledger entry)</t>
        </is>
      </c>
      <c r="O785" s="24" t="n"/>
      <c r="P785" s="24" t="inlineStr">
        <is>
          <t>2026-10-24 13:21</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 Production Not run
local: stale save after DB-20261024-AO9101: stock 6</t>
        </is>
      </c>
      <c r="O786" s="24" t="inlineStr">
        <is>
          <t>D-89</t>
        </is>
      </c>
      <c r="P786" s="24" t="inlineStr">
        <is>
          <t>2026-10-24 13:21</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 Production Not run
local: not covered: the comparison page leaves an out-of-stock listing out entirely (src/server/services/price-comparison.ts)</t>
        </is>
      </c>
      <c r="O787" s="24" t="inlineStr">
        <is>
          <t>D-94</t>
        </is>
      </c>
      <c r="P787" s="24" t="inlineStr">
        <is>
          <t>2026-10-24 13:20</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 Production Not run
local: not covered: uses the bulk product upload (its Quantity column is the stock); the Excel price upload's template has no stock column</t>
        </is>
      </c>
      <c r="O788" s="24" t="n"/>
      <c r="P788" s="24" t="inlineStr">
        <is>
          <t>2026-10-24 13:21</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t>
        </is>
      </c>
      <c r="O789" s="24" t="inlineStr">
        <is>
          <t>D-95</t>
        </is>
      </c>
      <c r="P789" s="24" t="inlineStr">
        <is>
          <t>2026-10-24 13:21</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 Production Not run
local: /shop/inventory (50 listings) has no: category, lowStock, outOfStock, sort | expect(received).toEqual(expected) // deep equality | - Expected  - 1 | + Received  + 6</t>
        </is>
      </c>
      <c r="O790" s="24" t="inlineStr">
        <is>
          <t>D-96</t>
        </is>
      </c>
      <c r="P790" s="24" t="inlineStr">
        <is>
          <t>2026-10-24 13:21</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791" s="24" t="inlineStr">
        <is>
          <t>D-90</t>
        </is>
      </c>
      <c r="P791" s="24" t="inlineStr">
        <is>
          <t>2026-10-24 16:09</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 Production Not run
local: not covered: the dashboard counts open out-of-stock / low-stock alerts; it does not list listings with inconsistent figures (the books' drift check is per shop: /api/shops/{id}/accounts/stock/drift)</t>
        </is>
      </c>
      <c r="O792" s="24" t="n"/>
      <c r="P792" s="24" t="inlineStr">
        <is>
          <t>2026-10-24 13:21</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835 IDs, all declared in 76 spec files
staging: 863 IDs, all declared in 78 spec files
production: 863 IDs, all declared in 78 spec files</t>
        </is>
      </c>
      <c r="O793" s="24" t="n"/>
      <c r="P793" s="24" t="inlineStr">
        <is>
          <t>2026-10-24 16:10</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2026-10-24 16:10</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25 rows, all complete (22 case IDs)
staging: 65 rows, all complete (50 case IDs)
production: 28 rows, all complete (25 case IDs)</t>
        </is>
      </c>
      <c r="O795" s="24" t="n"/>
      <c r="P795" s="24" t="inlineStr">
        <is>
          <t>2026-10-24 16:10</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798 cases and 37 scenarios, each once, with Local / Staging / Production / Overall
staging: 826 cases and 37 scenarios, each once, with Local / Staging / Production / Overall
production: 826 cases and 37 scenarios, each once, with Local / Staging / Production / Overall</t>
        </is>
      </c>
      <c r="O796" s="24" t="n"/>
      <c r="P796" s="24" t="inlineStr">
        <is>
          <t>2026-10-24 16:10</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2026-10-24 16:10</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2026-10-24 16:10</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mvmdce6i: 12 accounts, 4 shops, 9 listings, a verified society
staging: not run on staging: needs the server's database (local run only)
production: not run on production: needs the server's database</t>
        </is>
      </c>
      <c r="O799" s="24" t="n"/>
      <c r="P799" s="24" t="inlineStr">
        <is>
          <t>2026-10-24 16:10</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t>
        </is>
      </c>
      <c r="O800" s="24" t="n"/>
      <c r="P800" s="24" t="inlineStr">
        <is>
          <t>2026-10-24 16:16</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2026-10-24 16:09</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mvmdf8va Weekly dairy" created from the form → /lists/88f4096c…, empty ("Browse shops"), SHOPPING/WEEKLY/remind on, next due +7 d, card under Shopping lists ‖ [phone] "QA PL mvmdg7rk m Weekly dairy" created from the form → /lists/c21b0c8f…, empty ("Browse shops"), SHOPPING/WEEKLY/remind on, next due +7 d, card under Shopping lists
staging: "QA PL mvmja44a Weekly dairy" created from the form → /lists/9dbe5b2c…, empty ("Browse shops"), SHOPPING/WEEKLY/remind on, next due +7 d, card under Shopping lists ‖ [phone] "QA PL mvmjyu92 m Weekly dairy" created from the form → /lists/bb9ade15…, empty ("Browse shops"), SHOPPING/WEEKLY/remind on, next due +7 d, card under Shopping lists</t>
        </is>
      </c>
      <c r="O802" s="24" t="n"/>
      <c r="P802" s="24" t="inlineStr">
        <is>
          <t>2026-10-24 15:27</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mvmdf8va BP medicines" MEDICINE/MONTHLY/reminder off; empty list links "Find a pharmacy" → /shops?type=PHARMACY; card under Medicine lists
staging: "QA PL mvmja44a BP medicines" MEDICINE/MONTHLY/reminder off; empty list links "Find a pharmacy" → /shops?type=PHARMACY; card under Medicine lists</t>
        </is>
      </c>
      <c r="O803" s="24" t="n"/>
      <c r="P803" s="24" t="inlineStr">
        <is>
          <t>2026-10-24 15:09</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MVMDF8VA  MONTHLY  GROCERIES" (form) and "qa pl mvmdf8va monthly groceries" (API, 409) refused: "HTTP 409: You already have a list called "qa pl mvmdf8va monthly groceries"."; one list keeps the name
staging: "QA  PL  MVMJA44A  MONTHLY  GROCERIES" (form) and "qa pl mvmja44a monthly groceries" (API, 409) refused: "HTTP 409: You already have a list called "qa pl mvmja44a monthly groceries"."; one list keeps the name</t>
        </is>
      </c>
      <c r="O804" s="24" t="n"/>
      <c r="P804" s="24" t="inlineStr">
        <is>
          <t>2026-10-24 15:09</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not covered: only an active listing of an approved shop can be added: the refusal for hidden products is TC-LIST-009
staging: not covered: the guest half only: the signed-in picker is checked in tests/qa/signed-in/purchase-lists.spec.ts ‖ not covered: only an active listing of an approved shop can be added: the refusal for hidden products is TC-LIST-009
production: not covered: the guest half only: the signed-in picker is checked in tests/qa/signed-in/purchase-lists.spec.ts</t>
        </is>
      </c>
      <c r="O805" s="24" t="n"/>
      <c r="P805" s="24" t="inlineStr">
        <is>
          <t>2026-10-24 16:17</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Pass</t>
        </is>
      </c>
      <c r="N806" s="24" t="inlineStr">
        <is>
          <t>Local Pass · Staging Pass · Production Not run
local: "QA PL mvmdf8va Made in picker" created in the sheet as a medicines list with QA Bread mvmbtwo5 ×1
staging: "QA PL mvmja44a Made in picker" created in the sheet as a medicines list with Burger Bun ×1</t>
        </is>
      </c>
      <c r="O806" s="24" t="n"/>
      <c r="P806" s="24" t="inlineStr">
        <is>
          <t>2026-10-24 15:10</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Pass</t>
        </is>
      </c>
      <c r="N807" s="24" t="inlineStr">
        <is>
          <t>Local Pass · Staging Pass · Production Not run
local: picker → 200 "Already on …"; API add ×7 → 200 alreadyOnList; still one line ×3 with its note
staging: picker → 200 "Already on …"; API add ×7 → 200 alreadyOnList; still one line ×3 with its note</t>
        </is>
      </c>
      <c r="O807" s="24" t="n"/>
      <c r="P807" s="24" t="inlineStr">
        <is>
          <t>2026-10-24 15:11</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2026-10-24 15:11</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Pass</t>
        </is>
      </c>
      <c r="N809" s="24" t="inlineStr">
        <is>
          <t>Local Pass · Staging Pass · Production Not run
local: QA Bread mvmbtwo5 1→2 (+), typed 5; QA Butter 100 g mvmbtwo5 1→0 "Skipped this time", kept; "1 of 2" to order; estimate ₹200; kept after reload; card "2 products · 1 skipped" ‖ [phone] QA Bread mvmbtwo5 1→2 (+), typed 5; QA Butter 100 g mvmbtwo5 1→0 "Skipped this time", kept; "1 of 2" to order; estimate ₹200; kept after reload; card "2 products · 1 skipped"
staging: Burger Bun 1→2 (+), typed 5; Bread 1→0 "Skipped this time", kept; "1 of 2" to order; estimate ₹150; kept after reload; card "2 products · 1 skipped" ‖ [phone] Burger Bun 1→2 (+), typed 5; Bread 1→0 "Skipped this time", kept; "1 of 2" to order; estimate ₹150; kept after reload; card "2 products · 1 skipped"</t>
        </is>
      </c>
      <c r="O809" s="24" t="n"/>
      <c r="P809" s="24" t="inlineStr">
        <is>
          <t>2026-10-24 15:30</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Pass</t>
        </is>
      </c>
      <c r="N810" s="24" t="inlineStr">
        <is>
          <t>Local Pass · Staging Pass · Production Not run
local: note saved on leaving the field and kept after reload; quantity 100 → 422, quantity -1 → 422, quantity 1.5 → 422, a 121-character note → 422; 99 and 120 characters accepted
staging: note saved on leaving the field and kept after reload; quantity 100 → 422, quantity -1 → 422, quantity 1.5 → 422, a 121-character note → 422; 99 and 120 characters accepted</t>
        </is>
      </c>
      <c r="O810" s="24" t="n"/>
      <c r="P810" s="24" t="inlineStr">
        <is>
          <t>2026-10-24 15:12</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Pass</t>
        </is>
      </c>
      <c r="N811" s="24" t="inlineStr">
        <is>
          <t>Local Pass · Staging Pass · Production Not run
local: QA Butter 100 g mvmbtwo5 removed (204), gone after reload, QA Bread mvmbtwo5 kept; second remove → 404
staging: Bread removed (204), gone after reload, Burger Bun kept; second remove → 404</t>
        </is>
      </c>
      <c r="O811" s="24" t="n"/>
      <c r="P811" s="24" t="inlineStr">
        <is>
          <t>2026-10-24 15:13</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Pass</t>
        </is>
      </c>
      <c r="N812" s="24" t="inlineStr">
        <is>
          <t>Passed, partly covered. Local Pass (partial) · Staging Pass (partial) · Production Not run
local: not covered: equality with the cart's own total after confirming is proven in TC-LIST-016; live shop offers apply only when the offers rule is on
staging: not covered: equality with the cart's own total after confirming is proven in TC-LIST-016; live shop offers apply only when the offers rule is on</t>
        </is>
      </c>
      <c r="O812" s="24" t="n"/>
      <c r="P812" s="24" t="inlineStr">
        <is>
          <t>2026-10-24 15:30</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Pass</t>
        </is>
      </c>
      <c r="N813" s="24" t="inlineStr">
        <is>
          <t>Passed, partly covered. Local Pass (partial) · Staging Pass (partial) · Production Not run
local: not covered: 'No longer sold' (a product the shop removed) and 'shop not accepting orders' need seller data changed: integration tests
staging: not covered: 'No longer sold' (a product the shop removed) and 'shop not accepting orders' need seller data changed: integration tests</t>
        </is>
      </c>
      <c r="O813" s="24" t="n"/>
      <c r="P813" s="24" t="inlineStr">
        <is>
          <t>2026-10-24 15:14</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Pass</t>
        </is>
      </c>
      <c r="N814" s="24" t="inlineStr">
        <is>
          <t>Local Pass · Staging Pass · Production Not run
local: cart with QA Butter 100 g mvmbtwo5 ×1: "Your cart already has 1 item", ADD default with "Total for this list" + note; REPLACE → "Total to pay"; cart unchanged
staging: cart with Bread ×1: "Your cart already has 1 item", ADD default with "Total for this list" + note; REPLACE → "Total to pay"; cart unchanged</t>
        </is>
      </c>
      <c r="O814" s="24" t="n"/>
      <c r="P814" s="24" t="inlineStr">
        <is>
          <t>2026-10-24 15:15</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Pass</t>
        </is>
      </c>
      <c r="N815" s="24" t="inlineStr">
        <is>
          <t>Local Pass · Staging Pass · Production Not run
local: confirmed → /cart with QA Bread mvmbtwo5 ×2 (QA Butter 100 g mvmbtwo5 skipped, not added); cart total ₹80 = checked total; list last ordered now, next due +7 d; no new order ‖ [phone] confirmed → /cart with QA Bread mvmbtwo5 ×2 (QA Butter 100 g mvmbtwo5 skipped, not added); cart total ₹80 = checked total; list last ordered now, next due +7 d; no new order
staging: confirmed → /cart with Burger Bun ×2 (Bread skipped, not added); cart total ₹80 = checked total; list last ordered now, next due +7 d; no new order ‖ [phone] confirmed → /cart with Burger Bun ×2 (Bread skipped, not added); cart total ₹80 = checked total; list last ordered now, next due +7 d; no new order</t>
        </is>
      </c>
      <c r="O815" s="24" t="n"/>
      <c r="P815" s="24" t="inlineStr">
        <is>
          <t>2026-10-24 15:32</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Pass</t>
        </is>
      </c>
      <c r="N816" s="24" t="inlineStr">
        <is>
          <t>Passed, partly covered. Local Pass (partial) · Staging Pass (partial) · Production Not run
local: not covered: the 99-per-line cap on ADD is TC-LIST-020
staging: not covered: the 99-per-line cap on ADD is TC-LIST-020</t>
        </is>
      </c>
      <c r="O816" s="24" t="n"/>
      <c r="P816" s="24" t="inlineStr">
        <is>
          <t>2026-10-24 15:18</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Pass</t>
        </is>
      </c>
      <c r="N817" s="24" t="inlineStr">
        <is>
          <t>Local Pass · Staging Pass · Production Not run
local: cart QA Butter 100 g mvmbtwo5 ×1 → REPLACE with QA Bread mvmbtwo5 ×2: the cart holds only QA Bread mvmbtwo5 ×2
staging: cart Bread ×1 → REPLACE with Burger Bun ×2: the cart holds only Burger Bun ×2</t>
        </is>
      </c>
      <c r="O817" s="24" t="n"/>
      <c r="P817" s="24" t="inlineStr">
        <is>
          <t>2026-10-24 15:19</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Pass</t>
        </is>
      </c>
      <c r="N818" s="24" t="inlineStr">
        <is>
          <t>Local Pass · Staging Pass · Production Not run
local: Check list disabled with "Set a quantity above 0…"; all-skipped ADD → 422, all-skipped REPLACE → 422, empty REPLACE → 422 ("Nothing to order…"); cart still QA Butter 100 g mvmbtwo5 ×1
staging: Check list disabled with "Set a quantity above 0…"; all-skipped ADD → 422, all-skipped REPLACE → 422, empty REPLACE → 422 ("Nothing to order…"); cart still Bread ×1</t>
        </is>
      </c>
      <c r="O818" s="24" t="n"/>
      <c r="P818" s="24" t="inlineStr">
        <is>
          <t>2026-10-24 15:20</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Pass</t>
        </is>
      </c>
      <c r="N819" s="24" t="inlineStr">
        <is>
          <t>Local Pass · Staging Pass · Production Not run
local: cart QA Cow Milk 1 L mvmbtwo5 ×99, list ×1 → "Nothing could be added", "Your cart was not changed", left out "QA Cow Milk 1 L mvmbtwo5 — Your cart already has 99…"; cart still ×99; list not marked ordered ‖ QA Curd 400 g mvmbtwo5 ×3 (stock 2) only: Confirm disabled; API REPLACE → added [], left out "Only 2 left in stock."; cart still QA Bread mvmbtwo5 ×1
staging: cart Butter Khari ×99, list ×1 → "Nothing could be added", "Your cart was not changed", left out "Butter Khari — Your cart already has 99…"; cart still ×99; list not marked ordered ‖ Bread ×88 (stock 87) only: Confirm disabled; API REPLACE → added [], left out "Only 87 left in stock."; cart still Burger Bun ×1</t>
        </is>
      </c>
      <c r="O819" s="24" t="n"/>
      <c r="P819" s="24" t="inlineStr">
        <is>
          <t>2026-10-24 15:21</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Pass</t>
        </is>
      </c>
      <c r="N820" s="24" t="inlineStr">
        <is>
          <t>Local Pass · Staging Pass · Production Not run
local: /cart → "QA PL mvmdf8va From my cart" (SHOPPING, WEEKLY) with QA Bread mvmbtwo5 ×2, QA Butter 100 g mvmbtwo5 ×1; "Saved to …", Open the list; offered in "Save to" without reload; cart unchanged ‖ [phone] /cart → "QA PL mvmdg7rk m From my cart" (SHOPPING, WEEKLY) with QA Bread mvmbtwo5 ×2, QA Butter 100 g mvmbtwo5 ×1; "Saved to …", Open the list; offered in "Save to" without reload; cart unchanged
staging: /cart → "QA PL mvmk8nvw From my cart" (SHOPPING, WEEKLY) with Burger Bun ×2, Bread ×1; "Saved to …", Open the list; offered in "Save to" without reload; cart unchanged ‖ [phone] /cart → "QA PL mvmjyu92 m From my cart" (SHOPPING, WEEKLY) with Burger Bun ×2, Bread ×1; "Saved to …", Open the list; offered in "Save to" without reload; cart unchanged</t>
        </is>
      </c>
      <c r="O820" s="24" t="inlineStr">
        <is>
          <t>D-100</t>
        </is>
      </c>
      <c r="P820" s="24" t="inlineStr">
        <is>
          <t>2026-10-24 15:36</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Pass</t>
        </is>
      </c>
      <c r="N821" s="24" t="inlineStr">
        <is>
          <t>Local Pass · Staging Pass · Production Not run
local: "QA PL mvmdf8va Existing list" had QA Bread mvmbtwo5 ×5 and QA Cow Milk 1 L mvmbtwo5 ×3; cart QA Bread mvmbtwo5 ×2 + QA Butter 100 g mvmbtwo5 ×1 saved into it → QA Bread mvmbtwo5 ×2, QA Butter 100 g mvmbtwo5 ×1, QA Cow Milk 1 L mvmbtwo5 ×3 kept; an empty cart → 422 "Your cart is empty"
staging: "QA PL mvmk8nvw Existing list" had Burger Bun ×5 and Butter Cookies ×3; cart Burger Bun ×2 + Bread ×1 saved into it → Burger Bun ×2, Bread ×1, Butter Cookies ×3 kept; an empty cart → 422 "Your cart is empty"</t>
        </is>
      </c>
      <c r="O821" s="24" t="n"/>
      <c r="P821" s="24" t="inlineStr">
        <is>
          <t>2026-10-24 15:38</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mvmdf8va Edited meds", MEDICINE, WEEKLY, reminder off; next due +7 d; card moved to Medicine lists
staging: taken name refused ("You already have a list called…"); renamed to "QA PL mvmjud45 Edited meds", MEDICINE, WEEKLY, reminder off; next due +7 d; card moved to Medicine lists</t>
        </is>
      </c>
      <c r="O822" s="24" t="n"/>
      <c r="P822" s="24" t="inlineStr">
        <is>
          <t>2026-10-24 15:24</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Pass</t>
        </is>
      </c>
      <c r="N823" s="24" t="inlineStr">
        <is>
          <t>Local Pass · Staging Pass · Production Not run
local: "QA PL mvmdf8va To be deleted" (1 product): Delete list → "Delete this list?" → Yes → /lists without it; page 404, API 404
staging: "QA PL mvmjud45 To be deleted" (1 product): Delete list → "Delete this list?" → Yes → /lists without it; page 404, API 404</t>
        </is>
      </c>
      <c r="O823" s="24" t="n"/>
      <c r="P823" s="24" t="inlineStr">
        <is>
          <t>2026-10-24 15:25</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Pass</t>
        </is>
      </c>
      <c r="N824" s="24" t="inlineStr">
        <is>
          <t>Passed, partly covered. Local Pass (partial) · Staging Pass (partial) · Production Not run
local: not covered: 'Save as a list' into another customer's list: refused as 'cart empty' first when customer 2's cart is empty (no existence leak); 404 path is in the integration tests
staging: not covered: 'Save as a list' into another customer's list: refused as 'cart empty' first when customer 2's cart is empty (no existence leak); 404 path is in the integration tests</t>
        </is>
      </c>
      <c r="O824" s="24" t="n"/>
      <c r="P824" s="24" t="inlineStr">
        <is>
          <t>2026-10-24 15:26</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2026-10-24 15:33</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Pass</t>
        </is>
      </c>
      <c r="N826" s="24" t="inlineStr">
        <is>
          <t>Local Pass · Staging Pass · Production Not run
local: desktop 1280px: /lists, the list and its check fit; side Check list, no bar; sheet inside the screen, long name in full, 44px tap targets ‖ [phone] Pixel 7 412px: /lists, the list and its check fit; Check list bar above the items; sheet full width; sheet inside the screen, long name in full, 44px tap targets
staging: desktop 1280px: /lists, the list and its check fit; side Check list, no bar; sheet inside the screen, long name in full, 44px tap targets ‖ [phone] Pixel 7 412px: /lists, the list and its check fit; Check list bar above the items; sheet full width; sheet inside the screen, long name in full, 44px tap targets</t>
        </is>
      </c>
      <c r="O826" s="24" t="n"/>
      <c r="P826" s="24" t="inlineStr">
        <is>
          <t>2026-10-24 15:34</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2026-10-24 15:27</t>
        </is>
      </c>
    </row>
  </sheetData>
  <autoFilter ref="A1:P827"/>
  <conditionalFormatting sqref="M2:M827">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27"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12:29: Local Pass · Staging Not run · Production Not run. local: DB-20261024-XHOWBS: compare page → QA Shop A mvmdd451; window STANDARD_60; CONFIRMED → … → DELIVERED; customer notified 9× (order.confirmed, order.accepted, order.ready, order.rider_search, order.assigned, order.picked_up, order.out_for_delivery, rating.requested, order.delivered); rated 5/4; snapshot 0bp commission ₹0, earning ₹28.01]</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12:29: Local Pass · Staging Not run · Production Not run. local: DB-20261024-WLS3Z0 (A) delivered; DB-20261024-OPR64P (B) rejected → refunded ₹50, stock 10 again]</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12:29: Local Pass · Staging Not run · Production Not run. local: DB-20261024-3QBK1M: line 2 refunded ₹30 and the ₹8 difference at once; READY refused (409) until approval; delivered with goods ₹62]</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12:29: Local Pass · Staging Not run · Production Not run. local: DB-20261024-RUCTXB rejected: refunded ₹80, stock 5, notice "Your order DB-20261024-RUCTXB was cancelled: Rejected by shop: QA: our oven broke down"]</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12:29: Local Pass · Staging Not run · Production Not run. local: DB-20261024-1R6ZKZ: search stopped after 2 attempts (STOPPED); shop told delivery.unassigned → delivery.search_stopped; restarted, offered, delivered]</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12:30: Local Blocked · Staging Not run · Production Not run. local: no delivery offer reached the rider for order c379bbb1-f612-4578-a957-a47cacc20d71 within 45 s (rider offline or busy?)]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12:30: Local Pass (partial) · Staging Not run · Production Not run. local: not covered: marking the goods RETURNED alone neither refunds nor restocks: the shop (or operations) then cancels the order, which does both]</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12:31: Local Pass · Staging Not run · Production Not run. local: DB-20261024-2M40HG: offered to rider 2 only (rider 1 nearer, not listed); 'Delivery rider on the way' to society staff; rider saw "QA SC-08 Society mvmdlh2h Gate: Security calls the resident before letting you in QA SC-08: use gate 2, park by the club house mvmdlh2h"; delivered with the code; dashboard row createdAt, orderNumber, promisedByAt, riderName, riderVehicle, riderVehicleNumber, shopName, status, unitLabel — no PII]</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12:31: Local Pass · Staging Not run · Production Not run. local: 2026-10-25 CONFIRMED ₹140; 2026-10-26 CONFIRMED ₹210; 2026-10-30 CONFIRMED ₹140; second retry → 409]</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12:31: Local Pass (partial) · Staging Not run · Production Not run. local: not covered: TC-FIN-019's 'return-pickup fee in the payout' is shown as the fee in the rider's unpaid statement, which the weekly payout batches]</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12:30: Local Pass · Staging Not run · Production Not run. local: CONFIRMED customer ✓ ₹20; ACCEPTED customer ✗ (409) → shop ✓ ₹20; PREPARING customer ✗ (409) → shop ✓ ₹20; READY customer ✗ (409) → shop ✓ ₹20; ASSIGNED customer ✗ (409) → shop ✓ ₹20; PICKED_UP customer ✓ ₹20; OUT_FOR_DELIVERY customer ✓ ₹20]</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12:31: Local Pass · Staging Not run · Production Not run. local: "QA Journey Shop mvmdlh2h 2": KYC_PENDING → PAYMENT_PENDING → VERIFIED → ACTIVE; KESARI; radius 3 km, min ₹50; 71 products from the QA category, "QA Butter 100 g mvmdd451" ₹55 × 12 with a photo; found 1 km away, not 12 km away (order from there 422); first order DB-20261024-VWCMS4 DELIVERED]</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12:31: Local Pass · Staging Not run · Production Not run. local: same account → 409 "Shop Act licence number already registered (ending 4470). This shop is already registered "; another account → 409 "Shop Act licence number already registered (ending 4470). This shop is already registered " (no full licence, phone or owner name); rejected, corrected and resubmitted → same record 6f3c8062…, PENDING_APPROVAL, new address saved]</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13:24: Local Pass · Staging Not run · Production Not run. local: shop B batch: 3 orders, goods ₹600 − commission ₹60 + refunds ₹-45 + adjustments ₹0 = ₹495, paid UTRMVMFGCEDS14; rider 1 payout ₹174.99 + ₹0 (incl. COD −₹200) = ₹174.99, paid; statements on /shop/finance and /delivery-partner; reconciliation MATCHED]</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13:24: Local Pass · Staging Not run · Production Not run. local: DB-20261024-4MUAA1 ₹450 and DB-20261024-RM14EL ₹450 paid on delivery; rider's cash held +₹900; deposit above the cash held → 409; deposit of ₹450 recorded → held −₹450; the payout nets −₹450 for the cash still held (amount ₹-389.36)]</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Pass</t>
        </is>
      </c>
      <c r="H17" s="24" t="inlineStr">
        <is>
          <t>[Run 2026-10-24 12:32: Local Pass · Staging Not run · Production Not run. local: CONFIRMED DB-20261024-N6LGT5 cancelled + ₹60 refunded; PREPARING DB-20261024-7S7MMF held, then cancelled &amp; refunded by operations; OUT_FOR_DELIVERY DB-20261024-QSTAEF delivered; owner notified with the reason; cart refused (409) while suspended, accepted after reinstatement]</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13:24: Local Pass · Staging Not run · Production Not run. local: campaign 1 (sent to 2): consenting customer 1 message, the other none; opened 1 → converted 1, revenue ₹80; after withdrawal campaign 2 reached neither (sent to 1 others)]</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12:32: Local Pass · Staging Not run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12:32: Local Pass (partial) · Staging Not run · Production Not run. local: not covered: the top-up is started on the site (gateway order created) and settled in the local database — the local production build has no payment gateway to pay at (/api/dev/settle-topup is 404 in production builds)]</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12:33: Local Pass (partial) · Staging Not run · Production Not run. local: not covered: separation is checked on the personal order list (no shop orders) and the rider's live job; the owner's own shop APIs stay open in any active role, as the owner is the same person (src/server/authz/guards.ts requireShopAccess grants by ownership)]</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12:33: Local Pass · Staging Not run · Production Not run. local: closed: checkout without confirming → 409 "QA Journey Shop mvmdqhqb 3 is closed right now. Confirm you want to continue — your order may be processed once the shop opens."; confirmed DB-20261024-0NI53L placed; at once: customer "Order confirmed / Order placed — shop is closed now", shop "New order while your shop is closed"; opened → one more alert each (sweep run twice); accepted, delivered]</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13:24: Local Pass (partial) · Staging Not run · Production Not run. local: not covered: the price form is checked through the request it sends (PATCH /api/shops/{id}/prices); the shop-level MRP (NEW-010) is superseded — one master MRP for every shop (docs/three-modules-2026-10/PLAN.md §1.2 'MRP is master-only'; docs/product-import-2026-10/README.md decision 1)]</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12:34: Local Pass · Staging Not run · Production Not run. local: 83 products added once at 100; 'Needs a price (72)'; unpriced loose not buyable (409); priced ₹80/kg; counts → 37 and 12; DB-20261024-ZOIW3A: ₹100 at the shop's prices, delivered; stock 37 → 36 and loose −500 g; sale movement linked; 'Goods delivered' +₹100]</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13:24: Local Pass (partial) · Staging Not run · Production Not run. local: not covered: the loose master product is arranged in the catalogue database (the operator's create-product API has no LOOSE kind — loose master products come from the product master's promote step)]</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13:24: Local Fail · Staging Not run · Production Not run. local: DB-20261024-Z21QA0: the order line records no MRP — order_items has no MRP column (same defect as TC-SPI-005) | DB-20261024-32JE5Y: the order line records no MRP — order_items has no MRP column (same defect as TC-SPI-005) | expect(received).toEqual(expected) // deep equality | - Expected  - 1]</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12:34: Local Pass · Staging Not run · Production Not run. local: QA Day Atta: 50 + 20 − 7 − 0 + 0 = 63, stock 63, movements Σ 13 | QA Day Sugar: 50 + 0 − 5 − 0 + 1 = 46, stock 46, movements Σ -4 | QA Day Salt: 50 + 0 − 0 − 2 + 0 = 48, stock 48, movements Σ -2; 'Goods delivered' +₹310 = delivered goods; wallet net ₹270 = orders' net (return refund ₹40)]</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12:35: Local Fail · Staging Not run · Production Not run. local: after signing in again at /signin the page is http://localhost:3304/, not the one asked for (/shop/manage/today) | expect(received).toEqual(expected) // deep equality | - Expected  - 1 | + Received  + 3 ‖ [phone] after signing in again at /signin the page is http://localhost:3304/, not the one asked for (/shop/manage/today) | expect(received).toEqual(expected) // deep equality | - Expected  - 1 | + Received  + 3]</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12:32: Local Pass (partial) · Staging Not run · Production Not run. local: not covered: the top-up is started on the site and settled in the local database (no payment gateway on the local production build); the top-up and quantity entries are tried on their APIs (the wallet and cart screens send the same requests)]</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13:24: Local Pass · Staging Not run · Production Not run. local: DB-20261024-MYM403: paid by UPI (CAPTURED), delivered with a photo (refused without), TAX_INVOICE BKS-000006/2026-27/000001 = goods ₹500, PDF; return of 1 → REFUND_COMPLETED, refund to source SUCCESS ₹250, credit note ₹250; reconciliation MATCHED; abandoned payment → no order, charge or stock]</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12:33: Local Manual · Staging Not run · Production Not run. local: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12:32: Local Pass · Staging Not run · Production Not run. local: HTML-as-PDF → 422; PAN, GSTIN, Shop Act uploaded; Shop Act rejected ("the stamp is not readable") and re-uploaded; KYC_PENDING → PAYMENT_PENDING → VERIFIED → ACTIVE; approve before the fee → 409 "QA Journey Shop mvmdlh2h 11 cannot be approved until its registration fee is set"; KYC_PENDING:not listed, PAYMENT_PENDING:not listed, VERIFIED:not listed, ACTIVE:listed]</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Pass</t>
        </is>
      </c>
      <c r="H33" s="24" t="inlineStr">
        <is>
          <t>Added 4-Oct
[Run 2026-10-24 13:24: Local Pass · Staging Not run · Production Not run. local: expired coupon → 422 "That coupon has expired."; full slot → 409 "The Sun 25 Oct, 8–10 am slot at QA Shop A mvmfdu68 has just filled up. Please choose another time."; GK-20261024-HWCMS7: A ₹200 − ₹17.14, B ₹150 − ₹12.86 (₹30 once, in proportion), both with a slot tomorrow; shop B rejected → ₹137.14 back, shop A's order untouched]</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12:30: Local Pass · Staging Not run · Production Not run. local: DB-20261024-5NY7KR / DB-20261024-NA7YO1 / DB-20261024-36TBC5 → REFUNDED, REFUNDED, CANCELLED; wallet back to ₹2788; online refund SUCCESS ₹50; COD nothing; stock 20; customer and shop notified]</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12:33: Local Pass (partial) · Staging Not run · Production Not run. local: not covered: the bank change goes to an admin's review (no confirmation-code step exists for a rider's bank change on this build — rider-profile.ts requestSensitiveChange); batching and photo proof are rules switched on for the journey]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13:24: Local Pass · Staging Not run · Production Not run. local: code GKB4D2ZX; friend's DB-20261024-ZK5TFL delivered → ₹50 each, once; own second account: same mobile refused (one account per mobile), same home → referral REJECTED "Delivered to the referrer's own address.", no reward; flags REFERRAL_ABUSE]</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2026-10-24 16:10: Local Pass · Staging Pass · Production Pass. local: suite 99789f4: staging and production runs; 83 production-safe checks on production
staging: suite 99789f4: staging and production runs; 83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2026-10-24 16:10: Local Blocked · Staging Blocked · Production Pass. local: needs a collected staging run with signed-in checks
staging: needs a collected staging run with signed-in checks
production: 34 signed-in checks passed on test.gokesari.com (25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sheetData>
  <autoFilter ref="A1:G1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2026-10-03T14:40:54Z</dcterms:created>
  <dcterms:modified xmlns:dcterms="http://purl.org/dc/terms/" xmlns:xsi="http://www.w3.org/2001/XMLSchema-instance" xsi:type="dcterms:W3CDTF">2026-10-24T16:21:25Z</dcterms:modified>
  <cp:revision>0</cp:revision>
</cp:coreProperties>
</file>