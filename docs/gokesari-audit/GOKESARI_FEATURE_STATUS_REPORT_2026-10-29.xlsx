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1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0"/>
  </bookViews>
  <sheets>
    <sheet sheetId="1" name="Summary" state="visible" r:id="rId4"/>
    <sheet sheetId="15" name="Flow Diagram" state="visible" r:id="rId5"/>
    <sheet sheetId="5" name="Feature Register" state="visible" r:id="rId6"/>
    <sheet sheetId="6" name="Process Flow Tree" state="visible" r:id="rId7"/>
    <sheet sheetId="9" name="Dealer Programme" state="visible" r:id="rId8"/>
    <sheet sheetId="10" name="New Functions" state="visible" r:id="rId9"/>
    <sheet sheetId="11" name="New Routes &amp; Pages" state="visible" r:id="rId10"/>
    <sheet sheetId="12" name="Pending for Production" state="visible" r:id="rId11"/>
    <sheet sheetId="13" name="Performance &amp; DB" state="visible" r:id="rId12"/>
    <sheet sheetId="8" name="Blockers &amp; Decisions" state="visible" r:id="rId13"/>
    <sheet sheetId="7" name="PR Register" state="visible" r:id="rId14"/>
    <sheet sheetId="2" name="Batch 2026-10" state="visible" r:id="rId15"/>
    <sheet sheetId="3" name="Bulk Product Upload" state="visible" r:id="rId16"/>
    <sheet sheetId="4" name="Inventory &amp; Accounting" state="visible" r:id="rId17"/>
    <sheet sheetId="14" name="Sources" state="visible" r:id="rId18"/>
  </sheets>
  <definedNames>
    <definedName name="_xlnm._FilterDatabase">'Blockers &amp; Decisions'!$A$1:$H$72</definedName>
    <definedName name="_xlnm.Print_Titles" localSheetId="2">'Feature Register'!$1:$1</definedName>
    <definedName name="_xlnm.Print_Titles" localSheetId="3">'Process Flow Tree'!$4:$4</definedName>
    <definedName name="_xlnm.Print_Titles" localSheetId="10">'PR Register'!$1:$1</definedName>
  </definedNames>
  <calcPr calcId="171027" fullCalcOnLoad="1"/>
</workbook>
</file>

<file path=xl/sharedStrings.xml><?xml version="1.0" encoding="utf-8"?>
<sst xmlns="http://schemas.openxmlformats.org/spreadsheetml/2006/main" count="14873" uniqueCount="5417">
  <si>
    <t>GoKesari (gokesari.com) - consolidated feature, process flow and PR status</t>
  </si>
  <si>
    <t>As of 29 Oct 2026, 20:00 IST. Production main 4585627 (#287, Release 29 Oct (6)). Ten production releases since the 25 Oct report (#266 to #287); migrations 0097-0117.</t>
  </si>
  <si>
    <t>Baseline = the 25 Oct status report. Added: 58 features (28 dealer programme, 30 other), flows F16-F18, PRs #250-#289, 239 new functions, 71 new pages / API routes, flow diagrams. Updated 11 existing rows (9 status changes).</t>
  </si>
  <si>
    <t>Status is development status read from code, PRs, docs, recorded test runs and live checks - not QA sign-off. COMPLETED includes features released with their feature flag off (see "Where it runs").</t>
  </si>
  <si>
    <t>To update: change Status in the Feature Register (column I) or a step in the Process Flow Tree (column G) with the dropdown - every count on this sheet is a formula. "Status 25 Oct" (column P) is kept for comparison.</t>
  </si>
  <si>
    <t>1. Features by status</t>
  </si>
  <si>
    <t>Status</t>
  </si>
  <si>
    <t>Features</t>
  </si>
  <si>
    <t>% of total</t>
  </si>
  <si>
    <t>Status 25 Oct</t>
  </si>
  <si>
    <t>Change</t>
  </si>
  <si>
    <t>COMPLETED</t>
  </si>
  <si>
    <t>IN PROGRESS</t>
  </si>
  <si>
    <t>YET TO START</t>
  </si>
  <si>
    <t>BLOCKED</t>
  </si>
  <si>
    <t>DROPPED</t>
  </si>
  <si>
    <t>New since 25 Oct (not in the 25 Oct report)</t>
  </si>
  <si>
    <t>Total features tracked</t>
  </si>
  <si>
    <t>2. Features by section and status</t>
  </si>
  <si>
    <t>Section</t>
  </si>
  <si>
    <t>Total</t>
  </si>
  <si>
    <t>% complete</t>
  </si>
  <si>
    <t>Feature Master</t>
  </si>
  <si>
    <t>Workflow Master</t>
  </si>
  <si>
    <t>RBAC Matrix</t>
  </si>
  <si>
    <t>State Machines</t>
  </si>
  <si>
    <t>Gig Assignment Rules</t>
  </si>
  <si>
    <t>Navigation</t>
  </si>
  <si>
    <t>KPIs</t>
  </si>
  <si>
    <t>Added features (to 6 Oct)</t>
  </si>
  <si>
    <t>Delivered or started since 6 Oct</t>
  </si>
  <si>
    <t>Delivered or started since 8 Oct</t>
  </si>
  <si>
    <t>Delivered or started since 9 Oct</t>
  </si>
  <si>
    <t>Delivered or started since 10 Oct</t>
  </si>
  <si>
    <t>Delivered or started since 14 Oct</t>
  </si>
  <si>
    <t>Product Master Data Platform</t>
  </si>
  <si>
    <t>Platform &amp; DevOps</t>
  </si>
  <si>
    <t>QA &amp; Testing</t>
  </si>
  <si>
    <t>Known gaps (not started)</t>
  </si>
  <si>
    <t>Delivered or started since 19 Oct</t>
  </si>
  <si>
    <t>Delivered or started since 21 Oct</t>
  </si>
  <si>
    <t>Dealer Programme</t>
  </si>
  <si>
    <t>Delivered or started since 25 Oct</t>
  </si>
  <si>
    <t>3. Where features run</t>
  </si>
  <si>
    <t>Where it runs</t>
  </si>
  <si>
    <t>Production (gokesari.com)</t>
  </si>
  <si>
    <t>Production - built, switched off by default</t>
  </si>
  <si>
    <t>Dropped (code constant)</t>
  </si>
  <si>
    <t>Mobile app - Android test builds only (not in stores)</t>
  </si>
  <si>
    <t>GitHub Actions (runs from staging)</t>
  </si>
  <si>
    <t>GitHub Actions (runs from main)</t>
  </si>
  <si>
    <t>Test site and production (guest tier)</t>
  </si>
  <si>
    <t>Test site only (test.gokesari.com)</t>
  </si>
  <si>
    <t>Not started</t>
  </si>
  <si>
    <t>Production - partly live</t>
  </si>
  <si>
    <t>4. Process flow steps by status</t>
  </si>
  <si>
    <t>Steps (level 3)</t>
  </si>
  <si>
    <t>Stages (level 2)</t>
  </si>
  <si>
    <t>Flows (level 1)</t>
  </si>
  <si>
    <t>5. Status of each flow (see the Flow Diagram sheet)</t>
  </si>
  <si>
    <t>Flow</t>
  </si>
  <si>
    <t>Steps done</t>
  </si>
  <si>
    <t>F1  Customer purchase journey</t>
  </si>
  <si>
    <t>F2  Shop order fulfilment</t>
  </si>
  <si>
    <t>F3  Rider (gig) assignment</t>
  </si>
  <si>
    <t>F4  Delivery</t>
  </si>
  <si>
    <t>F5  Society-authorised delivery</t>
  </si>
  <si>
    <t>F6  After the order: returns, refunds, disputes, ratings</t>
  </si>
  <si>
    <t>F7  Subscriptions</t>
  </si>
  <si>
    <t>F8  Shop onboarding and seller verification</t>
  </si>
  <si>
    <t>F9  Catalogue and product master data</t>
  </si>
  <si>
    <t>F10  Finance: commission, settlement, payouts, wallets</t>
  </si>
  <si>
    <t>F11  Marketing and growth</t>
  </si>
  <si>
    <t>F12  Admin and operations control tower</t>
  </si>
  <si>
    <t>F13  Notifications and event layer</t>
  </si>
  <si>
    <t>F14  Release and deployment</t>
  </si>
  <si>
    <t>F15  Mobile app (Android and iPhone)</t>
  </si>
  <si>
    <t>F16  Dealer programme</t>
  </si>
  <si>
    <t>F17  Shop onboarding wizard, registration fee and documents</t>
  </si>
  <si>
    <t>F18  Platform performance and operations</t>
  </si>
  <si>
    <t>6. Pull requests</t>
  </si>
  <si>
    <t>PR state</t>
  </si>
  <si>
    <t>PRs</t>
  </si>
  <si>
    <t>Closed - not merged</t>
  </si>
  <si>
    <t>Merged</t>
  </si>
  <si>
    <t>Open (draft)</t>
  </si>
  <si>
    <t>PR type</t>
  </si>
  <si>
    <t>Branding</t>
  </si>
  <si>
    <t>DevOps / repo</t>
  </si>
  <si>
    <t>Docs / legal</t>
  </si>
  <si>
    <t>Docs / reports</t>
  </si>
  <si>
    <t>Feature</t>
  </si>
  <si>
    <t>Fix</t>
  </si>
  <si>
    <t>Fix / hotfix</t>
  </si>
  <si>
    <t>Improvement</t>
  </si>
  <si>
    <t>Platform port</t>
  </si>
  <si>
    <t>QA / docs</t>
  </si>
  <si>
    <t>QA / fix</t>
  </si>
  <si>
    <t>QA / tests</t>
  </si>
  <si>
    <t>Release</t>
  </si>
  <si>
    <t>Release (staging -&gt; main)</t>
  </si>
  <si>
    <t>Release + direct commits (Phases A-J)</t>
  </si>
  <si>
    <t>Revert</t>
  </si>
  <si>
    <t>Security / dependencies</t>
  </si>
  <si>
    <t>Test data / settings</t>
  </si>
  <si>
    <t>7. Headlines (29 Oct 2026)</t>
  </si>
  <si>
    <t>1. Production: gokesari.com is at 4585627 (#287, Release 29 Oct (6)). Ten releases since 25 Oct, one at a time, each with its own post-deploy check (rule from E-02).</t>
  </si>
  <si>
    <t>2. Dealer programme: all 28 modules (registration, codes, attribution, commission incl. base % by rating and monthly payout, dashboard, coverage map, support services, all-India) built, tested on staging and released with flags off. Staging has it on for Karnataka + Pune.</t>
  </si>
  <si>
    <t>3. Shop onboarding: registration fee (turnover slabs, Rs 999 + GST, coupons, online pay / waive), documents before the fee with a promise and 1st/15th follow-up, Scan a document, more licences and the verification follow-ups are live. The new wizard (steps 1-2) is released behind its flag.</t>
  </si>
  <si>
    <t>4. Speed: both databases moved Ohio -&gt; Neon Singapore on 28 Oct (home page 1.8-2.1 s -&gt; 0.34 s median). Next: product / shop page reads (P1), shared-data caching (P2), static pages from the CDN (P4).</t>
  </si>
  <si>
    <t>5. Bugs: GAP-011, 012, 013, 014, 016, 017, 018, 019 and NEW-070 (www redirect) are released. D-106, D-107, D-108 fixed and released; E-04 resolved by owner decision.</t>
  </si>
  <si>
    <t>6. Owner decisions waiting: Neon plan (cold start), switching on the five feature flags, P7 hosting, PAN catch-up script, deleting the Ohio projects after 4 / 11 Nov (Blockers #72-#82).</t>
  </si>
  <si>
    <t>7. Not checked from this session: the post-deploy check run for #287 and production feature-flag values (GitHub API and production reads not reachable here).</t>
  </si>
  <si>
    <t>GoKesari flow diagrams - 29 Oct 2026</t>
  </si>
  <si>
    <t>Colours follow the Process Flow Tree sheet. Diagram 1 = all 18 flows; 2 = dealer programme (F16); 3 = shop onboarding, registration fee and documents (F17). PNG copies are saved next to this workbook.</t>
  </si>
  <si>
    <t>1. End-to-end</t>
  </si>
  <si>
    <t>2. Dealer programme</t>
  </si>
  <si>
    <t>3. Shop onboarding</t>
  </si>
  <si>
    <t>#</t>
  </si>
  <si>
    <t>Feature ID</t>
  </si>
  <si>
    <t>Module / area</t>
  </si>
  <si>
    <t>Functionality (what it does today)</t>
  </si>
  <si>
    <t>Process flow step(s)</t>
  </si>
  <si>
    <t>Priority</t>
  </si>
  <si>
    <t>Status (29 Oct 2026)</t>
  </si>
  <si>
    <t>Switched on?</t>
  </si>
  <si>
    <t>Built in PR(s)</t>
  </si>
  <si>
    <t>Released to production in PR(s)</t>
  </si>
  <si>
    <t>Remaining scope / gap</t>
  </si>
  <si>
    <t>Blocked on / next step</t>
  </si>
  <si>
    <t>Change since 25 Oct (PRs #250-#289)</t>
  </si>
  <si>
    <t>Evidence (code / docs)</t>
  </si>
  <si>
    <t>GS-001</t>
  </si>
  <si>
    <t>Identity &amp; Access</t>
  </si>
  <si>
    <t>Mobile/email/Gmail login</t>
  </si>
  <si>
    <t>Google, email magic link and a single mobile-or-email form; first-time /onboarding profile; My Profile with verified email change; checkout requires a mobile; admin can release a wrongly claimed number. Login rebuild now on main (was staging-only on 3 Oct).</t>
  </si>
  <si>
    <t>F1.1.1, F1.1.2, F1.1.3</t>
  </si>
  <si>
    <t>P0</t>
  </si>
  <si>
    <t>Live (email OTP); SMS OTP only via the Phase-2 SMS stub</t>
  </si>
  <si>
    <t>#10 (magic link); #23 (Phase A mobile OTP); #31 (login rebuild, onboarding, My Profile); #80 (same OTP reply); #121 (one consent box); #190 (batch)</t>
  </si>
  <si>
    <t>#14; #23; #43; #81; #123; #194</t>
  </si>
  <si>
    <t>SMS vendor only if SMS OTP is wanted later</t>
  </si>
  <si>
    <t>-</t>
  </si>
  <si>
    <t>No change</t>
  </si>
  <si>
    <t>src/server/otp/providers.ts; src/app/onboarding; src/app/profile; drizzle/0038_login_profile.sql</t>
  </si>
  <si>
    <t>GS-002</t>
  </si>
  <si>
    <t>Role-based access control</t>
  </si>
  <si>
    <t>SOCIETY_ADMIN role; society roles scoped per membership (ADMIN/OPERATOR/RESIDENT)</t>
  </si>
  <si>
    <t>F5.1.2, F12.2.1</t>
  </si>
  <si>
    <t>Live</t>
  </si>
  <si>
    <t>Baseline; #10 (SOCIETY_ADMIN); #11 (society roles)</t>
  </si>
  <si>
    <t>Baseline; #14; #19</t>
  </si>
  <si>
    <t>src/server/authz/permissions.ts; src/server/db/schema.ts (userRoleEnum)</t>
  </si>
  <si>
    <t>GS-003</t>
  </si>
  <si>
    <t>Multi-role user account</t>
  </si>
  <si>
    <t>user_role_grants; active role switcher in the header; /api/me/roles; admin revoke; shop/rider/society flows grant roles; staff roles exclusive</t>
  </si>
  <si>
    <t>F12.2.1</t>
  </si>
  <si>
    <t>P1</t>
  </si>
  <si>
    <t>#18</t>
  </si>
  <si>
    <t>#19</t>
  </si>
  <si>
    <t>src/server/services/roles.ts; src/app/api/me/roles/route.ts</t>
  </si>
  <si>
    <t>GS-004</t>
  </si>
  <si>
    <t>Location</t>
  </si>
  <si>
    <t>PIN / address selection</t>
  </si>
  <si>
    <t>'Deliver to' location: saved address, device position or PIN, remembered in a cookie. Phase B added Maps Places address search, a 'save this place' path, and recipient name / recipient mobile / Home-Work-Other on addresses</t>
  </si>
  <si>
    <t>F1.2.1</t>
  </si>
  <si>
    <t>Baseline (location capture); #10 (customer location); #23 (Phase B); #83 (Deliver-to pill)</t>
  </si>
  <si>
    <t>Baseline; #14; #23; #84</t>
  </si>
  <si>
    <t>src/lib/geo/provider.ts; src/components/location-bar.tsx; drizzle/0026</t>
  </si>
  <si>
    <t>GS-005</t>
  </si>
  <si>
    <t>Society identification</t>
  </si>
  <si>
    <t>Society membership; address &lt;-&gt; society link; orders.society_id</t>
  </si>
  <si>
    <t>F1.2.2, F5.1.2</t>
  </si>
  <si>
    <t>#11</t>
  </si>
  <si>
    <t>src/server/services/societies.ts</t>
  </si>
  <si>
    <t>GS-006</t>
  </si>
  <si>
    <t>Shop Onboarding</t>
  </si>
  <si>
    <t>Shop registration</t>
  </si>
  <si>
    <t>Shop owner registers a shop (/shop/register): name, owner, address with map location, shop type and categories, at least one of PAN / Udyam / GST / Shop Act; duplicate-registration guard; resubmission after rejection; operations approve or reject.</t>
  </si>
  <si>
    <t>F8.1.1</t>
  </si>
  <si>
    <t>Baseline; #22 (duplicate guard); #45 (validation, GST field); #53 (documents)</t>
  </si>
  <si>
    <t>Baseline; #19; #47; #54</t>
  </si>
  <si>
    <t>6 Oct: GST field added at registration; at least one of PAN / Udyam / GST / Shop Act required (135f29a).</t>
  </si>
  <si>
    <t>GS-007</t>
  </si>
  <si>
    <t>Business KYC</t>
  </si>
  <si>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</si>
  <si>
    <t>F8.2.1</t>
  </si>
  <si>
    <t>Live; vendor checks run on the MOCK vendor until Gridlines keys are set (KYC_PROVIDER)</t>
  </si>
  <si>
    <t>Baseline (GST/PAN self-service); #53 (seller verification)</t>
  </si>
  <si>
    <t>Baseline; #54</t>
  </si>
  <si>
    <t>Real vendor: Gridlines sandbox then live keys and written confirmation of response fields, Shop Act coverage, prices, DPA. Since SM-002 (PR #58) an admin can approve a shop only once every mandatory document is verified (VERIFIED stage).</t>
  </si>
  <si>
    <t>src/server/services/seller-verification*.ts; src/server/kyc/; /shop/verification; /admin/seller-verification; drizzle/0040, 0041; docs/seller-verification/</t>
  </si>
  <si>
    <t>GS-008</t>
  </si>
  <si>
    <t>Payment reference verification</t>
  </si>
  <si>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</si>
  <si>
    <t>F8.2.3</t>
  </si>
  <si>
    <t>Baseline (registration fees); #29 (fee gate on approval)</t>
  </si>
  <si>
    <t>Baseline; #29</t>
  </si>
  <si>
    <t>src/server/services/shops.ts (approveShop); src/components/shop-approval-panel.tsx; tests/integration/registration-fees.test.ts</t>
  </si>
  <si>
    <t>GS-009</t>
  </si>
  <si>
    <t>Shop categories</t>
  </si>
  <si>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</si>
  <si>
    <t>F8.3.2</t>
  </si>
  <si>
    <t>#23 (shop categories); #30 (explicit Save)</t>
  </si>
  <si>
    <t>#23; #32</t>
  </si>
  <si>
    <t>src/server/services/shop-categories.ts; src/app/admin/shop-categories/page.tsx; drizzle/0035</t>
  </si>
  <si>
    <t>GS-010</t>
  </si>
  <si>
    <t>Service radius / delivery zone</t>
  </si>
  <si>
    <t>shops.service_radius_km (1-50 km) editable by the shop; Phase B added extra delivery zones by PIN code (shops.delivery_pincodes), honoured by serviceability, checkout and discovery</t>
  </si>
  <si>
    <t>F8.3.3</t>
  </si>
  <si>
    <t>Baseline; #10 (delivery radius); #23 (Phase B PIN zones)</t>
  </si>
  <si>
    <t>Baseline; #14; #23</t>
  </si>
  <si>
    <t>src/server/services/serviceability.ts; src/server/db/schema.ts:691; drizzle/0019, 0026</t>
  </si>
  <si>
    <t>GS-011</t>
  </si>
  <si>
    <t>Catalog</t>
  </si>
  <si>
    <t>Product master</t>
  </si>
  <si>
    <t>Central product catalogue (products) with brand, pack size, GTIN, HSN, GST rate and MRP; fed by the Product Master Data Platform (PMD) and the category master; shop-created products go through an approval queue.</t>
  </si>
  <si>
    <t>Baseline (product identity/MRP); #4 (Product Master platform); #38 (category master)</t>
  </si>
  <si>
    <t>Baseline; #8; #43</t>
  </si>
  <si>
    <t>GS-012</t>
  </si>
  <si>
    <t>Shop catalog mapping</t>
  </si>
  <si>
    <t>Each shop lists master products as its own listings (shop_products) with its own online and in-shop price, stock and availability; listings follow the shop's product categories.</t>
  </si>
  <si>
    <t>F9.2.2</t>
  </si>
  <si>
    <t>Baseline (shop-created products); #38 (category visibility); #45 (inventory fill)</t>
  </si>
  <si>
    <t>Baseline; #43; #47</t>
  </si>
  <si>
    <t>GS-013</t>
  </si>
  <si>
    <t>Bulk product upload</t>
  </si>
  <si>
    <t>Excel goods/price upload in two phases: validate every row and show a preview (nothing written), then apply valid rows through the normal price-approval workflow.</t>
  </si>
  <si>
    <t>Baseline (Excel upload); #38 (category by name in Excel)</t>
  </si>
  <si>
    <t>Baseline; #43</t>
  </si>
  <si>
    <t>GS-014</t>
  </si>
  <si>
    <t>Product images/specifications</t>
  </si>
  <si>
    <t>Image store with several images per product/listing, primary, reorder, alt text; F10 moderation queue (pending -&gt; approve / reject with reason) at /admin/image-moderation; existing photos stay live.</t>
  </si>
  <si>
    <t>F9.2.4</t>
  </si>
  <si>
    <t>Off by default - switch on in Admin &gt; Business rules (rule: imageModeration.enabled)</t>
  </si>
  <si>
    <t>#23 (Phase E image store, Phase I image mgmt); #55 (F10 moderation); #79 (photo catalogue)</t>
  </si>
  <si>
    <t>#23; #57; #82</t>
  </si>
  <si>
    <t>src/server/services/product-images.ts; drizzle/0049_image_moderation.sql; tests/integration/image-moderation.test.ts</t>
  </si>
  <si>
    <t>GS-015</t>
  </si>
  <si>
    <t>MRP / selling price / discount</t>
  </si>
  <si>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</si>
  <si>
    <t>F9.2.3</t>
  </si>
  <si>
    <t>Baseline (MRP); #23 (Phase I MRP governance); #45 (per-shop prices)</t>
  </si>
  <si>
    <t>Baseline; #23; #47</t>
  </si>
  <si>
    <t>src/server/services/mrp-governance.ts; src/server/services/catalogue.ts:617,710; src/app/admin/mrp/page.tsx; drizzle/0032</t>
  </si>
  <si>
    <t>GS-016</t>
  </si>
  <si>
    <t>Inventory</t>
  </si>
  <si>
    <t>Stock quantity</t>
  </si>
  <si>
    <t>Shop owners keep online and in-shop stock per listing on the inventory page; checkout refuses out-of-stock lines and restocks on cancellation.</t>
  </si>
  <si>
    <t>F1.8.1, F9.2.3</t>
  </si>
  <si>
    <t>Baseline</t>
  </si>
  <si>
    <t>GS-017</t>
  </si>
  <si>
    <t>Low-stock threshold</t>
  </si>
  <si>
    <t>Extended by GS-018 (three-level thresholds, Phase I)</t>
  </si>
  <si>
    <t>Baseline (thresholds + alerts); #23 (Phase I)</t>
  </si>
  <si>
    <t>Baseline; #23</t>
  </si>
  <si>
    <t>GS-018</t>
  </si>
  <si>
    <t>Reorder level / quantity</t>
  </si>
  <si>
    <t>Low-stock threshold, reorder level and reorder quantity resolved at listing -&gt; product -&gt; shop level with an explicit opt-out and the source reported; reserved / available / on-hand; one notification per new alert; hand-edited stock now writes the ledger and re-checks alerts</t>
  </si>
  <si>
    <t>Baseline; #23 (Phase I)</t>
  </si>
  <si>
    <t>Analytics-driven replenishment suggestions (enhancement)</t>
  </si>
  <si>
    <t>src/server/services/inventory-alerts.ts; src/app/shop/inventory/page.tsx; drizzle/0033</t>
  </si>
  <si>
    <t>GS-019</t>
  </si>
  <si>
    <t>Search</t>
  </si>
  <si>
    <t>Shop search</t>
  </si>
  <si>
    <t>Shops that deliver to the location, nearest first, with distance</t>
  </si>
  <si>
    <t>F1.3.1</t>
  </si>
  <si>
    <t>#10 (serviceable discovery); #83 (Shops filter/sort)</t>
  </si>
  <si>
    <t>#14; #84</t>
  </si>
  <si>
    <t>src/server/services/serviceability.ts</t>
  </si>
  <si>
    <t>GS-020</t>
  </si>
  <si>
    <t>Product search</t>
  </si>
  <si>
    <t>Product search limited to serviceable shops, nearest first</t>
  </si>
  <si>
    <t>F1.3.2</t>
  </si>
  <si>
    <t>Baseline; #10; #48 (search bar row); #83 (search in header)</t>
  </si>
  <si>
    <t>Baseline; #14; #71; #84</t>
  </si>
  <si>
    <t>src/app/search/page.tsx; src/server/services/catalogue.ts</t>
  </si>
  <si>
    <t>GS-021</t>
  </si>
  <si>
    <t>All shops selling product</t>
  </si>
  <si>
    <t>/products/{id}: every shop selling the product</t>
  </si>
  <si>
    <t>F1.3.3</t>
  </si>
  <si>
    <t>#10</t>
  </si>
  <si>
    <t>#14</t>
  </si>
  <si>
    <t>src/app/products/[id]/page.tsx</t>
  </si>
  <si>
    <t>GS-022</t>
  </si>
  <si>
    <t>Comparison</t>
  </si>
  <si>
    <t>Local price comparison</t>
  </si>
  <si>
    <t>Per-unit / per-pack comparison, 'Lowest price', delivers-to-you</t>
  </si>
  <si>
    <t>F1.4.1</t>
  </si>
  <si>
    <t>#10; #55 (F9 home comparison); #72 (faster query)</t>
  </si>
  <si>
    <t>#14; #57; #73</t>
  </si>
  <si>
    <t>GS-023</t>
  </si>
  <si>
    <t>E-commerce price benchmark</t>
  </si>
  <si>
    <t>External reference prices with source, time, location, URL, verification and audit history; shops and operations see them.</t>
  </si>
  <si>
    <t>F1.4.3</t>
  </si>
  <si>
    <t>Off permanently (code constant, not a setting)</t>
  </si>
  <si>
    <t>#23 (Phase I external price references); #190 (batch)</t>
  </si>
  <si>
    <t>#23; #194</t>
  </si>
  <si>
    <t>src/server/config/rules.ts (externalPrices)</t>
  </si>
  <si>
    <t>GS-024</t>
  </si>
  <si>
    <t>Cart</t>
  </si>
  <si>
    <t>Single-shop cart</t>
  </si>
  <si>
    <t>Cart built from one shop's listings with quantity changes and live totals; card-level add / - / + / Remove controls.</t>
  </si>
  <si>
    <t>F1.5.1</t>
  </si>
  <si>
    <t>Baseline; #48 (card quantity controls); #72 (cart state after reload)</t>
  </si>
  <si>
    <t>Baseline; #71; #73</t>
  </si>
  <si>
    <t>GS-025</t>
  </si>
  <si>
    <t>Multi-shop cart</t>
  </si>
  <si>
    <t>One cart can hold items from several shops; checkout creates one order per shop with per-shop validation and delivery charges.</t>
  </si>
  <si>
    <t>F1.5.2</t>
  </si>
  <si>
    <t>Baseline; #10</t>
  </si>
  <si>
    <t>Baseline; #14</t>
  </si>
  <si>
    <t>GS-026</t>
  </si>
  <si>
    <t>Checkout</t>
  </si>
  <si>
    <t>Address validation</t>
  </si>
  <si>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</si>
  <si>
    <t>F1.5.3, F1.6.1, F1.8.1</t>
  </si>
  <si>
    <t>#11 (serviceability block); #23 (Phase B revalidation); #31 (address required)</t>
  </si>
  <si>
    <t>#19; #23; #43</t>
  </si>
  <si>
    <t>src/server/services/cart-validation.ts; src/app/api/cart/validate/route.ts</t>
  </si>
  <si>
    <t>GS-027</t>
  </si>
  <si>
    <t>Delivery slot</t>
  </si>
  <si>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</si>
  <si>
    <t>F1.6.2</t>
  </si>
  <si>
    <t>Off by default - switch on in Admin &gt; Business rules (rules: scheduledSlots.enabled, deliverySlots.enabled)</t>
  </si>
  <si>
    <t>Baseline (delivery windows); #55 (F5 slot capacity); #58 (chosen time slot)</t>
  </si>
  <si>
    <t>Baseline; #57; #65</t>
  </si>
  <si>
    <t>src/server/services/scheduled-slots.ts; drizzle/0053_scheduled_slots.sql; tests/integration/scheduled-slots.test.ts</t>
  </si>
  <si>
    <t>GS-028</t>
  </si>
  <si>
    <t>Payments</t>
  </si>
  <si>
    <t>UPI/card/netbanking gateway</t>
  </si>
  <si>
    <t>Cashfree live for wallet top-up only (create order, server verify, HMAC webhook, mock mode). Orders are paid by WALLET or COD; payment_method enum is still WALLET | COD.</t>
  </si>
  <si>
    <t>F1.7.1, F1.7.3</t>
  </si>
  <si>
    <t>Off until live gateway keys (onlinePayments); sandbox on test</t>
  </si>
  <si>
    <t>Baseline (Cashfree wallet top-up); #190 (batch)</t>
  </si>
  <si>
    <t>Baseline; #194</t>
  </si>
  <si>
    <t>Live Cashfree / Razorpay / PhonePe keys and webhook secrets</t>
  </si>
  <si>
    <t>Owner inputs §1-2</t>
  </si>
  <si>
    <t>src/server/db/schema.ts:197 (paymentMethodEnum); src/server/services/payments.ts</t>
  </si>
  <si>
    <t>GS-029</t>
  </si>
  <si>
    <t>Wallet</t>
  </si>
  <si>
    <t>Customer wallet with Cashfree top-up (UPI / card / netbanking), row-locked idempotent ledger, balance never negative; used to pay orders and subscriptions and to receive refunds.</t>
  </si>
  <si>
    <t>F1.7.1</t>
  </si>
  <si>
    <t>GS-030</t>
  </si>
  <si>
    <t>COD</t>
  </si>
  <si>
    <t>COD at checkout with risk limits; shop opt-in; rider/operator cash confirmation; collection nets into finance batches; deposits at /admin/cod; COD refunds as wallet credit</t>
  </si>
  <si>
    <t>F1.7.2</t>
  </si>
  <si>
    <t>src/server/services/cod.ts; src/app/admin/cod/page.tsx</t>
  </si>
  <si>
    <t>GS-031</t>
  </si>
  <si>
    <t>Payment reconciliation</t>
  </si>
  <si>
    <t>Reconciliation records + exception queue (order/payment/rider/settlement/payout)</t>
  </si>
  <si>
    <t>F10.2.2</t>
  </si>
  <si>
    <t>Reconciles the gateway transactions that exist today (wallet top-ups).</t>
  </si>
  <si>
    <t>src/app/api/finance/reconciliation/route.ts; src/server/services/finance.ts</t>
  </si>
  <si>
    <t>GS-032</t>
  </si>
  <si>
    <t>Orders</t>
  </si>
  <si>
    <t>Order creation</t>
  </si>
  <si>
    <t>Checkout creates the order(s) in one transaction (personal or B2B), pays from wallet or COD, records history and notifies the shop.</t>
  </si>
  <si>
    <t>F1.8.3, F1.8.5</t>
  </si>
  <si>
    <t>Baseline; #10 (personal vs B2B)</t>
  </si>
  <si>
    <t>GS-033</t>
  </si>
  <si>
    <t>Shop order split</t>
  </si>
  <si>
    <t>One order per shop from a multi-shop cart, plus F6 parent reference (GK-...) linking them; customer page /orders/group/[reference].</t>
  </si>
  <si>
    <t>F1.8.2</t>
  </si>
  <si>
    <t>Off by default - switch on in Admin &gt; Business rules (rule: parentOrders.enabled)</t>
  </si>
  <si>
    <t>Baseline (order per shop); #55 (F6 parent order)</t>
  </si>
  <si>
    <t>Baseline; #57</t>
  </si>
  <si>
    <t>src/server/services/order-groups.ts; drizzle/0046_order_groups.sql; tests/integration/order-groups.test.ts</t>
  </si>
  <si>
    <t>GS-034</t>
  </si>
  <si>
    <t>Shop accept/reject</t>
  </si>
  <si>
    <t>Shop accept / reject (reject = full refund + restock); ops exceptions flag 'Shop not accepting' and 'Shop slow to prepare'</t>
  </si>
  <si>
    <t>F2.1.2</t>
  </si>
  <si>
    <t>#10; #21 (late-acceptance exception); #58 (accept timeout)</t>
  </si>
  <si>
    <t>#14; #19; #65</t>
  </si>
  <si>
    <t>Accept-timeout auto-cancel (designed 1 Oct, not built) Auto-cancel on accept timeout built (NEW-007, rule shopAcceptance, off by default); late acceptance is also flagged in the ops exceptions queue.</t>
  </si>
  <si>
    <t>src/server/services/fulfilment.ts; src/server/services/ops-exceptions.ts</t>
  </si>
  <si>
    <t>GS-035</t>
  </si>
  <si>
    <t>Substitution approval</t>
  </si>
  <si>
    <t>Shop proposes a substitute; customer approves/rejects; price difference refunded</t>
  </si>
  <si>
    <t>F2.2.1</t>
  </si>
  <si>
    <t>src/app/api/orders/[id]/items/[itemId]/substitution/route.ts</t>
  </si>
  <si>
    <t>GS-036</t>
  </si>
  <si>
    <t>Pick and pack</t>
  </si>
  <si>
    <t>Per-line picking, pack -&gt; READY</t>
  </si>
  <si>
    <t>F2.2.2</t>
  </si>
  <si>
    <t>SLA reporting SLA measured by the pick-pack KPI; missed acceptances per shop (30 days) shown on the shop dashboard (NEW-007).</t>
  </si>
  <si>
    <t>src/server/services/fulfilment.ts</t>
  </si>
  <si>
    <t>GS-037</t>
  </si>
  <si>
    <t>Delivery</t>
  </si>
  <si>
    <t>Gig worker onboarding</t>
  </si>
  <si>
    <t>Rider applies at /delivery-partner/register with vehicle, identity and bank details (stored encrypted); operations move the application REGISTERED -&gt; UNDER_REVIEW -&gt; APPROVED / REJECTED; every step audited.</t>
  </si>
  <si>
    <t>GS-038</t>
  </si>
  <si>
    <t>Online/offline status</t>
  </si>
  <si>
    <t>Approved riders go online / offline from their dashboard; a location heartbeat keeps the status and online hours accurate; only online riders get offers.</t>
  </si>
  <si>
    <t>F3.1.2</t>
  </si>
  <si>
    <t>Baseline; #21 (heartbeat fix)</t>
  </si>
  <si>
    <t>Baseline; #19</t>
  </si>
  <si>
    <t>GS-039</t>
  </si>
  <si>
    <t>Job assignment</t>
  </si>
  <si>
    <t>Auto-trigger on READY; cron retry; no re-offer to decliners; Phase C made the whole search bounded and logged (rider_searches, dispatch_attempts) with admin-tunable retry interval, attempt cap and time limit</t>
  </si>
  <si>
    <t>F3.3.1</t>
  </si>
  <si>
    <t>Baseline; #10 (auto dispatch); #23 (Phase C Find Rider Now)</t>
  </si>
  <si>
    <t>src/server/services/delivery-assignment.ts; drizzle/0027</t>
  </si>
  <si>
    <t>GS-040</t>
  </si>
  <si>
    <t>Society priority assignment</t>
  </si>
  <si>
    <t>Society preference in dispatch ranking</t>
  </si>
  <si>
    <t>F3.2.1</t>
  </si>
  <si>
    <t>src/server/services/delivery-assignment.ts:123</t>
  </si>
  <si>
    <t>GS-041</t>
  </si>
  <si>
    <t>Pickup OTP/QR</t>
  </si>
  <si>
    <t>Pickup code issued on accept; rider must enter it</t>
  </si>
  <si>
    <t>F4.1.2</t>
  </si>
  <si>
    <t>QR variant Pickup code only - no QR.</t>
  </si>
  <si>
    <t>src/server/services/delivery-assignment.ts</t>
  </si>
  <si>
    <t>GS-042</t>
  </si>
  <si>
    <t>Live tracking</t>
  </si>
  <si>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</si>
  <si>
    <t>F1.9.1</t>
  </si>
  <si>
    <t>Baseline; #21 (tracking hardening); #29 (tracking screen mounted)</t>
  </si>
  <si>
    <t>Baseline; #19; #29</t>
  </si>
  <si>
    <t>src/app/orders/page.tsx:199; src/components/order-monitoring-table.tsx:171; src/lib/tracking.ts; tests/unit/tracking.test.ts</t>
  </si>
  <si>
    <t>GS-043</t>
  </si>
  <si>
    <t>Delivery OTP/POD</t>
  </si>
  <si>
    <t>Customer delivery OTP (5 attempts); operations override with a proof note; 'Delivery code locked' is an ops exception</t>
  </si>
  <si>
    <t>F1.9.3, F4.2.4</t>
  </si>
  <si>
    <t>#10; #23 (Phase C checkpoints); #58 (photo POD)</t>
  </si>
  <si>
    <t>#14; #23; #65</t>
  </si>
  <si>
    <t>Photo / signature proof of delivery (designed 1 Oct, not built) Delivery OTP with ops override; photo POD built (NEW-007, rule deliveryProof.photoRequired, off by default).</t>
  </si>
  <si>
    <t>src/server/services/delivery-assignment.ts; docs/gokesari-audit/DESIGN_PAYMENTS_INVOICING_POD_SLA.md</t>
  </si>
  <si>
    <t>GS-044</t>
  </si>
  <si>
    <t>Society</t>
  </si>
  <si>
    <t>Society registration</t>
  </si>
  <si>
    <t>Registration -&gt; operator verify/reject/suspend/reinstate</t>
  </si>
  <si>
    <t>F5.1.1</t>
  </si>
  <si>
    <t>Map pin picker on the society form</t>
  </si>
  <si>
    <t>src/app/api/societies/[id]/decision/route.ts</t>
  </si>
  <si>
    <t>GS-045</t>
  </si>
  <si>
    <t>Authorized Gig worker whitelist</t>
  </si>
  <si>
    <t>Authorised rider list by mobile; add / revoke / preferred; audited</t>
  </si>
  <si>
    <t>F3.1.1, F5.2.1</t>
  </si>
  <si>
    <t>src/app/api/societies/[id]/riders/route.ts</t>
  </si>
  <si>
    <t>GS-046</t>
  </si>
  <si>
    <t>Security notification</t>
  </si>
  <si>
    <t>Society security alert on rider acceptance (opt-in)</t>
  </si>
  <si>
    <t>F5.3.2</t>
  </si>
  <si>
    <t>GS-047</t>
  </si>
  <si>
    <t>Delivery instructions</t>
  </si>
  <si>
    <t>Society gate notes + customer landmark/instructions on the rider job; Phase C added a gate entry mode, an optional security-desk contact shared with the rider only if the society enables it, and a customer-at-gate notice</t>
  </si>
  <si>
    <t>F4.2.3, F5.3.1</t>
  </si>
  <si>
    <t>#11; #23 (Phase C gate access)</t>
  </si>
  <si>
    <t>#19; #23</t>
  </si>
  <si>
    <t>drizzle/0027; src/server/services/societies.ts</t>
  </si>
  <si>
    <t>GS-048</t>
  </si>
  <si>
    <t>Subscription</t>
  </si>
  <si>
    <t>Daily milk subscription</t>
  </si>
  <si>
    <t>Customer subscribes to a shop product (e.g. 2 L milk daily) with start / end dates and per-date quantity overrides; orders are generated daily.</t>
  </si>
  <si>
    <t>F7.1.1</t>
  </si>
  <si>
    <t>GS-049</t>
  </si>
  <si>
    <t>Recurring vegetables/daily goods</t>
  </si>
  <si>
    <t>Weekday schedules; generated orders carry address/society</t>
  </si>
  <si>
    <t>Baseline; #11</t>
  </si>
  <si>
    <t>src/server/services/subscriptions.ts</t>
  </si>
  <si>
    <t>GS-050</t>
  </si>
  <si>
    <t>Subscription payment</t>
  </si>
  <si>
    <t>Each generated subscription delivery is charged from the wallet; a short balance puts the subscription in PAYMENT_PENDING until topped up.</t>
  </si>
  <si>
    <t>F7.3.2</t>
  </si>
  <si>
    <t>GS-051</t>
  </si>
  <si>
    <t>Skip/pause/resume/cancel</t>
  </si>
  <si>
    <t>Skip a date, pause for a range, resume or cancel, with an evening cut-off; history of every change; customer notified.</t>
  </si>
  <si>
    <t>F7.2.1</t>
  </si>
  <si>
    <t>Baseline; #11 (guards, history); #58 (SM-004 states); #83 (Tomorrow's delivery card)</t>
  </si>
  <si>
    <t>Baseline; #19; #65; #84</t>
  </si>
  <si>
    <t>GS-052</t>
  </si>
  <si>
    <t>Marketing</t>
  </si>
  <si>
    <t>Customer segmentation</t>
  </si>
  <si>
    <t>Segments by PIN, society, delivered orders, recency, lapse, spend; consent required; counts only</t>
  </si>
  <si>
    <t>F11.1.1</t>
  </si>
  <si>
    <t>src/server/services/marketing.ts:89</t>
  </si>
  <si>
    <t>GS-053</t>
  </si>
  <si>
    <t>Shop promotional campaigns</t>
  </si>
  <si>
    <t>Shop campaigns with budget, shop rate limit and customer frequency caps</t>
  </si>
  <si>
    <t>F11.1.2</t>
  </si>
  <si>
    <t>src/server/services/marketing.ts</t>
  </si>
  <si>
    <t>GS-054</t>
  </si>
  <si>
    <t>Referral program</t>
  </si>
  <si>
    <t>Shop referral attribution, plus F11 customer referral code and link (/refer, /r/CODE): both rewarded on the friend's first delivered order; self-referral, duplicate-account and per-referrer cap guards; /admin/customer-referrals.</t>
  </si>
  <si>
    <t>F11.2.2</t>
  </si>
  <si>
    <t>Off by default - switch on in Admin &gt; Business rules (rule: customerReferrals.enabled; rewards Rs 50 / Rs 50)</t>
  </si>
  <si>
    <t>Baseline (shop referral codes); #55 (F11 customer referrals); #56 (link fix)</t>
  </si>
  <si>
    <t>src/server/services/customer-referrals.ts; drizzle/0050_customer_referrals.sql; tests/integration/customer-referrals.test.ts</t>
  </si>
  <si>
    <t>GS-055</t>
  </si>
  <si>
    <t>Notifications</t>
  </si>
  <si>
    <t>Order notifications</t>
  </si>
  <si>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</si>
  <si>
    <t>F1.8.5, F2.1.1, F13.1.1</t>
  </si>
  <si>
    <t>Baseline; #10; #23 (Phase F framework)</t>
  </si>
  <si>
    <t>Email + in-app; SMS / WhatsApp / push wait on GS-074 (blocked).</t>
  </si>
  <si>
    <t>src/server/notifications/{channels,templates,types}.ts; src/server/services/notifications.ts; src/app/api/cron/notifications/route.ts; drizzle/0030</t>
  </si>
  <si>
    <t>GS-056</t>
  </si>
  <si>
    <t>Support</t>
  </si>
  <si>
    <t>Report an issue</t>
  </si>
  <si>
    <t>'Report a problem' on an order -&gt; linked ticket</t>
  </si>
  <si>
    <t>F6.2.1</t>
  </si>
  <si>
    <t>src/app/api/orders/[id]/issue/route.ts</t>
  </si>
  <si>
    <t>GS-057</t>
  </si>
  <si>
    <t>Returns/refunds</t>
  </si>
  <si>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</si>
  <si>
    <t>F6.2.2</t>
  </si>
  <si>
    <t>#10 (refunds); #23 (Phase E returns + pickups)</t>
  </si>
  <si>
    <t>#14; #23</t>
  </si>
  <si>
    <t>Gateway refund (money back to card/UPI rather than wallet) Refunds go to the wallet; refunds to card / UPI wait on GS-073 (blocked).</t>
  </si>
  <si>
    <t>src/server/services/returns.ts; src/server/services/return-pickups.ts; src/app/returns, /shop/returns, /admin/returns; drizzle/0029</t>
  </si>
  <si>
    <t>GS-058</t>
  </si>
  <si>
    <t>Dispute management</t>
  </si>
  <si>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</si>
  <si>
    <t>F6.3.1</t>
  </si>
  <si>
    <t>#40; #190 (batch)</t>
  </si>
  <si>
    <t>#40; #194</t>
  </si>
  <si>
    <t>Live gateway keys for refunds to the original card / UPI</t>
  </si>
  <si>
    <t>src/lib/dispute-states.ts; src/server/services/disputes.ts; src/app/admin/disputes/page.tsx; src/app/api/cron/dispute-escalation/route.ts; drizzle/0037_dispute_cases.sql; tests/integration/disputes.test.ts</t>
  </si>
  <si>
    <t>GS-059</t>
  </si>
  <si>
    <t>Ratings</t>
  </si>
  <si>
    <t>Shop rating</t>
  </si>
  <si>
    <t>Eligibility, one per order, average, anonymous reviews, moderation</t>
  </si>
  <si>
    <t>F6.4.1</t>
  </si>
  <si>
    <t>src/server/services/ratings.ts</t>
  </si>
  <si>
    <t>GS-060</t>
  </si>
  <si>
    <t>Gig rating</t>
  </si>
  <si>
    <t>Rider rating: average visible to rider and operations</t>
  </si>
  <si>
    <t>GS-061</t>
  </si>
  <si>
    <t>Finance</t>
  </si>
  <si>
    <t>Shop commission</t>
  </si>
  <si>
    <t>Commission by default / shop type / shop, snapshotted per order</t>
  </si>
  <si>
    <t>F10.1.1</t>
  </si>
  <si>
    <t>src/server/services/finance.ts:216</t>
  </si>
  <si>
    <t>GS-062</t>
  </si>
  <si>
    <t>Shop settlement</t>
  </si>
  <si>
    <t>Weekly shop settlements DRAFT -&gt; APPROVED -&gt; PAID, full lifecycle</t>
  </si>
  <si>
    <t>F10.2.1</t>
  </si>
  <si>
    <t>src/app/api/finance/settlements/route.ts</t>
  </si>
  <si>
    <t>GS-063</t>
  </si>
  <si>
    <t>Gig earnings</t>
  </si>
  <si>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</si>
  <si>
    <t>F10.2.3</t>
  </si>
  <si>
    <t>Baseline; #23 (Phase D earnings rules)</t>
  </si>
  <si>
    <t>src/server/services/delivery-earnings.ts; src/app/admin/rider-earnings/page.tsx; drizzle/0028; tests/unit/earnings-calc.test.ts</t>
  </si>
  <si>
    <t>GS-064</t>
  </si>
  <si>
    <t>Gig payout</t>
  </si>
  <si>
    <t>Weekly rider payouts, full lifecycle</t>
  </si>
  <si>
    <t>Payouts are recorded and reconciled; the bank transfer itself is manual.</t>
  </si>
  <si>
    <t>src/app/api/finance/rider-payouts/route.ts</t>
  </si>
  <si>
    <t>GS-065</t>
  </si>
  <si>
    <t>Admin</t>
  </si>
  <si>
    <t>Global dashboard</t>
  </si>
  <si>
    <t>getAdminDashboard() + /admin/dashboard: the marketplace's operational picture from live queries - in-flight orders by status, today's money, KPI cards, open risk flags, shops by status. No sample numbers</t>
  </si>
  <si>
    <t>F12.1.1</t>
  </si>
  <si>
    <t>#21; #23 (Phase J)</t>
  </si>
  <si>
    <t>src/server/services/dashboards.ts:207; src/app/admin/dashboard/page.tsx</t>
  </si>
  <si>
    <t>GS-066</t>
  </si>
  <si>
    <t>Operator console</t>
  </si>
  <si>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</si>
  <si>
    <t>F12.1.2</t>
  </si>
  <si>
    <t>#21</t>
  </si>
  <si>
    <t>src/server/services/ops-exceptions.ts; src/app/admin/exceptions/page.tsx</t>
  </si>
  <si>
    <t>GS-067</t>
  </si>
  <si>
    <t>Audit logs</t>
  </si>
  <si>
    <t>audit_logs append-only, enforced by DB trigger</t>
  </si>
  <si>
    <t>Baseline; #10 (append-only)</t>
  </si>
  <si>
    <t>Dedicated Auditor role (optional)</t>
  </si>
  <si>
    <t>drizzle/0018_audit_logs_append_only.sql; src/server/services/audit.ts</t>
  </si>
  <si>
    <t>GS-068</t>
  </si>
  <si>
    <t>Fraud/risk rules</t>
  </si>
  <si>
    <t>11 risk rules (customer, rider, shop), hourly cron, review queue /admin/risk; a HIGH customer flag pauses COD</t>
  </si>
  <si>
    <t>F12.1.3</t>
  </si>
  <si>
    <t>#18; #21 (high-value outlier)</t>
  </si>
  <si>
    <t>src/server/services/risk.ts; src/app/admin/risk/page.tsx</t>
  </si>
  <si>
    <t>GS-069</t>
  </si>
  <si>
    <t>Analytics</t>
  </si>
  <si>
    <t>Marketplace KPI dashboard</t>
  </si>
  <si>
    <t>/admin/analytics (marketplace) and /shop/analytics (own shop)</t>
  </si>
  <si>
    <t>src/server/services/analytics.ts; src/app/admin/analytics/page.tsx; src/app/api/analytics/kpis/route.ts</t>
  </si>
  <si>
    <t>GS-070</t>
  </si>
  <si>
    <t>Security</t>
  </si>
  <si>
    <t>Privacy/consent management</t>
  </si>
  <si>
    <t>Marketing consent grant/withdraw with history; profile toggle; /api/consents/marketing</t>
  </si>
  <si>
    <t>F11.2.3</t>
  </si>
  <si>
    <t>Baseline; #10 (marketing consent); #34 (consent view); #77 (On/Off switch)</t>
  </si>
  <si>
    <t>Baseline; #14; #34; #78</t>
  </si>
  <si>
    <t>src/server/services/consents.ts; src/components/marketing-consent-toggle.tsx</t>
  </si>
  <si>
    <t>GS-071</t>
  </si>
  <si>
    <t>Data access controls</t>
  </si>
  <si>
    <t>Permission checks on every route and service; PAN and KYC data encrypted with blind indexes; append-only audit log; screens and APIs send only the fields a viewer may see.</t>
  </si>
  <si>
    <t>Baseline; #10 (KYC encryption); #72 (data exposure)</t>
  </si>
  <si>
    <t>Baseline; #14; #73</t>
  </si>
  <si>
    <t>GS-072</t>
  </si>
  <si>
    <t>Integration</t>
  </si>
  <si>
    <t>Maps/navigation</t>
  </si>
  <si>
    <t>F4: road distance and travel time from Google Routes or OSRM behind one provider interface, cached per ~100 m cell and logged; arrival time for customer (tracking map) and rider (dashboard); straight-line fallback when off or failing. Navigation is a Google Maps deep link.</t>
  </si>
  <si>
    <t>F3.2.3, F4.2.1</t>
  </si>
  <si>
    <t>Off by default - switch on in Admin &gt; Business rules (rule: routing.enabled)</t>
  </si>
  <si>
    <t>Baseline (geocoding); #23 (Phase C rider navigation); #55 (F4 road routing)</t>
  </si>
  <si>
    <t>Baseline; #23; #57</t>
  </si>
  <si>
    <t>In-app turn-by-turn navigation not built (Google Maps deep link used instead).</t>
  </si>
  <si>
    <t>src/server/services/routing.ts; drizzle/0044_delivery_routes.sql; tests/integration/routing.test.ts</t>
  </si>
  <si>
    <t>GS-073</t>
  </si>
  <si>
    <t>Payment gateway</t>
  </si>
  <si>
    <t>Gateway plumbing reusable; refunds are wallet credits (journaled, idempotent).</t>
  </si>
  <si>
    <t>F1.8.4, F6.2.3</t>
  </si>
  <si>
    <t>Off until live gateway keys</t>
  </si>
  <si>
    <t>Baseline (Cashfree); #190 (batch)</t>
  </si>
  <si>
    <t>Live keys and webhook secrets</t>
  </si>
  <si>
    <t>src/server/services/payments.ts</t>
  </si>
  <si>
    <t>GS-074</t>
  </si>
  <si>
    <t>SMS/WhatsApp/email/push</t>
  </si>
  <si>
    <t>Email and in-app notifications live; SMS, PUSH and WHATSAPP channels have a provider seam with no vendor.</t>
  </si>
  <si>
    <t>F1.1.2, F13.1.2</t>
  </si>
  <si>
    <t>Email + in-app live; Expo push on mock until EAS / FCM / APNs keys; SMS / WhatsApp stubs</t>
  </si>
  <si>
    <t>#23 (Phase F channels); #190 (batch)</t>
  </si>
  <si>
    <t>Real push keys; SMS / WhatsApp vendor if wanted</t>
  </si>
  <si>
    <t>Owner inputs §11 (push)</t>
  </si>
  <si>
    <t>src/server/notifications/channels.ts</t>
  </si>
  <si>
    <t>WF-001</t>
  </si>
  <si>
    <t>Customer</t>
  </si>
  <si>
    <t>Customer product purchase</t>
  </si>
  <si>
    <t>Every step works: location, search, eligible shops, comparison, cart, address, slot, payment by wallet or COD, order created; out-of-stock substitution; closed-shop confirmation.</t>
  </si>
  <si>
    <t>Online payment at checkout built (sandbox); live keys needed</t>
  </si>
  <si>
    <t>Baseline; #10; #11; #23; #24; #31; #55; #190 (batch)</t>
  </si>
  <si>
    <t>Baseline; #14; #19; #23; #24; #43; #57; #194</t>
  </si>
  <si>
    <t>Live gateway keys</t>
  </si>
  <si>
    <t>src/server/services/orders.ts#checkout</t>
  </si>
  <si>
    <t>WF-002</t>
  </si>
  <si>
    <t>Shop</t>
  </si>
  <si>
    <t>Shop fulfillment</t>
  </si>
  <si>
    <t>Notify -&gt; accept -&gt; stock check -&gt; substitute/remove -&gt; pick -&gt; pack -&gt; READY</t>
  </si>
  <si>
    <t>#10; #24 (closed shop); #58 (accept timeout)</t>
  </si>
  <si>
    <t>#14; #24; #65</t>
  </si>
  <si>
    <t>WF-003</t>
  </si>
  <si>
    <t>System</t>
  </si>
  <si>
    <t>Gig assignment</t>
  </si>
  <si>
    <t>Auto-trigger, whitelist filter, priority, reliability, fairness, escalation, bounded retry with a full attempt log</t>
  </si>
  <si>
    <t>Baseline; #10; #11; #23 (Phase C); #55 (F3); #58 (batching)</t>
  </si>
  <si>
    <t>Baseline; #14; #19; #23; #57; #65</t>
  </si>
  <si>
    <t>Load batching tracked under GA-005 Offers go to one rider at a time (2-min expiry); no radius widening.</t>
  </si>
  <si>
    <t>WF-004</t>
  </si>
  <si>
    <t>System/Society</t>
  </si>
  <si>
    <t>Society authorized delivery</t>
  </si>
  <si>
    <t>Identify society -&gt; rider list -&gt; filter/priority -&gt; security alert; Phase C added gate entry mode and the security-desk contact</t>
  </si>
  <si>
    <t>src/server/services/delivery-assignment.ts; src/server/services/societies.ts</t>
  </si>
  <si>
    <t>WF-005</t>
  </si>
  <si>
    <t>Gig</t>
  </si>
  <si>
    <t>Pickup code -&gt; OTP -&gt; delivered; failed -&gt; returned; society access notes; Phase C added 'arrived at shop' / 'arrived at customer' checkpoints with notifications, navigation deep links and rider-side privacy</t>
  </si>
  <si>
    <t>F4.2.7</t>
  </si>
  <si>
    <t>Baseline; #10; #23 (Phase C); #29</t>
  </si>
  <si>
    <t>Baseline; #14; #23; #29</t>
  </si>
  <si>
    <t>In-app turn-by-turn navigation (deep link to Google Maps instead)</t>
  </si>
  <si>
    <t>src/server/services/delivery-assignment.ts:599; src/components/delivery-partner-dashboard.tsx:634-667</t>
  </si>
  <si>
    <t>WF-006</t>
  </si>
  <si>
    <t>Customer/System</t>
  </si>
  <si>
    <t>Subscription orders carry address/society -&gt; fulfilment -&gt; dispatch -&gt; settlement</t>
  </si>
  <si>
    <t>F7.3.1, F7.3.3</t>
  </si>
  <si>
    <t>Baseline; #11; #58</t>
  </si>
  <si>
    <t>Baseline; #19; #65</t>
  </si>
  <si>
    <t>WF-007</t>
  </si>
  <si>
    <t>Customer/Operator</t>
  </si>
  <si>
    <t>Return/refund</t>
  </si>
  <si>
    <t>Report -&gt; return request -&gt; validation -&gt; approval -&gt; rider pickup -&gt; inspection -&gt; refund, end to end, with who bears the cost configurable per reason</t>
  </si>
  <si>
    <t>#10; #23 (Phase E)</t>
  </si>
  <si>
    <t>Replacement instead of refund</t>
  </si>
  <si>
    <t>src/server/services/returns.ts; src/server/services/return-pickups.ts</t>
  </si>
  <si>
    <t>WF-008</t>
  </si>
  <si>
    <t>Shop/Operator</t>
  </si>
  <si>
    <t>Shop onboarding</t>
  </si>
  <si>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</si>
  <si>
    <t>F8.3.1</t>
  </si>
  <si>
    <t>Baseline; #22; #29; #45; #53; #58 (SM-002)</t>
  </si>
  <si>
    <t>Baseline; #19; #29; #47; #54; #65</t>
  </si>
  <si>
    <t>src/server/services/shops.ts; src/server/services/seller-verification.ts; docs/seller-verification/README.md</t>
  </si>
  <si>
    <t>WF-009</t>
  </si>
  <si>
    <t>Marketing campaign</t>
  </si>
  <si>
    <t>Audience -&gt; consent -&gt; budget -&gt; operations approval -&gt; send -&gt; tracking (opened, converted, revenue)</t>
  </si>
  <si>
    <t>src/app/api/admin/campaigns/route.ts</t>
  </si>
  <si>
    <t>WF-010</t>
  </si>
  <si>
    <t>System/Finance</t>
  </si>
  <si>
    <t>Settlement</t>
  </si>
  <si>
    <t>GMV -&gt; commission -&gt; refunds -&gt; adjustments -&gt; settlement -&gt; payout -&gt; reconciliation</t>
  </si>
  <si>
    <t>src/server/services/finance.ts</t>
  </si>
  <si>
    <t>RBAC-001</t>
  </si>
  <si>
    <t>Browse/search</t>
  </si>
  <si>
    <t>Browsing and search are open to every role, including signed-out visitors.</t>
  </si>
  <si>
    <t>RBAC-002</t>
  </si>
  <si>
    <t>Place order</t>
  </si>
  <si>
    <t>Personal orders for every role; B2B a separate flow (order_type PERSONAL/B2B, buyer_shop_id, ORDER_PLACE_B2B)</t>
  </si>
  <si>
    <t>src/server/db/schema.ts (orderTypeEnum); src/server/authz/permissions.ts</t>
  </si>
  <si>
    <t>RBAC-003</t>
  </si>
  <si>
    <t>Manage own shop</t>
  </si>
  <si>
    <t>Shop owners manage their own shop; admins full. No 'Limited' operator scope for shop management.</t>
  </si>
  <si>
    <t>F8.4.2</t>
  </si>
  <si>
    <t>OPERATOR_LIMITED role live on test; production by role grant</t>
  </si>
  <si>
    <t>Baseline; #190 (batch)</t>
  </si>
  <si>
    <t>src/server/authz/permissions.ts</t>
  </si>
  <si>
    <t>RBAC-004</t>
  </si>
  <si>
    <t>Manage catalog</t>
  </si>
  <si>
    <t>Shop owners manage their own listings, prices and stock; operators and admins manage any shop's catalogue (permission-gated).</t>
  </si>
  <si>
    <t>Baseline; #38</t>
  </si>
  <si>
    <t>RBAC-005</t>
  </si>
  <si>
    <t>Upload product lists</t>
  </si>
  <si>
    <t>Shop owners upload Excel product / price lists for their own shop; operators and admins for any shop.</t>
  </si>
  <si>
    <t>RBAC-006</t>
  </si>
  <si>
    <t>Verify shop</t>
  </si>
  <si>
    <t>Only operators and admins can approve, reject or suspend shops.</t>
  </si>
  <si>
    <t>RBAC-007</t>
  </si>
  <si>
    <t>Assign delivery</t>
  </si>
  <si>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</si>
  <si>
    <t>Baseline; #10; #23 (Phase C)</t>
  </si>
  <si>
    <t>src/server/services/delivery-assignment.ts; src/app/api/orders/[id]/assign/route.ts; drizzle/0027</t>
  </si>
  <si>
    <t>RBAC-008</t>
  </si>
  <si>
    <t>Manage own availability</t>
  </si>
  <si>
    <t>Riders set their own online / offline status; admins can also take a rider offline.</t>
  </si>
  <si>
    <t>RBAC-009</t>
  </si>
  <si>
    <t>Whitelist Gig workers</t>
  </si>
  <si>
    <t>Society-scoped roles; SOCIETY_MANAGE_ANY for platform staff</t>
  </si>
  <si>
    <t>F5.2.1</t>
  </si>
  <si>
    <t>RBAC-010</t>
  </si>
  <si>
    <t>View all orders</t>
  </si>
  <si>
    <t>ORDER_VIEW_OWN / _SHOP / _ANY; society dashboard shows society deliveries without customer PII; operator holds ORDER_VIEW_ANY and now has its own order-monitoring screen with status/shop/date filters</t>
  </si>
  <si>
    <t>Baseline; #21 (order monitoring)</t>
  </si>
  <si>
    <t>src/server/authz/permissions.ts:284-306; src/app/admin/orders/page.tsx; src/components/order-monitoring-table.tsx</t>
  </si>
  <si>
    <t>RBAC-011</t>
  </si>
  <si>
    <t>Refund approval</t>
  </si>
  <si>
    <t>ORDER_REFUND for operator/admin</t>
  </si>
  <si>
    <t>RBAC-012</t>
  </si>
  <si>
    <t>Settlement visibility per role; operator exceptions-only view</t>
  </si>
  <si>
    <t>RBAC-013</t>
  </si>
  <si>
    <t>Manage users/roles</t>
  </si>
  <si>
    <t>Admins assign roles, grant multiple roles and edit privileges (explicit Save, last-admin guard); operators view users but cannot change roles.</t>
  </si>
  <si>
    <t>Baseline (role assignment); #18 (multi-role); #30 (privileges screen)</t>
  </si>
  <si>
    <t>Baseline; #19; #32</t>
  </si>
  <si>
    <t>RBAC-014</t>
  </si>
  <si>
    <t>System configuration</t>
  </si>
  <si>
    <t>Extended by NEW-001 (business-rules console, Phase A-J)</t>
  </si>
  <si>
    <t>#23 (settings screen)</t>
  </si>
  <si>
    <t>#23</t>
  </si>
  <si>
    <t>RBAC-015</t>
  </si>
  <si>
    <t>Admins read the full audit log; operators get a limited audit view.</t>
  </si>
  <si>
    <t>SM-001</t>
  </si>
  <si>
    <t>Order</t>
  </si>
  <si>
    <t>Order state machine</t>
  </si>
  <si>
    <t>ACCEPTED, ASSIGNED, PICKED_UP, FAILED, RETURNED, DISPUTED added; full transition table + history + audit</t>
  </si>
  <si>
    <t>src/server/db/schema.ts:123 (orderStatusEnum)</t>
  </si>
  <si>
    <t>SM-002</t>
  </si>
  <si>
    <t>Shop state machine</t>
  </si>
  <si>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</si>
  <si>
    <t>F8.2.4</t>
  </si>
  <si>
    <t>Live since release #65 (migration 0051); the approval gate follows statusModels.enforceTransitions (true)</t>
  </si>
  <si>
    <t>#23 (Phase G suspension); #55 (F1); #58</t>
  </si>
  <si>
    <t>#23; #57; #65</t>
  </si>
  <si>
    <t>APPLIED is not a separate stage (a registered shop starts in KYC_PENDING).</t>
  </si>
  <si>
    <t>drizzle/0051_shop_onboarding_states.sql; src/lib/shop-onboarding.ts; src/server/services/shop-onboarding.ts; tests/integration/shop-onboarding-states.test.ts</t>
  </si>
  <si>
    <t>SM-003</t>
  </si>
  <si>
    <t>Gig state machine</t>
  </si>
  <si>
    <t>F1: rider lifecycle ONBOARDING / OFFLINE / AVAILABLE / BUSY / ON_DELIVERY / SUSPENDED / REJECTED / INACTIVE, derived from the existing columns by a database trigger; transitions enforced in the database and every change logged with its actor (status_changes, /admin/status-changes).</t>
  </si>
  <si>
    <t>Live since release #57 (migration 0042) (statusModels.enforceTransitions = true)</t>
  </si>
  <si>
    <t>#23 (Phase C checkpoints); #55 (F1)</t>
  </si>
  <si>
    <t>#23; #57</t>
  </si>
  <si>
    <t>Mapping, not new enum values: APPLIED + KYC_PENDING = ONBOARDING (detail kept in REGISTERED / UNDER_REVIEW), ONLINE = AVAILABLE, ASSIGNED = BUSY, PICKED_UP / DELIVERING = ON_DELIVERY, BLOCKED = SUSPENDED.</t>
  </si>
  <si>
    <t>src/lib/status-models.ts; drizzle/0042_status_models.sql; tests/integration/status-models.test.ts</t>
  </si>
  <si>
    <t>SM-004</t>
  </si>
  <si>
    <t>Subscription state machine</t>
  </si>
  <si>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</si>
  <si>
    <t>F7.1.1, F7.3.2</t>
  </si>
  <si>
    <t>Live since release #65 (migration 0052) (renewal rule subscriptionRenewal on: 3 days' notice before the end date, 1 day of payment cover)</t>
  </si>
  <si>
    <t>#11; #55 (F1); #58</t>
  </si>
  <si>
    <t>#19; #57; #65</t>
  </si>
  <si>
    <t>drizzle/0052_subscription_states.sql; src/server/services/subscription-schedule.ts; src/server/services/subscription-renewal.ts; tests/integration/subscription-states.test.ts</t>
  </si>
  <si>
    <t>SM-005</t>
  </si>
  <si>
    <t>Payment</t>
  </si>
  <si>
    <t>Payment state machine</t>
  </si>
  <si>
    <t>Unchanged: payment_status CREATED / PENDING / SUCCESS / FAILED / REFUNDED (wallet top-ups only).</t>
  </si>
  <si>
    <t>F1.8.4</t>
  </si>
  <si>
    <t>RECONCILED / CHARGEBACK states not added</t>
  </si>
  <si>
    <t>src/server/db/schema.ts (paymentStatusEnum)</t>
  </si>
  <si>
    <t>SM-006</t>
  </si>
  <si>
    <t>Issue</t>
  </si>
  <si>
    <t>Issue state machine</t>
  </si>
  <si>
    <t>Tickets linked to orders; returns 13-status machine; dispute cases have OPEN / TRIAGED / INVESTIGATING / RESOLUTION_PROPOSED / ESCALATED / RESOLVED; grievances still OPEN / IN_PROGRESS / RESOLVED / CLOSED.</t>
  </si>
  <si>
    <t>F6.3.3</t>
  </si>
  <si>
    <t>Live (help desk + grievance portal)</t>
  </si>
  <si>
    <t>#11 (grievances); #40 (dispute states); #190 (batch)</t>
  </si>
  <si>
    <t>#19; #40; #194</t>
  </si>
  <si>
    <t>Grievance Officer details to publish</t>
  </si>
  <si>
    <t>Owner inputs §7</t>
  </si>
  <si>
    <t>src/server/db/schema.ts (grievanceStatusEnum); src/lib/dispute-states.ts</t>
  </si>
  <si>
    <t>GA-001</t>
  </si>
  <si>
    <t>Society authorization</t>
  </si>
  <si>
    <t>Exclusive society -&gt; only listed riders offered</t>
  </si>
  <si>
    <t>F3.1.1</t>
  </si>
  <si>
    <t>src/server/services/delivery-assignment.ts:97</t>
  </si>
  <si>
    <t>GA-002</t>
  </si>
  <si>
    <t>Society preferred partner</t>
  </si>
  <si>
    <t>Listed / preferred riders ranked first</t>
  </si>
  <si>
    <t>src/server/services/delivery-assignment.ts:97-137</t>
  </si>
  <si>
    <t>GA-003</t>
  </si>
  <si>
    <t>Distance</t>
  </si>
  <si>
    <t>Riders closer to the shop score higher in the ranking (straight-line distance; road distance when routing is switched on).</t>
  </si>
  <si>
    <t>F3.2.2</t>
  </si>
  <si>
    <t>GA-004</t>
  </si>
  <si>
    <t>Availability</t>
  </si>
  <si>
    <t>Only APPROVED riders who are online and not suspended are considered for an offer.</t>
  </si>
  <si>
    <t>GA-005</t>
  </si>
  <si>
    <t>Current load</t>
  </si>
  <si>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</si>
  <si>
    <t>F3.2.3</t>
  </si>
  <si>
    <t>Off by default - switch on in Admin &gt; Business rules (rule: batching.enabled; F3 busy-rider fallback: dispatch.busyRidersAsFallback)</t>
  </si>
  <si>
    <t>Baseline (busy riders excluded); #55 (F3 fallback); #58 (batching)</t>
  </si>
  <si>
    <t>src/server/services/delivery-trips.ts; drizzle/0054_delivery_trips.sql; tests/integration/rider-batching.test.ts</t>
  </si>
  <si>
    <t>GA-006</t>
  </si>
  <si>
    <t>Shop readiness</t>
  </si>
  <si>
    <t>Rider requested automatically when the shop marks READY</t>
  </si>
  <si>
    <t>F2.2.3</t>
  </si>
  <si>
    <t>GA-007</t>
  </si>
  <si>
    <t>Reliability</t>
  </si>
  <si>
    <t>Reliability score (30-day completions vs failures/declines) in ranking</t>
  </si>
  <si>
    <t>src/server/services/delivery-assignment.ts:126</t>
  </si>
  <si>
    <t>GA-008</t>
  </si>
  <si>
    <t>Fairness</t>
  </si>
  <si>
    <t>Fairness penalty per offer received today</t>
  </si>
  <si>
    <t>src/server/services/delivery-assignment.ts:85</t>
  </si>
  <si>
    <t>GA-009</t>
  </si>
  <si>
    <t>No worker</t>
  </si>
  <si>
    <t>Offers expire after 2 min; auto-retry; shop notified. Phase C added a bounded search with a total time limit, delivery-window expiry, manual cooldown, a stop control and a 'rider assignment failed' notification; 'No rider' is an ops exception</t>
  </si>
  <si>
    <t>Baseline; #10; #23 (Phase F alert)</t>
  </si>
  <si>
    <t>Radius widening Retry with cron + operations intervention; the search radius is not widened.</t>
  </si>
  <si>
    <t>src/server/services/delivery-assignment.ts; src/server/notifications/templates.ts (DELIVERY_SEARCH_STOPPED)</t>
  </si>
  <si>
    <t>NAV-001</t>
  </si>
  <si>
    <t>Customer portal - Home</t>
  </si>
  <si>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</si>
  <si>
    <t>F1.3.1, F1.4.2</t>
  </si>
  <si>
    <t>Off by default - switch on in Admin &gt; Business rules (rule: homePriceComparison.enabled)</t>
  </si>
  <si>
    <t>Baseline; #23 (search-first landing); #55 (F9); #67 (speed); #68 (error boundary); #83 (redesign); #122 (board is the whole page); #127, #130 (shared figures cache, 8 s)</t>
  </si>
  <si>
    <t>Baseline; #23; #57; #65; #69; #84; #123; #129; #131</t>
  </si>
  <si>
    <t>The category grid was deliberately removed in favour of search-first; categories are reachable from shops and search.</t>
  </si>
  <si>
    <t>src/app/page.tsx; src/server/services/price-comparison.ts; tests/integration/price-comparison.test.ts; src/app/search/compare; docs/tile-board-2026-10/UI_PASS_2026-10-09.md</t>
  </si>
  <si>
    <t>NAV-002</t>
  </si>
  <si>
    <t>Customer portal - Shop</t>
  </si>
  <si>
    <t>Shop profile, catalogue, rating + reviews, opening hours, delivery options, and F8 shop offers (product or category, dated) shown on the shop page and priced in cart and checkout.</t>
  </si>
  <si>
    <t>F1.5.4, F11.2.1</t>
  </si>
  <si>
    <t>Off by default - switch on in Admin &gt; Business rules (rule: shopOffers.enabled)</t>
  </si>
  <si>
    <t>Baseline; #11 (rating, reviews); #24 (hours); #55 (F8 offers); #122 (products first); #124 (category tabs, six a page)</t>
  </si>
  <si>
    <t>Baseline; #19; #24; #57; #123; #126</t>
  </si>
  <si>
    <t>src/server/services/shop-offers.ts; src/app/shop/offers; drizzle/0048_shop_offers.sql</t>
  </si>
  <si>
    <t>NAV-003</t>
  </si>
  <si>
    <t>Customer portal - Cart &amp; Checkout</t>
  </si>
  <si>
    <t>Cart, address re-validation with actions, slot choice with capacity (F5), F7 order-level coupons (flat / %, minimum order, dates, total and per-customer limits, split by goods value, server-validated), F8 offers priced in cart, wallet / COD payment.</t>
  </si>
  <si>
    <t>F1.5.4</t>
  </si>
  <si>
    <t>Online payment at checkout built (sandbox); coupons rule unchanged</t>
  </si>
  <si>
    <t>Baseline; #23 (Phase B); #31; #48; #55 (F7 coupons); #190 (batch)</t>
  </si>
  <si>
    <t>Baseline; #23; #43; #71; #57; #194</t>
  </si>
  <si>
    <t>src/components/cart-view.tsx; src/server/services/coupons.ts; drizzle/0047_coupons.sql</t>
  </si>
  <si>
    <t>NAV-004</t>
  </si>
  <si>
    <t>Customer portal - Orders</t>
  </si>
  <si>
    <t>Rate an order, report a problem, request a return (/orders/{id}/return, /returns), live tracking panel on in-flight orders, and raise / follow a dispute case</t>
  </si>
  <si>
    <t>Baseline; #29 (tracking); #122 (tabs, Cancel order)</t>
  </si>
  <si>
    <t>Baseline; #29; #123</t>
  </si>
  <si>
    <t>src/app/orders/page.tsx</t>
  </si>
  <si>
    <t>NAV-005</t>
  </si>
  <si>
    <t>Customer portal - Subscriptions</t>
  </si>
  <si>
    <t>/subscriptions and /subscriptions/[id]: active plans, schedule calendar, skip / pause / resume / cancel, per-date delivery status; Tomorrow's delivery card on the home page.</t>
  </si>
  <si>
    <t>F7.3.3</t>
  </si>
  <si>
    <t>Baseline; #58 (per-date status); #83 (Tomorrow's delivery); #122 (Tomorrow tab)</t>
  </si>
  <si>
    <t>Baseline; #65; #84; #123</t>
  </si>
  <si>
    <t>NAV-006</t>
  </si>
  <si>
    <t>Shop portal - Dashboard</t>
  </si>
  <si>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</si>
  <si>
    <t>Baseline; #23 (Phase J); #45 (owner name); #122 (split into /shop/manage); #124 (Today tabs)</t>
  </si>
  <si>
    <t>Baseline; #23; #47; #123; #126</t>
  </si>
  <si>
    <t>src/server/services/dashboards.ts:63; src/app/shop/page.tsx; src/app/shop/manage/[section]</t>
  </si>
  <si>
    <t>NAV-007</t>
  </si>
  <si>
    <t>Shop portal - Catalog</t>
  </si>
  <si>
    <t>/shop/inventory, /shop/prices, /shop/product-categories, /shop/catalogue (photo tiles) and product images: products, bulk upload, prices, stock, categories.</t>
  </si>
  <si>
    <t>Baseline; #38; #45; #79 (photo catalogue); #122 (own pages); #124 (product manager paged)</t>
  </si>
  <si>
    <t>Baseline; #43; #47; #82; #123; #126</t>
  </si>
  <si>
    <t>NAV-008</t>
  </si>
  <si>
    <t>Shop portal - Orders</t>
  </si>
  <si>
    <t>/shop/orders: new, accepted, preparing, ready, completed and cancelled orders with accept / reject / substitute / pick / pack / ready actions.</t>
  </si>
  <si>
    <t>F2.1.1</t>
  </si>
  <si>
    <t>Baseline; #10; #122 (status tabs)</t>
  </si>
  <si>
    <t>Baseline; #14; #123</t>
  </si>
  <si>
    <t>NAV-009</t>
  </si>
  <si>
    <t>Shop portal - Marketing</t>
  </si>
  <si>
    <t>/shop/marketing (customers, segments, campaigns, COD setting)</t>
  </si>
  <si>
    <t>#18; #55 (F8 shop offers)</t>
  </si>
  <si>
    <t>#19; #57</t>
  </si>
  <si>
    <t>src/app/shop/marketing/page.tsx</t>
  </si>
  <si>
    <t>NAV-010</t>
  </si>
  <si>
    <t>Shop portal - Finance</t>
  </si>
  <si>
    <t>/shop/finance: commission, settlements, payouts and the shop ledger; tax invoices per delivered order (when invoicing is on).</t>
  </si>
  <si>
    <t>#10; #58 (invoices)</t>
  </si>
  <si>
    <t>#14; #65</t>
  </si>
  <si>
    <t>Invoices built (NEW-007, rule invoicing.enabled, off by default): /shop/finance lists them.</t>
  </si>
  <si>
    <t>src/app/shop/finance/page.tsx</t>
  </si>
  <si>
    <t>NAV-011</t>
  </si>
  <si>
    <t>Gig portal - Jobs</t>
  </si>
  <si>
    <t>/delivery-partner and /gig/orders: available offers, assigned and active jobs, history; ordered trip list when batching is on.</t>
  </si>
  <si>
    <t>F4.1.1</t>
  </si>
  <si>
    <t>Baseline; #21; #58 (trip list)</t>
  </si>
  <si>
    <t>NAV-012</t>
  </si>
  <si>
    <t>Gig portal - Earnings</t>
  </si>
  <si>
    <t>Rider earnings with status + payouts list, now with a per-earning breakdown</t>
  </si>
  <si>
    <t>Baseline; #21; #23 (Phase D)</t>
  </si>
  <si>
    <t>Baseline; #19; #23</t>
  </si>
  <si>
    <t>src/app/gig/orders/page.tsx; src/app/api/delivery-partner/earnings/route.ts</t>
  </si>
  <si>
    <t>NAV-013</t>
  </si>
  <si>
    <t>Gig portal - Profile</t>
  </si>
  <si>
    <t>F2: rider edits own profile (vehicle, availability details) at /gig/profile; identity and bank changes go to an admin review queue, stored encrypted (/admin/rider-changes).</t>
  </si>
  <si>
    <t>#21 (read-only profile); #55 (F2 self-edit)</t>
  </si>
  <si>
    <t>src/server/services/rider-profile.ts; drizzle/0043_rider_change_requests.sql; tests/integration/rider-profile.test.ts</t>
  </si>
  <si>
    <t>NAV-014</t>
  </si>
  <si>
    <t>Society portal - Dashboard</t>
  </si>
  <si>
    <t>/society/{id} dashboard (rules, residents, riders, shops, deliveries)</t>
  </si>
  <si>
    <t>src/app/society/[id]/page.tsx</t>
  </si>
  <si>
    <t>NAV-015</t>
  </si>
  <si>
    <t>Operator</t>
  </si>
  <si>
    <t>Operator portal - Operations</t>
  </si>
  <si>
    <t>/admin/finance/exceptions and the non-finance /admin/exceptions queue with per-row actions</t>
  </si>
  <si>
    <t>#21; #74 (menu link)</t>
  </si>
  <si>
    <t>#19; #73</t>
  </si>
  <si>
    <t>src/app/admin/exceptions/page.tsx; src/components/ops-exception-actions.tsx</t>
  </si>
  <si>
    <t>NAV-016</t>
  </si>
  <si>
    <t>Operator portal - Orders</t>
  </si>
  <si>
    <t>/admin/orders order-monitoring screen with status, shop and date-range filters, gated on ORDER_VIEW_ANY</t>
  </si>
  <si>
    <t>#21; #29 (Track toggle); #74 (menu link)</t>
  </si>
  <si>
    <t>#19; #29; #73</t>
  </si>
  <si>
    <t>src/app/admin/orders/page.tsx; src/components/order-monitoring-table.tsx</t>
  </si>
  <si>
    <t>NAV-017</t>
  </si>
  <si>
    <t>Admin portal - Control Tower</t>
  </si>
  <si>
    <t>/admin/dashboard: live operations, in-flight orders, KPIs, risk flags, shop approvals, with links into orders, finance and exceptions</t>
  </si>
  <si>
    <t>#21; #23 (Phase J); #74 (menu link); #122 (console split); #124 (section tabs)</t>
  </si>
  <si>
    <t>#19; #23; #73; #123; #126</t>
  </si>
  <si>
    <t>src/app/admin/dashboard/page.tsx; src/app/admin/console/[section]; src/app/admin/menu/[key]</t>
  </si>
  <si>
    <t>NAV-018</t>
  </si>
  <si>
    <t>Admin portal - Analytics</t>
  </si>
  <si>
    <t>/admin/analytics and /shop/analytics</t>
  </si>
  <si>
    <t>NAV-019</t>
  </si>
  <si>
    <t>Admin portal - Security</t>
  </si>
  <si>
    <t>Fraud side: /admin/risk over 11 risk rules. NEW consent side: /admin/consents behind CONSENT_VIEW (operator + admin) - per-type consent standing vs live policy version, recent grant/withdrawal trail, per-person audited lookup; stored IP never returned</t>
  </si>
  <si>
    <t>F12.2.4</t>
  </si>
  <si>
    <t>#18 (/admin/risk); #34 (/admin/consents)</t>
  </si>
  <si>
    <t>#19; #34</t>
  </si>
  <si>
    <t>src/app/admin/consents/page.tsx; src/server/authz/permissions.ts (CONSENT_VIEW); tests/integration/consents.test.ts</t>
  </si>
  <si>
    <t>KPI-001</t>
  </si>
  <si>
    <t>GMV</t>
  </si>
  <si>
    <t>GMV plus a daily GMV trend</t>
  </si>
  <si>
    <t>KPI-002</t>
  </si>
  <si>
    <t>Order fill rate</t>
  </si>
  <si>
    <t>delivered / placed in window</t>
  </si>
  <si>
    <t>KPI-003</t>
  </si>
  <si>
    <t>Shop acceptance time</t>
  </si>
  <si>
    <t>duration from placed to accepted</t>
  </si>
  <si>
    <t>KPI-004</t>
  </si>
  <si>
    <t>Pick-pack time</t>
  </si>
  <si>
    <t>duration from accepted to READY</t>
  </si>
  <si>
    <t>KPI-005</t>
  </si>
  <si>
    <t>Assignment time</t>
  </si>
  <si>
    <t>duration from READY to rider accepted</t>
  </si>
  <si>
    <t>KPI-006</t>
  </si>
  <si>
    <t>Delivery time</t>
  </si>
  <si>
    <t>duration from pickup to delivered</t>
  </si>
  <si>
    <t>KPI-007</t>
  </si>
  <si>
    <t>On-time delivery rate</t>
  </si>
  <si>
    <t>delivered within the promised window</t>
  </si>
  <si>
    <t>KPI-008</t>
  </si>
  <si>
    <t>Cancellation rate</t>
  </si>
  <si>
    <t>Cancelled orders / orders placed, on /admin/analytics and /shop/analytics.</t>
  </si>
  <si>
    <t>KPI-009</t>
  </si>
  <si>
    <t>Refund rate</t>
  </si>
  <si>
    <t>refund rate by count and by value</t>
  </si>
  <si>
    <t>KPI-010</t>
  </si>
  <si>
    <t>Customer repeat rate</t>
  </si>
  <si>
    <t>ordering vs repeat vs returning customers</t>
  </si>
  <si>
    <t>KPI-011</t>
  </si>
  <si>
    <t>Subscription retention</t>
  </si>
  <si>
    <t>retained subscriptions period over period</t>
  </si>
  <si>
    <t>KPI-012</t>
  </si>
  <si>
    <t>Gig acceptance rate</t>
  </si>
  <si>
    <t>offers accepted / offers made</t>
  </si>
  <si>
    <t>KPI-013</t>
  </si>
  <si>
    <t>Gig utilization</t>
  </si>
  <si>
    <t>active delivery time against availability</t>
  </si>
  <si>
    <t>KPI-014</t>
  </si>
  <si>
    <t>Shop retention</t>
  </si>
  <si>
    <t>shops active last period still active</t>
  </si>
  <si>
    <t>KPI-015</t>
  </si>
  <si>
    <t>Marketing conversion</t>
  </si>
  <si>
    <t>Campaign conversion within the attribution window</t>
  </si>
  <si>
    <t>src/server/services/analytics.ts</t>
  </si>
  <si>
    <t>NEW-001</t>
  </si>
  <si>
    <t>Business-rules console (admin-tunable thresholds)</t>
  </si>
  <si>
    <t>platform_settings + /admin/settings: nine rule groups (otp, dispatch, riderEarnings, returns, images, notifications, suspension, mrp, externalPrices) with code defaults, server-side validation and an audit trail. This is what makes 'configurable' true across the other features</t>
  </si>
  <si>
    <t>F12.2.2</t>
  </si>
  <si>
    <t>#23 (Phase A rules, settings screen)</t>
  </si>
  <si>
    <t>Per-field forms instead of JSON editing</t>
  </si>
  <si>
    <t>src/server/config/rules.ts; src/server/services/settings.ts; src/app/admin/settings/page.tsx; drizzle/0025</t>
  </si>
  <si>
    <t>NEW-002</t>
  </si>
  <si>
    <t>Shop suspension policy, impact preview &amp; review</t>
  </si>
  <si>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</si>
  <si>
    <t>F8.4.1</t>
  </si>
  <si>
    <t>#23 (Phase G)</t>
  </si>
  <si>
    <t>src/server/services/shop-suspension.ts; src/server/services/shop-suspension-guard.ts; src/app/admin/suspensions/page.tsx; drizzle/0031</t>
  </si>
  <si>
    <t>NEW-003</t>
  </si>
  <si>
    <t>Order placed while the shop is closed</t>
  </si>
  <si>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</si>
  <si>
    <t>F1.6.3</t>
  </si>
  <si>
    <t>#24</t>
  </si>
  <si>
    <t>src/server/db/schema.ts:1600,1653; src/server/services/shop-opening.ts; src/server/notifications/templates.ts</t>
  </si>
  <si>
    <t>NEW-004</t>
  </si>
  <si>
    <t>Rider arrival checkpoints &amp; customer notices</t>
  </si>
  <si>
    <t>'Arrived at shop' and 'arrived at customer' checkpoints on the delivery, each with a notification; rider-side privacy (area only until pickup, never the customer's name, phone or handover codes)</t>
  </si>
  <si>
    <t>#23 (Phase C)</t>
  </si>
  <si>
    <t>drizzle/0027; src/server/services/delivery-assignment.ts:597-612; src/components/delivery-partner-dashboard.tsx</t>
  </si>
  <si>
    <t>NEW-005</t>
  </si>
  <si>
    <t>Minimum order value, pause new orders, extra delivery PIN zones</t>
  </si>
  <si>
    <t>Per-shop minimum order value (CHECK-constrained), a 'pause new orders' switch and extra delivery PIN codes beyond the radius; serviceability, discovery, cart validation and checkout all honour them</t>
  </si>
  <si>
    <t>F1.5.3, F8.3.3</t>
  </si>
  <si>
    <t>#23 (Phase B)</t>
  </si>
  <si>
    <t>src/server/db/schema.ts:691-702,875; drizzle/0026</t>
  </si>
  <si>
    <t>NEW-006</t>
  </si>
  <si>
    <t>D10 cancellation &amp; refund policy (verified)</t>
  </si>
  <si>
    <t>Cancellation policy verified against code, history and tests at every stage (CONFIRMED / ACCEPTED / PREPARING / READY / ASSIGNED / PICKED_UP / OUT_FOR_DELIVERY) for customer and shop; two real gaps fixed; retained delivery fee journaled; 13 characterization tests</t>
  </si>
  <si>
    <t>F6.1.1, F6.1.3</t>
  </si>
  <si>
    <t>#10 (D10 policy); #23 (Phase H verification); #190 (batch)</t>
  </si>
  <si>
    <t>#14; #23; #194</t>
  </si>
  <si>
    <t>tests/integration/d10-cancellation-policy.test.ts; docs/gokesari-audit/D10_VERIFICATION.md</t>
  </si>
  <si>
    <t>NEW-007</t>
  </si>
  <si>
    <t>Direct per-order payments, tax invoicing, photo POD, accept timeout</t>
  </si>
  <si>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</si>
  <si>
    <t>F1.7.3, F2.1.3, F4.2.4, F10.1.2</t>
  </si>
  <si>
    <t>All four parts built; per-order online payment off until live keys</t>
  </si>
  <si>
    <t>#23 (design doc); #58 (invoicing, photo POD, accept timeout); #190 (batch)</t>
  </si>
  <si>
    <t>#23; #65; #194</t>
  </si>
  <si>
    <t>Live gateway keys; CA to confirm invoice rates / HSN (NEW-027)</t>
  </si>
  <si>
    <t>src/server/services/invoices.ts; src/server/services/delivery-proofs.ts; src/server/services/shop-acceptance.ts; drizzle/0055_order_completion.sql; tests/integration/order-completion.test.ts</t>
  </si>
  <si>
    <t>NEW-008</t>
  </si>
  <si>
    <t>Product category master &amp; shop product-category visibility</t>
  </si>
  <si>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</si>
  <si>
    <t>F8.3.2, F9.2.1</t>
  </si>
  <si>
    <t>#38; #39</t>
  </si>
  <si>
    <t>#43</t>
  </si>
  <si>
    <t>Merge to main (migration renumbering needed - see Risks) Merged to main on 3 Oct (was staging-only in the 3 Oct report).</t>
  </si>
  <si>
    <t>staging: drizzle/0038_product_category_management.sql; src/server/services/product-categories.ts; scripts/categorise-products.ts; tests/integration/product-categories.test.ts</t>
  </si>
  <si>
    <t>NEW-009</t>
  </si>
  <si>
    <t>Explicit Save flow on admin screens (categories, privileges, user profiles)</t>
  </si>
  <si>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</si>
  <si>
    <t>#30</t>
  </si>
  <si>
    <t>#32</t>
  </si>
  <si>
    <t>src/components/save-changes-bar.tsx; src/components/admin-privileges-form.tsx; tests/integration/admin-save-flows.test.ts</t>
  </si>
  <si>
    <t>NEW-010</t>
  </si>
  <si>
    <t>Shop inventory fill when a category is added; per-shop prices</t>
  </si>
  <si>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</si>
  <si>
    <t>#45</t>
  </si>
  <si>
    <t>#47</t>
  </si>
  <si>
    <t>tests/integration/shop-inventory-fill.test.ts; commits 0e2d77f, 1221420</t>
  </si>
  <si>
    <t>NEW-011</t>
  </si>
  <si>
    <t>GoKesari logo mark, name, tagline and favicon</t>
  </si>
  <si>
    <t>GK monogram logo in the header, 'GoKesari' name with tagline 'Everything for Everyone', browser tab titles, footer line; GK favicon, 192 px icon and Apple touch icon replace the Next.js template icon.</t>
  </si>
  <si>
    <t>#59, #61, #63 (staging); #60, #62 (main)</t>
  </si>
  <si>
    <t>#60; #62</t>
  </si>
  <si>
    <t>public/brand/gk-mark.png; src/app/favicon.ico; src/components/site-header.tsx</t>
  </si>
  <si>
    <t>NEW-012</t>
  </si>
  <si>
    <t>Product card quantity controls; search bar row; cart state after reload</t>
  </si>
  <si>
    <t>Each product card has a - / qty / + picker capped at stock, then in-cart controls and Remove using PATCH /api/cart/items/:id; cards show the viewer's cart quantity after a reload; header cart badge counted in one query.</t>
  </si>
  <si>
    <t>#48; #72</t>
  </si>
  <si>
    <t>#71; #73</t>
  </si>
  <si>
    <t>src/components/product-card.tsx; src/components/search-bar.tsx</t>
  </si>
  <si>
    <t>NEW-013</t>
  </si>
  <si>
    <t>Home</t>
  </si>
  <si>
    <t>Home page speed, accessibility and error boundary</t>
  </si>
  <si>
    <t>Header, hero and Deliver-to stream first; shop lists stream behind a skeleton (CLS 0); 44% less home-page JS; colour contrast and 48 px tap targets (Lighthouse a11y 100); a failed shop-list stream shows a 'Try again' card instead of a full error page.</t>
  </si>
  <si>
    <t>#67; #68</t>
  </si>
  <si>
    <t>#65; #69</t>
  </si>
  <si>
    <t>src/app/page.tsx; src/components/home-shops-boundary.tsx</t>
  </si>
  <si>
    <t>NEW-014</t>
  </si>
  <si>
    <t>Data-exposure hardening (only screen fields reach browsers)</t>
  </si>
  <si>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</si>
  <si>
    <t>#67 (shop cards); #72</t>
  </si>
  <si>
    <t>#65; #73</t>
  </si>
  <si>
    <t>tests/integration/shop-data-exposure.test.ts</t>
  </si>
  <si>
    <t>NEW-015</t>
  </si>
  <si>
    <t>Header role menus link operations and rider pages</t>
  </si>
  <si>
    <t>Operator/Admin menus link Dashboard, Order monitoring and Operations exceptions; Rider menu links My deliveries and My delivery profile (previously reachable only by typing the URL).</t>
  </si>
  <si>
    <t>#74</t>
  </si>
  <si>
    <t>#73</t>
  </si>
  <si>
    <t>src/components/site-header.tsx</t>
  </si>
  <si>
    <t>NEW-016</t>
  </si>
  <si>
    <t>Notification settings and marketing-consent switch</t>
  </si>
  <si>
    <t>'Offers &amp; campaigns' row removed from notification settings (it never controlled promotions); marketing consent shown as one labelled On/Off switch ('Offers and promotions'), off until turned on, one tap to withdraw (DPDPA s.6); last-changed date in India time.</t>
  </si>
  <si>
    <t>F11.2.3, F13.1.1</t>
  </si>
  <si>
    <t>#75; #77</t>
  </si>
  <si>
    <t>#76; #78</t>
  </si>
  <si>
    <t>src/components/marketing-consent-toggle.tsx; src/server/notifications/templates.ts</t>
  </si>
  <si>
    <t>NEW-017</t>
  </si>
  <si>
    <t>Shop photo catalogue (/shop/catalogue)</t>
  </si>
  <si>
    <t>Every product of a shop as a photo tile with its price; add/change photo and set online/in-shop price from the tile; filters for needs a photo / needs a price / awaiting approval; Create New Product takes up to 4 photos; My products shows photos.</t>
  </si>
  <si>
    <t>#79</t>
  </si>
  <si>
    <t>#82; #84</t>
  </si>
  <si>
    <t>src/components/photo-catalogue.tsx; src/lib/photo-catalogue.ts</t>
  </si>
  <si>
    <t>NEW-018</t>
  </si>
  <si>
    <t>OTP request privacy - same reply for every request</t>
  </si>
  <si>
    <t>A mobile number alone always gets SENT_IF_REGISTERED; the code is sent after the response so timing is equal; per-number rate limit; suspended accounts get the normal reply and no code; form offers 'Sign up with your email'.</t>
  </si>
  <si>
    <t>F1.1.1</t>
  </si>
  <si>
    <t>#80</t>
  </si>
  <si>
    <t>#81</t>
  </si>
  <si>
    <t>src/components/otp-login-form.tsx; tests/integration/login-profile.test.ts</t>
  </si>
  <si>
    <t>NEW-019</t>
  </si>
  <si>
    <t>Home and Shops redesign; Tomorrow's delivery card</t>
  </si>
  <si>
    <t>Header with Deliver-to pill and search, avatar menu, 4-column footer; hero with quick-search chips; Tomorrow's delivery card (qty, Skip tomorrow / Undo, wallet warning); 'Shops near &lt;area&gt;' incl. pickup-only shops; Shops page filter bar, sort, grid/list.</t>
  </si>
  <si>
    <t>F1.3.1, F7.2.1</t>
  </si>
  <si>
    <t>#83</t>
  </si>
  <si>
    <t>#84</t>
  </si>
  <si>
    <t>src/components/tomorrow-delivery-card.tsx; tests/unit/home-redesign.test.ts</t>
  </si>
  <si>
    <t>NEW-020</t>
  </si>
  <si>
    <t>Cancellation before packing - full refund; optional customer cancel until packing (item A)</t>
  </si>
  <si>
    <t>Every cancel before packing refunds goods + delivery fee (pinned by tests); new rule cancellation.customerMayCancelUntil (default CONFIRMED = unchanged; PREPARING lets customers cancel until packing, shop notified).</t>
  </si>
  <si>
    <t>F1.9.5, F6.1.2</t>
  </si>
  <si>
    <t>Off by default - rule cancellation.customerMayCancelUntil = CONFIRMED (the original behaviour); PREPARING turns it on</t>
  </si>
  <si>
    <t>#85; #190 (batch)</t>
  </si>
  <si>
    <t>#86 (reverted by #87); #120; #194</t>
  </si>
  <si>
    <t>Choose whether to switch PREPARING on</t>
  </si>
  <si>
    <t>NEW-021</t>
  </si>
  <si>
    <t>Business limits editable at /admin/settings (item B)</t>
  </si>
  <si>
    <t>New rule groups with today's values as defaults: cod, walletTopup, ratings, marketing, vouchers, settlement, deliveryOtp, returnPickup, grievances, discovery, catalogue, uploads, opsExceptions, riskRules.</t>
  </si>
  <si>
    <t>F12.2.3</t>
  </si>
  <si>
    <t>Live (defaults identical to the old fixed values)</t>
  </si>
  <si>
    <t>#85; #124 (searchable list)</t>
  </si>
  <si>
    <t>#86 (reverted by #87); #120; #126</t>
  </si>
  <si>
    <t>NEW-022</t>
  </si>
  <si>
    <t>Shop's own customer contact phone / WhatsApp (item C1)</t>
  </si>
  <si>
    <t>Customers see only the shop's own contact numbers (new fields + shop dashboard card), never the registration or login number; GoKesari customer care shown until a shop enters them. Migration 0056.</t>
  </si>
  <si>
    <t>F8.3.4</t>
  </si>
  <si>
    <t>Live (rule shopContact = SHOP_CONTACT)</t>
  </si>
  <si>
    <t>#85</t>
  </si>
  <si>
    <t>#86 (reverted by #87); #120</t>
  </si>
  <si>
    <t>NEW-023</t>
  </si>
  <si>
    <t>Only verified societies can add or prefer riders (item C2)</t>
  </si>
  <si>
    <t>Enforced in the service for every caller; unverified society admins are refused. Rule societyRiders.</t>
  </si>
  <si>
    <t>F5.2.2</t>
  </si>
  <si>
    <t>Live (rule societyRiders.requireVerifiedSociety = true)</t>
  </si>
  <si>
    <t>NEW-024</t>
  </si>
  <si>
    <t>Open-order prompt before paying (item C3)</t>
  </si>
  <si>
    <t>Cart shows the customer's open order(s) with status before paying: Cancel this order (when D10 allows) or Ignore and continue; duplicate-product check keeps showing other shops' pending products. Rule openOrderCheck.</t>
  </si>
  <si>
    <t>F1.5.5</t>
  </si>
  <si>
    <t>Live (rule openOrderCheck on, ANY_SHOP)</t>
  </si>
  <si>
    <t>NEW-025</t>
  </si>
  <si>
    <t>Voucher codes visible to operators and admins (item C4)</t>
  </si>
  <si>
    <t>Decision matched existing behaviour: operators/admins see full voucher codes; customers, shop owners, riders and society admins get 403. Pinned by tests.</t>
  </si>
  <si>
    <t>#85 (tests only)</t>
  </si>
  <si>
    <t>Behaviour already live; tests released with the next production release</t>
  </si>
  <si>
    <t>NEW-026</t>
  </si>
  <si>
    <t>Rider files: access-checked photos, KYC documents, rider ID card (item C5)</t>
  </si>
  <si>
    <t>Rider photos only via access-checked links; rider KYC images (table delivery_partner_documents, migration 0057) viewable by admins only, each view audited, /admin/rider-kyc; rider ID card /gig/id-card; rider photo + ID on the society dashboard.</t>
  </si>
  <si>
    <t>F5.2.3, F12.2.5</t>
  </si>
  <si>
    <t>Live (rule riderFiles: protected photos, KYC documents, ID card)</t>
  </si>
  <si>
    <t>Purge the CDN cache for /api/images/* (release step, Blockers #22)</t>
  </si>
  <si>
    <t>NEW-027</t>
  </si>
  <si>
    <t>GST rates / HSN codes report for the CA; cron map (item D)</t>
  </si>
  <si>
    <t>scripts/gst-hsn-report.sql lists rates, HSN x rate, category gaps and products sold for CA review; production cron schedule mapped (shop-acceptance, delivery-dispatch, notifications every minute). No seeded product has a GST rate or HSN code yet.</t>
  </si>
  <si>
    <t>#120</t>
  </si>
  <si>
    <t>CA to verify HSN codes, GST rates, bill-of-supply wording and invoice numbering before invoicing is used for filing</t>
  </si>
  <si>
    <t>CA verification</t>
  </si>
  <si>
    <t>NEW-028</t>
  </si>
  <si>
    <t>Event layer</t>
  </si>
  <si>
    <t>Event layer: real-time workflows, cron only as a safety net</t>
  </si>
  <si>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</si>
  <si>
    <t>F1.9.2, F13.2.1</t>
  </si>
  <si>
    <t>Live (rule defaults; no off switch)</t>
  </si>
  <si>
    <t>#89</t>
  </si>
  <si>
    <t>QA on test (TEST_CHECKLIST.md), cron Phase B switch, production release</t>
  </si>
  <si>
    <t>Production cron jobs (Blockers #4); confirm the event-layer decisions (Blockers #13)</t>
  </si>
  <si>
    <t>NEW-029</t>
  </si>
  <si>
    <t>Live delivery tracking v2 (5-second polling)</t>
  </si>
  <si>
    <t>Rider posts location to POST /api/delivery-orders/{id}/location while the drop is under way; customer gets a Track delivery map polled every 5 s, shown only from the start of the drop until delivered or cancelled.</t>
  </si>
  <si>
    <t>F1.9.2</t>
  </si>
  <si>
    <t>NEW-030</t>
  </si>
  <si>
    <t>Seller verification events, 'more info' and optional auto-approval</t>
  </si>
  <si>
    <t>Manual review sends support a review link and tells the seller what is pending; approve / reject / more info notify the seller and other reviewers; optional auto-approval once all documents are verified and the fee is paid (classified GREEN); daily stuck-in-review reminder.</t>
  </si>
  <si>
    <t>F8.2.2</t>
  </si>
  <si>
    <t>NEW-031</t>
  </si>
  <si>
    <t>Dispute conversation, attachments and 24 h SLA escalation</t>
  </si>
  <si>
    <t>Ticket number issued at once with photos attached; customer, shop and support comment, support adds internal notes; shop may propose a resolution after triage; no reply within 24 h escalates to administrators.</t>
  </si>
  <si>
    <t>F6.3.2</t>
  </si>
  <si>
    <t>NEW-032</t>
  </si>
  <si>
    <t>Per-order risk rules at placement and on failed payment</t>
  </si>
  <si>
    <t>Risk rules now run on each order as it is placed and on a failed payment; the hourly job remains the cross-order pattern scan.</t>
  </si>
  <si>
    <t>F12.1.4</t>
  </si>
  <si>
    <t>NEW-033</t>
  </si>
  <si>
    <t>Shop prepaid wallet</t>
  </si>
  <si>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</si>
  <si>
    <t>F2.1.4, F10.1.3</t>
  </si>
  <si>
    <t>Off by default - rule shopWallet.enabled = false (on for the test site only)</t>
  </si>
  <si>
    <t>#91; #94 (switched on in test)</t>
  </si>
  <si>
    <t>Production release</t>
  </si>
  <si>
    <t>Legal review of holding shops' prepaid money (Blockers #17) before switching it on</t>
  </si>
  <si>
    <t>NEW-034</t>
  </si>
  <si>
    <t>Shop wallet: Rs 5/km delivery charge, no checkout below minimum, commission back on refunds</t>
  </si>
  <si>
    <t>Delivery charge = flat part (Rs 0) + Rs 5 x shop-to-customer km (Rs 25 when distance unknown); a shop below the wallet minimum is hidden from ordering like a paused shop; shop-borne refunds return the proportional commission to the wallet (COMMISSION_REFUND). Migration 0060.</t>
  </si>
  <si>
    <t>F10.1.3</t>
  </si>
  <si>
    <t>#98</t>
  </si>
  <si>
    <t>NEW-035</t>
  </si>
  <si>
    <t>OTP-confirmed delivery hardening</t>
  </si>
  <si>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</si>
  <si>
    <t>F1.9.4, F4.2.5</t>
  </si>
  <si>
    <t>Live (code emailed; SMS needs D2)</t>
  </si>
  <si>
    <t>#91</t>
  </si>
  <si>
    <t>Production release; SMS delivery of the code (D2)</t>
  </si>
  <si>
    <t>D2 - SMS vendor to also send the code by SMS</t>
  </si>
  <si>
    <t>NEW-036</t>
  </si>
  <si>
    <t>Shop product media - photos and descriptions (Module 1)</t>
  </si>
  <si>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</si>
  <si>
    <t>F9.2.5</t>
  </si>
  <si>
    <t>#92 (merged into staging 9 Oct)</t>
  </si>
  <si>
    <t>docs/three-modules-2026-10/MODULE1_SHOP_PRODUCT_MEDIA.md (PR #92); drizzle/0065 (PR #92)</t>
  </si>
  <si>
    <t>NEW-037</t>
  </si>
  <si>
    <t>Accounting / inventory integration and GST (Module 2)</t>
  </si>
  <si>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</si>
  <si>
    <t>F9.2.6</t>
  </si>
  <si>
    <t>GST invoice per order live; inventory sync descoped (rule inventorySync OFF)</t>
  </si>
  <si>
    <t>#92 (merged into staging 9 Oct); #190 (batch)</t>
  </si>
  <si>
    <t>#120; #194</t>
  </si>
  <si>
    <t>GSP for GST returns (Blockers #52); CA check (NEW-027)</t>
  </si>
  <si>
    <t>docs/three-modules-2026-10/MODULE2_ACCOUNTING_INTEGRATION.md (PR #92); connector/tally (PR #92)</t>
  </si>
  <si>
    <t>NEW-038</t>
  </si>
  <si>
    <t>Shop self-registration with auto-approval (Module 3)</t>
  </si>
  <si>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</si>
  <si>
    <t>F8.1.2</t>
  </si>
  <si>
    <t>Off by default - rule selfRegistration.enabled = false; refused on gokesari.com until a real SMS/WhatsApp provider is set</t>
  </si>
  <si>
    <t>Merge #92; real SMS / WhatsApp provider for production (refused on gokesari.com until set); fee amounts; FSSAI rule for self-registered food shops</t>
  </si>
  <si>
    <t>Owner inputs P2, P4, P5 (Blockers #18) before switching it on</t>
  </si>
  <si>
    <t>docs/three-modules-2026-10/MODULE3_SELF_REGISTRATION.md (PR #92); drizzle/0068 (PR #92)</t>
  </si>
  <si>
    <t>NEW-039</t>
  </si>
  <si>
    <t>Delivery options and scheduling: pickup, shop's own delivery, GoKesari partner</t>
  </si>
  <si>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</si>
  <si>
    <t>F2.2.4, F2.2.5, F1.9.6</t>
  </si>
  <si>
    <t>Off by default - rule fulfilmentOptions.enabled = false (on for the test site only)</t>
  </si>
  <si>
    <t>#102; #103 (repeat-safe mark-ready and handovers)</t>
  </si>
  <si>
    <t>Production release (migrations 0056-0064); owner decision F1-8 - refund the customer's delivery fee automatically when the shop chooses pickup?</t>
  </si>
  <si>
    <t>Switch on in Admin &gt; Business rules when ready</t>
  </si>
  <si>
    <t>docs/four-features-2026-10/README.md; TEST_RESULTS.md; drizzle/0061_fulfilment_options.sql</t>
  </si>
  <si>
    <t>NEW-040</t>
  </si>
  <si>
    <t>Mandatory legal documents by shop type (FSSAI, drug licence, medical registration)</t>
  </si>
  <si>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</si>
  <si>
    <t>F8.2.5</t>
  </si>
  <si>
    <t>Off by default - rule legalDocuments.enabled = false (on for the test site only)</t>
  </si>
  <si>
    <t>#102; #103 (wording fixes)</t>
  </si>
  <si>
    <t>Production release; tell shop owners about the 15-day grace first; decision - also hide shops past their grace period from customers?</t>
  </si>
  <si>
    <t>Tell shop owners about the 15-day grace, then switch on (Blockers #28)</t>
  </si>
  <si>
    <t>docs/four-features-2026-10/README.md; TEST_RESULTS.md; drizzle/0062_legal_documents.sql</t>
  </si>
  <si>
    <t>NEW-041</t>
  </si>
  <si>
    <t>Bank account details with Rs 1 verification (shops for payouts, customers for refunds)</t>
  </si>
  <si>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</si>
  <si>
    <t>F10.2.6</t>
  </si>
  <si>
    <t>Off by default - rule bankAccounts.enabled = false (on for the test site only)</t>
  </si>
  <si>
    <t>#102; #103 (refund status re-checked from Cashfree)</t>
  </si>
  <si>
    <t>Production release; Cashfree live keys with the Refunds API; payout gate not run on test (covered by integration tests); decisions - buy Cashfree Verification Suite for the bank's name? offer refunds to bank at all?</t>
  </si>
  <si>
    <t>Cashfree live keys with the Refunds API (Blockers #24), then switch on</t>
  </si>
  <si>
    <t>docs/four-features-2026-10/README.md; TEST_RESULTS.md; drizzle/0063_bank_accounts.sql</t>
  </si>
  <si>
    <t>NEW-042</t>
  </si>
  <si>
    <t>Mandatory referral code at shop registration + 'Request a referral code'</t>
  </si>
  <si>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</si>
  <si>
    <t>F8.1.3</t>
  </si>
  <si>
    <t>Admin &gt; Referral settings: referral_required_shop = OPTIONAL on production (checked 14 Oct)</t>
  </si>
  <si>
    <t>#102; #103 (stale error cleared)</t>
  </si>
  <si>
    <t>Production release; create referral codes before switching it on (or registrations stop); confirm who owns referrals@gokesari.com and that mail arrives there</t>
  </si>
  <si>
    <t>Create referral codes and the referrals@ mailbox (Blockers #26), then switch on</t>
  </si>
  <si>
    <t>docs/four-features-2026-10/README.md; TEST_RESULTS.md; drizzle/0064_referral_code_requests.sql</t>
  </si>
  <si>
    <t>NEW-043</t>
  </si>
  <si>
    <t>Mobile App</t>
  </si>
  <si>
    <t>Android and iPhone app (mobile/) - native shell around gokesari.com</t>
  </si>
  <si>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</si>
  <si>
    <t>F15.1.1, F15.1.3, F15.1.4, F15.2.1</t>
  </si>
  <si>
    <t>Android APK from the 'Android APK' workflow (test signing key); not on Google Play or the App Store</t>
  </si>
  <si>
    <t>#100</t>
  </si>
  <si>
    <t>#100 (code on main; no store release)</t>
  </si>
  <si>
    <t>Store publishing on hold (owner decision)</t>
  </si>
  <si>
    <t>Owner: decide when to publish (Play / App Store)</t>
  </si>
  <si>
    <t>mobile/README.md; mobile/src/App.tsx; .github/workflows/mobile-apk.yml</t>
  </si>
  <si>
    <t>NEW-044</t>
  </si>
  <si>
    <t>Website support for the app: Google sign-in hand-off and deep-link files</t>
  </si>
  <si>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</si>
  <si>
    <t>F15.2.2, F15.2.3</t>
  </si>
  <si>
    <t>Sign-in hand-off live; deep links off until MOBILE_* env vars are set (after the first store build) - assetlinks.json answers 404 today</t>
  </si>
  <si>
    <t>Set MOBILE_ANDROID_CERT_SHA256 / Apple team id after the first store build so gokesari.com links open the app</t>
  </si>
  <si>
    <t>Owner inputs §10: Android signing fingerprint + Apple Team ID</t>
  </si>
  <si>
    <t>src/app/mobile-auth/; src/server/mobile-auth.ts; src/app/.well-known/</t>
  </si>
  <si>
    <t>NEW-045</t>
  </si>
  <si>
    <t>iPhone home-screen app (web app manifest, full-screen, Back button)</t>
  </si>
  <si>
    <t>Without an Apple Developer account iPhone users add gokesari.com to the home screen from Safari; it opens full-screen with the GoKesari name and icon, and a Back button appears in the header only in that mode. Chrome on Android also offers 'Install app' from the manifest.</t>
  </si>
  <si>
    <t>F15.1.2</t>
  </si>
  <si>
    <t>src/app/manifest.ts; src/components/standalone-back-button.tsx; public/pwa/</t>
  </si>
  <si>
    <t>NEW-046</t>
  </si>
  <si>
    <t>Navigation / UX</t>
  </si>
  <si>
    <t>Tile Board home screens (approved 'Theme 1 Tile Board') for customer, shop owner, admin and operator</t>
  </si>
  <si>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</si>
  <si>
    <t>#112; #114 (fits the app's shorter screen); #116 (iPhone Back button); #122 (everywhere); #124; #127; #130</t>
  </si>
  <si>
    <t>#120; #123; #126; #129; #131</t>
  </si>
  <si>
    <t>4 mockup entries have no feature behind them (customer Favourites, App theme, Call rider; shop Theme) - nearest real pages shown; shop owner board 2 px over at 320x640 with two alerts (accepted, D-02); 1-3 submenu labels hidden at 320x640</t>
  </si>
  <si>
    <t>Owner: decide whether to build the 4 missing features</t>
  </si>
  <si>
    <t>docs/tile-board-2026-10/README.md; docs/tile-board-2026-10/TEST_RESULTS.md; src/lib/board/menus.ts; src/components/board/; docs/tile-board-2026-10/UI_PASS_2026-10-09.md; TEST_RESULTS_UI_PASS.md</t>
  </si>
  <si>
    <t>NEW-047</t>
  </si>
  <si>
    <t>Language switch EN / Hindi / Marathi (boards, header and menus on every page)</t>
  </si>
  <si>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</si>
  <si>
    <t>#112; #122 (every page)</t>
  </si>
  <si>
    <t>#120; #123</t>
  </si>
  <si>
    <t>Body text of forms, tables and policy pages is English only - thousands of strings, needs native-speaker review (GAP-015)</t>
  </si>
  <si>
    <t>Owner: decide on inner-page translation (Blockers #38)</t>
  </si>
  <si>
    <t>src/lib/board/i18n.ts; src/server/language-action.ts</t>
  </si>
  <si>
    <t>NEW-048</t>
  </si>
  <si>
    <t>Mandatory customer referral code at sign-up, with 'ask us for a code'</t>
  </si>
  <si>
    <t>Customers who join on or after a set date need a referral code before their first order or subscription; they can ask GoKesari for one (duplicate requests within the window answered once).</t>
  </si>
  <si>
    <t>Admin &gt; Referral settings: referral_required_customer = OPTIONAL on production (checked 14 Oct)</t>
  </si>
  <si>
    <t>#106; #109; #110</t>
  </si>
  <si>
    <t>Set requiredFrom and switch on when codes can be issued</t>
  </si>
  <si>
    <t>docs/four-features-2026-10/README.md; src/server/services/customer-signup-referrals.ts</t>
  </si>
  <si>
    <t>NEW-049</t>
  </si>
  <si>
    <t>Refunds to the customer's verified bank account</t>
  </si>
  <si>
    <t>Refunded money (not top-ups or promotional credit) can be sent to the customer's verified bank account within 30 days; finance sends the transfer; approved legal wording on /legal/wallet-terms and /legal/refund-policy while the rule is on.</t>
  </si>
  <si>
    <t>Off by default - rule bankRefunds.enabled = false</t>
  </si>
  <si>
    <t>#106; #111 (approved wording O-8)</t>
  </si>
  <si>
    <t>Switch on with bank accounts (NEW-041)</t>
  </si>
  <si>
    <t>docs/four-features-2026-10/README.md; src/server/services/bank-refunds.ts</t>
  </si>
  <si>
    <t>NEW-050</t>
  </si>
  <si>
    <t>Bank account checked with the bank (Cashfree Verification Suite) instead of the Rs 1 payment</t>
  </si>
  <si>
    <t>When a bank account is saved, Cashfree's bank-account verification checks it is valid and whose name it is in: a match is verified at once without the Rs 1 payment; a mismatch fails with the reason. Falls back to Rs 1 when keys are missing.</t>
  </si>
  <si>
    <t>Off by default - rule bankAccountCheck.enabled = false</t>
  </si>
  <si>
    <t>#115; #117 (accepts Cashfree's own key names)</t>
  </si>
  <si>
    <t>Test site showed 'Keys not found' before #117</t>
  </si>
  <si>
    <t>Verification Suite keys on production, then switch on</t>
  </si>
  <si>
    <t>src/server/services/bank-account-check.ts; drizzle/0073_bank_account_checks.sql</t>
  </si>
  <si>
    <t>NEW-051</t>
  </si>
  <si>
    <t>Tile Board everywhere: one path to every function</t>
  </si>
  <si>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</si>
  <si>
    <t>#122</t>
  </si>
  <si>
    <t>#123</t>
  </si>
  <si>
    <t>1-3 submenu labels hidden on boards at 320x640 (accepted limit, DT-12)</t>
  </si>
  <si>
    <t>docs/tile-board-2026-10/UI_PASS_2026-10-09.md; src/lib/board/menus.ts; src/app/admin/menu/[key]; src/app/shop/menu/[key]; tests/unit/tile-board.test.ts</t>
  </si>
  <si>
    <t>NEW-052</t>
  </si>
  <si>
    <t>Status tabs and paging on lists; one screen per view on the longest pages</t>
  </si>
  <si>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</si>
  <si>
    <t>#122; #124</t>
  </si>
  <si>
    <t>#123; #126</t>
  </si>
  <si>
    <t>38 second-level pages still run over 3 phone screens (median 2.2 screens)</t>
  </si>
  <si>
    <t>src/lib/board/status-groups.ts; src/components/board/list-tabs.tsx; src/components/board/section-tabs.tsx</t>
  </si>
  <si>
    <t>NEW-053</t>
  </si>
  <si>
    <t>Error, not-found and offline screens; progress bar; confirm before destructive actions</t>
  </si>
  <si>
    <t>Error and not-found screens in the user's language with Try again / Back to board; offline banner; navigation progress bar from the tap; inline 'Yes / Keep' confirmation before deleting an address, cancelling an order and cancel-and-refund.</t>
  </si>
  <si>
    <t>src/app/error.tsx; src/app/not-found.tsx; src/components/board/offline-banner.tsx; src/components/board/navigation-feedback.tsx; src/components/confirm-button.tsx</t>
  </si>
  <si>
    <t>NEW-054</t>
  </si>
  <si>
    <t>Accessibility pass: touch targets, text size, contrast</t>
  </si>
  <si>
    <t>44-48 px touch targets on phones (every stand-alone link, button and field), 12 px minimum text (tile labels 14-15 px), grey text darkened to AA contrast, readable disabled buttons with the reason, 20 px tick boxes and radios, 44 px footer links; Lighthouse accessibility fixes.</t>
  </si>
  <si>
    <t>347 targets under 44 px remain on older pages (mostly tick boxes inside 44 px labels); body text 12-14 px against a 14 px target</t>
  </si>
  <si>
    <t>src/app/globals.css; src/components/ui.tsx; GoKesari_UI_Issue_Register_2026-10-09.xlsx (USA-02, USA-04, DT-14)</t>
  </si>
  <si>
    <t>NEW-055</t>
  </si>
  <si>
    <t>Catalogue / UX</t>
  </si>
  <si>
    <t>Product cards and shop page for phones</t>
  </si>
  <si>
    <t>Two products a row on phones (compact card: one Add, then -/+ stepper); category pictures for products without a photo; one price-unit wording ('/ L', '/ kg', 'each', 'per pack'); quieter Closed pill; searchable picture category tiles; shop page shows products first.</t>
  </si>
  <si>
    <t>Shop cards all show the same icon until shops upload photos (AUD-05b); Add and Subscribe on two rows when subscriptions are off (AUD-14)</t>
  </si>
  <si>
    <t>src/components/product-card.tsx; src/lib/board/product-look.ts; src/components/category-finder.tsx</t>
  </si>
  <si>
    <t>NEW-056</t>
  </si>
  <si>
    <t>Sign-in: one Terms &amp; Privacy box instead of three</t>
  </si>
  <si>
    <t>One 'I agree to the Terms &amp; Conditions and Privacy Policy' box under the intro on /signin; until it is ticked Continue with Google, Get code and Email me a link stay disabled (with a readable disabled state).</t>
  </si>
  <si>
    <t>#121</t>
  </si>
  <si>
    <t>src/app/signin</t>
  </si>
  <si>
    <t>NEW-057</t>
  </si>
  <si>
    <t>Nearby shops from the real location (/shops/nearby)</t>
  </si>
  <si>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</si>
  <si>
    <t>F1.3.4</t>
  </si>
  <si>
    <t>Live (no rule; needs the Maps keys)</t>
  </si>
  <si>
    <t>#133; #136 (PIN box after 12 s)</t>
  </si>
  <si>
    <t>#135</t>
  </si>
  <si>
    <t>Tap Directions once on a real phone (N-3); 2 original production shops have no map location (Asmy super market x2)</t>
  </si>
  <si>
    <t>Owner: add the two shops' locations (Admin &gt; Shops &gt; Shops without location)</t>
  </si>
  <si>
    <t>docs/nearby-referral-2026-10/README.md; TEST_RESULTS.md; src/app/shops/nearby/</t>
  </si>
  <si>
    <t>NEW-058</t>
  </si>
  <si>
    <t>Referral code Mandatory / Optional set by admin (customers and shops)</t>
  </si>
  <si>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</si>
  <si>
    <t>F8.1.4, F1.1.3</t>
  </si>
  <si>
    <t>Live - both OPTIONAL on production (checked 14 Oct: /api/referral-settings)</t>
  </si>
  <si>
    <t>#133</t>
  </si>
  <si>
    <t>Paid self-registration without a code not run on test (no SMS provider, N-2); owner to look at the admin page on production</t>
  </si>
  <si>
    <t>docs/nearby-referral-2026-10/README.md; TEST_RESULTS.md; drizzle/0074_referral_settings.sql</t>
  </si>
  <si>
    <t>NEW-059</t>
  </si>
  <si>
    <t>Admin 'Shops without location' list and coordinates backfill</t>
  </si>
  <si>
    <t>Admin &gt; Shops &gt; Shops without location (/admin/shops/missing-location, admin and operator, CSV download) lists shops Nearby cannot place; scripts/backfill-shop-coordinates.ts fills coordinates from addresses.</t>
  </si>
  <si>
    <t>Production had 0 shops with coordinates before the 13 Oct copy; 2 original shops still have none</t>
  </si>
  <si>
    <t>docs/nearby-referral-2026-10/README.md; TEST_RESULTS.md</t>
  </si>
  <si>
    <t>NEW-060</t>
  </si>
  <si>
    <t>GoKesari Seller Central (shop owner workspace) and the 'Sell on GoKesari' page (/sell)</t>
  </si>
  <si>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</si>
  <si>
    <t>F8.4.3</t>
  </si>
  <si>
    <t>#142</t>
  </si>
  <si>
    <t>#143</t>
  </si>
  <si>
    <t>No staging or production browser run recorded (only local: 1,702 tests, 10 manual checks)</t>
  </si>
  <si>
    <t>Record a browser run on test / production</t>
  </si>
  <si>
    <t>docs/seller-central-2026-10/README.md; TEST_RESULTS.md</t>
  </si>
  <si>
    <t>NEW-062</t>
  </si>
  <si>
    <t>Document upload with auto-read (file or camera), review and Verify &amp; Approve</t>
  </si>
  <si>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</si>
  <si>
    <t>F8.2.6</t>
  </si>
  <si>
    <t>Live - rule documentUpload.enabled = on; photos read in the owner's browser (DOCUMENT_OCR_BROWSER on by default; 'off' = server only)</t>
  </si>
  <si>
    <t>#146; #147 (25 s limit, 'type the details', health check); #148 (OCR engine shipped); #169 (photos read in the owner's browser)</t>
  </si>
  <si>
    <t>#149; #175 (#169 cherry-picked); #177 (same commit, no change)</t>
  </si>
  <si>
    <t>Scanned PDFs without a text layer still ask for a photo. iOS before 16 falls back to the server reader (owner types the details). No real owner upload on production recorded yet</t>
  </si>
  <si>
    <t>docs/document-upload-2026-10/TEST_RESULTS.md (PR #178)</t>
  </si>
  <si>
    <t>NEW-063</t>
  </si>
  <si>
    <t>FSSAI licence mandatory for food shops</t>
  </si>
  <si>
    <t>A food shop (food shop type or a food-aisle category) cannot be approved, or finish its self-registration profile, without an unexpired FSSAI licence on file. Shops already approved are not re-checked.</t>
  </si>
  <si>
    <t>F8.2.7</t>
  </si>
  <si>
    <t>Live - rule documentUpload.fssaiMandatoryForFood = on</t>
  </si>
  <si>
    <t>#146</t>
  </si>
  <si>
    <t>#149</t>
  </si>
  <si>
    <t>docs/document-upload-2026-10/README.md; TEST_RESULTS.md</t>
  </si>
  <si>
    <t>NEW-064</t>
  </si>
  <si>
    <t>Compact footer and saffron GoKesari wordmark (site, Seller Central, sign-in, emails)</t>
  </si>
  <si>
    <t>Amazon-style compact footer; one wordmark component in the site and board headers, footer, sign-in, Seller Central and /sell, matched in emails. 'Go' and 'Kesari' saffron with bold G and K and a saffron tagline (#153); no stray '·' at the start of a wrapped footer line on phones (#150).</t>
  </si>
  <si>
    <t>#146; #150 (footer dot); #153 (saffron)</t>
  </si>
  <si>
    <t>#149; #151; #157</t>
  </si>
  <si>
    <t>No staging / production run recorded after the saffron change (#153)</t>
  </si>
  <si>
    <t>src/components/brand-wordmark.tsx; src/server/email/brand.ts</t>
  </si>
  <si>
    <t>NEW-065</t>
  </si>
  <si>
    <t>Fix: Admin &gt; Referral codes showed 0 shops (Societies showed 0 members)</t>
  </si>
  <si>
    <t>Counts in the referral-codes and societies lists use correct correlated subqueries (Drizzle bare-id bug).</t>
  </si>
  <si>
    <t>#138</t>
  </si>
  <si>
    <t>#139</t>
  </si>
  <si>
    <t>The same bug pattern remains in rider reliability and the integrations 'listed' flag (GAP-016)</t>
  </si>
  <si>
    <t>src/server/services/referrals.ts; src/server/services/societies.ts</t>
  </si>
  <si>
    <t>NEW-066</t>
  </si>
  <si>
    <t>Seller Central shop switcher for owners with several shops</t>
  </si>
  <si>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</si>
  <si>
    <t>F8.4.4</t>
  </si>
  <si>
    <t>Live (no rule)</t>
  </si>
  <si>
    <t>#168</t>
  </si>
  <si>
    <t>#175 (15 Oct, live 14:43 UTC)</t>
  </si>
  <si>
    <t>Not yet seen signed in on production (needs an owner with two or more shops)</t>
  </si>
  <si>
    <t>docs/order-lifecycle-2026-10/TEST_RESULTS_STAGING_2026-10-14.md; src/components/seller/shop-switcher.tsx; src/lib/seller/active-shop.ts</t>
  </si>
  <si>
    <t>NEW-067</t>
  </si>
  <si>
    <t>Inventory &amp; Accounting for shop owners (/shop/accounts): stock ledger, books, GST returns, supplier bill capture</t>
  </si>
  <si>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</si>
  <si>
    <t>F9.2.7</t>
  </si>
  <si>
    <t>Live (shop owners: Inventory -&gt; Bills &amp; GST); GST portal link off on production (file upload), AI bill reading off</t>
  </si>
  <si>
    <t>#171; #172 (fixes: GST queries, cancel = SALE_RETURN 0078, share redirect)</t>
  </si>
  <si>
    <t>#179 (release, acfaa6a; migrations 0076-0078)</t>
  </si>
  <si>
    <t>Licensed GSP for live GSTR-2B/1 pull (IA-022); AI reading of photos / Hindi-Marathi / handwriting (IA-034, IA-039); bill forwarding by email (IA-032); native share intent in the store apps (IA-031); S3 bucket (IA-049). See sheet 'Inventory &amp; Accounting'.</t>
  </si>
  <si>
    <t>Owner: replace INTEGRATION_ENCRYPTION_KEY on test and production with `openssl rand -base64 32` (current value is not a valid key); choose a GSP; decide on AI bill reading; schedule the two crons; CA check (#15).</t>
  </si>
  <si>
    <t>docs/inventory-accounting-2026-10/README.md; TESTING_REPORT.md; src/server/accounts/**; drizzle/0076, 0078</t>
  </si>
  <si>
    <t>PMD-001</t>
  </si>
  <si>
    <t>Product Master</t>
  </si>
  <si>
    <t>Product Master Data Platform (pmd schema, pipeline, matching, review queue)</t>
  </si>
  <si>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</si>
  <si>
    <t>F9.1.1</t>
  </si>
  <si>
    <t>Live (operators/admins)</t>
  </si>
  <si>
    <t>#1 (closed, superseded); #4; #49 (Excel import fix); #125 (rollback script hint)</t>
  </si>
  <si>
    <t>#8; #50; #131</t>
  </si>
  <si>
    <t>src/server/pmd/**; drizzle/0015_product_master_platform.sql; docs/product-master/</t>
  </si>
  <si>
    <t>PMD-002</t>
  </si>
  <si>
    <t>GS1 India and manufacturer-catalogue feeds</t>
  </si>
  <si>
    <t>Excel/CSV connectors with mapping templates, unit codes, GTIN zero-repair and GPC -&gt; category map; '--check' reports MRP/GST/HSN coverage on a real file before the source is enabled.</t>
  </si>
  <si>
    <t>F9.1.2</t>
  </si>
  <si>
    <t>Manufacturer portal on; GS1 DataKart (mock) and Open Food Facts off (Admin &gt; Settings)</t>
  </si>
  <si>
    <t>#2 (closed, superseded); #4; #190 (batch)</t>
  </si>
  <si>
    <t>#8; #194</t>
  </si>
  <si>
    <t>GS1 India Solution Provider agreement and keys for live GS1 data</t>
  </si>
  <si>
    <t>Owner inputs §8</t>
  </si>
  <si>
    <t>docs/product-master/GS1_AND_MANUFACTURERS.md</t>
  </si>
  <si>
    <t>PMD-003</t>
  </si>
  <si>
    <t>Loader rework for scale (bulk path, workers)</t>
  </si>
  <si>
    <t>Bulk path for unchanged and brand-new records, --workers N routed by brand, one-pass dashboard refresh; 191 new records/s and 7,300 unchanged/s locally (was 40-46 / 250).</t>
  </si>
  <si>
    <t>Live (CLI)</t>
  </si>
  <si>
    <t>#3 (closed, superseded); #4</t>
  </si>
  <si>
    <t>#8; #185 (#184 race fix)</t>
  </si>
  <si>
    <t>Price-change path still per record</t>
  </si>
  <si>
    <t>src/server/pmd/pipeline/load.ts</t>
  </si>
  <si>
    <t>PMD-004</t>
  </si>
  <si>
    <t>Promote master products into the shop catalogue</t>
  </si>
  <si>
    <t>scripts/pmd/promote.ts (dry run by default, --apply, --concurrency N), rollback-promotion.sql, one-command pilot-data copy, per-brand advisory lock against duplicate brands.</t>
  </si>
  <si>
    <t>F9.1.3</t>
  </si>
  <si>
    <t>#4; #5; #6</t>
  </si>
  <si>
    <t>#8</t>
  </si>
  <si>
    <t>scripts/pmd/promote.ts; docs/product-master/PUBLISH_TO_SHOP.md</t>
  </si>
  <si>
    <t>PMD-005</t>
  </si>
  <si>
    <t>Apply duplicate-review decisions in bulk</t>
  </si>
  <si>
    <t>scripts/pmd/review-decide.ts applies a JSON list of merge / close-as-different decisions through the review service (dry run by default).</t>
  </si>
  <si>
    <t>#9</t>
  </si>
  <si>
    <t>#12</t>
  </si>
  <si>
    <t>scripts/pmd/review-decide.ts</t>
  </si>
  <si>
    <t>PMD-006</t>
  </si>
  <si>
    <t>Large-scale ingestion (pilot step 9)</t>
  </si>
  <si>
    <t>Not started: the pilot report recommends one licensed non-food feed and loader work first.</t>
  </si>
  <si>
    <t>F9.1.4</t>
  </si>
  <si>
    <t>Live (admin)</t>
  </si>
  <si>
    <t>#190 (batch)</t>
  </si>
  <si>
    <t>#194</t>
  </si>
  <si>
    <t>Licensed GS1 data for real large loads</t>
  </si>
  <si>
    <t>docs/product-master/PILOT_REPORT.md</t>
  </si>
  <si>
    <t>PMD-007</t>
  </si>
  <si>
    <t>Product browser / edit screens, promote button, scheduler and alerting</t>
  </si>
  <si>
    <t>Not built: promotion and scheduling are CLI-only today (no promote button in /admin/product-master).</t>
  </si>
  <si>
    <t>Live (admin product browser)</t>
  </si>
  <si>
    <t>Editing GTIN / manufacturer / pack; a scheduler for external sync</t>
  </si>
  <si>
    <t>PLT-001</t>
  </si>
  <si>
    <t>Platform</t>
  </si>
  <si>
    <t>Hostinger build and dev server (webpack, @/ alias)</t>
  </si>
  <si>
    <t>Production builds use webpack so Hostinger deploys succeed; @/ import alias resolved without TypeScript installed; npm run dev starts again under Next 16.</t>
  </si>
  <si>
    <t>#17; #20; #35</t>
  </si>
  <si>
    <t>#19; #35</t>
  </si>
  <si>
    <t>package.json; next.config.ts</t>
  </si>
  <si>
    <t>PLT-002</t>
  </si>
  <si>
    <t>Root-cause logging for failed database queries</t>
  </si>
  <si>
    <t>onRequestError and API error handler log the cause chain (message + code, never the connection string).</t>
  </si>
  <si>
    <t>#13 (#16 closed)</t>
  </si>
  <si>
    <t>src/instrumentation.ts; src/lib/errors.ts</t>
  </si>
  <si>
    <t>PLT-003</t>
  </si>
  <si>
    <t>CI pipeline (typecheck, lint, tests on PostgreSQL, build)</t>
  </si>
  <si>
    <t>Every PR runs migrations on a fresh Postgres, typecheck, lint, unit + integration tests and a production build; actions on Node 24.</t>
  </si>
  <si>
    <t>F14.1.1</t>
  </si>
  <si>
    <t>Baseline; #7</t>
  </si>
  <si>
    <t>.github/workflows/</t>
  </si>
  <si>
    <t>PLT-004</t>
  </si>
  <si>
    <t>Dependency security patches</t>
  </si>
  <si>
    <t>Next.js 16.3.6 security bump; sharp, brace-expansion, source-map-js and js-yaml patched (production npm audit: 0).</t>
  </si>
  <si>
    <t>#19 (Next.js bump commit); #66 (#15, #16 closed)</t>
  </si>
  <si>
    <t>#19; #65</t>
  </si>
  <si>
    <t>package-lock.json</t>
  </si>
  <si>
    <t>PLT-005</t>
  </si>
  <si>
    <t>GoKesari domain and repository hygiene</t>
  </si>
  <si>
    <t>CNAME and docs point at gokesari.com; other brand's runbook removed; GoKesari-only scope rule for Claude chats.</t>
  </si>
  <si>
    <t>#25; #33; #41 (#27 closed)</t>
  </si>
  <si>
    <t>#32; #36; #43</t>
  </si>
  <si>
    <t>CNAME; CLAUDE.md</t>
  </si>
  <si>
    <t>PLT-006</t>
  </si>
  <si>
    <t>Deployment runbooks</t>
  </si>
  <si>
    <t>Ordered deploy runbook (backup, ledger checks, migrate, crons, smoke test, rollback); row-count checks derived from the checkout so they cannot go stale.</t>
  </si>
  <si>
    <t>F14.2.2</t>
  </si>
  <si>
    <t>#37; #88</t>
  </si>
  <si>
    <t>docs/gokesari-audit/DEPLOY_RUNBOOK.md</t>
  </si>
  <si>
    <t>PLT-007</t>
  </si>
  <si>
    <t>Opt-in automatic migration during the build (MIGRATE_ON_BUILD)</t>
  </si>
  <si>
    <t>npm run build runs pending migrations first when MIGRATE_ON_BUILD=true (one transaction; a failed migration stops the build); logs only database name/host and count.</t>
  </si>
  <si>
    <t>On for gokesari.com and test.gokesari.com (MIGRATE_ON_BUILD=true)</t>
  </si>
  <si>
    <t>#85; #90 (shared migration lock)</t>
  </si>
  <si>
    <t>PLT-008</t>
  </si>
  <si>
    <t>'Test database' workflow (backup, migrate, settings, verify)</t>
  </si>
  <si>
    <t>GitHub Actions workflow for test.gokesari.com: pg_dump backup before every change, migrate, apply test settings / wallet settings / credits, verify against the branch's newest migration; guarded to the test host and to staging.</t>
  </si>
  <si>
    <t>F14.1.2</t>
  </si>
  <si>
    <t>Live for the test database</t>
  </si>
  <si>
    <t>#90; #94; #95, #96, #97, #99 (data); #102 (four-features settings, E2E accounts, read-only report)</t>
  </si>
  <si>
    <t>Not needed (test only)</t>
  </si>
  <si>
    <t>Nightly backup now scheduled: the workflow file reached main in #120</t>
  </si>
  <si>
    <t>.github/workflows/test-db.yml; scripts/test-db/</t>
  </si>
  <si>
    <t>PLT-009</t>
  </si>
  <si>
    <t>'Production database' workflow (verify / migrate with typed confirmation)</t>
  </si>
  <si>
    <t>Manual-only workflow from main: verify shows production's pending migrations; migrate needs 'MIGRATE PRODUCTION', refuses migrations not already on test, records a Neon restore point, no data leaves the database.</t>
  </si>
  <si>
    <t>F14.2.1</t>
  </si>
  <si>
    <t>#93; #118 (onto main); #190 (batch)</t>
  </si>
  <si>
    <t>#118; #194</t>
  </si>
  <si>
    <t>docs/event-driven-2026-10/PROD_DB.md</t>
  </si>
  <si>
    <t>PLT-010</t>
  </si>
  <si>
    <t>'Android APK' workflow - installable test builds without any accounts</t>
  </si>
  <si>
    <t>Builds GoKesari-preview-apk (test.gokesari.com) and GoKesari-production-apk (gokesari.com) on GitHub for every change to mobile/ and on demand; download from the run's Artifacts. Signed with a shared test key, so it cannot be upgraded to a Play Store build.</t>
  </si>
  <si>
    <t>F15.1.1</t>
  </si>
  <si>
    <t>.github/workflows/mobile-apk.yml</t>
  </si>
  <si>
    <t>PLT-011</t>
  </si>
  <si>
    <t>'Sandbox payment' workflow - pay Cashfree sandbox checkouts for E2E tests</t>
  </si>
  <si>
    <t>Pays a Cashfree SANDBOX checkout session with Cashfree's test instruments (UPI collect, credit / debit card with the simulator OTP, net banking; success or failure) from a GitHub runner. Sandbox host hard-coded, no secrets.</t>
  </si>
  <si>
    <t>F14.1.4</t>
  </si>
  <si>
    <t>Live for the test site</t>
  </si>
  <si>
    <t>#102; #103 (card and net-banking simulator)</t>
  </si>
  <si>
    <t>.github/workflows/sandbox-pay.yml; scripts/test-site/sandbox-pay.mjs</t>
  </si>
  <si>
    <t>PLT-012</t>
  </si>
  <si>
    <t>Performance</t>
  </si>
  <si>
    <t>One database read per fact per page render</t>
  </si>
  <si>
    <t>React cache() on the session lookup, addresses, wallet, unread count, roles, staff shops and cart count for one server render; callers asking for the same business rule at once share one query. 52 -&gt; 24 queries per signed-in home page; no behaviour change.</t>
  </si>
  <si>
    <t>#124</t>
  </si>
  <si>
    <t>#126</t>
  </si>
  <si>
    <t>src/server/ (cache() wrappers); commit 1406b0b</t>
  </si>
  <si>
    <t>PLT-013</t>
  </si>
  <si>
    <t>Opt-in prepared statements (DATABASE_PREPARED_STATEMENTS=on)</t>
  </si>
  <si>
    <t>Asks postgres-js to prepare queries by default, saving one database round trip per query (measured locally with 200 ms to the database: 405 ms -&gt; 205 ms per repeated query).</t>
  </si>
  <si>
    <t>Off - environment variable not set on either site</t>
  </si>
  <si>
    <t>Turn on for test.gokesari.com, check Neon's pooled host accepts prepared statements, then gokesari.com</t>
  </si>
  <si>
    <t>Owner: environment setting (Blockers #36)</t>
  </si>
  <si>
    <t>commit 98cb8e7; src/server/db</t>
  </si>
  <si>
    <t>PLT-014</t>
  </si>
  <si>
    <t>Board figures: shared cache and 8 s allowance</t>
  </si>
  <si>
    <t>The visitor home's shop and category figures (same for everyone at a location) are kept 60 s per location and served at once while a newer copy loads (complete results only, at most 500 locations). Live figures get 8 s before a badge is dropped (Buy again 10 s).</t>
  </si>
  <si>
    <t>#127; #130</t>
  </si>
  <si>
    <t>#129; #131</t>
  </si>
  <si>
    <t>docs/tile-board-2026-10/TEST_RESULTS_UI_PASS.md (PR #127 on test)</t>
  </si>
  <si>
    <t>PLT-015</t>
  </si>
  <si>
    <t>Seller / customer database split (tooling and 'Database split' workflow)</t>
  </si>
  <si>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</si>
  <si>
    <t>F14.2.4</t>
  </si>
  <si>
    <t>Live on both sites: two databases (test since 19 Oct 21:44 UTC, production since 20 Oct 00:39 UTC)</t>
  </si>
  <si>
    <t>#146; #152 (Neon COPY hang, channel_binding); #154 (test report); #158; #160; #162; #204 (two-database code, migrations, switch); #208; #211; #213; #215; #218</t>
  </si>
  <si>
    <t>#149; #157; #159; #161; #163; #210; #216 (then production switch); #219</t>
  </si>
  <si>
    <t>Watch the first days on two databases; switching back is documented (CODE_SPLIT_PLAN.md section 5)</t>
  </si>
  <si>
    <t>docs/db-split-2026-10/CODE_SPLIT_PLAN.md; src/server/db/split/**; .github/workflows/db-split.yml (runs 29-35)</t>
  </si>
  <si>
    <t>PLT-016</t>
  </si>
  <si>
    <t>CI scope job: skip runs that cannot find anything new</t>
  </si>
  <si>
    <t>A 'scope' job decides what each push needs: tests and mobile are skipped when the same files already passed (a release PR and its merge), or when only docs changed; tests only for changes outside mobile/, mobile only inside it; a newer push cancels the older run.</t>
  </si>
  <si>
    <t>#134</t>
  </si>
  <si>
    <t>scripts/ci/scope.sh; .github/workflows/ci.yml</t>
  </si>
  <si>
    <t>PLT-017</t>
  </si>
  <si>
    <t>'iPhone app' workflow - EAS build and TestFlight upload</t>
  </si>
  <si>
    <t>Started by hand with profile production or preview; builds on EAS and uploads the production build to TestFlight; first checks EXPO_TOKEN and the project id and names anything missing.</t>
  </si>
  <si>
    <t>F15.1.4</t>
  </si>
  <si>
    <t>Not run yet</t>
  </si>
  <si>
    <t>#153</t>
  </si>
  <si>
    <t>#157</t>
  </si>
  <si>
    <t>Link the project to Expo and commit the project id; secrets EXPO_TOKEN, ASC_API_KEY_P8, ASC_KEY_ID, ASC_ISSUER_ID, APPLE_TEAM_ID; App Store Connect app record for com.gokesari.app</t>
  </si>
  <si>
    <t>On hold (owner decision on store publishing); then EXPO_TOKEN + Expo project id</t>
  </si>
  <si>
    <t>.github/workflows/mobile-ios.yml; mobile/README.md</t>
  </si>
  <si>
    <t>PLT-018</t>
  </si>
  <si>
    <t>'Copy shops to production' workflow (plan / copy / sql modes)</t>
  </si>
  <si>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</si>
  <si>
    <t>F14.2.3</t>
  </si>
  <si>
    <t>Used once (sql mode, 12-13 Oct)</t>
  </si>
  <si>
    <t>#140; #144 (sql mode); #156 (record)</t>
  </si>
  <si>
    <t>#141; #145; #157</t>
  </si>
  <si>
    <t>Delete the downloaded copy-shops SQL files (they hold owner contact details); the 5 owners must sign in on production and upload their legal documents</t>
  </si>
  <si>
    <t>Owner (Blockers #39, #40)</t>
  </si>
  <si>
    <t>docs/copy-shops-2026-10/README.md; scripts/copy-shops/</t>
  </si>
  <si>
    <t>QA-001</t>
  </si>
  <si>
    <t>QA</t>
  </si>
  <si>
    <t>Automated test suites (unit, integration, E2E)</t>
  </si>
  <si>
    <t>Vitest unit + integration against real PostgreSQL (1,436 tests in 111 files on staging per #98); Playwright acceptance (10), smoke (12) and A-E regression (46) specs.</t>
  </si>
  <si>
    <t>Live in CI</t>
  </si>
  <si>
    <t>#52; #51; #85 (regression spec)</t>
  </si>
  <si>
    <t>#54 (via staging); #70</t>
  </si>
  <si>
    <t>tests/</t>
  </si>
  <si>
    <t>QA-002</t>
  </si>
  <si>
    <t>Test execution framework for 791 test cases</t>
  </si>
  <si>
    <t>Excel test-case parser, phase plan (smoke, P0, P1, P2), Playwright runner and result reporting; test-cases.xlsx with 791 cases across 28 modules.</t>
  </si>
  <si>
    <t>F14.1.3</t>
  </si>
  <si>
    <t>#51</t>
  </si>
  <si>
    <t>#70</t>
  </si>
  <si>
    <t>TEST_EXECUTION_PLAN.md; tests/test-case-parser.ts</t>
  </si>
  <si>
    <t>QA-003</t>
  </si>
  <si>
    <t>Execute the 791 test cases and sign off in a browser on test.gokesari.com</t>
  </si>
  <si>
    <t>No execution results or sign-off are recorded in the repository; the 6 Oct report lists the missing browser sign-off as a go-live blocker.</t>
  </si>
  <si>
    <t>#228; #232; #234; #238; #244; #246</t>
  </si>
  <si>
    <t>#242</t>
  </si>
  <si>
    <t>Automated plan run on local, staging and production (guest). 25-29 Oct added: dealer programme staging passes (20 + 15 checks, D-1..D-4 fixed), shop documents staging QA SD-01..SD-07 (D-106, D-107, D-108 fixed and retested), guest checks accept retired-cron 410 (#283). Production guest tier 87 pass / 6 fail / 3 blocked on 28 Oct (failures not code defects)</t>
  </si>
  <si>
    <t>Signed-in staging re-run of the full plan after release #287; owner decisions on open defects</t>
  </si>
  <si>
    <t>Still IN PROGRESS: new QA runs for dealer programme and shop documents (25-29 Oct)</t>
  </si>
  <si>
    <t>docs/testing/GOKESARI_MASTER_TEST_REGISTER.xlsx</t>
  </si>
  <si>
    <t>QA-004</t>
  </si>
  <si>
    <t>Four-features browser test run on test.gokesari.com (all roles, phone + desktop)</t>
  </si>
  <si>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</si>
  <si>
    <t>F14.1.5</t>
  </si>
  <si>
    <t>#103; #104 (re-check of the fixes)</t>
  </si>
  <si>
    <t>Payout gate and payer-name mismatch not runnable on test (covered by integration tests); referrals@ inbox arrival to be confirmed by the owner</t>
  </si>
  <si>
    <t>docs/four-features-2026-10/TEST_RESULTS.md</t>
  </si>
  <si>
    <t>QA-005</t>
  </si>
  <si>
    <t>Tile Board UI pass test run on test.gokesari.com (all roles, phone, app size, slow 4G, Lighthouse)</t>
  </si>
  <si>
    <t>1,038 checks: end-to-end journeys for customer, shop owner, operator and admin; every board and menu link; access to other roles' screens; Lighthouse; one-screen fit at 7 sizes x 3 languages. Production read-only checks after #126.</t>
  </si>
  <si>
    <t>#124 (results, issue register)</t>
  </si>
  <si>
    <t>8 fail (5 slow-4G pages 3.6-5.0 s against 3 s; shop board 2 px over at 320x640; 1 link blocked in the test browser; 1 Lighthouse) and 4 not run (wallet top-up and shop recharge - Actions billing; rider return pickup; KYC-pending shop approval, correctly refused)</t>
  </si>
  <si>
    <t>docs/tile-board-2026-10/TEST_RESULTS_UI_PASS.md; docs/tile-board-2026-10/GoKesari_UI_Test_Report_2026-10-09.xlsx; docs/gokesari-audit/GoKesari_UI_Issue_Register_2026-10-09.xlsx</t>
  </si>
  <si>
    <t>QA-006</t>
  </si>
  <si>
    <t>Nearby shops + referral settings test run (test site, Android / iPhone / desktop; production checks)</t>
  </si>
  <si>
    <t>Every Nearby and referral-setting case on test.gokesari.com, with screenshots; read-only production checks after release #135; Android APK download links.</t>
  </si>
  <si>
    <t>#136; #137</t>
  </si>
  <si>
    <t>Paid self-registration (no SMS provider on test); Directions tap on a real phone</t>
  </si>
  <si>
    <t>docs/nearby-referral-2026-10/TEST_RESULTS.md</t>
  </si>
  <si>
    <t>QA-007</t>
  </si>
  <si>
    <t>13 Oct release test run (document upload, FSSAI, footer, branding, DB split)</t>
  </si>
  <si>
    <t>Staging and production checks for release #149 and its follow-ups: upload flow, FSSAI gate, branding / footer E2E, smoke of 8 public pages before and after, test DB split verification.</t>
  </si>
  <si>
    <t>#147; #150; #154</t>
  </si>
  <si>
    <t>OCR auto-read not working on Hostinger; no run after the saffron wordmark (#153)</t>
  </si>
  <si>
    <t>docs/document-upload-2026-10/TEST_RESULTS.md; docs/gokesari-audit/GOKESARI_FEATURE_STATUS_REPORT_2026-10-13.xlsx</t>
  </si>
  <si>
    <t>QA-008</t>
  </si>
  <si>
    <t>Order-lifecycle run on staging (sign-up -&gt; order -&gt; delivery code -&gt; done)</t>
  </si>
  <si>
    <t>Planned end-to-end run of a full order on test.gokesari.com after the 13 Oct release.</t>
  </si>
  <si>
    <t>#168 (fix for the blocker the run found); #170 (results, open PR)</t>
  </si>
  <si>
    <t>Open defects from the run: My Orders card wording after a switch to pickup (GAP-018); wallet checkout takes 30-38 s (GAP-019)</t>
  </si>
  <si>
    <t>docs/order-lifecycle-2026-10/TEST_RESULTS_STAGING_2026-10-14.md; docs/testing/GOKESARI_TEST_RESULTS_TRACKER_2026-10-14.xlsx (TR-22, TR-23)</t>
  </si>
  <si>
    <t>QA-009</t>
  </si>
  <si>
    <t>Order-lifecycle run on production (gokesari.com) with a real payment</t>
  </si>
  <si>
    <t>The same lifecycle as QA-008 on gokesari.com: a real customer top-up paid by the owner, a real shop with delivery on, an approved rider, pickup and delivery codes, DELIVERED, wallet charges. No test data or sandbox keys on production.</t>
  </si>
  <si>
    <t>Needs the owner's production shop and owner email, an approved rider, Cashfree live keys confirmed, and the owner to pay the top-up</t>
  </si>
  <si>
    <t>Owner inputs §14</t>
  </si>
  <si>
    <t>docs/order-lifecycle-2026-10/TEST_RESULTS_STAGING_2026-10-14.md (Production)</t>
  </si>
  <si>
    <t>GAP-001</t>
  </si>
  <si>
    <t>Pickup QR code</t>
  </si>
  <si>
    <t>Pickup is confirmed with a code only; no QR.</t>
  </si>
  <si>
    <t>F4.1.3</t>
  </si>
  <si>
    <t>Off - rule pickupQr.enabled; set PICKUP_QR_SECRET first</t>
  </si>
  <si>
    <t>Owner: switch on</t>
  </si>
  <si>
    <t>6 Oct flow diagram, step 19</t>
  </si>
  <si>
    <t>GAP-002</t>
  </si>
  <si>
    <t>In-app turn-by-turn navigation</t>
  </si>
  <si>
    <t>Riders get a Google Maps deep link; no in-app navigation.</t>
  </si>
  <si>
    <t>F4.2.2</t>
  </si>
  <si>
    <t>Off - rule riderNavigation.enabled; Google Routes / OSRM provider (mock on test)</t>
  </si>
  <si>
    <t>Routes API on the Maps server key, or an OSRM server</t>
  </si>
  <si>
    <t>Owner: provider + switch on</t>
  </si>
  <si>
    <t>6 Oct flow diagram, step 20</t>
  </si>
  <si>
    <t>GAP-003</t>
  </si>
  <si>
    <t>Signature capture at delivery</t>
  </si>
  <si>
    <t>Delivery proof is OTP + optional photo; no signature.</t>
  </si>
  <si>
    <t>F4.2.6</t>
  </si>
  <si>
    <t>Deferred to Phase 2 (owner decision)</t>
  </si>
  <si>
    <t>Phase 2</t>
  </si>
  <si>
    <t>6 Oct flow diagram, step 22</t>
  </si>
  <si>
    <t>GAP-004</t>
  </si>
  <si>
    <t>Broadcast job offers / radius widening</t>
  </si>
  <si>
    <t>Offers go to one rider at a time; the search radius is not widened.</t>
  </si>
  <si>
    <t>F3.3.2</t>
  </si>
  <si>
    <t>Off - rule dispatchBroadcast.enabled (radius 2 &gt; 4 &gt; 6 km)</t>
  </si>
  <si>
    <t>Owner: switch on (needs the timeout-sweep cron)</t>
  </si>
  <si>
    <t>6 Oct flow diagram, step 17</t>
  </si>
  <si>
    <t>GAP-005</t>
  </si>
  <si>
    <t>Automated bank transfer for settlements and rider payouts</t>
  </si>
  <si>
    <t>Settlements and payouts are calculated; the bank transfer itself is manual.</t>
  </si>
  <si>
    <t>F10.2.4</t>
  </si>
  <si>
    <t>Off - PayoutProvider on sandbox</t>
  </si>
  <si>
    <t>RazorpayX / Cashfree payout keys</t>
  </si>
  <si>
    <t>Owner inputs §3</t>
  </si>
  <si>
    <t>6 Oct flow diagram, step 30</t>
  </si>
  <si>
    <t>GAP-006</t>
  </si>
  <si>
    <t>Platform tax invoice for GoKesari's own fees (D6)</t>
  </si>
  <si>
    <t>The delivery fee is not invoiced and no SAC code is configured.</t>
  </si>
  <si>
    <t>F10.2.5</t>
  </si>
  <si>
    <t>Off until GoKesari GSTIN, legal details and invoice prefix</t>
  </si>
  <si>
    <t>CA to confirm TCS / TDS / SAC rates</t>
  </si>
  <si>
    <t>Owner inputs §4-6</t>
  </si>
  <si>
    <t>ITEMS_A_E_2026-10-07.md section 5</t>
  </si>
  <si>
    <t>GAP-007</t>
  </si>
  <si>
    <t>Customer Cancel button on My Orders</t>
  </si>
  <si>
    <t>Cancel order on My Orders &gt; Active, before packing, with a 'Yes, cancel order' confirmation; the order moves to Past with 'cancelled, full amount back to your wallet'. Same request and rule as the cart's open-order cancel; the server checks again.</t>
  </si>
  <si>
    <t>F1.9.5</t>
  </si>
  <si>
    <t>Live - follows rule cancellation (CONFIRMED orders by default; until packing when customerMayCancelUntil = PREPARING)</t>
  </si>
  <si>
    <t>src/app/orders/page.tsx; docs/tile-board-2026-10/TEST_RESULTS_UI_PASS.md (C-08, C-15)</t>
  </si>
  <si>
    <t>GAP-008</t>
  </si>
  <si>
    <t>Map 'Confirm location' answered 500 (Google server key restricted by referrer)</t>
  </si>
  <si>
    <t>Geo-tagging an address on /profile/addresses showed 'Something went wrong' (geocoding call refused by Google). The address still saved without the geo-tag. Resolved: the Maps server key restriction was changed; Confirm location works again.</t>
  </si>
  <si>
    <t>Resolved. Cause was GOOGLE_MAPS_SERVER_API_KEY restricted by HTTP referrer ('API keys with referer restrictions cannot be used with this API'). Test geocoding succeeded again from 14 Oct 16:00 UTC; production failed until at least 21 Oct and the owner confirmed it working on 25 Oct. No code change.</t>
  </si>
  <si>
    <t>maps_api_call_log (test and production); docs/four-features-2026-10/TEST_RESULTS.md (Regression - address)</t>
  </si>
  <si>
    <t>GAP-009</t>
  </si>
  <si>
    <t>Email sending capacity (mail host hourly limit)</t>
  </si>
  <si>
    <t>The test site's mailbox hit Hostinger's hourly sending cap ('451 4.7.1 Ratelimit hostinger_out_ratelimit exceeded'); emails were retried with back-off and a few marked DEAD. A busy production day sends more than the test run did.</t>
  </si>
  <si>
    <t>F13.1.1</t>
  </si>
  <si>
    <t>Raise the limit with the host or send through a transactional email service; check SPF/DKIM</t>
  </si>
  <si>
    <t>Owner: email provider choice</t>
  </si>
  <si>
    <t>docs/four-features-2026-10/README.md section 5 item 2 (S-5)</t>
  </si>
  <si>
    <t>GAP-010</t>
  </si>
  <si>
    <t>Slow signed-in pages and cold first visits (database far from the web server)</t>
  </si>
  <si>
    <t>Signed-in pages take 3.4-5.1 s of server time on the test site; the first visit after a quiet spell waits ~4 s on gokesari.com. Root cause: Neon database in us-east-2 and connections closed after 20 s idle.</t>
  </si>
  <si>
    <t>Live (database in Singapore since 28 Oct)</t>
  </si>
  <si>
    <t>DB region move (28 Oct, scripts/db-region-move); #279</t>
  </si>
  <si>
    <t>#282 (home page)</t>
  </si>
  <si>
    <t>Database moved Ohio -&gt; Neon Singapore 28 Oct: home 1.8-2.1 s -&gt; 0.33-0.46 s (median 0.34 s). Still open: cold start after ~5 idle minutes (Neon free plan cannot switch scale-to-zero off), product page ~0.63 s and shop page ~0.53 s (P1), shared-data caching (P2), static pages from the CDN (P4)</t>
  </si>
  <si>
    <t>Owner: Neon plan (Blockers #72); dev: performance P1/P2/P4 (NEW-100..097)</t>
  </si>
  <si>
    <t>BLOCKED -&gt; IN PROGRESS (28-29 Oct): both databases moved to Singapore; home page reads run together (#282)</t>
  </si>
  <si>
    <t>GoKesari_UI_Issue_Register_2026-10-09.xlsx (PERF-01, PERF-02)</t>
  </si>
  <si>
    <t>GAP-011</t>
  </si>
  <si>
    <t>Search shows '0 shops' for products that nearby shops sell</t>
  </si>
  <si>
    <t>Search 'milk' lists products but 0 shops.</t>
  </si>
  <si>
    <t>#250</t>
  </si>
  <si>
    <t>#266</t>
  </si>
  <si>
    <t>YET TO START -&gt; COMPLETED (#250, released #266 on 27 Oct)</t>
  </si>
  <si>
    <t>GoKesari_UI_Issue_Register_2026-10-09.xlsx (AUD-21)</t>
  </si>
  <si>
    <t>GAP-012</t>
  </si>
  <si>
    <t>Disputes</t>
  </si>
  <si>
    <t>Admin dispute resolution gives no visible confirmation</t>
  </si>
  <si>
    <t>Resolving a dispute applied after a few seconds with no busy state or success message; a repeat click was refused (409).</t>
  </si>
  <si>
    <t>GoKesari_UI_Issue_Register_2026-10-09.xlsx (TST-01)</t>
  </si>
  <si>
    <t>GAP-013</t>
  </si>
  <si>
    <t>Returns</t>
  </si>
  <si>
    <t>Approved return waiting for a rider cannot be completed by staff</t>
  </si>
  <si>
    <t>Staff cannot complete a return pickup by hand while the rider has not brought the goods back. Owner decision 25 Oct: staff wait for the rider to return the goods to the shop, then press 'Goods received' to complete. The return page now tells the shop and support to wait.</t>
  </si>
  <si>
    <t>#259</t>
  </si>
  <si>
    <t>Open PR -&gt; released to gokesari.com (#259, release #266 on 27 Oct)</t>
  </si>
  <si>
    <t>src/server/services/returns.ts (awaitingRider); src/components/return-case.tsx; tests/integration/returns-route.test.ts</t>
  </si>
  <si>
    <t>GAP-014</t>
  </si>
  <si>
    <t>/orders?tab=returns shows the Active list</t>
  </si>
  <si>
    <t>The Returns tab links to /returns; opening /orders?tab=returns directly shows Active orders.</t>
  </si>
  <si>
    <t>GoKesari_UI_Issue_Register_2026-10-09.xlsx (TST-03)</t>
  </si>
  <si>
    <t>GAP-015</t>
  </si>
  <si>
    <t>Hindi / Marathi for the body of inner pages</t>
  </si>
  <si>
    <t>Boards, header, menus, tabs and error screens are translated; forms, tables and policy pages are English.</t>
  </si>
  <si>
    <t>Translate the remaining strings with a native-speaker review</t>
  </si>
  <si>
    <t>Owner: decision (Blockers #38)</t>
  </si>
  <si>
    <t>GoKesari_UI_Issue_Register_2026-10-09.xlsx (DT-13)</t>
  </si>
  <si>
    <t>GAP-016</t>
  </si>
  <si>
    <t>Same Drizzle bare-id subquery bug in rider reliability and the integrations 'listed' flag</t>
  </si>
  <si>
    <t>The bug fixed in #138 (counts of 0) also appears in delivery-assignment.ts (rider reliability) and integrations pull.ts / connections.ts. Reported, not fixed.</t>
  </si>
  <si>
    <t>PR #138 notes</t>
  </si>
  <si>
    <t>GAP-017</t>
  </si>
  <si>
    <t>React error #418 (hydration) on /wallet and /admin/orders</t>
  </si>
  <si>
    <t>A pre-existing hydration mismatch logged in the browser on two pages.</t>
  </si>
  <si>
    <t>#250; #251 (dates in India time on client and server)</t>
  </si>
  <si>
    <t>YET TO START -&gt; COMPLETED (#250, #251, released #266 on 27 Oct)</t>
  </si>
  <si>
    <t>GAP-018</t>
  </si>
  <si>
    <t>My Orders card wording after an order is switched to pickup</t>
  </si>
  <si>
    <t>After the shop changes a GoKesari-delivery order to pickup and it is delivered, the customer's card still shows 'Finding a rider - &lt;rider&gt;', and the Rs 20 delivery-fee refund is labelled 'refunded ... for unavailable items'.</t>
  </si>
  <si>
    <t>docs/order-lifecycle-2026-10/TEST_RESULTS_STAGING_2026-10-14.md</t>
  </si>
  <si>
    <t>GAP-019</t>
  </si>
  <si>
    <t>Wallet checkout takes 30-38 s on the test site</t>
  </si>
  <si>
    <t>Placing an order with the wallet took 30+ s (timed out once; the retry with the same request id was safe and charged once) and 37.8 s on the rerun.</t>
  </si>
  <si>
    <t>#250; #259</t>
  </si>
  <si>
    <t>Re-time wallet checkout on test.gokesari.com now the database is in Singapore</t>
  </si>
  <si>
    <t>IN PROGRESS -&gt; COMPLETED (#259, released #266 on 27 Oct)</t>
  </si>
  <si>
    <t>src/server/services/orders.ts (checkout)</t>
  </si>
  <si>
    <t>NEW-068</t>
  </si>
  <si>
    <t>Admin screen for product HSN codes and GST rates (/admin/product-gst)</t>
  </si>
  <si>
    <t>Admins see every master product with its HSN code, its own GST rate and the rate a tax invoice issued today would use, with where it comes from (product's own rate, dated HSN fallback, or 'Default - rate not set'), and how many shops bill it at their own rate. Search by name, barcode or HSN; 'only products with no rate' with the total. Edit HSN (4, 6 or 8 digits) and GST % (0-100, two decimals; either can be cleared) with a required reason; warning on an unusual rate. Audited as product.gst_changed. Applies to invoices issued from then on; issued invoices keep their snapshot rate. API: GET /api/admin/product-gst, PATCH /api/admin/product-gst/{id}.</t>
  </si>
  <si>
    <t>Live (admins; permission gst-config:manage); admin board 'Product GST rates' (EN / HI / MR)</t>
  </si>
  <si>
    <t>#200</t>
  </si>
  <si>
    <t>#207 (19 Oct 17:09 UTC; the site picked it up later - live on 21 Oct check)</t>
  </si>
  <si>
    <t>No product has a rate yet: rates and HSN codes must be entered and confirmed by the CA</t>
  </si>
  <si>
    <t>Owner / CA: enter rates for the live catalogue (Blockers #15, #69)</t>
  </si>
  <si>
    <t>src/server/gst/product-rates.ts; src/app/admin/product-gst/page.tsx; src/components/admin/product-gst-editor.tsx; tests/integration/product-gst-rates.test.ts</t>
  </si>
  <si>
    <t>NEW-069</t>
  </si>
  <si>
    <t>Homepage UI/UX upgrade (F1-F6): discovery home, search suggestions + voice, banners, empty states, compare, footer, mobile chrome</t>
  </si>
  <si>
    <t>Home = discovery page (sticky header, search, hero banners, categories, shops near you, Buy again / Popular in your area). Account dropdown, phone drawer and bottom navigation. Admin 'Home banners' (/admin/home-banners: picture, dates, city / PIN, order). Header search with suggestions (products, shops, categories), recent and trending, voice search in en / hi / mr. Empty states with a next step; 'Compare N prices' and Best price on the compare page; new footer; sticky header site-wide, location bottom sheet, floating cart bar. EN / HI / MR.</t>
  </si>
  <si>
    <t>Live (rule homeDiscovery on by default; off = Tile Board home)</t>
  </si>
  <si>
    <t>#214; fixes #215, #218</t>
  </si>
  <si>
    <t>#219 (20 Oct 05:39 UTC; migrations 0086-0087 applied beforehand); #221</t>
  </si>
  <si>
    <t>Signed-in checks on staging / production not run (Blockers #68); iPhone native build needs EXPO_TOKEN (#67); results PR #217 still open (#222 merged 21 Oct)</t>
  </si>
  <si>
    <t>Owner: decide on #67 / #68; merge #217 (docs)</t>
  </si>
  <si>
    <t>docs/homepage-uiux-2026-10/README.md; reports/GoKesari_Homepage_UIUX_Status_2026-10-20.xlsx (PR #217); src/components/home/**</t>
  </si>
  <si>
    <t>NEW-070</t>
  </si>
  <si>
    <t>www.gokesari.com and www.test.gokesari.com redirect to the address without www</t>
  </si>
  <si>
    <t>Every page on a www address gets a permanent (308) redirect to the same path on the address without www, so sign-in (tied to AUTH_URL) can finish. /api/* and /.well-known/* are not redirected (webhooks, app-link files); the destinations are fixed, never read from the request (no open redirect).</t>
  </si>
  <si>
    <t>#224 (draft, into staging); #224</t>
  </si>
  <si>
    <t>IN PROGRESS -&gt; COMPLETED (#224 merged 25 Oct, on gokesari.com since release #266)</t>
  </si>
  <si>
    <t>next.config.ts (redirects); tests/unit/www-redirect.test.ts (PR #224)</t>
  </si>
  <si>
    <t>PLT-019</t>
  </si>
  <si>
    <t>Hostinger builds keep working: build worker cap and clean database URLs for split sites</t>
  </si>
  <si>
    <t>next build runs at most 7 workers so the Hostinger build no longer fails (#209). Migrations on a split site open the seller database with a cleaned URL (Neon channel_binding dropped, trimmed) (#215) and refuse a SELLER_DATABASE_URL that is not the seller database the core reads (#218).</t>
  </si>
  <si>
    <t>Live (build and migrate-on-build on both sites)</t>
  </si>
  <si>
    <t>#209; #215; #218</t>
  </si>
  <si>
    <t>#210; #216; #219</t>
  </si>
  <si>
    <t>next.config.ts; scripts/migrate-on-build.mjs; scripts/split-migrate.mjs</t>
  </si>
  <si>
    <t>NEW-071</t>
  </si>
  <si>
    <t>Find the shopper's location by itself, with an approximate street address</t>
  </si>
  <si>
    <t>The device position is found and saved on the first visit ('Find your location'); the address shown comes from free OpenStreetMap reverse geocoding (no Google key).</t>
  </si>
  <si>
    <t>#225; #226</t>
  </si>
  <si>
    <t>#227</t>
  </si>
  <si>
    <t>PRs #225, #226</t>
  </si>
  <si>
    <t>NEW-072</t>
  </si>
  <si>
    <t>Legal</t>
  </si>
  <si>
    <t>Privacy and Cookie Policy updates; Trending counts people; guest searches not saved</t>
  </si>
  <si>
    <t>Privacy policy describes the location data; Cookie Policy lists every first-party cookie; Trending searches count distinct people; a guest's searches are neither saved nor kept (migration 0091 deletes the old ones).</t>
  </si>
  <si>
    <t>#229; #230; #236</t>
  </si>
  <si>
    <t>#233; #235; #242</t>
  </si>
  <si>
    <t>PRs #229, #230, #236</t>
  </si>
  <si>
    <t>NEW-073</t>
  </si>
  <si>
    <t>Purchase lists</t>
  </si>
  <si>
    <t>Weekly / monthly shopping and medicine lists</t>
  </si>
  <si>
    <t>A customer keeps named lists, checks them against a shop's stock and price, and moves the buyable lines to the cart in one step.</t>
  </si>
  <si>
    <t>#231</t>
  </si>
  <si>
    <t>#237</t>
  </si>
  <si>
    <t>Header search box collapses at 1280 px when signed in (D-103, open)</t>
  </si>
  <si>
    <t>Fix D-103</t>
  </si>
  <si>
    <t>docs/purchase-lists-2026-10/TEST_RESULTS_2026-10-24.md</t>
  </si>
  <si>
    <t>NEW-074</t>
  </si>
  <si>
    <t>Discovery</t>
  </si>
  <si>
    <t>Paused shops stay listed with a 'Not taking orders online' notice</t>
  </si>
  <si>
    <t>A shop that is paused, below its wallet minimum or missing a legal document stays among nearby shops with an amber notice; its page shows a banner and its products can still be browsed. Owner decision D-046.</t>
  </si>
  <si>
    <t>#246</t>
  </si>
  <si>
    <t>docs/decision-log.md D-046; tests/integration/qa-2026-10-24-sellers-pages.test.ts</t>
  </si>
  <si>
    <t>NEW-075</t>
  </si>
  <si>
    <t>Cart &amp; checkout</t>
  </si>
  <si>
    <t>Cart and checkout concurrency fixes</t>
  </si>
  <si>
    <t>Two simultaneous adds of the same product no longer answer 500 or lose units (D-102); units added while a checkout runs are ordered or stay in the cart, never dropped.</t>
  </si>
  <si>
    <t>F1.6.1</t>
  </si>
  <si>
    <t>#241; #243</t>
  </si>
  <si>
    <t>tests/integration/cart-concurrent-adds.test.ts; tests/integration/checkout-cart-race.test.ts</t>
  </si>
  <si>
    <t>QA-010</t>
  </si>
  <si>
    <t>Automated QA suite for the 798-case plan (UI + API) with the Claude QA agent and skills</t>
  </si>
  <si>
    <t>Playwright UI + API checks mapped to every test case and 37 end-to-end scenarios, in three tiers (guest, signed-in, local), desktop and phone; staging accounts signed in with the emailed codes; Cashfree sandbox payments through the workflow; results collected into docs/testing/qa-runs and the master test register. Agent gokesari-qa and skills gokesari-qa-run / -signin / -write-test / -report.</t>
  </si>
  <si>
    <t>F14.1.6</t>
  </si>
  <si>
    <t>Live (guest tier on production)</t>
  </si>
  <si>
    <t>#228; #232; #234; #238; #244; #246; #247</t>
  </si>
  <si>
    <t>Signed-in tier never runs on production (by rule); 41 staging failures and 45 local ones are mostly test-side follow-ups</t>
  </si>
  <si>
    <t>Fix the test-side follow-ups; re-run staging after #247</t>
  </si>
  <si>
    <t>tests/qa; docs/testing/GOKESARI_MASTER_TEST_REGISTER.xlsx; docs/testing/qa-defects.json</t>
  </si>
  <si>
    <t>GKS-FLAGS</t>
  </si>
  <si>
    <t>Dealer programme</t>
  </si>
  <si>
    <t>Feature flags &amp; geo areas</t>
  </si>
  <si>
    <t>Four flags (later five with the wizard), switched on for all India, chosen states or districts; Maharashtra districts, Pune talukas / localities, PIN prefixes; DEALER role</t>
  </si>
  <si>
    <t>F16.1.1</t>
  </si>
  <si>
    <t>Off on gokesari.com (flag dealer_programme_enabled); staging: on for Karnataka + Pune</t>
  </si>
  <si>
    <t>#268 (bc3f93a); migrations 0101-0103</t>
  </si>
  <si>
    <t>#268</t>
  </si>
  <si>
    <t>Owner: switch on per area (Admin &gt; Feature flags)</t>
  </si>
  <si>
    <t>NEW (not in 25 Oct)</t>
  </si>
  <si>
    <t>Added 25-29 Oct 2026</t>
  </si>
  <si>
    <t>src/server/services/feature-flags.ts; drizzle/0101-0103</t>
  </si>
  <si>
    <t>GKS-FEE</t>
  </si>
  <si>
    <t>Registration fee slabs</t>
  </si>
  <si>
    <t>Admin-defined registration-fee slabs by declared turnover (up to 20 slabs)</t>
  </si>
  <si>
    <t>F17.3.1</t>
  </si>
  <si>
    <t>#268 (ae3a421, 973d520)</t>
  </si>
  <si>
    <t>src/server/services/registration-fee*.ts</t>
  </si>
  <si>
    <t>GKS-DR-001</t>
  </si>
  <si>
    <t>Dealer registration</t>
  </si>
  <si>
    <t>Application by dealer type, mobile OTP, e-mail, documents per type, Rs 1 bank-account check, agreement</t>
  </si>
  <si>
    <t>F16.1.1, F16.1.2</t>
  </si>
  <si>
    <t>#268 (3d92aaf); migration 0104</t>
  </si>
  <si>
    <t>src/server/dealers/service.ts; src/app/dealer/apply</t>
  </si>
  <si>
    <t>GKS-DR-002</t>
  </si>
  <si>
    <t>Dealer documents &amp; approval</t>
  </si>
  <si>
    <t>Configurable document requirements; admin approval queue; suspend / reject / terminate</t>
  </si>
  <si>
    <t>F16.1.3</t>
  </si>
  <si>
    <t>#268 (3d92aaf, f588580)</t>
  </si>
  <si>
    <t>src/app/admin/dealers; src/app/api/admin/dealers/[id]/decision</t>
  </si>
  <si>
    <t>GKS-DR-003</t>
  </si>
  <si>
    <t>Dealer codes, link &amp; QR</t>
  </si>
  <si>
    <t>GKS-&lt;state&gt;-&lt;district&gt;-code, share link /shop/register?ref=, QR, suspend / replace a code</t>
  </si>
  <si>
    <t>F16.1.5</t>
  </si>
  <si>
    <t>#268 (3d92aaf)</t>
  </si>
  <si>
    <t>src/server/dealers/codes.ts</t>
  </si>
  <si>
    <t>GKS-DR-004</t>
  </si>
  <si>
    <t>Dealer employees</t>
  </si>
  <si>
    <t>Salespeople with optional Employee ID; legacy distributors migrated as dealers</t>
  </si>
  <si>
    <t>F16.1.6</t>
  </si>
  <si>
    <t>src/app/api/dealer/salespeople</t>
  </si>
  <si>
    <t>GKS-SH-001</t>
  </si>
  <si>
    <t>Self-registration attribution</t>
  </si>
  <si>
    <t>Dealer code typed or taken from ?ref=, optional Employee ID field on Add my shop</t>
  </si>
  <si>
    <t>F16.2.1</t>
  </si>
  <si>
    <t>#268 (611f979); migration 0105</t>
  </si>
  <si>
    <t>src/server/dealers/attribution.ts</t>
  </si>
  <si>
    <t>GKS-SH-002</t>
  </si>
  <si>
    <t>Dealer-assisted registration</t>
  </si>
  <si>
    <t>Dealer registers a shop together with the owner; the owner confirms with a code</t>
  </si>
  <si>
    <t>F16.2.2</t>
  </si>
  <si>
    <t>#268 (611f979)</t>
  </si>
  <si>
    <t>src/server/dealers/assisted.ts</t>
  </si>
  <si>
    <t>GKS-SH-003</t>
  </si>
  <si>
    <t>Duplicate shops</t>
  </si>
  <si>
    <t>Same phone / GSTIN / name within 150 m flagged; a duplicate earns no commission</t>
  </si>
  <si>
    <t>F16.2.3</t>
  </si>
  <si>
    <t>Staging check was automated tests only (28 Oct)</t>
  </si>
  <si>
    <t>src/server/services/shop-duplicates.ts</t>
  </si>
  <si>
    <t>GKS-RA-001</t>
  </si>
  <si>
    <t>Attribution, leads &amp; claims</t>
  </si>
  <si>
    <t>30-day leads (cap 200), attribution priority, dealer claims decided by staff</t>
  </si>
  <si>
    <t>F16.2.4</t>
  </si>
  <si>
    <t>src/server/dealers/leads.ts; src/server/dealers/disputes.ts</t>
  </si>
  <si>
    <t>GKS-SH-004</t>
  </si>
  <si>
    <t>Instant approval on GST/PAN + payment</t>
  </si>
  <si>
    <t>Government check + gateway fee -&gt; shop approved; ready-for-upload e-mail; evidence log; retry when the source is down</t>
  </si>
  <si>
    <t>F17.4.1, F17.4.4</t>
  </si>
  <si>
    <t>Off on gokesari.com (flag gov_verification_auto_approval_enabled); staging: Pune</t>
  </si>
  <si>
    <t>#268 (4500808, 6db91cd); migration 0106</t>
  </si>
  <si>
    <t>Owner: switch on per area</t>
  </si>
  <si>
    <t>src/server/services/gov-auto-approval.ts</t>
  </si>
  <si>
    <t>GKS-CM-001</t>
  </si>
  <si>
    <t>Commission rules</t>
  </si>
  <si>
    <t>Fixed / % / both, per shop type, India / state / district (most specific wins), milestone, versioned, admin only</t>
  </si>
  <si>
    <t>F16.3.1</t>
  </si>
  <si>
    <t>#268 (22a74db); migration 0107</t>
  </si>
  <si>
    <t>src/server/dealers/commission.ts</t>
  </si>
  <si>
    <t>GKS-CM-002</t>
  </si>
  <si>
    <t>Commission ledger &amp; payouts</t>
  </si>
  <si>
    <t>Earned -&gt; approved -&gt; paid; cap with override; reversals; payouts with bank reference; CSV statement; hold for shops approved without documents</t>
  </si>
  <si>
    <t>F16.3.4</t>
  </si>
  <si>
    <t>#268 (22a74db, 9e3e1b7)</t>
  </si>
  <si>
    <t>Payout not run on staging (28 Oct)</t>
  </si>
  <si>
    <t>GKS-CM-003</t>
  </si>
  <si>
    <t>Dealer rating &amp; bonus</t>
  </si>
  <si>
    <t>Rating 0-10 by live shops (slabs), start rating, downgrade, bonus</t>
  </si>
  <si>
    <t>F16.3.3</t>
  </si>
  <si>
    <t>Off on gokesari.com (flag dealer_rating_bonus_enabled); staging: Pune</t>
  </si>
  <si>
    <t>#268 (22a74db)</t>
  </si>
  <si>
    <t>GKS-CM-004</t>
  </si>
  <si>
    <t>Monthly commission payout</t>
  </si>
  <si>
    <t>Payout drafted on the 5th with a statement for each dealer; approve-at-close on by default (owner, 29 Oct); daily cron dealer-monthly-payout</t>
  </si>
  <si>
    <t>F16.3.5</t>
  </si>
  <si>
    <t>#271; migration 0116</t>
  </si>
  <si>
    <t>#281</t>
  </si>
  <si>
    <t>src/server/dealers/monthly-payout.ts</t>
  </si>
  <si>
    <t>GKS-CM-005</t>
  </si>
  <si>
    <t>Base commission % moved by rating</t>
  </si>
  <si>
    <t>Admin-set base % of the registration fee, moved up or down by the dealer rating, per dealer</t>
  </si>
  <si>
    <t>F16.3.2</t>
  </si>
  <si>
    <t>#280; migration 0117</t>
  </si>
  <si>
    <t>#285</t>
  </si>
  <si>
    <t>src/server/dealers/commission.ts; docs test results 29 Oct</t>
  </si>
  <si>
    <t>GKS-CM-006</t>
  </si>
  <si>
    <t>Waived fee earns no commission</t>
  </si>
  <si>
    <t>A waived registration fee is a zero base: no percentage commission or bonus at any milestone</t>
  </si>
  <si>
    <t>d8fc985; #275 (f2756b6, 6475bdd)</t>
  </si>
  <si>
    <t>#275</t>
  </si>
  <si>
    <t>GKS-DB-001</t>
  </si>
  <si>
    <t>Dealer dashboard</t>
  </si>
  <si>
    <t>Tiles, pending, performance by day / week / month, employees, areas; staff dealer list and overview</t>
  </si>
  <si>
    <t>F16.4.1</t>
  </si>
  <si>
    <t>#268 (89f66b9, c9ea939)</t>
  </si>
  <si>
    <t>src/app/dealer; src/app/admin/dealers</t>
  </si>
  <si>
    <t>GKS-SP-001</t>
  </si>
  <si>
    <t>Paid support services</t>
  </si>
  <si>
    <t>General (free), product upload, price update; admin charges; wallet / online payment; tickets; refunds</t>
  </si>
  <si>
    <t>F16.5.1, F16.5.2</t>
  </si>
  <si>
    <t>Off on gokesari.com (flag paid_support_services_enabled); staging: Pune</t>
  </si>
  <si>
    <t>#268 (c70e869); migration 0108</t>
  </si>
  <si>
    <t>src/server/services/support-services.ts</t>
  </si>
  <si>
    <t>GKS-GEO-001</t>
  </si>
  <si>
    <t>Coverage map &amp; targets</t>
  </si>
  <si>
    <t>Areas with dealers, shops, operational shops, target vs registered, gaps; drawn map</t>
  </si>
  <si>
    <t>F16.4.2</t>
  </si>
  <si>
    <t>#268 (bf53b23); migration 0110</t>
  </si>
  <si>
    <t>src/server/services/geo-areas.ts</t>
  </si>
  <si>
    <t>GKS-AN-001</t>
  </si>
  <si>
    <t>Dealer performance score</t>
  </si>
  <si>
    <t>Weighted score (admin weights), ranked within the district</t>
  </si>
  <si>
    <t>F16.4.3</t>
  </si>
  <si>
    <t>#268 (bf53b23)</t>
  </si>
  <si>
    <t>src/server/dealers/performance.ts</t>
  </si>
  <si>
    <t>GKS-AN-002</t>
  </si>
  <si>
    <t>Activation &amp; 30-day activity</t>
  </si>
  <si>
    <t>Activation and 30-day activity per dealer and employee</t>
  </si>
  <si>
    <t>src/server/dealers/analytics.ts</t>
  </si>
  <si>
    <t>GKS-APP</t>
  </si>
  <si>
    <t>Dealer programme in the app</t>
  </si>
  <si>
    <t>Website in the app shell; app links; downloads and print through the bridge (no native change needed)</t>
  </si>
  <si>
    <t>Live (same flags as the website)</t>
  </si>
  <si>
    <t>#268 (c89cf0b)</t>
  </si>
  <si>
    <t>Not run on staging in the app</t>
  </si>
  <si>
    <t>mobile/</t>
  </si>
  <si>
    <t>GKS-DOCS</t>
  </si>
  <si>
    <t>Dealer guides &amp; testing report</t>
  </si>
  <si>
    <t>Admin guide, dealer onboarding guide, testing report (and PDF)</t>
  </si>
  <si>
    <t>#268 (c9ea939, dc13efa)</t>
  </si>
  <si>
    <t>docs/dealer-programme-2026-10/</t>
  </si>
  <si>
    <t>GKS-IN-001</t>
  </si>
  <si>
    <t>All-India states &amp; districts</t>
  </si>
  <si>
    <t>28 states + 8 UTs with PIN prefixes; districts added by the admin with generated short codes</t>
  </si>
  <si>
    <t>F16.1.4</t>
  </si>
  <si>
    <t>#277 (a8258f1, 5f134ad); migration 0114</t>
  </si>
  <si>
    <t>#277</t>
  </si>
  <si>
    <t>src/server/services/geo-areas.ts; drizzle/0114_india_states.sql</t>
  </si>
  <si>
    <t>GKS-IN-002</t>
  </si>
  <si>
    <t>Add dealer (admin)</t>
  </si>
  <si>
    <t>Admin adds a dealer in any state / district (or a new one); approved at once; code GKS-&lt;state&gt;-&lt;district&gt;-XXXXXX</t>
  </si>
  <si>
    <t>#277 (a8258f1)</t>
  </si>
  <si>
    <t>src/app/api/admin/dealers</t>
  </si>
  <si>
    <t>GKS-IN-003</t>
  </si>
  <si>
    <t>Flags &amp; commission by state</t>
  </si>
  <si>
    <t>Flags on for whole states or districts; commission rules for India / state / district</t>
  </si>
  <si>
    <t>src/server/services/feature-flags.ts</t>
  </si>
  <si>
    <t>GKS-VER</t>
  </si>
  <si>
    <t>Seller verification</t>
  </si>
  <si>
    <t>PAN / GST / Udyam verification fixes</t>
  </si>
  <si>
    <t>PAN checked against the GSTIN's PAN in either order; reviewer approval survives the periodic re-check; reviewer row lock; state from any PIN; inoperative PAN not active; a licence re-runs the approval check</t>
  </si>
  <si>
    <t>F17.2.4</t>
  </si>
  <si>
    <t>#277 (faac963)</t>
  </si>
  <si>
    <t>Tested locally and in CI only; not run on staging</t>
  </si>
  <si>
    <t>QA: run on staging</t>
  </si>
  <si>
    <t>src/server/services/seller-verification.ts</t>
  </si>
  <si>
    <t>NEW-076</t>
  </si>
  <si>
    <t>Registration fee Rs 999 + GST with coupons</t>
  </si>
  <si>
    <t>Rs 999 + GST registration fee with admin-managed coupons; pay step; one pending registration per owner; online fee payment</t>
  </si>
  <si>
    <t>F17.3.1, F17.3.2, F17.3.3</t>
  </si>
  <si>
    <t>Live (turnover slabs set by the admin)</t>
  </si>
  <si>
    <t>#265 (86449de, 9cceb64, 522e0f8); migrations 0098, 0099</t>
  </si>
  <si>
    <t>src/server/services/registration-fee-coupons.ts; registration-fee-payment.ts</t>
  </si>
  <si>
    <t>NEW-077</t>
  </si>
  <si>
    <t>Shop referral code mandatory</t>
  </si>
  <si>
    <t>A referral (dealer) code is required on Add my shop</t>
  </si>
  <si>
    <t>F17.1.5</t>
  </si>
  <si>
    <t>ae3a421; migration 0100</t>
  </si>
  <si>
    <t>drizzle/0100_shop_referral_mandatory.sql</t>
  </si>
  <si>
    <t>NEW-078</t>
  </si>
  <si>
    <t>Six new shop types + admin shop types screen</t>
  </si>
  <si>
    <t>Six new shop types; Admin &gt; Shop types manages them; department stored as text</t>
  </si>
  <si>
    <t>F17.1.1</t>
  </si>
  <si>
    <t>7425434, 28c9f44; migration 0097</t>
  </si>
  <si>
    <t>src/server/services/shop-types.ts; src/app/admin/shop-types</t>
  </si>
  <si>
    <t>NEW-079</t>
  </si>
  <si>
    <t>Professional categories</t>
  </si>
  <si>
    <t>Professional shop categories in registration; faster seller pages</t>
  </si>
  <si>
    <t>#265; migration 0098</t>
  </si>
  <si>
    <t>drizzle/0098_professional_registration.sql</t>
  </si>
  <si>
    <t>NEW-080</t>
  </si>
  <si>
    <t>Product cards and search by owner name</t>
  </si>
  <si>
    <t>Owner name bold first, then shop, product and price; names wrap on phones; search matches the owner and every typed word in any order</t>
  </si>
  <si>
    <t>F1.3</t>
  </si>
  <si>
    <t>0586129, 28c3ffd, 2b15062</t>
  </si>
  <si>
    <t>tests/integration/storefront-search.test.ts</t>
  </si>
  <si>
    <t>NEW-081</t>
  </si>
  <si>
    <t>Dates in India time everywhere</t>
  </si>
  <si>
    <t>India time on client and server pages (React #418 fix); voucher upload refuses a past end date (D-105)</t>
  </si>
  <si>
    <t>#251</t>
  </si>
  <si>
    <t>PR #251</t>
  </si>
  <si>
    <t>NEW-082</t>
  </si>
  <si>
    <t>Owner decisions of 25 Oct</t>
  </si>
  <si>
    <t>D-103 signed-in header search placement, D-57, D-91, D-25, D-96, D-23, D-69</t>
  </si>
  <si>
    <t>#254; migrations 0092-0094</t>
  </si>
  <si>
    <t>#266 (first release #261 rolled back by #262, E-03)</t>
  </si>
  <si>
    <t>PR #254</t>
  </si>
  <si>
    <t>NEW-083</t>
  </si>
  <si>
    <t>Loose stock in decimals</t>
  </si>
  <si>
    <t>Loose stock records decimal quantities (D-95, TC-SPI-025)</t>
  </si>
  <si>
    <t>#257; migrations 0095, 0096</t>
  </si>
  <si>
    <t>drizzle/0096_cart_loose_quantity.sql</t>
  </si>
  <si>
    <t>NEW-084</t>
  </si>
  <si>
    <t>Lower Node process load</t>
  </si>
  <si>
    <t>Disputes escalate on touch, cron gate (legacy per-job routes answer 410), caching, prefetch off on list links</t>
  </si>
  <si>
    <t>907a756, 7049567, 7bd85e7</t>
  </si>
  <si>
    <t>src/proxy.ts (CRON_ROUTES_ENABLED)</t>
  </si>
  <si>
    <t>NEW-085</t>
  </si>
  <si>
    <t>One production release at a time + post-deploy check</t>
  </si>
  <si>
    <t>Release rule (DEPLOYMENT.md section 3) and the Post-deploy check workflow / scripts/release/post-deploy-check.sh (E-02)</t>
  </si>
  <si>
    <t>F18.3.1</t>
  </si>
  <si>
    <t>#260</t>
  </si>
  <si>
    <t>DEPLOYMENT.md; scripts/release/post-deploy-check.sh</t>
  </si>
  <si>
    <t>NEW-086</t>
  </si>
  <si>
    <t>Databases moved to Neon Singapore</t>
  </si>
  <si>
    <t>test.gokesari.com and gokesari.com moved from Ohio to Neon aws-ap-southeast-1 on 28 Oct (copy / relink / compare tooling); read-only window 1 h 30 min (test), 33 min (production)</t>
  </si>
  <si>
    <t>F18.1.1, F18.1.3</t>
  </si>
  <si>
    <t>b2e8ac1, 9aa774a, 41fd6ef, ce54be8, b8ed073 (scripts/db-region-move)</t>
  </si>
  <si>
    <t>Environment change 28 Oct (no code release)</t>
  </si>
  <si>
    <t>Run "Production database -&gt; verify" once; check cron runs; delete Ohio projects after 4 Nov (test) / 11 Nov (production)</t>
  </si>
  <si>
    <t>Owner (Blockers #73, #75)</t>
  </si>
  <si>
    <t>GOKESARI_DB_REGION_MOVE_PLAN_2026-10-28.md</t>
  </si>
  <si>
    <t>NEW-087</t>
  </si>
  <si>
    <t>Approvals reply once the decision is saved</t>
  </si>
  <si>
    <t>Approving a seller document answers as soon as the decision commits; audit, events, notifications and auto-approval run after the response</t>
  </si>
  <si>
    <t>F17.4.3</t>
  </si>
  <si>
    <t>ede4260</t>
  </si>
  <si>
    <t>src/server/api/defer.ts</t>
  </si>
  <si>
    <t>NEW-088</t>
  </si>
  <si>
    <t>Payment capture follow-ups after commit</t>
  </si>
  <si>
    <t>Capture follow-ups run after the commit in the same request, not on a timer</t>
  </si>
  <si>
    <t>3bf5a33</t>
  </si>
  <si>
    <t>commit 3bf5a33</t>
  </si>
  <si>
    <t>NEW-089</t>
  </si>
  <si>
    <t>Shop approval queue improvements</t>
  </si>
  <si>
    <t>Record the fee payment or waive the fee from the shop card; says when nothing is uploaded; remind the owner; admin approval without documents; Pending lists only shops still waiting</t>
  </si>
  <si>
    <t>F17.3.3, F17.4.2</t>
  </si>
  <si>
    <t>997748b, 99a3efb, efcfea9, 6db91cd; migration 0109</t>
  </si>
  <si>
    <t>src/app/admin/shops/missing-documents; /instant-approvals</t>
  </si>
  <si>
    <t>NEW-090</t>
  </si>
  <si>
    <t>Scan a document + more licences</t>
  </si>
  <si>
    <t>"Scan a document" detects the type; trade, legal metrology, fire NOC, agri-input and other licences</t>
  </si>
  <si>
    <t>F17.2.1</t>
  </si>
  <si>
    <t>#269; migration 0112</t>
  </si>
  <si>
    <t>#272</t>
  </si>
  <si>
    <t>src/server/services/legal-documents.ts</t>
  </si>
  <si>
    <t>NEW-091</t>
  </si>
  <si>
    <t>Shop onboarding wizard - step 1</t>
  </si>
  <si>
    <t>GSTIN-first checks with a background PAN check; shop filled from the GST record</t>
  </si>
  <si>
    <t>F17.1.2</t>
  </si>
  <si>
    <t>Off on gokesari.com (flag shop_onboarding_wizard_enabled)</t>
  </si>
  <si>
    <t>#267; migration 0111</t>
  </si>
  <si>
    <t>src/server/services/shop-registration-draft.ts</t>
  </si>
  <si>
    <t>NEW-092</t>
  </si>
  <si>
    <t>Shop onboarding wizard - step 2</t>
  </si>
  <si>
    <t>Udyam, FSSAI, Shop Act and map steps; the draft becomes the shop with checks copied; live after payment</t>
  </si>
  <si>
    <t>F17.1.3</t>
  </si>
  <si>
    <t>#270; migration 0113</t>
  </si>
  <si>
    <t>Owner decision B (live after payment) withdrawn 29 Oct: documents rule applies (9ff0680)</t>
  </si>
  <si>
    <t>src/server/services/shop-registration-wizard.ts</t>
  </si>
  <si>
    <t>NEW-093</t>
  </si>
  <si>
    <t>Wizard behind its flag (D-106)</t>
  </si>
  <si>
    <t>?wizard=1 opens the wizard only while its flag is on, or for an admin; its GSTIN and PAN steps check the flag too (no paid government lookup while off)</t>
  </si>
  <si>
    <t>F17.1.4</t>
  </si>
  <si>
    <t>Live (gate)</t>
  </si>
  <si>
    <t>#274 (efe32c3, 54f2f8d); 7558902</t>
  </si>
  <si>
    <t>#277; #285</t>
  </si>
  <si>
    <t>src/app/api/shops/registration-draft/gstin, /pan</t>
  </si>
  <si>
    <t>NEW-094</t>
  </si>
  <si>
    <t>Shop documents before the fee + follow-up</t>
  </si>
  <si>
    <t>Documents before the registration fee or a promise to send them; follow-up on the 1st and 15th with auto-suspension; operator approval card names the promised date (D-107, D-108 fixed)</t>
  </si>
  <si>
    <t>F17.2.2, F17.2.3, F17.4.2</t>
  </si>
  <si>
    <t>Live; daily cron shop-document-follow-up</t>
  </si>
  <si>
    <t>#273; ea20441; 63ccd62 (#286); migration 0115</t>
  </si>
  <si>
    <t>#277; #287</t>
  </si>
  <si>
    <t>src/server/services/shop-document-gate.ts; shop-document-follow-up.ts</t>
  </si>
  <si>
    <t>NEW-095</t>
  </si>
  <si>
    <t>Seller verification follow-ups (owner, 29 Oct)</t>
  </si>
  <si>
    <t>One source for GST/PAN; GSTIN = one business; Shop Act = one shop; PAN / Udyam / Shop Act copied onto the shop; 3 months for shops approved without documents, reminders every 15 days, promise 90 days</t>
  </si>
  <si>
    <t>32da8e5, 1132782</t>
  </si>
  <si>
    <t>3 staging shops verified before the change still show PAN "Not verified" until the next check</t>
  </si>
  <si>
    <t>Owner: one-time catch-up script? (Blockers #77)</t>
  </si>
  <si>
    <t>NEW-096</t>
  </si>
  <si>
    <t>Cron: one run of each entry point at a time</t>
  </si>
  <si>
    <t>Single-run guard per cron entry point; flock on the crontab lines</t>
  </si>
  <si>
    <t>F18.3.3</t>
  </si>
  <si>
    <t>6a2b174</t>
  </si>
  <si>
    <t>Confirm the every-minute / hourly / daily jobs actually run on both sites</t>
  </si>
  <si>
    <t>Owner + session (Blockers #4)</t>
  </si>
  <si>
    <t>src/server/cron/single-run.ts</t>
  </si>
  <si>
    <t>NEW-097</t>
  </si>
  <si>
    <t>Migrations only through the GitHub workflows</t>
  </si>
  <si>
    <t>migrate-on-build skips outside GitHub Actions: no migrations in Hostinger builds or PR previews (Blocker #71)</t>
  </si>
  <si>
    <t>F18.3.2</t>
  </si>
  <si>
    <t>#276 (f4507bf)</t>
  </si>
  <si>
    <t>scripts/migrate-on-build.mjs</t>
  </si>
  <si>
    <t>NEW-098</t>
  </si>
  <si>
    <t>Home page reads together; no logo prefetch</t>
  </si>
  <si>
    <t>Independent home-page reads start together; the logo link no longer prefetches the home page (P1 home, P3)</t>
  </si>
  <si>
    <t>F18.2.1</t>
  </si>
  <si>
    <t>#279 (cb38c27)</t>
  </si>
  <si>
    <t>#282</t>
  </si>
  <si>
    <t>Other home links still prefetch 7-9 pages per visit</t>
  </si>
  <si>
    <t>src/app/page.tsx; GOKESARI_PERFORMANCE_REPORT_2026-10-29.md</t>
  </si>
  <si>
    <t>NEW-099</t>
  </si>
  <si>
    <t>Product and shop pages: reads together (P1)</t>
  </si>
  <si>
    <t>Product page ~8 sequential awaits and shop page reads the shop twice; run them together / React cache(). Expected product 0.63 -&gt; ~0.25 s, shop 0.53 -&gt; ~0.25 s</t>
  </si>
  <si>
    <t>F18.2.2</t>
  </si>
  <si>
    <t>Not built</t>
  </si>
  <si>
    <t>Dev: staging first, re-measure</t>
  </si>
  <si>
    <t>GOKESARI_PERFORMANCE_REPORT_2026-10-29.md (P1)</t>
  </si>
  <si>
    <t>NEW-100</t>
  </si>
  <si>
    <t>Cache data shared by everyone (P2)</t>
  </si>
  <si>
    <t>Banners, popular-in-area per pincode, shop fallback list, category counts, product master row cached 30-120 s; stock and price stay live</t>
  </si>
  <si>
    <t>F18.2.3</t>
  </si>
  <si>
    <t>Dev</t>
  </si>
  <si>
    <t>GOKESARI_PERFORMANCE_REPORT_2026-10-29.md (P2)</t>
  </si>
  <si>
    <t>NEW-101</t>
  </si>
  <si>
    <t>Static pages from the CDN (P4)</t>
  </si>
  <si>
    <t>gk_return_to cookie only where needed; /about, /contact, legal pages static with public s-maxage</t>
  </si>
  <si>
    <t>F18.2.4</t>
  </si>
  <si>
    <t>P2</t>
  </si>
  <si>
    <t>GOKESARI_PERFORMANCE_REPORT_2026-10-29.md (P4)</t>
  </si>
  <si>
    <t>NEW-102</t>
  </si>
  <si>
    <t>No cold start after a quiet period (P5)</t>
  </si>
  <si>
    <t>First request after ~5 idle minutes waits 2.5 s: Neon scale-to-zero. The free plan cannot switch it off; a keep-awake ping could use up the monthly compute hours</t>
  </si>
  <si>
    <t>F18.1.2</t>
  </si>
  <si>
    <t>Neon paid plan with scale-to-zero off / min 0.5 CU</t>
  </si>
  <si>
    <t>Owner: billing decision (Blockers #72)</t>
  </si>
  <si>
    <t>GOKESARI_DB_REGION_MOVE_PLAN_2026-10-28.md (open item 3)</t>
  </si>
  <si>
    <t>NEW-103</t>
  </si>
  <si>
    <t>Smaller speed wins (P6)</t>
  </si>
  <si>
    <t>Logo as SVG / WebP, check the 250 KB home JavaScript, CDN MISS on /_next/static, short session cache</t>
  </si>
  <si>
    <t>Dev; owner for the Hostinger CDN question</t>
  </si>
  <si>
    <t>GOKESARI_PERFORMANCE_REPORT_2026-10-29.md (P6)</t>
  </si>
  <si>
    <t>NEW-104</t>
  </si>
  <si>
    <t>App and database in the same place (P7)</t>
  </si>
  <si>
    <t>Each query costs ~60 ms Mumbai -&gt; Singapore; Node app in Singapore would bring it to ~1-2 ms. Neon has no Mumbai region</t>
  </si>
  <si>
    <t>Hosting decision</t>
  </si>
  <si>
    <t>Owner (Blockers #80)</t>
  </si>
  <si>
    <t>GOKESARI_PERFORMANCE_REPORT_2026-10-29.md (P7)</t>
  </si>
  <si>
    <t>NEW-105</t>
  </si>
  <si>
    <t>QA guest checks follow intended behaviour</t>
  </si>
  <si>
    <t>Guest checks accept 410 on retired cron routes and the Seller Central sign-in shell</t>
  </si>
  <si>
    <t>#283</t>
  </si>
  <si>
    <t>tests/qa</t>
  </si>
  <si>
    <t>GoKesari process flow trees - status of every step (29 Oct 2026; F16-F18 added)</t>
  </si>
  <si>
    <t>Level 1 = end-to-end flow, level 2 = stage, level 3 = step. Step status is set by hand (dropdown in column G); stage and flow status are formulas: COMPLETED only when every step is; BLOCKED if any step is blocked; YET TO START when no step has started; otherwise IN PROGRESS.</t>
  </si>
  <si>
    <t>Flow / step ID</t>
  </si>
  <si>
    <t>Level</t>
  </si>
  <si>
    <t>Process flow tree</t>
  </si>
  <si>
    <t>Actor</t>
  </si>
  <si>
    <t>Feature IDs</t>
  </si>
  <si>
    <t>Gap / note</t>
  </si>
  <si>
    <t>Batch status (18 Oct)</t>
  </si>
  <si>
    <t>Batch PR(s)</t>
  </si>
  <si>
    <t>Batch gap / note</t>
  </si>
  <si>
    <t>F1</t>
  </si>
  <si>
    <t>F1.1</t>
  </si>
  <si>
    <t>F1.1  Sign in and profile</t>
  </si>
  <si>
    <t>Sign in with Google, email magic link or a code sent to email (mobile or email form)</t>
  </si>
  <si>
    <t>GS-001, NEW-018</t>
  </si>
  <si>
    <t>#10; #23; #31; #80</t>
  </si>
  <si>
    <t>F1.1.2</t>
  </si>
  <si>
    <t>Prove the mobile number by SMS OTP</t>
  </si>
  <si>
    <t>GS-001, GS-074</t>
  </si>
  <si>
    <t>#190, #192, #194</t>
  </si>
  <si>
    <t>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</si>
  <si>
    <t>DONE</t>
  </si>
  <si>
    <t>Email channel live: OtpProvider routing, 6-digit codes, 5-minute expiry (verified on test.gokesari.com: emails now say 5 minutes), 5 attempts, resend cooldown, DB-backed limits per email/user/IP, hashed + audited, hourly purge. 'OTP sent to your email' wording. SMS = Phase-2 stub (vendor decision D2).</t>
  </si>
  <si>
    <t>F1.1.3</t>
  </si>
  <si>
    <t>First-time profile (/onboarding) and My Profile</t>
  </si>
  <si>
    <t>#31</t>
  </si>
  <si>
    <t>F1.2</t>
  </si>
  <si>
    <t>F1.2  Location and society</t>
  </si>
  <si>
    <t>Choose where to deliver: saved address, device position, PIN or map pin</t>
  </si>
  <si>
    <t>#10; #23; #83</t>
  </si>
  <si>
    <t>Map 'Confirm location' 500 was caused by the referrer-restricted server key (GAP-008); fixed 25 Oct, working on test and production</t>
  </si>
  <si>
    <t>F1.2.2</t>
  </si>
  <si>
    <t>Society recognised from the address</t>
  </si>
  <si>
    <t>F1.3  Discover shops and products</t>
  </si>
  <si>
    <t>Shops that deliver here / Shops near you, with filters and sort</t>
  </si>
  <si>
    <t>GS-019, NAV-001, NEW-019, NEW-051</t>
  </si>
  <si>
    <t>#10; #83</t>
  </si>
  <si>
    <t>Product search limited to serviceable shops</t>
  </si>
  <si>
    <t>#10; #48; #83</t>
  </si>
  <si>
    <t>Every shop selling a product</t>
  </si>
  <si>
    <t>Shops near me from the phone's location: radius 1-10 km, list or map, Directions; PIN box if location is refused</t>
  </si>
  <si>
    <t>NEW-057, NEW-059</t>
  </si>
  <si>
    <t>#133; #136; #135</t>
  </si>
  <si>
    <t>Live on gokesari.com</t>
  </si>
  <si>
    <t>F1.4</t>
  </si>
  <si>
    <t>F1.4  Compare prices</t>
  </si>
  <si>
    <t>Local price comparison across shops</t>
  </si>
  <si>
    <t>#10; #72</t>
  </si>
  <si>
    <t>F1.4.2</t>
  </si>
  <si>
    <t>Home-page price comparison (F9)</t>
  </si>
  <si>
    <t>#55</t>
  </si>
  <si>
    <t>Off by default</t>
  </si>
  <si>
    <t>Online (e-commerce) reference prices shown to customers</t>
  </si>
  <si>
    <t>#23; #190, #194</t>
  </si>
  <si>
    <t>DROPPED (18 Oct batch): Dropped by a code constant (not a setting): hidden on product pages and for shops, public API 404, admin menu entry removed, no scraping or external calls at runtime; PR #23 code kept and isolated; offline Open Prices CLI refuses to run.</t>
  </si>
  <si>
    <t>#190, #194</t>
  </si>
  <si>
    <t>Dropped by a code constant (not a setting): hidden on product pages and for shops, public API 404, admin menu entry removed, no scraping or external calls at runtime; PR #23 code kept and isolated; offline Open Prices CLI refuses to run.</t>
  </si>
  <si>
    <t>F1.5</t>
  </si>
  <si>
    <t>F1.5  Cart</t>
  </si>
  <si>
    <t>Add to cart with quantity controls on the product card</t>
  </si>
  <si>
    <t>GS-024, NEW-012</t>
  </si>
  <si>
    <t>F1.5.3</t>
  </si>
  <si>
    <t>Cart re-validated against the location (serviceability, stock, minimum order, paused shops)</t>
  </si>
  <si>
    <t>GS-026, NEW-005</t>
  </si>
  <si>
    <t>#11; #23</t>
  </si>
  <si>
    <t>Coupons (F7) and shop offers (F8)</t>
  </si>
  <si>
    <t>NAV-003, NAV-002</t>
  </si>
  <si>
    <t>Open-order prompt before paying (C3)</t>
  </si>
  <si>
    <t>#85; #120</t>
  </si>
  <si>
    <t>Live on gokesari.com since #120 (9 Oct)</t>
  </si>
  <si>
    <t>F1.6</t>
  </si>
  <si>
    <t>F1.6  Checkout</t>
  </si>
  <si>
    <t>Mobile number and delivery address required</t>
  </si>
  <si>
    <t>Delivery window or a scheduled time slot with capacity</t>
  </si>
  <si>
    <t>Baseline; #55; #58</t>
  </si>
  <si>
    <t>Slots off by default</t>
  </si>
  <si>
    <t>Order from a closed shop after confirmation</t>
  </si>
  <si>
    <t>F1.7</t>
  </si>
  <si>
    <t>F1.7  Payment</t>
  </si>
  <si>
    <t>Pay from wallet (topped up through Cashfree)</t>
  </si>
  <si>
    <t>GS-029, GS-028</t>
  </si>
  <si>
    <t>Cash on delivery with limits</t>
  </si>
  <si>
    <t>F1.7.3</t>
  </si>
  <si>
    <t>Pay the order directly by UPI / card / netbanking</t>
  </si>
  <si>
    <t>GS-028, NEW-007</t>
  </si>
  <si>
    <t>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</si>
  <si>
    <t>DONE-SANDBOX</t>
  </si>
  <si>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</si>
  <si>
    <t>F1.8</t>
  </si>
  <si>
    <t>F1.8  Order engine</t>
  </si>
  <si>
    <t>F1.8.1</t>
  </si>
  <si>
    <t>Validate stock and service area</t>
  </si>
  <si>
    <t>GS-026, GS-016</t>
  </si>
  <si>
    <t>Split by shop; one parent GK- reference (F6)</t>
  </si>
  <si>
    <t>Baseline; #55</t>
  </si>
  <si>
    <t>Parent reference off by default</t>
  </si>
  <si>
    <t>F1.8.3</t>
  </si>
  <si>
    <t>Confirm wallet / COD payment inside the order transaction</t>
  </si>
  <si>
    <t>Gateway payment confirmation and payment state machine</t>
  </si>
  <si>
    <t>SM-005, GS-073</t>
  </si>
  <si>
    <t>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</si>
  <si>
    <t>Payment state machine CREATED&gt;PENDING&gt;AUTHORIZED&gt;CAPTURED&gt;(PARTIALLY_)REFUNDED + FAILED/EXPIRED; signed webhooks, idempotent by event id, reconciled with the gateway's order status; 5-minute reconciliation job; order idempotency key; order CONFIRMED only on CAPTURED.</t>
  </si>
  <si>
    <t>F1.8.5</t>
  </si>
  <si>
    <t>Create the shop order and notify the shop</t>
  </si>
  <si>
    <t>GS-032, GS-055</t>
  </si>
  <si>
    <t>#10; #23</t>
  </si>
  <si>
    <t>F1.9</t>
  </si>
  <si>
    <t>F1.9  Track and receive</t>
  </si>
  <si>
    <t>Order status and live tracking on My Orders</t>
  </si>
  <si>
    <t>NAV-004, GS-042</t>
  </si>
  <si>
    <t>#29</t>
  </si>
  <si>
    <t>Real-time events and 5-second tracking</t>
  </si>
  <si>
    <t>NEW-028, NEW-029</t>
  </si>
  <si>
    <t>#89; #120</t>
  </si>
  <si>
    <t>F1.9.3</t>
  </si>
  <si>
    <t>Delivery code (OTP) given to the rider at handover</t>
  </si>
  <si>
    <t>F1.9.4</t>
  </si>
  <si>
    <t>Delivery code hashed, emailed to the customer, resendable</t>
  </si>
  <si>
    <t>#91; #120</t>
  </si>
  <si>
    <t>Cancel from My Orders</t>
  </si>
  <si>
    <t>GAP-007, NEW-020, NAV-004</t>
  </si>
  <si>
    <t>#122; #123 (prod)</t>
  </si>
  <si>
    <t>Cancel order on My Orders before packing, with confirmation; follows rule cancellation</t>
  </si>
  <si>
    <t>F1.9.6</t>
  </si>
  <si>
    <t>Collect from the shop with a pickup code; see the delivery option, person and time on My Orders</t>
  </si>
  <si>
    <t>NEW-039, GS-041</t>
  </si>
  <si>
    <t>#102; #103; #120</t>
  </si>
  <si>
    <t>On gokesari.com since #120 (9 Oct), switched off by default - switch on in Admin &gt; Business rules</t>
  </si>
  <si>
    <t>F2</t>
  </si>
  <si>
    <t>Shop owner</t>
  </si>
  <si>
    <t>F2.1</t>
  </si>
  <si>
    <t>F2.1  Receive and decide</t>
  </si>
  <si>
    <t>Receive the order (in-app + email)</t>
  </si>
  <si>
    <t>GS-055, NAV-008</t>
  </si>
  <si>
    <t>SMS / WhatsApp waits on D2</t>
  </si>
  <si>
    <t>Accept or reject (reject = full refund + restock)</t>
  </si>
  <si>
    <t>F2.1.3</t>
  </si>
  <si>
    <t>Acceptance timeout: reminder, then auto-cancel with full refund</t>
  </si>
  <si>
    <t>#58</t>
  </si>
  <si>
    <t>F2.1.4</t>
  </si>
  <si>
    <t>Wallet minimum balance checked before accepting</t>
  </si>
  <si>
    <t>#91; #98; #120</t>
  </si>
  <si>
    <t>F2.2</t>
  </si>
  <si>
    <t>F2.2  Prepare</t>
  </si>
  <si>
    <t>Substitution with customer approval</t>
  </si>
  <si>
    <t>Pick and pack per line</t>
  </si>
  <si>
    <t>Mark READY - starts the rider search</t>
  </si>
  <si>
    <t>F2.2.4</t>
  </si>
  <si>
    <t>Choose pickup / own delivery / GoKesari partner with a date and 1-hour slot; change it with a customer notice</t>
  </si>
  <si>
    <t>NEW-039, GS-027</t>
  </si>
  <si>
    <t>F2.2.5</t>
  </si>
  <si>
    <t>Shop's own delivery staff: private delivery link, start delivery, customer's code to complete</t>
  </si>
  <si>
    <t>NEW-039, NEW-035</t>
  </si>
  <si>
    <t>#102; #120</t>
  </si>
  <si>
    <t>F3</t>
  </si>
  <si>
    <t>F3.1</t>
  </si>
  <si>
    <t>F3.1  Eligibility</t>
  </si>
  <si>
    <t>Society authorisation (whitelist, exclusive or priority)</t>
  </si>
  <si>
    <t>GA-001, GS-045</t>
  </si>
  <si>
    <t>Availability and online status</t>
  </si>
  <si>
    <t>GA-004, GS-038</t>
  </si>
  <si>
    <t>Baseline; #21</t>
  </si>
  <si>
    <t>F3.2</t>
  </si>
  <si>
    <t>F3.2  Ranking</t>
  </si>
  <si>
    <t>Preferred partner ranked higher</t>
  </si>
  <si>
    <t>GA-002, GS-040</t>
  </si>
  <si>
    <t>Distance, reliability and fairness</t>
  </si>
  <si>
    <t>GA-003, GA-007, GA-008</t>
  </si>
  <si>
    <t>Road ETA (F4), busy riders as fallback (F3), batching</t>
  </si>
  <si>
    <t>GS-072, GA-005</t>
  </si>
  <si>
    <t>#55; #58</t>
  </si>
  <si>
    <t>F3.3</t>
  </si>
  <si>
    <t>F3.3  Offer</t>
  </si>
  <si>
    <t>Offer to the best rider with expiry, retries and operator override</t>
  </si>
  <si>
    <t>GS-039, GA-009, RBAC-007</t>
  </si>
  <si>
    <t>Baseline; #10; #23</t>
  </si>
  <si>
    <t>Broadcast offers / widen the radius</t>
  </si>
  <si>
    <t>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</si>
  <si>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</si>
  <si>
    <t>F4</t>
  </si>
  <si>
    <t>Rider</t>
  </si>
  <si>
    <t>F4.1</t>
  </si>
  <si>
    <t>F4.1  Pickup</t>
  </si>
  <si>
    <t>Accept the job (Jobs screen; ordered trip list when batched)</t>
  </si>
  <si>
    <t>#21; #58</t>
  </si>
  <si>
    <t>Arrive at shop checkpoint and pickup code</t>
  </si>
  <si>
    <t>NEW-004, GS-041</t>
  </si>
  <si>
    <t>Pickup by QR code</t>
  </si>
  <si>
    <t>DONE (18 Oct batch): Signed single-use QR (HMAC) on the shop screen and printable packing slip; camera scan in the rider app; PICKED_UP with time + GPS, customer told at once; typed-code fallback. Rule pickupQr OFF; on gokesari.com set PICKUP_QR_SECRET first.</t>
  </si>
  <si>
    <t>Signed single-use QR (HMAC) on the shop screen and printable packing slip; camera scan in the rider app; PICKED_UP with time + GPS, customer told at once; typed-code fallback. Rule pickupQr OFF; on gokesari.com set PICKUP_QR_SECRET first.</t>
  </si>
  <si>
    <t>F4.2</t>
  </si>
  <si>
    <t>F4.2  Drop</t>
  </si>
  <si>
    <t>F4.2.1</t>
  </si>
  <si>
    <t>Navigate with a Google Maps deep link</t>
  </si>
  <si>
    <t>DONE-SANDBOX (18 Oct batch): RoutingProvider (mock / Google Routes / OSRM): route line, next manoeuvre, ETA, off-route re-route, voice prompts, Open-in-Google-Maps; keeps feeding live tracking. Mock router on test; real directions need a Google Routes key or own OSRM server. Rule riderNavigation OFF.</t>
  </si>
  <si>
    <t>RoutingProvider (mock / Google Routes / OSRM): route line, next manoeuvre, ETA, off-route re-route, voice prompts, Open-in-Google-Maps; keeps feeding live tracking. Mock router on test; real directions need a Google Routes key or own OSRM server. Rule riderNavigation OFF.</t>
  </si>
  <si>
    <t>F4.2.3</t>
  </si>
  <si>
    <t>Society gate access and instructions</t>
  </si>
  <si>
    <t>F4.2.4</t>
  </si>
  <si>
    <t>Delivery code, arrival checkpoint and photo proof</t>
  </si>
  <si>
    <t>GS-043, NEW-007</t>
  </si>
  <si>
    <t>#10; #23; #58</t>
  </si>
  <si>
    <t>Photo proof off by default</t>
  </si>
  <si>
    <t>F4.2.5</t>
  </si>
  <si>
    <t>Code lockout raises a ticket; shop cannot bypass the code</t>
  </si>
  <si>
    <t>Signature capture</t>
  </si>
  <si>
    <t>DEFERRED-PHASE-2 (18 Oct batch): Signature capture deferred to Phase 2 by the owner; not built.</t>
  </si>
  <si>
    <t>DEFERRED-PHASE-2</t>
  </si>
  <si>
    <t>Signature capture deferred to Phase 2 by the owner; not built.</t>
  </si>
  <si>
    <t>Failed delivery / return to shop</t>
  </si>
  <si>
    <t>SM-001, WF-005</t>
  </si>
  <si>
    <t>F5</t>
  </si>
  <si>
    <t>Society admin</t>
  </si>
  <si>
    <t>F5.1</t>
  </si>
  <si>
    <t>F5.1  Society set-up</t>
  </si>
  <si>
    <t>Register the society; operations verify it</t>
  </si>
  <si>
    <t>F5.1.2</t>
  </si>
  <si>
    <t>Members: admin, operator, resident</t>
  </si>
  <si>
    <t>GS-005, GS-002</t>
  </si>
  <si>
    <t>F5.2</t>
  </si>
  <si>
    <t>F5.2  Rider control</t>
  </si>
  <si>
    <t>Whitelist or revoke riders</t>
  </si>
  <si>
    <t>GS-045, RBAC-009</t>
  </si>
  <si>
    <t>Only verified societies may add riders (C2)</t>
  </si>
  <si>
    <t>F5.2.3</t>
  </si>
  <si>
    <t>Rider photo and ID on the society dashboard (C5)</t>
  </si>
  <si>
    <t>F5.3</t>
  </si>
  <si>
    <t>F5.3  Gate</t>
  </si>
  <si>
    <t>F5.3.1</t>
  </si>
  <si>
    <t>Delivery instructions for the assigned rider</t>
  </si>
  <si>
    <t>Security notified of the assigned rider</t>
  </si>
  <si>
    <t>F6</t>
  </si>
  <si>
    <t>Customer / Operator</t>
  </si>
  <si>
    <t>F6.1</t>
  </si>
  <si>
    <t>F6.1  Cancellation</t>
  </si>
  <si>
    <t>F6.1.1</t>
  </si>
  <si>
    <t>Cancel before packing: full refund incl. delivery fee</t>
  </si>
  <si>
    <t>F6.1.2</t>
  </si>
  <si>
    <t>Customer may cancel until packing (rule)</t>
  </si>
  <si>
    <t>F6.1.3</t>
  </si>
  <si>
    <t>After-packing treatments (D10) signed off</t>
  </si>
  <si>
    <t>DONE (18 Oct batch): Before packing: full refund incl. delivery (unchanged). After packing: per-shop fee (amount or %, cap, on/off) within admin limits, shown before confirming, written to the order ledger. Rule afterPackingCancellation OFF until the refund policy text is updated.</t>
  </si>
  <si>
    <t>Before packing: full refund incl. delivery (unchanged). After packing: per-shop fee (amount or %, cap, on/off) within admin limits, shown before confirming, written to the order ledger. Rule afterPackingCancellation OFF until the refund policy text is updated.</t>
  </si>
  <si>
    <t>F6.2</t>
  </si>
  <si>
    <t>F6.2  Returns and refunds</t>
  </si>
  <si>
    <t>Report an issue - grievance ticket</t>
  </si>
  <si>
    <t>Return request, pickup and refund to wallet</t>
  </si>
  <si>
    <t>GS-057, WF-007</t>
  </si>
  <si>
    <t>F6.2.3</t>
  </si>
  <si>
    <t>Refund to card / UPI</t>
  </si>
  <si>
    <t>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</si>
  <si>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</si>
  <si>
    <t>F6.3</t>
  </si>
  <si>
    <t>F6.3  Disputes</t>
  </si>
  <si>
    <t>Dispute case lifecycle with auto-escalation</t>
  </si>
  <si>
    <t>#40</t>
  </si>
  <si>
    <t>Conversation, attachments, 24 h SLA</t>
  </si>
  <si>
    <t>Issue state machine scope (SM-006)</t>
  </si>
  <si>
    <t>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</si>
  <si>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</si>
  <si>
    <t>F6.4</t>
  </si>
  <si>
    <t>F6.4  Ratings</t>
  </si>
  <si>
    <t>Shop and rider ratings with moderation</t>
  </si>
  <si>
    <t>GS-059, GS-060</t>
  </si>
  <si>
    <t>F7</t>
  </si>
  <si>
    <t>Customer / System</t>
  </si>
  <si>
    <t>F7.1</t>
  </si>
  <si>
    <t>F7.1  Set up</t>
  </si>
  <si>
    <t>Milk, vegetables and daily-goods subscriptions (draft, active)</t>
  </si>
  <si>
    <t>GS-048, GS-049, SM-004</t>
  </si>
  <si>
    <t>F7.2</t>
  </si>
  <si>
    <t>F7.2  Manage</t>
  </si>
  <si>
    <t>Skip, pause, resume, cancel with cut-offs; Tomorrow's delivery card</t>
  </si>
  <si>
    <t>GS-051, NEW-019</t>
  </si>
  <si>
    <t>Baseline; #11; #83</t>
  </si>
  <si>
    <t>F7.3</t>
  </si>
  <si>
    <t>F7.3  Run</t>
  </si>
  <si>
    <t>F7.3.1</t>
  </si>
  <si>
    <t>Daily order generation (idempotent)</t>
  </si>
  <si>
    <t>Wallet charge; payment pending; renewal pending</t>
  </si>
  <si>
    <t>GS-050, SM-004</t>
  </si>
  <si>
    <t>Baseline; #58</t>
  </si>
  <si>
    <t>Fulfilment and delivery through the normal flow; per-date status</t>
  </si>
  <si>
    <t>WF-006, NAV-005</t>
  </si>
  <si>
    <t>F8</t>
  </si>
  <si>
    <t>Shop owner / Operator</t>
  </si>
  <si>
    <t>F8.1</t>
  </si>
  <si>
    <t>F8.1  Register</t>
  </si>
  <si>
    <t>Register a shop (duplicate guard, at least one ID, GST field)</t>
  </si>
  <si>
    <t>#22; #45</t>
  </si>
  <si>
    <t>Self-registration with auto-approval and fee tiers</t>
  </si>
  <si>
    <t>#92; #120</t>
  </si>
  <si>
    <t>On gokesari.com since #120 (9 Oct), switched off by default - switch on in Admin &gt; Business rules; needs a real SMS/WhatsApp provider before it can be switched on</t>
  </si>
  <si>
    <t>Mandatory referral code; 'Request a referral code' with location, emailed to referrals@</t>
  </si>
  <si>
    <t>NEW-042, GS-054</t>
  </si>
  <si>
    <t>F8.1.4</t>
  </si>
  <si>
    <t>Admin sets the referral code Mandatory or Optional for customers and shops</t>
  </si>
  <si>
    <t>#133; #135</t>
  </si>
  <si>
    <t>Both OPTIONAL on production</t>
  </si>
  <si>
    <t>F8.2</t>
  </si>
  <si>
    <t>F8.2  Verify</t>
  </si>
  <si>
    <t>Seller documents: PAN, GSTIN, Udyam, FSSAI, Shop Act</t>
  </si>
  <si>
    <t>#53</t>
  </si>
  <si>
    <t>Mock vendor until Gridlines keys are set</t>
  </si>
  <si>
    <t>Real-time review events, 'more info', auto-approval</t>
  </si>
  <si>
    <t>Registration fee paid before approval</t>
  </si>
  <si>
    <t>Stages KYC pending -&gt; payment pending -&gt; verified -&gt; active</t>
  </si>
  <si>
    <t>Mandatory legal documents by shop type (FSSAI, drug licence, medical registration), grace period, expiry reminders, review</t>
  </si>
  <si>
    <t>NEW-040, GS-007</t>
  </si>
  <si>
    <t>Upload or photograph a document; auto-read fills the details; Verify &amp; Approve</t>
  </si>
  <si>
    <t>#146-#149; #169; #175</t>
  </si>
  <si>
    <t>Photos read in the owner's browser on gokesari.com since 15 Oct (#175); PDFs on the server</t>
  </si>
  <si>
    <t>FSSAI licence required before a food shop goes live</t>
  </si>
  <si>
    <t>#146; #149</t>
  </si>
  <si>
    <t>Rule on</t>
  </si>
  <si>
    <t>F8.3</t>
  </si>
  <si>
    <t>F8.3  Approve and set up</t>
  </si>
  <si>
    <t>Operator approval queue</t>
  </si>
  <si>
    <t>RBAC-006, WF-008</t>
  </si>
  <si>
    <t>Baseline; #53</t>
  </si>
  <si>
    <t>Shop categories, product categories, inventory fill, per-shop prices</t>
  </si>
  <si>
    <t>GS-009, NEW-008, NEW-010</t>
  </si>
  <si>
    <t>#23; #38; #45</t>
  </si>
  <si>
    <t>Service area: radius, extra PIN zones, minimum order, pause</t>
  </si>
  <si>
    <t>GS-010, NEW-005</t>
  </si>
  <si>
    <t>Shop's own customer contact numbers (C1)</t>
  </si>
  <si>
    <t>F8.4</t>
  </si>
  <si>
    <t>F8.4  Ongoing</t>
  </si>
  <si>
    <t>Suspension policy, impact preview, reinstatement</t>
  </si>
  <si>
    <t>Operator 'Limited' shop management</t>
  </si>
  <si>
    <t>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</si>
  <si>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</si>
  <si>
    <t>Seller Central workspace for shop owners and the 'Sell on GoKesari' page</t>
  </si>
  <si>
    <t>#142; #143</t>
  </si>
  <si>
    <t>Owner with several shops switches shop in Seller Central</t>
  </si>
  <si>
    <t>#168; #175</t>
  </si>
  <si>
    <t>Live on gokesari.com since 15 Oct (#175)</t>
  </si>
  <si>
    <t>F9</t>
  </si>
  <si>
    <t>F9.1</t>
  </si>
  <si>
    <t>F9.1  Master data</t>
  </si>
  <si>
    <t>Ingest lawful sources, match, review duplicates</t>
  </si>
  <si>
    <t>PMD-001, PMD-003, PMD-005</t>
  </si>
  <si>
    <t>#4; #9</t>
  </si>
  <si>
    <t>GS1 India and manufacturer feeds</t>
  </si>
  <si>
    <t>#4; #190, #192, #193, #194</t>
  </si>
  <si>
    <t>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</si>
  <si>
    <t>#190, #192, #193, #194</t>
  </si>
  <si>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</si>
  <si>
    <t>Large-scale ingestion; product browser and promote button</t>
  </si>
  <si>
    <t>PMD-006, PMD-007</t>
  </si>
  <si>
    <t>#190, #193, #194</t>
  </si>
  <si>
    <t>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</si>
  <si>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</si>
  <si>
    <t>F9.2</t>
  </si>
  <si>
    <t>F9.2  Shop catalogue</t>
  </si>
  <si>
    <t>F9.2.1</t>
  </si>
  <si>
    <t>Category master and one-time categorisation</t>
  </si>
  <si>
    <t>Create products, bulk Excel upload, approval queue</t>
  </si>
  <si>
    <t>GS-012, GS-013, RBAC-005</t>
  </si>
  <si>
    <t>MRP governance, price history, stock and thresholds</t>
  </si>
  <si>
    <t>GS-015, GS-016, GS-017, GS-018</t>
  </si>
  <si>
    <t>Baseline; #23; #45</t>
  </si>
  <si>
    <t>Product images, moderation (F10), photo catalogue</t>
  </si>
  <si>
    <t>GS-014, NEW-017</t>
  </si>
  <si>
    <t>#23; #55; #79</t>
  </si>
  <si>
    <t>Moderation off by default</t>
  </si>
  <si>
    <t>Five photos + descriptions per listing, bulk ZIP/CSV, shop staff</t>
  </si>
  <si>
    <t>Accounting / inventory sync and GST (GSP)</t>
  </si>
  <si>
    <t>#92; #120; #190, #194</t>
  </si>
  <si>
    <t>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</si>
  <si>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</si>
  <si>
    <t>Shop's own books: stock ledger, purchases and sales, GST returns and reconciliation, supplier bill scan</t>
  </si>
  <si>
    <t>#171, #172; released #179</t>
  </si>
  <si>
    <t>Live on gokesari.com since 15 Oct (release #179). Pages ~4 s on test after #172. GSP link and AI bill reading not switched on (owner decisions).</t>
  </si>
  <si>
    <t>F10</t>
  </si>
  <si>
    <t>Finance / System</t>
  </si>
  <si>
    <t>F10.1</t>
  </si>
  <si>
    <t>F10.1  Per order</t>
  </si>
  <si>
    <t>Commission and financial snapshot at delivery</t>
  </si>
  <si>
    <t>F10.1.2</t>
  </si>
  <si>
    <t>Tax invoice or bill of supply per delivered order</t>
  </si>
  <si>
    <t>Off by default; CA check pending</t>
  </si>
  <si>
    <t>Shop prepaid wallet: commission + Rs 5/km delivery charge debited</t>
  </si>
  <si>
    <t>NEW-033, NEW-034</t>
  </si>
  <si>
    <t>F10.2</t>
  </si>
  <si>
    <t>F10.2  Periodic</t>
  </si>
  <si>
    <t>Weekly shop settlement and rider payouts</t>
  </si>
  <si>
    <t>GS-062, GS-064, WF-010</t>
  </si>
  <si>
    <t>Reconciliation with exception queue</t>
  </si>
  <si>
    <t>Rider earnings rules (slots, incentives)</t>
  </si>
  <si>
    <t>Automated bank transfer</t>
  </si>
  <si>
    <t>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</si>
  <si>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</si>
  <si>
    <t>Platform invoice for GoKesari's own fees (D6)</t>
  </si>
  <si>
    <t>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</si>
  <si>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</si>
  <si>
    <t>Rs 1-verified bank account / UPI before shop payouts; customer refund account</t>
  </si>
  <si>
    <t>NEW-041, GS-062</t>
  </si>
  <si>
    <t>On gokesari.com since #120 (9 Oct), switched off by default - switch on in Admin &gt; Business rules; Cashfree live keys needed for production</t>
  </si>
  <si>
    <t>F11</t>
  </si>
  <si>
    <t>F11.1</t>
  </si>
  <si>
    <t>F11.1  Campaigns</t>
  </si>
  <si>
    <t>Customer segments (consent-gated)</t>
  </si>
  <si>
    <t>Shop campaign -&gt; approval -&gt; send (budgets, frequency caps)</t>
  </si>
  <si>
    <t>GS-053, WF-009</t>
  </si>
  <si>
    <t>F11.2</t>
  </si>
  <si>
    <t>F11.2  Offers and referrals</t>
  </si>
  <si>
    <t>F11.2.1</t>
  </si>
  <si>
    <t>Shop offers (F8)</t>
  </si>
  <si>
    <t>Customer referral rewards (F11)</t>
  </si>
  <si>
    <t>#55; #56</t>
  </si>
  <si>
    <t>Marketing consent On/Off switch</t>
  </si>
  <si>
    <t>GS-070, NEW-016</t>
  </si>
  <si>
    <t>#77</t>
  </si>
  <si>
    <t>F12</t>
  </si>
  <si>
    <t>Operator / Admin</t>
  </si>
  <si>
    <t>F12.1</t>
  </si>
  <si>
    <t>F12.1  Monitor</t>
  </si>
  <si>
    <t>Global dashboard and KPI analytics</t>
  </si>
  <si>
    <t>GS-065, GS-069</t>
  </si>
  <si>
    <t>#18; #21; #23</t>
  </si>
  <si>
    <t>Order monitoring, exceptions queue, reassign</t>
  </si>
  <si>
    <t>GS-066, NAV-015, NAV-016</t>
  </si>
  <si>
    <t>#21; #74</t>
  </si>
  <si>
    <t>Hourly risk scan and review queue</t>
  </si>
  <si>
    <t>#18; #21</t>
  </si>
  <si>
    <t>Per-order risk rules</t>
  </si>
  <si>
    <t>F12.2</t>
  </si>
  <si>
    <t>F12.2  Control</t>
  </si>
  <si>
    <t>Roles, multi-role grants, privileges with explicit Save, audit log</t>
  </si>
  <si>
    <t>GS-002, GS-003, NEW-009, GS-067</t>
  </si>
  <si>
    <t>#18; #30</t>
  </si>
  <si>
    <t>Business-rules console</t>
  </si>
  <si>
    <t>Business limits as rules (item B)</t>
  </si>
  <si>
    <t>Consent view</t>
  </si>
  <si>
    <t>#34</t>
  </si>
  <si>
    <t>F12.2.5</t>
  </si>
  <si>
    <t>Rider KYC review (/admin/rider-kyc)</t>
  </si>
  <si>
    <t>F13</t>
  </si>
  <si>
    <t>F13.1</t>
  </si>
  <si>
    <t>F13.1  Channels</t>
  </si>
  <si>
    <t>In-app and email notifications with preferences</t>
  </si>
  <si>
    <t>GS-055, NEW-016</t>
  </si>
  <si>
    <t>#23; #75</t>
  </si>
  <si>
    <t>Mail host hourly sending cap seen on test (GAP-009)</t>
  </si>
  <si>
    <t>F13.1.2</t>
  </si>
  <si>
    <t>SMS, WhatsApp and push providers</t>
  </si>
  <si>
    <t>DONE-SANDBOX (18 Oct batch): One NotificationService path: email templates (live), Expo push (mock on test; production needs EAS/FCM/APNs keys and app 1.2.0), in-app Notification Centre; preferences; delivery log with retries + push receipts. WhatsApp/SMS = Phase-2 stubs.</t>
  </si>
  <si>
    <t>One NotificationService path: email templates (live), Expo push (mock on test; production needs EAS/FCM/APNs keys and app 1.2.0), in-app Notification Centre; preferences; delivery log with retries + push receipts. WhatsApp/SMS = Phase-2 stubs.</t>
  </si>
  <si>
    <t>F13.2</t>
  </si>
  <si>
    <t>F13.2  Events</t>
  </si>
  <si>
    <t>F13.2.1</t>
  </si>
  <si>
    <t>Domain events, outbox with retries, timeout sweep</t>
  </si>
  <si>
    <t>F14</t>
  </si>
  <si>
    <t>Developer / Owner</t>
  </si>
  <si>
    <t>F14.1</t>
  </si>
  <si>
    <t>F14.1  Build and test</t>
  </si>
  <si>
    <t>Feature branch -&gt; PR into staging -&gt; CI (typecheck, lint, tests, build)</t>
  </si>
  <si>
    <t>PLT-003, QA-001</t>
  </si>
  <si>
    <t>#7; #52</t>
  </si>
  <si>
    <t>Test database migrate / backup / verify through the 'Test database' workflow</t>
  </si>
  <si>
    <t>#90; #94</t>
  </si>
  <si>
    <t>Execute the 791 test cases and sign off on test.gokesari.com</t>
  </si>
  <si>
    <t>QA-003, QA-002, QA-008, QA-009</t>
  </si>
  <si>
    <t>#51 (framework); #190, #192, #194</t>
  </si>
  <si>
    <t>Automated by QA-010 and run on local, staging and production (guest); 8 defects open, 3 need an owner decision</t>
  </si>
  <si>
    <t>BLOCKED-OWNER-INPUT</t>
  </si>
  <si>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</si>
  <si>
    <t>Pay Cashfree sandbox checkouts from a GitHub runner for E2E runs</t>
  </si>
  <si>
    <t>#102; #103</t>
  </si>
  <si>
    <t>Browser test run of the four features + regression recorded step by step</t>
  </si>
  <si>
    <t>#103; #104</t>
  </si>
  <si>
    <t>All PASS; 3 fixes re-checked</t>
  </si>
  <si>
    <t>Automated QA suite: run guest / signed-in / local tiers and record the register</t>
  </si>
  <si>
    <t>QA-010, QA-003</t>
  </si>
  <si>
    <t>Production guest tier 96 pass, 0 fail after release #242</t>
  </si>
  <si>
    <t>F14.2</t>
  </si>
  <si>
    <t>F14.2  Release</t>
  </si>
  <si>
    <t>Migrate production through the 'Production database' workflow</t>
  </si>
  <si>
    <t>#93; #118; #190, #194</t>
  </si>
  <si>
    <t>DONE (18 Oct batch): 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</si>
  <si>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</si>
  <si>
    <t>Promote staging -&gt; main (deploys gokesari.com)</t>
  </si>
  <si>
    <t>PLT-006, PLT-007</t>
  </si>
  <si>
    <t>#86 reverted by #87; #120</t>
  </si>
  <si>
    <t>#120 merged 9 Oct 14:06 UTC: migrations 0056-0073 applied by MIGRATE_ON_BUILD, then the new code went live; verified 14:55 UTC</t>
  </si>
  <si>
    <t>Copy real shops from the test site to production</t>
  </si>
  <si>
    <t>#140; #144; #156</t>
  </si>
  <si>
    <t>Used once: 5 shops, 12-13 Oct (SQL in the Neon console)</t>
  </si>
  <si>
    <t>Split production into seller and customer databases</t>
  </si>
  <si>
    <t>#146-#162; #190, #194; #204, #211, #213, #215, #216, #218, #219</t>
  </si>
  <si>
    <t>Done: test switched 19 Oct 21:44 UTC, production 20 Oct 00:39 UTC (Database split runs 29 and 31); switch-status 20 Oct 05:46 UTC shows two databases on both sites. Earlier: 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</si>
  <si>
    <t>Split secrets verified visible (14 Oct production copy PASS: 190 tables, 486/486 rows, checksums equal, no broken links). Cut-over not performed: needs the owner's window, Neon logical replication and the phase-3 service moves (docs/db-split-2026-10/CUTOVER_2026-10-18.md).</t>
  </si>
  <si>
    <t>F15</t>
  </si>
  <si>
    <t>Customer / all roles</t>
  </si>
  <si>
    <t>F15.1</t>
  </si>
  <si>
    <t>F15.1  Install</t>
  </si>
  <si>
    <t>Android: download the test APK from GitHub Actions and install</t>
  </si>
  <si>
    <t>NEW-043, PLT-010</t>
  </si>
  <si>
    <t>Test signing key - not a store build</t>
  </si>
  <si>
    <t>iPhone: add gokesari.com to the home screen from Safari (full-screen, Back button)</t>
  </si>
  <si>
    <t>F15.1.3</t>
  </si>
  <si>
    <t>Publish on Google Play</t>
  </si>
  <si>
    <t>Owner</t>
  </si>
  <si>
    <t>ON-HOLD (18 Oct batch): Google Play publishing on hold (owner decision). Internal Android builds produced: APK production + preview (Android APK run 39146831653, artifacts 12143529084 / 12143309950, app 1.2.0).</t>
  </si>
  <si>
    <t>ON-HOLD</t>
  </si>
  <si>
    <t>Google Play publishing on hold (owner decision). Internal Android builds produced: APK production + preview (Android APK run 39146831653, artifacts 12143529084 / 12143309950, app 1.2.0).</t>
  </si>
  <si>
    <t>Publish on the App Store (or install a native build on an iPhone)</t>
  </si>
  <si>
    <t>#153; #157; -</t>
  </si>
  <si>
    <t>ON-HOLD (18 Oct batch): App Store publishing on hold (owner decision). 'iPhone app' workflow kept ready; trial internal build stopped at its pre-check: needs EXPO_TOKEN, the Expo project id and App Store Connect keys (Owner inputs §11).</t>
  </si>
  <si>
    <t>App Store publishing on hold (owner decision). 'iPhone app' workflow kept ready; trial internal build stopped at its pre-check: needs EXPO_TOKEN, the Expo project id and App Store Connect keys (Owner inputs §11).</t>
  </si>
  <si>
    <t>F15.2</t>
  </si>
  <si>
    <t>F15.2  Use</t>
  </si>
  <si>
    <t>F15.2.1</t>
  </si>
  <si>
    <t>Every website feature in the app, with native location, camera, downloads, print, share and offline screen</t>
  </si>
  <si>
    <t>F15.2.2</t>
  </si>
  <si>
    <t>Continue with Google from the app (system browser hand-off)</t>
  </si>
  <si>
    <t>F15.2.3</t>
  </si>
  <si>
    <t>gokesari.com links open the app (deep links)</t>
  </si>
  <si>
    <t>#100 (code); #190, #194</t>
  </si>
  <si>
    <t>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</si>
  <si>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</si>
  <si>
    <t>F16</t>
  </si>
  <si>
    <t>Dealer, staff</t>
  </si>
  <si>
    <t>F16.1</t>
  </si>
  <si>
    <t>F16.1  Join</t>
  </si>
  <si>
    <t>Apply by dealer type with mobile OTP, e-mail and documents per type</t>
  </si>
  <si>
    <t>Dealer</t>
  </si>
  <si>
    <t>GKS-DR-001, GKS-FLAGS</t>
  </si>
  <si>
    <t>Built, released #268; flag off on gokesari.com</t>
  </si>
  <si>
    <t>F16.1.2</t>
  </si>
  <si>
    <t>Rs 1 bank-account check and agreement</t>
  </si>
  <si>
    <t>Released #268; flag off</t>
  </si>
  <si>
    <t>Admin reviews documents; approve / reject / suspend / terminate</t>
  </si>
  <si>
    <t>Released #268; D-1 fixed</t>
  </si>
  <si>
    <t>Admin adds a dealer in any state / district (approved at once)</t>
  </si>
  <si>
    <t>GKS-IN-001, GKS-IN-002</t>
  </si>
  <si>
    <t>Released #277; staging pass 29 Oct (D-4 fixed)</t>
  </si>
  <si>
    <t>Dealer gets a code, share link and QR</t>
  </si>
  <si>
    <t>Released #268</t>
  </si>
  <si>
    <t>Dealer adds employees (salespeople, optional Employee ID)</t>
  </si>
  <si>
    <t>F16.2</t>
  </si>
  <si>
    <t>F16.2  Bring shops</t>
  </si>
  <si>
    <t>Shop self-registers with a dealer code (?ref= link or typed)</t>
  </si>
  <si>
    <t>Dealer registers a shop with the owner; owner confirms with a code</t>
  </si>
  <si>
    <t>Dealer, shop owner</t>
  </si>
  <si>
    <t>Duplicate check (phone, GSTIN, name within 150 m)</t>
  </si>
  <si>
    <t>Released #268; staging: automated tests only</t>
  </si>
  <si>
    <t>30-day leads, attribution priority, claims decided by staff</t>
  </si>
  <si>
    <t>F16.3</t>
  </si>
  <si>
    <t>F16.3  Earn</t>
  </si>
  <si>
    <t>Commission rules: fixed / % / both; India, state, district; shop type; milestone</t>
  </si>
  <si>
    <t>GKS-CM-001, GKS-IN-003</t>
  </si>
  <si>
    <t>#268; #277</t>
  </si>
  <si>
    <t>Released #268, #277</t>
  </si>
  <si>
    <t>Base % of the registration fee, moved up or down by rating, per dealer</t>
  </si>
  <si>
    <t>Released #285</t>
  </si>
  <si>
    <t>Rating 0-10 and bonus</t>
  </si>
  <si>
    <t>Released #268; flag dealer_rating_bonus_enabled off</t>
  </si>
  <si>
    <t>Ledger earned -&gt; approved -&gt; paid; holds, reversals; waived fee earns nothing</t>
  </si>
  <si>
    <t>System, admin</t>
  </si>
  <si>
    <t>GKS-CM-002, GKS-CM-006</t>
  </si>
  <si>
    <t>#268; #275</t>
  </si>
  <si>
    <t>Released #268, #275</t>
  </si>
  <si>
    <t>Monthly payout drafted on the 5th with a statement per dealer</t>
  </si>
  <si>
    <t>Released #281</t>
  </si>
  <si>
    <t>F16.4</t>
  </si>
  <si>
    <t>F16.4  Track</t>
  </si>
  <si>
    <t>Dealer board: tiles, pending, performance, employees, areas</t>
  </si>
  <si>
    <t>Coverage map and area targets</t>
  </si>
  <si>
    <t>Performance score, activation and 30-day activity</t>
  </si>
  <si>
    <t>GKS-AN-001, GKS-AN-002</t>
  </si>
  <si>
    <t>F16.5</t>
  </si>
  <si>
    <t>F16.5  Support services</t>
  </si>
  <si>
    <t>F16.5.1</t>
  </si>
  <si>
    <t>Shop requests a service: general (free), product upload, price update</t>
  </si>
  <si>
    <t>Released #268; flag paid_support_services_enabled off</t>
  </si>
  <si>
    <t>F16.5.2</t>
  </si>
  <si>
    <t>Pay by wallet or online; tickets; refunds</t>
  </si>
  <si>
    <t>Shop owner, staff</t>
  </si>
  <si>
    <t>F17</t>
  </si>
  <si>
    <t>F17.1</t>
  </si>
  <si>
    <t>F17.1  Register</t>
  </si>
  <si>
    <t>Add my shop: one pending registration, professional categories, new shop types</t>
  </si>
  <si>
    <t>NEW-078, NEW-079</t>
  </si>
  <si>
    <t>#266; #268</t>
  </si>
  <si>
    <t>Released #266, #268</t>
  </si>
  <si>
    <t>Wizard: GSTIN first, background PAN check, shop filled from the GST record</t>
  </si>
  <si>
    <t>Released #268; flag shop_onboarding_wizard_enabled off</t>
  </si>
  <si>
    <t>Wizard: Udyam, FSSAI, Shop Act and map; the draft becomes the shop</t>
  </si>
  <si>
    <t>Released #272; flag off</t>
  </si>
  <si>
    <t>Wizard only while its flag is on (or for an admin), GSTIN / PAN steps included</t>
  </si>
  <si>
    <t>Released #277, #285 (D-106)</t>
  </si>
  <si>
    <t>Shop referral (dealer) code required</t>
  </si>
  <si>
    <t>F17.2</t>
  </si>
  <si>
    <t>F17.2  Documents</t>
  </si>
  <si>
    <t>"Scan a document" detects its type; more licence types</t>
  </si>
  <si>
    <t>Released #272</t>
  </si>
  <si>
    <t>F17.2.2</t>
  </si>
  <si>
    <t>Documents before the registration fee, or a promise to send them</t>
  </si>
  <si>
    <t>Released #277</t>
  </si>
  <si>
    <t>F17.2.3</t>
  </si>
  <si>
    <t>Follow-up on the 1st and 15th; auto-suspension when the promise ends</t>
  </si>
  <si>
    <t>Released #277, #287 (D-107)</t>
  </si>
  <si>
    <t>Verification rules: GSTIN one business, Shop Act one shop, PAN / Udyam / Shop Act on the shop</t>
  </si>
  <si>
    <t>System, reviewer</t>
  </si>
  <si>
    <t>NEW-095, GKS-VER</t>
  </si>
  <si>
    <t>Released #277, #285</t>
  </si>
  <si>
    <t>F17.3</t>
  </si>
  <si>
    <t>F17.3  Registration fee</t>
  </si>
  <si>
    <t>Fee from the turnover slab set by the admin (Rs 999 + GST base)</t>
  </si>
  <si>
    <t>Admin, shop owner</t>
  </si>
  <si>
    <t>GKS-FEE, NEW-076</t>
  </si>
  <si>
    <t>F17.3.2</t>
  </si>
  <si>
    <t>Coupons on the registration fee</t>
  </si>
  <si>
    <t>F17.3.3</t>
  </si>
  <si>
    <t>Pay online, or staff record the payment / waive the fee</t>
  </si>
  <si>
    <t>NEW-076, NEW-089</t>
  </si>
  <si>
    <t>F17.4</t>
  </si>
  <si>
    <t>F17.4  Approve and go live</t>
  </si>
  <si>
    <t>F17.4.1</t>
  </si>
  <si>
    <t>Instant approval on GST/PAN verification + paid fee</t>
  </si>
  <si>
    <t>Released #268; flag gov_verification_auto_approval_enabled off</t>
  </si>
  <si>
    <t>F17.4.2</t>
  </si>
  <si>
    <t>Approval queue: missing documents, remind owner, approve without documents / on promise</t>
  </si>
  <si>
    <t>Admin, operator</t>
  </si>
  <si>
    <t>NEW-089, NEW-094</t>
  </si>
  <si>
    <t>#268; #287</t>
  </si>
  <si>
    <t>Released #268, #287 (D-108)</t>
  </si>
  <si>
    <t>Approval replies once saved; follow-ups run after the response</t>
  </si>
  <si>
    <t>F17.4.4</t>
  </si>
  <si>
    <t>Ready-for-upload e-mail; the shop goes live</t>
  </si>
  <si>
    <t>F18</t>
  </si>
  <si>
    <t>Dev, owner</t>
  </si>
  <si>
    <t>F18.1</t>
  </si>
  <si>
    <t>F18.1  Database location</t>
  </si>
  <si>
    <t>F18.1.1</t>
  </si>
  <si>
    <t>Both databases moved to Neon Singapore</t>
  </si>
  <si>
    <t>Done 28 Oct (test and production)</t>
  </si>
  <si>
    <t>No cold start: Neon scale-to-zero off (paid plan)</t>
  </si>
  <si>
    <t>Owner billing decision</t>
  </si>
  <si>
    <t>F18.1.3</t>
  </si>
  <si>
    <t>Delete the old Ohio projects (test after 4 Nov, production after 11 Nov)</t>
  </si>
  <si>
    <t>Kept frozen as fallback until then</t>
  </si>
  <si>
    <t>F18.2</t>
  </si>
  <si>
    <t>F18.2  Page speed</t>
  </si>
  <si>
    <t>Released #282 (median TTFB 0.34 s)</t>
  </si>
  <si>
    <t>Product and shop pages: reads together</t>
  </si>
  <si>
    <t>Cache data shared by everyone</t>
  </si>
  <si>
    <t>Static pages served from the CDN</t>
  </si>
  <si>
    <t>P4</t>
  </si>
  <si>
    <t>F18.3</t>
  </si>
  <si>
    <t>F18.3  Release safety</t>
  </si>
  <si>
    <t>Released #266</t>
  </si>
  <si>
    <t>Cron: one run of each entry point at a time (flock)</t>
  </si>
  <si>
    <t>F18.3.4</t>
  </si>
  <si>
    <t>Confirm the every-minute / hourly / daily jobs run on both sites</t>
  </si>
  <si>
    <t>Owner, dev</t>
  </si>
  <si>
    <t>Counters showed almost no every-minute runs on 28 Oct</t>
  </si>
  <si>
    <t>Dealer programme - every module, 29 Oct 2026 (from DEALER_PROGRAMME_TRACKER_2026-10-29.xlsx, plus #271, #275, #280)</t>
  </si>
  <si>
    <t>All modules built, tested and on gokesari.com with their flags off. Feature IDs match the Feature Register (FLAGS = GKS-FLAGS, FEE-SLABS = GKS-FEE, APP = GKS-APP, DOCS = GKS-DOCS, VER-FIX = GKS-VER).</t>
  </si>
  <si>
    <t>ID</t>
  </si>
  <si>
    <t>Module</t>
  </si>
  <si>
    <t>What it does</t>
  </si>
  <si>
    <t>Build step</t>
  </si>
  <si>
    <t>Migration</t>
  </si>
  <si>
    <t>Commit(s)</t>
  </si>
  <si>
    <t>Built</t>
  </si>
  <si>
    <t>Local + CI tests</t>
  </si>
  <si>
    <t>Staging (test.gokesari.com)</t>
  </si>
  <si>
    <t>Production</t>
  </si>
  <si>
    <t>FLAGS</t>
  </si>
  <si>
    <t>Four flags, per district; Maharashtra districts, Pune talukas / localities, PIN prefixes; DEALER role</t>
  </si>
  <si>
    <t>0101, 0102, 0103</t>
  </si>
  <si>
    <t>bc3f93a</t>
  </si>
  <si>
    <t>Done</t>
  </si>
  <si>
    <t>PASS</t>
  </si>
  <si>
    <t>Released (flags off): steps 1–10 on 28 Oct; all-India + verification fixes on 29 Oct (release 3, 88d288b)</t>
  </si>
  <si>
    <t>FEE-SLABS</t>
  </si>
  <si>
    <t>Admin-defined fee slabs by declared turnover (up to 20)</t>
  </si>
  <si>
    <t>—</t>
  </si>
  <si>
    <t>973d520</t>
  </si>
  <si>
    <t>Application by type, mobile OTP, e-mail, documents per type, ₹1 bank check, agreement</t>
  </si>
  <si>
    <t>0104</t>
  </si>
  <si>
    <t>3d92aaf</t>
  </si>
  <si>
    <t>GKS-MH-&lt;district&gt;-code, share link /shop/register?ref=, QR, suspend / replace</t>
  </si>
  <si>
    <t>Employees</t>
  </si>
  <si>
    <t>Code typed or from ?ref=, optional Employee ID field</t>
  </si>
  <si>
    <t>0105</t>
  </si>
  <si>
    <t>611f979</t>
  </si>
  <si>
    <t>Dealer registers with the owner; owner confirms with a code</t>
  </si>
  <si>
    <t>Duplicates</t>
  </si>
  <si>
    <t>Phone / GSTIN / name within 150 m flagged; no commission</t>
  </si>
  <si>
    <t>Attribution &amp; claims</t>
  </si>
  <si>
    <t>Government check + gateway fee → approved; ready-for-upload e-mail; evidence log; retry when source down</t>
  </si>
  <si>
    <t>0106</t>
  </si>
  <si>
    <t>4500808, 6db91cd</t>
  </si>
  <si>
    <t>Fixed / % / both, per shop type, district, milestone, versioned, admin only</t>
  </si>
  <si>
    <t>0107</t>
  </si>
  <si>
    <t>22a74db</t>
  </si>
  <si>
    <t>Ledger &amp; payouts</t>
  </si>
  <si>
    <t>Earned → approved → paid; cap with override; reversals; payouts with bank reference; CSV statement; hold for shops approved without documents</t>
  </si>
  <si>
    <t>22a74db, 9e3e1b7</t>
  </si>
  <si>
    <t>Rating &amp; bonus</t>
  </si>
  <si>
    <t>Rating 0–10 by live shops (slabs), start rating, downgrade, bonus</t>
  </si>
  <si>
    <t>Tiles, pending, performance by day / week / month, employees, areas; admin dealer list</t>
  </si>
  <si>
    <t>89f66b9, c9ea939</t>
  </si>
  <si>
    <t>Support services</t>
  </si>
  <si>
    <t>General (free), product upload, price update; admin charges; wallet / online pay; tickets; refunds</t>
  </si>
  <si>
    <t>0108</t>
  </si>
  <si>
    <t>c70e869</t>
  </si>
  <si>
    <t>Areas with dealers, shops, operational, target vs registered, gaps; drawn map</t>
  </si>
  <si>
    <t>0110</t>
  </si>
  <si>
    <t>bf53b23</t>
  </si>
  <si>
    <t>Performance score</t>
  </si>
  <si>
    <t>Weighted score (admin weights), ranked within district</t>
  </si>
  <si>
    <t>Per dealer and employee</t>
  </si>
  <si>
    <t>APP</t>
  </si>
  <si>
    <t>Mobile app parity</t>
  </si>
  <si>
    <t>Website in the app shell; app links; downloads and print through the bridge</t>
  </si>
  <si>
    <t>c89cf0b</t>
  </si>
  <si>
    <t>DOCS</t>
  </si>
  <si>
    <t>Guides &amp; report</t>
  </si>
  <si>
    <t>Admin guide, dealer onboarding guide, testing report</t>
  </si>
  <si>
    <t>c9ea939</t>
  </si>
  <si>
    <t>28 states + 8 UTs with PIN prefixes; districts added by admin with generated short codes</t>
  </si>
  <si>
    <t>0114</t>
  </si>
  <si>
    <t>a8258f1, 5f134ad</t>
  </si>
  <si>
    <t>PASS (29 Oct; D-4 fixed)</t>
  </si>
  <si>
    <t>Any state / district (or a new one); approved at once; code GKS-&lt;state&gt;-&lt;district&gt;-XXXXXX or GKS-&lt;state&gt;-XXXXXX</t>
  </si>
  <si>
    <t>a8258f1</t>
  </si>
  <si>
    <t>PASS (29 Oct)</t>
  </si>
  <si>
    <t>Flags on for whole states or districts; commission rules for India / state / district (most specific wins)</t>
  </si>
  <si>
    <t>VER-FIX</t>
  </si>
  <si>
    <t>PAN vs GSTIN's PAN in either order; reviewer approval survives re-check; reviewer row lock; state from any PIN; licence re-runs approval</t>
  </si>
  <si>
    <t>faac963</t>
  </si>
  <si>
    <t>Tests only (local + CI); not run on staging</t>
  </si>
  <si>
    <t>Payout drafted on the 5th with a statement per dealer; approve-at-close on by default</t>
  </si>
  <si>
    <t>0116</t>
  </si>
  <si>
    <t>35ce7d3, 71e5ca8, 6ef4b34 (#271)</t>
  </si>
  <si>
    <t>Not run (flag)</t>
  </si>
  <si>
    <t>Released 29 Oct in #281 (flags off)</t>
  </si>
  <si>
    <t>Base commission % by rating</t>
  </si>
  <si>
    <t>Admin-set base % of the fee, moved up or down by rating, per dealer</t>
  </si>
  <si>
    <t>0117</t>
  </si>
  <si>
    <t>f62c75d (#280)</t>
  </si>
  <si>
    <t>PASS (test results 29 Oct)</t>
  </si>
  <si>
    <t>Not run</t>
  </si>
  <si>
    <t>Released 29 Oct in #285 (flags off)</t>
  </si>
  <si>
    <t>A waived registration fee is a zero base at every milestone</t>
  </si>
  <si>
    <t>d8fc985, f2756b6 (#275)</t>
  </si>
  <si>
    <t>Released 29 Oct in #275</t>
  </si>
  <si>
    <t>Feature flags</t>
  </si>
  <si>
    <t>Flag</t>
  </si>
  <si>
    <t>Switches on</t>
  </si>
  <si>
    <t>Staging</t>
  </si>
  <si>
    <t>dealer_programme_enabled</t>
  </si>
  <si>
    <t>Dealer application and portal, codes, attribution, commission, analytics</t>
  </si>
  <si>
    <t>On: Karnataka (whole state) + Pune</t>
  </si>
  <si>
    <t>Off at release (not readable from this session)</t>
  </si>
  <si>
    <t>gov_verification_auto_approval_enabled</t>
  </si>
  <si>
    <t>Instant approval on GST/PAN + gateway fee</t>
  </si>
  <si>
    <t>On: Pune</t>
  </si>
  <si>
    <t>dealer_rating_bonus_enabled</t>
  </si>
  <si>
    <t>Rating bonus on commission</t>
  </si>
  <si>
    <t>paid_support_services_enabled</t>
  </si>
  <si>
    <t>Paid Support services page</t>
  </si>
  <si>
    <t>shop_onboarding_wizard_enabled</t>
  </si>
  <si>
    <t>The new shop onboarding wizard (GSTIN first, Udyam / FSSAI / Shop Act / map, draft -&gt; shop)</t>
  </si>
  <si>
    <t>See Admin &gt; Feature flags</t>
  </si>
  <si>
    <t>New and updated functions since the 25 Oct report (239 exported server functions added, 3dd995c..origin/main)</t>
  </si>
  <si>
    <t>Every exported function added under src/server and src/app/api between the 25 Oct report and production 4585627. Purpose = the doc comment above the function in the code. Feature = Feature Register ID.</t>
  </si>
  <si>
    <t>Area</t>
  </si>
  <si>
    <t>File</t>
  </si>
  <si>
    <t>Function</t>
  </si>
  <si>
    <t>Purpose (from the code comment)</t>
  </si>
  <si>
    <t>Added in commit</t>
  </si>
  <si>
    <t>Where</t>
  </si>
  <si>
    <t>aftercare</t>
  </si>
  <si>
    <t>src/server/aftercare/support-tickets.ts</t>
  </si>
  <si>
    <t>closeWithdrawnTicket</t>
  </si>
  <si>
    <t>The request behind a ticket was withdrawn before work started (docs/dealer-programme, paid support services): resolved with the note, then closed, in one go — the requester could not close an open ticket themselves. Already resolved or closed: left as is.</t>
  </si>
  <si>
    <t>c70e869 Dealer programme step 7: paid support services (general, product upload, price update) with admin charges, wallet / online payment, tickets and refunds</t>
  </si>
  <si>
    <t>On production + staging</t>
  </si>
  <si>
    <t>api</t>
  </si>
  <si>
    <t>runOrDefer</t>
  </si>
  <si>
    <t>Hands `task` to `defer`, or runs it now when there is none — or when `defer` refuses it (`after` throws outside a request, e.g. a route called from a test or a script). The change is already saved by then, so a refusal must not turn into a failed answer.</t>
  </si>
  <si>
    <t>ede4260 Approvals answer once the decision is saved; follow-ups run after the response</t>
  </si>
  <si>
    <t>cron</t>
  </si>
  <si>
    <t>runSingle</t>
  </si>
  <si>
    <t>6a2b174 Cron: one run of each entry point at a time; flock crontab lines</t>
  </si>
  <si>
    <t>db</t>
  </si>
  <si>
    <t>src/server/db/schema.ts</t>
  </si>
  <si>
    <t>shopTypeColumn</t>
  </si>
  <si>
    <t>Shop types are plain text keys, not a database enum, so staff can add a type from the admin screen without a migration (migration 0097). The built-in types live in `src/lib/shop-types.ts`; types staff add are rows of `shop_types`. A key is valid when it is...</t>
  </si>
  <si>
    <t>7425434 Add six shop types and an admin-managed shop types screen</t>
  </si>
  <si>
    <t>dealers</t>
  </si>
  <si>
    <t>coverageReport</t>
  </si>
  <si>
    <t>Coverage of every active area under `rootCode` (default: the whole state), at every level. Status: no approved dealer covers it → NO_DEALER; fewer shops than the target → UNDER_TARGET; half or more of its shops not operational → NOT_OPERATIONAL; otherwise...</t>
  </si>
  <si>
    <t>GKS-AN-002, GKS-DB-001</t>
  </si>
  <si>
    <t>bf53b23 Dealer programme step 8: coverage map with area targets, weighted performance score, activation and 30-day activity</t>
  </si>
  <si>
    <t>setAreaTarget</t>
  </si>
  <si>
    <t>ADMIN only: the target number of shops for an area (null removes it). Audited.</t>
  </si>
  <si>
    <t>activationReport</t>
  </si>
  <si>
    <t>Per dealer, and per employee within each dealer (GKS-AN-002). `dealerId` limits it to one dealer.</t>
  </si>
  <si>
    <t>dealerScores</t>
  </si>
  <si>
    <t>Weighted score 0–100 per approved dealer (GKS-AN-001). Each part is 0–1: activated shops and cost are measured against the best dealer in the same district; quality, activity and coverage are the dealer's own ratios.</t>
  </si>
  <si>
    <t>startAssistedRegistration</t>
  </si>
  <si>
    <t>Step 1: the owner's details; the code goes to the owner.</t>
  </si>
  <si>
    <t>611f979 Dealer programme step 3: attribution, leads, dealer-assisted registration, duplicates, claims</t>
  </si>
  <si>
    <t>verifyAssistedOwner</t>
  </si>
  <si>
    <t>Step 2: the code the owner told the dealer.</t>
  </si>
  <si>
    <t>submitAssistedShop</t>
  </si>
  <si>
    <t>Step 3: the shop, registered under the owner with the dealer's code; the owner pays the fee.</t>
  </si>
  <si>
    <t>listAssistedSessions</t>
  </si>
  <si>
    <t>normalizeIndianMobile</t>
  </si>
  <si>
    <t>+91XXXXXXXXXX from anything with a 10-digit Indian mobile in it, else null.</t>
  </si>
  <si>
    <t>GKS-SH-001, GKS-RA-001</t>
  </si>
  <si>
    <t>directDealer</t>
  </si>
  <si>
    <t>The internal GoKesari Direct dealer (made by migration 0104; made here if missing).</t>
  </si>
  <si>
    <t>findLikelyDuplicate</t>
  </si>
  <si>
    <t>Existing shops that look like this one: same mobile, GSTIN or PAN, or a similar name within duplicateDistanceMeters (or in the same PIN code when a location is missing). Rejected and deleted shops do not count.</t>
  </si>
  <si>
    <t>expireLeads</t>
  </si>
  <si>
    <t>Marks OPEN leads past their window EXPIRED (leads expire on their own; this keeps the rows honest).</t>
  </si>
  <si>
    <t>recordShopAttribution</t>
  </si>
  <si>
    <t>Records which dealer brought `shopId` (see the header). Returns the attribution, or null when the programme is off for the shop's district or no dealer is involved. Safe to call twice: an existing attribution is returned unchanged.</t>
  </si>
  <si>
    <t>recordShopAttributionSafely</t>
  </si>
  <si>
    <t>Never lets a dealer-attribution problem break a registration: logs and returns null.</t>
  </si>
  <si>
    <t>randomCodePart</t>
  </si>
  <si>
    <t>3d92aaf Dealer programme step 2: dealer registration, documents, codes, employees, legacy distributors</t>
  </si>
  <si>
    <t>dealerCodeFor</t>
  </si>
  <si>
    <t>A new dealer code for a state (two letters) and, when known, a district short code.</t>
  </si>
  <si>
    <t>salespersonCode</t>
  </si>
  <si>
    <t>issueCode</t>
  </si>
  <si>
    <t>Creates a new ACTIVE code (referral_codes + dealer_codes) inside `tx`, retrying on a collision. The referral_codes insert runs in a savepoint so a collision does not abort the caller's transaction; a serialization failure is passed up so the whole...</t>
  </si>
  <si>
    <t>setCodesStatus</t>
  </si>
  <si>
    <t>Moves codes to a new status and keeps their referral_codes rows in step (ACTIVE ↔ ACTIVE, anything else → INACTIVE). Only codes currently in one of `from` change, so a code retired earlier is never woken up.</t>
  </si>
  <si>
    <t>listDealerCodes</t>
  </si>
  <si>
    <t>A dealer's codes with their code strings, newest first.</t>
  </si>
  <si>
    <t>activeCodeFor</t>
  </si>
  <si>
    <t>The code a dealer or employee shares now (ACTIVE, newest), or null.</t>
  </si>
  <si>
    <t>replaceCode</t>
  </si>
  <si>
    <t>Replaces one code: the old one becomes REPLACED (refused for new registrations; shops already registered with it stay attributed — their redemptions point at the old referral code, which still belongs to the same dealer) and a new code of the same kind is...</t>
  </si>
  <si>
    <t>shareLinkFor</t>
  </si>
  <si>
    <t>The link a code is shared with: Add my shop with the code filled in.</t>
  </si>
  <si>
    <t>whatsappShareFor</t>
  </si>
  <si>
    <t>WhatsApp share (wa.me with the message only — no phone number).</t>
  </si>
  <si>
    <t>codeQrSvg</t>
  </si>
  <si>
    <t>getCommissionSettings</t>
  </si>
  <si>
    <t>GKS-CM-001..006</t>
  </si>
  <si>
    <t>22a74db Dealer programme step 5: commission rules, ledger, payouts and the onboarding rating</t>
  </si>
  <si>
    <t>setCommissionSettings</t>
  </si>
  <si>
    <t>listCommissionRules</t>
  </si>
  <si>
    <t>Current rules (ACTIVE), and with `all` their earlier versions.</t>
  </si>
  <si>
    <t>saveCommissionRule</t>
  </si>
  <si>
    <t>ADMIN only. Creates a rule (version 1) or edits one: the current version is SUPERSEDED and a new version takes its place — entries already accrued keep the version they were earned under. A reason is required.</t>
  </si>
  <si>
    <t>disableCommissionRule</t>
  </si>
  <si>
    <t>ADMIN only: switch a rule off (no new accruals under it).</t>
  </si>
  <si>
    <t>ruleFor</t>
  </si>
  <si>
    <t>feeWaived</t>
  </si>
  <si>
    <t>An admin waived this shop's fee (waiveRegistrationFee sets the fee to zero and leaves the base on record). A fee that was simply nothing — a free district, a full coupon — is not a waiver.</t>
  </si>
  <si>
    <t>f2756b6 Dealer commission: a waived registration fee earns no commission at any milestone</t>
  </si>
  <si>
    <t>feeBasePaise</t>
  </si>
  <si>
    <t>The registration fee actually paid, before GST, after any coupon.</t>
  </si>
  <si>
    <t>bonusBpForRating</t>
  </si>
  <si>
    <t>(rating − 5.0) percentage points, in basis points; never negative. Milestone rules model.</t>
  </si>
  <si>
    <t>ratingAdjustmentBp</t>
  </si>
  <si>
    <t>Base % model: (rating − 5.0) × the step, in basis points — negative below 5.0.</t>
  </si>
  <si>
    <t>f62c75d Dealer commission: admin-set base % of the fee, moved up or down by rating, per dealer</t>
  </si>
  <si>
    <t>dealerCommissionRate</t>
  </si>
  <si>
    <t>A dealer's commission % under the base % model, with or without the rating adjustment.</t>
  </si>
  <si>
    <t>percentCommissionAmount</t>
  </si>
  <si>
    <t>Base % model: the amount on the fee, and its split into the base part and the rating part (negative below 5.0).</t>
  </si>
  <si>
    <t>setDealerCommissionRates</t>
  </si>
  <si>
    <t>An admin sets one dealer's own base % and change per rating point (null: the default for everyone). Applies to commission earned from now on; entries already earned keep their amounts. Audited with the reason.</t>
  </si>
  <si>
    <t>dealerRateView</t>
  </si>
  <si>
    <t>A dealer's commission rate now (base % model), for the dealer and for staff.</t>
  </si>
  <si>
    <t>commissionAmount</t>
  </si>
  <si>
    <t>fixed + percent of the fee; the bonus adds points to a percentage rule, and for a fixed-only rule is figured on the fee or on the fixed amount.</t>
  </si>
  <si>
    <t>checkCommissionMilestones</t>
  </si>
  <si>
    <t>Accrues every milestone the shop has reached and not yet been paid for (idempotent; the unique index on shop + milestone guards double accrual). Cheap when the programme is off: one read of the flag.</t>
  </si>
  <si>
    <t>checkCommissionMilestonesSafely</t>
  </si>
  <si>
    <t>Never lets commission break the caller (approval, payment, a product upload): logs and returns [].</t>
  </si>
  <si>
    <t>reverseShopCommission</t>
  </si>
  <si>
    <t>Reverses every commission of a shop (fee refunded, fraud, duplicate): unpaid entries become REVERSED; a paid one gets a negative entry carried into the dealer's next payout. The shop stops counting for the dealer's rating.</t>
  </si>
  <si>
    <t>reverseShopCommissionSafely</t>
  </si>
  <si>
    <t>reverseWaivedFeeCommissionSafely</t>
  </si>
  <si>
    <t>The shop's fee was waived: reverses whatever it had already earned (say the catalogue milestone, reached before the fee was settled). The shop stays attributed to its dealer. Never breaks the waiver: logs and moves on.</t>
  </si>
  <si>
    <t>reverseEntry</t>
  </si>
  <si>
    <t>ADMIN only: reverse one entry with a reason (fraud, error).</t>
  </si>
  <si>
    <t>approveEntries</t>
  </si>
  <si>
    <t>ADMIN only. EARNED → APPROVED; a PENDING above-cap entry needs `capOverride` with a reason (audited). ON_HOLD entries are released or reversed, not approved.</t>
  </si>
  <si>
    <t>holdDealerCommission</t>
  </si>
  <si>
    <t>Dealer suspended / terminated → their open entries ON_HOLD; reactivated → released.</t>
  </si>
  <si>
    <t>releaseHeldEntry</t>
  </si>
  <si>
    <t>ADMIN only: release one held entry (back to its status) after a decision.</t>
  </si>
  <si>
    <t>createPayoutBatch</t>
  </si>
  <si>
    <t>ADMIN only: a payout for one dealer — every APPROVED entry plus any negative reversal not yet settled, netted. Refused when the net is not positive (the negative balance is carried to the next one).</t>
  </si>
  <si>
    <t>markPayoutPaid</t>
  </si>
  <si>
    <t>ADMIN only: the bank transfer was made (outside GoKesari) — record its reference; every entry becomes PAID. Reconciled: the entries must still add up to the batch total.</t>
  </si>
  <si>
    <t>cancelPayout</t>
  </si>
  <si>
    <t>ADMIN only: cancel a draft payout; its entries go back to waiting.</t>
  </si>
  <si>
    <t>listLedger</t>
  </si>
  <si>
    <t>commissionSummary</t>
  </si>
  <si>
    <t>Totals by status (paise); reversals count against EARNED until settled.</t>
  </si>
  <si>
    <t>listPayouts</t>
  </si>
  <si>
    <t>statementCsv</t>
  </si>
  <si>
    <t>A dealer's statement as CSV (their own rows only).</t>
  </si>
  <si>
    <t>listRatingSlabs</t>
  </si>
  <si>
    <t>saveRatingSlab</t>
  </si>
  <si>
    <t>ADMIN only: add or change a slab (activated shops → rating, 0.5 steps, at most 10). Audited with a reason.</t>
  </si>
  <si>
    <t>deleteRatingSlab</t>
  </si>
  <si>
    <t>ADMIN only: remove a slab (the 0-shop slab stays).</t>
  </si>
  <si>
    <t>slabFor</t>
  </si>
  <si>
    <t>The slab rating for a count, and the next slab (for progress bars).</t>
  </si>
  <si>
    <t>recountRating</t>
  </si>
  <si>
    <t>Recounts a dealer's activated shops (not duplicates, not reversed) and sets the rating: the slab's rating, never below the admin's start rating, at most 10 — or the admin's downgrade until the next slab is reached. Applies to commission accrued from now on...</t>
  </si>
  <si>
    <t>setStartRating</t>
  </si>
  <si>
    <t>ADMIN only: a proven dealer starts higher (e.g. 6.0 → +1.0% from day one). Audited.</t>
  </si>
  <si>
    <t>downgradeRating</t>
  </si>
  <si>
    <t>ADMIN only: lower a dealer's rating for quality or fraud, with a reason the dealer sees. It holds until the dealer reaches the next slab above today's count; then the slab decides again.</t>
  </si>
  <si>
    <t>ratingView</t>
  </si>
  <si>
    <t>applicableRates</t>
  </si>
  <si>
    <t>The rates that apply to a dealer's shops now (read-only, for the dealer).</t>
  </si>
  <si>
    <t>src/server/dealers/disputes.ts</t>
  </si>
  <si>
    <t>raiseDispute</t>
  </si>
  <si>
    <t>listDisputes</t>
  </si>
  <si>
    <t>Staff: claims (open first). The dealer: their own.</t>
  </si>
  <si>
    <t>decideDispute</t>
  </si>
  <si>
    <t>Staff (ADMIN or OPERATOR) decide a claim. Upholding needs the shop to have been found; it moves the shop's attribution to the claiming dealer (source ADMIN), keeping the old one in the audit log.</t>
  </si>
  <si>
    <t>listDealerShops</t>
  </si>
  <si>
    <t>The shops attributed to a dealer (theirs only).</t>
  </si>
  <si>
    <t>src/server/dealers/http.ts</t>
  </si>
  <si>
    <t>requireDealerProgramme</t>
  </si>
  <si>
    <t>Every dealer route: the programme must be on somewhere, or the route does not exist (404).</t>
  </si>
  <si>
    <t>originOf</t>
  </si>
  <si>
    <t>https: &lt;host the request came to&gt; — for share links and QR codes.</t>
  </si>
  <si>
    <t>originFromHeaders</t>
  </si>
  <si>
    <t>The same from a page's headers() (server components have no Request).</t>
  </si>
  <si>
    <t>smsAvailable</t>
  </si>
  <si>
    <t>src/server/dealers/leads.ts</t>
  </si>
  <si>
    <t>createLead</t>
  </si>
  <si>
    <t>listLeads</t>
  </si>
  <si>
    <t>closeLead</t>
  </si>
  <si>
    <t>The dealer closes one of their own open leads.</t>
  </si>
  <si>
    <t>monthLabel</t>
  </si>
  <si>
    <t>"2026-10" → "October 2026".</t>
  </si>
  <si>
    <t>35ce7d3 Dealer commission paid monthly: payout drafted on the 5th with a statement for each dealer</t>
  </si>
  <si>
    <t>previousMonth</t>
  </si>
  <si>
    <t>The calendar month before the one `today` is in.</t>
  </si>
  <si>
    <t>monthBounds</t>
  </si>
  <si>
    <t>The month's start and end as instants in the app's time zone (IST): [start, end).</t>
  </si>
  <si>
    <t>closeCommissionMonth</t>
  </si>
  <si>
    <t>Closes `month` (YYYY-MM): drafts each dealer's payout and sends the statements. `actor` null = the scheduled job; otherwise ADMIN only. A month not yet over is refused; a month already closed is reported, not closed again.</t>
  </si>
  <si>
    <t>runMonthlyDealerPayout</t>
  </si>
  <si>
    <t>The daily job: on or after the payout day, closes the month before (once). Nothing while the dealer programme is off or before the payout day.</t>
  </si>
  <si>
    <t>dealerMonthStatement</t>
  </si>
  <si>
    <t>One dealer's statement for one month — their own rows only.</t>
  </si>
  <si>
    <t>statementMonths</t>
  </si>
  <si>
    <t>The months a dealer's page lists: this month so far, then the closed months, newest first.</t>
  </si>
  <si>
    <t>listClosedMonths</t>
  </si>
  <si>
    <t>monthStatementCsv</t>
  </si>
  <si>
    <t>A month's statement as CSV: the registrations, the month's entries, the payout.</t>
  </si>
  <si>
    <t>dealerPerformance</t>
  </si>
  <si>
    <t>89f66b9 Dealer programme step 6: dealer board, performance views and staff dealer overview</t>
  </si>
  <si>
    <t>dealersOverview</t>
  </si>
  <si>
    <t>Staff: every dealer with rating, shops and commission (the "rating list across dealers").</t>
  </si>
  <si>
    <t>src/server/dealers/service.ts</t>
  </si>
  <si>
    <t>getDealerForUser</t>
  </si>
  <si>
    <t>GKS-DR-001, GKS-DR-002, GKS-DR-004, GKS-IN-002</t>
  </si>
  <si>
    <t>getDealer</t>
  </si>
  <si>
    <t>documentRequirements</t>
  </si>
  <si>
    <t>listDocumentRequirements</t>
  </si>
  <si>
    <t>setDocumentRequirement</t>
  </si>
  <si>
    <t>ADMIN only: whether a dealer type must upload a document. Audited.</t>
  </si>
  <si>
    <t>territoryCodes</t>
  </si>
  <si>
    <t>territoryDistricts</t>
  </si>
  <si>
    <t>The districts a dealer's territory lies in (code and short code), sorted by code.</t>
  </si>
  <si>
    <t>dealerView</t>
  </si>
  <si>
    <t>The dealer as the dealer and staff see it: personal numbers masked.</t>
  </si>
  <si>
    <t>saveApplication</t>
  </si>
  <si>
    <t>Creates or updates the signed-in user's application (DRAFT, or a REJECTED one, which goes back to DRAFT). The mobile number's verification is cleared when the number changes; bank details are checked with the bank after the save (checkDealerBank).</t>
  </si>
  <si>
    <t>sendDealerMobileOtp</t>
  </si>
  <si>
    <t>verifyDealerMobile</t>
  </si>
  <si>
    <t>uploadDealerDocument</t>
  </si>
  <si>
    <t>Uploads one document for the signed-in user's dealer (while DRAFT, REJECTED or PENDING — a pending applicant replaces a rejected document). PDF, JPEG, PNG or WebP, up to 5 MB, checked from the bytes; stored encrypted.</t>
  </si>
  <si>
    <t>submitApplication</t>
  </si>
  <si>
    <t>Submits the application (DRAFT → PENDING). Needs: mobile verified (or SMS not available on this site — then an admin confirms the number by phone at approval), every required document uploaded, the agreement accepted, and at least one area in a district...</t>
  </si>
  <si>
    <t>checkDealerBank</t>
  </si>
  <si>
    <t>Asks the bank (Cashfree Bank Account Verification, the same check shops' accounts get) whether the dealer's account is valid and in the holder's name. Not configured, or the bank unreachable → stays PENDING; an admin may then verify by the cancelled cheque...</t>
  </si>
  <si>
    <t>listDealers</t>
  </si>
  <si>
    <t>reviewDealerDocument</t>
  </si>
  <si>
    <t>ADMIN only: accept or reject one document (a rejection needs a note, sent to the dealer).</t>
  </si>
  <si>
    <t>dealerDocumentFile</t>
  </si>
  <si>
    <t>A document's file. The dealer may open their own; an ADMIN may open any, and every admin opening is audited. Operators and others are refused.</t>
  </si>
  <si>
    <t>revealDealerSecret</t>
  </si>
  <si>
    <t>ADMIN only: the full PAN or bank account number, each reveal audited with a reason.</t>
  </si>
  <si>
    <t>decideDealer</t>
  </si>
  <si>
    <t>ADMIN only. Approve (PENDING → APPROVED: documents accepted, mobile and bank verified — or confirmed by the admin — agreement dates; issues the code and grants the DEALER role), reject (PENDING), suspend (APPROVED), reactivate (SUSPENDED) or terminate...</t>
  </si>
  <si>
    <t>createDealerByAdmin</t>
  </si>
  <si>
    <t>ADMIN only: adds a dealer directly (source ADMIN) for any state and district of India — a district not yet on the list is added under the state — and approves it at once with a generated code GKS-&lt;state&gt;-&lt;district&gt;-&lt;6&gt; (unique; the database refuses a...</t>
  </si>
  <si>
    <t>a8258f1 Dealer programme across India: every state and UT, admin-added districts with generated short codes, admin Add dealer with a generated GKS-&lt;state&gt;-&lt;district&gt;-&lt;6&gt; code, flags and commission rules by state</t>
  </si>
  <si>
    <t>replaceDealerCode</t>
  </si>
  <si>
    <t>listSalespeople</t>
  </si>
  <si>
    <t>requireApprovedDealer</t>
  </si>
  <si>
    <t>The approved dealer behind the signed-in user (a dealer acting in their portal).</t>
  </si>
  <si>
    <t>addSalesperson</t>
  </si>
  <si>
    <t>The dealer adds an employee: the dealer's own Employee ID (unique within the dealer, any text), name and optional mobile. An employee code (GKS-FE-…) is issued at once. Each employee belongs to exactly one dealer.</t>
  </si>
  <si>
    <t>setSalespersonStatus</t>
  </si>
  <si>
    <t>Deactivates or reactivates an employee of `dealerId`. Deactivated: their code is refused for new registrations; shops they already brought stay theirs. An employee of another dealer is "not found".</t>
  </si>
  <si>
    <t>dealerAccountEmail</t>
  </si>
  <si>
    <t>Users named on the dealer (for staff screens): the applicant's account email.</t>
  </si>
  <si>
    <t>product-import</t>
  </si>
  <si>
    <t>src/server/product-import/normalise.ts</t>
  </si>
  <si>
    <t>stockQuantity</t>
  </si>
  <si>
    <t>A stock quantity: 0 or more, with at most three decimals (D-95: 2.5 kg of a loose good). Whether a fraction may be applied depends on the product (packaged goods stay whole) and is decided when the row is committed.</t>
  </si>
  <si>
    <t>1d718fd Loose stock records decimals (D-95, TC-SPI-025)</t>
  </si>
  <si>
    <t>registration</t>
  </si>
  <si>
    <t>src/server/registration/otp.ts</t>
  </si>
  <si>
    <t>sendRegistrationOtp</t>
  </si>
  <si>
    <t>services</t>
  </si>
  <si>
    <t>src/server/services/customer-referrals.ts</t>
  </si>
  <si>
    <t>reverseCustomerReferral</t>
  </si>
  <si>
    <t>D-25: takes back a rewarded referral found fraudulent. Each reward is debited from its wallet as a REVERSAL pointing at the original credit. A wallet never goes below zero: when the credit was already spent, the balance is taken and the rest recorded as...</t>
  </si>
  <si>
    <t>d83b433 D-25: an admin can reverse a rewarded customer referral found fraudulent</t>
  </si>
  <si>
    <t>src/server/services/disputes.ts</t>
  </si>
  <si>
    <t>runDisputeEscalationSweep</t>
  </si>
  <si>
    <t>The hourly dispute check (safety net): escalates to an administrator every live L1 case that - has waited for a reply from the shop or support longer than `responseSlaHours` (the SLA — trigger SLA), or - is older than `escalateAfterHours` however busy it...</t>
  </si>
  <si>
    <t>escalateOnTouch</t>
  </si>
  <si>
    <t>"Escalate on next touch": no scheduler needed. Called when a case is viewed or acted on (`disputeId`) and when the operations queue loads (no id = all overdue cases, bounded by the sweep's 200-row limit). Safe to race: `escalateDispute` locks the row and...</t>
  </si>
  <si>
    <t>907a756 Cut Node process load: escalate-on-touch disputes, cron gate, caching, no prefetch</t>
  </si>
  <si>
    <t>getFeatureFlags</t>
  </si>
  <si>
    <t>Every flag. A missing row, or a table that cannot be read, counts as OFF.</t>
  </si>
  <si>
    <t>GKS-FLAGS, GKS-IN-003</t>
  </si>
  <si>
    <t>bc3f93a Dealer programme step 1: feature flags, Maharashtra territory areas, DEALER role</t>
  </si>
  <si>
    <t>getFeatureFlag</t>
  </si>
  <si>
    <t>enabledFeatureKeys</t>
  </si>
  <si>
    <t>Keys of the flags that are on anywhere (for menus: an entry of a feature that is off is hidden).</t>
  </si>
  <si>
    <t>flagCoversDistrict</t>
  </si>
  <si>
    <t>True when the flag's district list covers this district (NULL list = every district).</t>
  </si>
  <si>
    <t>isFeatureEnabled</t>
  </si>
  <si>
    <t>Is the feature on? With `districtCode` (or `null` for "a shop whose district is unknown"): on for that district. Without the option: on anywhere.</t>
  </si>
  <si>
    <t>featureNotAvailable</t>
  </si>
  <si>
    <t>Error for a route of a feature that is switched off: 404, so the site looks as it did before.</t>
  </si>
  <si>
    <t>requireFeature</t>
  </si>
  <si>
    <t>Throws "not available" unless the flag is on (for the district, when given).</t>
  </si>
  <si>
    <t>setFeatureFlag</t>
  </si>
  <si>
    <t>Changes one flag. ADMIN only, a reason of at least 5 characters, and area codes that are active STATE or DISTRICT rows of geo_areas — a whole state ("KA") or a district ("MH-PUN") — (an empty list is refused — switch the flag off instead). Saving the value...</t>
  </si>
  <si>
    <t>listFeatureFlagChanges</t>
  </si>
  <si>
    <t>The most recent changes, newest first (all flags, or one).</t>
  </si>
  <si>
    <t>listDistricts</t>
  </si>
  <si>
    <t>GKS-GEO-001, GKS-IN-001</t>
  </si>
  <si>
    <t>listStates</t>
  </si>
  <si>
    <t>Every state and union territory, by name.</t>
  </si>
  <si>
    <t>listDistrictsOf</t>
  </si>
  <si>
    <t>A state's districts (directly under it or under one of its regions), by name.</t>
  </si>
  <si>
    <t>addDistrict</t>
  </si>
  <si>
    <t>ADMIN: adds a district to a state — directly under it — with a generated short code (unique among districts) and the code "&lt;STATE&gt;-&lt;SHORT&gt;". An existing district of that name in the state is returned as it is.</t>
  </si>
  <si>
    <t>listGeoAreas</t>
  </si>
  <si>
    <t>getGeoArea</t>
  </si>
  <si>
    <t>geoAncestry</t>
  </si>
  <si>
    <t>The area and all its ancestors, from the area up to the state.</t>
  </si>
  <si>
    <t>areaForPincode</t>
  </si>
  <si>
    <t>The area a 6-digit PIN code belongs to (longest prefix), with its district; null when unmapped.</t>
  </si>
  <si>
    <t>districtCodeForPincode</t>
  </si>
  <si>
    <t>The area used for flags, commission rules and dealer districts: the PIN's district when one is mapped, else its state (e.g. "KA" before Karnataka's districts are added); null when the PIN is not mapped at all.</t>
  </si>
  <si>
    <t>saveGeoArea</t>
  </si>
  <si>
    <t>Adds or updates an area below an existing parent (ADMIN only). The level must be the one below the parent's; districts need a 2–4 letter short code, unique among districts. PIN prefixes given here are added (none removed).</t>
  </si>
  <si>
    <t>openAreasFor</t>
  </si>
  <si>
    <t>The areas a dealer may choose where a feature is open: every state when the flag covers all of India, else the states it names whole and the named districts' states; under each state its districts (all of them for a whole state, only the named ones...</t>
  </si>
  <si>
    <t>govAutoApprovalApplies</t>
  </si>
  <si>
    <t>Is the instant-approval rule on for this shop? Its district's flag decides — except for a shop registered through the onboarding wizard, which is approved this way in every district (owner decision B, 28 Oct 2026; docs/shop-onboarding-wizard-2026-10).</t>
  </si>
  <si>
    <t>4500808 Dealer programme step 4: instant approval on GST/PAN verification + gateway payment</t>
  </si>
  <si>
    <t>isWizardShop</t>
  </si>
  <si>
    <t>The shop was created from an onboarding-wizard draft.</t>
  </si>
  <si>
    <t>8ea1e15 Shop onboarding wizard step 2: Udyam, FSSAI, Shop Act and map steps, draft → shop with checks copied, live after payment (decision B)</t>
  </si>
  <si>
    <t>decideGovAutoApproval</t>
  </si>
  <si>
    <t>The decision for one pending shop, with every reason it cannot be approved yet.</t>
  </si>
  <si>
    <t>logGovDecision</t>
  </si>
  <si>
    <t>Appends a decision, unless the shop's last one says the same.</t>
  </si>
  <si>
    <t>listGovDecisions</t>
  </si>
  <si>
    <t>Staff: the decisions, newest first (only the latest per shop unless `all`).</t>
  </si>
  <si>
    <t>legalDocLabel</t>
  </si>
  <si>
    <t>"Other licence" rows are known by the name the owner gave them.</t>
  </si>
  <si>
    <t>a2aabf3 Shop documents: "Scan a document" detects the type; trade, legal metrology, fire NOC, agri-input and other licences</t>
  </si>
  <si>
    <t>src/server/services/operator-limited.ts</t>
  </si>
  <si>
    <t>ownerAccountFor</t>
  </si>
  <si>
    <t>The owner's account for the verified email: the existing one, or a new customer account (email verified by the code).</t>
  </si>
  <si>
    <t>NEW-094 (D-108)</t>
  </si>
  <si>
    <t>onShopRegistrationFeeCaptured</t>
  </si>
  <si>
    <t>CAPTURED handler for purpose SHOP_REGISTRATION_FEE (purpose-handlers.ts). Runs inside the payment service's capture transaction: the fee is written to the shop's immutable ledger (shop_payments, method ONLINE) with the capture. Idempotent — a replayed...</t>
  </si>
  <si>
    <t>src/server/services/registration-fee-coupons.ts</t>
  </si>
  <si>
    <t>normalizeCouponCode</t>
  </si>
  <si>
    <t>9cceb64 Registration fee: ₹999 base + GST, with admin-managed coupons</t>
  </si>
  <si>
    <t>registrationFeeGstRateBp</t>
  </si>
  <si>
    <t>GST rate (basis points) on GoKesari's registration fee today.</t>
  </si>
  <si>
    <t>baseRegistrationFee</t>
  </si>
  <si>
    <t>The base fee for a new registration: rule registrationFeeByTurnover when it gives one, otherwise the flat fee. `feeId` is the flat fee row it came from.</t>
  </si>
  <si>
    <t>quoteRegistrationFee</t>
  </si>
  <si>
    <t>What a new registration would pay, with an optional coupon — for the form, before Submit. The fee actually charged is computed again when the shop is saved (registerShop), never taken from this.</t>
  </si>
  <si>
    <t>lockRegistrationFeeCoupon</t>
  </si>
  <si>
    <t>Inside registerShop's transaction: lock the coupon, check it again for this owner, and return it. The shop row written in the same transaction is the use.</t>
  </si>
  <si>
    <t>listRegistrationFeeCoupons</t>
  </si>
  <si>
    <t>saveRegistrationFeeCoupon</t>
  </si>
  <si>
    <t>src/server/services/registration-fee-payment.ts</t>
  </si>
  <si>
    <t>registrationFeeDue</t>
  </si>
  <si>
    <t>What is still owed on a shop's registration fee, in paise (0 when settled or waived).</t>
  </si>
  <si>
    <t>NEW-076, GKS-FEE</t>
  </si>
  <si>
    <t>86449de Add my shop: turnover-based registration fee, online fee payment, one pending registration, professional categories, faster seller pages</t>
  </si>
  <si>
    <t>ownShopForFee</t>
  </si>
  <si>
    <t>The caller's own shop, or 404 — another owner's shop is not even confirmed to exist.</t>
  </si>
  <si>
    <t>startRegistrationFeeCheckout</t>
  </si>
  <si>
    <t>Starts (or reopens) the checkout for what is still due. Returns where to send the browser: the gateway's hosted page, or our page that opens its SDK.</t>
  </si>
  <si>
    <t>checkRegistrationFeePayment</t>
  </si>
  <si>
    <t>Back from the gateway with `?intent=`: asks the gateway how that payment went (the webhook usually got there first) and returns the shop as it is now. Only the owner's own intent for this shop is looked at; anything else is ignored.</t>
  </si>
  <si>
    <t>latestRegistrationFeeAttempt</t>
  </si>
  <si>
    <t>The latest attempt's state, for the page: "PAID", "FAILED", "EXPIRED", "PENDING" … or null.</t>
  </si>
  <si>
    <t>stateCodeForPincode</t>
  </si>
  <si>
    <t>Two-letter state for state-specific lookups (Shop Act) and the GSTIN state check, for any Indian PIN code (lib/pincode-state: Goa's 403xxx is GA, not MH); where a PIN prefix spans two states, the shop's own state field decides. Unknown: the state check is...</t>
  </si>
  <si>
    <t>importRegistrationCheck</t>
  </si>
  <si>
    <t>Onboarding wizard (docs/shop-onboarding-wizard-2026-10): the shop is created from the owner's draft, and each government check already done there becomes the shop's seller verification — with the vendor's reference, so instant approval sees a...</t>
  </si>
  <si>
    <t>importRegistrationGstDeclaration</t>
  </si>
  <si>
    <t>Onboarding wizard, no-GSTIN route: the owner's "not GST-registered" declaration, as declareNoGstin() records it — waiting for an admin's review.</t>
  </si>
  <si>
    <t>recordLegacyGstPanDecision</t>
  </si>
  <si>
    <t>The older GST/PAN screens (services/gst-pan-verification.ts: the admin GST/PAN queue) decide on the shop row. Owner decision, 29 Oct 2026: these records are the source, so the same decision is recorded here as a reviewer's, on the document's row. The...</t>
  </si>
  <si>
    <t>32da8e5 Seller verification follow-ups (owner decisions 29 Oct): one source for GST/PAN, GSTIN one business, Shop Act one shop, Udyam on the shop, 3 months for shops approved without documents</t>
  </si>
  <si>
    <t>src/server/services/shop-closure.ts</t>
  </si>
  <si>
    <t>closeShopPermanently</t>
  </si>
  <si>
    <t>9a55e8c D-69: the owner can close the shop for now or permanently; a lapsed membership is not online</t>
  </si>
  <si>
    <t>src/server/services/shop-document-follow-up.ts</t>
  </si>
  <si>
    <t>shopsMissingDocuments</t>
  </si>
  <si>
    <t>Live shops with a mandatory document not verified — the admin "Missing documents" list and the job's input.</t>
  </si>
  <si>
    <t>3914270 wip: documents follow-up, promise approval</t>
  </si>
  <si>
    <t>nextFollowUpDay</t>
  </si>
  <si>
    <t>The next reminder day after `today` (1st / 15th by default).</t>
  </si>
  <si>
    <t>runShopDocumentFollowUp</t>
  </si>
  <si>
    <t>graceUntil</t>
  </si>
  <si>
    <t>The end of a waived or promised shop's grace: graceDays after its latest waiver, or after its approval when it promised its documents (never before the promised date). Null for other shops.</t>
  </si>
  <si>
    <t>src/server/services/shop-document-gate.ts</t>
  </si>
  <si>
    <t>documentsDueLabel</t>
  </si>
  <si>
    <t>"28 Nov 2026" — the promise's due date as the owner and the team read it (India time).</t>
  </si>
  <si>
    <t>shopDocumentGate</t>
  </si>
  <si>
    <t>9ff95b7 wip: document gate before registration fee</t>
  </si>
  <si>
    <t>splitMissing</t>
  </si>
  <si>
    <t>A shop without a GSTIN declares it is not GST-registered; the GSTIN row then waits in MANUAL_REVIEW for GoKesari's team. That is not a document the owner can provide, so it is neither promised nor chased — but it still keeps the shop from automatic approval.</t>
  </si>
  <si>
    <t>assertDocumentsAllowPayment</t>
  </si>
  <si>
    <t>The fee checkout refuses until the gate opens.</t>
  </si>
  <si>
    <t>setDocumentsPromise</t>
  </si>
  <si>
    <t>The documents promise, set inside a transaction that already holds the shop (the wizard's submit).</t>
  </si>
  <si>
    <t>promiseShopDocuments</t>
  </si>
  <si>
    <t>The owner ticks "I will provide all relevant documents within 30 days" (Add my shop → fee page). Needs one verified document; given once (a second tick keeps the first date).</t>
  </si>
  <si>
    <t>gstinHeldByOtherOwner</t>
  </si>
  <si>
    <t>Another owner's live shop that uses this GSTIN (normalised), or null.</t>
  </si>
  <si>
    <t>shopActHeldByOtherShop</t>
  </si>
  <si>
    <t>Another live shop (any owner) that uses this Shop Act licence (its matching key), or null.</t>
  </si>
  <si>
    <t>assertGstinNotHeldByOtherOwner</t>
  </si>
  <si>
    <t>Refuses a GSTIN that another owner's shop uses (CONFLICT, reason DUPLICATE_GSTIN).</t>
  </si>
  <si>
    <t>assertShopActNotHeldByOtherShop</t>
  </si>
  <si>
    <t>Refuses a Shop Act licence that another live shop uses (CONFLICT, reason DUPLICATE_SHOP_ACT).</t>
  </si>
  <si>
    <t>src/server/services/shop-membership.ts</t>
  </si>
  <si>
    <t>addMonths</t>
  </si>
  <si>
    <t>`date` plus whole calendar months (the 31st becomes the month's last day).</t>
  </si>
  <si>
    <t>membershipEndAfterPayment</t>
  </si>
  <si>
    <t>The new end after a payment on `paidAt`: from the current end while it lasts, else from the payment.</t>
  </si>
  <si>
    <t>extendMembership</t>
  </si>
  <si>
    <t>Called with a registration fee or renewal payment, in the same transaction (the shop row is locked by the caller).</t>
  </si>
  <si>
    <t>membershipStatus</t>
  </si>
  <si>
    <t>membershipOrderGate</t>
  </si>
  <si>
    <t>SQL on the outer `shops` row: true while the membership keeps the shop online.</t>
  </si>
  <si>
    <t>membershipLapsedShopIds</t>
  </si>
  <si>
    <t>The shops among `shopIds` that are not online because their membership lapsed.</t>
  </si>
  <si>
    <t>src/server/services/shop-onboarding.ts</t>
  </si>
  <si>
    <t>missingMandatoryDocuments</t>
  </si>
  <si>
    <t>Mandatory seller documents not yet VERIFIED for this shop (whatever the statusModels rule says). With `countDeferred` — the approval gates — a document listed in shop_deferred_document_reviews (owner decision B, 0113: an onboarding-wizard shop's Shop Act,...</t>
  </si>
  <si>
    <t>deferredReviewDocTypes</t>
  </si>
  <si>
    <t>Documents this shop may go live with while an admin still reviews them (0113).</t>
  </si>
  <si>
    <t>hasDocumentWaiver</t>
  </si>
  <si>
    <t>An admin approved this shop without its seller documents (0109). Commission milestones ignore it.</t>
  </si>
  <si>
    <t>99a3efb Shop approval queue: say when nothing is uploaded, remind the owner, admin approval without documents</t>
  </si>
  <si>
    <t>src/server/services/shop-payments.ts</t>
  </si>
  <si>
    <t>waiveRegistrationFee</t>
  </si>
  <si>
    <t>Waives one pending shop's registration fee (admin only, with a reason): the shop's fee snapshot becomes zero and its settlement is recomputed from the ledger, so it reads PAID like a shop registered with a waived fee. Refused once anything has been paid...</t>
  </si>
  <si>
    <t>997748b Shop approval queue: record the fee payment or waive the fee from the shop's card</t>
  </si>
  <si>
    <t>src/server/services/shop-ready-email.ts</t>
  </si>
  <si>
    <t>sendReadyForProductUpload</t>
  </si>
  <si>
    <t>message</t>
  </si>
  <si>
    <t>19c46a1 Shop onboarding wizard step 1: GSTIN-first checks with a background PAN check and the shop filled from the GST record</t>
  </si>
  <si>
    <t>str</t>
  </si>
  <si>
    <t>toDraftView</t>
  </si>
  <si>
    <t>findOpenDraft</t>
  </si>
  <si>
    <t>getOpenDraft</t>
  </si>
  <si>
    <t>The owner's registration in progress, or null — the wizard resumes from it.</t>
  </si>
  <si>
    <t>assertOwnerExists</t>
  </si>
  <si>
    <t>The owner is a platform user (no foreign key across the split): checked here.</t>
  </si>
  <si>
    <t>countCheck</t>
  </si>
  <si>
    <t>The per-draft hourly limit on paid checks the owner can start.</t>
  </si>
  <si>
    <t>submitDraftGstin</t>
  </si>
  <si>
    <t>Checks the GSTIN with the government source and, once it is verified, the PAN inside it — the owner types only the GSTIN. The GST record fills the draft's shop name, legal name and address.</t>
  </si>
  <si>
    <t>submitDraftPan</t>
  </si>
  <si>
    <t>No GSTIN: the PAN alone is checked, and the owner signs the "not GST-registered" declaration.</t>
  </si>
  <si>
    <t>wizardAvailableFor</t>
  </si>
  <si>
    <t>The wizard is open to everyone only while shop_onboarding_wizard_enabled is on. While it is off only an admin may use it (testing on staging): a link such as /shop/register?wizard=1 must not open a registration route the owner has not switched on.</t>
  </si>
  <si>
    <t>efe32c3 Onboarding wizard: ?wizard=1 opens it only while its flag is on, or for an admin</t>
  </si>
  <si>
    <t>requireWizardAvailable</t>
  </si>
  <si>
    <t>Throws "not available" (404) unless the wizard is open to this user — for the wizard's routes.</t>
  </si>
  <si>
    <t>showsWizard</t>
  </si>
  <si>
    <t>Add my shop: the wizard or the long form. ?form=1 always shows the long form; with the flag on everyone gets the wizard; with it off an admin gets it with ?wizard=1.</t>
  </si>
  <si>
    <t>toWizardView</t>
  </si>
  <si>
    <t>getWizardDraft</t>
  </si>
  <si>
    <t>The owner's registration in the wizard: the OPEN draft, else the latest one already turned into a shop (to show payment, waiting or done), else null.</t>
  </si>
  <si>
    <t>saveDraftDetails</t>
  </si>
  <si>
    <t>answerDraftDocument</t>
  </si>
  <si>
    <t>"I don't have Udyam / FSSAI / the Shop Act now." Owner decision 29 Oct 2026: a mandatory document (Shop Act, FSSAI for a food shop) may be left for later; it is then promised at "Create my shop and pay", and the shop waits for GoKesari's team (a food shop...</t>
  </si>
  <si>
    <t>submitDraftDocument</t>
  </si>
  <si>
    <t>Checks a Udyam, FSSAI or Shop Act number with the government source and keeps the result on the draft.</t>
  </si>
  <si>
    <t>saveDraftLocation</t>
  </si>
  <si>
    <t>submitDraftForPayment</t>
  </si>
  <si>
    <t>"Create my shop and pay": the shop is created from the draft — the same registration as Add my shop (duplicate checks, fee snapshot, referral code, role) — and every government check is copied to seller_verifications in the same transaction. Returns the...</t>
  </si>
  <si>
    <t>src/server/services/shop-types.ts</t>
  </si>
  <si>
    <t>listShopTypes</t>
  </si>
  <si>
    <t>Built-in types first, then staff-added; inactive ones only when asked (staff screens).</t>
  </si>
  <si>
    <t>isKnownShopType</t>
  </si>
  <si>
    <t>Every key a shop, rate or category may use — inactive staff-added types stay valid for shops that already have them.</t>
  </si>
  <si>
    <t>assertShopType</t>
  </si>
  <si>
    <t>Throws a validation error unless `key` is a built-in or an active staff-added type.</t>
  </si>
  <si>
    <t>loadShopTypeRegistry</t>
  </si>
  <si>
    <t>Server code that branches on the food flag calls this first so staff-added types are known.</t>
  </si>
  <si>
    <t>createShopType</t>
  </si>
  <si>
    <t>updateShopType</t>
  </si>
  <si>
    <t>Edit a staff-added type. The key never changes; built-in types are code and cannot be edited here.</t>
  </si>
  <si>
    <t>shopCountsByType</t>
  </si>
  <si>
    <t>How many shops use each type, for the admin list.</t>
  </si>
  <si>
    <t>src/server/services/shops.ts</t>
  </si>
  <si>
    <t>remindShopDocuments</t>
  </si>
  <si>
    <t>Operations nudge a pending shop's owner to upload the seller documents still missing (in-app and e-mail, plus SMS where an SMS provider is set up). At most once a day per shop: a second press the same day sends nothing and says so. `channels` names what...</t>
  </si>
  <si>
    <t>getSupportSettings</t>
  </si>
  <si>
    <t>currentCharge</t>
  </si>
  <si>
    <t>The charge in force for a service today.</t>
  </si>
  <si>
    <t>listSupportServices</t>
  </si>
  <si>
    <t>supportServicesOn</t>
  </si>
  <si>
    <t>Is the paid support services page on for this shop?</t>
  </si>
  <si>
    <t>requesterFor</t>
  </si>
  <si>
    <t>Who may ask for a shop: its owner, or an approved dealer the shop is attributed to. Anyone else: "not found" (no hint that the shop exists).</t>
  </si>
  <si>
    <t>priceFor</t>
  </si>
  <si>
    <t>The base price for a quantity under a charge (before GST).</t>
  </si>
  <si>
    <t>quoteSupportService</t>
  </si>
  <si>
    <t>The price the shop is shown before it submits (and the price it is charged).</t>
  </si>
  <si>
    <t>createSupportRequest</t>
  </si>
  <si>
    <t>Creates the request at the quoted price. A free one is paid at once and its ticket opened; a priced one waits for payment.</t>
  </si>
  <si>
    <t>getRequest</t>
  </si>
  <si>
    <t>payFromWallet</t>
  </si>
  <si>
    <t>Pays from the shop's prepaid wallet (the owner only). Not enough balance: 402 with the shortfall — top up or pay online; nothing is created.</t>
  </si>
  <si>
    <t>payOnline</t>
  </si>
  <si>
    <t>Pays online (UPI / card): a gateway checkout; the request is paid only when the signed webhook confirms it.</t>
  </si>
  <si>
    <t>onSupportServicePaymentCaptured</t>
  </si>
  <si>
    <t>The gateway confirmed the payment (purpose handler, inside the capture transaction): the request is paid when the amount is right; its ticket is opened after the commit.</t>
  </si>
  <si>
    <t>ensureTicket</t>
  </si>
  <si>
    <t>Opens the help-desk ticket of a paid request, once (the request row is locked while the ticket is made), and copies its files to the ticket. The help desk switched off: the request stays paid without a ticket and staff see it in the admin list.</t>
  </si>
  <si>
    <t>cancelSupportRequest</t>
  </si>
  <si>
    <t>The requester cancels. Waiting for payment: cancelled. Paid, before work starts (ticket still open or acknowledged): refunded by the admin's percentage, the ticket closed. After work starts: refused — an admin may still refund.</t>
  </si>
  <si>
    <t>adminRefund</t>
  </si>
  <si>
    <t>ADMIN only: refund a paid request (any stage), with a reason.</t>
  </si>
  <si>
    <t>listShopRequests</t>
  </si>
  <si>
    <t>listCharges</t>
  </si>
  <si>
    <t>saveCharge</t>
  </si>
  <si>
    <t>ADMIN only: a new charge version for a service. Requests already made keep theirs; open tickets are unaffected. Audited with the reason.</t>
  </si>
  <si>
    <t>saveSupportSettings</t>
  </si>
  <si>
    <t>ADMIN only: refund percentage before work starts; managed-billing shops free. Audited.</t>
  </si>
  <si>
    <t>supportServicesReport</t>
  </si>
  <si>
    <t>Staff: every request, and the report by service (requests, revenue, refunds, SLA kept).</t>
  </si>
  <si>
    <t>New pages and API routes since the 25 Oct report (71)</t>
  </si>
  <si>
    <t>Added under src/app between the 25 Oct report and production 4585627. Dealer and wizard routes answer only while their feature flag is on for the area (or for an admin).</t>
  </si>
  <si>
    <t>Type</t>
  </si>
  <si>
    <t>Path</t>
  </si>
  <si>
    <t>Methods</t>
  </si>
  <si>
    <t>Used by</t>
  </si>
  <si>
    <t>Page</t>
  </si>
  <si>
    <t>/admin/dealers/[id]</t>
  </si>
  <si>
    <t>page</t>
  </si>
  <si>
    <t>Admin / staff</t>
  </si>
  <si>
    <t>src/app/admin/dealers/[id]/page.tsx</t>
  </si>
  <si>
    <t>/admin/dealers/analytics</t>
  </si>
  <si>
    <t>src/app/admin/dealers/analytics/page.tsx</t>
  </si>
  <si>
    <t>/admin/dealers/claims</t>
  </si>
  <si>
    <t>src/app/admin/dealers/claims/page.tsx</t>
  </si>
  <si>
    <t>/admin/dealers/commission</t>
  </si>
  <si>
    <t>src/app/admin/dealers/commission/page.tsx</t>
  </si>
  <si>
    <t>/admin/dealers</t>
  </si>
  <si>
    <t>src/app/admin/dealers/page.tsx</t>
  </si>
  <si>
    <t>/admin/feature-flags</t>
  </si>
  <si>
    <t>src/app/admin/feature-flags/page.tsx</t>
  </si>
  <si>
    <t>/admin/shop-types</t>
  </si>
  <si>
    <t>src/app/admin/shop-types/page.tsx</t>
  </si>
  <si>
    <t>/admin/shops/instant-approvals</t>
  </si>
  <si>
    <t>src/app/admin/shops/instant-approvals/page.tsx</t>
  </si>
  <si>
    <t>/admin/shops/missing-documents</t>
  </si>
  <si>
    <t>src/app/admin/shops/missing-documents/page.tsx</t>
  </si>
  <si>
    <t>/admin/support-services</t>
  </si>
  <si>
    <t>src/app/admin/support-services/page.tsx</t>
  </si>
  <si>
    <t>API</t>
  </si>
  <si>
    <t>/api/admin/customer-referrals/[id]</t>
  </si>
  <si>
    <t>POST</t>
  </si>
  <si>
    <t>Customer referrals</t>
  </si>
  <si>
    <t>src/app/api/admin/customer-referrals/[id]/route.ts</t>
  </si>
  <si>
    <t>/api/admin/dealer-analytics</t>
  </si>
  <si>
    <t>GET, POST</t>
  </si>
  <si>
    <t>src/app/api/admin/dealer-analytics/route.ts</t>
  </si>
  <si>
    <t>/api/admin/dealer-commission</t>
  </si>
  <si>
    <t>GKS-CM-001..005</t>
  </si>
  <si>
    <t>src/app/api/admin/dealer-commission/route.ts</t>
  </si>
  <si>
    <t>/api/admin/dealer-disputes/[id]</t>
  </si>
  <si>
    <t>src/app/api/admin/dealer-disputes/[id]/route.ts</t>
  </si>
  <si>
    <t>/api/admin/dealer-disputes</t>
  </si>
  <si>
    <t>GET</t>
  </si>
  <si>
    <t>src/app/api/admin/dealer-disputes/route.ts</t>
  </si>
  <si>
    <t>/api/admin/dealer-document-requirements</t>
  </si>
  <si>
    <t>GET, PUT</t>
  </si>
  <si>
    <t>src/app/api/admin/dealer-document-requirements/route.ts</t>
  </si>
  <si>
    <t>/api/admin/dealers/[id]/bank-check</t>
  </si>
  <si>
    <t>src/app/api/admin/dealers/[id]/bank-check/route.ts</t>
  </si>
  <si>
    <t>/api/admin/dealers/[id]/codes/[codeId]/replace</t>
  </si>
  <si>
    <t>src/app/api/admin/dealers/[id]/codes/[codeId]/replace/route.ts</t>
  </si>
  <si>
    <t>/api/admin/dealers/[id]/decision</t>
  </si>
  <si>
    <t>src/app/api/admin/dealers/[id]/decision/route.ts</t>
  </si>
  <si>
    <t>/api/admin/dealers/[id]/documents/[docId]</t>
  </si>
  <si>
    <t>src/app/api/admin/dealers/[id]/documents/[docId]/route.ts</t>
  </si>
  <si>
    <t>/api/admin/dealers/[id]/rating</t>
  </si>
  <si>
    <t>src/app/api/admin/dealers/[id]/rating/route.ts</t>
  </si>
  <si>
    <t>/api/admin/dealers/[id]/reveal</t>
  </si>
  <si>
    <t>src/app/api/admin/dealers/[id]/reveal/route.ts</t>
  </si>
  <si>
    <t>/api/admin/dealers/[id]</t>
  </si>
  <si>
    <t>src/app/api/admin/dealers/[id]/route.ts</t>
  </si>
  <si>
    <t>/api/admin/dealers/[id]/salespeople/[spId]</t>
  </si>
  <si>
    <t>PATCH</t>
  </si>
  <si>
    <t>src/app/api/admin/dealers/[id]/salespeople/[spId]/route.ts</t>
  </si>
  <si>
    <t>/api/admin/dealers</t>
  </si>
  <si>
    <t>src/app/api/admin/dealers/route.ts</t>
  </si>
  <si>
    <t>/api/admin/escalation-sweep</t>
  </si>
  <si>
    <t>src/app/api/admin/escalation-sweep/route.ts</t>
  </si>
  <si>
    <t>/api/admin/feature-flags</t>
  </si>
  <si>
    <t>src/app/api/admin/feature-flags/route.ts</t>
  </si>
  <si>
    <t>/api/admin/registration-fee-coupons/[id]</t>
  </si>
  <si>
    <t>PUT</t>
  </si>
  <si>
    <t>src/app/api/admin/registration-fee-coupons/[id]/route.ts</t>
  </si>
  <si>
    <t>/api/admin/registration-fee-coupons</t>
  </si>
  <si>
    <t>src/app/api/admin/registration-fee-coupons/route.ts</t>
  </si>
  <si>
    <t>/api/admin/support-services</t>
  </si>
  <si>
    <t>src/app/api/admin/support-services/route.ts</t>
  </si>
  <si>
    <t>/api/dealer/application/documents</t>
  </si>
  <si>
    <t>src/app/api/dealer/application/documents/route.ts</t>
  </si>
  <si>
    <t>/api/dealer/application/otp</t>
  </si>
  <si>
    <t>src/app/api/dealer/application/otp/route.ts</t>
  </si>
  <si>
    <t>/api/dealer/application</t>
  </si>
  <si>
    <t>src/app/api/dealer/application/route.ts</t>
  </si>
  <si>
    <t>/api/dealer/application/submit</t>
  </si>
  <si>
    <t>src/app/api/dealer/application/submit/route.ts</t>
  </si>
  <si>
    <t>/api/dealer/assisted/[id]/shop</t>
  </si>
  <si>
    <t>src/app/api/dealer/assisted/[id]/shop/route.ts</t>
  </si>
  <si>
    <t>/api/dealer/assisted/[id]/verify</t>
  </si>
  <si>
    <t>src/app/api/dealer/assisted/[id]/verify/route.ts</t>
  </si>
  <si>
    <t>/api/dealer/assisted</t>
  </si>
  <si>
    <t>src/app/api/dealer/assisted/route.ts</t>
  </si>
  <si>
    <t>/api/dealer/code</t>
  </si>
  <si>
    <t>src/app/api/dealer/code/route.ts</t>
  </si>
  <si>
    <t>/api/dealer/commission</t>
  </si>
  <si>
    <t>src/app/api/dealer/commission/route.ts</t>
  </si>
  <si>
    <t>/api/dealer/commission/statement</t>
  </si>
  <si>
    <t>src/app/api/dealer/commission/statement/route.ts</t>
  </si>
  <si>
    <t>/api/dealer/disputes</t>
  </si>
  <si>
    <t>src/app/api/dealer/disputes/route.ts</t>
  </si>
  <si>
    <t>/api/dealer/documents/[id]</t>
  </si>
  <si>
    <t>src/app/api/dealer/documents/[id]/route.ts</t>
  </si>
  <si>
    <t>/api/dealer/leads/[id]</t>
  </si>
  <si>
    <t>src/app/api/dealer/leads/[id]/route.ts</t>
  </si>
  <si>
    <t>/api/dealer/leads</t>
  </si>
  <si>
    <t>src/app/api/dealer/leads/route.ts</t>
  </si>
  <si>
    <t>/api/dealer/salespeople/[id]</t>
  </si>
  <si>
    <t>src/app/api/dealer/salespeople/[id]/route.ts</t>
  </si>
  <si>
    <t>/api/dealer/salespeople</t>
  </si>
  <si>
    <t>src/app/api/dealer/salespeople/route.ts</t>
  </si>
  <si>
    <t>/api/dealer/shops</t>
  </si>
  <si>
    <t>src/app/api/dealer/shops/route.ts</t>
  </si>
  <si>
    <t>/api/geo-areas</t>
  </si>
  <si>
    <t>Signed-in / public</t>
  </si>
  <si>
    <t>src/app/api/geo-areas/route.ts</t>
  </si>
  <si>
    <t>/api/shop-types/[key]</t>
  </si>
  <si>
    <t>src/app/api/shop-types/[key]/route.ts</t>
  </si>
  <si>
    <t>/api/shop-types</t>
  </si>
  <si>
    <t>src/app/api/shop-types/route.ts</t>
  </si>
  <si>
    <t>/api/shops/[id]/close</t>
  </si>
  <si>
    <t>Shop closure</t>
  </si>
  <si>
    <t>src/app/api/shops/[id]/close/route.ts</t>
  </si>
  <si>
    <t>/api/shops/[id]/documents-promise</t>
  </si>
  <si>
    <t>src/app/api/shops/[id]/documents-promise/route.ts</t>
  </si>
  <si>
    <t>/api/shops/[id]/registration-fee</t>
  </si>
  <si>
    <t>src/app/api/shops/[id]/registration-fee/route.ts</t>
  </si>
  <si>
    <t>/api/shops/[id]/remind-documents</t>
  </si>
  <si>
    <t>src/app/api/shops/[id]/remind-documents/route.ts</t>
  </si>
  <si>
    <t>/api/shops/[id]/waive-fee</t>
  </si>
  <si>
    <t>src/app/api/shops/[id]/waive-fee/route.ts</t>
  </si>
  <si>
    <t>/api/shops/registration-draft/details</t>
  </si>
  <si>
    <t>NEW-091, NEW-092</t>
  </si>
  <si>
    <t>src/app/api/shops/registration-draft/details/route.ts</t>
  </si>
  <si>
    <t>/api/shops/registration-draft/documents</t>
  </si>
  <si>
    <t>src/app/api/shops/registration-draft/documents/route.ts</t>
  </si>
  <si>
    <t>/api/shops/registration-draft/gstin</t>
  </si>
  <si>
    <t>src/app/api/shops/registration-draft/gstin/route.ts</t>
  </si>
  <si>
    <t>/api/shops/registration-draft/location</t>
  </si>
  <si>
    <t>src/app/api/shops/registration-draft/location/route.ts</t>
  </si>
  <si>
    <t>/api/shops/registration-draft/pan</t>
  </si>
  <si>
    <t>src/app/api/shops/registration-draft/pan/route.ts</t>
  </si>
  <si>
    <t>/api/shops/registration-draft</t>
  </si>
  <si>
    <t>src/app/api/shops/registration-draft/route.ts</t>
  </si>
  <si>
    <t>/api/shops/registration-draft/submit</t>
  </si>
  <si>
    <t>src/app/api/shops/registration-draft/submit/route.ts</t>
  </si>
  <si>
    <t>/api/shops/registration-fee-quote</t>
  </si>
  <si>
    <t>src/app/api/shops/registration-fee-quote/route.ts</t>
  </si>
  <si>
    <t>/api/support-services/[id]/cancel</t>
  </si>
  <si>
    <t>src/app/api/support-services/[id]/cancel/route.ts</t>
  </si>
  <si>
    <t>/api/support-services/[id]/pay</t>
  </si>
  <si>
    <t>src/app/api/support-services/[id]/pay/route.ts</t>
  </si>
  <si>
    <t>/api/support-services/quote</t>
  </si>
  <si>
    <t>src/app/api/support-services/quote/route.ts</t>
  </si>
  <si>
    <t>/api/support-services</t>
  </si>
  <si>
    <t>src/app/api/support-services/route.ts</t>
  </si>
  <si>
    <t>/dealer/apply</t>
  </si>
  <si>
    <t>src/app/dealer/apply/page.tsx</t>
  </si>
  <si>
    <t>/dealer</t>
  </si>
  <si>
    <t>src/app/dealer/page.tsx</t>
  </si>
  <si>
    <t>/shop/registration-fee</t>
  </si>
  <si>
    <t>src/app/shop/registration-fee/page.tsx</t>
  </si>
  <si>
    <t>/shop/support-services</t>
  </si>
  <si>
    <t>src/app/shop/support-services/page.tsx</t>
  </si>
  <si>
    <t>What is not yet on production - 29 Oct 2026 (from GOKESARI_PENDING_FOR_PRODUCTION_2026-10-29.md, updated from git)</t>
  </si>
  <si>
    <t>Production (main) is at 4585627 (#287, Release 29 Oct (6)), merged 29 Oct 14:00 UTC. Staging is ahead of production by docs only (#288, #289). Its post-deploy check result could not be read from this session.</t>
  </si>
  <si>
    <t>A. Releases since the 25 Oct report (production, newest first)</t>
  </si>
  <si>
    <t>Merged (IST)</t>
  </si>
  <si>
    <t>PR</t>
  </si>
  <si>
    <t>Commit</t>
  </si>
  <si>
    <t>What</t>
  </si>
  <si>
    <t>29 Oct 19:30</t>
  </si>
  <si>
    <t>#287</t>
  </si>
  <si>
    <t>4585627</t>
  </si>
  <si>
    <t>Release 29 Oct (6): shop documents D-107 / D-108 fixes, staging QA results</t>
  </si>
  <si>
    <t>29 Oct 18:25</t>
  </si>
  <si>
    <t>84c2279</t>
  </si>
  <si>
    <t>Release 29 Oct (5): dealer base commission, verification follow-ups, wizard GST/PAN flag, cron single-run, QA tests</t>
  </si>
  <si>
    <t>29 Oct 15:58</t>
  </si>
  <si>
    <t>01d0d26</t>
  </si>
  <si>
    <t>Release: home page database reads run together; logo link no longer prefetches home</t>
  </si>
  <si>
    <t>29 Oct 15:35</t>
  </si>
  <si>
    <t>6f161fa</t>
  </si>
  <si>
    <t>Release 29 Oct (4): dealer monthly payout; migrations only in GitHub Actions</t>
  </si>
  <si>
    <t>29 Oct 13:12</t>
  </si>
  <si>
    <t>88d288b</t>
  </si>
  <si>
    <t>Release 29 Oct (3): shop documents before the fee + 1st/15th follow-up, wizard behind its flag, dealers across India</t>
  </si>
  <si>
    <t>29 Oct 11:58</t>
  </si>
  <si>
    <t>381e2a2</t>
  </si>
  <si>
    <t>Release: a waived registration fee earns the dealer no commission</t>
  </si>
  <si>
    <t>29 Oct 07:55</t>
  </si>
  <si>
    <t>8219c82</t>
  </si>
  <si>
    <t>Release 29 Oct: shop documents scan + more licences, onboarding wizard step 2</t>
  </si>
  <si>
    <t>28 Oct 23:27</t>
  </si>
  <si>
    <t>direct merge</t>
  </si>
  <si>
    <t>8d6ef40</t>
  </si>
  <si>
    <t>Release 28 Oct (2): payment follow-up fix, fee record/waive, dealer commission holds, dealer docs.</t>
  </si>
  <si>
    <t>28 Oct 22:50</t>
  </si>
  <si>
    <t>87372c0</t>
  </si>
  <si>
    <t>Release 28 Oct: staging to main (registration fee, dealer programme 1–9, approval queue, onboarding wizard step 1)</t>
  </si>
  <si>
    <t>27 Oct 23:42</t>
  </si>
  <si>
    <t>f7c0032</t>
  </si>
  <si>
    <t>Release 27 Oct: staging to main (product cards, search, shop types, D-95, GAP fixes)</t>
  </si>
  <si>
    <t>B. On staging, not on production</t>
  </si>
  <si>
    <t>Item</t>
  </si>
  <si>
    <t>Commit / PR</t>
  </si>
  <si>
    <t>State</t>
  </si>
  <si>
    <t>Docs: D-108 retest passed; pending-for-production list after #285</t>
  </si>
  <si>
    <t>6eef5ac (#288), eb2f628 (#289)</t>
  </si>
  <si>
    <t>Docs only - goes with the next release</t>
  </si>
  <si>
    <t>C. Open defects and gaps</t>
  </si>
  <si>
    <t>Impact</t>
  </si>
  <si>
    <t>State / fix</t>
  </si>
  <si>
    <t>D-106</t>
  </si>
  <si>
    <t>Wizard GSTIN / PAN step routes answered a signed-in non-admin while the flag was off</t>
  </si>
  <si>
    <t>Paid government lookups reachable without the wizard</t>
  </si>
  <si>
    <t>Fixed and released in #285; on gokesari.com a guest gets 401 from both routes</t>
  </si>
  <si>
    <t>D-107</t>
  </si>
  <si>
    <t>Shop documents follow-up (staging QA SD-03w / SD-07)</t>
  </si>
  <si>
    <t>Fixed (ea20441), released #287</t>
  </si>
  <si>
    <t>D-108</t>
  </si>
  <si>
    <t>Operator approval card did not name the promised date</t>
  </si>
  <si>
    <t>Fixed (63ccd62, #286), retest passed, released #287</t>
  </si>
  <si>
    <t>E-04</t>
  </si>
  <si>
    <t>Staging registration-fee checkout uses the in-process SANDBOX gateway, not the Cashfree sandbox</t>
  </si>
  <si>
    <t>Cashfree sandbox workflow not usable for fee tests</t>
  </si>
  <si>
    <t>Resolved by owner decision 29 Oct: pay on the built-in test page</t>
  </si>
  <si>
    <t>3 staging shops have a verified PAN not yet copied onto the shop row</t>
  </si>
  <si>
    <t>Shop GST/PAN card shows PAN "Not verified" until the next check</t>
  </si>
  <si>
    <t>Owner: one-time catch-up script, if wanted (Blockers #77)</t>
  </si>
  <si>
    <t>D. Built and on production, switched off (feature flags)</t>
  </si>
  <si>
    <t>Dealer application and portal, codes, attribution, commission, analytics, all-India add dealer</t>
  </si>
  <si>
    <t>Instant shop approval on GST/PAN verification + online fee</t>
  </si>
  <si>
    <t>Rating bonus on dealer commission</t>
  </si>
  <si>
    <t>Paid Support services page for shops</t>
  </si>
  <si>
    <t>The new shop onboarding wizard</t>
  </si>
  <si>
    <t>E. Branches deleted (owner, 29 Oct)</t>
  </si>
  <si>
    <t>Branch</t>
  </si>
  <si>
    <t>Last commit (restore: git push origin &lt;sha&gt;:refs/heads/&lt;branch&gt;)</t>
  </si>
  <si>
    <t>release/2026-10-29-waived-fee</t>
  </si>
  <si>
    <t>6475bdde5defa8847e1899c8a6ce18d23b65f735 (already on production as f2756b6)</t>
  </si>
  <si>
    <t>claude/festive-ride-udspyl</t>
  </si>
  <si>
    <t>d83c91fa7ffc8497111f3a7ada0f3f2ce5adb9e0 ("Driving Simulator" placeholder page, 25 Oct)</t>
  </si>
  <si>
    <t>Speed and database location - 28-29 Oct 2026 (from the performance diagnosis, performance report and region move plan)</t>
  </si>
  <si>
    <t>1. Measured response times (gokesari.com)</t>
  </si>
  <si>
    <t>28 Oct - database in Ohio</t>
  </si>
  <si>
    <t>29 Oct 09:40 - Singapore</t>
  </si>
  <si>
    <t>29 Oct 10:35 - after #282</t>
  </si>
  <si>
    <t>Target after P1/P2</t>
  </si>
  <si>
    <t>/ home (signed out)</t>
  </si>
  <si>
    <t>1.8-2.1 s</t>
  </si>
  <si>
    <t>0.42-0.52 s</t>
  </si>
  <si>
    <t>0.33-0.46 s (median 0.34 s)</t>
  </si>
  <si>
    <t>~0.20 s; ~0.05-0.10 s with P2</t>
  </si>
  <si>
    <t>/products/&lt;id&gt; product</t>
  </si>
  <si>
    <t>0.67-0.91 s</t>
  </si>
  <si>
    <t>unchanged</t>
  </si>
  <si>
    <t>~0.25 s</t>
  </si>
  <si>
    <t>/shops/&lt;slug&gt; shop</t>
  </si>
  <si>
    <t>0.57 s</t>
  </si>
  <si>
    <t>/shops list</t>
  </si>
  <si>
    <t>0.18-0.26 s</t>
  </si>
  <si>
    <t>/about, /contact, /categories</t>
  </si>
  <si>
    <t>0.05-0.06 s</t>
  </si>
  <si>
    <t>~40 ms from the CDN (P4)</t>
  </si>
  <si>
    <t>First request after idle</t>
  </si>
  <si>
    <t>~4 s</t>
  </si>
  <si>
    <t>2.5 s</t>
  </si>
  <si>
    <t>Needs Neon scale-to-zero off (P5)</t>
  </si>
  <si>
    <t>Approve a seller document</t>
  </si>
  <si>
    <t>5-15 s</t>
  </si>
  <si>
    <t>~2-4 s expected</t>
  </si>
  <si>
    <t>Replies once saved (ede4260)</t>
  </si>
  <si>
    <t>2. Recommendations and status</t>
  </si>
  <si>
    <t>Recommendation</t>
  </si>
  <si>
    <t>Note</t>
  </si>
  <si>
    <t>P1 home</t>
  </si>
  <si>
    <t>Run independent home-page reads together</t>
  </si>
  <si>
    <t>Released #282, 29 Oct</t>
  </si>
  <si>
    <t>P1 product / shop</t>
  </si>
  <si>
    <t>Product and shop page reads together; cache() the shop read</t>
  </si>
  <si>
    <t>Cache data shared by everyone (30-120 s)</t>
  </si>
  <si>
    <t>Keep stock and price live</t>
  </si>
  <si>
    <t>P3</t>
  </si>
  <si>
    <t>Stop the home page prefetching itself</t>
  </si>
  <si>
    <t>Logo link; 7-9 other links still prefetch</t>
  </si>
  <si>
    <t>Let the CDN cache static pages</t>
  </si>
  <si>
    <t>gk_return_to cookie only where needed</t>
  </si>
  <si>
    <t>P5</t>
  </si>
  <si>
    <t>Remove the cold first request</t>
  </si>
  <si>
    <t>Neon free plan: owner billing decision</t>
  </si>
  <si>
    <t>P6</t>
  </si>
  <si>
    <t>Smaller wins (logo, JS, CDN MISS, session cache)</t>
  </si>
  <si>
    <t>P7</t>
  </si>
  <si>
    <t>App and database in the same place</t>
  </si>
  <si>
    <t>Owner hosting decision</t>
  </si>
  <si>
    <t>Diag. 2</t>
  </si>
  <si>
    <t>Take follow-up work out of the approval request</t>
  </si>
  <si>
    <t>ede4260 (#268)</t>
  </si>
  <si>
    <t>Diag. 4</t>
  </si>
  <si>
    <t>pg_stat_statements on production</t>
  </si>
  <si>
    <t>Installed in the Singapore projects</t>
  </si>
  <si>
    <t>3. Database region move (Ohio -&gt; Neon Singapore aws-ap-southeast-1)</t>
  </si>
  <si>
    <t>Site</t>
  </si>
  <si>
    <t>Project</t>
  </si>
  <si>
    <t>Freeze (UTC)</t>
  </si>
  <si>
    <t>Writes opened (UTC)</t>
  </si>
  <si>
    <t>Read-only window</t>
  </si>
  <si>
    <t>Compare result</t>
  </si>
  <si>
    <t>test.gokesari.com</t>
  </si>
  <si>
    <t>GoKesari-test-sg (curly-night-16641982)</t>
  </si>
  <si>
    <t>28 Oct 10:43:53</t>
  </si>
  <si>
    <t>28 Oct 12:14:09</t>
  </si>
  <si>
    <t>1 h 30 min</t>
  </si>
  <si>
    <t>All five databases identical</t>
  </si>
  <si>
    <t>gokesari.com</t>
  </si>
  <si>
    <t>GoKesari-prod-sg (lively-frost-99365966)</t>
  </si>
  <si>
    <t>28 Oct 12:50:33</t>
  </si>
  <si>
    <t>28 Oct 13:23:28</t>
  </si>
  <si>
    <t>32 min 55 s</t>
  </si>
  <si>
    <t>All three databases identical</t>
  </si>
  <si>
    <t>4. Open items after the move</t>
  </si>
  <si>
    <t>Who</t>
  </si>
  <si>
    <t>Blocker #</t>
  </si>
  <si>
    <t>Run "Production database -&gt; verify" once on main</t>
  </si>
  <si>
    <t>Check the every-minute / hourly / daily jobs run on both sites</t>
  </si>
  <si>
    <t>Owner + session</t>
  </si>
  <si>
    <t>#4</t>
  </si>
  <si>
    <t>Neon plan for production (scale-to-zero)</t>
  </si>
  <si>
    <t>Owner (billing)</t>
  </si>
  <si>
    <t>#72</t>
  </si>
  <si>
    <t>Delete old Ohio projects: test after 4 Nov, production after 11 Nov</t>
  </si>
  <si>
    <t>Owner, then a session</t>
  </si>
  <si>
    <t>#75</t>
  </si>
  <si>
    <t>Keep a copy of the backup dumps</t>
  </si>
  <si>
    <t>What is needed</t>
  </si>
  <si>
    <t>Unblocks (feature IDs)</t>
  </si>
  <si>
    <t>Source</t>
  </si>
  <si>
    <t>Release blocker</t>
  </si>
  <si>
    <t>Production database is behind (0055) - next release cannot ship</t>
  </si>
  <si>
    <t>Resolved 9 Oct: the owner set MIGRATE_ON_BUILD=true for gokesari.com and the #120 deploy applied migrations 0056-0073 before the new code went live (Neon snapshot taken first).</t>
  </si>
  <si>
    <t>NEW-020-026, NEW-028-042, PLT-007</t>
  </si>
  <si>
    <t>Resolved</t>
  </si>
  <si>
    <t>PR #86, #87; ITEMS_A_E_2026-10-07.md section 3a</t>
  </si>
  <si>
    <t>'Production database' workflow is only on staging</t>
  </si>
  <si>
    <t>Resolved 9 Oct: #118 put the workflow on main. Running it still needs repository secrets - see #32.</t>
  </si>
  <si>
    <t>PLT-009 (and the release blocker above)</t>
  </si>
  <si>
    <t>Owner / dev</t>
  </si>
  <si>
    <t>PR #93; docs/event-driven-2026-10/PROD_DB.md</t>
  </si>
  <si>
    <t>Go-live blocker</t>
  </si>
  <si>
    <t>No recorded browser / QA sign-off</t>
  </si>
  <si>
    <t>Execute the 791-case plan and record results. 24 Oct: automated (QA-010) and run on local, staging and production (guest); register in docs/testing/GOKESARI_MASTER_TEST_REGISTER.xlsx. Remaining: 8 open defects and the test-side follow-ups.</t>
  </si>
  <si>
    <t>QA-003; QA-005; go-live</t>
  </si>
  <si>
    <t>QA / owner</t>
  </si>
  <si>
    <t>In progress</t>
  </si>
  <si>
    <t>6 Oct report; TEST_SUMMARY_AND_STATUS.md</t>
  </si>
  <si>
    <t>Production cron jobs</t>
  </si>
  <si>
    <t>Schedule seller-verification, dispute-escalation, shop-acceptance, delivery-dispatch and notifications on gokesari.com. 28 Oct: database counters showed almost no every-minute runs (production 0 in ~15 min, test 2 in ~1 h). New daily jobs since 25 Oct: dealer-monthly-payout, shop-document-follow-up. Check the Hostinger cron list and the [cron:every-minute] log lines.</t>
  </si>
  <si>
    <t>GS-007, GS-058, NEW-007, NEW-028</t>
  </si>
  <si>
    <t>Open</t>
  </si>
  <si>
    <t>DEPLOY_RUNBOOK.md; ITEMS_A_E section 3a.7</t>
  </si>
  <si>
    <t>Decision</t>
  </si>
  <si>
    <t>Per-order online payment (GS-028 / NEW-007)</t>
  </si>
  <si>
    <t>Resolved 18 Oct: per-order online payment built (#190, released #194) on the sandbox; going live needs the gateway keys (Owner inputs §1-2).</t>
  </si>
  <si>
    <t>GS-028, GS-073, SM-005, WF-001, NAV-003, NEW-007</t>
  </si>
  <si>
    <t>6 Oct report</t>
  </si>
  <si>
    <t>Vendor</t>
  </si>
  <si>
    <t>D2 - SMS / OTP vendor (DLT) and WhatsApp provider</t>
  </si>
  <si>
    <t>Resolved 18 Oct (D-A02): email is the OTP channel; SMS stays a Phase-2 stub. WhatsApp / push providers: keys in Owner inputs §11.</t>
  </si>
  <si>
    <t>GS-001, GS-074, NEW-035 (SMS code), NEW-038</t>
  </si>
  <si>
    <t>6 Oct report; three-modules PLAN.md P2</t>
  </si>
  <si>
    <t>D7 - licensed external price source</t>
  </si>
  <si>
    <t>Resolved 18 Oct (D-A03): online reference prices dropped by owner decision (GS-023 DROPPED).</t>
  </si>
  <si>
    <t>D10 - cancellation after packing</t>
  </si>
  <si>
    <t>Resolved 18 Oct: D10 signed off and built - after-packing per-shop fee within admin limits (F6.1.3).</t>
  </si>
  <si>
    <t>NEW-006 sign-off, NEW-020</t>
  </si>
  <si>
    <t>ITEMS_A_E section 1-A</t>
  </si>
  <si>
    <t>D6 - delivery fee kept on cancellation; platform invoicing of its own fees</t>
  </si>
  <si>
    <t>Resolved 18 Oct: GoKesari fee invoices built (F10.2.5, sandbox); needs GoKesari GSTIN, legal details and prefix (Owner inputs §4-5).</t>
  </si>
  <si>
    <t>Owner / CA</t>
  </si>
  <si>
    <t>3 Oct open features; ITEMS_A_E section 5</t>
  </si>
  <si>
    <t>RBAC-003 - operator 'Limited' shop management</t>
  </si>
  <si>
    <t>Resolved 18 Oct: OPERATOR_LIMITED role built (F8.4.2).</t>
  </si>
  <si>
    <t>SM-006 scope</t>
  </si>
  <si>
    <t>Resolved 18 Oct: ticket / issue state machine built with the help desk (F6.3.3).</t>
  </si>
  <si>
    <t>ITEMS_A_E section 5</t>
  </si>
  <si>
    <t>Which off-by-default features to switch on in production</t>
  </si>
  <si>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 29 Oct: five more flags built and off on gokesari.com: dealer_programme_enabled, gov_verification_auto_approval_enabled, dealer_rating_bonus_enabled, paid_support_services_enabled, shop_onboarding_wizard_enabled (switch on for all India, states or districts in Admin &gt; Feature flags).</t>
  </si>
  <si>
    <t>GS-014, GS-027, GS-033, GS-054, GS-072, GA-005, NAV-001, NAV-002, NAV-003, NEW-007</t>
  </si>
  <si>
    <t>Pending</t>
  </si>
  <si>
    <t>Event-layer decisions to confirm</t>
  </si>
  <si>
    <t>Dispatch starts at READY; customer not told when a rider declines; shops propose resolutions only after triage; auto-approved shops classified GREEN; 'support' = operators + admins.</t>
  </si>
  <si>
    <t>NEW-028, NEW-030, NEW-031</t>
  </si>
  <si>
    <t>Pending confirmation</t>
  </si>
  <si>
    <t>docs/event-driven-2026-10/README.md</t>
  </si>
  <si>
    <t>Gridlines live keys (seller verification)</t>
  </si>
  <si>
    <t>Sandbox then live keys; confirm FSSAI / GSTIN fields, Shop Act coverage, IP whitelist, retention and DPA. Production shows verification as paused until then.</t>
  </si>
  <si>
    <t>GS-007 automatic checks</t>
  </si>
  <si>
    <t>docs/seller-verification/DEPLOY.md</t>
  </si>
  <si>
    <t>Legal / CA</t>
  </si>
  <si>
    <t>CA check of GST rates, HSN codes and invoice wording</t>
  </si>
  <si>
    <t>Run scripts/gst-hsn-report.sql and have a CA confirm rates, HSN codes, bill-of-supply wording and numbering before invoicing is used for filing. Update 15 Oct: also covers the GST liability, set-off and invoice figures in Inventory &amp; Accounting (NEW-067, on test). Since 19 Oct the rates can be entered in the app (/admin/product-gst, NEW-068).</t>
  </si>
  <si>
    <t>NEW-007 (invoicing), NEW-027, NEW-068</t>
  </si>
  <si>
    <t>Seller-verification retention and Shop Act needs</t>
  </si>
  <si>
    <t>Lawyer/CA to confirm the retention period after closure (default 1,095 days) and Shop Act needs for non-MH / home sellers.</t>
  </si>
  <si>
    <t>GS-007 compliance</t>
  </si>
  <si>
    <t>Owner / lawyer</t>
  </si>
  <si>
    <t>docs/seller-verification/COMPLIANCE.md</t>
  </si>
  <si>
    <t>Holding shops' prepaid money</t>
  </si>
  <si>
    <t>Legal review of the shop prepaid wallet; at least a seller-terms clause.</t>
  </si>
  <si>
    <t>docs/shop-wallet-delivery-otp-2026-10/README.md section 6</t>
  </si>
  <si>
    <t>Owner inputs</t>
  </si>
  <si>
    <t>Inputs for PR #92 modules 2 and 3</t>
  </si>
  <si>
    <t>Modules 2 and 3 are on gokesari.com since #120 (module 2 on mock providers, module 3 switched off). Inputs P1-P6 are needed before using them for real.</t>
  </si>
  <si>
    <t>NEW-037, NEW-038</t>
  </si>
  <si>
    <t>docs/three-modules-2026-10/PLAN.md</t>
  </si>
  <si>
    <t>Agreement</t>
  </si>
  <si>
    <t>GS1 India and brand permissions</t>
  </si>
  <si>
    <t>Agreement / written permission and a real sample file for each source; then go-ahead for large-scale ingestion.</t>
  </si>
  <si>
    <t>PMD-002, PMD-006</t>
  </si>
  <si>
    <t>PR housekeeping</t>
  </si>
  <si>
    <t>PR #92 migration number clash</t>
  </si>
  <si>
    <t>Resolved 8 Oct: #92 renumbered its migrations to 0065-0068 (after staging's 0061-0064); drizzle-kit reports no drift.</t>
  </si>
  <si>
    <t>PR #92 branch vs staging</t>
  </si>
  <si>
    <t>PR #99 open</t>
  </si>
  <si>
    <t>Resolved: #99 merged into staging 8 Oct 18:09 UTC.</t>
  </si>
  <si>
    <t>NEW-033 testing</t>
  </si>
  <si>
    <t>PR #99</t>
  </si>
  <si>
    <t>Release step</t>
  </si>
  <si>
    <t>Purge CDN cache for /api/images/* after releasing C5</t>
  </si>
  <si>
    <t>Release #120 is out: purge the CDN cache for /api/images/* now (rider photos used to be cached publicly).</t>
  </si>
  <si>
    <t>At release</t>
  </si>
  <si>
    <t>ITEMS_A_E section 3</t>
  </si>
  <si>
    <t>PR #92 ready for review</t>
  </si>
  <si>
    <t>Resolved: #92 merged into staging 9 Oct 08:34 UTC and released in #120.</t>
  </si>
  <si>
    <t>NEW-036, NEW-037, NEW-038</t>
  </si>
  <si>
    <t>PR #92</t>
  </si>
  <si>
    <t>Cashfree live keys and Refunds API</t>
  </si>
  <si>
    <t>Set CASHFREE_APP_ID / CASHFREE_SECRET_KEY / CASHFREE_ENV=production and confirm the Refunds API is enabled - the Rs 1 bank-account check refunds every payment.</t>
  </si>
  <si>
    <t>docs/four-features-2026-10/README.md section 5</t>
  </si>
  <si>
    <t>Email sending capacity</t>
  </si>
  <si>
    <t>The test site hit the mail host's hourly cap (451). Raise the limit or use a transactional email service before go-live; check SPF/DKIM for gokesari.com.</t>
  </si>
  <si>
    <t>GAP-009, GS-055, NEW-039-042</t>
  </si>
  <si>
    <t>TEST_RESULTS.md (S-5)</t>
  </si>
  <si>
    <t>referrals@gokesari.com and referral codes</t>
  </si>
  <si>
    <t>Create the mailbox and confirm mail arrives (not readable from the test run); decide who else gets requests (shopReferral.notifyEmails); create referral codes before switching shopReferral.required on.</t>
  </si>
  <si>
    <t>README sections 5-6</t>
  </si>
  <si>
    <t>Four-features decisions</t>
  </si>
  <si>
    <t>Resolved 9 Oct: the owner decided (O-1 to O-8); built in #106, #109, #110, #111, #115, #117 and released switched off in #120.</t>
  </si>
  <si>
    <t>NEW-039, NEW-040, NEW-041, NEW-042</t>
  </si>
  <si>
    <t>docs/four-features-2026-10/README.md section 6</t>
  </si>
  <si>
    <t>Tell shop owners before switching legalDocuments on</t>
  </si>
  <si>
    <t>Shops without the required licence get 15 days; announce it before switching the rule on in production.</t>
  </si>
  <si>
    <t>README section 5 item 7</t>
  </si>
  <si>
    <t>Accounts</t>
  </si>
  <si>
    <t>App store publishing</t>
  </si>
  <si>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</si>
  <si>
    <t>NEW-043, NEW-044</t>
  </si>
  <si>
    <t>On hold</t>
  </si>
  <si>
    <t>mobile/README.md</t>
  </si>
  <si>
    <t>CI</t>
  </si>
  <si>
    <t>Staging CI red on 76e2cc5</t>
  </si>
  <si>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</si>
  <si>
    <t>Actions run 37855030692</t>
  </si>
  <si>
    <t>Defect</t>
  </si>
  <si>
    <t>Map 'Confirm location' 500 (test and production)</t>
  </si>
  <si>
    <t>Resolved 25 Oct: the owner changed the GOOGLE_MAPS_SERVER_API_KEY restriction (was HTTP referrer, which Google refuses for server calls) and Confirm location works again. Log check: test succeeded from 14 Oct; production was still failing on 21 Oct.</t>
  </si>
  <si>
    <t>TEST_RESULTS.md</t>
  </si>
  <si>
    <t>Release step / access</t>
  </si>
  <si>
    <t>Production database workflow has no repository secrets</t>
  </si>
  <si>
    <t>Resolved 19 Oct: PROD_DATABASE_HOST / NAME set on the production environment; Production database verify passed (run 39211030047, #197).</t>
  </si>
  <si>
    <t>Actions run 37937847750 (9 Oct 13:34 UTC)</t>
  </si>
  <si>
    <t>Rotate database passwords before go-live</t>
  </si>
  <si>
    <t>Urgent: the production Neon neondb_owner password was posted in a chat on 12 Oct - reset it now and update DATABASE_URL in hPanel (and the GitHub secrets). Rotate the other database passwords before go-live as planned.</t>
  </si>
  <si>
    <t>Go-live</t>
  </si>
  <si>
    <t>Owner, 9 Oct</t>
  </si>
  <si>
    <t>Tile Board: build the four entries that have no feature behind them?</t>
  </si>
  <si>
    <t>Customer Favourites, App theme, Call rider (rider number is not shown to customers today); shop owner Theme. The board shows the nearest real page in their place.</t>
  </si>
  <si>
    <t>docs/tile-board-2026-10/README.md</t>
  </si>
  <si>
    <t>Performance / hosting</t>
  </si>
  <si>
    <t>Slow signed-in pages and cold first visits</t>
  </si>
  <si>
    <t>Partly resolved 28 Oct: both databases moved to Neon Singapore (home page 1.8-2.1 s -&gt; 0.34 s median). Still open: the cold start after ~5 idle minutes (Blockers #72) and P7 (Blockers #80).</t>
  </si>
  <si>
    <t>GAP-010; PLT-013</t>
  </si>
  <si>
    <t>Partly resolved</t>
  </si>
  <si>
    <t>Turn on prepared statements (DATABASE_PREPARED_STATEMENTS=on)</t>
  </si>
  <si>
    <t>Set it for test.gokesari.com, check signed-in pages and that Neon's pooled host accepts prepared statements, then set it for gokesari.com.</t>
  </si>
  <si>
    <t>Commit 98cb8e7 (PR #124)</t>
  </si>
  <si>
    <t>Access / tooling</t>
  </si>
  <si>
    <t>GitHub Actions stopped starting jobs (billing / spending limit)</t>
  </si>
  <si>
    <t>Resolved: jobs started again 10 Oct 11:48 UTC; CI green on PR #132 (12:09 UTC) and on every release since (#135-#163); nightly Test database backup ran 13 Oct 23:54 UTC. #134 cuts minutes used.</t>
  </si>
  <si>
    <t>PLT-003; PLT-008; PLT-011; QA-005</t>
  </si>
  <si>
    <t>Actions runs 37973592123, 38008566333, 38016672801</t>
  </si>
  <si>
    <t>Translate the body of inner pages into Hindi / Marathi?</t>
  </si>
  <si>
    <t>Boards, header, menus, tabs and error screens are translated; forms, tables and policy pages are English. Thousands of strings; needs a native-speaker review.</t>
  </si>
  <si>
    <t>GAP-015; NEW-047</t>
  </si>
  <si>
    <t>Delete the downloaded copy-shops SQL files</t>
  </si>
  <si>
    <t>copy-shops-1-PREVIEW.sql / copy-shops-2-APPLY.sql hold the 5 owners' contact details - delete every downloaded copy.</t>
  </si>
  <si>
    <t>docs/copy-shops-2026-10/README.md</t>
  </si>
  <si>
    <t>Copied shops: sign-in, legal documents, two shops without location</t>
  </si>
  <si>
    <t>The 5 copied owners sign in on gokesari.com and upload their legal documents; add map locations for the 2 original production shops (Asmy super market x2) so Nearby can list them.</t>
  </si>
  <si>
    <t>PLT-018, NEW-057, NEW-040</t>
  </si>
  <si>
    <t>copy-shops README; nearby TEST_RESULTS</t>
  </si>
  <si>
    <t>Document auto-read engine</t>
  </si>
  <si>
    <t>Resolved 15 Oct: #169 reads the photo in the owner's browser (no document leaves the device to be read); released to gokesari.com (#175 / #177) and verified on test and production. No decision on Claude for KYC documents is needed. Before: the local OCR worker did not start on Hostinger.</t>
  </si>
  <si>
    <t>docs/document-upload-2026-10/TEST_RESULTS.md</t>
  </si>
  <si>
    <t>Production database split - check the split secrets</t>
  </si>
  <si>
    <t>Resolved 20 Oct: owner approved; test switched 19 Oct 21:44 UTC and production 20 Oct 00:39 UTC (Database split runs 29, 31); both sites run two databases (switch-status 05:46 UTC). Before: Go-ahead and a window for the seller / customer split cut-over (DB_SPLIT_MODE) plus Neon logical replication - runbook docs/db-split-2026-10/CUTOVER_2026-10-18.md (Owner inputs §13).</t>
  </si>
  <si>
    <t>Actions 'Database split' runs 7-19</t>
  </si>
  <si>
    <t>Record browser runs for Seller Central and the saffron wordmark</t>
  </si>
  <si>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</si>
  <si>
    <t>NEW-060, NEW-064</t>
  </si>
  <si>
    <t>QA / dev</t>
  </si>
  <si>
    <t>seller-central TEST_RESULTS; 13 Oct status sheet</t>
  </si>
  <si>
    <t>Production order-lifecycle run (real payment)</t>
  </si>
  <si>
    <t>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</si>
  <si>
    <t>Inventory &amp; Accounting - before release</t>
  </si>
  <si>
    <t>Done 15 Oct: staging run recorded (TESTING_REPORT.md), ~40 s load fixed (#172), released by #179. Still open as separate rows: AI bill reading decision, GSP, CA check (#15).</t>
  </si>
  <si>
    <t>Dev / Owner</t>
  </si>
  <si>
    <t>docs/inventory-accounting-2026-10/README.md</t>
  </si>
  <si>
    <t>Release staging to production (#168, #169, #171)</t>
  </si>
  <si>
    <t>Released: #168 and #169 via #175 / #177; #171, #172 (and #173, #174) via #179 on 15 Oct.</t>
  </si>
  <si>
    <t>NEW-066, NEW-062, NEW-067</t>
  </si>
  <si>
    <t>git log main..staging</t>
  </si>
  <si>
    <t>Bulk product upload: production checks signed in</t>
  </si>
  <si>
    <t>Resolved 19 Oct: signed-in production smoke with a test shop 4/4 pass (#191); clean-up passed (#199).</t>
  </si>
  <si>
    <t>BPU-16</t>
  </si>
  <si>
    <t>docs/product-import-2026-10/README.md</t>
  </si>
  <si>
    <t>Bulk upload: MRP in the file</t>
  </si>
  <si>
    <t>Stored as the listing MRP (shop_listing_details.mrp_paise); master MRP unchanged; price above it not applied</t>
  </si>
  <si>
    <t>BPU-03</t>
  </si>
  <si>
    <t>Dev (recorded)</t>
  </si>
  <si>
    <t>Decided</t>
  </si>
  <si>
    <t>Bulk upload: uncategorised products</t>
  </si>
  <si>
    <t>Go to the system category General</t>
  </si>
  <si>
    <t>BPU-04</t>
  </si>
  <si>
    <t>Bulk upload: mobile store builds</t>
  </si>
  <si>
    <t>EAS / Expo account and Apple Developer account for the AAB and the iPhone build</t>
  </si>
  <si>
    <t>BPU-10, BPU-11</t>
  </si>
  <si>
    <t>Owner action</t>
  </si>
  <si>
    <t>Inventory &amp; Accounting: INTEGRATION_ENCRYPTION_KEY value</t>
  </si>
  <si>
    <t>The variable is set on test and production but is not base64 of 32 bytes (test reports encryption not configured; GST link answers 500). Set `openssl rand -base64 32` (a different value per site) in Hostinger and redeploy.</t>
  </si>
  <si>
    <t>IA-056, IA-020, IA-048, NEW-037</t>
  </si>
  <si>
    <t>docs/inventory-accounting-2026-10/TESTING_REPORT.md</t>
  </si>
  <si>
    <t>Decision / vendor</t>
  </si>
  <si>
    <t>Inventory &amp; Accounting: licensed GSP for GST returns</t>
  </si>
  <si>
    <t>Choose and contract a GSP (Masters India, ClearTax, IRIS, Tally GSP, Vayana) for live GSTR-2B/2A/1 pull; until then owners upload the file from gst.gov.in (works on production).</t>
  </si>
  <si>
    <t>IA-022, IA-023</t>
  </si>
  <si>
    <t>Inventory &amp; Accounting: AI reading of supplier bills</t>
  </si>
  <si>
    <t>Allow bills to be read by Claude (ANTHROPIC_API_KEY + INVOICE_EXTRACTION_PROVIDER=claude): needed for photos, handwriting, Hindi and Marathi. Without it: e-invoice, Excel, PDF text and typing.</t>
  </si>
  <si>
    <t>IA-034, IA-039</t>
  </si>
  <si>
    <t>Inventory &amp; Accounting: crons</t>
  </si>
  <si>
    <t>Schedule POST /api/cron/gst-reminders daily and /api/cron/bill-captures every 10 min (Bearer CRON_SECRET) on both sites.</t>
  </si>
  <si>
    <t>IA-027, IA-050</t>
  </si>
  <si>
    <t>Inventory &amp; Accounting: bill forwarding by email and S3 bucket</t>
  </si>
  <si>
    <t>Inbound mail provider (INBOUND_EMAIL_SECRET / _DOMAIN) for forwarding; S3-compatible bucket credentials (ACCOUNTS_S3_*) - bills stay in the database until then.</t>
  </si>
  <si>
    <t>IA-032, IA-049</t>
  </si>
  <si>
    <t>Flaky test: PMD parallel loader</t>
  </si>
  <si>
    <t>Resolved 16 Oct: #184 (each parallel worker scores only its own committed batch; shared products rescored at the end; reproduced 1 in 3 before, 15/15 after) released to gokesari.com by #185.</t>
  </si>
  <si>
    <t>Payment gateway live keys and webhook secrets</t>
  </si>
  <si>
    <t>PAYMENT_GATEWAY + Cashfree (or Razorpay / PhonePe) live keys; payment and payout webhook secrets</t>
  </si>
  <si>
    <t>GS-028, GS-073, SM-005, WF-001, NAV-003, NEW-007, GS-058</t>
  </si>
  <si>
    <t>docs/batch-2026-10/OWNER_INPUTS_NEEDED.md §1-2</t>
  </si>
  <si>
    <t>Payout account and keys</t>
  </si>
  <si>
    <t>RazorpayX / Cashfree payout account and keys for the 5-day shop payouts</t>
  </si>
  <si>
    <t>OWNER_INPUTS_NEEDED.md §3</t>
  </si>
  <si>
    <t>GoKesari GSTIN, legal details and invoice prefix</t>
  </si>
  <si>
    <t>For GoKesari fee invoices (F10.2.5)</t>
  </si>
  <si>
    <t>OWNER_INPUTS_NEEDED.md §4-5</t>
  </si>
  <si>
    <t>CA confirmation of TCS / TDS / SAC rates</t>
  </si>
  <si>
    <t>Rates looked up 18 Oct; CA must confirm before production use</t>
  </si>
  <si>
    <t>GAP-005, GAP-006</t>
  </si>
  <si>
    <t>OWNER_INPUTS_NEEDED.md §6; decision-log.md</t>
  </si>
  <si>
    <t>Grievance Officer details</t>
  </si>
  <si>
    <t>Name, contact and address to publish on the grievance portal (consumer protection rules)</t>
  </si>
  <si>
    <t>OWNER_INPUTS_NEEDED.md §7</t>
  </si>
  <si>
    <t>Deep links: Android signing fingerprint and Apple Team ID</t>
  </si>
  <si>
    <t>MOBILE_* values so gokesari.com links open the app</t>
  </si>
  <si>
    <t>OWNER_INPUTS_NEEDED.md §10</t>
  </si>
  <si>
    <t>Mobile push keys</t>
  </si>
  <si>
    <t>EAS project + FCM / APNs keys for real push notifications (app 1.2.0)</t>
  </si>
  <si>
    <t>GS-074, NEW-043</t>
  </si>
  <si>
    <t>OWNER_INPUTS_NEEDED.md §11</t>
  </si>
  <si>
    <t>Owner choice</t>
  </si>
  <si>
    <t>Switch on the new batch features in production</t>
  </si>
  <si>
    <t>Every batch feature is OFF on gokesari.com: online payments, broadcast offers, pickup QR (needs PICKUP_QR_SECRET), rider navigation, payouts, fee invoices, push</t>
  </si>
  <si>
    <t>GAP-001, GAP-002, GAP-004, GAP-005, GAP-006, GS-028</t>
  </si>
  <si>
    <t>OWNER_INPUTS_NEEDED.md §12</t>
  </si>
  <si>
    <t>Batch cron jobs on both sites</t>
  </si>
  <si>
    <t>payments-reconcile (5 min), auth-housekeeping, timeout-sweep, payouts and the other entries in crontab.txt</t>
  </si>
  <si>
    <t>GS-028, GAP-004, GAP-005</t>
  </si>
  <si>
    <t>docs/batch-2026-10/crontab.txt; OWNER_INPUTS_NEEDED.md §9</t>
  </si>
  <si>
    <t>Hostinger builds stopped (test from 19 Oct 16:17 UTC until #209, and 19 Oct 22:24 - 20 Oct 04:45 UTC; production after #219 on 20 Oct)</t>
  </si>
  <si>
    <t>Resolved: build worker cap (#209); seller database URL corrected on Hostinger and checked by migrations (#215, #218). 21 Oct check: both sites serve the latest releases (/admin/product-gst 307, /api/search/suggest 200).</t>
  </si>
  <si>
    <t>PLT-019, NEW-068, NEW-069</t>
  </si>
  <si>
    <t>PR #209, #215, #218; docs/homepage-uiux-2026-10/README.md</t>
  </si>
  <si>
    <t>iPhone app builds from GitHub</t>
  </si>
  <si>
    <t>Repository secret EXPO_TOKEN and the Expo project id in mobile/app.config.ts; the 'iPhone app' workflow failed on 18 Oct without them</t>
  </si>
  <si>
    <t>NEW-069 (app), GS-074</t>
  </si>
  <si>
    <t>mobile/README.md 'iPhone builds from GitHub'; PR #217</t>
  </si>
  <si>
    <t>Signed-in checks on the test and production sites</t>
  </si>
  <si>
    <t>Resolved 24 Oct: the owner allowed the QA session to read the GoKesari sign-in codes of the staging test accounts (Gmail, read only); the signed-in tier now runs on test.gokesari.com. Production stays guest-only.</t>
  </si>
  <si>
    <t>NEW-069, QA-003</t>
  </si>
  <si>
    <t>PR #217 (D-28)</t>
  </si>
  <si>
    <t>Enter GST rates and HSN codes for the live catalogue</t>
  </si>
  <si>
    <t>No product has a GST rate or HSN code, so tax invoices use the 0% default. Enter them at /admin/product-gst once the CA confirms (see #15).</t>
  </si>
  <si>
    <t>NEW-027, NEW-068, NEW-007</t>
  </si>
  <si>
    <t>src/app/admin/product-gst; Blockers #15</t>
  </si>
  <si>
    <t>Defects waiting on a business decision</t>
  </si>
  <si>
    <t>D-25 reversing a rewarded referral found fraudulent; D-57 approving riders with no identity documents; D-69 letting an owner close their shop</t>
  </si>
  <si>
    <t>docs/testing/qa-defects.json</t>
  </si>
  <si>
    <t>Hostinger PR preview builds migrate the target site's database</t>
  </si>
  <si>
    <t>Resolved 29 Oct by #276 (released #281): migrations run only in the GitHub workflows; Hostinger builds and PR previews no longer migrate.</t>
  </si>
  <si>
    <t>PLT-006, PLT-009</t>
  </si>
  <si>
    <t>D-99 in docs/testing/qa-defects.json</t>
  </si>
  <si>
    <t>Owner billing</t>
  </si>
  <si>
    <t>Neon plan for production</t>
  </si>
  <si>
    <t>The account is on the free plan (free_v3), so scale-to-zero cannot be switched off: the first visitor after ~5 idle minutes waits ~2.5 s. A keep-awake ping is not safe on the free plan (it can use up the monthly compute hours). Decide together with #4 (cron also keeps the database awake).</t>
  </si>
  <si>
    <t>NEW-102, GAP-010</t>
  </si>
  <si>
    <t>Proves the updated production secrets point at ep-calm-salad-ao1homrr (Singapore) / neondb.</t>
  </si>
  <si>
    <t>Owner (GitHub Actions)</t>
  </si>
  <si>
    <t>GOKESARI_DB_REGION_MOVE_PLAN_2026-10-28.md (open item 1)</t>
  </si>
  <si>
    <t>Test site database settings after the move</t>
  </si>
  <si>
    <t>TEST_DATABASE_HOST must name ep-hidden-star-b3k0l6ih (Singapore) so the "Test database" workflow guard passes. Not re-checked for this report: confirm with "Test database -&gt; verify".</t>
  </si>
  <si>
    <t>Check</t>
  </si>
  <si>
    <t>GOKESARI_DB_REGION_MOVE_PLAN_2026-10-28.md (section C)</t>
  </si>
  <si>
    <t>Delete the old Ohio Neon projects</t>
  </si>
  <si>
    <t>GoKesari-test (frozen) after 4 Nov 2026; GoKesari-prod (frozen) after 11 Nov 2026, on the owner's word. Keep a final dump of production first.</t>
  </si>
  <si>
    <t>Pending (dated)</t>
  </si>
  <si>
    <t>GOKESARI_DB_REGION_MOVE_PLAN_2026-10-28.md (open item 4)</t>
  </si>
  <si>
    <t>Switch on the dealer programme and onboarding flags on gokesari.com</t>
  </si>
  <si>
    <t>All five flags were released off. Staging: dealer_programme_enabled on for Karnataka + Pune; the other dealer flags for Pune. Production values could not be read from this session.</t>
  </si>
  <si>
    <t>GKS-*, NEW-091, NEW-092</t>
  </si>
  <si>
    <t>GOKESARI_PENDING_FOR_PRODUCTION_2026-10-29.md (D)</t>
  </si>
  <si>
    <t>One-time PAN catch-up for shops verified before 29 Oct</t>
  </si>
  <si>
    <t>3 staging shops have a verified PAN that is not yet copied onto the shop row (production not checked). A one-time script, if wanted.</t>
  </si>
  <si>
    <t>GOKESARI_PENDING_FOR_PRODUCTION_2026-10-29.md (C)</t>
  </si>
  <si>
    <t>Test environment</t>
  </si>
  <si>
    <t>E-04: staging registration-fee checkout uses the in-process SANDBOX gateway</t>
  </si>
  <si>
    <t>Resolved by owner decision 29 Oct: while test.gokesari.com runs PAYMENT_GATEWAY=SANDBOX, fee tests pay on the built-in test page (/orders/pay/sandbox/..., "Pay (success)").</t>
  </si>
  <si>
    <t>CLAUDE.md (Payment testing); #286</t>
  </si>
  <si>
    <t>Hosting</t>
  </si>
  <si>
    <t>Hostinger CDN reports MISS for /_next/static</t>
  </si>
  <si>
    <t>Files carry immutable, max-age=1y but repeat requests still MISS. Ask Hostinger support or check the hPanel CDN settings (~45 ms per file).</t>
  </si>
  <si>
    <t>Host the Node app next to the database (P7)</t>
  </si>
  <si>
    <t>Mumbai -&gt; Singapore costs ~60 ms per query. Hosting the app in Singapore would bring it to ~1-2 ms. Neon has no Mumbai region.</t>
  </si>
  <si>
    <t>Database backups from the move are only in a session scratchpad</t>
  </si>
  <si>
    <t>Copies of the old test (28 Oct 10:38) and production (backup-prod-20261028-1245) dumps: keep a copy in the owner's backups if wanted.</t>
  </si>
  <si>
    <t>Post-deploy check for release #287</t>
  </si>
  <si>
    <t>Release #287 merged into main 29 Oct 14:00 UTC. Its Post-deploy check result could not be read from this session (GitHub API unreachable). Confirm the run passed.</t>
  </si>
  <si>
    <t>Release #287</t>
  </si>
  <si>
    <t>CLAUDE.md (Production releases)</t>
  </si>
  <si>
    <t>PR #</t>
  </si>
  <si>
    <t>Title</t>
  </si>
  <si>
    <t>Branch (head -&gt; base)</t>
  </si>
  <si>
    <t>Target</t>
  </si>
  <si>
    <t>Created</t>
  </si>
  <si>
    <t>Merged / closed</t>
  </si>
  <si>
    <t>Features built / extended</t>
  </si>
  <si>
    <t>Features released to production</t>
  </si>
  <si>
    <t>Released to production via</t>
  </si>
  <si>
    <t>Notes</t>
  </si>
  <si>
    <t>1</t>
  </si>
  <si>
    <t>Add the Product Master Data Platform (pilot)</t>
  </si>
  <si>
    <t>feature/product-master-platform -&gt; main</t>
  </si>
  <si>
    <t>Production (main -&gt; gokesari.com)</t>
  </si>
  <si>
    <t>2026-09-20</t>
  </si>
  <si>
    <t>2026-09-21</t>
  </si>
  <si>
    <t>Superseded by #4 (closed unmerged).</t>
  </si>
  <si>
    <t>2</t>
  </si>
  <si>
    <t>Add GS1 India and manufacturer-catalogue connectors (Excel, mapping templates)</t>
  </si>
  <si>
    <t>feature/pmd-gs1-manufacturer-feeds -&gt; feature/product-master-platform</t>
  </si>
  <si>
    <t>Stacked on feature/product-master-platform</t>
  </si>
  <si>
    <t>Stacked on #1; superseded by #4.</t>
  </si>
  <si>
    <t>3</t>
  </si>
  <si>
    <t>PMD: loader rework for scale (bulk path, workers, dashboard/index fixes)</t>
  </si>
  <si>
    <t>feature/pmd-loader-rework -&gt; feature/product-master-platform</t>
  </si>
  <si>
    <t>4</t>
  </si>
  <si>
    <t>Product Master: platform, feeds, loader rework and shop-catalogue promotion (into staging)</t>
  </si>
  <si>
    <t>release/pmd-to-staging -&gt; staging</t>
  </si>
  <si>
    <t>Test site (staging -&gt; test.gokesari.com)</t>
  </si>
  <si>
    <t>GS-011, PMD-001, PMD-002, PMD-003, PMD-004</t>
  </si>
  <si>
    <t>Released by #8.</t>
  </si>
  <si>
    <t>5</t>
  </si>
  <si>
    <t>Product Master: one-command copy of the pilot data into a target database</t>
  </si>
  <si>
    <t>feature/pmd-copy-script -&gt; staging</t>
  </si>
  <si>
    <t>6</t>
  </si>
  <si>
    <t>Product Master: fix duplicate brand on concurrent promotion; parallel promotion option</t>
  </si>
  <si>
    <t>feature/pmd-promote-concurrency -&gt; staging</t>
  </si>
  <si>
    <t>7</t>
  </si>
  <si>
    <t>CI: checkout and setup-node v5 (Node 24)</t>
  </si>
  <si>
    <t>chore/ci-node24-actions -&gt; staging</t>
  </si>
  <si>
    <t>8</t>
  </si>
  <si>
    <t>Promote staging to main: Product Master platform (deploys live)</t>
  </si>
  <si>
    <t>staging -&gt; main</t>
  </si>
  <si>
    <t>GS-011, PMD-001, PMD-002, PMD-003, PMD-004, PLT-003</t>
  </si>
  <si>
    <t>Itself (merged to main)</t>
  </si>
  <si>
    <t>9</t>
  </si>
  <si>
    <t>Product Master: script to apply duplicate-review decisions</t>
  </si>
  <si>
    <t>feature/pmd-review-decide -&gt; staging</t>
  </si>
  <si>
    <t>Released by #12.</t>
  </si>
  <si>
    <t>10</t>
  </si>
  <si>
    <t>Phase 1 go-live development (for QA on staging)</t>
  </si>
  <si>
    <t>dev/phase1-go-live -&gt; staging</t>
  </si>
  <si>
    <t>2026-09-24</t>
  </si>
  <si>
    <t>2026-09-28</t>
  </si>
  <si>
    <t>GS-001, GS-002, GS-004, GS-010, GS-019, GS-020, GS-021, GS-022, GS-025, GS-031, GS-032, GS-034, GS-035, GS-036, GS-039, GS-041, GS-043, GS-055, GS-057, GS-061, GS-062, GS-064, GS-067, GS-070, GS-071, WF-001, WF-002, WF-003, WF-005, WF-007, WF-010, RBAC-002, RBAC-007, RBAC-011, RBAC-012, RBAC-015, SM-001, GA-006, GA-009, NAV-008, NAV-010, NEW-006</t>
  </si>
  <si>
    <t>Squash-merged into staging; released by #14.</t>
  </si>
  <si>
    <t>11</t>
  </si>
  <si>
    <t>Phase 2: society, ratings, subscription expansion (for QA on staging)</t>
  </si>
  <si>
    <t>dev/phase2-society -&gt; staging</t>
  </si>
  <si>
    <t>2026-09-25</t>
  </si>
  <si>
    <t>GS-002, GS-005, GS-026, GS-040, GS-044, GS-045, GS-046, GS-047, GS-049, GS-051, GS-056, GS-059, GS-060, WF-001, WF-003, WF-004, WF-006, RBAC-009, SM-004, SM-006, GA-001, GA-002, GA-007, GA-008, NAV-002, NAV-014</t>
  </si>
  <si>
    <t>12</t>
  </si>
  <si>
    <t>Promote staging to main: Phase 1 + Phase 2 (deploys live)</t>
  </si>
  <si>
    <t>Squash release of #9 to main.</t>
  </si>
  <si>
    <t>13</t>
  </si>
  <si>
    <t>Hotfix: log the root cause of failed database queries</t>
  </si>
  <si>
    <t>hotfix/log-db-error-cause -&gt; staging</t>
  </si>
  <si>
    <t>14</t>
  </si>
  <si>
    <t>Squash release of Phase 1 (#10) to main.</t>
  </si>
  <si>
    <t>15</t>
  </si>
  <si>
    <t>fix: patch Node.js security vulnerabilities</t>
  </si>
  <si>
    <t>fix/patch-vulnerabilities-07273736-1790597348 -&gt; staging</t>
  </si>
  <si>
    <t>Superseded by the Next.js 16.3.6 bump released in #19.</t>
  </si>
  <si>
    <t>16</t>
  </si>
  <si>
    <t>Pin Node 20, bump Next.js to 16.3.6, log DB error causes</t>
  </si>
  <si>
    <t>claude/turbopack-css-crash-2y3or2 -&gt; main</t>
  </si>
  <si>
    <t>PLT-002, PLT-004</t>
  </si>
  <si>
    <t>Closed; its DB-error logging landed via #13.</t>
  </si>
  <si>
    <t>17</t>
  </si>
  <si>
    <t>Hotfix: build with webpack so Hostinger deploys succeed</t>
  </si>
  <si>
    <t>hotfix/hostinger-webpack-build -&gt; staging</t>
  </si>
  <si>
    <t>Squash-merged into staging; released by #19.</t>
  </si>
  <si>
    <t>18</t>
  </si>
  <si>
    <t>Phase 3: multi-role grants, COD, shop marketing, risk rules, KPI analytics</t>
  </si>
  <si>
    <t>dev/phase3-growth -&gt; staging</t>
  </si>
  <si>
    <t>GS-003, GS-030, GS-052, GS-053, GS-068, GS-069, WF-009, RBAC-013, NAV-009, NAV-018, NAV-019, KPI-001, KPI-002, KPI-003, KPI-004, KPI-005, KPI-006, KPI-007, KPI-008, KPI-009, KPI-010, KPI-011, KPI-012, KPI-013, KPI-014, KPI-015</t>
  </si>
  <si>
    <t>19</t>
  </si>
  <si>
    <t>2026-09-30</t>
  </si>
  <si>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</si>
  <si>
    <t>Release of Phases 2-4 (#11, #18, #21), #13, #17, #20, #22 to main.</t>
  </si>
  <si>
    <t>20</t>
  </si>
  <si>
    <t>Hotfix: resolve @/ imports in Hostinger webpack builds</t>
  </si>
  <si>
    <t>hotfix/webpack-src-alias -&gt; staging</t>
  </si>
  <si>
    <t>21</t>
  </si>
  <si>
    <t>Phase 4: operations, exceptions, fraud, and tracking hardening</t>
  </si>
  <si>
    <t>dev/phase4-operations -&gt; staging</t>
  </si>
  <si>
    <t>2026-09-29</t>
  </si>
  <si>
    <t>GS-034, GS-038, GS-042, GS-065, GS-066, GS-068, RBAC-010, NAV-011, NAV-012, NAV-013, NAV-015, NAV-016, NAV-017</t>
  </si>
  <si>
    <t>Rebased onto staging; released by #19.</t>
  </si>
  <si>
    <t>22</t>
  </si>
  <si>
    <t>Stop the same shop being registered twice</t>
  </si>
  <si>
    <t>fix/shop-duplicate-registration -&gt; staging</t>
  </si>
  <si>
    <t>GS-006, WF-008</t>
  </si>
  <si>
    <t>Merged into staging by hand; released by #19.</t>
  </si>
  <si>
    <t>23</t>
  </si>
  <si>
    <t>Release: Phases A–J, shop categories, migrations 0025–0035</t>
  </si>
  <si>
    <t>2026-10-01</t>
  </si>
  <si>
    <t>GS-001, GS-004, GS-009, GS-010, GS-014, GS-015, GS-017, GS-018, GS-023, GS-026, GS-039, GS-043, GS-047, GS-055, GS-057, GS-063, GS-065, GS-072, GS-074, WF-001, WF-003, WF-005, WF-007, RBAC-007, RBAC-014, SM-002, SM-003, GA-009, NAV-001, NAV-003, NAV-006, NAV-012, NAV-017, NEW-001, NEW-002, NEW-004, NEW-005, NEW-006, NEW-007</t>
  </si>
  <si>
    <t>Phases A-J, the settings screen and shop categories were committed straight to staging, so this release PR is their only PR.</t>
  </si>
  <si>
    <t>24</t>
  </si>
  <si>
    <t>Release: closed-shop ordering with confirmation and alerts; IST opening hours</t>
  </si>
  <si>
    <t>WF-001, WF-002, NAV-002, NEW-003</t>
  </si>
  <si>
    <t>Closed-shop ordering was committed straight to staging; this release PR is its only PR.</t>
  </si>
  <si>
    <t>25</t>
  </si>
  <si>
    <t>Point CNAME and domain examples at gokesari.com</t>
  </si>
  <si>
    <t>claude/charming-edison-ofoncf -&gt; staging</t>
  </si>
  <si>
    <t>2026-10-02</t>
  </si>
  <si>
    <t>26</t>
  </si>
  <si>
    <t>Port GoKesari from PostgreSQL to MySQL</t>
  </si>
  <si>
    <t>claude/awesome-dijkstra-fmccpl -&gt; main</t>
  </si>
  <si>
    <t>2026-10-07</t>
  </si>
  <si>
    <t>Closed without merging - the app stays on PostgreSQL.</t>
  </si>
  <si>
    <t>27</t>
  </si>
  <si>
    <t>Point this repo's deployment docs at GoKesari, not bkesari</t>
  </si>
  <si>
    <t>claude/amazing-cannon-5n3fro -&gt; main</t>
  </si>
  <si>
    <t>2026-10-03</t>
  </si>
  <si>
    <t>Closed; superseded by #25 and #33.</t>
  </si>
  <si>
    <t>28</t>
  </si>
  <si>
    <t>Re-audit the feature status workbook against the code on main</t>
  </si>
  <si>
    <t>claude/confident-albattani-dqw1dk -&gt; main</t>
  </si>
  <si>
    <t>29</t>
  </si>
  <si>
    <t>Mount the live tracking screen and enforce the registration-fee gate</t>
  </si>
  <si>
    <t>GS-008, GS-042, WF-005, WF-008, NAV-004, NAV-016</t>
  </si>
  <si>
    <t>30</t>
  </si>
  <si>
    <t>Explicit Save flow on three admin screens</t>
  </si>
  <si>
    <t>claude/eloquent-darwin-n8yblq -&gt; main</t>
  </si>
  <si>
    <t>GS-009, RBAC-013, NEW-009</t>
  </si>
  <si>
    <t>Also merged into staging by hand; released by #32.</t>
  </si>
  <si>
    <t>31</t>
  </si>
  <si>
    <t>Login by mobile or email, first-time profile and My Profile</t>
  </si>
  <si>
    <t>claude/tender-cannon-vmecpj -&gt; staging</t>
  </si>
  <si>
    <t>GS-001, GS-026, WF-001, NAV-003</t>
  </si>
  <si>
    <t>32</t>
  </si>
  <si>
    <t>Release: explicit Save flow on admin screens; gokesari.com domain corrections</t>
  </si>
  <si>
    <t>GS-009, RBAC-013, NEW-009, PLT-005</t>
  </si>
  <si>
    <t>33</t>
  </si>
  <si>
    <t>Delete DEPLOY_NOW.md, a runbook for the other brand's domain</t>
  </si>
  <si>
    <t>#36</t>
  </si>
  <si>
    <t>34</t>
  </si>
  <si>
    <t>Add the operations consent view (NAV-019)</t>
  </si>
  <si>
    <t>GS-070, NAV-019</t>
  </si>
  <si>
    <t>35</t>
  </si>
  <si>
    <t>Make `npm run dev` start again under Next 16</t>
  </si>
  <si>
    <t>36</t>
  </si>
  <si>
    <t>Promote staging: delete DEPLOY_NOW.md</t>
  </si>
  <si>
    <t>37</t>
  </si>
  <si>
    <t>Add a GoKesari deploy runbook</t>
  </si>
  <si>
    <t>38</t>
  </si>
  <si>
    <t>Product Master: category management (category master, shop categories, one-time categorisation)</t>
  </si>
  <si>
    <t>claude/wizardly-goldberg-cb4pqg -&gt; staging</t>
  </si>
  <si>
    <t>GS-011, GS-012, GS-013, RBAC-004, NAV-007, NEW-008</t>
  </si>
  <si>
    <t>39</t>
  </si>
  <si>
    <t>Categorisation script: --fallback category and --from-json reports</t>
  </si>
  <si>
    <t>40</t>
  </si>
  <si>
    <t>GS-058: dispute case lifecycle</t>
  </si>
  <si>
    <t>GS-058, SM-006</t>
  </si>
  <si>
    <t>41</t>
  </si>
  <si>
    <t>Limit this project's Claude chats to GoKesari</t>
  </si>
  <si>
    <t>42</t>
  </si>
  <si>
    <t>Merge main into staging: fix the migration 0037 clash; feature status report 3 Oct</t>
  </si>
  <si>
    <t>claude/pensive-cray-ccof2w -&gt; staging</t>
  </si>
  <si>
    <t>43</t>
  </si>
  <si>
    <t>Release: staging → main (product category management, login/profile, GoKesari-only chat rule)</t>
  </si>
  <si>
    <t>GS-001, GS-011, GS-012, GS-013, GS-026, WF-001, RBAC-004, NAV-003, NAV-007, NEW-008, PLT-005</t>
  </si>
  <si>
    <t>44</t>
  </si>
  <si>
    <t>Merge main into staging: renumber dispute migration to 0039</t>
  </si>
  <si>
    <t>Closed; superseded by #42 (migration renumbering).</t>
  </si>
  <si>
    <t>45</t>
  </si>
  <si>
    <t>Shop owner fixes: registration validation, inventory fill, per-shop prices, owner name, Sign out</t>
  </si>
  <si>
    <t>claude/magical-hamilton-kbhqm0 -&gt; staging</t>
  </si>
  <si>
    <t>GS-006, GS-012, GS-015, WF-008, NAV-006, NAV-007, NEW-010</t>
  </si>
  <si>
    <t>46</t>
  </si>
  <si>
    <t>Add open features summary spreadsheet (3 Oct 2026)</t>
  </si>
  <si>
    <t>claude/focused-ptolemy-55j95o -&gt; main</t>
  </si>
  <si>
    <t>2026-10-05</t>
  </si>
  <si>
    <t>47</t>
  </si>
  <si>
    <t>Release: shop owner fixes (staging → main)</t>
  </si>
  <si>
    <t>48</t>
  </si>
  <si>
    <t>Add cart and checkout flow enhancements</t>
  </si>
  <si>
    <t>claude/brave-mendel-615f3y -&gt; staging</t>
  </si>
  <si>
    <t>GS-020, GS-024, NAV-003, NEW-012</t>
  </si>
  <si>
    <t>#71</t>
  </si>
  <si>
    <t>49</t>
  </si>
  <si>
    <t>Fix ENOENT race when the Excel import skips a sheet</t>
  </si>
  <si>
    <t>2026-10-04</t>
  </si>
  <si>
    <t>#50</t>
  </si>
  <si>
    <t>50</t>
  </si>
  <si>
    <t>Release: fix Excel import ENOENT race (staging → main)</t>
  </si>
  <si>
    <t>51</t>
  </si>
  <si>
    <t>Add comprehensive test execution framework for 791 test cases</t>
  </si>
  <si>
    <t>claude/excel-test-cases-xk1gjq -&gt; staging</t>
  </si>
  <si>
    <t>QA-001, QA-002</t>
  </si>
  <si>
    <t>52</t>
  </si>
  <si>
    <t>Update e2e acceptance tests to current sign-in and wallet flows</t>
  </si>
  <si>
    <t>#54</t>
  </si>
  <si>
    <t>53</t>
  </si>
  <si>
    <t>Seller verification: KYC core, document rules, seller/admin screens, daily job, compliance controls</t>
  </si>
  <si>
    <t>claude/gracious-hypatia-t6lkul -&gt; staging</t>
  </si>
  <si>
    <t>GS-006, GS-007, WF-008</t>
  </si>
  <si>
    <t>54</t>
  </si>
  <si>
    <t>Release: seller document verification to production</t>
  </si>
  <si>
    <t>GS-006, GS-007, WF-008, QA-001</t>
  </si>
  <si>
    <t>55</t>
  </si>
  <si>
    <t>Marketplace features F1–F11 (behind business rules, off by default)</t>
  </si>
  <si>
    <t>GS-014, GS-022, GS-027, GS-033, GS-054, GS-072, WF-001, WF-003, SM-002, SM-003, SM-004, GA-005, NAV-001, NAV-002, NAV-003, NAV-009, NAV-013</t>
  </si>
  <si>
    <t>#57</t>
  </si>
  <si>
    <t>56</t>
  </si>
  <si>
    <t>Fix referral link redirect pointing at the internal host</t>
  </si>
  <si>
    <t>2026-10-06</t>
  </si>
  <si>
    <t>57</t>
  </si>
  <si>
    <t>Release to production: marketplace features F1–F11</t>
  </si>
  <si>
    <t>58</t>
  </si>
  <si>
    <t>Shop and subscription states, chosen delivery slot, rider batching, order completion (+ 6 Oct status report)</t>
  </si>
  <si>
    <t>claude/admiring-ritchie-rhs1x8 -&gt; staging</t>
  </si>
  <si>
    <t>GS-027, GS-034, GS-043, GS-051, WF-002, WF-003, WF-006, WF-008, SM-002, SM-004, GA-005, NAV-005, NAV-010, NAV-011, NEW-007</t>
  </si>
  <si>
    <t>#65</t>
  </si>
  <si>
    <t>59</t>
  </si>
  <si>
    <t>Header: GoKesari logo mark, name and tagline "Your Neighbourhood, Delivered"</t>
  </si>
  <si>
    <t>claude/serene-tesla-l4ggjm -&gt; staging</t>
  </si>
  <si>
    <t>#65 (same change on main via #60)</t>
  </si>
  <si>
    <t>60</t>
  </si>
  <si>
    <t>Production: GoKesari logo mark, name and tagline "Everything for Everyone" in the header</t>
  </si>
  <si>
    <t>claude/serene-tesla-l4ggjm -&gt; main</t>
  </si>
  <si>
    <t>61</t>
  </si>
  <si>
    <t>Tagline: "Everything for Everyone" (bring staging in line with production)</t>
  </si>
  <si>
    <t>62</t>
  </si>
  <si>
    <t>Production: GoKesari GK favicon instead of the Next.js template icon</t>
  </si>
  <si>
    <t>63</t>
  </si>
  <si>
    <t>GoKesari GK favicon instead of the Next.js template icon</t>
  </si>
  <si>
    <t>#65 (same change on main via #62)</t>
  </si>
  <si>
    <t>64</t>
  </si>
  <si>
    <t>Scheduled-slots tests: stop failing every evening after the test shop closes</t>
  </si>
  <si>
    <t>claude/fix-scheduled-slots-clock -&gt; staging</t>
  </si>
  <si>
    <t>65</t>
  </si>
  <si>
    <t>Release: staging → main (order lifecycle backlog, migrations 0051–0055)</t>
  </si>
  <si>
    <t>GS-027, GS-034, GS-043, GS-051, WF-002, WF-003, WF-006, WF-008, SM-002, SM-004, GA-005, NAV-001, NAV-005, NAV-010, NAV-011, NEW-007, NEW-013, NEW-014, PLT-004</t>
  </si>
  <si>
    <t>66</t>
  </si>
  <si>
    <t>Patch flagged npm packages: sharp, brace-expansion, source-map-js, js-yaml</t>
  </si>
  <si>
    <t>claude/intelligent-noether-rogv14 -&gt; staging</t>
  </si>
  <si>
    <t>67</t>
  </si>
  <si>
    <t>Home page: PageSpeed performance and accessibility fixes</t>
  </si>
  <si>
    <t>claude/wizardly-galileo-t8kfcl -&gt; staging</t>
  </si>
  <si>
    <t>NAV-001, NEW-013, NEW-014</t>
  </si>
  <si>
    <t>68</t>
  </si>
  <si>
    <t>Home page: keep the page usable if the shop lists' stream fails</t>
  </si>
  <si>
    <t>NAV-001, NEW-013</t>
  </si>
  <si>
    <t>#69</t>
  </si>
  <si>
    <t>69</t>
  </si>
  <si>
    <t>Release: staging → main (home page error boundary)</t>
  </si>
  <si>
    <t>70</t>
  </si>
  <si>
    <t>Release: staging → main (test execution framework)</t>
  </si>
  <si>
    <t>71</t>
  </si>
  <si>
    <t>Release: staging → main (product card quantity controls, search bar row)</t>
  </si>
  <si>
    <t>72</t>
  </si>
  <si>
    <t>Stop whole DB rows reaching browsers; product card cart state after reload; faster home page</t>
  </si>
  <si>
    <t>ccr-4ba4bca6-l80mi4 -&gt; staging</t>
  </si>
  <si>
    <t>GS-022, GS-024, GS-071, NEW-012, NEW-014</t>
  </si>
  <si>
    <t>73</t>
  </si>
  <si>
    <t>Release: staging → main (data-exposure fixes, cart state after reload, faster home page, header menu links)</t>
  </si>
  <si>
    <t>GS-022, GS-024, GS-071, NAV-015, NAV-016, NAV-017, NEW-012, NEW-014, NEW-015</t>
  </si>
  <si>
    <t>74</t>
  </si>
  <si>
    <t>Header menus: link the operations dashboard and the rider's gig pages</t>
  </si>
  <si>
    <t>NAV-015, NAV-016, NAV-017, NEW-015</t>
  </si>
  <si>
    <t>75</t>
  </si>
  <si>
    <t>Notification settings: drop the "Offers &amp; campaigns" row</t>
  </si>
  <si>
    <t>#76</t>
  </si>
  <si>
    <t>76</t>
  </si>
  <si>
    <t>Release: staging → main (notification settings without the "Offers &amp; campaigns" row)</t>
  </si>
  <si>
    <t>77</t>
  </si>
  <si>
    <t>Profile: show the marketing consent as a labelled on/off switch</t>
  </si>
  <si>
    <t>#78</t>
  </si>
  <si>
    <t>78</t>
  </si>
  <si>
    <t>Release: staging → main (clearer "Offers and promotions" switch on /profile)</t>
  </si>
  <si>
    <t>79</t>
  </si>
  <si>
    <t>Shop photo catalogue: every product as a photo with its price</t>
  </si>
  <si>
    <t>claude/product-image-catalogue-pricing-fosflc -&gt; staging</t>
  </si>
  <si>
    <t>GS-014, NAV-007, NEW-017</t>
  </si>
  <si>
    <t>80</t>
  </si>
  <si>
    <t>Sign-in: same reply to every OTP request, so it can't reveal accounts</t>
  </si>
  <si>
    <t>81</t>
  </si>
  <si>
    <t>Release: staging → main (OTP same reply #80)</t>
  </si>
  <si>
    <t>82</t>
  </si>
  <si>
    <t>Release: staging → main (shop photo catalogue #79)</t>
  </si>
  <si>
    <t>83</t>
  </si>
  <si>
    <t>Home and Shops redesign: header, tomorrow's delivery, nearby shops</t>
  </si>
  <si>
    <t>claude/home-redesign -&gt; staging</t>
  </si>
  <si>
    <t>GS-004, GS-019, GS-020, GS-051, NAV-001, NAV-005, NEW-019</t>
  </si>
  <si>
    <t>84</t>
  </si>
  <si>
    <t>Promote staging to main: home and Shops redesign</t>
  </si>
  <si>
    <t>GS-004, GS-019, GS-020, GS-051, NAV-001, NAV-005, NEW-017, NEW-019</t>
  </si>
  <si>
    <t>85</t>
  </si>
  <si>
    <t>Decisions A–E: cancellation refunds, admin settings, data exposure, 6 Oct features (test only)</t>
  </si>
  <si>
    <t>claude/hopeful-meitner-ia1fxd -&gt; staging</t>
  </si>
  <si>
    <t>2026-10-08</t>
  </si>
  <si>
    <t>NEW-020, NEW-021, NEW-022, NEW-023, NEW-024, NEW-025, NEW-026, NEW-027, PLT-007, QA-001</t>
  </si>
  <si>
    <t>#86 - reverted by #87</t>
  </si>
  <si>
    <t>Merged to staging only; production release #86 was reverted by #87.</t>
  </si>
  <si>
    <t>86</t>
  </si>
  <si>
    <t>Release to production: decisions A–E + optional build-time migration</t>
  </si>
  <si>
    <t>Reverted by #87 - NEW-020, NEW-021, NEW-022, NEW-023, NEW-024, NEW-026, PLT-007</t>
  </si>
  <si>
    <t>Reverted by #87 the same day: production DB lacked migrations 0056/0057, shop pages returned 500.</t>
  </si>
  <si>
    <t>87</t>
  </si>
  <si>
    <t>Revert release #86: shop pages fail without migrations 0056/0057</t>
  </si>
  <si>
    <t>claude/gifted-allen-rh2ta2 -&gt; main</t>
  </si>
  <si>
    <t>Re-release A-E after production has 0056/0057 by reverting this commit (a plain staging -&gt; main merge will not bring them back).</t>
  </si>
  <si>
    <t>88</t>
  </si>
  <si>
    <t>Runbook: stop the row-count checks going stale every release</t>
  </si>
  <si>
    <t>89</t>
  </si>
  <si>
    <t>Event layer: real-time workflows, cron only as a safety net (test site)</t>
  </si>
  <si>
    <t>claude/affectionate-albattani-texk4z -&gt; staging</t>
  </si>
  <si>
    <t>NEW-028, NEW-029, NEW-030, NEW-031, NEW-032</t>
  </si>
  <si>
    <t>Not yet (test site only)</t>
  </si>
  <si>
    <t>90</t>
  </si>
  <si>
    <t>Automate test-database work: "Test database" workflow + shared migration lock</t>
  </si>
  <si>
    <t>PLT-007, PLT-008</t>
  </si>
  <si>
    <t>91</t>
  </si>
  <si>
    <t>Shop prepaid wallet + OTP-confirmed delivery (test site)</t>
  </si>
  <si>
    <t>claude/compassionate-ritchie-d4zal1 -&gt; staging</t>
  </si>
  <si>
    <t>NEW-033, NEW-035</t>
  </si>
  <si>
    <t>92</t>
  </si>
  <si>
    <t>Three modules: shop product media, accounting integration &amp; GST, shop self-registration (test site)</t>
  </si>
  <si>
    <t>claude/laughing-mendel-ftwcgo -&gt; staging</t>
  </si>
  <si>
    <t>2026-10-09</t>
  </si>
  <si>
    <t>Merged into staging 9 Oct 08:34 UTC; released to production in #120.</t>
  </si>
  <si>
    <t>93</t>
  </si>
  <si>
    <t>Production database workflow: by hand, from main, typed confirmation</t>
  </si>
  <si>
    <t>#118 (workflow onto main) and #120</t>
  </si>
  <si>
    <t>On main since #118 (9 Oct); not runnable until the repository secrets are set.</t>
  </si>
  <si>
    <t>94</t>
  </si>
  <si>
    <t>Test database: switch the shop wallet on (1% commission) via the workflow</t>
  </si>
  <si>
    <t>NEW-033, PLT-008</t>
  </si>
  <si>
    <t>Test site only</t>
  </si>
  <si>
    <t>95</t>
  </si>
  <si>
    <t>Test database: credit Kesari Dairy Farm ₹500 and Asmy Exports ₹1,000</t>
  </si>
  <si>
    <t>96</t>
  </si>
  <si>
    <t>Test wallet credits: Asmy Exports ₹1,000 and QA Test Bakery A ₹500</t>
  </si>
  <si>
    <t>97</t>
  </si>
  <si>
    <t>Test wallet credits: QA Test Bakery B ₹500</t>
  </si>
  <si>
    <t>98</t>
  </si>
  <si>
    <t>Shop wallet: ₹5/km delivery charge, no checkout below the minimum, commission back on refunds</t>
  </si>
  <si>
    <t>99</t>
  </si>
  <si>
    <t>Test wallet credits: ₹5,000 to every shop onboarded by 8 Oct 2026 17:55 UTC</t>
  </si>
  <si>
    <t>Merged 8 Oct 18:09 UTC: Rs 5,000 test-wallet credit to every shop approved by 8 Oct 17:55 UTC (test site only).</t>
  </si>
  <si>
    <t>100</t>
  </si>
  <si>
    <t>Android and iPhone app for gokesari.com (mobile/)</t>
  </si>
  <si>
    <t>claude/fervent-carson-mra5my -&gt; main</t>
  </si>
  <si>
    <t>NEW-043, NEW-044, NEW-045, PLT-010</t>
  </si>
  <si>
    <t>NEW-044, NEW-045</t>
  </si>
  <si>
    <t>Merged 9 Oct 04:19 UTC. Website parts live on gokesari.com; the app itself is not in any store yet (Android APK test builds only).</t>
  </si>
  <si>
    <t>101</t>
  </si>
  <si>
    <t>Feature, process-flow and PR status workbook (8 Oct 2026)</t>
  </si>
  <si>
    <t>claude/sweet-volta-ryv75e -&gt; main</t>
  </si>
  <si>
    <t>The 8 Oct version of this workbook.</t>
  </si>
  <si>
    <t>102</t>
  </si>
  <si>
    <t>Four features: delivery options &amp; scheduling, legal documents, bank accounts with Rs 1 verification, mandatory referral code</t>
  </si>
  <si>
    <t>claude/busy-euler-5ipjns -&gt; staging</t>
  </si>
  <si>
    <t>NEW-039, NEW-040, NEW-041, NEW-042, PLT-011</t>
  </si>
  <si>
    <t>NEW-039, NEW-040, NEW-041, NEW-042 (switched off)</t>
  </si>
  <si>
    <t>Migrations 0061-0064 (renumbered after staging's 0060); each feature a rule, off by default, on for test.</t>
  </si>
  <si>
    <t>103</t>
  </si>
  <si>
    <t>Four features: fixes from the staging run, sandbox payment tooling, test results</t>
  </si>
  <si>
    <t>NEW-039, NEW-040, NEW-041, NEW-042, PLT-011, QA-004</t>
  </si>
  <si>
    <t>Fixes S-1 (repeat-safe mark ready / handovers), S-2 (Rs 1 refund status), S-3 (wording); TEST_RESULTS.md.</t>
  </si>
  <si>
    <t>104</t>
  </si>
  <si>
    <t>Four features: re-check of the follow-up fixes on test, email sending limit (docs)</t>
  </si>
  <si>
    <t>QA-004, GAP-009</t>
  </si>
  <si>
    <t>Docs only. Note: CI on the staging merge commit (76e2cc5) failed in 'Unit and integration tests' although the same tests passed on the PR head - to investigate / re-run.</t>
  </si>
  <si>
    <t>105</t>
  </si>
  <si>
    <t>Feature, process-flow and PR status workbook (9 Oct 2026)</t>
  </si>
  <si>
    <t>claude/peaceful-pascal-jai8w2 -&gt; main</t>
  </si>
  <si>
    <t>The morning version of this workbook.</t>
  </si>
  <si>
    <t>106</t>
  </si>
  <si>
    <t>Owner's decisions: pickup refunds the delivery fee, refunds to bank, referral code at customer registration</t>
  </si>
  <si>
    <t>NEW-039, NEW-048, NEW-049</t>
  </si>
  <si>
    <t>NEW-048, NEW-049 (switched off)</t>
  </si>
  <si>
    <t>Behind business rules, off by default.</t>
  </si>
  <si>
    <t>107</t>
  </si>
  <si>
    <t>CLAUDE.md: standard folders for GoKesari reports and test results</t>
  </si>
  <si>
    <t>108</t>
  </si>
  <si>
    <t>Four features: test results for the owner's decisions (docs)</t>
  </si>
  <si>
    <t>Docs only.</t>
  </si>
  <si>
    <t>109</t>
  </si>
  <si>
    <t>Four features: owner's second-round decisions (blocked shops show as paused, mandatory customer referral code)</t>
  </si>
  <si>
    <t>NEW-040, NEW-048</t>
  </si>
  <si>
    <t>NEW-040, NEW-048 (switched off)</t>
  </si>
  <si>
    <t>Decisions O-4, O-5; migration 0072.</t>
  </si>
  <si>
    <t>110</t>
  </si>
  <si>
    <t>Staging-run fixes: repeated customer code request; paused shops read 'Not taking new orders'</t>
  </si>
  <si>
    <t>Fixes S-6, S-7.</t>
  </si>
  <si>
    <t>111</t>
  </si>
  <si>
    <t>Four features: second-round test results; approved refunds-to-bank wording (O-8)</t>
  </si>
  <si>
    <t>NEW-049, QA-004</t>
  </si>
  <si>
    <t>NEW-049 (switched off)</t>
  </si>
  <si>
    <t>112</t>
  </si>
  <si>
    <t>Tile Board home screens for customer, shop owner, admin and operator</t>
  </si>
  <si>
    <t>claude/serene-gates-7cymxj -&gt; staging</t>
  </si>
  <si>
    <t>NEW-046, NEW-047, NAV-001, NAV-006, NAV-017</t>
  </si>
  <si>
    <t>NEW-046, NEW-047</t>
  </si>
  <si>
    <t>Approved design 'Theme 1 Tile Board'; 29 new unit tests; no migrations.</t>
  </si>
  <si>
    <t>113</t>
  </si>
  <si>
    <t>Cashfree sandbox test data for staging payment tests (CLAUDE.md + docs)</t>
  </si>
  <si>
    <t>114</t>
  </si>
  <si>
    <t>Tile Board: fit the app's shorter screen; test-site results</t>
  </si>
  <si>
    <t>Phone screens under 760px tall (the app's WebView).</t>
  </si>
  <si>
    <t>115</t>
  </si>
  <si>
    <t>O-7: bank check with Cashfree's Verification Suite; staging vs main report</t>
  </si>
  <si>
    <t>NEW-050 (switched off)</t>
  </si>
  <si>
    <t>Migration 0073.</t>
  </si>
  <si>
    <t>116</t>
  </si>
  <si>
    <t>Merge main into staging (mobile app work), keeping release #86</t>
  </si>
  <si>
    <t>NEW-043, NEW-044, NEW-045, NEW-046</t>
  </si>
  <si>
    <t>Undid the #86 revert (e16dd6d) before merging main, so staging kept every feature; removed the 10 staging-&gt;main conflicts. Also added /delivery/ and /disputes to the app's link list.</t>
  </si>
  <si>
    <t>117</t>
  </si>
  <si>
    <t>O-7: accept Cashfree's own key names; staging check results</t>
  </si>
  <si>
    <t>118</t>
  </si>
  <si>
    <t>Production database workflow onto main (no application change)</t>
  </si>
  <si>
    <t>claude/serene-gates-7cymxj -&gt; main</t>
  </si>
  <si>
    <t>Workflow, scripts and runbook only; gokesari.com redeployed with unchanged code.</t>
  </si>
  <si>
    <t>119</t>
  </si>
  <si>
    <t>Production database workflow on main (tooling only)</t>
  </si>
  <si>
    <t>claude/busy-euler-5ipjns -&gt; main</t>
  </si>
  <si>
    <t>Duplicate of #118; closed.</t>
  </si>
  <si>
    <t>120</t>
  </si>
  <si>
    <t>Release: staging -&gt; main (gokesari.com), migrations 0056-0073 via MIGRATE_ON_BUILD</t>
  </si>
  <si>
    <t>Everything on staging (PRs #85-#117)</t>
  </si>
  <si>
    <t>Merged 14:06 UTC. Production migrated by MIGRATE_ON_BUILD during the deploy; Neon snapshot taken first. Verified 14:55 UTC: pages 200, new build live.</t>
  </si>
  <si>
    <t>121</t>
  </si>
  <si>
    <t>Sign-in: one Terms &amp; Privacy box instead of three; 9 Oct status report (end of day)</t>
  </si>
  <si>
    <t>NEW-056; GS-001</t>
  </si>
  <si>
    <t>Also carried the 9 Oct end-of-day status report.</t>
  </si>
  <si>
    <t>122</t>
  </si>
  <si>
    <t>Tile Board everywhere: one-screen role homes, one path to every function</t>
  </si>
  <si>
    <t>claude/bold-volta-vxs1yf -&gt; staging</t>
  </si>
  <si>
    <t>NEW-046; NEW-047; NEW-051 to NEW-055; GAP-007; NAV-001, NAV-002, NAV-004 to NAV-008, NAV-017</t>
  </si>
  <si>
    <t>Same</t>
  </si>
  <si>
    <t>UI layer only - no database, API or payment change. Merged 18:04 UTC (the last CI run before GitHub Actions stopped).</t>
  </si>
  <si>
    <t>123</t>
  </si>
  <si>
    <t>Release: staging -&gt; main (gokesari.com) - Tile Board everywhere (#122) and single sign-in consent (#121)</t>
  </si>
  <si>
    <t>Everything in #121, #122</t>
  </si>
  <si>
    <t>Merged 19:28 UTC. No migration.</t>
  </si>
  <si>
    <t>124</t>
  </si>
  <si>
    <t>Performance and second UI pass: fewer database reads per page; one screen per view on the longest pages</t>
  </si>
  <si>
    <t>PLT-012; PLT-013; NEW-021; NEW-052; NEW-054; NAV-002, NAV-006, NAV-007, NAV-017; QA-005</t>
  </si>
  <si>
    <t>Merged 21:25 UTC without CI on the owner's instruction (GitHub Actions billing); local tsc, eslint, next build, Vitest 1,662 passed. Includes the UI pass test report and issue register.</t>
  </si>
  <si>
    <t>125</t>
  </si>
  <si>
    <t>PMD rollback script: drop the stray phpMyAdmin mention</t>
  </si>
  <si>
    <t>claude/focused-carson-4pa1e2 -&gt; staging</t>
  </si>
  <si>
    <t>2026-10-10</t>
  </si>
  <si>
    <t>PMD-001 (comment only)</t>
  </si>
  <si>
    <t>#131</t>
  </si>
  <si>
    <t>Comment-only change to a manual rollback script; merged without CI.</t>
  </si>
  <si>
    <t>126</t>
  </si>
  <si>
    <t>Release: staging -&gt; main (gokesari.com) - performance and second UI pass (#124)</t>
  </si>
  <si>
    <t>Everything in #124</t>
  </si>
  <si>
    <t>Merged 21:41 UTC without CI (owner's instruction). Production checks 21:44 UTC: pages 200, signed-in pages redirect to sign-in, Lighthouse mobile home 93/100/100/100.</t>
  </si>
  <si>
    <t>127</t>
  </si>
  <si>
    <t>Board: keep the shared shop and category figures for a minute</t>
  </si>
  <si>
    <t>#129</t>
  </si>
  <si>
    <t>Fixes 'badge dropped' on cold starts; test site home 0.70-0.92 s after 100 s idle (production without it 3.39-4.46 s).</t>
  </si>
  <si>
    <t>128</t>
  </si>
  <si>
    <t>Test report: production checks after #126 and #127 verified on test</t>
  </si>
  <si>
    <t>QA-005 (report)</t>
  </si>
  <si>
    <t>129</t>
  </si>
  <si>
    <t>Release: board figures cache (#127) and test report (#128)</t>
  </si>
  <si>
    <t>Everything in #127, #128</t>
  </si>
  <si>
    <t>Merged 02:21 UTC.</t>
  </si>
  <si>
    <t>130</t>
  </si>
  <si>
    <t>Board: give live figures 8 s before dropping a badge</t>
  </si>
  <si>
    <t>claude/nifty-carson-utdcht -&gt; staging</t>
  </si>
  <si>
    <t>Default allowance 4 s -&gt; 8 s; Buy again 6 s -&gt; 10 s.</t>
  </si>
  <si>
    <t>131</t>
  </si>
  <si>
    <t>Release: staging -&gt; main (gokesari.com) - board timeout 8 s (#130)</t>
  </si>
  <si>
    <t>Everything in #125, #130</t>
  </si>
  <si>
    <t>Merged 08:22 UTC. staging and main hold the same code after this release.</t>
  </si>
  <si>
    <t>132</t>
  </si>
  <si>
    <t>Feature status report 10 Oct 2026 (after releases #123, #126, #129, #131)</t>
  </si>
  <si>
    <t>claude/peaceful-faraday-xsfhp4 -&gt; staging</t>
  </si>
  <si>
    <t>Not needed (docs)</t>
  </si>
  <si>
    <t>133</t>
  </si>
  <si>
    <t>Nearby shops from the real location; referral code Mandatory/Optional by admin toggle</t>
  </si>
  <si>
    <t>claude/clever-dijkstra-beqakc -&gt; staging</t>
  </si>
  <si>
    <t>NEW-057, NEW-058, NEW-059</t>
  </si>
  <si>
    <t>Migration 0074.</t>
  </si>
  <si>
    <t>134</t>
  </si>
  <si>
    <t>CI: skip runs that cannot find anything new (save Actions minutes)</t>
  </si>
  <si>
    <t>claude/pensive-sagan-7kcr92 -&gt; staging</t>
  </si>
  <si>
    <t>135</t>
  </si>
  <si>
    <t>Release: staging -&gt; main - nearby shops, referral toggle (#133, #136), CI minutes (#134)</t>
  </si>
  <si>
    <t>NEW-057, NEW-058, NEW-059, PLT-016</t>
  </si>
  <si>
    <t>Migration 0074 applied by MIGRATE_ON_BUILD (Neon restore point 20:27 UTC).</t>
  </si>
  <si>
    <t>136</t>
  </si>
  <si>
    <t>Nearby: PIN box when the location prompt is ignored; test results for Nearby + referral settings</t>
  </si>
  <si>
    <t>NEW-057, QA-006</t>
  </si>
  <si>
    <t>137</t>
  </si>
  <si>
    <t>Docs: Nearby + referral settings - production release checks and mobile apps</t>
  </si>
  <si>
    <t>138</t>
  </si>
  <si>
    <t>Fix Admin -&gt; Referral codes showing 0 shops for every code (and 0 society members)</t>
  </si>
  <si>
    <t>2026-10-11</t>
  </si>
  <si>
    <t>139</t>
  </si>
  <si>
    <t>Release: fix Admin -&gt; Referral codes showing 0 shops (and 0 society members)</t>
  </si>
  <si>
    <t>140</t>
  </si>
  <si>
    <t>Copy the 5 real test shops to production (guarded workflow) + record the referral-count fix</t>
  </si>
  <si>
    <t>#141</t>
  </si>
  <si>
    <t>141</t>
  </si>
  <si>
    <t>Release: 'Copy shops to production' workflow (no application change)</t>
  </si>
  <si>
    <t>142</t>
  </si>
  <si>
    <t>GoKesari Seller Central and the 'Sell on GoKesari' page</t>
  </si>
  <si>
    <t>claude/adoring-hawking-5palvj -&gt; staging</t>
  </si>
  <si>
    <t>2026-10-12</t>
  </si>
  <si>
    <t>143</t>
  </si>
  <si>
    <t>Release staging to production: GoKesari Seller Central and 'Sell on GoKesari'</t>
  </si>
  <si>
    <t>144</t>
  </si>
  <si>
    <t>Copy shops: SQL files for the Neon console (sql mode)</t>
  </si>
  <si>
    <t>#145</t>
  </si>
  <si>
    <t>Used because Actions could not see PROD_DATABASE_URL.</t>
  </si>
  <si>
    <t>145</t>
  </si>
  <si>
    <t>Release: copy shops SQL mode (no application change)</t>
  </si>
  <si>
    <t>146</t>
  </si>
  <si>
    <t>Seller/customer DB split tooling, document upload with auto-read, FSSAI for food shops, compact footer, green wordmark</t>
  </si>
  <si>
    <t>claude/compassionate-galileo-6jpqg3 -&gt; staging</t>
  </si>
  <si>
    <t>2026-10-13</t>
  </si>
  <si>
    <t>PLT-015, NEW-062, NEW-063, NEW-064</t>
  </si>
  <si>
    <t>147</t>
  </si>
  <si>
    <t>Document reader: 25 s limit, 'type the details' fallback, admin health check</t>
  </si>
  <si>
    <t>NEW-062, QA-007</t>
  </si>
  <si>
    <t>Fixed the staging 504 on the first read.</t>
  </si>
  <si>
    <t>148</t>
  </si>
  <si>
    <t>Ship the OCR model and WebAssembly with the document routes (Hostinger)</t>
  </si>
  <si>
    <t>The OCR worker still does not start on Hostinger.</t>
  </si>
  <si>
    <t>149</t>
  </si>
  <si>
    <t>Release: compact footer, green wordmark, document upload + FSSAI for food shops, DB-split tooling</t>
  </si>
  <si>
    <t>NEW-062, NEW-063, NEW-064, PLT-015</t>
  </si>
  <si>
    <t>Migration 0075 applied in the Hostinger build (06:42 UTC).</t>
  </si>
  <si>
    <t>150</t>
  </si>
  <si>
    <t>Footer: no stray '·' at the start of a wrapped line on phones; release test results</t>
  </si>
  <si>
    <t>NEW-064, QA-007</t>
  </si>
  <si>
    <t>#151</t>
  </si>
  <si>
    <t>151</t>
  </si>
  <si>
    <t>Release: footer - no stray '·' at the start of a wrapped line on phones (#150)</t>
  </si>
  <si>
    <t>152</t>
  </si>
  <si>
    <t>DB split: stop the copy hanging on Neon; accept Neon's channel_binding URLs</t>
  </si>
  <si>
    <t>153</t>
  </si>
  <si>
    <t>Saffron GoKesari wordmark, and an iPhone build workflow</t>
  </si>
  <si>
    <t>NEW-064, PLT-017</t>
  </si>
  <si>
    <t>154</t>
  </si>
  <si>
    <t>DB split: test verification report (PASS)</t>
  </si>
  <si>
    <t>PLT-015, QA-007</t>
  </si>
  <si>
    <t>155</t>
  </si>
  <si>
    <t>Release: DB split tool fixes (#152) - copy no longer hangs on Neon; channel_binding URLs accepted</t>
  </si>
  <si>
    <t>Closed unmerged; superseded by #157.</t>
  </si>
  <si>
    <t>156</t>
  </si>
  <si>
    <t>Docs: record the copy of the 5 real shops to production</t>
  </si>
  <si>
    <t>157</t>
  </si>
  <si>
    <t>Release: saffron GoKesari wordmark, DB split tool fixes, iPhone build workflow</t>
  </si>
  <si>
    <t>NEW-064, PLT-015, PLT-017, PLT-018</t>
  </si>
  <si>
    <t>158</t>
  </si>
  <si>
    <t>DB split: leave Neon's sample table (playing_with_neon) in the source</t>
  </si>
  <si>
    <t>#159</t>
  </si>
  <si>
    <t>159</t>
  </si>
  <si>
    <t>Release: DB split leaves Neon's sample table in the source (#158)</t>
  </si>
  <si>
    <t>160</t>
  </si>
  <si>
    <t>DB split: say which roles point at the same database</t>
  </si>
  <si>
    <t>#161</t>
  </si>
  <si>
    <t>161</t>
  </si>
  <si>
    <t>Release: DB split names the roles that point at the same database (#160)</t>
  </si>
  <si>
    <t>162</t>
  </si>
  <si>
    <t>DB split: log which database each secret points at</t>
  </si>
  <si>
    <t>2026-10-14</t>
  </si>
  <si>
    <t>#163</t>
  </si>
  <si>
    <t>163</t>
  </si>
  <si>
    <t>Release: DB split logs which database each secret points at (#162)</t>
  </si>
  <si>
    <t>164</t>
  </si>
  <si>
    <t>DB split: production verification report (PASS)</t>
  </si>
  <si>
    <t>#165</t>
  </si>
  <si>
    <t>165</t>
  </si>
  <si>
    <t>Release: production DB split verification report (#164)</t>
  </si>
  <si>
    <t>Docs only; staging and main the same code afterwards.</t>
  </si>
  <si>
    <t>166</t>
  </si>
  <si>
    <t>Feature, process-flow and PR status workbook (14 Oct 2026)</t>
  </si>
  <si>
    <t>167</t>
  </si>
  <si>
    <t>Test results tracker (14 Oct 2026)</t>
  </si>
  <si>
    <t>168</t>
  </si>
  <si>
    <t>Seller Central: shop switcher for owners with more than one shop</t>
  </si>
  <si>
    <t>claude/peaceful-pascal-jai8w2 -&gt; staging</t>
  </si>
  <si>
    <t>NEW-066, QA-008</t>
  </si>
  <si>
    <t>Found by the 14 Oct order-lifecycle run; re-checked on test (TR-23).</t>
  </si>
  <si>
    <t>169</t>
  </si>
  <si>
    <t>Document upload: read photos in the owner's browser (fixes D-18)</t>
  </si>
  <si>
    <t>claude/gracious-einstein-24qjjh -&gt; staging</t>
  </si>
  <si>
    <t>#175 (cherry-pick); #177</t>
  </si>
  <si>
    <t>CSP adds 'wasm-unsafe-eval'; switch DOCUMENT_OCR_BROWSER=off goes back to server-only. Verified on test 15 Oct (TR-26).</t>
  </si>
  <si>
    <t>170</t>
  </si>
  <si>
    <t>Order lifecycle on staging (14 Oct): test results and tracker update</t>
  </si>
  <si>
    <t>2026-10-15</t>
  </si>
  <si>
    <t>Merged by the owner 15 Oct; results, tracker and the morning 15 Oct status report.</t>
  </si>
  <si>
    <t>171</t>
  </si>
  <si>
    <t>Inventory &amp; Accounting for shop owners: stock ledger, books, GST portal, supplier bill scan/upload</t>
  </si>
  <si>
    <t>claude/nice-cori-6p1wb2 -&gt; staging</t>
  </si>
  <si>
    <t>#179 (15 Oct)</t>
  </si>
  <si>
    <t>Migration 0076 (24 tables, additive; rollback-0076.sql).</t>
  </si>
  <si>
    <t>172</t>
  </si>
  <si>
    <t>Inventory &amp; Accounting: staging findings - fast GST figures, cancel = SALE_RETURN (0078), share-target redirect, live test scripts</t>
  </si>
  <si>
    <t>Migration 0078 (trigger function only; rollback-0078.sql). Board/GST page ~40 s -&gt; ~4 s on test.</t>
  </si>
  <si>
    <t>173</t>
  </si>
  <si>
    <t>Bulk product upload (Excel/CSV) with shop inventory update</t>
  </si>
  <si>
    <t>claude/amazing-ritchie-9vlq9f -&gt; staging</t>
  </si>
  <si>
    <t>#179</t>
  </si>
  <si>
    <t>Migration 0077.</t>
  </si>
  <si>
    <t>174</t>
  </si>
  <si>
    <t>Bulk product upload: live test run on test.gokesari.com (23/23 pass)</t>
  </si>
  <si>
    <t>175</t>
  </si>
  <si>
    <t>Release: shop switcher (#168) and browser document reading (#169)</t>
  </si>
  <si>
    <t>NEW-066, NEW-062</t>
  </si>
  <si>
    <t>Cherry-picks of #168 and #169 only; live 14:43 UTC. Production checks PASS.</t>
  </si>
  <si>
    <t>176</t>
  </si>
  <si>
    <t>Release: document photos read in the owner's browser (#169, fixes D-18)</t>
  </si>
  <si>
    <t>Closed: staging also carried #168, #171 (migration 0076) and #173 (migration 0077), not approved for release here. Replaced by #177.</t>
  </si>
  <si>
    <t>177</t>
  </si>
  <si>
    <t>claude/gracious-einstein-24qjjh -&gt; main</t>
  </si>
  <si>
    <t>Same commit as #175's cherry-pick of #169, merged after it: no code change. Production checks 15 Oct (TR-27) PASS.</t>
  </si>
  <si>
    <t>178</t>
  </si>
  <si>
    <t>Browser document reading (#169): test results on test and production; trackers</t>
  </si>
  <si>
    <t>Merged to main 15 Oct (f9eee23); the 16 Oct report still showed it as an open draft. Mirrored on staging by #186.</t>
  </si>
  <si>
    <t>179</t>
  </si>
  <si>
    <t>Release: Inventory &amp; Accounting (#171, #172), Bulk product upload (#173, #174); migrations 0076-0078</t>
  </si>
  <si>
    <t>claude/amazing-ritchie-9vlq9f -&gt; main</t>
  </si>
  <si>
    <t>NEW-067, GS-013</t>
  </si>
  <si>
    <t>Migrations 0076-0078 via MIGRATE_ON_BUILD.</t>
  </si>
  <si>
    <t>180</t>
  </si>
  <si>
    <t>Release: Inventory &amp; Accounting (#171, #172) + bulk product upload (#173, #174)</t>
  </si>
  <si>
    <t>claude/nice-cori-6p1wb2 -&gt; main</t>
  </si>
  <si>
    <t>Superseded by #179</t>
  </si>
  <si>
    <t>Same staging code as #179, which merged first; CI was green (preview APK re-run after a corrupt NDK download). Duplicate of #179.</t>
  </si>
  <si>
    <t>181</t>
  </si>
  <si>
    <t>Bulk product upload: production results; staging level with main after release #179</t>
  </si>
  <si>
    <t>182</t>
  </si>
  <si>
    <t>Inventory &amp; Accounting: testing report, tracker and 15 Oct status report (after release #179)</t>
  </si>
  <si>
    <t>183</t>
  </si>
  <si>
    <t>Feature status report 15 Oct (evening) and 16 Oct</t>
  </si>
  <si>
    <t>2026-10-19</t>
  </si>
  <si>
    <t>Merged to main 19 Oct (0cc78e5); 15 Oct evening and 16 Oct workbooks.</t>
  </si>
  <si>
    <t>184</t>
  </si>
  <si>
    <t>PMD loader: fix parallel-worker race that left quality scores stale or missing</t>
  </si>
  <si>
    <t>2026-10-16</t>
  </si>
  <si>
    <t>PMD-003, QA-001</t>
  </si>
  <si>
    <t>#185</t>
  </si>
  <si>
    <t>Fixes the flaky PMD loader test (Blockers #56). Released by #185 on 16 Oct.</t>
  </si>
  <si>
    <t>185</t>
  </si>
  <si>
    <t>Release: staging -&gt; main (gokesari.com) - PMD loader parallel-worker fix (#184), report scripts and docs (#181, #182)</t>
  </si>
  <si>
    <t>No migrations. main @c96cd04 (16 Oct 04:24 UTC). Live checks 18 Oct: public pages 200, Seller Central 307 (sign-in).</t>
  </si>
  <si>
    <t>186</t>
  </si>
  <si>
    <t>Staging: #169 test results and trackers (same as #178 on main)</t>
  </si>
  <si>
    <t>187</t>
  </si>
  <si>
    <t>Bring staging level with main after release #185</t>
  </si>
  <si>
    <t>main -&gt; staging</t>
  </si>
  <si>
    <t>Not needed (sync)</t>
  </si>
  <si>
    <t>staging @3a701c9 has the same application code as main.</t>
  </si>
  <si>
    <t>188</t>
  </si>
  <si>
    <t>Competitive analysis deck: GoKesari vs top 10 Indian e-commerce and quick-commerce players</t>
  </si>
  <si>
    <t>-&gt; main</t>
  </si>
  <si>
    <t>2026-10-18</t>
  </si>
  <si>
    <t>Merged to main 19 Oct (418392d). Docs only.</t>
  </si>
  <si>
    <t>189</t>
  </si>
  <si>
    <t>Feature and product status 18 Oct 2026 (+ 19 Oct update)</t>
  </si>
  <si>
    <t>claude/jolly-goldberg-nsq65m -&gt; main</t>
  </si>
  <si>
    <t>This workbook, open-features.xlsx and the Product Master spec status.</t>
  </si>
  <si>
    <t>190</t>
  </si>
  <si>
    <t>Build &amp; integrate batch (18 Oct 2026): payments, dispatch, help desk, payouts, invoices, notifications, deep links</t>
  </si>
  <si>
    <t>claude/vigilant-wright-0oyy7r -&gt; staging</t>
  </si>
  <si>
    <t>GS-001, GS-028, GS-073, GS-074, SM-005, SM-006, WF-001, NAV-003, NEW-007, NEW-037, RBAC-003, PMD-002, PMD-006, PMD-007, PLT-009, GAP-001, GAP-002, GAP-004, GAP-005, GAP-006, GS-023 (dropped)</t>
  </si>
  <si>
    <t>Six workstreams WS-A..F; migrations 0079-0084; every new feature OFF in production.</t>
  </si>
  <si>
    <t>191</t>
  </si>
  <si>
    <t>Bulk product upload: production smoke with a test shop (18 Oct) - 4/4 pass</t>
  </si>
  <si>
    <t>#198</t>
  </si>
  <si>
    <t>Blockers #47 resolved.</t>
  </si>
  <si>
    <t>192</t>
  </si>
  <si>
    <t>Batch 2026-10 staging fixes: sandbox / mock / QR on test.gokesari.com; signed-in staging journeys</t>
  </si>
  <si>
    <t>GS-028, GAP-001, QA-003</t>
  </si>
  <si>
    <t>193</t>
  </si>
  <si>
    <t>Batch 2026-10: GS1 / OFF look-up replies within 20 s (S-035)</t>
  </si>
  <si>
    <t>194</t>
  </si>
  <si>
    <t>Release: staging -&gt; main (gokesari.com) - build &amp; integrate batch 18 Oct 2026 (#190, #192, #193)</t>
  </si>
  <si>
    <t>GS-001, GS-028, GS-073, GS-074, SM-005, SM-006, WF-001, NAV-003, NEW-007, NEW-037, RBAC-003, PMD-002, PMD-006, PMD-007, PLT-009, GAP-001, GAP-002, GAP-004, GAP-005, GAP-006</t>
  </si>
  <si>
    <t>Live 20:45:32 UTC (restore point); migrations 0079-0084 via MIGRATE_ON_BUILD; new features OFF.</t>
  </si>
  <si>
    <t>195</t>
  </si>
  <si>
    <t>Batch 2026-10: testing report, tracker and production results</t>
  </si>
  <si>
    <t>#196</t>
  </si>
  <si>
    <t>docs/test-reports/2026-10-batch.md; GOKESARI_FEATURE_STATUS_REPORT_2026-10-18_batch.xlsx.</t>
  </si>
  <si>
    <t>196</t>
  </si>
  <si>
    <t>Release: staging -&gt; main (gokesari.com) - batch 2026-10 testing report and tracker (#195)</t>
  </si>
  <si>
    <t>197</t>
  </si>
  <si>
    <t>Batch 2026-10: production database verify passed - F14.2.1 DONE</t>
  </si>
  <si>
    <t>Blockers #32 resolved.</t>
  </si>
  <si>
    <t>198</t>
  </si>
  <si>
    <t>Release: staging -&gt; main (gokesari.com) - bulk upload production smoke (#191, #199) and batch DB verify docs (#197)</t>
  </si>
  <si>
    <t>Docs / tests only; also carried #183.</t>
  </si>
  <si>
    <t>199</t>
  </si>
  <si>
    <t>Bulk upload test report: E-08 (prod clean-up) passed by PROD-04</t>
  </si>
  <si>
    <t>200</t>
  </si>
  <si>
    <t>Admin: product GST rates screen (/admin/product-gst)</t>
  </si>
  <si>
    <t>NEW-068, NEW-027</t>
  </si>
  <si>
    <t>#207</t>
  </si>
  <si>
    <t>Merged into staging 19 Oct 16:17 UTC; released on its own by #207.</t>
  </si>
  <si>
    <t>201</t>
  </si>
  <si>
    <t>Bring staging level with main after release #198 (+ #183 status reports)</t>
  </si>
  <si>
    <t>202</t>
  </si>
  <si>
    <t>Parity and production test run (19 Oct): local = staging = main; gokesari.com 61/61</t>
  </si>
  <si>
    <t>Not needed (tests)</t>
  </si>
  <si>
    <t>Code and schema level on local, staging and main; production checks 61/61.</t>
  </si>
  <si>
    <t>203</t>
  </si>
  <si>
    <t>Parity report: local full suite 2,198/2,198 pass; PDF</t>
  </si>
  <si>
    <t>#205</t>
  </si>
  <si>
    <t>204</t>
  </si>
  <si>
    <t>Seller/customer database split: code for two databases, migrations, and the switch</t>
  </si>
  <si>
    <t>#210</t>
  </si>
  <si>
    <t>CI test-split (whole suite on two databases) made blocking.</t>
  </si>
  <si>
    <t>205</t>
  </si>
  <si>
    <t>Release: staging -&gt; main (gokesari.com) - parity and production test report (#202, #203)</t>
  </si>
  <si>
    <t>Docs / tests only.</t>
  </si>
  <si>
    <t>206</t>
  </si>
  <si>
    <t>Bring staging level with main after release #205 (+ #188 competitive analysis docs)</t>
  </si>
  <si>
    <t>207</t>
  </si>
  <si>
    <t>Release #200 to gokesari.com: admin product GST rates screen</t>
  </si>
  <si>
    <t>#200's commit on its own (the split #204 held back). Live on the 21 Oct check.</t>
  </si>
  <si>
    <t>208</t>
  </si>
  <si>
    <t>Two-database strategy in CLAUDE.md; no outside call repeated by a transaction re-run</t>
  </si>
  <si>
    <t>209</t>
  </si>
  <si>
    <t>Build: cap Next's build workers at 7 so staging builds on Hostinger again</t>
  </si>
  <si>
    <t>claude/trusting-allen-97xhex -&gt; staging</t>
  </si>
  <si>
    <t>test.gokesari.com had stopped building new commits after 19 Oct 16:17 UTC.</t>
  </si>
  <si>
    <t>210</t>
  </si>
  <si>
    <t>Release: staging -&gt; main (gokesari.com) - seller/customer DB split code (#204), build worker cap (#209), #208, #189</t>
  </si>
  <si>
    <t>PLT-015, PLT-019</t>
  </si>
  <si>
    <t>Code only; the site stayed on one database until the switch (#216).</t>
  </si>
  <si>
    <t>211</t>
  </si>
  <si>
    <t>Split: switch works on PostgreSQL 17+ (partition identity); CI split job on PostgreSQL 18</t>
  </si>
  <si>
    <t>#216</t>
  </si>
  <si>
    <t>212</t>
  </si>
  <si>
    <t>Split: leave partitions out when seller identity columns accept core ids</t>
  </si>
  <si>
    <t>Closed unmerged; the PostgreSQL 17+ partition fix landed in #211.</t>
  </si>
  <si>
    <t>213</t>
  </si>
  <si>
    <t>Split: the switch script exits once its step is done</t>
  </si>
  <si>
    <t>214</t>
  </si>
  <si>
    <t>Homepage UI/UX upgrade (F1-F6): discovery home, search with suggestions + voice, banners, empty states, compare, footer, mobile chrome</t>
  </si>
  <si>
    <t>claude/gifted-brahmagupta-nj0bt9 -&gt; staging</t>
  </si>
  <si>
    <t>NEW-069, NEW-013</t>
  </si>
  <si>
    <t>#219</t>
  </si>
  <si>
    <t>Migrations 0086 (core) and 0087 (seller).</t>
  </si>
  <si>
    <t>215</t>
  </si>
  <si>
    <t>Split sites: migrations open the seller DB with a cleaned URL (unblocks test.gokesari.com deploy of #214)</t>
  </si>
  <si>
    <t>PLT-019, PLT-015</t>
  </si>
  <si>
    <t>216</t>
  </si>
  <si>
    <t>Release: split fixes to main (gokesari.com) - #211, #213, #215; no migrations</t>
  </si>
  <si>
    <t>claude/vigilant-wright-0oyy7r -&gt; main</t>
  </si>
  <si>
    <t>2026-10-20</t>
  </si>
  <si>
    <t>Then production switched to two databases (Database split run 31, 20 Oct 00:39 UTC).</t>
  </si>
  <si>
    <t>217</t>
  </si>
  <si>
    <t>Homepage UI/UX: final status workbook, staging + production results, split check</t>
  </si>
  <si>
    <t>2026-10-24</t>
  </si>
  <si>
    <t>Not yet</t>
  </si>
  <si>
    <t>Carries GoKesari_Homepage_UIUX_Status_2026-10-20.xlsx. Merged 2026-10-24 (updated 29 Oct).</t>
  </si>
  <si>
    <t>218</t>
  </si>
  <si>
    <t>Split: transactions never commit half way; migrations refuse a wrong seller DB; product master opens Neon URLs</t>
  </si>
  <si>
    <t>Core at READ COMMITTED on the split layout.</t>
  </si>
  <si>
    <t>219</t>
  </si>
  <si>
    <t>Release: staging -&gt; main (gokesari.com) - homepage UI/UX (#214), split transaction fix (#218); migrations 0086-0087 already applied</t>
  </si>
  <si>
    <t>NEW-069, PLT-015, PLT-019</t>
  </si>
  <si>
    <t>Production database run 39372089225 (restore point) before the merge.</t>
  </si>
  <si>
    <t>220</t>
  </si>
  <si>
    <t>Homepage UI/UX: guest test results on test.gokesari.com (20 Oct)</t>
  </si>
  <si>
    <t>#221</t>
  </si>
  <si>
    <t>221</t>
  </si>
  <si>
    <t>Release: staging -&gt; main (gokesari.com) - test-site results (#220); rebuilds the #219 release</t>
  </si>
  <si>
    <t>Production = main @99789f4.</t>
  </si>
  <si>
    <t>222</t>
  </si>
  <si>
    <t>Homepage UI/UX: guest results on gokesari.com (release live, 20 Oct)</t>
  </si>
  <si>
    <t>2026-10-21</t>
  </si>
  <si>
    <t>Not yet (docs; next release)</t>
  </si>
  <si>
    <t>Production guest suite passed (results JSON).</t>
  </si>
  <si>
    <t>223</t>
  </si>
  <si>
    <t>Feature status report 21 Oct 2026: GST rates screen, two databases, homepage</t>
  </si>
  <si>
    <t>2026-10-25</t>
  </si>
  <si>
    <t>This workbook; waits for the owner's merge. Merged 2026-10-25 (updated 29 Oct).</t>
  </si>
  <si>
    <t>224</t>
  </si>
  <si>
    <t>claude/hostinger-plugin-install-4js2f8 -&gt; staging</t>
  </si>
  <si>
    <t>308 redirect for pages; /api and /.well-known untouched; fixed destinations. Merged 2026-10-25 (updated 29 Oct).</t>
  </si>
  <si>
    <t>Find the shopper's location by itself and save it</t>
  </si>
  <si>
    <t>claude/brave-knuth-i5phuh -&gt; staging</t>
  </si>
  <si>
    <t>Approximate street address for the detected location (OpenStreetMap)</t>
  </si>
  <si>
    <t>Release: location found by itself (#225), OpenStreetMap address (#226)</t>
  </si>
  <si>
    <t>QA suite for the 798-case plan (UI + API, Claude QA agent) and fixes for the 6 defects it found</t>
  </si>
  <si>
    <t>claude/hopeful-cerf-x2gaow -&gt; staging</t>
  </si>
  <si>
    <t>D-01 to D-06</t>
  </si>
  <si>
    <t>Privacy policy: location data</t>
  </si>
  <si>
    <t>#233</t>
  </si>
  <si>
    <t>Cookie Policy: every first-party cookie</t>
  </si>
  <si>
    <t>claude/confident-goldberg-c86f6q -&gt; staging</t>
  </si>
  <si>
    <t>#235</t>
  </si>
  <si>
    <t>Purchase lists: weekly / monthly shopping and medicine lists</t>
  </si>
  <si>
    <t>claude/cool-euler-y1bg0h -&gt; staging</t>
  </si>
  <si>
    <t>Migration 0090 (and 0089 repair, D-99)</t>
  </si>
  <si>
    <t>QA suite for every module, and fixes for the 92 defects it found</t>
  </si>
  <si>
    <t>D-07 to D-98</t>
  </si>
  <si>
    <t>Release: privacy policy for location data (#229)</t>
  </si>
  <si>
    <t>claude/brave-knuth-i5phuh -&gt; main</t>
  </si>
  <si>
    <t>Session check survives a failed revocation read; QA run follow-ups</t>
  </si>
  <si>
    <t>D-99</t>
  </si>
  <si>
    <t>Release: Cookie Policy (#230)</t>
  </si>
  <si>
    <t>Cookie and Privacy Policy updates; Trending counts people; guest searches not saved</t>
  </si>
  <si>
    <t>Migration 0091</t>
  </si>
  <si>
    <t>Release: purchase lists (#231)</t>
  </si>
  <si>
    <t>claude/release-purchase-lists -&gt; main</t>
  </si>
  <si>
    <t>QA suite fixes from the staging round-2 run; migration journal guard</t>
  </si>
  <si>
    <t>D-99 guard</t>
  </si>
  <si>
    <t>QA: purchase lists - staging and production results</t>
  </si>
  <si>
    <t>claude/qa-purchase-lists-results -&gt; staging</t>
  </si>
  <si>
    <t>Merged through #246; defects renumbered D-102, D-103</t>
  </si>
  <si>
    <t>Cart: simultaneous adds no longer 500 (TC-CART-001)</t>
  </si>
  <si>
    <t>claude/serene-curie-pwjjh2 -&gt; staging</t>
  </si>
  <si>
    <t>Superseded by #241</t>
  </si>
  <si>
    <t>Cart: concurrent adds no longer 500 or lose units (D-102); vouchers use the IST date</t>
  </si>
  <si>
    <t>claude/gracious-gauss-46g5dk -&gt; staging</t>
  </si>
  <si>
    <t>D-102, D-101</t>
  </si>
  <si>
    <t>Release: staging -&gt; main - QA suite and fixes, paused-shop notice, checkout cart race, IST vouchers</t>
  </si>
  <si>
    <t>claude/hopeful-cerf-x2gaow -&gt; main</t>
  </si>
  <si>
    <t>QA-010, NEW-072, NEW-074, NEW-075</t>
  </si>
  <si>
    <t>Migrations to 0091 already on production; guest tier 96 pass / 0 fail after</t>
  </si>
  <si>
    <t>Checkout: units added while it runs are ordered or stay in the cart</t>
  </si>
  <si>
    <t>claude/nifty-noether-m1k1rf -&gt; staging</t>
  </si>
  <si>
    <t>Merged through #246</t>
  </si>
  <si>
    <t>Fix product-master promotion on two databases (D-100); QA run fixes</t>
  </si>
  <si>
    <t>PMD-001, QA-010</t>
  </si>
  <si>
    <t>D-100</t>
  </si>
  <si>
    <t>Release: staging -&gt; main - cookie and privacy policy, Trending, guest searches</t>
  </si>
  <si>
    <t>Superseded by #242 (same files)</t>
  </si>
  <si>
    <t>Paused shops stay listed with a 'not taking orders online' notice (D-046); vouchers in IST (D-101)</t>
  </si>
  <si>
    <t>Also carried #243, #239</t>
  </si>
  <si>
    <t>Shop owner menus link to the public page only for an approved shop (D-104); QA round-3 results</t>
  </si>
  <si>
    <t>Waiting for CI Merged 2026-10-25 (updated 29 Oct).</t>
  </si>
  <si>
    <t>248</t>
  </si>
  <si>
    <t>Release: shop owner menus link to the public page only for an approved shop (#247) to main (gokesari.com)</t>
  </si>
  <si>
    <t>Itself</t>
  </si>
  <si>
    <t>250</t>
  </si>
  <si>
    <t>Fix the seven open bugs (GAP-011, 012, 014, 016, 017, 018, 019)</t>
  </si>
  <si>
    <t>GAP-011, GAP-012, GAP-014, GAP-016, GAP-017, GAP-018, GAP-019</t>
  </si>
  <si>
    <t>251</t>
  </si>
  <si>
    <t>Dates in India time everywhere (React #418, UTC on server pages) + voucher upload past end date (TC-FLD-114)</t>
  </si>
  <si>
    <t>claude/laughing-brown-c0vkcu -&gt; staging</t>
  </si>
  <si>
    <t>NEW-081, GAP-017</t>
  </si>
  <si>
    <t>252</t>
  </si>
  <si>
    <t>Docs only. D-102 → Fixed - retest passed (8 of 8 rounds on test.gokesari.com, build e44252b). Checkout race (#243) on build 0523754: 5 of 5 decided rounds kept every unit; all test orders refunded, wallet and cart as before.</t>
  </si>
  <si>
    <t>- -&gt; staging</t>
  </si>
  <si>
    <t>253</t>
  </si>
  <si>
    <t>QA 25 Oct: production retest after #248; incident note for the post-deploy hang (E-02)</t>
  </si>
  <si>
    <t>254</t>
  </si>
  <si>
    <t>Owner decisions of 25 Oct: D-103, D-57, D-91, D-25, D-96, D-23, D-69</t>
  </si>
  <si>
    <t>256</t>
  </si>
  <si>
    <t>Report 25 Oct: detailed gap analysis (sessions, all defects, PR gaps)</t>
  </si>
  <si>
    <t>257</t>
  </si>
  <si>
    <t>Loose stock records decimals (D-95, TC-SPI-025)</t>
  </si>
  <si>
    <t>258</t>
  </si>
  <si>
    <t>Status report 25 Oct: GAP-008 resolved</t>
  </si>
  <si>
    <t>claude/gracious-volta-fyp37o -&gt; staging</t>
  </si>
  <si>
    <t>259</t>
  </si>
  <si>
    <t>GAP-013 rider returns wait for goods at the shop; GAP-019 faster checkout</t>
  </si>
  <si>
    <t>GAP-013, GAP-019</t>
  </si>
  <si>
    <t>260</t>
  </si>
  <si>
    <t>Release steps: one production release at a time, and a post-deploy check (E-02)</t>
  </si>
  <si>
    <t>261</t>
  </si>
  <si>
    <t>Release: owner decisions of 25 Oct (#254) to main (gokesari.com)</t>
  </si>
  <si>
    <t>262</t>
  </si>
  <si>
    <t>Roll back gokesari.com to the previous release (revert #261)</t>
  </si>
  <si>
    <t>Rolled back #261 (outage E-03).</t>
  </si>
  <si>
    <t>263</t>
  </si>
  <si>
    <t>QA: D-101 voucher dates re-tested on test.gokesari.com (TC-FLD-114 pass)</t>
  </si>
  <si>
    <t>2026-10-26</t>
  </si>
  <si>
    <t>2026-10-28</t>
  </si>
  <si>
    <t>264</t>
  </si>
  <si>
    <t>Report 26 Oct: staging vs main, open defects, features and blockers; E-03 logged</t>
  </si>
  <si>
    <t>265</t>
  </si>
  <si>
    <t>Add my shop: ₹999 + GST registration fee with coupons, pay step, pending lock, professional categories, speed</t>
  </si>
  <si>
    <t>claude/shop-registration-fee-categories -&gt; staging</t>
  </si>
  <si>
    <t>2026-10-27</t>
  </si>
  <si>
    <t>NEW-076, NEW-079</t>
  </si>
  <si>
    <t>266</t>
  </si>
  <si>
    <t>GAP-011..019, NEW-070, NEW-078, NEW-080..080</t>
  </si>
  <si>
    <t>267</t>
  </si>
  <si>
    <t>Shop onboarding wizard step 1: GSTIN-first checks with a background PAN check and the shop filled from the GST record</t>
  </si>
  <si>
    <t>claude/onboarding-wizard-step1 -&gt; staging</t>
  </si>
  <si>
    <t>268</t>
  </si>
  <si>
    <t>release/2026-10-28 -&gt; main</t>
  </si>
  <si>
    <t>Dealer programme steps 1-10 (GKS-*), NEW-076..074, NEW-087..084, NEW-091</t>
  </si>
  <si>
    <t>269</t>
  </si>
  <si>
    <t>Shop documents: "Scan a document" + trade, legal metrology, fire NOC, agri-input and other licences</t>
  </si>
  <si>
    <t>claude/scan-and-more-licences -&gt; staging</t>
  </si>
  <si>
    <t>270</t>
  </si>
  <si>
    <t>Shop onboarding wizard step 2: Udyam, FSSAI, Shop Act, map, draft → shop, live after payment (decision B)</t>
  </si>
  <si>
    <t>claude/onboarding-wizard-step2-b1ade0 -&gt; staging</t>
  </si>
  <si>
    <t>2026-10-29</t>
  </si>
  <si>
    <t>271</t>
  </si>
  <si>
    <t>Dealer commission paid monthly on the 5th, with a statement for each dealer</t>
  </si>
  <si>
    <t>claude/dealer-monthly-payout -&gt; staging</t>
  </si>
  <si>
    <t>272</t>
  </si>
  <si>
    <t>release/2026-10-29-1 -&gt; main</t>
  </si>
  <si>
    <t>273</t>
  </si>
  <si>
    <t>Shop documents before the registration fee, 30-day promise, 1st/15th follow-up with auto-suspension</t>
  </si>
  <si>
    <t>274</t>
  </si>
  <si>
    <t>Onboarding wizard: ?wizard=1 only while its flag is on, or for an admin</t>
  </si>
  <si>
    <t>claude/wizard-link-gate -&gt; staging</t>
  </si>
  <si>
    <t>275</t>
  </si>
  <si>
    <t>release/2026-10-29-waived-fee -&gt; main</t>
  </si>
  <si>
    <t>276</t>
  </si>
  <si>
    <t>Migrations only through the GitHub workflows: no migrations in Hostinger builds or PR previews (Blocker #71)</t>
  </si>
  <si>
    <t>claude/migrate-only-in-actions -&gt; staging</t>
  </si>
  <si>
    <t>277</t>
  </si>
  <si>
    <t>release (squash) -&gt; main</t>
  </si>
  <si>
    <t>278</t>
  </si>
  <si>
    <t>Shop documents: staging QA 29 Oct, QA shop approved; fix D-107 and D-108; D-106 retest passed</t>
  </si>
  <si>
    <t>279</t>
  </si>
  <si>
    <t>Home page: database reads run together; logo link no longer prefetches home</t>
  </si>
  <si>
    <t>perf/home-quick-fixes -&gt; staging</t>
  </si>
  <si>
    <t>280</t>
  </si>
  <si>
    <t>Dealer commission: admin-set base %, moved up or down by rating, per dealer</t>
  </si>
  <si>
    <t>281</t>
  </si>
  <si>
    <t>282</t>
  </si>
  <si>
    <t>perf/home-quick-fixes -&gt; main</t>
  </si>
  <si>
    <t>283</t>
  </si>
  <si>
    <t>QA guest checks: accept retired-cron 410 and the Seller Central sign-in shell</t>
  </si>
  <si>
    <t>claude/qa-guest-expectations -&gt; staging</t>
  </si>
  <si>
    <t>284</t>
  </si>
  <si>
    <t>Release 29 Oct (5) - first attempt</t>
  </si>
  <si>
    <t>Replaced by #285.</t>
  </si>
  <si>
    <t>285</t>
  </si>
  <si>
    <t>release/2026-10-29-5 -&gt; main</t>
  </si>
  <si>
    <t>286</t>
  </si>
  <si>
    <t>D-108: operator's approval card says "Approve on promise"; staging retest results; fee tests use the built-in test page</t>
  </si>
  <si>
    <t>287</t>
  </si>
  <si>
    <t>- -&gt; main</t>
  </si>
  <si>
    <t>288</t>
  </si>
  <si>
    <t>Docs: D-108 retest passed on the operator's approval card</t>
  </si>
  <si>
    <t>Not yet (docs only)</t>
  </si>
  <si>
    <t>289</t>
  </si>
  <si>
    <t>Docs: pending-for-production list after release #285</t>
  </si>
  <si>
    <t>docs/pending-after-285 -&gt; staging</t>
  </si>
  <si>
    <t>GoKesari build &amp; integrate batch (18 Oct 2026) — status of every flow step in the brief</t>
  </si>
  <si>
    <t>DONE = built, merged, tested; DONE-SANDBOX = complete on the sandbox/mock provider, production flag OFF until the owner's keys exist</t>
  </si>
  <si>
    <t>Step</t>
  </si>
  <si>
    <t>Batch status</t>
  </si>
  <si>
    <t>PR(s)</t>
  </si>
  <si>
    <t>Totals</t>
  </si>
  <si>
    <t>Bulk product upload (Excel/CSV) with shop inventory update - sub-feature status</t>
  </si>
  <si>
    <t>Statuses: Not started / In progress / Done on Test / Done on Prod / Blocked. Design: docs/product-import-2026-10/README.md. Tests: docs/testing/bulk-product-upload-test-report.md.</t>
  </si>
  <si>
    <t>Sub-feature</t>
  </si>
  <si>
    <t>Date</t>
  </si>
  <si>
    <t>Branch / PR</t>
  </si>
  <si>
    <t>BPU-01</t>
  </si>
  <si>
    <t>Parser (Amazon template)</t>
  </si>
  <si>
    <t>Done on Prod</t>
  </si>
  <si>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</si>
  <si>
    <t>PR #173, #174, release #179</t>
  </si>
  <si>
    <t>BPU-02</t>
  </si>
  <si>
    <t>Parser (GoKesari template + CSV)</t>
  </si>
  <si>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</si>
  <si>
    <t>Field mapping</t>
  </si>
  <si>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</si>
  <si>
    <t>Matching &amp; master catalogue</t>
  </si>
  <si>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</si>
  <si>
    <t>BPU-05</t>
  </si>
  <si>
    <t>Inventory update + ledger</t>
  </si>
  <si>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</si>
  <si>
    <t>BPU-06</t>
  </si>
  <si>
    <t>Image import</t>
  </si>
  <si>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</si>
  <si>
    <t>BPU-07</t>
  </si>
  <si>
    <t>Web UI (shop owner)</t>
  </si>
  <si>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</si>
  <si>
    <t>BPU-08</t>
  </si>
  <si>
    <t>Web UI (admin/operator)</t>
  </si>
  <si>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</si>
  <si>
    <t>BPU-09</t>
  </si>
  <si>
    <t>8 endpoints under /api/v1 (+ shop picker). Owner = own shops only; operator/admin any shop; audit-logged. Route tests pass. Live on test.gokesari.com 15 Oct: PI-08/PI-09/PI-15 and the staff runs use /api/v1. Released to gokesari.com 15 Oct 15:58 UTC (PR #179); signed-out prod checks pass.</t>
  </si>
  <si>
    <t>BPU-10</t>
  </si>
  <si>
    <t>Android app</t>
  </si>
  <si>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</si>
  <si>
    <t>BPU-11</t>
  </si>
  <si>
    <t>iOS app</t>
  </si>
  <si>
    <t>Blocked</t>
  </si>
  <si>
    <t>Code is shared with Android (version 1.1.0 / buildNumber 2; iPhone Files picker). iPhone build/TestFlight runs on EAS and needs EXPO_TOKEN + Apple Developer account - not available to this session.</t>
  </si>
  <si>
    <t>BPU-12</t>
  </si>
  <si>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</si>
  <si>
    <t>BPU-13</t>
  </si>
  <si>
    <t>Import history &amp; reports</t>
  </si>
  <si>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</si>
  <si>
    <t>BPU-14</t>
  </si>
  <si>
    <t>Automated tests</t>
  </si>
  <si>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</si>
  <si>
    <t>BPU-15</t>
  </si>
  <si>
    <t>Test-server deployment</t>
  </si>
  <si>
    <t>PR #173 merged into staging (2886cf3); test.gokesari.com deployed; Test database run 31 confirms 0077 (80 migrations). Live run 23/23 pass. Released to gokesari.com 15 Oct 15:58 UTC (PR #179); signed-out prod checks pass.</t>
  </si>
  <si>
    <t>Prod deployment</t>
  </si>
  <si>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 18-19 Oct: signed-in production smoke with a designated test shop 4/4 pass (#191); clean-up E-08 passed (#199); Production database verify passed (#197).</t>
  </si>
  <si>
    <t>PR #173, #174, release #179, #191, #199</t>
  </si>
  <si>
    <t>BPU-17</t>
  </si>
  <si>
    <t>Testing report</t>
  </si>
  <si>
    <t>Test report md + PDF: Test 23/23 (section 2.7), Prod signed-out 13/13 (section 2.8).</t>
  </si>
  <si>
    <t>Inventory &amp; Accounting for shop owners (NEW-067) - feature and sub-feature status</t>
  </si>
  <si>
    <t>Statuses: Not started / In progress / Done / Blocked (dropdown in column E). Done = built, tested and live on gokesari.com (released by #179). Design: docs/inventory-accounting-2026-10/README.md. Tests: docs/inventory-accounting-2026-10/TESTING_REPORT.md and INVENTORY_ACCOUNTING_TEST_REPORT_2026-10-15.xlsx.</t>
  </si>
  <si>
    <t>Part</t>
  </si>
  <si>
    <t>Feature / sub-feature</t>
  </si>
  <si>
    <t>Notes / blocked on</t>
  </si>
  <si>
    <t>IA-001</t>
  </si>
  <si>
    <t>1 Inventory</t>
  </si>
  <si>
    <t>Product master per shop</t>
  </si>
  <si>
    <t>Listings linked to the gokesari.com master product (MRP, HSN, GST rate, unit, barcode/GTIN); shop-level HSN/GST/price stay per shop</t>
  </si>
  <si>
    <t>Production (gokesari.com) and test</t>
  </si>
  <si>
    <t>#171, released #179</t>
  </si>
  <si>
    <t>IA-002</t>
  </si>
  <si>
    <t>Stock ledger</t>
  </si>
  <si>
    <t>inv_stock_ledger: every movement (opening, purchase, sale, sale return, damage/expiry write-off, adjustment, reversal) with date, source document, qty, cost/rate, user; current stock = sum of the ledger</t>
  </si>
  <si>
    <t>IA-003</t>
  </si>
  <si>
    <t>Online orders reduce stock in real time</t>
  </si>
  <si>
    <t>DB triggers on shop_products / inventory_movements write the ledger row in the checkout / cancellation / subscription / catalogue transaction (event-driven, no cron, existing code unchanged)</t>
  </si>
  <si>
    <t>Verified on test.gokesari.com with a real customer order (stock 199 → 198, SALE row with the order id) and its cancellation; a cancellation is labelled SALE_RETURN since migration 0078 (found in staging testing)</t>
  </si>
  <si>
    <t>#171, #172 (0078), released #179</t>
  </si>
  <si>
    <t>IA-004</t>
  </si>
  <si>
    <t>Opening balance backfill</t>
  </si>
  <si>
    <t>Migration 0076 writes today's stock of every listing as OPENING so ledger = stock from day one; drift check on the stock page</t>
  </si>
  <si>
    <t>IA-005</t>
  </si>
  <si>
    <t>Batch &amp; expiry tracking</t>
  </si>
  <si>
    <t>Per listing (auto-on when a bill has batch numbers); FEFO batch balances; expiring-soon list with alert window setting</t>
  </si>
  <si>
    <t>IA-006</t>
  </si>
  <si>
    <t>Low stock / reorder level</t>
  </si>
  <si>
    <t>Existing per-shop thresholds and stock alerts reused; purchases and write-offs re-evaluate alerts</t>
  </si>
  <si>
    <t>IA-007</t>
  </si>
  <si>
    <t>Stock valuation FIFO / weighted average</t>
  </si>
  <si>
    <t>Selectable per shop; reversals take back exactly the reversed cost; uncosted opening stock valued at last purchase rate and reported</t>
  </si>
  <si>
    <t>IA-008</t>
  </si>
  <si>
    <t>Loose goods &amp; unit conversions</t>
  </si>
  <si>
    <t>kg/g/L/ml/piece/dozen, UQC codes, Hindi/Marathi unit words; owner-saved conversions (1 case = 24); fractional quantities exact in the ledger</t>
  </si>
  <si>
    <t>IA-009</t>
  </si>
  <si>
    <t>Write-off and physical count</t>
  </si>
  <si>
    <t>Damage / expiry write-off at cost (P&amp;L line); physical count posts the difference as an adjustment</t>
  </si>
  <si>
    <t>IA-010</t>
  </si>
  <si>
    <t>2 Accounting</t>
  </si>
  <si>
    <t>Purchase register</t>
  </si>
  <si>
    <t>Confirmed bills, versions, cancellations; month filter</t>
  </si>
  <si>
    <t>IA-011</t>
  </si>
  <si>
    <t>Sales register</t>
  </si>
  <si>
    <t>Own GST invoices plus GoKesari order tax invoices</t>
  </si>
  <si>
    <t>IA-012</t>
  </si>
  <si>
    <t>Supplier &amp; customer ledgers</t>
  </si>
  <si>
    <t>Parties with GSTIN, credit days, opening balance; running-balance ledger from the books</t>
  </si>
  <si>
    <t>IA-013</t>
  </si>
  <si>
    <t>Cash / bank book</t>
  </si>
  <si>
    <t>Opening, in, out, closing, running balance</t>
  </si>
  <si>
    <t>IA-014</t>
  </si>
  <si>
    <t>Expenses</t>
  </si>
  <si>
    <t>Categories, claimable GST, cash/bank/credit, cancel with reason</t>
  </si>
  <si>
    <t>IA-015</t>
  </si>
  <si>
    <t>Payables / receivables with ageing</t>
  </si>
  <si>
    <t>0-30 / 31-60 / 61-90 / 90+ by due date; payments applied to the named bill, then oldest first</t>
  </si>
  <si>
    <t>IA-016</t>
  </si>
  <si>
    <t>Double-entry books</t>
  </si>
  <si>
    <t>Balanced vouchers, append-only, reversing vouchers for corrections and cancellations; trial balance</t>
  </si>
  <si>
    <t>IA-017</t>
  </si>
  <si>
    <t>GST sales invoice (CGST/SGST/IGST by place of supply)</t>
  </si>
  <si>
    <t>Rule-46 fields, numbering per FY, GST-inclusive pricing option, PDF, cancel</t>
  </si>
  <si>
    <t>IA-018</t>
  </si>
  <si>
    <t>Reports: P&amp;L, stock summary, day book, GST summary, registers</t>
  </si>
  <si>
    <t>Perpetual COGS, write-offs, expenses net of GST</t>
  </si>
  <si>
    <t>IA-019</t>
  </si>
  <si>
    <t>Export Excel / PDF / Tally XML</t>
  </si>
  <si>
    <t>Every report as xlsx and PDF; Tally import XML with party masters (GSTIN) and vouchers</t>
  </si>
  <si>
    <t>Tally import to be confirmed on the shop's own TallyPrime</t>
  </si>
  <si>
    <t>IA-020</t>
  </si>
  <si>
    <t>3 GST portal</t>
  </si>
  <si>
    <t>Link GSTIN once (consent + OTP)</t>
  </si>
  <si>
    <t>Consent text recorded, portal username, OTP, token stored encrypted, unlink</t>
  </si>
  <si>
    <t>Consent + username + OTP through the GSP adapter; refused on production (no licensed GSP, IA-022). On test.gokesari.com blocked by the encryption key format (IA-056) — tokens are never stored unencrypted. Passes in the integration tests (mock GSP)</t>
  </si>
  <si>
    <t>IA-021</t>
  </si>
  <si>
    <t>Pluggable GSP adapter</t>
  </si>
  <si>
    <t>GST_RETURNS_PROVIDER: none / mock / GSP slots (masters_india, cleartax, iris, tally_gsp, vayana)</t>
  </si>
  <si>
    <t>IA-022</t>
  </si>
  <si>
    <t>Licensed GSP live connection</t>
  </si>
  <si>
    <t>Real GSTR-2B/2A/1 pull from the GST system</t>
  </si>
  <si>
    <t>Code on production; waits on the item in Notes</t>
  </si>
  <si>
    <t>Needs a GSP contract and API credentials chosen by the owner; until then the manual upload works on gokesari.com</t>
  </si>
  <si>
    <t>IA-023</t>
  </si>
  <si>
    <t>Pull GSTR-2B / 2A / GSTR-1 (API)</t>
  </si>
  <si>
    <t>Through the configured adapter; mock on test.gokesari.com</t>
  </si>
  <si>
    <t>Live only with a GSP (IA-022); on test blocked by IA-056. Passes in the integration tests (mock GSP, OTP 575757)</t>
  </si>
  <si>
    <t>IA-024</t>
  </si>
  <si>
    <t>Manual fallback: upload GSTR-2B JSON / Excel</t>
  </si>
  <si>
    <t>GSTR-2B JSON (both shapes), GSTR-2A, GSTR-1 JSON, GSTR-2B Excel with merged headers</t>
  </si>
  <si>
    <t>IA-025</t>
  </si>
  <si>
    <t>Reconciliation</t>
  </si>
  <si>
    <t>Supplier GSTIN + invoice no. + date + amount; matched, amount mismatch, missing in books, missing on portal; ITC status updated</t>
  </si>
  <si>
    <t>IA-026</t>
  </si>
  <si>
    <t>GST liability dashboard (month / quarter)</t>
  </si>
  <si>
    <t>Output - reconciled ITC = net payable per CGST/SGST/IGST/cess with the legal set-off order and carry forward; pending ITC shown separately</t>
  </si>
  <si>
    <t>IA-027</t>
  </si>
  <si>
    <t>Due dates and reminders</t>
  </si>
  <si>
    <t>Monthly / QRMP due dates (GSTR-1, GSTR-3B, PMT-06); daily reminder cron, one reminder per return and period</t>
  </si>
  <si>
    <t>Owner to schedule /api/cron/gst-reminders on the server (see README)</t>
  </si>
  <si>
    <t>IA-028</t>
  </si>
  <si>
    <t>Estimates only, no filing</t>
  </si>
  <si>
    <t>'Verify with your CA before filing' on every GST figure; nothing is filed</t>
  </si>
  <si>
    <t>IA-029</t>
  </si>
  <si>
    <t>4 Soft copy</t>
  </si>
  <si>
    <t>Upload PDF / photo / Excel / e-invoice JSON</t>
  </si>
  <si>
    <t>Up to 10 files, sniffed types, progress bar for slow networks</t>
  </si>
  <si>
    <t>IA-030</t>
  </si>
  <si>
    <t>Share to app (WhatsApp / email / Files)</t>
  </si>
  <si>
    <t>PWA share target: installed site on Android receives shared bills</t>
  </si>
  <si>
    <t>IA-031</t>
  </si>
  <si>
    <t>Share straight into the native Android/iOS app</t>
  </si>
  <si>
    <t>Native share-intent module + new store build</t>
  </si>
  <si>
    <t>Needs a native share-intent module and an EAS store build tested on a device; share to the installed website or forward by email meanwhile</t>
  </si>
  <si>
    <t>IA-032</t>
  </si>
  <si>
    <t>Forward by email</t>
  </si>
  <si>
    <t>Private per-shop address bills+&lt;id&gt;-&lt;sig&gt;@domain; inbound webhook /api/inbound/bill-email</t>
  </si>
  <si>
    <t>Code done and tested; needs an inbound mail provider + INBOUND_EMAIL_SECRET / INBOUND_EMAIL_DOMAIN on the server</t>
  </si>
  <si>
    <t>IA-033</t>
  </si>
  <si>
    <t>E-invoice JSON / signed QR as trusted source</t>
  </si>
  <si>
    <t>IRP JSON (plain or signed), signed QR decoded from photos and PDFs; RS256 check when NIC key configured</t>
  </si>
  <si>
    <t>Signature check needs EINVOICE_QR_PUBLIC_KEY (NIC public key)</t>
  </si>
  <si>
    <t>IA-034</t>
  </si>
  <si>
    <t>AI document parsing</t>
  </si>
  <si>
    <t>Claude reads supplier, GSTIN, number, date, lines, totals with per-field confidence</t>
  </si>
  <si>
    <t>Code done; needs ANTHROPIC_API_KEY + INVOICE_EXTRACTION_PROVIDER=claude on the servers (owner decision: bills are sent to Anthropic for reading)</t>
  </si>
  <si>
    <t>IA-035</t>
  </si>
  <si>
    <t>Local extraction fallback</t>
  </si>
  <si>
    <t>Excel item tables, PDF text layer, OCR text with rules</t>
  </si>
  <si>
    <t>OCR worker does not start on Hostinger (same as the document reader, NEW-062): photos fall back to typing</t>
  </si>
  <si>
    <t>IA-036</t>
  </si>
  <si>
    <t>Match lines to product master</t>
  </si>
  <si>
    <t>Remembered supplier mapping, barcode/GTIN, HSN + name, name; suggestions; create new product (reuses the master by barcode)</t>
  </si>
  <si>
    <t>IA-037</t>
  </si>
  <si>
    <t>Validation</t>
  </si>
  <si>
    <t>Line maths, GST maths, totals = invoice total, GSTIN format + check digit, duplicate (supplier + number), e-invoice QR agreement, place of supply</t>
  </si>
  <si>
    <t>IA-038</t>
  </si>
  <si>
    <t>5 Hard copy</t>
  </si>
  <si>
    <t>Camera scan (web + app)</t>
  </si>
  <si>
    <t>Edge detection, crop, de-skew, enhance (colour / grey / B&amp;W), corner adjust, multi-page, blur warning, small JPEGs</t>
  </si>
  <si>
    <t>IA-039</t>
  </si>
  <si>
    <t>OCR + AI for printed and handwritten bills (English, Hindi, Marathi)</t>
  </si>
  <si>
    <t>AI reader handles handwriting and Hindi/Marathi; local OCR English only</t>
  </si>
  <si>
    <t>Hindi/Marathi and handwriting need the AI reader (IA-034)</t>
  </si>
  <si>
    <t>IA-040</t>
  </si>
  <si>
    <t>Per-field confidence, low confidence highlighted</t>
  </si>
  <si>
    <t>Amber = not sure, red = must fix; confidence % next to the field</t>
  </si>
  <si>
    <t>IA-041</t>
  </si>
  <si>
    <t>6 Review</t>
  </si>
  <si>
    <t>Side-by-side review &amp; correction screen</t>
  </si>
  <si>
    <t>Original bill + editable table (phone: switch); edit any field, add/remove lines, change mapping, auto-save</t>
  </si>
  <si>
    <t>IA-042</t>
  </si>
  <si>
    <t>Nothing touches stock until Confirm</t>
  </si>
  <si>
    <t>Captures hold drafts only</t>
  </si>
  <si>
    <t>IA-043</t>
  </si>
  <si>
    <t>Confirm in one DB transaction</t>
  </si>
  <si>
    <t>Stock + cost + batches, purchase, supplier ledger, ITC record, mappings, files</t>
  </si>
  <si>
    <t>IA-044</t>
  </si>
  <si>
    <t>Post-confirmation correction</t>
  </si>
  <si>
    <t>Reopen -&gt; reversing + corrected entries in stock, books and ITC; never an overwrite</t>
  </si>
  <si>
    <t>IA-045</t>
  </si>
  <si>
    <t>Audit trail</t>
  </si>
  <si>
    <t>acc_change_log: who, when, old value, new value, reason; shown on the bill</t>
  </si>
  <si>
    <t>IA-046</t>
  </si>
  <si>
    <t>Corrections feed back into extraction</t>
  </si>
  <si>
    <t>Supplier-specific product + unit mappings used first on the next bill</t>
  </si>
  <si>
    <t>IA-047</t>
  </si>
  <si>
    <t>7 Data &amp; security</t>
  </si>
  <si>
    <t>Seller DB tables scoped by shop_id</t>
  </si>
  <si>
    <t>24 tables, ownership map; every API checks the shop; isolation tested</t>
  </si>
  <si>
    <t>IA-048</t>
  </si>
  <si>
    <t>Encryption at rest</t>
  </si>
  <si>
    <t>GST tokens (AES-256-GCM); uploaded bills encrypted when INTEGRATION_ENCRYPTION_KEY is set</t>
  </si>
  <si>
    <t>GST portal tokens: always encrypted (refused without a valid key). Stored bills: encrypted when INTEGRATION_ENCRYPTION_KEY is valid (IA-056); always served only through the access-checked route</t>
  </si>
  <si>
    <t>IA-049</t>
  </si>
  <si>
    <t>Object storage with per-shop access control</t>
  </si>
  <si>
    <t>S3-compatible bucket (ACCOUNTS_STORAGE=s3) or MEDIA_DIR / DB; served only via the access-checked route</t>
  </si>
  <si>
    <t>Code done; bucket credentials not configured yet, so files are in the database / MEDIA_DIR</t>
  </si>
  <si>
    <t>IA-050</t>
  </si>
  <si>
    <t>Background job queue + progress</t>
  </si>
  <si>
    <t>inv_bill_captures queue with progress %, SKIP LOCKED, retry; cron safety net</t>
  </si>
  <si>
    <t>Owner to schedule /api/cron/bill-captures (optional safety net)</t>
  </si>
  <si>
    <t>IA-051</t>
  </si>
  <si>
    <t>Real-time notification when ready</t>
  </si>
  <si>
    <t>In-app (+ email) notification and live progress polling on the screen</t>
  </si>
  <si>
    <t>IA-052</t>
  </si>
  <si>
    <t>Slow networks / one screen</t>
  </si>
  <si>
    <t>Compressed scans, upload progress, Tile Board one-screen hub, phone layouts</t>
  </si>
  <si>
    <t>Board and GST page were ~40 s on test.gokesari.com (database far from the web server); fixed in #172 — every module page ~4 s on test (Seller Central /shop ~8 s there)</t>
  </si>
  <si>
    <t>#171, #172, released #179</t>
  </si>
  <si>
    <t>IA-053</t>
  </si>
  <si>
    <t>UI</t>
  </si>
  <si>
    <t>Theme 1 Tile Board hub (web + app)</t>
  </si>
  <si>
    <t>/shop/accounts with 12 tiles, live counts, 4 headline figures, EN/HI/MR; Inventory tile 'Bills &amp; GST' and Finance hub links</t>
  </si>
  <si>
    <t>IA-054</t>
  </si>
  <si>
    <t>Mobile</t>
  </si>
  <si>
    <t>Android and iOS apps</t>
  </si>
  <si>
    <t>WebView apps show the module on deploy (no store update); camera via photo picker; downloads via bridge</t>
  </si>
  <si>
    <t>Native share-intent is IA-031</t>
  </si>
  <si>
    <t>IA-055</t>
  </si>
  <si>
    <t>Testing on test.gokesari.com and gokesari.com</t>
  </si>
  <si>
    <t>Unit, integration, E2E; staging functional run; production read-only checks</t>
  </si>
  <si>
    <t>Local: 149 module unit/integration + E2E 11/11; CI full suite 1,915 tests green on the release. test.gokesari.com: smoke 11/11, functional 26/27 + live order/cancel PASS (GST link blocked by IA-056). gokesari.com: read-only smoke 11/11 after release #179. See TESTING_REPORT.md</t>
  </si>
  <si>
    <t>IA-056</t>
  </si>
  <si>
    <t>Encryption key on the servers</t>
  </si>
  <si>
    <t>INTEGRATION_ENCRYPTION_KEY (base64, 32 bytes) set on test.gokesari.com and gokesari.com — needed for GST portal linking and for encrypting stored bills</t>
  </si>
  <si>
    <t>Server settings (test and production)</t>
  </si>
  <si>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</si>
  <si>
    <t>Count</t>
  </si>
  <si>
    <t>Files consolidated into this report</t>
  </si>
  <si>
    <t>Used for</t>
  </si>
  <si>
    <t>docs/gokesari-audit/GOKESARI_FEATURE_STATUS_REPORT_2026-10-25.xlsx (main tracker)</t>
  </si>
  <si>
    <t>Baseline: Feature Register (277 rows), Process Flow Tree F1-F15, PR Register to #247, Blockers #1-#71, Batch, Bulk upload, Inventory &amp; Accounting sheets</t>
  </si>
  <si>
    <t>DEALER_PROGRAMME_TRACKER_2026-10-29.xlsx</t>
  </si>
  <si>
    <t>Dealer Programme sheet; GKS-* rows in the Feature Register; F16</t>
  </si>
  <si>
    <t>GOKESARI_DEALER_PROGRAMME_TRACKER_2026-10-28.xlsx</t>
  </si>
  <si>
    <t>Earlier staging results (superseded by 29 Oct; noted where a check was partial or not run)</t>
  </si>
  <si>
    <t>GOKESARI_PENDING_FOR_PRODUCTION_2026-10-29.md</t>
  </si>
  <si>
    <t>Pending for Production sheet; defects D-106, E-04; flags; Blockers #76-#78</t>
  </si>
  <si>
    <t>GOKESARI_PERFORMANCE_REPORT_2026-10-29.md</t>
  </si>
  <si>
    <t>Performance &amp; DB sheet; NEW-098..099; F18.2</t>
  </si>
  <si>
    <t>GOKESARI_PERFORMANCE_DIAGNOSIS_2026-10-28.md</t>
  </si>
  <si>
    <t>Performance &amp; DB sheet (Ohio measurements, approval delay)</t>
  </si>
  <si>
    <t>NEW-086, F18.1, Blockers #72-#75, #81</t>
  </si>
  <si>
    <t>GOKESARI_LOCAL_STAGING_MAIN_GAP_2026-10-27.md</t>
  </si>
  <si>
    <t>NEW-078..079 and the 25-27 Oct releases</t>
  </si>
  <si>
    <t>git history (origin/main, origin/staging) 25-29 Oct</t>
  </si>
  <si>
    <t>PR Register #250-#289, release list, New Functions and New Routes &amp; Pages sheets</t>
  </si>
  <si>
    <t>ATIP_FEATURE_LIST_2026-09-29.xlsx, ATIP_MASTER_TRACKER.xlsx</t>
  </si>
  <si>
    <t>Not used: ATIP is a separate project and is not tracked in GoKesari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</si>
</sst>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harset val="1"/>
      <color rgb="FF9A3412"/>
      <sz val="14"/>
      <name val="Arial"/>
    </font>
    <font>
      <i/>
      <charset val="1"/>
      <color rgb="FF475569"/>
      <sz val="9"/>
      <name val="Arial"/>
    </font>
    <font>
      <b/>
      <charset val="1"/>
      <sz val="11"/>
      <name val="Arial"/>
    </font>
    <font>
      <b/>
      <charset val="1"/>
      <color rgb="FFFFFFFF"/>
      <sz val="10"/>
      <name val="Arial"/>
    </font>
    <font>
      <b/>
      <charset val="1"/>
      <sz val="9"/>
      <name val="Arial"/>
    </font>
    <font>
      <charset val="1"/>
      <sz val="9"/>
      <name val="Arial"/>
    </font>
    <font>
      <charset val="1"/>
      <color theme="1"/>
      <family val="2"/>
      <sz val="11"/>
      <name val="Calibri"/>
    </font>
    <font>
      <b/>
      <charset val="1"/>
      <sz val="11"/>
      <name val="Cambria"/>
    </font>
    <font>
      <b/>
      <charset val="1"/>
      <sz val="10"/>
      <name val="Arial"/>
    </font>
    <font>
      <b/>
      <u/>
      <charset val="1"/>
      <color rgb="FF1D4ED8"/>
      <sz val="9"/>
      <name val="Arial"/>
    </font>
    <font>
      <b/>
      <charset val="1"/>
      <sz val="13"/>
      <name val="Cambria"/>
    </font>
    <font>
      <b/>
      <charset val="1"/>
      <color rgb="FFFFFFFF"/>
      <sz val="11"/>
      <name val="Cambria"/>
    </font>
  </fonts>
  <fills count="16">
    <fill>
      <patternFill patternType="none"/>
    </fill>
    <fill>
      <patternFill patternType="gray125"/>
    </fill>
    <fill>
      <patternFill/>
    </fill>
    <fill>
      <patternFill patternType="solid">
        <fgColor rgb="FFC9450C"/>
        <bgColor rgb="FFC2410C"/>
      </patternFill>
    </fill>
    <fill>
      <patternFill patternType="solid">
        <fgColor rgb="FFFFEDD5"/>
        <bgColor rgb="FFFFF2CC"/>
      </patternFill>
    </fill>
    <fill>
      <patternFill patternType="solid">
        <fgColor rgb="FFFFF7ED"/>
        <bgColor rgb="FFFFFFFF"/>
      </patternFill>
    </fill>
    <fill>
      <patternFill patternType="solid">
        <fgColor rgb="FFC6EFCE"/>
        <bgColor rgb="FFD1FAE5"/>
      </patternFill>
    </fill>
    <fill>
      <patternFill patternType="solid">
        <fgColor rgb="FFD9D9D9"/>
        <bgColor rgb="FFD6D3D1"/>
      </patternFill>
    </fill>
    <fill>
      <patternFill patternType="solid">
        <fgColor rgb="FFDDEBF7"/>
        <bgColor rgb="FFE5E7EB"/>
      </patternFill>
    </fill>
    <fill>
      <patternFill patternType="solid">
        <fgColor rgb="FFFFF2CC"/>
        <bgColor rgb="FFFEF3C7"/>
      </patternFill>
    </fill>
    <fill>
      <patternFill patternType="solid">
        <fgColor rgb="FFF8CBAD"/>
        <bgColor rgb="FFFECACA"/>
      </patternFill>
    </fill>
    <fill>
      <patternFill patternType="solid">
        <fgColor rgb="FFC2410C"/>
        <bgColor rgb="FFC9450C"/>
      </patternFill>
    </fill>
    <fill>
      <patternFill patternType="solid">
        <fgColor rgb="FFFEF3C7"/>
        <bgColor rgb="FFFFF2CC"/>
      </patternFill>
    </fill>
    <fill>
      <patternFill patternType="solid">
        <fgColor rgb="FFFECACA"/>
        <bgColor rgb="FFF8CBAD"/>
      </patternFill>
    </fill>
    <fill>
      <patternFill patternType="solid">
        <fgColor rgb="FFDCFCE7"/>
        <bgColor rgb="FFD1FAE5"/>
      </patternFill>
    </fill>
    <fill>
      <patternFill patternType="solid">
        <fgColor rgb="FFFEE2E2"/>
        <bgColor rgb="FFFFEDD5"/>
      </patternFill>
    </fill>
  </fills>
  <borders count="2">
    <border>
      <left/>
      <right/>
      <top/>
      <bottom/>
      <diagonal/>
    </border>
    <border>
      <left style="thin">
        <color rgb="FFD6D3D1"/>
      </left>
      <right style="thin">
        <color rgb="FFD6D3D1"/>
      </right>
      <top style="thin">
        <color rgb="FFD6D3D1"/>
      </top>
      <bottom style="thin">
        <color rgb="FFD6D3D1"/>
      </bottom>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2" fillId="2" borderId="0" xfId="0" applyFont="1" applyFill="1" applyAlignment="1">
      <alignment vertical="top" wrapText="1"/>
    </xf>
    <xf numFmtId="0" fontId="3" fillId="2" borderId="0" xfId="0" applyFont="1" applyFill="1" applyAlignment="1">
      <alignment vertical="bottom"/>
    </xf>
    <xf numFmtId="0" fontId="4" fillId="3" borderId="1" xfId="0" applyFont="1" applyFill="1" applyBorder="1" applyAlignment="1">
      <alignment horizontal="center" vertical="top" wrapText="1"/>
    </xf>
    <xf numFmtId="0" fontId="5" fillId="2" borderId="1" xfId="0" applyFont="1" applyFill="1" applyBorder="1" applyAlignment="1">
      <alignment vertical="top" wrapText="1"/>
    </xf>
    <xf numFmtId="0" fontId="6" fillId="2" borderId="1" xfId="0" applyFont="1" applyFill="1" applyBorder="1" applyAlignment="1">
      <alignment horizontal="center" vertical="top" wrapText="1"/>
    </xf>
    <xf numFmtId="9" fontId="6" fillId="2" borderId="1" xfId="0" applyNumberFormat="1" applyFont="1" applyFill="1" applyBorder="1" applyAlignment="1">
      <alignment horizontal="center" vertical="top" wrapText="1"/>
    </xf>
    <xf numFmtId="0" fontId="5" fillId="2" borderId="1" xfId="0" applyFont="1" applyFill="1" applyBorder="1" applyAlignment="1">
      <alignment horizontal="center" vertical="top" wrapText="1"/>
    </xf>
    <xf numFmtId="0" fontId="6" fillId="2" borderId="0" xfId="0" applyFont="1" applyFill="1" applyAlignment="1">
      <alignment vertical="top" wrapText="1"/>
    </xf>
    <xf numFmtId="0" fontId="7" fillId="2" borderId="0" xfId="0" applyFont="1" applyFill="1" applyAlignment="1">
      <alignment vertical="bottom"/>
    </xf>
    <xf numFmtId="0" fontId="6" fillId="2" borderId="1" xfId="0" applyFont="1" applyFill="1" applyBorder="1" applyAlignment="1">
      <alignment vertical="top" wrapText="1"/>
    </xf>
    <xf numFmtId="0" fontId="7" fillId="2" borderId="0" xfId="0" applyFont="1" applyFill="1"/>
    <xf numFmtId="0" fontId="8" fillId="2" borderId="0" xfId="0" applyFont="1" applyFill="1" applyAlignment="1">
      <alignment vertical="bottom"/>
    </xf>
    <xf numFmtId="0" fontId="9" fillId="4" borderId="1" xfId="0" applyFont="1" applyFill="1" applyBorder="1" applyAlignment="1">
      <alignment vertical="top" wrapText="1"/>
    </xf>
    <xf numFmtId="0" fontId="9" fillId="4" borderId="1" xfId="0" applyFont="1" applyFill="1" applyBorder="1" applyAlignment="1">
      <alignment horizontal="center"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vertical="top" wrapText="1" indent="2"/>
    </xf>
    <xf numFmtId="0" fontId="6" fillId="2" borderId="1" xfId="0" applyFont="1" applyFill="1" applyBorder="1" applyAlignment="1">
      <alignment vertical="top" wrapText="1" indent="4"/>
    </xf>
    <xf numFmtId="0" fontId="7" fillId="6" borderId="0" xfId="0" applyFont="1" applyFill="1" applyAlignment="1">
      <alignment vertical="bottom"/>
    </xf>
    <xf numFmtId="0" fontId="7" fillId="2" borderId="0" xfId="0" applyFont="1" applyFill="1" applyAlignment="1">
      <alignment vertical="top" wrapText="1"/>
    </xf>
    <xf numFmtId="0" fontId="7" fillId="7" borderId="0" xfId="0" applyFont="1" applyFill="1" applyAlignment="1">
      <alignment vertical="bottom"/>
    </xf>
    <xf numFmtId="0" fontId="7" fillId="8" borderId="0" xfId="0" applyFont="1" applyFill="1" applyAlignment="1">
      <alignment vertical="bottom"/>
    </xf>
    <xf numFmtId="0" fontId="7" fillId="9" borderId="0" xfId="0" applyFont="1" applyFill="1" applyAlignment="1">
      <alignment vertical="bottom"/>
    </xf>
    <xf numFmtId="0" fontId="7" fillId="10" borderId="0" xfId="0" applyFont="1" applyFill="1" applyAlignment="1">
      <alignment vertical="bottom"/>
    </xf>
    <xf numFmtId="0" fontId="10" fillId="2" borderId="1" xfId="0" applyFont="1" applyFill="1" applyBorder="1" applyAlignment="1">
      <alignment horizontal="center" vertical="top" wrapText="1"/>
    </xf>
    <xf numFmtId="0" fontId="11" fillId="2" borderId="0" xfId="0" applyFont="1" applyFill="1" applyAlignment="1">
      <alignment vertical="bottom"/>
    </xf>
    <xf numFmtId="0" fontId="12" fillId="11" borderId="0" xfId="0" applyFont="1" applyFill="1" applyAlignment="1">
      <alignment vertical="bottom"/>
    </xf>
    <xf numFmtId="0" fontId="7" fillId="12" borderId="0" xfId="0" applyFont="1" applyFill="1" applyAlignment="1">
      <alignment vertical="top" wrapText="1"/>
    </xf>
    <xf numFmtId="0" fontId="7" fillId="13" borderId="0" xfId="0" applyFont="1" applyFill="1" applyAlignment="1">
      <alignment vertical="top" wrapText="1"/>
    </xf>
    <xf numFmtId="0" fontId="7" fillId="14" borderId="0" xfId="0" applyFont="1" applyFill="1" applyAlignment="1">
      <alignment vertical="top" wrapText="1"/>
    </xf>
    <xf numFmtId="0" fontId="7" fillId="15" borderId="0" xfId="0" applyFont="1" applyFill="1" applyAlignment="1">
      <alignment vertical="top" wrapText="1"/>
    </xf>
  </cellXfs>
  <cellStyles count="1">
    <cellStyle name="Normal" xfId="0" builtinId="0"/>
  </cellStyles>
  <dxfs count="37">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991B1B"/>
      </font>
      <fill>
        <patternFill>
          <bgColor rgb="FFFEE2E2"/>
        </patternFill>
      </fill>
    </dxf>
    <dxf>
      <font>
        <b/>
        <color rgb="FF92400E"/>
      </font>
      <fill>
        <patternFill>
          <bgColor rgb="FFFEF3C7"/>
        </patternFill>
      </fill>
    </dxf>
    <dxf>
      <font>
        <b/>
        <color rgb="FF92400E"/>
      </font>
      <fill>
        <patternFill>
          <bgColor rgb="FFFEF3C7"/>
        </patternFill>
      </fill>
    </dxf>
    <dxf>
      <font>
        <b/>
        <color rgb="FF374151"/>
      </font>
      <fill>
        <patternFill>
          <bgColor rgb="FFE5E7EB"/>
        </patternFill>
      </fill>
    </dxf>
    <dxf>
      <font>
        <b/>
        <color rgb="FF065F46"/>
      </font>
      <fill>
        <patternFill>
          <bgColor rgb="FFD1FAE5"/>
        </patternFill>
      </fill>
    </dxf>
    <dxf>
      <font>
        <b/>
        <color rgb="FF065F46"/>
      </font>
      <fill>
        <patternFill>
          <bgColor rgb="FFD1FAE5"/>
        </patternFill>
      </fill>
    </dxf>
    <dxf>
      <font>
        <b/>
        <color rgb="FF374151"/>
      </font>
      <fill>
        <patternFill>
          <bgColor rgb="FFE5E7EB"/>
        </patternFill>
      </fill>
    </dxf>
    <dxf>
      <font>
        <b/>
        <color rgb="FF92400E"/>
      </font>
      <fill>
        <patternFill>
          <bgColor rgb="FFFEF3C7"/>
        </patternFill>
      </fill>
    </dxf>
    <dxf>
      <font>
        <b/>
        <color rgb="FF991B1B"/>
      </font>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15.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8.xml"/><Relationship Id="rId14" Type="http://schemas.openxmlformats.org/officeDocument/2006/relationships/worksheet" Target="worksheets/sheet7.xml"/><Relationship Id="rId15" Type="http://schemas.openxmlformats.org/officeDocument/2006/relationships/worksheet" Target="worksheets/sheet2.xml"/><Relationship Id="rId16" Type="http://schemas.openxmlformats.org/officeDocument/2006/relationships/worksheet" Target="worksheets/sheet3.xml"/><Relationship Id="rId17" Type="http://schemas.openxmlformats.org/officeDocument/2006/relationships/worksheet" Target="worksheets/sheet4.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3</xdr:row>
      <xdr:rowOff>0</xdr:rowOff>
    </xdr:from>
    <xdr:ext cx="10039350" cy="40576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28</xdr:row>
      <xdr:rowOff>0</xdr:rowOff>
    </xdr:from>
    <xdr:ext cx="10039350" cy="39719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52</xdr:row>
      <xdr:rowOff>0</xdr:rowOff>
    </xdr:from>
    <xdr:ext cx="10039350" cy="34099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standalone="yes"?>
<Relationships xmlns="http://schemas.openxmlformats.org/package/2006/relationships"><Relationship Id="rId1" Type="http://schemas.openxmlformats.org/officeDocument/2006/relationships/hyperlink" Target="https://github.com/sanjaymorankar-debug/GoKesari/pull/1" TargetMode="External"/><Relationship Id="rId2" Type="http://schemas.openxmlformats.org/officeDocument/2006/relationships/hyperlink" Target="https://github.com/sanjaymorankar-debug/GoKesari/pull/2" TargetMode="External"/><Relationship Id="rId3" Type="http://schemas.openxmlformats.org/officeDocument/2006/relationships/hyperlink" Target="https://github.com/sanjaymorankar-debug/GoKesari/pull/3" TargetMode="External"/><Relationship Id="rId4" Type="http://schemas.openxmlformats.org/officeDocument/2006/relationships/hyperlink" Target="https://github.com/sanjaymorankar-debug/GoKesari/pull/4" TargetMode="External"/><Relationship Id="rId5" Type="http://schemas.openxmlformats.org/officeDocument/2006/relationships/hyperlink" Target="https://github.com/sanjaymorankar-debug/GoKesari/pull/5" TargetMode="External"/><Relationship Id="rId6" Type="http://schemas.openxmlformats.org/officeDocument/2006/relationships/hyperlink" Target="https://github.com/sanjaymorankar-debug/GoKesari/pull/6" TargetMode="External"/><Relationship Id="rId7" Type="http://schemas.openxmlformats.org/officeDocument/2006/relationships/hyperlink" Target="https://github.com/sanjaymorankar-debug/GoKesari/pull/7" TargetMode="External"/><Relationship Id="rId8" Type="http://schemas.openxmlformats.org/officeDocument/2006/relationships/hyperlink" Target="https://github.com/sanjaymorankar-debug/GoKesari/pull/8" TargetMode="External"/><Relationship Id="rId9" Type="http://schemas.openxmlformats.org/officeDocument/2006/relationships/hyperlink" Target="https://github.com/sanjaymorankar-debug/GoKesari/pull/9" TargetMode="External"/><Relationship Id="rId10" Type="http://schemas.openxmlformats.org/officeDocument/2006/relationships/hyperlink" Target="https://github.com/sanjaymorankar-debug/GoKesari/pull/10" TargetMode="External"/><Relationship Id="rId11" Type="http://schemas.openxmlformats.org/officeDocument/2006/relationships/hyperlink" Target="https://github.com/sanjaymorankar-debug/GoKesari/pull/11" TargetMode="External"/><Relationship Id="rId12" Type="http://schemas.openxmlformats.org/officeDocument/2006/relationships/hyperlink" Target="https://github.com/sanjaymorankar-debug/GoKesari/pull/12" TargetMode="External"/><Relationship Id="rId13" Type="http://schemas.openxmlformats.org/officeDocument/2006/relationships/hyperlink" Target="https://github.com/sanjaymorankar-debug/GoKesari/pull/13" TargetMode="External"/><Relationship Id="rId14" Type="http://schemas.openxmlformats.org/officeDocument/2006/relationships/hyperlink" Target="https://github.com/sanjaymorankar-debug/GoKesari/pull/14" TargetMode="External"/><Relationship Id="rId15" Type="http://schemas.openxmlformats.org/officeDocument/2006/relationships/hyperlink" Target="https://github.com/sanjaymorankar-debug/GoKesari/pull/15" TargetMode="External"/><Relationship Id="rId16" Type="http://schemas.openxmlformats.org/officeDocument/2006/relationships/hyperlink" Target="https://github.com/sanjaymorankar-debug/GoKesari/pull/16" TargetMode="External"/><Relationship Id="rId17" Type="http://schemas.openxmlformats.org/officeDocument/2006/relationships/hyperlink" Target="https://github.com/sanjaymorankar-debug/GoKesari/pull/17" TargetMode="External"/><Relationship Id="rId18" Type="http://schemas.openxmlformats.org/officeDocument/2006/relationships/hyperlink" Target="https://github.com/sanjaymorankar-debug/GoKesari/pull/18" TargetMode="External"/><Relationship Id="rId19" Type="http://schemas.openxmlformats.org/officeDocument/2006/relationships/hyperlink" Target="https://github.com/sanjaymorankar-debug/GoKesari/pull/19" TargetMode="External"/><Relationship Id="rId20" Type="http://schemas.openxmlformats.org/officeDocument/2006/relationships/hyperlink" Target="https://github.com/sanjaymorankar-debug/GoKesari/pull/20" TargetMode="External"/><Relationship Id="rId21" Type="http://schemas.openxmlformats.org/officeDocument/2006/relationships/hyperlink" Target="https://github.com/sanjaymorankar-debug/GoKesari/pull/21" TargetMode="External"/><Relationship Id="rId22" Type="http://schemas.openxmlformats.org/officeDocument/2006/relationships/hyperlink" Target="https://github.com/sanjaymorankar-debug/GoKesari/pull/22" TargetMode="External"/><Relationship Id="rId23" Type="http://schemas.openxmlformats.org/officeDocument/2006/relationships/hyperlink" Target="https://github.com/sanjaymorankar-debug/GoKesari/pull/23" TargetMode="External"/><Relationship Id="rId24" Type="http://schemas.openxmlformats.org/officeDocument/2006/relationships/hyperlink" Target="https://github.com/sanjaymorankar-debug/GoKesari/pull/24" TargetMode="External"/><Relationship Id="rId25" Type="http://schemas.openxmlformats.org/officeDocument/2006/relationships/hyperlink" Target="https://github.com/sanjaymorankar-debug/GoKesari/pull/25" TargetMode="External"/><Relationship Id="rId26" Type="http://schemas.openxmlformats.org/officeDocument/2006/relationships/hyperlink" Target="https://github.com/sanjaymorankar-debug/GoKesari/pull/26" TargetMode="External"/><Relationship Id="rId27" Type="http://schemas.openxmlformats.org/officeDocument/2006/relationships/hyperlink" Target="https://github.com/sanjaymorankar-debug/GoKesari/pull/27" TargetMode="External"/><Relationship Id="rId28" Type="http://schemas.openxmlformats.org/officeDocument/2006/relationships/hyperlink" Target="https://github.com/sanjaymorankar-debug/GoKesari/pull/28" TargetMode="External"/><Relationship Id="rId29" Type="http://schemas.openxmlformats.org/officeDocument/2006/relationships/hyperlink" Target="https://github.com/sanjaymorankar-debug/GoKesari/pull/29" TargetMode="External"/><Relationship Id="rId30" Type="http://schemas.openxmlformats.org/officeDocument/2006/relationships/hyperlink" Target="https://github.com/sanjaymorankar-debug/GoKesari/pull/30" TargetMode="External"/><Relationship Id="rId31" Type="http://schemas.openxmlformats.org/officeDocument/2006/relationships/hyperlink" Target="https://github.com/sanjaymorankar-debug/GoKesari/pull/31" TargetMode="External"/><Relationship Id="rId32" Type="http://schemas.openxmlformats.org/officeDocument/2006/relationships/hyperlink" Target="https://github.com/sanjaymorankar-debug/GoKesari/pull/32" TargetMode="External"/><Relationship Id="rId33" Type="http://schemas.openxmlformats.org/officeDocument/2006/relationships/hyperlink" Target="https://github.com/sanjaymorankar-debug/GoKesari/pull/33" TargetMode="External"/><Relationship Id="rId34" Type="http://schemas.openxmlformats.org/officeDocument/2006/relationships/hyperlink" Target="https://github.com/sanjaymorankar-debug/GoKesari/pull/34" TargetMode="External"/><Relationship Id="rId35" Type="http://schemas.openxmlformats.org/officeDocument/2006/relationships/hyperlink" Target="https://github.com/sanjaymorankar-debug/GoKesari/pull/35" TargetMode="External"/><Relationship Id="rId36" Type="http://schemas.openxmlformats.org/officeDocument/2006/relationships/hyperlink" Target="https://github.com/sanjaymorankar-debug/GoKesari/pull/36" TargetMode="External"/><Relationship Id="rId37" Type="http://schemas.openxmlformats.org/officeDocument/2006/relationships/hyperlink" Target="https://github.com/sanjaymorankar-debug/GoKesari/pull/37" TargetMode="External"/><Relationship Id="rId38" Type="http://schemas.openxmlformats.org/officeDocument/2006/relationships/hyperlink" Target="https://github.com/sanjaymorankar-debug/GoKesari/pull/38" TargetMode="External"/><Relationship Id="rId39" Type="http://schemas.openxmlformats.org/officeDocument/2006/relationships/hyperlink" Target="https://github.com/sanjaymorankar-debug/GoKesari/pull/39" TargetMode="External"/><Relationship Id="rId40" Type="http://schemas.openxmlformats.org/officeDocument/2006/relationships/hyperlink" Target="https://github.com/sanjaymorankar-debug/GoKesari/pull/40" TargetMode="External"/><Relationship Id="rId41" Type="http://schemas.openxmlformats.org/officeDocument/2006/relationships/hyperlink" Target="https://github.com/sanjaymorankar-debug/GoKesari/pull/41" TargetMode="External"/><Relationship Id="rId42" Type="http://schemas.openxmlformats.org/officeDocument/2006/relationships/hyperlink" Target="https://github.com/sanjaymorankar-debug/GoKesari/pull/42" TargetMode="External"/><Relationship Id="rId43" Type="http://schemas.openxmlformats.org/officeDocument/2006/relationships/hyperlink" Target="https://github.com/sanjaymorankar-debug/GoKesari/pull/43" TargetMode="External"/><Relationship Id="rId44" Type="http://schemas.openxmlformats.org/officeDocument/2006/relationships/hyperlink" Target="https://github.com/sanjaymorankar-debug/GoKesari/pull/44" TargetMode="External"/><Relationship Id="rId45" Type="http://schemas.openxmlformats.org/officeDocument/2006/relationships/hyperlink" Target="https://github.com/sanjaymorankar-debug/GoKesari/pull/45" TargetMode="External"/><Relationship Id="rId46" Type="http://schemas.openxmlformats.org/officeDocument/2006/relationships/hyperlink" Target="https://github.com/sanjaymorankar-debug/GoKesari/pull/46" TargetMode="External"/><Relationship Id="rId47" Type="http://schemas.openxmlformats.org/officeDocument/2006/relationships/hyperlink" Target="https://github.com/sanjaymorankar-debug/GoKesari/pull/47" TargetMode="External"/><Relationship Id="rId48" Type="http://schemas.openxmlformats.org/officeDocument/2006/relationships/hyperlink" Target="https://github.com/sanjaymorankar-debug/GoKesari/pull/48" TargetMode="External"/><Relationship Id="rId49" Type="http://schemas.openxmlformats.org/officeDocument/2006/relationships/hyperlink" Target="https://github.com/sanjaymorankar-debug/GoKesari/pull/49" TargetMode="External"/><Relationship Id="rId50" Type="http://schemas.openxmlformats.org/officeDocument/2006/relationships/hyperlink" Target="https://github.com/sanjaymorankar-debug/GoKesari/pull/50" TargetMode="External"/><Relationship Id="rId51" Type="http://schemas.openxmlformats.org/officeDocument/2006/relationships/hyperlink" Target="https://github.com/sanjaymorankar-debug/GoKesari/pull/51" TargetMode="External"/><Relationship Id="rId52" Type="http://schemas.openxmlformats.org/officeDocument/2006/relationships/hyperlink" Target="https://github.com/sanjaymorankar-debug/GoKesari/pull/52" TargetMode="External"/><Relationship Id="rId53" Type="http://schemas.openxmlformats.org/officeDocument/2006/relationships/hyperlink" Target="https://github.com/sanjaymorankar-debug/GoKesari/pull/53" TargetMode="External"/><Relationship Id="rId54" Type="http://schemas.openxmlformats.org/officeDocument/2006/relationships/hyperlink" Target="https://github.com/sanjaymorankar-debug/GoKesari/pull/54" TargetMode="External"/><Relationship Id="rId55" Type="http://schemas.openxmlformats.org/officeDocument/2006/relationships/hyperlink" Target="https://github.com/sanjaymorankar-debug/GoKesari/pull/55" TargetMode="External"/><Relationship Id="rId56" Type="http://schemas.openxmlformats.org/officeDocument/2006/relationships/hyperlink" Target="https://github.com/sanjaymorankar-debug/GoKesari/pull/56" TargetMode="External"/><Relationship Id="rId57" Type="http://schemas.openxmlformats.org/officeDocument/2006/relationships/hyperlink" Target="https://github.com/sanjaymorankar-debug/GoKesari/pull/57" TargetMode="External"/><Relationship Id="rId58" Type="http://schemas.openxmlformats.org/officeDocument/2006/relationships/hyperlink" Target="https://github.com/sanjaymorankar-debug/GoKesari/pull/58" TargetMode="External"/><Relationship Id="rId59" Type="http://schemas.openxmlformats.org/officeDocument/2006/relationships/hyperlink" Target="https://github.com/sanjaymorankar-debug/GoKesari/pull/59" TargetMode="External"/><Relationship Id="rId60" Type="http://schemas.openxmlformats.org/officeDocument/2006/relationships/hyperlink" Target="https://github.com/sanjaymorankar-debug/GoKesari/pull/60" TargetMode="External"/><Relationship Id="rId61" Type="http://schemas.openxmlformats.org/officeDocument/2006/relationships/hyperlink" Target="https://github.com/sanjaymorankar-debug/GoKesari/pull/61" TargetMode="External"/><Relationship Id="rId62" Type="http://schemas.openxmlformats.org/officeDocument/2006/relationships/hyperlink" Target="https://github.com/sanjaymorankar-debug/GoKesari/pull/62" TargetMode="External"/><Relationship Id="rId63" Type="http://schemas.openxmlformats.org/officeDocument/2006/relationships/hyperlink" Target="https://github.com/sanjaymorankar-debug/GoKesari/pull/63" TargetMode="External"/><Relationship Id="rId64" Type="http://schemas.openxmlformats.org/officeDocument/2006/relationships/hyperlink" Target="https://github.com/sanjaymorankar-debug/GoKesari/pull/64" TargetMode="External"/><Relationship Id="rId65" Type="http://schemas.openxmlformats.org/officeDocument/2006/relationships/hyperlink" Target="https://github.com/sanjaymorankar-debug/GoKesari/pull/65" TargetMode="External"/><Relationship Id="rId66" Type="http://schemas.openxmlformats.org/officeDocument/2006/relationships/hyperlink" Target="https://github.com/sanjaymorankar-debug/GoKesari/pull/66" TargetMode="External"/><Relationship Id="rId67" Type="http://schemas.openxmlformats.org/officeDocument/2006/relationships/hyperlink" Target="https://github.com/sanjaymorankar-debug/GoKesari/pull/67" TargetMode="External"/><Relationship Id="rId68" Type="http://schemas.openxmlformats.org/officeDocument/2006/relationships/hyperlink" Target="https://github.com/sanjaymorankar-debug/GoKesari/pull/68" TargetMode="External"/><Relationship Id="rId69" Type="http://schemas.openxmlformats.org/officeDocument/2006/relationships/hyperlink" Target="https://github.com/sanjaymorankar-debug/GoKesari/pull/69" TargetMode="External"/><Relationship Id="rId70" Type="http://schemas.openxmlformats.org/officeDocument/2006/relationships/hyperlink" Target="https://github.com/sanjaymorankar-debug/GoKesari/pull/70" TargetMode="External"/><Relationship Id="rId71" Type="http://schemas.openxmlformats.org/officeDocument/2006/relationships/hyperlink" Target="https://github.com/sanjaymorankar-debug/GoKesari/pull/71" TargetMode="External"/><Relationship Id="rId72" Type="http://schemas.openxmlformats.org/officeDocument/2006/relationships/hyperlink" Target="https://github.com/sanjaymorankar-debug/GoKesari/pull/72" TargetMode="External"/><Relationship Id="rId73" Type="http://schemas.openxmlformats.org/officeDocument/2006/relationships/hyperlink" Target="https://github.com/sanjaymorankar-debug/GoKesari/pull/73" TargetMode="External"/><Relationship Id="rId74" Type="http://schemas.openxmlformats.org/officeDocument/2006/relationships/hyperlink" Target="https://github.com/sanjaymorankar-debug/GoKesari/pull/74" TargetMode="External"/><Relationship Id="rId75" Type="http://schemas.openxmlformats.org/officeDocument/2006/relationships/hyperlink" Target="https://github.com/sanjaymorankar-debug/GoKesari/pull/75" TargetMode="External"/><Relationship Id="rId76" Type="http://schemas.openxmlformats.org/officeDocument/2006/relationships/hyperlink" Target="https://github.com/sanjaymorankar-debug/GoKesari/pull/76" TargetMode="External"/><Relationship Id="rId77" Type="http://schemas.openxmlformats.org/officeDocument/2006/relationships/hyperlink" Target="https://github.com/sanjaymorankar-debug/GoKesari/pull/77" TargetMode="External"/><Relationship Id="rId78" Type="http://schemas.openxmlformats.org/officeDocument/2006/relationships/hyperlink" Target="https://github.com/sanjaymorankar-debug/GoKesari/pull/78" TargetMode="External"/><Relationship Id="rId79" Type="http://schemas.openxmlformats.org/officeDocument/2006/relationships/hyperlink" Target="https://github.com/sanjaymorankar-debug/GoKesari/pull/79" TargetMode="External"/><Relationship Id="rId80" Type="http://schemas.openxmlformats.org/officeDocument/2006/relationships/hyperlink" Target="https://github.com/sanjaymorankar-debug/GoKesari/pull/80" TargetMode="External"/><Relationship Id="rId81" Type="http://schemas.openxmlformats.org/officeDocument/2006/relationships/hyperlink" Target="https://github.com/sanjaymorankar-debug/GoKesari/pull/81" TargetMode="External"/><Relationship Id="rId82" Type="http://schemas.openxmlformats.org/officeDocument/2006/relationships/hyperlink" Target="https://github.com/sanjaymorankar-debug/GoKesari/pull/82" TargetMode="External"/><Relationship Id="rId83" Type="http://schemas.openxmlformats.org/officeDocument/2006/relationships/hyperlink" Target="https://github.com/sanjaymorankar-debug/GoKesari/pull/83" TargetMode="External"/><Relationship Id="rId84" Type="http://schemas.openxmlformats.org/officeDocument/2006/relationships/hyperlink" Target="https://github.com/sanjaymorankar-debug/GoKesari/pull/84" TargetMode="External"/><Relationship Id="rId85" Type="http://schemas.openxmlformats.org/officeDocument/2006/relationships/hyperlink" Target="https://github.com/sanjaymorankar-debug/GoKesari/pull/85" TargetMode="External"/><Relationship Id="rId86" Type="http://schemas.openxmlformats.org/officeDocument/2006/relationships/hyperlink" Target="https://github.com/sanjaymorankar-debug/GoKesari/pull/86" TargetMode="External"/><Relationship Id="rId87" Type="http://schemas.openxmlformats.org/officeDocument/2006/relationships/hyperlink" Target="https://github.com/sanjaymorankar-debug/GoKesari/pull/87" TargetMode="External"/><Relationship Id="rId88" Type="http://schemas.openxmlformats.org/officeDocument/2006/relationships/hyperlink" Target="https://github.com/sanjaymorankar-debug/GoKesari/pull/88" TargetMode="External"/><Relationship Id="rId89" Type="http://schemas.openxmlformats.org/officeDocument/2006/relationships/hyperlink" Target="https://github.com/sanjaymorankar-debug/GoKesari/pull/89" TargetMode="External"/><Relationship Id="rId90" Type="http://schemas.openxmlformats.org/officeDocument/2006/relationships/hyperlink" Target="https://github.com/sanjaymorankar-debug/GoKesari/pull/90" TargetMode="External"/><Relationship Id="rId91" Type="http://schemas.openxmlformats.org/officeDocument/2006/relationships/hyperlink" Target="https://github.com/sanjaymorankar-debug/GoKesari/pull/91" TargetMode="External"/><Relationship Id="rId92" Type="http://schemas.openxmlformats.org/officeDocument/2006/relationships/hyperlink" Target="https://github.com/sanjaymorankar-debug/GoKesari/pull/92" TargetMode="External"/><Relationship Id="rId93" Type="http://schemas.openxmlformats.org/officeDocument/2006/relationships/hyperlink" Target="https://github.com/sanjaymorankar-debug/GoKesari/pull/93" TargetMode="External"/><Relationship Id="rId94" Type="http://schemas.openxmlformats.org/officeDocument/2006/relationships/hyperlink" Target="https://github.com/sanjaymorankar-debug/GoKesari/pull/94" TargetMode="External"/><Relationship Id="rId95" Type="http://schemas.openxmlformats.org/officeDocument/2006/relationships/hyperlink" Target="https://github.com/sanjaymorankar-debug/GoKesari/pull/95" TargetMode="External"/><Relationship Id="rId96" Type="http://schemas.openxmlformats.org/officeDocument/2006/relationships/hyperlink" Target="https://github.com/sanjaymorankar-debug/GoKesari/pull/96" TargetMode="External"/><Relationship Id="rId97" Type="http://schemas.openxmlformats.org/officeDocument/2006/relationships/hyperlink" Target="https://github.com/sanjaymorankar-debug/GoKesari/pull/97" TargetMode="External"/><Relationship Id="rId98" Type="http://schemas.openxmlformats.org/officeDocument/2006/relationships/hyperlink" Target="https://github.com/sanjaymorankar-debug/GoKesari/pull/98" TargetMode="External"/><Relationship Id="rId99" Type="http://schemas.openxmlformats.org/officeDocument/2006/relationships/hyperlink" Target="https://github.com/sanjaymorankar-debug/GoKesari/pull/99" TargetMode="External"/><Relationship Id="rId100" Type="http://schemas.openxmlformats.org/officeDocument/2006/relationships/hyperlink" Target="https://github.com/sanjaymorankar-debug/GoKesari/pull/100" TargetMode="External"/><Relationship Id="rId101" Type="http://schemas.openxmlformats.org/officeDocument/2006/relationships/hyperlink" Target="https://github.com/sanjaymorankar-debug/GoKesari/pull/101" TargetMode="External"/><Relationship Id="rId102" Type="http://schemas.openxmlformats.org/officeDocument/2006/relationships/hyperlink" Target="https://github.com/sanjaymorankar-debug/GoKesari/pull/102" TargetMode="External"/><Relationship Id="rId103" Type="http://schemas.openxmlformats.org/officeDocument/2006/relationships/hyperlink" Target="https://github.com/sanjaymorankar-debug/GoKesari/pull/103" TargetMode="External"/><Relationship Id="rId104" Type="http://schemas.openxmlformats.org/officeDocument/2006/relationships/hyperlink" Target="https://github.com/sanjaymorankar-debug/GoKesari/pull/104" TargetMode="External"/><Relationship Id="rId105" Type="http://schemas.openxmlformats.org/officeDocument/2006/relationships/hyperlink" Target="https://github.com/sanjaymorankar-debug/GoKesari/pull/105" TargetMode="External"/><Relationship Id="rId106" Type="http://schemas.openxmlformats.org/officeDocument/2006/relationships/hyperlink" Target="https://github.com/sanjaymorankar-debug/GoKesari/pull/106" TargetMode="External"/><Relationship Id="rId107" Type="http://schemas.openxmlformats.org/officeDocument/2006/relationships/hyperlink" Target="https://github.com/sanjaymorankar-debug/GoKesari/pull/107" TargetMode="External"/><Relationship Id="rId108" Type="http://schemas.openxmlformats.org/officeDocument/2006/relationships/hyperlink" Target="https://github.com/sanjaymorankar-debug/GoKesari/pull/108" TargetMode="External"/><Relationship Id="rId109" Type="http://schemas.openxmlformats.org/officeDocument/2006/relationships/hyperlink" Target="https://github.com/sanjaymorankar-debug/GoKesari/pull/109" TargetMode="External"/><Relationship Id="rId110" Type="http://schemas.openxmlformats.org/officeDocument/2006/relationships/hyperlink" Target="https://github.com/sanjaymorankar-debug/GoKesari/pull/110" TargetMode="External"/><Relationship Id="rId111" Type="http://schemas.openxmlformats.org/officeDocument/2006/relationships/hyperlink" Target="https://github.com/sanjaymorankar-debug/GoKesari/pull/111" TargetMode="External"/><Relationship Id="rId112" Type="http://schemas.openxmlformats.org/officeDocument/2006/relationships/hyperlink" Target="https://github.com/sanjaymorankar-debug/GoKesari/pull/112" TargetMode="External"/><Relationship Id="rId113" Type="http://schemas.openxmlformats.org/officeDocument/2006/relationships/hyperlink" Target="https://github.com/sanjaymorankar-debug/GoKesari/pull/113" TargetMode="External"/><Relationship Id="rId114" Type="http://schemas.openxmlformats.org/officeDocument/2006/relationships/hyperlink" Target="https://github.com/sanjaymorankar-debug/GoKesari/pull/114" TargetMode="External"/><Relationship Id="rId115" Type="http://schemas.openxmlformats.org/officeDocument/2006/relationships/hyperlink" Target="https://github.com/sanjaymorankar-debug/GoKesari/pull/115" TargetMode="External"/><Relationship Id="rId116" Type="http://schemas.openxmlformats.org/officeDocument/2006/relationships/hyperlink" Target="https://github.com/sanjaymorankar-debug/GoKesari/pull/116" TargetMode="External"/><Relationship Id="rId117" Type="http://schemas.openxmlformats.org/officeDocument/2006/relationships/hyperlink" Target="https://github.com/sanjaymorankar-debug/GoKesari/pull/117" TargetMode="External"/><Relationship Id="rId118" Type="http://schemas.openxmlformats.org/officeDocument/2006/relationships/hyperlink" Target="https://github.com/sanjaymorankar-debug/GoKesari/pull/118" TargetMode="External"/><Relationship Id="rId119" Type="http://schemas.openxmlformats.org/officeDocument/2006/relationships/hyperlink" Target="https://github.com/sanjaymorankar-debug/GoKesari/pull/119" TargetMode="External"/><Relationship Id="rId120" Type="http://schemas.openxmlformats.org/officeDocument/2006/relationships/hyperlink" Target="https://github.com/sanjaymorankar-debug/GoKesari/pull/120" TargetMode="External"/><Relationship Id="rId121" Type="http://schemas.openxmlformats.org/officeDocument/2006/relationships/hyperlink" Target="https://github.com/sanjaymorankar-debug/GoKesari/pull/121" TargetMode="External"/><Relationship Id="rId122" Type="http://schemas.openxmlformats.org/officeDocument/2006/relationships/hyperlink" Target="https://github.com/sanjaymorankar-debug/GoKesari/pull/122" TargetMode="External"/><Relationship Id="rId123" Type="http://schemas.openxmlformats.org/officeDocument/2006/relationships/hyperlink" Target="https://github.com/sanjaymorankar-debug/GoKesari/pull/123" TargetMode="External"/><Relationship Id="rId124" Type="http://schemas.openxmlformats.org/officeDocument/2006/relationships/hyperlink" Target="https://github.com/sanjaymorankar-debug/GoKesari/pull/124" TargetMode="External"/><Relationship Id="rId125" Type="http://schemas.openxmlformats.org/officeDocument/2006/relationships/hyperlink" Target="https://github.com/sanjaymorankar-debug/GoKesari/pull/125" TargetMode="External"/><Relationship Id="rId126" Type="http://schemas.openxmlformats.org/officeDocument/2006/relationships/hyperlink" Target="https://github.com/sanjaymorankar-debug/GoKesari/pull/126" TargetMode="External"/><Relationship Id="rId127" Type="http://schemas.openxmlformats.org/officeDocument/2006/relationships/hyperlink" Target="https://github.com/sanjaymorankar-debug/GoKesari/pull/127" TargetMode="External"/><Relationship Id="rId128" Type="http://schemas.openxmlformats.org/officeDocument/2006/relationships/hyperlink" Target="https://github.com/sanjaymorankar-debug/GoKesari/pull/128" TargetMode="External"/><Relationship Id="rId129" Type="http://schemas.openxmlformats.org/officeDocument/2006/relationships/hyperlink" Target="https://github.com/sanjaymorankar-debug/GoKesari/pull/129" TargetMode="External"/><Relationship Id="rId130" Type="http://schemas.openxmlformats.org/officeDocument/2006/relationships/hyperlink" Target="https://github.com/sanjaymorankar-debug/GoKesari/pull/130" TargetMode="External"/><Relationship Id="rId131" Type="http://schemas.openxmlformats.org/officeDocument/2006/relationships/hyperlink" Target="https://github.com/sanjaymorankar-debug/GoKesari/pull/131" TargetMode="External"/><Relationship Id="rId132" Type="http://schemas.openxmlformats.org/officeDocument/2006/relationships/hyperlink" Target="https://github.com/sanjaymorankar-debug/GoKesari/pull/132" TargetMode="External"/><Relationship Id="rId133" Type="http://schemas.openxmlformats.org/officeDocument/2006/relationships/hyperlink" Target="https://github.com/sanjaymorankar-debug/GoKesari/pull/133" TargetMode="External"/><Relationship Id="rId134" Type="http://schemas.openxmlformats.org/officeDocument/2006/relationships/hyperlink" Target="https://github.com/sanjaymorankar-debug/GoKesari/pull/134" TargetMode="External"/><Relationship Id="rId135" Type="http://schemas.openxmlformats.org/officeDocument/2006/relationships/hyperlink" Target="https://github.com/sanjaymorankar-debug/GoKesari/pull/135" TargetMode="External"/><Relationship Id="rId136" Type="http://schemas.openxmlformats.org/officeDocument/2006/relationships/hyperlink" Target="https://github.com/sanjaymorankar-debug/GoKesari/pull/136" TargetMode="External"/><Relationship Id="rId137" Type="http://schemas.openxmlformats.org/officeDocument/2006/relationships/hyperlink" Target="https://github.com/sanjaymorankar-debug/GoKesari/pull/137" TargetMode="External"/><Relationship Id="rId138" Type="http://schemas.openxmlformats.org/officeDocument/2006/relationships/hyperlink" Target="https://github.com/sanjaymorankar-debug/GoKesari/pull/138" TargetMode="External"/><Relationship Id="rId139" Type="http://schemas.openxmlformats.org/officeDocument/2006/relationships/hyperlink" Target="https://github.com/sanjaymorankar-debug/GoKesari/pull/139" TargetMode="External"/><Relationship Id="rId140" Type="http://schemas.openxmlformats.org/officeDocument/2006/relationships/hyperlink" Target="https://github.com/sanjaymorankar-debug/GoKesari/pull/140" TargetMode="External"/><Relationship Id="rId141" Type="http://schemas.openxmlformats.org/officeDocument/2006/relationships/hyperlink" Target="https://github.com/sanjaymorankar-debug/GoKesari/pull/141" TargetMode="External"/><Relationship Id="rId142" Type="http://schemas.openxmlformats.org/officeDocument/2006/relationships/hyperlink" Target="https://github.com/sanjaymorankar-debug/GoKesari/pull/142" TargetMode="External"/><Relationship Id="rId143" Type="http://schemas.openxmlformats.org/officeDocument/2006/relationships/hyperlink" Target="https://github.com/sanjaymorankar-debug/GoKesari/pull/143" TargetMode="External"/><Relationship Id="rId144" Type="http://schemas.openxmlformats.org/officeDocument/2006/relationships/hyperlink" Target="https://github.com/sanjaymorankar-debug/GoKesari/pull/144" TargetMode="External"/><Relationship Id="rId145" Type="http://schemas.openxmlformats.org/officeDocument/2006/relationships/hyperlink" Target="https://github.com/sanjaymorankar-debug/GoKesari/pull/145" TargetMode="External"/><Relationship Id="rId146" Type="http://schemas.openxmlformats.org/officeDocument/2006/relationships/hyperlink" Target="https://github.com/sanjaymorankar-debug/GoKesari/pull/146" TargetMode="External"/><Relationship Id="rId147" Type="http://schemas.openxmlformats.org/officeDocument/2006/relationships/hyperlink" Target="https://github.com/sanjaymorankar-debug/GoKesari/pull/147" TargetMode="External"/><Relationship Id="rId148" Type="http://schemas.openxmlformats.org/officeDocument/2006/relationships/hyperlink" Target="https://github.com/sanjaymorankar-debug/GoKesari/pull/148" TargetMode="External"/><Relationship Id="rId149" Type="http://schemas.openxmlformats.org/officeDocument/2006/relationships/hyperlink" Target="https://github.com/sanjaymorankar-debug/GoKesari/pull/149" TargetMode="External"/><Relationship Id="rId150" Type="http://schemas.openxmlformats.org/officeDocument/2006/relationships/hyperlink" Target="https://github.com/sanjaymorankar-debug/GoKesari/pull/150" TargetMode="External"/><Relationship Id="rId151" Type="http://schemas.openxmlformats.org/officeDocument/2006/relationships/hyperlink" Target="https://github.com/sanjaymorankar-debug/GoKesari/pull/151" TargetMode="External"/><Relationship Id="rId152" Type="http://schemas.openxmlformats.org/officeDocument/2006/relationships/hyperlink" Target="https://github.com/sanjaymorankar-debug/GoKesari/pull/152" TargetMode="External"/><Relationship Id="rId153" Type="http://schemas.openxmlformats.org/officeDocument/2006/relationships/hyperlink" Target="https://github.com/sanjaymorankar-debug/GoKesari/pull/153" TargetMode="External"/><Relationship Id="rId154" Type="http://schemas.openxmlformats.org/officeDocument/2006/relationships/hyperlink" Target="https://github.com/sanjaymorankar-debug/GoKesari/pull/154" TargetMode="External"/><Relationship Id="rId155" Type="http://schemas.openxmlformats.org/officeDocument/2006/relationships/hyperlink" Target="https://github.com/sanjaymorankar-debug/GoKesari/pull/155" TargetMode="External"/><Relationship Id="rId156" Type="http://schemas.openxmlformats.org/officeDocument/2006/relationships/hyperlink" Target="https://github.com/sanjaymorankar-debug/GoKesari/pull/156" TargetMode="External"/><Relationship Id="rId157" Type="http://schemas.openxmlformats.org/officeDocument/2006/relationships/hyperlink" Target="https://github.com/sanjaymorankar-debug/GoKesari/pull/157" TargetMode="External"/><Relationship Id="rId158" Type="http://schemas.openxmlformats.org/officeDocument/2006/relationships/hyperlink" Target="https://github.com/sanjaymorankar-debug/GoKesari/pull/158" TargetMode="External"/><Relationship Id="rId159" Type="http://schemas.openxmlformats.org/officeDocument/2006/relationships/hyperlink" Target="https://github.com/sanjaymorankar-debug/GoKesari/pull/159" TargetMode="External"/><Relationship Id="rId160" Type="http://schemas.openxmlformats.org/officeDocument/2006/relationships/hyperlink" Target="https://github.com/sanjaymorankar-debug/GoKesari/pull/160" TargetMode="External"/><Relationship Id="rId161" Type="http://schemas.openxmlformats.org/officeDocument/2006/relationships/hyperlink" Target="https://github.com/sanjaymorankar-debug/GoKesari/pull/161" TargetMode="External"/><Relationship Id="rId162" Type="http://schemas.openxmlformats.org/officeDocument/2006/relationships/hyperlink" Target="https://github.com/sanjaymorankar-debug/GoKesari/pull/162" TargetMode="External"/><Relationship Id="rId163" Type="http://schemas.openxmlformats.org/officeDocument/2006/relationships/hyperlink" Target="https://github.com/sanjaymorankar-debug/GoKesari/pull/163" TargetMode="External"/><Relationship Id="rId164" Type="http://schemas.openxmlformats.org/officeDocument/2006/relationships/hyperlink" Target="https://github.com/sanjaymorankar-debug/GoKesari/pull/164" TargetMode="External"/><Relationship Id="rId165" Type="http://schemas.openxmlformats.org/officeDocument/2006/relationships/hyperlink" Target="https://github.com/sanjaymorankar-debug/GoKesari/pull/165" TargetMode="External"/><Relationship Id="rId166" Type="http://schemas.openxmlformats.org/officeDocument/2006/relationships/hyperlink" Target="https://github.com/sanjaymorankar-debug/GoKesari/pull/166" TargetMode="External"/><Relationship Id="rId167" Type="http://schemas.openxmlformats.org/officeDocument/2006/relationships/hyperlink" Target="https://github.com/sanjaymorankar-debug/GoKesari/pull/167" TargetMode="External"/><Relationship Id="rId168" Type="http://schemas.openxmlformats.org/officeDocument/2006/relationships/hyperlink" Target="https://github.com/sanjaymorankar-debug/GoKesari/pull/168" TargetMode="External"/><Relationship Id="rId169" Type="http://schemas.openxmlformats.org/officeDocument/2006/relationships/hyperlink" Target="https://github.com/sanjaymorankar-debug/GoKesari/pull/169" TargetMode="External"/><Relationship Id="rId170" Type="http://schemas.openxmlformats.org/officeDocument/2006/relationships/hyperlink" Target="https://github.com/sanjaymorankar-debug/GoKesari/pull/170" TargetMode="External"/><Relationship Id="rId171" Type="http://schemas.openxmlformats.org/officeDocument/2006/relationships/hyperlink" Target="https://github.com/sanjaymorankar-debug/GoKesari/pull/171" TargetMode="External"/><Relationship Id="rId172" Type="http://schemas.openxmlformats.org/officeDocument/2006/relationships/hyperlink" Target="https://github.com/sanjaymorankar-debug/GoKesari/pull/172" TargetMode="External"/><Relationship Id="rId173" Type="http://schemas.openxmlformats.org/officeDocument/2006/relationships/hyperlink" Target="https://github.com/sanjaymorankar-debug/GoKesari/pull/173" TargetMode="External"/><Relationship Id="rId174" Type="http://schemas.openxmlformats.org/officeDocument/2006/relationships/hyperlink" Target="https://github.com/sanjaymorankar-debug/GoKesari/pull/174" TargetMode="External"/><Relationship Id="rId175" Type="http://schemas.openxmlformats.org/officeDocument/2006/relationships/hyperlink" Target="https://github.com/sanjaymorankar-debug/GoKesari/pull/175" TargetMode="External"/><Relationship Id="rId176" Type="http://schemas.openxmlformats.org/officeDocument/2006/relationships/hyperlink" Target="https://github.com/sanjaymorankar-debug/GoKesari/pull/176" TargetMode="External"/><Relationship Id="rId177" Type="http://schemas.openxmlformats.org/officeDocument/2006/relationships/hyperlink" Target="https://github.com/sanjaymorankar-debug/GoKesari/pull/177" TargetMode="External"/><Relationship Id="rId178" Type="http://schemas.openxmlformats.org/officeDocument/2006/relationships/hyperlink" Target="https://github.com/sanjaymorankar-debug/GoKesari/pull/178" TargetMode="External"/><Relationship Id="rId179" Type="http://schemas.openxmlformats.org/officeDocument/2006/relationships/hyperlink" Target="https://github.com/sanjaymorankar-debug/GoKesari/pull/179" TargetMode="External"/><Relationship Id="rId180" Type="http://schemas.openxmlformats.org/officeDocument/2006/relationships/hyperlink" Target="https://github.com/sanjaymorankar-debug/GoKesari/pull/180" TargetMode="External"/><Relationship Id="rId181" Type="http://schemas.openxmlformats.org/officeDocument/2006/relationships/hyperlink" Target="https://github.com/sanjaymorankar-debug/GoKesari/pull/181" TargetMode="External"/><Relationship Id="rId182" Type="http://schemas.openxmlformats.org/officeDocument/2006/relationships/hyperlink" Target="https://github.com/sanjaymorankar-debug/GoKesari/pull/182" TargetMode="External"/><Relationship Id="rId183" Type="http://schemas.openxmlformats.org/officeDocument/2006/relationships/hyperlink" Target="https://github.com/sanjaymorankar-debug/GoKesari/pull/183" TargetMode="External"/><Relationship Id="rId184" Type="http://schemas.openxmlformats.org/officeDocument/2006/relationships/hyperlink" Target="https://github.com/sanjaymorankar-debug/GoKesari/pull/184" TargetMode="External"/><Relationship Id="rId185" Type="http://schemas.openxmlformats.org/officeDocument/2006/relationships/hyperlink" Target="https://github.com/sanjaymorankar-debug/GoKesari/pull/185" TargetMode="External"/><Relationship Id="rId186" Type="http://schemas.openxmlformats.org/officeDocument/2006/relationships/hyperlink" Target="https://github.com/sanjaymorankar-debug/GoKesari/pull/186" TargetMode="External"/><Relationship Id="rId187" Type="http://schemas.openxmlformats.org/officeDocument/2006/relationships/hyperlink" Target="https://github.com/sanjaymorankar-debug/GoKesari/pull/187" TargetMode="External"/><Relationship Id="rId188" Type="http://schemas.openxmlformats.org/officeDocument/2006/relationships/hyperlink" Target="https://github.com/sanjaymorankar-debug/GoKesari/pull/188" TargetMode="External"/><Relationship Id="rId189" Type="http://schemas.openxmlformats.org/officeDocument/2006/relationships/hyperlink" Target="https://github.com/sanjaymorankar-debug/GoKesari/pull/189" TargetMode="External"/><Relationship Id="rId190" Type="http://schemas.openxmlformats.org/officeDocument/2006/relationships/hyperlink" Target="https://github.com/sanjaymorankar-debug/GoKesari/pull/190" TargetMode="External"/><Relationship Id="rId191" Type="http://schemas.openxmlformats.org/officeDocument/2006/relationships/hyperlink" Target="https://github.com/sanjaymorankar-debug/GoKesari/pull/191" TargetMode="External"/><Relationship Id="rId192" Type="http://schemas.openxmlformats.org/officeDocument/2006/relationships/hyperlink" Target="https://github.com/sanjaymorankar-debug/GoKesari/pull/192" TargetMode="External"/><Relationship Id="rId193" Type="http://schemas.openxmlformats.org/officeDocument/2006/relationships/hyperlink" Target="https://github.com/sanjaymorankar-debug/GoKesari/pull/193" TargetMode="External"/><Relationship Id="rId194" Type="http://schemas.openxmlformats.org/officeDocument/2006/relationships/hyperlink" Target="https://github.com/sanjaymorankar-debug/GoKesari/pull/194" TargetMode="External"/><Relationship Id="rId195" Type="http://schemas.openxmlformats.org/officeDocument/2006/relationships/hyperlink" Target="https://github.com/sanjaymorankar-debug/GoKesari/pull/195" TargetMode="External"/><Relationship Id="rId196" Type="http://schemas.openxmlformats.org/officeDocument/2006/relationships/hyperlink" Target="https://github.com/sanjaymorankar-debug/GoKesari/pull/196" TargetMode="External"/><Relationship Id="rId197" Type="http://schemas.openxmlformats.org/officeDocument/2006/relationships/hyperlink" Target="https://github.com/sanjaymorankar-debug/GoKesari/pull/197" TargetMode="External"/><Relationship Id="rId198" Type="http://schemas.openxmlformats.org/officeDocument/2006/relationships/hyperlink" Target="https://github.com/sanjaymorankar-debug/GoKesari/pull/198" TargetMode="External"/><Relationship Id="rId199" Type="http://schemas.openxmlformats.org/officeDocument/2006/relationships/hyperlink" Target="https://github.com/sanjaymorankar-debug/GoKesari/pull/199" TargetMode="External"/><Relationship Id="rId200" Type="http://schemas.openxmlformats.org/officeDocument/2006/relationships/hyperlink" Target="https://github.com/sanjaymorankar-debug/GoKesari/pull/200" TargetMode="External"/><Relationship Id="rId201" Type="http://schemas.openxmlformats.org/officeDocument/2006/relationships/hyperlink" Target="https://github.com/sanjaymorankar-debug/GoKesari/pull/201" TargetMode="External"/><Relationship Id="rId202" Type="http://schemas.openxmlformats.org/officeDocument/2006/relationships/hyperlink" Target="https://github.com/sanjaymorankar-debug/GoKesari/pull/202" TargetMode="External"/><Relationship Id="rId203" Type="http://schemas.openxmlformats.org/officeDocument/2006/relationships/hyperlink" Target="https://github.com/sanjaymorankar-debug/GoKesari/pull/203" TargetMode="External"/><Relationship Id="rId204" Type="http://schemas.openxmlformats.org/officeDocument/2006/relationships/hyperlink" Target="https://github.com/sanjaymorankar-debug/GoKesari/pull/204" TargetMode="External"/><Relationship Id="rId205" Type="http://schemas.openxmlformats.org/officeDocument/2006/relationships/hyperlink" Target="https://github.com/sanjaymorankar-debug/GoKesari/pull/205" TargetMode="External"/><Relationship Id="rId206" Type="http://schemas.openxmlformats.org/officeDocument/2006/relationships/hyperlink" Target="https://github.com/sanjaymorankar-debug/GoKesari/pull/206" TargetMode="External"/><Relationship Id="rId207" Type="http://schemas.openxmlformats.org/officeDocument/2006/relationships/hyperlink" Target="https://github.com/sanjaymorankar-debug/GoKesari/pull/207" TargetMode="External"/><Relationship Id="rId208" Type="http://schemas.openxmlformats.org/officeDocument/2006/relationships/hyperlink" Target="https://github.com/sanjaymorankar-debug/GoKesari/pull/208" TargetMode="External"/><Relationship Id="rId209" Type="http://schemas.openxmlformats.org/officeDocument/2006/relationships/hyperlink" Target="https://github.com/sanjaymorankar-debug/GoKesari/pull/209" TargetMode="External"/><Relationship Id="rId210" Type="http://schemas.openxmlformats.org/officeDocument/2006/relationships/hyperlink" Target="https://github.com/sanjaymorankar-debug/GoKesari/pull/210" TargetMode="External"/><Relationship Id="rId211" Type="http://schemas.openxmlformats.org/officeDocument/2006/relationships/hyperlink" Target="https://github.com/sanjaymorankar-debug/GoKesari/pull/211" TargetMode="External"/><Relationship Id="rId212" Type="http://schemas.openxmlformats.org/officeDocument/2006/relationships/hyperlink" Target="https://github.com/sanjaymorankar-debug/GoKesari/pull/212" TargetMode="External"/><Relationship Id="rId213" Type="http://schemas.openxmlformats.org/officeDocument/2006/relationships/hyperlink" Target="https://github.com/sanjaymorankar-debug/GoKesari/pull/213" TargetMode="External"/><Relationship Id="rId214" Type="http://schemas.openxmlformats.org/officeDocument/2006/relationships/hyperlink" Target="https://github.com/sanjaymorankar-debug/GoKesari/pull/214" TargetMode="External"/><Relationship Id="rId215" Type="http://schemas.openxmlformats.org/officeDocument/2006/relationships/hyperlink" Target="https://github.com/sanjaymorankar-debug/GoKesari/pull/215" TargetMode="External"/><Relationship Id="rId216" Type="http://schemas.openxmlformats.org/officeDocument/2006/relationships/hyperlink" Target="https://github.com/sanjaymorankar-debug/GoKesari/pull/216" TargetMode="External"/><Relationship Id="rId217" Type="http://schemas.openxmlformats.org/officeDocument/2006/relationships/hyperlink" Target="https://github.com/sanjaymorankar-debug/GoKesari/pull/217" TargetMode="External"/><Relationship Id="rId218" Type="http://schemas.openxmlformats.org/officeDocument/2006/relationships/hyperlink" Target="https://github.com/sanjaymorankar-debug/GoKesari/pull/218" TargetMode="External"/><Relationship Id="rId219" Type="http://schemas.openxmlformats.org/officeDocument/2006/relationships/hyperlink" Target="https://github.com/sanjaymorankar-debug/GoKesari/pull/219" TargetMode="External"/><Relationship Id="rId220" Type="http://schemas.openxmlformats.org/officeDocument/2006/relationships/hyperlink" Target="https://github.com/sanjaymorankar-debug/GoKesari/pull/220" TargetMode="External"/><Relationship Id="rId221" Type="http://schemas.openxmlformats.org/officeDocument/2006/relationships/hyperlink" Target="https://github.com/sanjaymorankar-debug/GoKesari/pull/221" TargetMode="External"/><Relationship Id="rId222" Type="http://schemas.openxmlformats.org/officeDocument/2006/relationships/hyperlink" Target="https://github.com/sanjaymorankar-debug/GoKesari/pull/222" TargetMode="External"/><Relationship Id="rId223" Type="http://schemas.openxmlformats.org/officeDocument/2006/relationships/hyperlink" Target="https://github.com/sanjaymorankar-debug/GoKesari/pull/223" TargetMode="External"/><Relationship Id="rId224" Type="http://schemas.openxmlformats.org/officeDocument/2006/relationships/hyperlink" Target="https://github.com/sanjaymorankar-debug/GoKesari/pull/224" TargetMode="External"/><Relationship Id="rId225" Type="http://schemas.openxmlformats.org/officeDocument/2006/relationships/hyperlink" Target="https://github.com/sanjaymorankar-debug/GoKesari/pull/248" TargetMode="External"/><Relationship Id="rId226" Type="http://schemas.openxmlformats.org/officeDocument/2006/relationships/hyperlink" Target="https://github.com/sanjaymorankar-debug/GoKesari/pull/250" TargetMode="External"/><Relationship Id="rId227" Type="http://schemas.openxmlformats.org/officeDocument/2006/relationships/hyperlink" Target="https://github.com/sanjaymorankar-debug/GoKesari/pull/251" TargetMode="External"/><Relationship Id="rId228" Type="http://schemas.openxmlformats.org/officeDocument/2006/relationships/hyperlink" Target="https://github.com/sanjaymorankar-debug/GoKesari/pull/252" TargetMode="External"/><Relationship Id="rId229" Type="http://schemas.openxmlformats.org/officeDocument/2006/relationships/hyperlink" Target="https://github.com/sanjaymorankar-debug/GoKesari/pull/253" TargetMode="External"/><Relationship Id="rId230" Type="http://schemas.openxmlformats.org/officeDocument/2006/relationships/hyperlink" Target="https://github.com/sanjaymorankar-debug/GoKesari/pull/254" TargetMode="External"/><Relationship Id="rId231" Type="http://schemas.openxmlformats.org/officeDocument/2006/relationships/hyperlink" Target="https://github.com/sanjaymorankar-debug/GoKesari/pull/256" TargetMode="External"/><Relationship Id="rId232" Type="http://schemas.openxmlformats.org/officeDocument/2006/relationships/hyperlink" Target="https://github.com/sanjaymorankar-debug/GoKesari/pull/257" TargetMode="External"/><Relationship Id="rId233" Type="http://schemas.openxmlformats.org/officeDocument/2006/relationships/hyperlink" Target="https://github.com/sanjaymorankar-debug/GoKesari/pull/258" TargetMode="External"/><Relationship Id="rId234" Type="http://schemas.openxmlformats.org/officeDocument/2006/relationships/hyperlink" Target="https://github.com/sanjaymorankar-debug/GoKesari/pull/259" TargetMode="External"/><Relationship Id="rId235" Type="http://schemas.openxmlformats.org/officeDocument/2006/relationships/hyperlink" Target="https://github.com/sanjaymorankar-debug/GoKesari/pull/260" TargetMode="External"/><Relationship Id="rId236" Type="http://schemas.openxmlformats.org/officeDocument/2006/relationships/hyperlink" Target="https://github.com/sanjaymorankar-debug/GoKesari/pull/261" TargetMode="External"/><Relationship Id="rId237" Type="http://schemas.openxmlformats.org/officeDocument/2006/relationships/hyperlink" Target="https://github.com/sanjaymorankar-debug/GoKesari/pull/262" TargetMode="External"/><Relationship Id="rId238" Type="http://schemas.openxmlformats.org/officeDocument/2006/relationships/hyperlink" Target="https://github.com/sanjaymorankar-debug/GoKesari/pull/263" TargetMode="External"/><Relationship Id="rId239" Type="http://schemas.openxmlformats.org/officeDocument/2006/relationships/hyperlink" Target="https://github.com/sanjaymorankar-debug/GoKesari/pull/264" TargetMode="External"/><Relationship Id="rId240" Type="http://schemas.openxmlformats.org/officeDocument/2006/relationships/hyperlink" Target="https://github.com/sanjaymorankar-debug/GoKesari/pull/265" TargetMode="External"/><Relationship Id="rId241" Type="http://schemas.openxmlformats.org/officeDocument/2006/relationships/hyperlink" Target="https://github.com/sanjaymorankar-debug/GoKesari/pull/266" TargetMode="External"/><Relationship Id="rId242" Type="http://schemas.openxmlformats.org/officeDocument/2006/relationships/hyperlink" Target="https://github.com/sanjaymorankar-debug/GoKesari/pull/267" TargetMode="External"/><Relationship Id="rId243" Type="http://schemas.openxmlformats.org/officeDocument/2006/relationships/hyperlink" Target="https://github.com/sanjaymorankar-debug/GoKesari/pull/268" TargetMode="External"/><Relationship Id="rId244" Type="http://schemas.openxmlformats.org/officeDocument/2006/relationships/hyperlink" Target="https://github.com/sanjaymorankar-debug/GoKesari/pull/269" TargetMode="External"/><Relationship Id="rId245" Type="http://schemas.openxmlformats.org/officeDocument/2006/relationships/hyperlink" Target="https://github.com/sanjaymorankar-debug/GoKesari/pull/270" TargetMode="External"/><Relationship Id="rId246" Type="http://schemas.openxmlformats.org/officeDocument/2006/relationships/hyperlink" Target="https://github.com/sanjaymorankar-debug/GoKesari/pull/271" TargetMode="External"/><Relationship Id="rId247" Type="http://schemas.openxmlformats.org/officeDocument/2006/relationships/hyperlink" Target="https://github.com/sanjaymorankar-debug/GoKesari/pull/272" TargetMode="External"/><Relationship Id="rId248" Type="http://schemas.openxmlformats.org/officeDocument/2006/relationships/hyperlink" Target="https://github.com/sanjaymorankar-debug/GoKesari/pull/273" TargetMode="External"/><Relationship Id="rId249" Type="http://schemas.openxmlformats.org/officeDocument/2006/relationships/hyperlink" Target="https://github.com/sanjaymorankar-debug/GoKesari/pull/274" TargetMode="External"/><Relationship Id="rId250" Type="http://schemas.openxmlformats.org/officeDocument/2006/relationships/hyperlink" Target="https://github.com/sanjaymorankar-debug/GoKesari/pull/275" TargetMode="External"/><Relationship Id="rId251" Type="http://schemas.openxmlformats.org/officeDocument/2006/relationships/hyperlink" Target="https://github.com/sanjaymorankar-debug/GoKesari/pull/276" TargetMode="External"/><Relationship Id="rId252" Type="http://schemas.openxmlformats.org/officeDocument/2006/relationships/hyperlink" Target="https://github.com/sanjaymorankar-debug/GoKesari/pull/277" TargetMode="External"/><Relationship Id="rId253" Type="http://schemas.openxmlformats.org/officeDocument/2006/relationships/hyperlink" Target="https://github.com/sanjaymorankar-debug/GoKesari/pull/278" TargetMode="External"/><Relationship Id="rId254" Type="http://schemas.openxmlformats.org/officeDocument/2006/relationships/hyperlink" Target="https://github.com/sanjaymorankar-debug/GoKesari/pull/279" TargetMode="External"/><Relationship Id="rId255" Type="http://schemas.openxmlformats.org/officeDocument/2006/relationships/hyperlink" Target="https://github.com/sanjaymorankar-debug/GoKesari/pull/280" TargetMode="External"/><Relationship Id="rId256" Type="http://schemas.openxmlformats.org/officeDocument/2006/relationships/hyperlink" Target="https://github.com/sanjaymorankar-debug/GoKesari/pull/281" TargetMode="External"/><Relationship Id="rId257" Type="http://schemas.openxmlformats.org/officeDocument/2006/relationships/hyperlink" Target="https://github.com/sanjaymorankar-debug/GoKesari/pull/282" TargetMode="External"/><Relationship Id="rId258" Type="http://schemas.openxmlformats.org/officeDocument/2006/relationships/hyperlink" Target="https://github.com/sanjaymorankar-debug/GoKesari/pull/283" TargetMode="External"/><Relationship Id="rId259" Type="http://schemas.openxmlformats.org/officeDocument/2006/relationships/hyperlink" Target="https://github.com/sanjaymorankar-debug/GoKesari/pull/284" TargetMode="External"/><Relationship Id="rId260" Type="http://schemas.openxmlformats.org/officeDocument/2006/relationships/hyperlink" Target="https://github.com/sanjaymorankar-debug/GoKesari/pull/285" TargetMode="External"/><Relationship Id="rId261" Type="http://schemas.openxmlformats.org/officeDocument/2006/relationships/hyperlink" Target="https://github.com/sanjaymorankar-debug/GoKesari/pull/286" TargetMode="External"/><Relationship Id="rId262" Type="http://schemas.openxmlformats.org/officeDocument/2006/relationships/hyperlink" Target="https://github.com/sanjaymorankar-debug/GoKesari/pull/287" TargetMode="External"/><Relationship Id="rId263" Type="http://schemas.openxmlformats.org/officeDocument/2006/relationships/hyperlink" Target="https://github.com/sanjaymorankar-debug/GoKesari/pull/288" TargetMode="External"/><Relationship Id="rId264" Type="http://schemas.openxmlformats.org/officeDocument/2006/relationships/hyperlink" Target="https://github.com/sanjaymorankar-debug/GoKesari/pull/289"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
  <sheetFormatPr defaultRowHeight="15" outlineLevelRow="0" outlineLevelCol="0" x14ac:dyDescent="55"/>
  <cols>
    <col min="1" max="1" width="46" customWidth="1"/>
    <col min="2" max="5" width="14" customWidth="1"/>
    <col min="6" max="6" width="12" customWidth="1"/>
    <col min="7" max="7" width="50" customWidth="1"/>
  </cols>
  <sheetData>
    <row r="1" ht="22" customHeight="1" spans="1:7" x14ac:dyDescent="0.25">
      <c r="A1" s="1" t="s">
        <v>0</v>
      </c>
      <c r="B1"/>
      <c r="C1"/>
      <c r="D1"/>
      <c r="E1"/>
      <c r="F1"/>
      <c r="G1"/>
    </row>
    <row r="2" ht="26" customHeight="1" spans="1:7" x14ac:dyDescent="0.25">
      <c r="A2" s="2" t="s">
        <v>1</v>
      </c>
      <c r="B2"/>
      <c r="C2"/>
      <c r="D2"/>
      <c r="E2"/>
      <c r="F2"/>
      <c r="G2"/>
    </row>
    <row r="3" ht="26" customHeight="1" spans="1:7" x14ac:dyDescent="0.25">
      <c r="A3" s="2" t="s">
        <v>2</v>
      </c>
      <c r="B3"/>
      <c r="C3"/>
      <c r="D3"/>
      <c r="E3"/>
      <c r="F3"/>
      <c r="G3"/>
    </row>
    <row r="4" ht="26" customHeight="1" spans="1:7" x14ac:dyDescent="0.25">
      <c r="A4" s="2" t="s">
        <v>3</v>
      </c>
      <c r="B4"/>
      <c r="C4"/>
      <c r="D4"/>
      <c r="E4"/>
      <c r="F4"/>
      <c r="G4"/>
    </row>
    <row r="5" ht="26" customHeight="1" spans="1:7" x14ac:dyDescent="0.25">
      <c r="A5" s="2" t="s">
        <v>4</v>
      </c>
      <c r="B5"/>
      <c r="C5"/>
      <c r="D5"/>
      <c r="E5"/>
      <c r="F5"/>
      <c r="G5"/>
    </row>
    <row r="7" spans="1:1" x14ac:dyDescent="0.25">
      <c r="A7" s="3" t="s">
        <v>5</v>
      </c>
    </row>
    <row r="8" spans="1:5" x14ac:dyDescent="0.25">
      <c r="A8" s="4" t="s">
        <v>6</v>
      </c>
      <c r="B8" s="4" t="s">
        <v>7</v>
      </c>
      <c r="C8" s="4" t="s">
        <v>8</v>
      </c>
      <c r="D8" s="4" t="s">
        <v>9</v>
      </c>
      <c r="E8" s="4" t="s">
        <v>10</v>
      </c>
    </row>
    <row r="9" spans="1:5" x14ac:dyDescent="0.25">
      <c r="A9" s="5" t="s">
        <v>11</v>
      </c>
      <c r="B9" s="6">
        <f>COUNTIF('Feature Register'!$I$2:$I$336,A9)</f>
        <v>319</v>
      </c>
      <c r="C9" s="7">
        <f>IF($B$15=0,0,B9/$B$15)</f>
        <v>0.9522388059701492</v>
      </c>
      <c r="D9" s="6">
        <f>COUNTIF('Feature Register'!$P$2:$P$336,A9)</f>
        <v>259</v>
      </c>
      <c r="E9" s="6">
        <f>B9-D9</f>
        <v>60</v>
      </c>
    </row>
    <row r="10" spans="1:5" x14ac:dyDescent="0.25">
      <c r="A10" s="5" t="s">
        <v>12</v>
      </c>
      <c r="B10" s="6">
        <f>COUNTIF('Feature Register'!$I$2:$I$336,A10)</f>
        <v>3</v>
      </c>
      <c r="C10" s="7">
        <f>IF($B$15=0,0,B10/$B$15)</f>
        <v>0.008955223880597015</v>
      </c>
      <c r="D10" s="6">
        <f>COUNTIF('Feature Register'!$P$2:$P$336,A10)</f>
        <v>4</v>
      </c>
      <c r="E10" s="6">
        <f>B10-D10</f>
        <v>-1</v>
      </c>
    </row>
    <row r="11" spans="1:5" x14ac:dyDescent="0.25">
      <c r="A11" s="5" t="s">
        <v>13</v>
      </c>
      <c r="B11" s="6">
        <f>COUNTIF('Feature Register'!$I$2:$I$336,A11)</f>
        <v>7</v>
      </c>
      <c r="C11" s="7">
        <f>IF($B$15=0,0,B11/$B$15)</f>
        <v>0.020895522388059702</v>
      </c>
      <c r="D11" s="6">
        <f>COUNTIF('Feature Register'!$P$2:$P$336,A11)</f>
        <v>9</v>
      </c>
      <c r="E11" s="6">
        <f>B11-D11</f>
        <v>-2</v>
      </c>
    </row>
    <row r="12" spans="1:5" x14ac:dyDescent="0.25">
      <c r="A12" s="5" t="s">
        <v>14</v>
      </c>
      <c r="B12" s="6">
        <f>COUNTIF('Feature Register'!$I$2:$I$336,A12)</f>
        <v>5</v>
      </c>
      <c r="C12" s="7">
        <f>IF($B$15=0,0,B12/$B$15)</f>
        <v>0.014925373134328358</v>
      </c>
      <c r="D12" s="6">
        <f>COUNTIF('Feature Register'!$P$2:$P$336,A12)</f>
        <v>4</v>
      </c>
      <c r="E12" s="6">
        <f>B12-D12</f>
        <v>1</v>
      </c>
    </row>
    <row r="13" spans="1:5" x14ac:dyDescent="0.25">
      <c r="A13" s="5" t="s">
        <v>15</v>
      </c>
      <c r="B13" s="6">
        <f>COUNTIF('Feature Register'!$I$2:$I$336,A13)</f>
        <v>1</v>
      </c>
      <c r="C13" s="7">
        <f>IF($B$15=0,0,B13/$B$15)</f>
        <v>0.0029850746268656717</v>
      </c>
      <c r="D13" s="6">
        <f>COUNTIF('Feature Register'!$P$2:$P$336,A13)</f>
        <v>1</v>
      </c>
      <c r="E13" s="6">
        <f>B13-D13</f>
        <v>0</v>
      </c>
    </row>
    <row r="14" spans="1:4" x14ac:dyDescent="0.25">
      <c r="A14" s="5" t="s">
        <v>16</v>
      </c>
      <c r="D14" s="6">
        <f>COUNTIF('Feature Register'!$P$2:$P$336,"NEW (not in 25 Oct)")</f>
        <v>58</v>
      </c>
    </row>
    <row r="15" spans="1:4" x14ac:dyDescent="0.25">
      <c r="A15" s="5" t="s">
        <v>17</v>
      </c>
      <c r="B15" s="8">
        <f>SUM(B9:B13)</f>
        <v>335</v>
      </c>
      <c r="C15" s="7">
        <f>SUM(C9:C13)</f>
        <v>1</v>
      </c>
      <c r="D15" s="8">
        <f>SUM(D9:D14)</f>
        <v>335</v>
      </c>
    </row>
    <row r="17" spans="1:1" x14ac:dyDescent="0.25">
      <c r="A17" s="3" t="s">
        <v>18</v>
      </c>
    </row>
    <row r="18" spans="1:7" x14ac:dyDescent="0.25">
      <c r="A18" s="4" t="s">
        <v>19</v>
      </c>
      <c r="B18" s="4" t="s">
        <v>11</v>
      </c>
      <c r="C18" s="4" t="s">
        <v>12</v>
      </c>
      <c r="D18" s="4" t="s">
        <v>13</v>
      </c>
      <c r="E18" s="4" t="s">
        <v>14</v>
      </c>
      <c r="F18" s="4" t="s">
        <v>20</v>
      </c>
      <c r="G18" s="4" t="s">
        <v>21</v>
      </c>
    </row>
    <row r="19" spans="1:7" x14ac:dyDescent="0.25">
      <c r="A19" s="5" t="s">
        <v>22</v>
      </c>
      <c r="B19" s="6">
        <f>COUNTIFS('Feature Register'!$B$2:$B$336,$A19,'Feature Register'!$I$2:$I$336,B$18)</f>
        <v>73</v>
      </c>
      <c r="C19" s="6">
        <f>COUNTIFS('Feature Register'!$B$2:$B$336,$A19,'Feature Register'!$I$2:$I$336,C$18)</f>
        <v>0</v>
      </c>
      <c r="D19" s="6">
        <f>COUNTIFS('Feature Register'!$B$2:$B$336,$A19,'Feature Register'!$I$2:$I$336,D$18)</f>
        <v>0</v>
      </c>
      <c r="E19" s="6">
        <f>COUNTIFS('Feature Register'!$B$2:$B$336,$A19,'Feature Register'!$I$2:$I$336,E$18)</f>
        <v>0</v>
      </c>
      <c r="F19" s="6">
        <f>COUNTIF('Feature Register'!$B$2:$B$336,$A19)</f>
        <v>74</v>
      </c>
      <c r="G19" s="7">
        <f>IF(F19=0,0,B19/F19)</f>
        <v>0.9864864864864865</v>
      </c>
    </row>
    <row r="20" spans="1:7" x14ac:dyDescent="0.25">
      <c r="A20" s="5" t="s">
        <v>23</v>
      </c>
      <c r="B20" s="6">
        <f>COUNTIFS('Feature Register'!$B$2:$B$336,$A20,'Feature Register'!$I$2:$I$336,B$18)</f>
        <v>10</v>
      </c>
      <c r="C20" s="6">
        <f>COUNTIFS('Feature Register'!$B$2:$B$336,$A20,'Feature Register'!$I$2:$I$336,C$18)</f>
        <v>0</v>
      </c>
      <c r="D20" s="6">
        <f>COUNTIFS('Feature Register'!$B$2:$B$336,$A20,'Feature Register'!$I$2:$I$336,D$18)</f>
        <v>0</v>
      </c>
      <c r="E20" s="6">
        <f>COUNTIFS('Feature Register'!$B$2:$B$336,$A20,'Feature Register'!$I$2:$I$336,E$18)</f>
        <v>0</v>
      </c>
      <c r="F20" s="6">
        <f>COUNTIF('Feature Register'!$B$2:$B$336,$A20)</f>
        <v>10</v>
      </c>
      <c r="G20" s="7">
        <f>IF(F20=0,0,B20/F20)</f>
        <v>1</v>
      </c>
    </row>
    <row r="21" spans="1:7" x14ac:dyDescent="0.25">
      <c r="A21" s="5" t="s">
        <v>24</v>
      </c>
      <c r="B21" s="6">
        <f>COUNTIFS('Feature Register'!$B$2:$B$336,$A21,'Feature Register'!$I$2:$I$336,B$18)</f>
        <v>15</v>
      </c>
      <c r="C21" s="6">
        <f>COUNTIFS('Feature Register'!$B$2:$B$336,$A21,'Feature Register'!$I$2:$I$336,C$18)</f>
        <v>0</v>
      </c>
      <c r="D21" s="6">
        <f>COUNTIFS('Feature Register'!$B$2:$B$336,$A21,'Feature Register'!$I$2:$I$336,D$18)</f>
        <v>0</v>
      </c>
      <c r="E21" s="6">
        <f>COUNTIFS('Feature Register'!$B$2:$B$336,$A21,'Feature Register'!$I$2:$I$336,E$18)</f>
        <v>0</v>
      </c>
      <c r="F21" s="6">
        <f>COUNTIF('Feature Register'!$B$2:$B$336,$A21)</f>
        <v>15</v>
      </c>
      <c r="G21" s="7">
        <f>IF(F21=0,0,B21/F21)</f>
        <v>1</v>
      </c>
    </row>
    <row r="22" spans="1:7" x14ac:dyDescent="0.25">
      <c r="A22" s="5" t="s">
        <v>25</v>
      </c>
      <c r="B22" s="6">
        <f>COUNTIFS('Feature Register'!$B$2:$B$336,$A22,'Feature Register'!$I$2:$I$336,B$18)</f>
        <v>6</v>
      </c>
      <c r="C22" s="6">
        <f>COUNTIFS('Feature Register'!$B$2:$B$336,$A22,'Feature Register'!$I$2:$I$336,C$18)</f>
        <v>0</v>
      </c>
      <c r="D22" s="6">
        <f>COUNTIFS('Feature Register'!$B$2:$B$336,$A22,'Feature Register'!$I$2:$I$336,D$18)</f>
        <v>0</v>
      </c>
      <c r="E22" s="6">
        <f>COUNTIFS('Feature Register'!$B$2:$B$336,$A22,'Feature Register'!$I$2:$I$336,E$18)</f>
        <v>0</v>
      </c>
      <c r="F22" s="6">
        <f>COUNTIF('Feature Register'!$B$2:$B$336,$A22)</f>
        <v>6</v>
      </c>
      <c r="G22" s="7">
        <f>IF(F22=0,0,B22/F22)</f>
        <v>1</v>
      </c>
    </row>
    <row r="23" spans="1:7" x14ac:dyDescent="0.25">
      <c r="A23" s="5" t="s">
        <v>26</v>
      </c>
      <c r="B23" s="6">
        <f>COUNTIFS('Feature Register'!$B$2:$B$336,$A23,'Feature Register'!$I$2:$I$336,B$18)</f>
        <v>9</v>
      </c>
      <c r="C23" s="6">
        <f>COUNTIFS('Feature Register'!$B$2:$B$336,$A23,'Feature Register'!$I$2:$I$336,C$18)</f>
        <v>0</v>
      </c>
      <c r="D23" s="6">
        <f>COUNTIFS('Feature Register'!$B$2:$B$336,$A23,'Feature Register'!$I$2:$I$336,D$18)</f>
        <v>0</v>
      </c>
      <c r="E23" s="6">
        <f>COUNTIFS('Feature Register'!$B$2:$B$336,$A23,'Feature Register'!$I$2:$I$336,E$18)</f>
        <v>0</v>
      </c>
      <c r="F23" s="6">
        <f>COUNTIF('Feature Register'!$B$2:$B$336,$A23)</f>
        <v>9</v>
      </c>
      <c r="G23" s="7">
        <f>IF(F23=0,0,B23/F23)</f>
        <v>1</v>
      </c>
    </row>
    <row r="24" spans="1:7" x14ac:dyDescent="0.25">
      <c r="A24" s="5" t="s">
        <v>27</v>
      </c>
      <c r="B24" s="6">
        <f>COUNTIFS('Feature Register'!$B$2:$B$336,$A24,'Feature Register'!$I$2:$I$336,B$18)</f>
        <v>19</v>
      </c>
      <c r="C24" s="6">
        <f>COUNTIFS('Feature Register'!$B$2:$B$336,$A24,'Feature Register'!$I$2:$I$336,C$18)</f>
        <v>0</v>
      </c>
      <c r="D24" s="6">
        <f>COUNTIFS('Feature Register'!$B$2:$B$336,$A24,'Feature Register'!$I$2:$I$336,D$18)</f>
        <v>0</v>
      </c>
      <c r="E24" s="6">
        <f>COUNTIFS('Feature Register'!$B$2:$B$336,$A24,'Feature Register'!$I$2:$I$336,E$18)</f>
        <v>0</v>
      </c>
      <c r="F24" s="6">
        <f>COUNTIF('Feature Register'!$B$2:$B$336,$A24)</f>
        <v>19</v>
      </c>
      <c r="G24" s="7">
        <f>IF(F24=0,0,B24/F24)</f>
        <v>1</v>
      </c>
    </row>
    <row r="25" spans="1:7" x14ac:dyDescent="0.25">
      <c r="A25" s="5" t="s">
        <v>28</v>
      </c>
      <c r="B25" s="6">
        <f>COUNTIFS('Feature Register'!$B$2:$B$336,$A25,'Feature Register'!$I$2:$I$336,B$18)</f>
        <v>15</v>
      </c>
      <c r="C25" s="6">
        <f>COUNTIFS('Feature Register'!$B$2:$B$336,$A25,'Feature Register'!$I$2:$I$336,C$18)</f>
        <v>0</v>
      </c>
      <c r="D25" s="6">
        <f>COUNTIFS('Feature Register'!$B$2:$B$336,$A25,'Feature Register'!$I$2:$I$336,D$18)</f>
        <v>0</v>
      </c>
      <c r="E25" s="6">
        <f>COUNTIFS('Feature Register'!$B$2:$B$336,$A25,'Feature Register'!$I$2:$I$336,E$18)</f>
        <v>0</v>
      </c>
      <c r="F25" s="6">
        <f>COUNTIF('Feature Register'!$B$2:$B$336,$A25)</f>
        <v>15</v>
      </c>
      <c r="G25" s="7">
        <f>IF(F25=0,0,B25/F25)</f>
        <v>1</v>
      </c>
    </row>
    <row r="26" spans="1:7" x14ac:dyDescent="0.25">
      <c r="A26" s="5" t="s">
        <v>29</v>
      </c>
      <c r="B26" s="6">
        <f>COUNTIFS('Feature Register'!$B$2:$B$336,$A26,'Feature Register'!$I$2:$I$336,B$18)</f>
        <v>10</v>
      </c>
      <c r="C26" s="6">
        <f>COUNTIFS('Feature Register'!$B$2:$B$336,$A26,'Feature Register'!$I$2:$I$336,C$18)</f>
        <v>0</v>
      </c>
      <c r="D26" s="6">
        <f>COUNTIFS('Feature Register'!$B$2:$B$336,$A26,'Feature Register'!$I$2:$I$336,D$18)</f>
        <v>0</v>
      </c>
      <c r="E26" s="6">
        <f>COUNTIFS('Feature Register'!$B$2:$B$336,$A26,'Feature Register'!$I$2:$I$336,E$18)</f>
        <v>0</v>
      </c>
      <c r="F26" s="6">
        <f>COUNTIF('Feature Register'!$B$2:$B$336,$A26)</f>
        <v>10</v>
      </c>
      <c r="G26" s="7">
        <f>IF(F26=0,0,B26/F26)</f>
        <v>1</v>
      </c>
    </row>
    <row r="27" spans="1:7" x14ac:dyDescent="0.25">
      <c r="A27" s="5" t="s">
        <v>30</v>
      </c>
      <c r="B27" s="6">
        <f>COUNTIFS('Feature Register'!$B$2:$B$336,$A27,'Feature Register'!$I$2:$I$336,B$18)</f>
        <v>27</v>
      </c>
      <c r="C27" s="6">
        <f>COUNTIFS('Feature Register'!$B$2:$B$336,$A27,'Feature Register'!$I$2:$I$336,C$18)</f>
        <v>0</v>
      </c>
      <c r="D27" s="6">
        <f>COUNTIFS('Feature Register'!$B$2:$B$336,$A27,'Feature Register'!$I$2:$I$336,D$18)</f>
        <v>0</v>
      </c>
      <c r="E27" s="6">
        <f>COUNTIFS('Feature Register'!$B$2:$B$336,$A27,'Feature Register'!$I$2:$I$336,E$18)</f>
        <v>1</v>
      </c>
      <c r="F27" s="6">
        <f>COUNTIF('Feature Register'!$B$2:$B$336,$A27)</f>
        <v>28</v>
      </c>
      <c r="G27" s="7">
        <f>IF(F27=0,0,B27/F27)</f>
        <v>0.9642857142857143</v>
      </c>
    </row>
    <row r="28" spans="1:7" x14ac:dyDescent="0.25">
      <c r="A28" s="5" t="s">
        <v>31</v>
      </c>
      <c r="B28" s="6">
        <f>COUNTIFS('Feature Register'!$B$2:$B$336,$A28,'Feature Register'!$I$2:$I$336,B$18)</f>
        <v>11</v>
      </c>
      <c r="C28" s="6">
        <f>COUNTIFS('Feature Register'!$B$2:$B$336,$A28,'Feature Register'!$I$2:$I$336,C$18)</f>
        <v>1</v>
      </c>
      <c r="D28" s="6">
        <f>COUNTIFS('Feature Register'!$B$2:$B$336,$A28,'Feature Register'!$I$2:$I$336,D$18)</f>
        <v>0</v>
      </c>
      <c r="E28" s="6">
        <f>COUNTIFS('Feature Register'!$B$2:$B$336,$A28,'Feature Register'!$I$2:$I$336,E$18)</f>
        <v>0</v>
      </c>
      <c r="F28" s="6">
        <f>COUNTIF('Feature Register'!$B$2:$B$336,$A28)</f>
        <v>12</v>
      </c>
      <c r="G28" s="7">
        <f>IF(F28=0,0,B28/F28)</f>
        <v>0.9166666666666666</v>
      </c>
    </row>
    <row r="29" spans="1:7" x14ac:dyDescent="0.25">
      <c r="A29" s="5" t="s">
        <v>32</v>
      </c>
      <c r="B29" s="6">
        <f>COUNTIFS('Feature Register'!$B$2:$B$336,$A29,'Feature Register'!$I$2:$I$336,B$18)</f>
        <v>6</v>
      </c>
      <c r="C29" s="6">
        <f>COUNTIFS('Feature Register'!$B$2:$B$336,$A29,'Feature Register'!$I$2:$I$336,C$18)</f>
        <v>0</v>
      </c>
      <c r="D29" s="6">
        <f>COUNTIFS('Feature Register'!$B$2:$B$336,$A29,'Feature Register'!$I$2:$I$336,D$18)</f>
        <v>0</v>
      </c>
      <c r="E29" s="6">
        <f>COUNTIFS('Feature Register'!$B$2:$B$336,$A29,'Feature Register'!$I$2:$I$336,E$18)</f>
        <v>0</v>
      </c>
      <c r="F29" s="6">
        <f>COUNTIF('Feature Register'!$B$2:$B$336,$A29)</f>
        <v>6</v>
      </c>
      <c r="G29" s="7">
        <f>IF(F29=0,0,B29/F29)</f>
        <v>1</v>
      </c>
    </row>
    <row r="30" spans="1:7" x14ac:dyDescent="0.25">
      <c r="A30" s="5" t="s">
        <v>33</v>
      </c>
      <c r="B30" s="6">
        <f>COUNTIFS('Feature Register'!$B$2:$B$336,$A30,'Feature Register'!$I$2:$I$336,B$18)</f>
        <v>8</v>
      </c>
      <c r="C30" s="6">
        <f>COUNTIFS('Feature Register'!$B$2:$B$336,$A30,'Feature Register'!$I$2:$I$336,C$18)</f>
        <v>0</v>
      </c>
      <c r="D30" s="6">
        <f>COUNTIFS('Feature Register'!$B$2:$B$336,$A30,'Feature Register'!$I$2:$I$336,D$18)</f>
        <v>0</v>
      </c>
      <c r="E30" s="6">
        <f>COUNTIFS('Feature Register'!$B$2:$B$336,$A30,'Feature Register'!$I$2:$I$336,E$18)</f>
        <v>0</v>
      </c>
      <c r="F30" s="6">
        <f>COUNTIF('Feature Register'!$B$2:$B$336,$A30)</f>
        <v>8</v>
      </c>
      <c r="G30" s="7">
        <f>IF(F30=0,0,B30/F30)</f>
        <v>1</v>
      </c>
    </row>
    <row r="31" spans="1:7" x14ac:dyDescent="0.25">
      <c r="A31" s="5" t="s">
        <v>34</v>
      </c>
      <c r="B31" s="6">
        <f>COUNTIFS('Feature Register'!$B$2:$B$336,$A31,'Feature Register'!$I$2:$I$336,B$18)</f>
        <v>2</v>
      </c>
      <c r="C31" s="6">
        <f>COUNTIFS('Feature Register'!$B$2:$B$336,$A31,'Feature Register'!$I$2:$I$336,C$18)</f>
        <v>0</v>
      </c>
      <c r="D31" s="6">
        <f>COUNTIFS('Feature Register'!$B$2:$B$336,$A31,'Feature Register'!$I$2:$I$336,D$18)</f>
        <v>0</v>
      </c>
      <c r="E31" s="6">
        <f>COUNTIFS('Feature Register'!$B$2:$B$336,$A31,'Feature Register'!$I$2:$I$336,E$18)</f>
        <v>0</v>
      </c>
      <c r="F31" s="6">
        <f>COUNTIF('Feature Register'!$B$2:$B$336,$A31)</f>
        <v>2</v>
      </c>
      <c r="G31" s="7">
        <f>IF(F31=0,0,B31/F31)</f>
        <v>1</v>
      </c>
    </row>
    <row r="32" spans="1:7" x14ac:dyDescent="0.25">
      <c r="A32" s="5" t="s">
        <v>35</v>
      </c>
      <c r="B32" s="6">
        <f>COUNTIFS('Feature Register'!$B$2:$B$336,$A32,'Feature Register'!$I$2:$I$336,B$18)</f>
        <v>7</v>
      </c>
      <c r="C32" s="6">
        <f>COUNTIFS('Feature Register'!$B$2:$B$336,$A32,'Feature Register'!$I$2:$I$336,C$18)</f>
        <v>0</v>
      </c>
      <c r="D32" s="6">
        <f>COUNTIFS('Feature Register'!$B$2:$B$336,$A32,'Feature Register'!$I$2:$I$336,D$18)</f>
        <v>0</v>
      </c>
      <c r="E32" s="6">
        <f>COUNTIFS('Feature Register'!$B$2:$B$336,$A32,'Feature Register'!$I$2:$I$336,E$18)</f>
        <v>0</v>
      </c>
      <c r="F32" s="6">
        <f>COUNTIF('Feature Register'!$B$2:$B$336,$A32)</f>
        <v>7</v>
      </c>
      <c r="G32" s="7">
        <f>IF(F32=0,0,B32/F32)</f>
        <v>1</v>
      </c>
    </row>
    <row r="33" spans="1:7" x14ac:dyDescent="0.25">
      <c r="A33" s="5" t="s">
        <v>36</v>
      </c>
      <c r="B33" s="6">
        <f>COUNTIFS('Feature Register'!$B$2:$B$336,$A33,'Feature Register'!$I$2:$I$336,B$18)</f>
        <v>18</v>
      </c>
      <c r="C33" s="6">
        <f>COUNTIFS('Feature Register'!$B$2:$B$336,$A33,'Feature Register'!$I$2:$I$336,C$18)</f>
        <v>0</v>
      </c>
      <c r="D33" s="6">
        <f>COUNTIFS('Feature Register'!$B$2:$B$336,$A33,'Feature Register'!$I$2:$I$336,D$18)</f>
        <v>0</v>
      </c>
      <c r="E33" s="6">
        <f>COUNTIFS('Feature Register'!$B$2:$B$336,$A33,'Feature Register'!$I$2:$I$336,E$18)</f>
        <v>1</v>
      </c>
      <c r="F33" s="6">
        <f>COUNTIF('Feature Register'!$B$2:$B$336,$A33)</f>
        <v>19</v>
      </c>
      <c r="G33" s="7">
        <f>IF(F33=0,0,B33/F33)</f>
        <v>0.9473684210526315</v>
      </c>
    </row>
    <row r="34" spans="1:7" x14ac:dyDescent="0.25">
      <c r="A34" s="5" t="s">
        <v>37</v>
      </c>
      <c r="B34" s="6">
        <f>COUNTIFS('Feature Register'!$B$2:$B$336,$A34,'Feature Register'!$I$2:$I$336,B$18)</f>
        <v>7</v>
      </c>
      <c r="C34" s="6">
        <f>COUNTIFS('Feature Register'!$B$2:$B$336,$A34,'Feature Register'!$I$2:$I$336,C$18)</f>
        <v>1</v>
      </c>
      <c r="D34" s="6">
        <f>COUNTIFS('Feature Register'!$B$2:$B$336,$A34,'Feature Register'!$I$2:$I$336,D$18)</f>
        <v>0</v>
      </c>
      <c r="E34" s="6">
        <f>COUNTIFS('Feature Register'!$B$2:$B$336,$A34,'Feature Register'!$I$2:$I$336,E$18)</f>
        <v>1</v>
      </c>
      <c r="F34" s="6">
        <f>COUNTIF('Feature Register'!$B$2:$B$336,$A34)</f>
        <v>9</v>
      </c>
      <c r="G34" s="7">
        <f>IF(F34=0,0,B34/F34)</f>
        <v>0.7777777777777778</v>
      </c>
    </row>
    <row r="35" spans="1:7" x14ac:dyDescent="0.25">
      <c r="A35" s="5" t="s">
        <v>38</v>
      </c>
      <c r="B35" s="6">
        <f>COUNTIFS('Feature Register'!$B$2:$B$336,$A35,'Feature Register'!$I$2:$I$336,B$18)</f>
        <v>15</v>
      </c>
      <c r="C35" s="6">
        <f>COUNTIFS('Feature Register'!$B$2:$B$336,$A35,'Feature Register'!$I$2:$I$336,C$18)</f>
        <v>1</v>
      </c>
      <c r="D35" s="6">
        <f>COUNTIFS('Feature Register'!$B$2:$B$336,$A35,'Feature Register'!$I$2:$I$336,D$18)</f>
        <v>3</v>
      </c>
      <c r="E35" s="6">
        <f>COUNTIFS('Feature Register'!$B$2:$B$336,$A35,'Feature Register'!$I$2:$I$336,E$18)</f>
        <v>0</v>
      </c>
      <c r="F35" s="6">
        <f>COUNTIF('Feature Register'!$B$2:$B$336,$A35)</f>
        <v>19</v>
      </c>
      <c r="G35" s="7">
        <f>IF(F35=0,0,B35/F35)</f>
        <v>0.7894736842105263</v>
      </c>
    </row>
    <row r="36" spans="1:7" x14ac:dyDescent="0.25">
      <c r="A36" s="5" t="s">
        <v>39</v>
      </c>
      <c r="B36" s="6">
        <f>COUNTIFS('Feature Register'!$B$2:$B$336,$A36,'Feature Register'!$I$2:$I$336,B$18)</f>
        <v>3</v>
      </c>
      <c r="C36" s="6">
        <f>COUNTIFS('Feature Register'!$B$2:$B$336,$A36,'Feature Register'!$I$2:$I$336,C$18)</f>
        <v>0</v>
      </c>
      <c r="D36" s="6">
        <f>COUNTIFS('Feature Register'!$B$2:$B$336,$A36,'Feature Register'!$I$2:$I$336,D$18)</f>
        <v>0</v>
      </c>
      <c r="E36" s="6">
        <f>COUNTIFS('Feature Register'!$B$2:$B$336,$A36,'Feature Register'!$I$2:$I$336,E$18)</f>
        <v>0</v>
      </c>
      <c r="F36" s="6">
        <f>COUNTIF('Feature Register'!$B$2:$B$336,$A36)</f>
        <v>3</v>
      </c>
      <c r="G36" s="7">
        <f>IF(F36=0,0,B36/F36)</f>
        <v>1</v>
      </c>
    </row>
    <row r="37" spans="1:7" x14ac:dyDescent="0.25">
      <c r="A37" s="5" t="s">
        <v>40</v>
      </c>
      <c r="B37" s="6">
        <f>COUNTIFS('Feature Register'!$B$2:$B$336,$A37,'Feature Register'!$I$2:$I$336,B$18)</f>
        <v>6</v>
      </c>
      <c r="C37" s="6">
        <f>COUNTIFS('Feature Register'!$B$2:$B$336,$A37,'Feature Register'!$I$2:$I$336,C$18)</f>
        <v>0</v>
      </c>
      <c r="D37" s="6">
        <f>COUNTIFS('Feature Register'!$B$2:$B$336,$A37,'Feature Register'!$I$2:$I$336,D$18)</f>
        <v>0</v>
      </c>
      <c r="E37" s="6">
        <f>COUNTIFS('Feature Register'!$B$2:$B$336,$A37,'Feature Register'!$I$2:$I$336,E$18)</f>
        <v>0</v>
      </c>
      <c r="F37" s="6">
        <f>COUNTIF('Feature Register'!$B$2:$B$336,$A37)</f>
        <v>6</v>
      </c>
      <c r="G37" s="7">
        <f>IF(F37=0,0,B37/F37)</f>
        <v>1</v>
      </c>
    </row>
    <row r="38" spans="1:7" x14ac:dyDescent="0.25">
      <c r="A38" s="5" t="s">
        <v>41</v>
      </c>
      <c r="B38" s="6">
        <f>COUNTIFS('Feature Register'!$B$2:$B$336,$A38,'Feature Register'!$I$2:$I$336,B$18)</f>
        <v>28</v>
      </c>
      <c r="C38" s="6">
        <f>COUNTIFS('Feature Register'!$B$2:$B$336,$A38,'Feature Register'!$I$2:$I$336,C$18)</f>
        <v>0</v>
      </c>
      <c r="D38" s="6">
        <f>COUNTIFS('Feature Register'!$B$2:$B$336,$A38,'Feature Register'!$I$2:$I$336,D$18)</f>
        <v>0</v>
      </c>
      <c r="E38" s="6">
        <f>COUNTIFS('Feature Register'!$B$2:$B$336,$A38,'Feature Register'!$I$2:$I$336,E$18)</f>
        <v>0</v>
      </c>
      <c r="F38" s="6">
        <f>COUNTIF('Feature Register'!$B$2:$B$336,$A38)</f>
        <v>28</v>
      </c>
      <c r="G38" s="7">
        <f>IF(F38=0,0,B38/F38)</f>
        <v>1</v>
      </c>
    </row>
    <row r="39" spans="1:7" x14ac:dyDescent="0.25">
      <c r="A39" s="5" t="s">
        <v>42</v>
      </c>
      <c r="B39" s="6">
        <f>COUNTIFS('Feature Register'!$B$2:$B$336,$A39,'Feature Register'!$I$2:$I$336,B$18)</f>
        <v>24</v>
      </c>
      <c r="C39" s="6">
        <f>COUNTIFS('Feature Register'!$B$2:$B$336,$A39,'Feature Register'!$I$2:$I$336,C$18)</f>
        <v>0</v>
      </c>
      <c r="D39" s="6">
        <f>COUNTIFS('Feature Register'!$B$2:$B$336,$A39,'Feature Register'!$I$2:$I$336,D$18)</f>
        <v>4</v>
      </c>
      <c r="E39" s="6">
        <f>COUNTIFS('Feature Register'!$B$2:$B$336,$A39,'Feature Register'!$I$2:$I$336,E$18)</f>
        <v>2</v>
      </c>
      <c r="F39" s="6">
        <f>COUNTIF('Feature Register'!$B$2:$B$336,$A39)</f>
        <v>30</v>
      </c>
      <c r="G39" s="7">
        <f>IF(F39=0,0,B39/F39)</f>
        <v>0.8</v>
      </c>
    </row>
    <row r="40" spans="1:7" x14ac:dyDescent="0.25">
      <c r="A40" s="5" t="s">
        <v>20</v>
      </c>
      <c r="B40" s="8">
        <f>SUM(B19:B39)</f>
        <v>319</v>
      </c>
      <c r="C40" s="8">
        <f>SUM(C19:C39)</f>
        <v>3</v>
      </c>
      <c r="D40" s="8">
        <f>SUM(D19:D39)</f>
        <v>7</v>
      </c>
      <c r="E40" s="8">
        <f>SUM(E19:E39)</f>
        <v>5</v>
      </c>
      <c r="F40" s="8">
        <f>SUM(F19:F39)</f>
        <v>335</v>
      </c>
      <c r="G40" s="7">
        <f>IF(F40=0,0,B40/F40)</f>
        <v>0.9522388059701492</v>
      </c>
    </row>
    <row r="42" spans="1:1" x14ac:dyDescent="0.25">
      <c r="A42" s="3" t="s">
        <v>43</v>
      </c>
    </row>
    <row r="43" spans="1:2" x14ac:dyDescent="0.25">
      <c r="A43" s="4" t="s">
        <v>44</v>
      </c>
      <c r="B43" s="4" t="s">
        <v>7</v>
      </c>
    </row>
    <row r="44" spans="1:2" x14ac:dyDescent="0.25">
      <c r="A44" s="5" t="s">
        <v>45</v>
      </c>
      <c r="B44" s="6">
        <f>COUNTIF('Feature Register'!$J$2:$J$336,A44)</f>
        <v>246</v>
      </c>
    </row>
    <row r="45" spans="1:2" x14ac:dyDescent="0.25">
      <c r="A45" s="5" t="s">
        <v>46</v>
      </c>
      <c r="B45" s="6">
        <f>COUNTIF('Feature Register'!$J$2:$J$336,A45)</f>
        <v>60</v>
      </c>
    </row>
    <row r="46" spans="1:2" x14ac:dyDescent="0.25">
      <c r="A46" s="5" t="s">
        <v>47</v>
      </c>
      <c r="B46" s="6">
        <f>COUNTIF('Feature Register'!$J$2:$J$336,A46)</f>
        <v>1</v>
      </c>
    </row>
    <row r="47" spans="1:2" x14ac:dyDescent="0.25">
      <c r="A47" s="5" t="s">
        <v>48</v>
      </c>
      <c r="B47" s="6">
        <f>COUNTIF('Feature Register'!$J$2:$J$336,A47)</f>
        <v>1</v>
      </c>
    </row>
    <row r="48" spans="1:2" x14ac:dyDescent="0.25">
      <c r="A48" s="5" t="s">
        <v>49</v>
      </c>
      <c r="B48" s="6">
        <f>COUNTIF('Feature Register'!$J$2:$J$336,A48)</f>
        <v>2</v>
      </c>
    </row>
    <row r="49" spans="1:2" x14ac:dyDescent="0.25">
      <c r="A49" s="5" t="s">
        <v>50</v>
      </c>
      <c r="B49" s="6">
        <f>COUNTIF('Feature Register'!$J$2:$J$336,A49)</f>
        <v>7</v>
      </c>
    </row>
    <row r="50" spans="1:2" x14ac:dyDescent="0.25">
      <c r="A50" s="5" t="s">
        <v>51</v>
      </c>
      <c r="B50" s="6">
        <f>COUNTIF('Feature Register'!$J$2:$J$336,A50)</f>
        <v>2</v>
      </c>
    </row>
    <row r="51" spans="1:2" x14ac:dyDescent="0.25">
      <c r="A51" s="5" t="s">
        <v>52</v>
      </c>
      <c r="B51" s="6">
        <f>COUNTIF('Feature Register'!$J$2:$J$336,A51)</f>
        <v>5</v>
      </c>
    </row>
    <row r="52" spans="1:2" x14ac:dyDescent="0.25">
      <c r="A52" s="5" t="s">
        <v>53</v>
      </c>
      <c r="B52" s="6">
        <f>COUNTIF('Feature Register'!$J$2:$J$336,A52)</f>
        <v>10</v>
      </c>
    </row>
    <row r="53" spans="1:2" x14ac:dyDescent="0.25">
      <c r="A53" s="5" t="s">
        <v>54</v>
      </c>
      <c r="B53" s="6">
        <f>COUNTIF('Feature Register'!$J$2:$J$336,A53)</f>
        <v>1</v>
      </c>
    </row>
    <row r="54" spans="1:2" x14ac:dyDescent="0.25">
      <c r="A54" s="5" t="s">
        <v>20</v>
      </c>
      <c r="B54" s="8">
        <f>SUM(B44:B53)</f>
        <v>335</v>
      </c>
    </row>
    <row r="56" spans="1:1" x14ac:dyDescent="0.25">
      <c r="A56" s="3" t="s">
        <v>55</v>
      </c>
    </row>
    <row r="57" spans="1:4" x14ac:dyDescent="0.25">
      <c r="A57" s="4" t="s">
        <v>6</v>
      </c>
      <c r="B57" s="4" t="s">
        <v>56</v>
      </c>
      <c r="C57" s="4" t="s">
        <v>57</v>
      </c>
      <c r="D57" s="4" t="s">
        <v>58</v>
      </c>
    </row>
    <row r="58" spans="1:4" x14ac:dyDescent="0.25">
      <c r="A58" s="5" t="s">
        <v>11</v>
      </c>
      <c r="B58" s="6">
        <f>COUNTIFS('Process Flow Tree'!$B$5:$B$280,3,'Process Flow Tree'!$G$5:$G$280,$A58)</f>
        <v>190</v>
      </c>
      <c r="C58" s="6">
        <f>COUNTIFS('Process Flow Tree'!$B$5:$B$280,2,'Process Flow Tree'!$G$5:$G$280,$A58)</f>
        <v>48</v>
      </c>
      <c r="D58" s="6">
        <f>COUNTIFS('Process Flow Tree'!$B$5:$B$280,1,'Process Flow Tree'!$G$5:$G$280,$A58)</f>
        <v>13</v>
      </c>
    </row>
    <row r="59" spans="1:4" x14ac:dyDescent="0.25">
      <c r="A59" s="5" t="s">
        <v>12</v>
      </c>
      <c r="B59" s="6">
        <f>COUNTIFS('Process Flow Tree'!$B$5:$B$280,3,'Process Flow Tree'!$G$5:$G$280,$A59)</f>
        <v>1</v>
      </c>
      <c r="C59" s="6">
        <f>COUNTIFS('Process Flow Tree'!$B$5:$B$280,2,'Process Flow Tree'!$G$5:$G$280,$A59)</f>
        <v>3</v>
      </c>
      <c r="D59" s="6">
        <f>COUNTIFS('Process Flow Tree'!$B$5:$B$280,1,'Process Flow Tree'!$G$5:$G$280,$A59)</f>
        <v>1</v>
      </c>
    </row>
    <row r="60" spans="1:4" x14ac:dyDescent="0.25">
      <c r="A60" s="5" t="s">
        <v>13</v>
      </c>
      <c r="B60" s="6">
        <f>COUNTIFS('Process Flow Tree'!$B$5:$B$280,3,'Process Flow Tree'!$G$5:$G$280,$A60)</f>
        <v>5</v>
      </c>
      <c r="C60" s="6">
        <f>COUNTIFS('Process Flow Tree'!$B$5:$B$280,2,'Process Flow Tree'!$G$5:$G$280,$A60)</f>
        <v>0</v>
      </c>
      <c r="D60" s="6">
        <f>COUNTIFS('Process Flow Tree'!$B$5:$B$280,1,'Process Flow Tree'!$G$5:$G$280,$A60)</f>
        <v>0</v>
      </c>
    </row>
    <row r="61" spans="1:4" x14ac:dyDescent="0.25">
      <c r="A61" s="5" t="s">
        <v>14</v>
      </c>
      <c r="B61" s="6">
        <f>COUNTIFS('Process Flow Tree'!$B$5:$B$280,3,'Process Flow Tree'!$G$5:$G$280,$A61)</f>
        <v>6</v>
      </c>
      <c r="C61" s="6">
        <f>COUNTIFS('Process Flow Tree'!$B$5:$B$280,2,'Process Flow Tree'!$G$5:$G$280,$A61)</f>
        <v>5</v>
      </c>
      <c r="D61" s="6">
        <f>COUNTIFS('Process Flow Tree'!$B$5:$B$280,1,'Process Flow Tree'!$G$5:$G$280,$A61)</f>
        <v>4</v>
      </c>
    </row>
    <row r="62" spans="1:4" x14ac:dyDescent="0.25">
      <c r="A62" s="5" t="s">
        <v>20</v>
      </c>
      <c r="B62" s="8">
        <f>SUM(B58:B61)</f>
        <v>202</v>
      </c>
      <c r="C62" s="8">
        <f>SUM(C58:C61)</f>
        <v>56</v>
      </c>
      <c r="D62" s="8">
        <f>SUM(D58:D61)</f>
        <v>18</v>
      </c>
    </row>
    <row r="64" spans="1:1" x14ac:dyDescent="0.25">
      <c r="A64" s="3" t="s">
        <v>59</v>
      </c>
    </row>
    <row r="65" spans="1:3" x14ac:dyDescent="0.25">
      <c r="A65" s="4" t="s">
        <v>60</v>
      </c>
      <c r="B65" s="4" t="s">
        <v>61</v>
      </c>
      <c r="C65" s="4" t="s">
        <v>6</v>
      </c>
    </row>
    <row r="66" spans="1:3" x14ac:dyDescent="0.25">
      <c r="A66" s="5" t="s">
        <v>62</v>
      </c>
      <c r="B66" s="6" t="str">
        <f>'Process Flow Tree'!F5</f>
        <v>33 / 34</v>
      </c>
      <c r="C66" s="5" t="str">
        <f>'Process Flow Tree'!G5</f>
        <v>BLOCKED</v>
      </c>
    </row>
    <row r="67" spans="1:3" x14ac:dyDescent="0.25">
      <c r="A67" s="5" t="s">
        <v>63</v>
      </c>
      <c r="B67" s="6" t="str">
        <f>'Process Flow Tree'!F49</f>
        <v>9 / 9</v>
      </c>
      <c r="C67" s="5" t="str">
        <f>'Process Flow Tree'!G49</f>
        <v>COMPLETED</v>
      </c>
    </row>
    <row r="68" spans="1:3" x14ac:dyDescent="0.25">
      <c r="A68" s="5" t="s">
        <v>64</v>
      </c>
      <c r="B68" s="6" t="str">
        <f>'Process Flow Tree'!F61</f>
        <v>7 / 7</v>
      </c>
      <c r="C68" s="5" t="str">
        <f>'Process Flow Tree'!G61</f>
        <v>COMPLETED</v>
      </c>
    </row>
    <row r="69" spans="1:3" x14ac:dyDescent="0.25">
      <c r="A69" s="5" t="s">
        <v>65</v>
      </c>
      <c r="B69" s="6" t="str">
        <f>'Process Flow Tree'!F72</f>
        <v>9 / 10</v>
      </c>
      <c r="C69" s="5" t="str">
        <f>'Process Flow Tree'!G72</f>
        <v>BLOCKED</v>
      </c>
    </row>
    <row r="70" spans="1:3" x14ac:dyDescent="0.25">
      <c r="A70" s="5" t="s">
        <v>66</v>
      </c>
      <c r="B70" s="6" t="str">
        <f>'Process Flow Tree'!F85</f>
        <v>7 / 7</v>
      </c>
      <c r="C70" s="5" t="str">
        <f>'Process Flow Tree'!G85</f>
        <v>COMPLETED</v>
      </c>
    </row>
    <row r="71" spans="1:3" x14ac:dyDescent="0.25">
      <c r="A71" s="5" t="s">
        <v>67</v>
      </c>
      <c r="B71" s="6" t="str">
        <f>'Process Flow Tree'!F96</f>
        <v>10 / 10</v>
      </c>
      <c r="C71" s="5" t="str">
        <f>'Process Flow Tree'!G96</f>
        <v>COMPLETED</v>
      </c>
    </row>
    <row r="72" spans="1:3" x14ac:dyDescent="0.25">
      <c r="A72" s="5" t="s">
        <v>68</v>
      </c>
      <c r="B72" s="6" t="str">
        <f>'Process Flow Tree'!F111</f>
        <v>5 / 5</v>
      </c>
      <c r="C72" s="5" t="str">
        <f>'Process Flow Tree'!G111</f>
        <v>COMPLETED</v>
      </c>
    </row>
    <row r="73" spans="1:3" x14ac:dyDescent="0.25">
      <c r="A73" s="5" t="s">
        <v>69</v>
      </c>
      <c r="B73" s="6" t="str">
        <f>'Process Flow Tree'!F120</f>
        <v>19 / 19</v>
      </c>
      <c r="C73" s="5" t="str">
        <f>'Process Flow Tree'!G120</f>
        <v>COMPLETED</v>
      </c>
    </row>
    <row r="74" spans="1:3" x14ac:dyDescent="0.25">
      <c r="A74" s="5" t="s">
        <v>70</v>
      </c>
      <c r="B74" s="6" t="str">
        <f>'Process Flow Tree'!F144</f>
        <v>11 / 11</v>
      </c>
      <c r="C74" s="5" t="str">
        <f>'Process Flow Tree'!G144</f>
        <v>COMPLETED</v>
      </c>
    </row>
    <row r="75" spans="1:3" x14ac:dyDescent="0.25">
      <c r="A75" s="5" t="s">
        <v>71</v>
      </c>
      <c r="B75" s="6" t="str">
        <f>'Process Flow Tree'!F158</f>
        <v>9 / 9</v>
      </c>
      <c r="C75" s="5" t="str">
        <f>'Process Flow Tree'!G158</f>
        <v>COMPLETED</v>
      </c>
    </row>
    <row r="76" spans="1:3" x14ac:dyDescent="0.25">
      <c r="A76" s="5" t="s">
        <v>72</v>
      </c>
      <c r="B76" s="6" t="str">
        <f>'Process Flow Tree'!F170</f>
        <v>5 / 5</v>
      </c>
      <c r="C76" s="5" t="str">
        <f>'Process Flow Tree'!G170</f>
        <v>COMPLETED</v>
      </c>
    </row>
    <row r="77" spans="1:3" x14ac:dyDescent="0.25">
      <c r="A77" s="5" t="s">
        <v>73</v>
      </c>
      <c r="B77" s="6" t="str">
        <f>'Process Flow Tree'!F178</f>
        <v>9 / 9</v>
      </c>
      <c r="C77" s="5" t="str">
        <f>'Process Flow Tree'!G178</f>
        <v>COMPLETED</v>
      </c>
    </row>
    <row r="78" spans="1:3" x14ac:dyDescent="0.25">
      <c r="A78" s="5" t="s">
        <v>74</v>
      </c>
      <c r="B78" s="6" t="str">
        <f>'Process Flow Tree'!F190</f>
        <v>3 / 3</v>
      </c>
      <c r="C78" s="5" t="str">
        <f>'Process Flow Tree'!G190</f>
        <v>COMPLETED</v>
      </c>
    </row>
    <row r="79" spans="1:3" x14ac:dyDescent="0.25">
      <c r="A79" s="5" t="s">
        <v>75</v>
      </c>
      <c r="B79" s="6" t="str">
        <f>'Process Flow Tree'!F196</f>
        <v>9 / 10</v>
      </c>
      <c r="C79" s="5" t="str">
        <f>'Process Flow Tree'!G196</f>
        <v>IN PROGRESS</v>
      </c>
    </row>
    <row r="80" spans="1:3" x14ac:dyDescent="0.25">
      <c r="A80" s="5" t="s">
        <v>76</v>
      </c>
      <c r="B80" s="6" t="str">
        <f>'Process Flow Tree'!F209</f>
        <v>4 / 7</v>
      </c>
      <c r="C80" s="5" t="str">
        <f>'Process Flow Tree'!G209</f>
        <v>BLOCKED</v>
      </c>
    </row>
    <row r="81" spans="1:3" x14ac:dyDescent="0.25">
      <c r="A81" s="5" t="s">
        <v>77</v>
      </c>
      <c r="B81" s="6" t="str">
        <f>'Process Flow Tree'!F219</f>
        <v>20 / 20</v>
      </c>
      <c r="C81" s="5" t="str">
        <f>'Process Flow Tree'!G219</f>
        <v>COMPLETED</v>
      </c>
    </row>
    <row r="82" spans="1:3" x14ac:dyDescent="0.25">
      <c r="A82" s="5" t="s">
        <v>78</v>
      </c>
      <c r="B82" s="6" t="str">
        <f>'Process Flow Tree'!F245</f>
        <v>16 / 16</v>
      </c>
      <c r="C82" s="5" t="str">
        <f>'Process Flow Tree'!G245</f>
        <v>COMPLETED</v>
      </c>
    </row>
    <row r="83" spans="1:3" x14ac:dyDescent="0.25">
      <c r="A83" s="5" t="s">
        <v>79</v>
      </c>
      <c r="B83" s="6" t="str">
        <f>'Process Flow Tree'!F266</f>
        <v>5 / 11</v>
      </c>
      <c r="C83" s="5" t="str">
        <f>'Process Flow Tree'!G266</f>
        <v>BLOCKED</v>
      </c>
    </row>
    <row r="85" spans="1:1" x14ac:dyDescent="0.25">
      <c r="A85" s="3" t="s">
        <v>80</v>
      </c>
    </row>
    <row r="86" spans="1:2" x14ac:dyDescent="0.25">
      <c r="A86" s="4" t="s">
        <v>81</v>
      </c>
      <c r="B86" s="4" t="s">
        <v>82</v>
      </c>
    </row>
    <row r="87" spans="1:2" x14ac:dyDescent="0.25">
      <c r="A87" s="5" t="s">
        <v>83</v>
      </c>
      <c r="B87" s="6">
        <f>COUNTIF('PR Register'!$F$2:$F$288,A87)</f>
        <v>16</v>
      </c>
    </row>
    <row r="88" spans="1:2" x14ac:dyDescent="0.25">
      <c r="A88" s="5" t="s">
        <v>84</v>
      </c>
      <c r="B88" s="6">
        <f>COUNTIF('PR Register'!$F$2:$F$288,A88)</f>
        <v>270</v>
      </c>
    </row>
    <row r="89" spans="1:2" x14ac:dyDescent="0.25">
      <c r="A89" s="5" t="s">
        <v>85</v>
      </c>
      <c r="B89" s="6">
        <f>COUNTIF('PR Register'!$F$2:$F$288,A89)</f>
        <v>1</v>
      </c>
    </row>
    <row r="90" spans="1:2" x14ac:dyDescent="0.25">
      <c r="A90" s="5" t="s">
        <v>20</v>
      </c>
      <c r="B90" s="8">
        <f>SUM(B87:B89)</f>
        <v>287</v>
      </c>
    </row>
    <row r="91" spans="1:2" x14ac:dyDescent="0.25">
      <c r="A91" s="4" t="s">
        <v>86</v>
      </c>
      <c r="B91" s="4" t="s">
        <v>82</v>
      </c>
    </row>
    <row r="92" spans="1:2" x14ac:dyDescent="0.25">
      <c r="A92" s="5" t="s">
        <v>87</v>
      </c>
      <c r="B92" s="6">
        <f>COUNTIF('PR Register'!$C$2:$C$288,A92)</f>
        <v>6</v>
      </c>
    </row>
    <row r="93" spans="1:2" x14ac:dyDescent="0.25">
      <c r="A93" s="5" t="s">
        <v>88</v>
      </c>
      <c r="B93" s="6">
        <f>COUNTIF('PR Register'!$C$2:$C$288,A93)</f>
        <v>18</v>
      </c>
    </row>
    <row r="94" spans="1:2" x14ac:dyDescent="0.25">
      <c r="A94" s="5" t="s">
        <v>89</v>
      </c>
      <c r="B94" s="6">
        <f>COUNTIF('PR Register'!$C$2:$C$288,A94)</f>
        <v>2</v>
      </c>
    </row>
    <row r="95" spans="1:2" x14ac:dyDescent="0.25">
      <c r="A95" s="5" t="s">
        <v>90</v>
      </c>
      <c r="B95" s="6">
        <f>COUNTIF('PR Register'!$C$2:$C$288,A95)</f>
        <v>36</v>
      </c>
    </row>
    <row r="96" spans="1:2" x14ac:dyDescent="0.25">
      <c r="A96" s="5" t="s">
        <v>91</v>
      </c>
      <c r="B96" s="6">
        <f>COUNTIF('PR Register'!$C$2:$C$288,A96)</f>
        <v>61</v>
      </c>
    </row>
    <row r="97" spans="1:2" x14ac:dyDescent="0.25">
      <c r="A97" s="5" t="s">
        <v>92</v>
      </c>
      <c r="B97" s="6">
        <f>COUNTIF('PR Register'!$C$2:$C$288,A97)</f>
        <v>6</v>
      </c>
    </row>
    <row r="98" spans="1:2" x14ac:dyDescent="0.25">
      <c r="A98" s="5" t="s">
        <v>93</v>
      </c>
      <c r="B98" s="6">
        <f>COUNTIF('PR Register'!$C$2:$C$288,A98)</f>
        <v>39</v>
      </c>
    </row>
    <row r="99" spans="1:2" x14ac:dyDescent="0.25">
      <c r="A99" s="5" t="s">
        <v>94</v>
      </c>
      <c r="B99" s="6">
        <f>COUNTIF('PR Register'!$C$2:$C$288,A99)</f>
        <v>15</v>
      </c>
    </row>
    <row r="100" spans="1:2" x14ac:dyDescent="0.25">
      <c r="A100" s="5" t="s">
        <v>95</v>
      </c>
      <c r="B100" s="6">
        <f>COUNTIF('PR Register'!$C$2:$C$288,A100)</f>
        <v>1</v>
      </c>
    </row>
    <row r="101" spans="1:2" x14ac:dyDescent="0.25">
      <c r="A101" s="5" t="s">
        <v>96</v>
      </c>
      <c r="B101" s="6">
        <f>COUNTIF('PR Register'!$C$2:$C$288,A101)</f>
        <v>1</v>
      </c>
    </row>
    <row r="102" spans="1:2" x14ac:dyDescent="0.25">
      <c r="A102" s="5" t="s">
        <v>97</v>
      </c>
      <c r="B102" s="6">
        <f>COUNTIF('PR Register'!$C$2:$C$288,A102)</f>
        <v>1</v>
      </c>
    </row>
    <row r="103" spans="1:2" x14ac:dyDescent="0.25">
      <c r="A103" s="5" t="s">
        <v>98</v>
      </c>
      <c r="B103" s="6">
        <f>COUNTIF('PR Register'!$C$2:$C$288,A103)</f>
        <v>17</v>
      </c>
    </row>
    <row r="104" spans="1:2" x14ac:dyDescent="0.25">
      <c r="A104" s="5" t="s">
        <v>99</v>
      </c>
      <c r="B104" s="6">
        <f>COUNTIF('PR Register'!$C$2:$C$288,A104)</f>
        <v>6</v>
      </c>
    </row>
    <row r="105" spans="1:2" x14ac:dyDescent="0.25">
      <c r="A105" s="5" t="s">
        <v>100</v>
      </c>
      <c r="B105" s="6">
        <f>COUNTIF('PR Register'!$C$2:$C$288,A105)</f>
        <v>67</v>
      </c>
    </row>
    <row r="106" spans="1:2" x14ac:dyDescent="0.25">
      <c r="A106" s="5" t="s">
        <v>101</v>
      </c>
      <c r="B106" s="6">
        <f>COUNTIF('PR Register'!$C$2:$C$288,A106)</f>
        <v>1</v>
      </c>
    </row>
    <row r="107" spans="1:2" x14ac:dyDescent="0.25">
      <c r="A107" s="5" t="s">
        <v>102</v>
      </c>
      <c r="B107" s="6">
        <f>COUNTIF('PR Register'!$C$2:$C$288,A107)</f>
        <v>2</v>
      </c>
    </row>
    <row r="108" spans="1:2" x14ac:dyDescent="0.25">
      <c r="A108" s="5" t="s">
        <v>103</v>
      </c>
      <c r="B108" s="6">
        <f>COUNTIF('PR Register'!$C$2:$C$288,A108)</f>
        <v>3</v>
      </c>
    </row>
    <row r="109" spans="1:2" x14ac:dyDescent="0.25">
      <c r="A109" s="5" t="s">
        <v>104</v>
      </c>
      <c r="B109" s="6">
        <f>COUNTIF('PR Register'!$C$2:$C$288,A109)</f>
        <v>5</v>
      </c>
    </row>
    <row r="110" spans="1:2" x14ac:dyDescent="0.25">
      <c r="A110" s="5" t="s">
        <v>20</v>
      </c>
      <c r="B110" s="8">
        <f>SUM(B92:B109)</f>
        <v>287</v>
      </c>
    </row>
    <row r="112" spans="1:1" x14ac:dyDescent="0.25">
      <c r="A112" s="3" t="s">
        <v>105</v>
      </c>
    </row>
    <row r="113" ht="26" customHeight="1" spans="1:7" x14ac:dyDescent="0.25">
      <c r="A113" s="9" t="s">
        <v>106</v>
      </c>
      <c r="B113"/>
      <c r="C113"/>
      <c r="D113"/>
      <c r="E113"/>
      <c r="F113"/>
      <c r="G113"/>
    </row>
    <row r="114" ht="26" customHeight="1" spans="1:7" x14ac:dyDescent="0.25">
      <c r="A114" s="9" t="s">
        <v>107</v>
      </c>
      <c r="B114"/>
      <c r="C114"/>
      <c r="D114"/>
      <c r="E114"/>
      <c r="F114"/>
      <c r="G114"/>
    </row>
    <row r="115" ht="26" customHeight="1" spans="1:7" x14ac:dyDescent="0.25">
      <c r="A115" s="9" t="s">
        <v>108</v>
      </c>
      <c r="B115"/>
      <c r="C115"/>
      <c r="D115"/>
      <c r="E115"/>
      <c r="F115"/>
      <c r="G115"/>
    </row>
    <row r="116" ht="26" customHeight="1" spans="1:7" x14ac:dyDescent="0.25">
      <c r="A116" s="9" t="s">
        <v>109</v>
      </c>
      <c r="B116"/>
      <c r="C116"/>
      <c r="D116"/>
      <c r="E116"/>
      <c r="F116"/>
      <c r="G116"/>
    </row>
    <row r="117" ht="26" customHeight="1" spans="1:7" x14ac:dyDescent="0.25">
      <c r="A117" s="9" t="s">
        <v>110</v>
      </c>
      <c r="B117"/>
      <c r="C117"/>
      <c r="D117"/>
      <c r="E117"/>
      <c r="F117"/>
      <c r="G117"/>
    </row>
    <row r="118" ht="26" customHeight="1" spans="1:7" x14ac:dyDescent="0.25">
      <c r="A118" s="9" t="s">
        <v>111</v>
      </c>
      <c r="B118"/>
      <c r="C118"/>
      <c r="D118"/>
      <c r="E118"/>
      <c r="F118"/>
      <c r="G118"/>
    </row>
    <row r="119" ht="26" customHeight="1" spans="1:7" x14ac:dyDescent="0.25">
      <c r="A119" s="9" t="s">
        <v>112</v>
      </c>
      <c r="B119"/>
      <c r="C119"/>
      <c r="D119"/>
      <c r="E119"/>
      <c r="F119"/>
      <c r="G119"/>
    </row>
  </sheetData>
  <mergeCells count="12">
    <mergeCell ref="A1:G1"/>
    <mergeCell ref="A2:G2"/>
    <mergeCell ref="A3:G3"/>
    <mergeCell ref="A4:G4"/>
    <mergeCell ref="A5:G5"/>
    <mergeCell ref="A113:G113"/>
    <mergeCell ref="A114:G114"/>
    <mergeCell ref="A115:G115"/>
    <mergeCell ref="A116:G116"/>
    <mergeCell ref="A117:G117"/>
    <mergeCell ref="A118:G118"/>
    <mergeCell ref="A119:G119"/>
  </mergeCells>
  <conditionalFormatting sqref="A9:A13">
    <cfRule type="cellIs" dxfId="0" priority="2" operator="equal">
      <formula>"COMPLETED"</formula>
    </cfRule>
    <cfRule type="cellIs" dxfId="1" priority="3" operator="equal">
      <formula>"IN PROGRESS"</formula>
    </cfRule>
    <cfRule type="cellIs" dxfId="2" priority="4" operator="equal">
      <formula>"YET TO START"</formula>
    </cfRule>
    <cfRule type="cellIs" dxfId="3" priority="5" operator="equal">
      <formula>"BLOCKED"</formula>
    </cfRule>
  </conditionalFormatting>
  <conditionalFormatting sqref="A58:A61">
    <cfRule type="cellIs" dxfId="4" priority="2" operator="equal">
      <formula>"COMPLETED"</formula>
    </cfRule>
    <cfRule type="cellIs" dxfId="5" priority="3" operator="equal">
      <formula>"IN PROGRESS"</formula>
    </cfRule>
    <cfRule type="cellIs" dxfId="6" priority="4" operator="equal">
      <formula>"YET TO START"</formula>
    </cfRule>
    <cfRule type="cellIs" dxfId="7" priority="5" operator="equal">
      <formula>"BLOCKED"</formula>
    </cfRule>
  </conditionalFormatting>
  <conditionalFormatting sqref="C66:C83">
    <cfRule type="cellIs" dxfId="8" priority="2" operator="equal">
      <formula>"COMPLETED"</formula>
    </cfRule>
    <cfRule type="cellIs" dxfId="9" priority="3" operator="equal">
      <formula>"IN PROGRESS"</formula>
    </cfRule>
    <cfRule type="cellIs" dxfId="10" priority="4" operator="equal">
      <formula>"YET TO START"</formula>
    </cfRule>
    <cfRule type="cellIs" dxfId="11" priority="5" operator="equal">
      <formula>"BLOCKED"</formula>
    </cfRule>
  </conditionalFormatting>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36"/>
  <sheetViews>
    <sheetView workbookViewId="0" zoomScale="100" zoomScaleNormal="100" view="normal">
      <selection activeCell="A1" sqref="A1"/>
    </sheetView>
  </sheetViews>
  <sheetFormatPr defaultRowHeight="15" outlineLevelRow="0" outlineLevelCol="0" x14ac:dyDescent="0" defaultColWidth="8.6796875"/>
  <cols>
    <col min="1" max="1" width="14" style="10" customWidth="1"/>
    <col min="2" max="2" width="50" style="10" customWidth="1"/>
    <col min="3" max="3" width="22" style="10" customWidth="1"/>
    <col min="4" max="4" width="12" style="10" customWidth="1"/>
    <col min="5" max="5" width="90" style="10" customWidth="1"/>
  </cols>
  <sheetData>
    <row r="1" ht="15" customHeight="1" spans="1:1" s="12" customFormat="1" x14ac:dyDescent="0.25">
      <c r="A1" s="10" t="s">
        <v>5127</v>
      </c>
    </row>
    <row r="2" ht="15" customHeight="1" spans="1:1" s="12" customFormat="1" x14ac:dyDescent="0.25">
      <c r="A2" s="10" t="s">
        <v>5128</v>
      </c>
    </row>
    <row r="4" ht="15" customHeight="1" spans="1:5" s="12" customFormat="1" x14ac:dyDescent="0.25">
      <c r="A4" s="13" t="s">
        <v>2254</v>
      </c>
      <c r="B4" s="13" t="s">
        <v>5129</v>
      </c>
      <c r="C4" s="13" t="s">
        <v>5130</v>
      </c>
      <c r="D4" s="13" t="s">
        <v>5131</v>
      </c>
      <c r="E4" s="13" t="s">
        <v>2259</v>
      </c>
    </row>
    <row r="5" ht="41.75" customHeight="1" spans="1:5" s="12" customFormat="1" x14ac:dyDescent="0.25">
      <c r="A5" s="10" t="s">
        <v>2269</v>
      </c>
      <c r="B5" s="10" t="s">
        <v>2270</v>
      </c>
      <c r="C5" s="20" t="s">
        <v>2274</v>
      </c>
      <c r="D5" s="10" t="s">
        <v>2272</v>
      </c>
      <c r="E5" s="21" t="s">
        <v>2275</v>
      </c>
    </row>
    <row r="6" ht="41.75" customHeight="1" spans="1:5" s="12" customFormat="1" x14ac:dyDescent="0.25">
      <c r="A6" s="10" t="s">
        <v>294</v>
      </c>
      <c r="B6" s="10" t="s">
        <v>2305</v>
      </c>
      <c r="C6" s="22" t="s">
        <v>15</v>
      </c>
      <c r="D6" s="10" t="s">
        <v>2308</v>
      </c>
      <c r="E6" s="21" t="s">
        <v>2309</v>
      </c>
    </row>
    <row r="7" ht="55.2" customHeight="1" spans="1:5" s="12" customFormat="1" x14ac:dyDescent="0.25">
      <c r="A7" s="10" t="s">
        <v>2335</v>
      </c>
      <c r="B7" s="10" t="s">
        <v>2336</v>
      </c>
      <c r="C7" s="23" t="s">
        <v>2339</v>
      </c>
      <c r="D7" s="10" t="s">
        <v>2272</v>
      </c>
      <c r="E7" s="21" t="s">
        <v>2340</v>
      </c>
    </row>
    <row r="8" ht="41.75" customHeight="1" spans="1:5" s="12" customFormat="1" x14ac:dyDescent="0.25">
      <c r="A8" s="10" t="s">
        <v>778</v>
      </c>
      <c r="B8" s="10" t="s">
        <v>2351</v>
      </c>
      <c r="C8" s="23" t="s">
        <v>2339</v>
      </c>
      <c r="D8" s="10" t="s">
        <v>2272</v>
      </c>
      <c r="E8" s="21" t="s">
        <v>2354</v>
      </c>
    </row>
    <row r="9" ht="55.2" customHeight="1" spans="1:5" s="12" customFormat="1" x14ac:dyDescent="0.25">
      <c r="A9" s="10" t="s">
        <v>1715</v>
      </c>
      <c r="B9" s="10" t="s">
        <v>2429</v>
      </c>
      <c r="C9" s="20" t="s">
        <v>2274</v>
      </c>
      <c r="D9" s="10" t="s">
        <v>2308</v>
      </c>
      <c r="E9" s="21" t="s">
        <v>2431</v>
      </c>
    </row>
    <row r="10" ht="41.75" customHeight="1" spans="1:5" s="12" customFormat="1" x14ac:dyDescent="0.25">
      <c r="A10" s="10" t="s">
        <v>1693</v>
      </c>
      <c r="B10" s="10" t="s">
        <v>2440</v>
      </c>
      <c r="C10" s="20" t="s">
        <v>2274</v>
      </c>
      <c r="D10" s="10" t="s">
        <v>2272</v>
      </c>
      <c r="E10" s="21" t="s">
        <v>2442</v>
      </c>
    </row>
    <row r="11" ht="41.75" customHeight="1" spans="1:5" s="12" customFormat="1" x14ac:dyDescent="0.25">
      <c r="A11" s="10" t="s">
        <v>1700</v>
      </c>
      <c r="B11" s="10" t="s">
        <v>1698</v>
      </c>
      <c r="C11" s="23" t="s">
        <v>2339</v>
      </c>
      <c r="D11" s="10" t="s">
        <v>2308</v>
      </c>
      <c r="E11" s="21" t="s">
        <v>2448</v>
      </c>
    </row>
    <row r="12" ht="15" customHeight="1" spans="1:5" s="12" customFormat="1" x14ac:dyDescent="0.25">
      <c r="A12" s="10" t="s">
        <v>1708</v>
      </c>
      <c r="B12" s="10" t="s">
        <v>2458</v>
      </c>
      <c r="C12" s="24" t="s">
        <v>2460</v>
      </c>
      <c r="D12" s="10" t="s">
        <v>142</v>
      </c>
      <c r="E12" s="21" t="s">
        <v>2461</v>
      </c>
    </row>
    <row r="13" ht="41.75" customHeight="1" spans="1:5" s="12" customFormat="1" x14ac:dyDescent="0.25">
      <c r="A13" s="10" t="s">
        <v>2492</v>
      </c>
      <c r="B13" s="10" t="s">
        <v>2493</v>
      </c>
      <c r="C13" s="20" t="s">
        <v>2274</v>
      </c>
      <c r="D13" s="10" t="s">
        <v>2308</v>
      </c>
      <c r="E13" s="21" t="s">
        <v>2495</v>
      </c>
    </row>
    <row r="14" ht="55.2" customHeight="1" spans="1:5" s="12" customFormat="1" x14ac:dyDescent="0.25">
      <c r="A14" s="10" t="s">
        <v>2501</v>
      </c>
      <c r="B14" s="10" t="s">
        <v>2502</v>
      </c>
      <c r="C14" s="23" t="s">
        <v>2339</v>
      </c>
      <c r="D14" s="10" t="s">
        <v>2308</v>
      </c>
      <c r="E14" s="21" t="s">
        <v>2504</v>
      </c>
    </row>
    <row r="15" ht="55.2" customHeight="1" spans="1:5" s="12" customFormat="1" x14ac:dyDescent="0.25">
      <c r="A15" s="10" t="s">
        <v>785</v>
      </c>
      <c r="B15" s="10" t="s">
        <v>2510</v>
      </c>
      <c r="C15" s="20" t="s">
        <v>2274</v>
      </c>
      <c r="D15" s="10" t="s">
        <v>2308</v>
      </c>
      <c r="E15" s="21" t="s">
        <v>2512</v>
      </c>
    </row>
    <row r="16" ht="55.2" customHeight="1" spans="1:5" s="12" customFormat="1" x14ac:dyDescent="0.25">
      <c r="A16" s="10" t="s">
        <v>696</v>
      </c>
      <c r="B16" s="10" t="s">
        <v>2582</v>
      </c>
      <c r="C16" s="23" t="s">
        <v>2339</v>
      </c>
      <c r="D16" s="10" t="s">
        <v>2308</v>
      </c>
      <c r="E16" s="21" t="s">
        <v>2584</v>
      </c>
    </row>
    <row r="17" ht="55.2" customHeight="1" spans="1:5" s="12" customFormat="1" x14ac:dyDescent="0.25">
      <c r="A17" s="10" t="s">
        <v>1464</v>
      </c>
      <c r="B17" s="10" t="s">
        <v>2596</v>
      </c>
      <c r="C17" s="23" t="s">
        <v>2339</v>
      </c>
      <c r="D17" s="10" t="s">
        <v>2599</v>
      </c>
      <c r="E17" s="21" t="s">
        <v>2600</v>
      </c>
    </row>
    <row r="18" ht="55.2" customHeight="1" spans="1:5" s="12" customFormat="1" x14ac:dyDescent="0.25">
      <c r="A18" s="10" t="s">
        <v>1495</v>
      </c>
      <c r="B18" s="10" t="s">
        <v>2601</v>
      </c>
      <c r="C18" s="20" t="s">
        <v>2274</v>
      </c>
      <c r="D18" s="10" t="s">
        <v>2603</v>
      </c>
      <c r="E18" s="21" t="s">
        <v>2605</v>
      </c>
    </row>
    <row r="19" ht="55.2" customHeight="1" spans="1:5" s="12" customFormat="1" x14ac:dyDescent="0.25">
      <c r="A19" s="10" t="s">
        <v>1223</v>
      </c>
      <c r="B19" s="10" t="s">
        <v>2620</v>
      </c>
      <c r="C19" s="20" t="s">
        <v>2274</v>
      </c>
      <c r="D19" s="10" t="s">
        <v>2308</v>
      </c>
      <c r="E19" s="21" t="s">
        <v>2623</v>
      </c>
    </row>
    <row r="20" ht="55.2" customHeight="1" spans="1:5" s="12" customFormat="1" x14ac:dyDescent="0.25">
      <c r="A20" s="10" t="s">
        <v>1722</v>
      </c>
      <c r="B20" s="10" t="s">
        <v>2643</v>
      </c>
      <c r="C20" s="23" t="s">
        <v>2339</v>
      </c>
      <c r="D20" s="10" t="s">
        <v>2308</v>
      </c>
      <c r="E20" s="21" t="s">
        <v>2645</v>
      </c>
    </row>
    <row r="21" ht="55.2" customHeight="1" spans="1:5" s="12" customFormat="1" x14ac:dyDescent="0.25">
      <c r="A21" s="10" t="s">
        <v>1730</v>
      </c>
      <c r="B21" s="10" t="s">
        <v>2646</v>
      </c>
      <c r="C21" s="23" t="s">
        <v>2339</v>
      </c>
      <c r="D21" s="10" t="s">
        <v>2308</v>
      </c>
      <c r="E21" s="21" t="s">
        <v>2648</v>
      </c>
    </row>
    <row r="22" ht="41.75" customHeight="1" spans="1:5" s="12" customFormat="1" x14ac:dyDescent="0.25">
      <c r="A22" s="10" t="s">
        <v>2698</v>
      </c>
      <c r="B22" s="10" t="s">
        <v>2699</v>
      </c>
      <c r="C22" s="23" t="s">
        <v>2339</v>
      </c>
      <c r="D22" s="10" t="s">
        <v>2308</v>
      </c>
      <c r="E22" s="21" t="s">
        <v>2701</v>
      </c>
    </row>
    <row r="23" ht="82.05" customHeight="1" spans="1:5" s="12" customFormat="1" x14ac:dyDescent="0.25">
      <c r="A23" s="10" t="s">
        <v>1640</v>
      </c>
      <c r="B23" s="10" t="s">
        <v>2715</v>
      </c>
      <c r="C23" s="25" t="s">
        <v>2719</v>
      </c>
      <c r="D23" s="10" t="s">
        <v>2272</v>
      </c>
      <c r="E23" s="21" t="s">
        <v>2720</v>
      </c>
    </row>
    <row r="24" ht="82.05" customHeight="1" spans="1:5" s="12" customFormat="1" x14ac:dyDescent="0.25">
      <c r="A24" s="10" t="s">
        <v>1559</v>
      </c>
      <c r="B24" s="10" t="s">
        <v>2731</v>
      </c>
      <c r="C24" s="20" t="s">
        <v>2274</v>
      </c>
      <c r="D24" s="10" t="s">
        <v>2308</v>
      </c>
      <c r="E24" s="21" t="s">
        <v>2734</v>
      </c>
    </row>
    <row r="25" ht="41.75" customHeight="1" spans="1:5" s="12" customFormat="1" x14ac:dyDescent="0.25">
      <c r="A25" s="10" t="s">
        <v>1598</v>
      </c>
      <c r="B25" s="10" t="s">
        <v>2742</v>
      </c>
      <c r="C25" s="25" t="s">
        <v>2719</v>
      </c>
      <c r="D25" s="10" t="s">
        <v>2308</v>
      </c>
      <c r="E25" s="21" t="s">
        <v>2745</v>
      </c>
    </row>
    <row r="26" ht="28.35" customHeight="1" spans="1:5" s="12" customFormat="1" x14ac:dyDescent="0.25">
      <c r="A26" s="10" t="s">
        <v>2754</v>
      </c>
      <c r="B26" s="10" t="s">
        <v>2755</v>
      </c>
      <c r="C26" s="24" t="s">
        <v>2758</v>
      </c>
      <c r="D26" s="10" t="s">
        <v>142</v>
      </c>
      <c r="E26" s="21" t="s">
        <v>2759</v>
      </c>
    </row>
    <row r="27" ht="41.75" customHeight="1" spans="1:5" s="12" customFormat="1" x14ac:dyDescent="0.25">
      <c r="A27" s="10" t="s">
        <v>1612</v>
      </c>
      <c r="B27" s="10" t="s">
        <v>2760</v>
      </c>
      <c r="C27" s="24" t="s">
        <v>2758</v>
      </c>
      <c r="D27" s="10" t="s">
        <v>142</v>
      </c>
      <c r="E27" s="21" t="s">
        <v>2763</v>
      </c>
    </row>
    <row r="28" ht="55.2" customHeight="1" spans="1:5" s="12" customFormat="1" x14ac:dyDescent="0.25">
      <c r="A28" s="10" t="s">
        <v>2770</v>
      </c>
      <c r="B28" s="10" t="s">
        <v>2771</v>
      </c>
      <c r="C28" s="25" t="s">
        <v>2719</v>
      </c>
      <c r="D28" s="10" t="s">
        <v>2308</v>
      </c>
      <c r="E28" s="21" t="s">
        <v>2774</v>
      </c>
    </row>
    <row r="30" ht="15" customHeight="1" spans="1:1" s="12" customFormat="1" x14ac:dyDescent="0.25">
      <c r="A30" s="10" t="s">
        <v>5132</v>
      </c>
    </row>
    <row r="31" ht="15" customHeight="1" spans="1:2" s="12" customFormat="1" x14ac:dyDescent="0.25">
      <c r="A31" s="10" t="s">
        <v>2274</v>
      </c>
      <c r="B31" s="10">
        <f>COUNTIF($C$5:$C$28,"DONE")</f>
      </c>
    </row>
    <row r="32" ht="15" customHeight="1" spans="1:2" s="12" customFormat="1" x14ac:dyDescent="0.25">
      <c r="A32" s="10" t="s">
        <v>2339</v>
      </c>
      <c r="B32" s="10">
        <f>COUNTIF($C$5:$C$28,"DONE-SANDBOX")</f>
      </c>
    </row>
    <row r="33" ht="15" customHeight="1" spans="1:2" s="12" customFormat="1" x14ac:dyDescent="0.25">
      <c r="A33" s="10" t="s">
        <v>15</v>
      </c>
      <c r="B33" s="10">
        <f>COUNTIF($C$5:$C$28,"DROPPED")</f>
      </c>
    </row>
    <row r="34" ht="15" customHeight="1" spans="1:2" s="12" customFormat="1" x14ac:dyDescent="0.25">
      <c r="A34" s="10" t="s">
        <v>2460</v>
      </c>
      <c r="B34" s="10">
        <f>COUNTIF($C$5:$C$28,"DEFERRED-PHASE-2")</f>
      </c>
    </row>
    <row r="35" ht="15" customHeight="1" spans="1:2" s="12" customFormat="1" x14ac:dyDescent="0.25">
      <c r="A35" s="10" t="s">
        <v>2758</v>
      </c>
      <c r="B35" s="10">
        <f>COUNTIF($C$5:$C$28,"ON-HOLD")</f>
      </c>
    </row>
    <row r="36" ht="15" customHeight="1" spans="1:2" s="12" customFormat="1" x14ac:dyDescent="0.25">
      <c r="A36" s="10" t="s">
        <v>2719</v>
      </c>
      <c r="B36" s="10">
        <f>COUNTIF($C$5:$C$28,"BLOCKED-OWNER-INPUT")</f>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21"/>
  <sheetViews>
    <sheetView workbookViewId="0" zoomScale="100" zoomScaleNormal="100" view="normal">
      <pane ySplit="4" topLeftCell="A5" activePane="bottomLeft" state="frozen"/>
      <selection pane="bottomLeft" activeCell="A1" sqref="A1"/>
    </sheetView>
  </sheetViews>
  <sheetFormatPr defaultRowHeight="15" outlineLevelRow="0" outlineLevelCol="0" x14ac:dyDescent="0" defaultColWidth="8.6796875"/>
  <cols>
    <col min="1" max="1" width="9" style="10" customWidth="1"/>
    <col min="2" max="2" width="32" style="10" customWidth="1"/>
    <col min="3" max="3" width="14" style="10" customWidth="1"/>
    <col min="4" max="4" width="12" style="10" customWidth="1"/>
    <col min="5" max="5" width="110" style="10" customWidth="1"/>
    <col min="6" max="6" width="30" style="10" customWidth="1"/>
  </cols>
  <sheetData>
    <row r="1" ht="16.15" customHeight="1" spans="1:1" s="12" customFormat="1" x14ac:dyDescent="0.25">
      <c r="A1" s="27" t="s">
        <v>5133</v>
      </c>
    </row>
    <row r="2" ht="15" customHeight="1" spans="1:1" s="12" customFormat="1" x14ac:dyDescent="0.25">
      <c r="A2" s="10" t="s">
        <v>5134</v>
      </c>
    </row>
    <row r="4" ht="15" customHeight="1" spans="1:6" s="12" customFormat="1" x14ac:dyDescent="0.25">
      <c r="A4" s="28" t="s">
        <v>2914</v>
      </c>
      <c r="B4" s="28" t="s">
        <v>5135</v>
      </c>
      <c r="C4" s="28" t="s">
        <v>6</v>
      </c>
      <c r="D4" s="28" t="s">
        <v>5136</v>
      </c>
      <c r="E4" s="28" t="s">
        <v>4182</v>
      </c>
      <c r="F4" s="28" t="s">
        <v>5137</v>
      </c>
    </row>
    <row r="5" ht="68.65" customHeight="1" spans="1:6" s="12" customFormat="1" x14ac:dyDescent="0.25">
      <c r="A5" s="21" t="s">
        <v>5138</v>
      </c>
      <c r="B5" s="21" t="s">
        <v>5139</v>
      </c>
      <c r="C5" s="29" t="s">
        <v>5140</v>
      </c>
      <c r="D5" s="21" t="s">
        <v>4776</v>
      </c>
      <c r="E5" s="21" t="s">
        <v>5141</v>
      </c>
      <c r="F5" s="21" t="s">
        <v>5142</v>
      </c>
    </row>
    <row r="6" ht="41.75" customHeight="1" spans="1:6" s="12" customFormat="1" x14ac:dyDescent="0.25">
      <c r="A6" s="21" t="s">
        <v>5143</v>
      </c>
      <c r="B6" s="21" t="s">
        <v>5144</v>
      </c>
      <c r="C6" s="29" t="s">
        <v>5140</v>
      </c>
      <c r="D6" s="21" t="s">
        <v>4776</v>
      </c>
      <c r="E6" s="21" t="s">
        <v>5145</v>
      </c>
      <c r="F6" s="21" t="s">
        <v>5142</v>
      </c>
    </row>
    <row r="7" ht="41.75" customHeight="1" spans="1:6" s="12" customFormat="1" x14ac:dyDescent="0.25">
      <c r="A7" s="21" t="s">
        <v>4051</v>
      </c>
      <c r="B7" s="21" t="s">
        <v>5146</v>
      </c>
      <c r="C7" s="29" t="s">
        <v>5140</v>
      </c>
      <c r="D7" s="21" t="s">
        <v>4776</v>
      </c>
      <c r="E7" s="21" t="s">
        <v>5147</v>
      </c>
      <c r="F7" s="21" t="s">
        <v>5142</v>
      </c>
    </row>
    <row r="8" ht="55.2" customHeight="1" spans="1:6" s="12" customFormat="1" x14ac:dyDescent="0.25">
      <c r="A8" s="21" t="s">
        <v>4056</v>
      </c>
      <c r="B8" s="21" t="s">
        <v>5148</v>
      </c>
      <c r="C8" s="29" t="s">
        <v>5140</v>
      </c>
      <c r="D8" s="21" t="s">
        <v>4776</v>
      </c>
      <c r="E8" s="21" t="s">
        <v>5149</v>
      </c>
      <c r="F8" s="21" t="s">
        <v>5142</v>
      </c>
    </row>
    <row r="9" ht="55.2" customHeight="1" spans="1:6" s="12" customFormat="1" x14ac:dyDescent="0.25">
      <c r="A9" s="21" t="s">
        <v>5150</v>
      </c>
      <c r="B9" s="21" t="s">
        <v>5151</v>
      </c>
      <c r="C9" s="29" t="s">
        <v>5140</v>
      </c>
      <c r="D9" s="21" t="s">
        <v>4776</v>
      </c>
      <c r="E9" s="21" t="s">
        <v>5152</v>
      </c>
      <c r="F9" s="21" t="s">
        <v>5142</v>
      </c>
    </row>
    <row r="10" ht="55.2" customHeight="1" spans="1:6" s="12" customFormat="1" x14ac:dyDescent="0.25">
      <c r="A10" s="21" t="s">
        <v>5153</v>
      </c>
      <c r="B10" s="21" t="s">
        <v>5154</v>
      </c>
      <c r="C10" s="29" t="s">
        <v>5140</v>
      </c>
      <c r="D10" s="21" t="s">
        <v>4776</v>
      </c>
      <c r="E10" s="21" t="s">
        <v>5155</v>
      </c>
      <c r="F10" s="21" t="s">
        <v>5142</v>
      </c>
    </row>
    <row r="11" ht="68.65" customHeight="1" spans="1:6" s="12" customFormat="1" x14ac:dyDescent="0.25">
      <c r="A11" s="21" t="s">
        <v>5156</v>
      </c>
      <c r="B11" s="21" t="s">
        <v>5157</v>
      </c>
      <c r="C11" s="29" t="s">
        <v>5140</v>
      </c>
      <c r="D11" s="21" t="s">
        <v>4776</v>
      </c>
      <c r="E11" s="21" t="s">
        <v>5158</v>
      </c>
      <c r="F11" s="21" t="s">
        <v>5142</v>
      </c>
    </row>
    <row r="12" ht="55.2" customHeight="1" spans="1:6" s="12" customFormat="1" x14ac:dyDescent="0.25">
      <c r="A12" s="21" t="s">
        <v>5159</v>
      </c>
      <c r="B12" s="21" t="s">
        <v>5160</v>
      </c>
      <c r="C12" s="29" t="s">
        <v>5140</v>
      </c>
      <c r="D12" s="21" t="s">
        <v>4776</v>
      </c>
      <c r="E12" s="21" t="s">
        <v>5161</v>
      </c>
      <c r="F12" s="21" t="s">
        <v>5142</v>
      </c>
    </row>
    <row r="13" ht="41.75" customHeight="1" spans="1:6" s="12" customFormat="1" x14ac:dyDescent="0.25">
      <c r="A13" s="21" t="s">
        <v>5162</v>
      </c>
      <c r="B13" s="21" t="s">
        <v>3552</v>
      </c>
      <c r="C13" s="29" t="s">
        <v>5140</v>
      </c>
      <c r="D13" s="21" t="s">
        <v>4776</v>
      </c>
      <c r="E13" s="21" t="s">
        <v>5163</v>
      </c>
      <c r="F13" s="21" t="s">
        <v>5142</v>
      </c>
    </row>
    <row r="14" ht="55.2" customHeight="1" spans="1:6" s="12" customFormat="1" x14ac:dyDescent="0.25">
      <c r="A14" s="21" t="s">
        <v>5164</v>
      </c>
      <c r="B14" s="21" t="s">
        <v>5165</v>
      </c>
      <c r="C14" s="29" t="s">
        <v>3876</v>
      </c>
      <c r="D14" s="21" t="s">
        <v>4776</v>
      </c>
      <c r="E14" s="21" t="s">
        <v>5166</v>
      </c>
      <c r="F14" s="21" t="s">
        <v>5142</v>
      </c>
    </row>
    <row r="15" ht="28.35" customHeight="1" spans="1:6" s="12" customFormat="1" x14ac:dyDescent="0.25">
      <c r="A15" s="21" t="s">
        <v>5167</v>
      </c>
      <c r="B15" s="21" t="s">
        <v>5168</v>
      </c>
      <c r="C15" s="30" t="s">
        <v>5169</v>
      </c>
      <c r="D15" s="21" t="s">
        <v>4776</v>
      </c>
      <c r="E15" s="21" t="s">
        <v>5170</v>
      </c>
      <c r="F15" s="21" t="s">
        <v>5142</v>
      </c>
    </row>
    <row r="16" ht="55.2" customHeight="1" spans="1:6" s="12" customFormat="1" x14ac:dyDescent="0.25">
      <c r="A16" s="21" t="s">
        <v>5171</v>
      </c>
      <c r="B16" s="21" t="s">
        <v>491</v>
      </c>
      <c r="C16" s="29" t="s">
        <v>5140</v>
      </c>
      <c r="D16" s="21" t="s">
        <v>4776</v>
      </c>
      <c r="E16" s="21" t="s">
        <v>5172</v>
      </c>
      <c r="F16" s="21" t="s">
        <v>5142</v>
      </c>
    </row>
    <row r="17" ht="41.75" customHeight="1" spans="1:6" s="12" customFormat="1" x14ac:dyDescent="0.25">
      <c r="A17" s="21" t="s">
        <v>5173</v>
      </c>
      <c r="B17" s="21" t="s">
        <v>5174</v>
      </c>
      <c r="C17" s="29" t="s">
        <v>5140</v>
      </c>
      <c r="D17" s="21" t="s">
        <v>4776</v>
      </c>
      <c r="E17" s="21" t="s">
        <v>5175</v>
      </c>
      <c r="F17" s="21" t="s">
        <v>5142</v>
      </c>
    </row>
    <row r="18" ht="41.75" customHeight="1" spans="1:6" s="12" customFormat="1" x14ac:dyDescent="0.25">
      <c r="A18" s="21" t="s">
        <v>5176</v>
      </c>
      <c r="B18" s="21" t="s">
        <v>5177</v>
      </c>
      <c r="C18" s="29" t="s">
        <v>5140</v>
      </c>
      <c r="D18" s="21" t="s">
        <v>4776</v>
      </c>
      <c r="E18" s="21" t="s">
        <v>5178</v>
      </c>
      <c r="F18" s="21" t="s">
        <v>5142</v>
      </c>
    </row>
    <row r="19" ht="28.35" customHeight="1" spans="1:6" s="12" customFormat="1" x14ac:dyDescent="0.25">
      <c r="A19" s="21" t="s">
        <v>5179</v>
      </c>
      <c r="B19" s="21" t="s">
        <v>5180</v>
      </c>
      <c r="C19" s="30" t="s">
        <v>5140</v>
      </c>
      <c r="D19" s="21" t="s">
        <v>4776</v>
      </c>
      <c r="E19" s="21" t="s">
        <v>5181</v>
      </c>
      <c r="F19" s="21" t="s">
        <v>5142</v>
      </c>
    </row>
    <row r="20" ht="68.65" customHeight="1" spans="1:6" s="12" customFormat="1" x14ac:dyDescent="0.25">
      <c r="A20" s="21" t="s">
        <v>4047</v>
      </c>
      <c r="B20" s="21" t="s">
        <v>5182</v>
      </c>
      <c r="C20" s="30" t="s">
        <v>5140</v>
      </c>
      <c r="D20" s="21" t="s">
        <v>4776</v>
      </c>
      <c r="E20" s="21" t="s">
        <v>5183</v>
      </c>
      <c r="F20" s="21" t="s">
        <v>5184</v>
      </c>
    </row>
    <row r="21" ht="15" customHeight="1" spans="1:6" s="12" customFormat="1" x14ac:dyDescent="0.25">
      <c r="A21" s="21" t="s">
        <v>5185</v>
      </c>
      <c r="B21" s="21" t="s">
        <v>5186</v>
      </c>
      <c r="C21" s="29" t="s">
        <v>5140</v>
      </c>
      <c r="D21" s="21" t="s">
        <v>4776</v>
      </c>
      <c r="E21" s="21" t="s">
        <v>5187</v>
      </c>
      <c r="F21" s="21" t="s">
        <v>5142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66"/>
  <sheetViews>
    <sheetView workbookViewId="0" zoomScale="100" zoomScaleNormal="100" view="normal">
      <pane ySplit="4" topLeftCell="A5" activePane="bottomLeft" state="frozen"/>
      <selection pane="bottomLeft" activeCell="A1" sqref="A1"/>
    </sheetView>
  </sheetViews>
  <sheetFormatPr defaultRowHeight="15" outlineLevelRow="0" outlineLevelCol="0" x14ac:dyDescent="0" defaultColWidth="8.6796875"/>
  <cols>
    <col min="1" max="1" width="10" style="10" customWidth="1"/>
    <col min="2" max="2" width="16" style="10" customWidth="1"/>
    <col min="3" max="3" width="34" style="10" customWidth="1"/>
    <col min="4" max="4" width="60" style="10" customWidth="1"/>
    <col min="5" max="5" width="12" style="10" customWidth="1"/>
    <col min="6" max="6" width="24" style="10" customWidth="1"/>
    <col min="7" max="7" width="11" style="10" customWidth="1"/>
    <col min="8" max="8" width="70" style="10" customWidth="1"/>
    <col min="9" max="9" width="22" style="10" customWidth="1"/>
  </cols>
  <sheetData>
    <row r="1" ht="16.15" customHeight="1" spans="1:1" s="12" customFormat="1" x14ac:dyDescent="0.25">
      <c r="A1" s="27" t="s">
        <v>5188</v>
      </c>
    </row>
    <row r="2" ht="15" customHeight="1" spans="1:1" s="12" customFormat="1" x14ac:dyDescent="0.25">
      <c r="A2" s="10" t="s">
        <v>5189</v>
      </c>
    </row>
    <row r="4" ht="15" customHeight="1" spans="1:9" s="12" customFormat="1" x14ac:dyDescent="0.25">
      <c r="A4" s="28" t="s">
        <v>2914</v>
      </c>
      <c r="B4" s="28" t="s">
        <v>5190</v>
      </c>
      <c r="C4" s="28" t="s">
        <v>5191</v>
      </c>
      <c r="D4" s="28" t="s">
        <v>2916</v>
      </c>
      <c r="E4" s="28" t="s">
        <v>6</v>
      </c>
      <c r="F4" s="28" t="s">
        <v>44</v>
      </c>
      <c r="G4" s="28" t="s">
        <v>5136</v>
      </c>
      <c r="H4" s="28" t="s">
        <v>5192</v>
      </c>
      <c r="I4" s="28" t="s">
        <v>5131</v>
      </c>
    </row>
    <row r="5" ht="28.35" customHeight="1" spans="1:9" s="21" customFormat="1" x14ac:dyDescent="0.25">
      <c r="A5" s="21" t="s">
        <v>5193</v>
      </c>
      <c r="B5" s="21" t="s">
        <v>5194</v>
      </c>
      <c r="C5" s="21" t="s">
        <v>5195</v>
      </c>
      <c r="D5" s="21" t="s">
        <v>5196</v>
      </c>
      <c r="E5" s="31" t="s">
        <v>2928</v>
      </c>
      <c r="F5" s="21" t="s">
        <v>5197</v>
      </c>
      <c r="G5" s="21" t="s">
        <v>4776</v>
      </c>
      <c r="H5" s="21" t="s">
        <v>142</v>
      </c>
      <c r="I5" s="21" t="s">
        <v>5198</v>
      </c>
    </row>
    <row r="6" ht="55.2" customHeight="1" spans="1:9" s="21" customFormat="1" x14ac:dyDescent="0.25">
      <c r="A6" s="21" t="s">
        <v>5199</v>
      </c>
      <c r="B6" s="21" t="s">
        <v>5194</v>
      </c>
      <c r="C6" s="21" t="s">
        <v>5200</v>
      </c>
      <c r="D6" s="21" t="s">
        <v>5201</v>
      </c>
      <c r="E6" s="31" t="s">
        <v>2928</v>
      </c>
      <c r="F6" s="21" t="s">
        <v>5197</v>
      </c>
      <c r="G6" s="21" t="s">
        <v>4776</v>
      </c>
      <c r="H6" s="21" t="s">
        <v>142</v>
      </c>
      <c r="I6" s="21" t="s">
        <v>5198</v>
      </c>
    </row>
    <row r="7" ht="41.75" customHeight="1" spans="1:9" s="21" customFormat="1" x14ac:dyDescent="0.25">
      <c r="A7" s="21" t="s">
        <v>5202</v>
      </c>
      <c r="B7" s="21" t="s">
        <v>5194</v>
      </c>
      <c r="C7" s="21" t="s">
        <v>5203</v>
      </c>
      <c r="D7" s="21" t="s">
        <v>5204</v>
      </c>
      <c r="E7" s="31" t="s">
        <v>2928</v>
      </c>
      <c r="F7" s="21" t="s">
        <v>5197</v>
      </c>
      <c r="G7" s="21" t="s">
        <v>4776</v>
      </c>
      <c r="H7" s="21" t="s">
        <v>5205</v>
      </c>
      <c r="I7" s="21" t="s">
        <v>5206</v>
      </c>
    </row>
    <row r="8" ht="28.35" customHeight="1" spans="1:9" s="21" customFormat="1" x14ac:dyDescent="0.25">
      <c r="A8" s="21" t="s">
        <v>5207</v>
      </c>
      <c r="B8" s="21" t="s">
        <v>5194</v>
      </c>
      <c r="C8" s="21" t="s">
        <v>5208</v>
      </c>
      <c r="D8" s="21" t="s">
        <v>5209</v>
      </c>
      <c r="E8" s="31" t="s">
        <v>2928</v>
      </c>
      <c r="F8" s="21" t="s">
        <v>5197</v>
      </c>
      <c r="G8" s="21" t="s">
        <v>4776</v>
      </c>
      <c r="H8" s="21" t="s">
        <v>142</v>
      </c>
      <c r="I8" s="21" t="s">
        <v>5198</v>
      </c>
    </row>
    <row r="9" ht="28.35" customHeight="1" spans="1:9" s="21" customFormat="1" x14ac:dyDescent="0.25">
      <c r="A9" s="21" t="s">
        <v>5210</v>
      </c>
      <c r="B9" s="21" t="s">
        <v>5194</v>
      </c>
      <c r="C9" s="21" t="s">
        <v>5211</v>
      </c>
      <c r="D9" s="21" t="s">
        <v>5212</v>
      </c>
      <c r="E9" s="31" t="s">
        <v>2928</v>
      </c>
      <c r="F9" s="21" t="s">
        <v>5197</v>
      </c>
      <c r="G9" s="21" t="s">
        <v>4776</v>
      </c>
      <c r="H9" s="21" t="s">
        <v>142</v>
      </c>
      <c r="I9" s="21" t="s">
        <v>5198</v>
      </c>
    </row>
    <row r="10" ht="28.35" customHeight="1" spans="1:9" s="21" customFormat="1" x14ac:dyDescent="0.25">
      <c r="A10" s="21" t="s">
        <v>5213</v>
      </c>
      <c r="B10" s="21" t="s">
        <v>5194</v>
      </c>
      <c r="C10" s="21" t="s">
        <v>5214</v>
      </c>
      <c r="D10" s="21" t="s">
        <v>5215</v>
      </c>
      <c r="E10" s="31" t="s">
        <v>2928</v>
      </c>
      <c r="F10" s="21" t="s">
        <v>5197</v>
      </c>
      <c r="G10" s="21" t="s">
        <v>4776</v>
      </c>
      <c r="H10" s="21" t="s">
        <v>142</v>
      </c>
      <c r="I10" s="21" t="s">
        <v>5198</v>
      </c>
    </row>
    <row r="11" ht="28.35" customHeight="1" spans="1:9" s="21" customFormat="1" x14ac:dyDescent="0.25">
      <c r="A11" s="21" t="s">
        <v>5216</v>
      </c>
      <c r="B11" s="21" t="s">
        <v>5194</v>
      </c>
      <c r="C11" s="21" t="s">
        <v>5217</v>
      </c>
      <c r="D11" s="21" t="s">
        <v>5218</v>
      </c>
      <c r="E11" s="31" t="s">
        <v>2928</v>
      </c>
      <c r="F11" s="21" t="s">
        <v>5197</v>
      </c>
      <c r="G11" s="21" t="s">
        <v>4776</v>
      </c>
      <c r="H11" s="21" t="s">
        <v>142</v>
      </c>
      <c r="I11" s="21" t="s">
        <v>5198</v>
      </c>
    </row>
    <row r="12" ht="41.75" customHeight="1" spans="1:9" s="21" customFormat="1" x14ac:dyDescent="0.25">
      <c r="A12" s="21" t="s">
        <v>5219</v>
      </c>
      <c r="B12" s="21" t="s">
        <v>5194</v>
      </c>
      <c r="C12" s="21" t="s">
        <v>5220</v>
      </c>
      <c r="D12" s="21" t="s">
        <v>5221</v>
      </c>
      <c r="E12" s="31" t="s">
        <v>2928</v>
      </c>
      <c r="F12" s="21" t="s">
        <v>5197</v>
      </c>
      <c r="G12" s="21" t="s">
        <v>4776</v>
      </c>
      <c r="H12" s="21" t="s">
        <v>142</v>
      </c>
      <c r="I12" s="21" t="s">
        <v>5198</v>
      </c>
    </row>
    <row r="13" ht="28.35" customHeight="1" spans="1:9" s="21" customFormat="1" x14ac:dyDescent="0.25">
      <c r="A13" s="21" t="s">
        <v>5222</v>
      </c>
      <c r="B13" s="21" t="s">
        <v>5194</v>
      </c>
      <c r="C13" s="21" t="s">
        <v>5223</v>
      </c>
      <c r="D13" s="21" t="s">
        <v>5224</v>
      </c>
      <c r="E13" s="31" t="s">
        <v>2928</v>
      </c>
      <c r="F13" s="21" t="s">
        <v>5197</v>
      </c>
      <c r="G13" s="21" t="s">
        <v>4776</v>
      </c>
      <c r="H13" s="21" t="s">
        <v>142</v>
      </c>
      <c r="I13" s="21" t="s">
        <v>5198</v>
      </c>
    </row>
    <row r="14" ht="28.35" customHeight="1" spans="1:9" s="21" customFormat="1" x14ac:dyDescent="0.25">
      <c r="A14" s="21" t="s">
        <v>5225</v>
      </c>
      <c r="B14" s="21" t="s">
        <v>5226</v>
      </c>
      <c r="C14" s="21" t="s">
        <v>5227</v>
      </c>
      <c r="D14" s="21" t="s">
        <v>5228</v>
      </c>
      <c r="E14" s="31" t="s">
        <v>2928</v>
      </c>
      <c r="F14" s="21" t="s">
        <v>5197</v>
      </c>
      <c r="G14" s="21" t="s">
        <v>4776</v>
      </c>
      <c r="H14" s="21" t="s">
        <v>142</v>
      </c>
      <c r="I14" s="21" t="s">
        <v>5198</v>
      </c>
    </row>
    <row r="15" ht="28.35" customHeight="1" spans="1:9" s="21" customFormat="1" x14ac:dyDescent="0.25">
      <c r="A15" s="21" t="s">
        <v>5229</v>
      </c>
      <c r="B15" s="21" t="s">
        <v>5226</v>
      </c>
      <c r="C15" s="21" t="s">
        <v>5230</v>
      </c>
      <c r="D15" s="21" t="s">
        <v>5231</v>
      </c>
      <c r="E15" s="31" t="s">
        <v>2928</v>
      </c>
      <c r="F15" s="21" t="s">
        <v>5197</v>
      </c>
      <c r="G15" s="21" t="s">
        <v>4776</v>
      </c>
      <c r="H15" s="21" t="s">
        <v>142</v>
      </c>
      <c r="I15" s="21" t="s">
        <v>5198</v>
      </c>
    </row>
    <row r="16" ht="28.35" customHeight="1" spans="1:9" s="21" customFormat="1" x14ac:dyDescent="0.25">
      <c r="A16" s="21" t="s">
        <v>5232</v>
      </c>
      <c r="B16" s="21" t="s">
        <v>5226</v>
      </c>
      <c r="C16" s="21" t="s">
        <v>5233</v>
      </c>
      <c r="D16" s="21" t="s">
        <v>5234</v>
      </c>
      <c r="E16" s="31" t="s">
        <v>2928</v>
      </c>
      <c r="F16" s="21" t="s">
        <v>5197</v>
      </c>
      <c r="G16" s="21" t="s">
        <v>4776</v>
      </c>
      <c r="H16" s="21" t="s">
        <v>142</v>
      </c>
      <c r="I16" s="21" t="s">
        <v>5198</v>
      </c>
    </row>
    <row r="17" ht="28.35" customHeight="1" spans="1:9" s="21" customFormat="1" x14ac:dyDescent="0.25">
      <c r="A17" s="21" t="s">
        <v>5235</v>
      </c>
      <c r="B17" s="21" t="s">
        <v>5226</v>
      </c>
      <c r="C17" s="21" t="s">
        <v>5236</v>
      </c>
      <c r="D17" s="21" t="s">
        <v>5237</v>
      </c>
      <c r="E17" s="31" t="s">
        <v>2928</v>
      </c>
      <c r="F17" s="21" t="s">
        <v>5197</v>
      </c>
      <c r="G17" s="21" t="s">
        <v>4776</v>
      </c>
      <c r="H17" s="21" t="s">
        <v>142</v>
      </c>
      <c r="I17" s="21" t="s">
        <v>5198</v>
      </c>
    </row>
    <row r="18" ht="28.35" customHeight="1" spans="1:9" s="21" customFormat="1" x14ac:dyDescent="0.25">
      <c r="A18" s="21" t="s">
        <v>5238</v>
      </c>
      <c r="B18" s="21" t="s">
        <v>5226</v>
      </c>
      <c r="C18" s="21" t="s">
        <v>5239</v>
      </c>
      <c r="D18" s="21" t="s">
        <v>5240</v>
      </c>
      <c r="E18" s="31" t="s">
        <v>2928</v>
      </c>
      <c r="F18" s="21" t="s">
        <v>5197</v>
      </c>
      <c r="G18" s="21" t="s">
        <v>4776</v>
      </c>
      <c r="H18" s="21" t="s">
        <v>142</v>
      </c>
      <c r="I18" s="21" t="s">
        <v>5198</v>
      </c>
    </row>
    <row r="19" ht="28.35" customHeight="1" spans="1:9" s="21" customFormat="1" x14ac:dyDescent="0.25">
      <c r="A19" s="21" t="s">
        <v>5241</v>
      </c>
      <c r="B19" s="21" t="s">
        <v>5226</v>
      </c>
      <c r="C19" s="21" t="s">
        <v>5242</v>
      </c>
      <c r="D19" s="21" t="s">
        <v>5243</v>
      </c>
      <c r="E19" s="31" t="s">
        <v>2928</v>
      </c>
      <c r="F19" s="21" t="s">
        <v>5197</v>
      </c>
      <c r="G19" s="21" t="s">
        <v>4776</v>
      </c>
      <c r="H19" s="21" t="s">
        <v>142</v>
      </c>
      <c r="I19" s="21" t="s">
        <v>5198</v>
      </c>
    </row>
    <row r="20" ht="28.35" customHeight="1" spans="1:9" s="21" customFormat="1" x14ac:dyDescent="0.25">
      <c r="A20" s="21" t="s">
        <v>5244</v>
      </c>
      <c r="B20" s="21" t="s">
        <v>5226</v>
      </c>
      <c r="C20" s="21" t="s">
        <v>5245</v>
      </c>
      <c r="D20" s="21" t="s">
        <v>5246</v>
      </c>
      <c r="E20" s="31" t="s">
        <v>2928</v>
      </c>
      <c r="F20" s="21" t="s">
        <v>5197</v>
      </c>
      <c r="G20" s="21" t="s">
        <v>4776</v>
      </c>
      <c r="H20" s="21" t="s">
        <v>142</v>
      </c>
      <c r="I20" s="21" t="s">
        <v>5198</v>
      </c>
    </row>
    <row r="21" ht="28.35" customHeight="1" spans="1:9" s="21" customFormat="1" x14ac:dyDescent="0.25">
      <c r="A21" s="21" t="s">
        <v>5247</v>
      </c>
      <c r="B21" s="21" t="s">
        <v>5226</v>
      </c>
      <c r="C21" s="21" t="s">
        <v>5248</v>
      </c>
      <c r="D21" s="21" t="s">
        <v>5249</v>
      </c>
      <c r="E21" s="31" t="s">
        <v>2928</v>
      </c>
      <c r="F21" s="21" t="s">
        <v>5197</v>
      </c>
      <c r="G21" s="21" t="s">
        <v>4776</v>
      </c>
      <c r="H21" s="21" t="s">
        <v>142</v>
      </c>
      <c r="I21" s="21" t="s">
        <v>5198</v>
      </c>
    </row>
    <row r="22" ht="28.35" customHeight="1" spans="1:9" s="21" customFormat="1" x14ac:dyDescent="0.25">
      <c r="A22" s="21" t="s">
        <v>5250</v>
      </c>
      <c r="B22" s="21" t="s">
        <v>5226</v>
      </c>
      <c r="C22" s="21" t="s">
        <v>5251</v>
      </c>
      <c r="D22" s="21" t="s">
        <v>5252</v>
      </c>
      <c r="E22" s="31" t="s">
        <v>2928</v>
      </c>
      <c r="F22" s="21" t="s">
        <v>5197</v>
      </c>
      <c r="G22" s="21" t="s">
        <v>4776</v>
      </c>
      <c r="H22" s="21" t="s">
        <v>142</v>
      </c>
      <c r="I22" s="21" t="s">
        <v>5198</v>
      </c>
    </row>
    <row r="23" ht="28.35" customHeight="1" spans="1:9" s="21" customFormat="1" x14ac:dyDescent="0.25">
      <c r="A23" s="21" t="s">
        <v>5253</v>
      </c>
      <c r="B23" s="21" t="s">
        <v>5226</v>
      </c>
      <c r="C23" s="21" t="s">
        <v>5254</v>
      </c>
      <c r="D23" s="21" t="s">
        <v>5255</v>
      </c>
      <c r="E23" s="31" t="s">
        <v>2928</v>
      </c>
      <c r="F23" s="21" t="s">
        <v>5197</v>
      </c>
      <c r="G23" s="21" t="s">
        <v>4776</v>
      </c>
      <c r="H23" s="21" t="s">
        <v>5256</v>
      </c>
      <c r="I23" s="21" t="s">
        <v>5198</v>
      </c>
    </row>
    <row r="24" ht="55.2" customHeight="1" spans="1:9" s="21" customFormat="1" x14ac:dyDescent="0.25">
      <c r="A24" s="21" t="s">
        <v>5257</v>
      </c>
      <c r="B24" s="21" t="s">
        <v>5258</v>
      </c>
      <c r="C24" s="21" t="s">
        <v>5259</v>
      </c>
      <c r="D24" s="21" t="s">
        <v>5260</v>
      </c>
      <c r="E24" s="31" t="s">
        <v>2928</v>
      </c>
      <c r="F24" s="21" t="s">
        <v>5197</v>
      </c>
      <c r="G24" s="21" t="s">
        <v>4776</v>
      </c>
      <c r="H24" s="21" t="s">
        <v>5261</v>
      </c>
      <c r="I24" s="21" t="s">
        <v>5198</v>
      </c>
    </row>
    <row r="25" ht="28.35" customHeight="1" spans="1:9" s="21" customFormat="1" x14ac:dyDescent="0.25">
      <c r="A25" s="21" t="s">
        <v>5262</v>
      </c>
      <c r="B25" s="21" t="s">
        <v>5258</v>
      </c>
      <c r="C25" s="21" t="s">
        <v>5263</v>
      </c>
      <c r="D25" s="21" t="s">
        <v>5264</v>
      </c>
      <c r="E25" s="31" t="s">
        <v>2928</v>
      </c>
      <c r="F25" s="21" t="s">
        <v>5197</v>
      </c>
      <c r="G25" s="21" t="s">
        <v>4776</v>
      </c>
      <c r="H25" s="21" t="s">
        <v>142</v>
      </c>
      <c r="I25" s="21" t="s">
        <v>5198</v>
      </c>
    </row>
    <row r="26" ht="28.35" customHeight="1" spans="1:9" s="21" customFormat="1" x14ac:dyDescent="0.25">
      <c r="A26" s="21" t="s">
        <v>5265</v>
      </c>
      <c r="B26" s="21" t="s">
        <v>5258</v>
      </c>
      <c r="C26" s="21" t="s">
        <v>5266</v>
      </c>
      <c r="D26" s="21" t="s">
        <v>5267</v>
      </c>
      <c r="E26" s="32" t="s">
        <v>5169</v>
      </c>
      <c r="F26" s="21" t="s">
        <v>5268</v>
      </c>
      <c r="G26" s="21" t="s">
        <v>4776</v>
      </c>
      <c r="H26" s="21" t="s">
        <v>5269</v>
      </c>
      <c r="I26" s="21" t="s">
        <v>5198</v>
      </c>
    </row>
    <row r="27" ht="28.35" customHeight="1" spans="1:9" s="21" customFormat="1" x14ac:dyDescent="0.25">
      <c r="A27" s="21" t="s">
        <v>5270</v>
      </c>
      <c r="B27" s="21" t="s">
        <v>5258</v>
      </c>
      <c r="C27" s="21" t="s">
        <v>5271</v>
      </c>
      <c r="D27" s="21" t="s">
        <v>5272</v>
      </c>
      <c r="E27" s="31" t="s">
        <v>2928</v>
      </c>
      <c r="F27" s="21" t="s">
        <v>5197</v>
      </c>
      <c r="G27" s="21" t="s">
        <v>4776</v>
      </c>
      <c r="H27" s="21" t="s">
        <v>5273</v>
      </c>
      <c r="I27" s="21" t="s">
        <v>5198</v>
      </c>
    </row>
    <row r="28" ht="28.35" customHeight="1" spans="1:9" s="21" customFormat="1" x14ac:dyDescent="0.25">
      <c r="A28" s="21" t="s">
        <v>5274</v>
      </c>
      <c r="B28" s="21" t="s">
        <v>5258</v>
      </c>
      <c r="C28" s="21" t="s">
        <v>5275</v>
      </c>
      <c r="D28" s="21" t="s">
        <v>5276</v>
      </c>
      <c r="E28" s="31" t="s">
        <v>2928</v>
      </c>
      <c r="F28" s="21" t="s">
        <v>5197</v>
      </c>
      <c r="G28" s="21" t="s">
        <v>4776</v>
      </c>
      <c r="H28" s="21" t="s">
        <v>142</v>
      </c>
      <c r="I28" s="21" t="s">
        <v>5198</v>
      </c>
    </row>
    <row r="29" ht="28.35" customHeight="1" spans="1:9" s="21" customFormat="1" x14ac:dyDescent="0.25">
      <c r="A29" s="21" t="s">
        <v>5277</v>
      </c>
      <c r="B29" s="21" t="s">
        <v>5258</v>
      </c>
      <c r="C29" s="21" t="s">
        <v>5278</v>
      </c>
      <c r="D29" s="21" t="s">
        <v>5279</v>
      </c>
      <c r="E29" s="31" t="s">
        <v>2928</v>
      </c>
      <c r="F29" s="21" t="s">
        <v>5197</v>
      </c>
      <c r="G29" s="21" t="s">
        <v>4776</v>
      </c>
      <c r="H29" s="21" t="s">
        <v>142</v>
      </c>
      <c r="I29" s="21" t="s">
        <v>5198</v>
      </c>
    </row>
    <row r="30" ht="41.75" customHeight="1" spans="1:9" s="21" customFormat="1" x14ac:dyDescent="0.25">
      <c r="A30" s="21" t="s">
        <v>5280</v>
      </c>
      <c r="B30" s="21" t="s">
        <v>5258</v>
      </c>
      <c r="C30" s="21" t="s">
        <v>5281</v>
      </c>
      <c r="D30" s="21" t="s">
        <v>5282</v>
      </c>
      <c r="E30" s="31" t="s">
        <v>2928</v>
      </c>
      <c r="F30" s="21" t="s">
        <v>5197</v>
      </c>
      <c r="G30" s="21" t="s">
        <v>4776</v>
      </c>
      <c r="H30" s="21" t="s">
        <v>142</v>
      </c>
      <c r="I30" s="21" t="s">
        <v>5198</v>
      </c>
    </row>
    <row r="31" ht="28.35" customHeight="1" spans="1:9" s="21" customFormat="1" x14ac:dyDescent="0.25">
      <c r="A31" s="21" t="s">
        <v>5283</v>
      </c>
      <c r="B31" s="21" t="s">
        <v>5258</v>
      </c>
      <c r="C31" s="21" t="s">
        <v>5284</v>
      </c>
      <c r="D31" s="21" t="s">
        <v>5285</v>
      </c>
      <c r="E31" s="31" t="s">
        <v>2928</v>
      </c>
      <c r="F31" s="21" t="s">
        <v>5197</v>
      </c>
      <c r="G31" s="21" t="s">
        <v>4776</v>
      </c>
      <c r="H31" s="21" t="s">
        <v>5286</v>
      </c>
      <c r="I31" s="21" t="s">
        <v>5198</v>
      </c>
    </row>
    <row r="32" ht="28.35" customHeight="1" spans="1:9" s="21" customFormat="1" x14ac:dyDescent="0.25">
      <c r="A32" s="21" t="s">
        <v>5287</v>
      </c>
      <c r="B32" s="21" t="s">
        <v>5258</v>
      </c>
      <c r="C32" s="21" t="s">
        <v>5288</v>
      </c>
      <c r="D32" s="21" t="s">
        <v>5289</v>
      </c>
      <c r="E32" s="31" t="s">
        <v>2928</v>
      </c>
      <c r="F32" s="21" t="s">
        <v>5197</v>
      </c>
      <c r="G32" s="21" t="s">
        <v>4776</v>
      </c>
      <c r="H32" s="21" t="s">
        <v>142</v>
      </c>
      <c r="I32" s="21" t="s">
        <v>5198</v>
      </c>
    </row>
    <row r="33" ht="28.35" customHeight="1" spans="1:9" s="21" customFormat="1" x14ac:dyDescent="0.25">
      <c r="A33" s="21" t="s">
        <v>5290</v>
      </c>
      <c r="B33" s="21" t="s">
        <v>5291</v>
      </c>
      <c r="C33" s="21" t="s">
        <v>5292</v>
      </c>
      <c r="D33" s="21" t="s">
        <v>5293</v>
      </c>
      <c r="E33" s="31" t="s">
        <v>2928</v>
      </c>
      <c r="F33" s="21" t="s">
        <v>5197</v>
      </c>
      <c r="G33" s="21" t="s">
        <v>4776</v>
      </c>
      <c r="H33" s="21" t="s">
        <v>142</v>
      </c>
      <c r="I33" s="21" t="s">
        <v>5198</v>
      </c>
    </row>
    <row r="34" ht="28.35" customHeight="1" spans="1:9" s="21" customFormat="1" x14ac:dyDescent="0.25">
      <c r="A34" s="21" t="s">
        <v>5294</v>
      </c>
      <c r="B34" s="21" t="s">
        <v>5291</v>
      </c>
      <c r="C34" s="21" t="s">
        <v>5295</v>
      </c>
      <c r="D34" s="21" t="s">
        <v>5296</v>
      </c>
      <c r="E34" s="31" t="s">
        <v>2928</v>
      </c>
      <c r="F34" s="21" t="s">
        <v>5197</v>
      </c>
      <c r="G34" s="21" t="s">
        <v>4776</v>
      </c>
      <c r="H34" s="21" t="s">
        <v>142</v>
      </c>
      <c r="I34" s="21" t="s">
        <v>5198</v>
      </c>
    </row>
    <row r="35" ht="28.35" customHeight="1" spans="1:9" s="21" customFormat="1" x14ac:dyDescent="0.25">
      <c r="A35" s="21" t="s">
        <v>5297</v>
      </c>
      <c r="B35" s="21" t="s">
        <v>5291</v>
      </c>
      <c r="C35" s="21" t="s">
        <v>5298</v>
      </c>
      <c r="D35" s="21" t="s">
        <v>5299</v>
      </c>
      <c r="E35" s="32" t="s">
        <v>5169</v>
      </c>
      <c r="F35" s="21" t="s">
        <v>5268</v>
      </c>
      <c r="G35" s="21" t="s">
        <v>4776</v>
      </c>
      <c r="H35" s="21" t="s">
        <v>5300</v>
      </c>
      <c r="I35" s="21" t="s">
        <v>5198</v>
      </c>
    </row>
    <row r="36" ht="28.35" customHeight="1" spans="1:9" s="21" customFormat="1" x14ac:dyDescent="0.25">
      <c r="A36" s="21" t="s">
        <v>5301</v>
      </c>
      <c r="B36" s="21" t="s">
        <v>5291</v>
      </c>
      <c r="C36" s="21" t="s">
        <v>5302</v>
      </c>
      <c r="D36" s="21" t="s">
        <v>5303</v>
      </c>
      <c r="E36" s="32" t="s">
        <v>5169</v>
      </c>
      <c r="F36" s="21" t="s">
        <v>5268</v>
      </c>
      <c r="G36" s="21" t="s">
        <v>4776</v>
      </c>
      <c r="H36" s="21" t="s">
        <v>5304</v>
      </c>
      <c r="I36" s="21" t="s">
        <v>5198</v>
      </c>
    </row>
    <row r="37" ht="28.35" customHeight="1" spans="1:9" s="21" customFormat="1" x14ac:dyDescent="0.25">
      <c r="A37" s="21" t="s">
        <v>5305</v>
      </c>
      <c r="B37" s="21" t="s">
        <v>5291</v>
      </c>
      <c r="C37" s="21" t="s">
        <v>5306</v>
      </c>
      <c r="D37" s="21" t="s">
        <v>5307</v>
      </c>
      <c r="E37" s="31" t="s">
        <v>2928</v>
      </c>
      <c r="F37" s="21" t="s">
        <v>5197</v>
      </c>
      <c r="G37" s="21" t="s">
        <v>4776</v>
      </c>
      <c r="H37" s="21" t="s">
        <v>5308</v>
      </c>
      <c r="I37" s="21" t="s">
        <v>5198</v>
      </c>
    </row>
    <row r="38" ht="41.75" customHeight="1" spans="1:9" s="21" customFormat="1" x14ac:dyDescent="0.25">
      <c r="A38" s="21" t="s">
        <v>5309</v>
      </c>
      <c r="B38" s="21" t="s">
        <v>5291</v>
      </c>
      <c r="C38" s="21" t="s">
        <v>5310</v>
      </c>
      <c r="D38" s="21" t="s">
        <v>5311</v>
      </c>
      <c r="E38" s="32" t="s">
        <v>5169</v>
      </c>
      <c r="F38" s="21" t="s">
        <v>5268</v>
      </c>
      <c r="G38" s="21" t="s">
        <v>4776</v>
      </c>
      <c r="H38" s="21" t="s">
        <v>5312</v>
      </c>
      <c r="I38" s="21" t="s">
        <v>5198</v>
      </c>
    </row>
    <row r="39" ht="28.35" customHeight="1" spans="1:9" s="21" customFormat="1" x14ac:dyDescent="0.25">
      <c r="A39" s="21" t="s">
        <v>5313</v>
      </c>
      <c r="B39" s="21" t="s">
        <v>5291</v>
      </c>
      <c r="C39" s="21" t="s">
        <v>5314</v>
      </c>
      <c r="D39" s="21" t="s">
        <v>5315</v>
      </c>
      <c r="E39" s="31" t="s">
        <v>2928</v>
      </c>
      <c r="F39" s="21" t="s">
        <v>5197</v>
      </c>
      <c r="G39" s="21" t="s">
        <v>4776</v>
      </c>
      <c r="H39" s="21" t="s">
        <v>5316</v>
      </c>
      <c r="I39" s="21" t="s">
        <v>5198</v>
      </c>
    </row>
    <row r="40" ht="28.35" customHeight="1" spans="1:9" s="21" customFormat="1" x14ac:dyDescent="0.25">
      <c r="A40" s="21" t="s">
        <v>5317</v>
      </c>
      <c r="B40" s="21" t="s">
        <v>5291</v>
      </c>
      <c r="C40" s="21" t="s">
        <v>5318</v>
      </c>
      <c r="D40" s="21" t="s">
        <v>5319</v>
      </c>
      <c r="E40" s="31" t="s">
        <v>2928</v>
      </c>
      <c r="F40" s="21" t="s">
        <v>5197</v>
      </c>
      <c r="G40" s="21" t="s">
        <v>4776</v>
      </c>
      <c r="H40" s="21" t="s">
        <v>142</v>
      </c>
      <c r="I40" s="21" t="s">
        <v>5198</v>
      </c>
    </row>
    <row r="41" ht="41.75" customHeight="1" spans="1:9" s="21" customFormat="1" x14ac:dyDescent="0.25">
      <c r="A41" s="21" t="s">
        <v>5320</v>
      </c>
      <c r="B41" s="21" t="s">
        <v>5291</v>
      </c>
      <c r="C41" s="21" t="s">
        <v>5321</v>
      </c>
      <c r="D41" s="21" t="s">
        <v>5322</v>
      </c>
      <c r="E41" s="31" t="s">
        <v>2928</v>
      </c>
      <c r="F41" s="21" t="s">
        <v>5197</v>
      </c>
      <c r="G41" s="21" t="s">
        <v>4776</v>
      </c>
      <c r="H41" s="21" t="s">
        <v>142</v>
      </c>
      <c r="I41" s="21" t="s">
        <v>5198</v>
      </c>
    </row>
    <row r="42" ht="28.35" customHeight="1" spans="1:9" s="21" customFormat="1" x14ac:dyDescent="0.25">
      <c r="A42" s="21" t="s">
        <v>5323</v>
      </c>
      <c r="B42" s="21" t="s">
        <v>5324</v>
      </c>
      <c r="C42" s="21" t="s">
        <v>5325</v>
      </c>
      <c r="D42" s="21" t="s">
        <v>5326</v>
      </c>
      <c r="E42" s="31" t="s">
        <v>2928</v>
      </c>
      <c r="F42" s="21" t="s">
        <v>5197</v>
      </c>
      <c r="G42" s="21" t="s">
        <v>4776</v>
      </c>
      <c r="H42" s="21" t="s">
        <v>142</v>
      </c>
      <c r="I42" s="21" t="s">
        <v>5198</v>
      </c>
    </row>
    <row r="43" ht="28.35" customHeight="1" spans="1:9" s="21" customFormat="1" x14ac:dyDescent="0.25">
      <c r="A43" s="21" t="s">
        <v>5327</v>
      </c>
      <c r="B43" s="21" t="s">
        <v>5324</v>
      </c>
      <c r="C43" s="21" t="s">
        <v>5328</v>
      </c>
      <c r="D43" s="21" t="s">
        <v>5329</v>
      </c>
      <c r="E43" s="32" t="s">
        <v>5169</v>
      </c>
      <c r="F43" s="21" t="s">
        <v>5268</v>
      </c>
      <c r="G43" s="21" t="s">
        <v>4776</v>
      </c>
      <c r="H43" s="21" t="s">
        <v>5330</v>
      </c>
      <c r="I43" s="21" t="s">
        <v>5198</v>
      </c>
    </row>
    <row r="44" ht="28.35" customHeight="1" spans="1:9" s="21" customFormat="1" x14ac:dyDescent="0.25">
      <c r="A44" s="21" t="s">
        <v>5331</v>
      </c>
      <c r="B44" s="21" t="s">
        <v>5324</v>
      </c>
      <c r="C44" s="21" t="s">
        <v>5332</v>
      </c>
      <c r="D44" s="21" t="s">
        <v>5333</v>
      </c>
      <c r="E44" s="31" t="s">
        <v>2928</v>
      </c>
      <c r="F44" s="21" t="s">
        <v>5197</v>
      </c>
      <c r="G44" s="21" t="s">
        <v>4776</v>
      </c>
      <c r="H44" s="21" t="s">
        <v>142</v>
      </c>
      <c r="I44" s="21" t="s">
        <v>5198</v>
      </c>
    </row>
    <row r="45" ht="28.35" customHeight="1" spans="1:9" s="21" customFormat="1" x14ac:dyDescent="0.25">
      <c r="A45" s="21" t="s">
        <v>5334</v>
      </c>
      <c r="B45" s="21" t="s">
        <v>5335</v>
      </c>
      <c r="C45" s="21" t="s">
        <v>5336</v>
      </c>
      <c r="D45" s="21" t="s">
        <v>5337</v>
      </c>
      <c r="E45" s="31" t="s">
        <v>2928</v>
      </c>
      <c r="F45" s="21" t="s">
        <v>5197</v>
      </c>
      <c r="G45" s="21" t="s">
        <v>4776</v>
      </c>
      <c r="H45" s="21" t="s">
        <v>142</v>
      </c>
      <c r="I45" s="21" t="s">
        <v>5198</v>
      </c>
    </row>
    <row r="46" ht="28.35" customHeight="1" spans="1:9" s="21" customFormat="1" x14ac:dyDescent="0.25">
      <c r="A46" s="21" t="s">
        <v>5338</v>
      </c>
      <c r="B46" s="21" t="s">
        <v>5335</v>
      </c>
      <c r="C46" s="21" t="s">
        <v>5339</v>
      </c>
      <c r="D46" s="21" t="s">
        <v>5340</v>
      </c>
      <c r="E46" s="31" t="s">
        <v>2928</v>
      </c>
      <c r="F46" s="21" t="s">
        <v>5197</v>
      </c>
      <c r="G46" s="21" t="s">
        <v>4776</v>
      </c>
      <c r="H46" s="21" t="s">
        <v>142</v>
      </c>
      <c r="I46" s="21" t="s">
        <v>5198</v>
      </c>
    </row>
    <row r="47" ht="28.35" customHeight="1" spans="1:9" s="21" customFormat="1" x14ac:dyDescent="0.25">
      <c r="A47" s="21" t="s">
        <v>5341</v>
      </c>
      <c r="B47" s="21" t="s">
        <v>5335</v>
      </c>
      <c r="C47" s="21" t="s">
        <v>5342</v>
      </c>
      <c r="D47" s="21" t="s">
        <v>5343</v>
      </c>
      <c r="E47" s="31" t="s">
        <v>2928</v>
      </c>
      <c r="F47" s="21" t="s">
        <v>5197</v>
      </c>
      <c r="G47" s="21" t="s">
        <v>4776</v>
      </c>
      <c r="H47" s="21" t="s">
        <v>142</v>
      </c>
      <c r="I47" s="21" t="s">
        <v>5198</v>
      </c>
    </row>
    <row r="48" ht="28.35" customHeight="1" spans="1:9" s="21" customFormat="1" x14ac:dyDescent="0.25">
      <c r="A48" s="21" t="s">
        <v>5344</v>
      </c>
      <c r="B48" s="21" t="s">
        <v>5335</v>
      </c>
      <c r="C48" s="21" t="s">
        <v>5345</v>
      </c>
      <c r="D48" s="21" t="s">
        <v>5346</v>
      </c>
      <c r="E48" s="31" t="s">
        <v>2928</v>
      </c>
      <c r="F48" s="21" t="s">
        <v>5197</v>
      </c>
      <c r="G48" s="21" t="s">
        <v>4776</v>
      </c>
      <c r="H48" s="21" t="s">
        <v>142</v>
      </c>
      <c r="I48" s="21" t="s">
        <v>5198</v>
      </c>
    </row>
    <row r="49" ht="28.35" customHeight="1" spans="1:9" s="21" customFormat="1" x14ac:dyDescent="0.25">
      <c r="A49" s="21" t="s">
        <v>5347</v>
      </c>
      <c r="B49" s="21" t="s">
        <v>5335</v>
      </c>
      <c r="C49" s="21" t="s">
        <v>5348</v>
      </c>
      <c r="D49" s="21" t="s">
        <v>5349</v>
      </c>
      <c r="E49" s="31" t="s">
        <v>2928</v>
      </c>
      <c r="F49" s="21" t="s">
        <v>5197</v>
      </c>
      <c r="G49" s="21" t="s">
        <v>4776</v>
      </c>
      <c r="H49" s="21" t="s">
        <v>142</v>
      </c>
      <c r="I49" s="21" t="s">
        <v>5198</v>
      </c>
    </row>
    <row r="50" ht="28.35" customHeight="1" spans="1:9" s="21" customFormat="1" x14ac:dyDescent="0.25">
      <c r="A50" s="21" t="s">
        <v>5350</v>
      </c>
      <c r="B50" s="21" t="s">
        <v>5335</v>
      </c>
      <c r="C50" s="21" t="s">
        <v>5351</v>
      </c>
      <c r="D50" s="21" t="s">
        <v>5352</v>
      </c>
      <c r="E50" s="31" t="s">
        <v>2928</v>
      </c>
      <c r="F50" s="21" t="s">
        <v>5197</v>
      </c>
      <c r="G50" s="21" t="s">
        <v>4776</v>
      </c>
      <c r="H50" s="21" t="s">
        <v>142</v>
      </c>
      <c r="I50" s="21" t="s">
        <v>5198</v>
      </c>
    </row>
    <row r="51" ht="28.35" customHeight="1" spans="1:9" s="21" customFormat="1" x14ac:dyDescent="0.25">
      <c r="A51" s="21" t="s">
        <v>5353</v>
      </c>
      <c r="B51" s="21" t="s">
        <v>5354</v>
      </c>
      <c r="C51" s="21" t="s">
        <v>5355</v>
      </c>
      <c r="D51" s="21" t="s">
        <v>5356</v>
      </c>
      <c r="E51" s="31" t="s">
        <v>2928</v>
      </c>
      <c r="F51" s="21" t="s">
        <v>5197</v>
      </c>
      <c r="G51" s="21" t="s">
        <v>4776</v>
      </c>
      <c r="H51" s="21" t="s">
        <v>142</v>
      </c>
      <c r="I51" s="21" t="s">
        <v>5198</v>
      </c>
    </row>
    <row r="52" ht="41.75" customHeight="1" spans="1:9" s="21" customFormat="1" x14ac:dyDescent="0.25">
      <c r="A52" s="21" t="s">
        <v>5357</v>
      </c>
      <c r="B52" s="21" t="s">
        <v>5354</v>
      </c>
      <c r="C52" s="21" t="s">
        <v>5358</v>
      </c>
      <c r="D52" s="21" t="s">
        <v>5359</v>
      </c>
      <c r="E52" s="31" t="s">
        <v>2928</v>
      </c>
      <c r="F52" s="21" t="s">
        <v>5197</v>
      </c>
      <c r="G52" s="21" t="s">
        <v>4776</v>
      </c>
      <c r="H52" s="21" t="s">
        <v>5360</v>
      </c>
      <c r="I52" s="21" t="s">
        <v>5198</v>
      </c>
    </row>
    <row r="53" ht="28.35" customHeight="1" spans="1:9" s="21" customFormat="1" x14ac:dyDescent="0.25">
      <c r="A53" s="21" t="s">
        <v>5361</v>
      </c>
      <c r="B53" s="21" t="s">
        <v>5354</v>
      </c>
      <c r="C53" s="21" t="s">
        <v>5362</v>
      </c>
      <c r="D53" s="21" t="s">
        <v>5363</v>
      </c>
      <c r="E53" s="29" t="s">
        <v>3876</v>
      </c>
      <c r="F53" s="21" t="s">
        <v>5268</v>
      </c>
      <c r="G53" s="21" t="s">
        <v>4776</v>
      </c>
      <c r="H53" s="21" t="s">
        <v>5364</v>
      </c>
      <c r="I53" s="21" t="s">
        <v>5198</v>
      </c>
    </row>
    <row r="54" ht="28.35" customHeight="1" spans="1:9" s="21" customFormat="1" x14ac:dyDescent="0.25">
      <c r="A54" s="21" t="s">
        <v>5365</v>
      </c>
      <c r="B54" s="21" t="s">
        <v>5354</v>
      </c>
      <c r="C54" s="21" t="s">
        <v>5366</v>
      </c>
      <c r="D54" s="21" t="s">
        <v>5367</v>
      </c>
      <c r="E54" s="31" t="s">
        <v>2928</v>
      </c>
      <c r="F54" s="21" t="s">
        <v>5197</v>
      </c>
      <c r="G54" s="21" t="s">
        <v>4776</v>
      </c>
      <c r="H54" s="21" t="s">
        <v>5368</v>
      </c>
      <c r="I54" s="21" t="s">
        <v>5198</v>
      </c>
    </row>
    <row r="55" ht="28.35" customHeight="1" spans="1:9" s="21" customFormat="1" x14ac:dyDescent="0.25">
      <c r="A55" s="21" t="s">
        <v>5369</v>
      </c>
      <c r="B55" s="21" t="s">
        <v>5354</v>
      </c>
      <c r="C55" s="21" t="s">
        <v>5370</v>
      </c>
      <c r="D55" s="21" t="s">
        <v>5371</v>
      </c>
      <c r="E55" s="31" t="s">
        <v>2928</v>
      </c>
      <c r="F55" s="21" t="s">
        <v>5197</v>
      </c>
      <c r="G55" s="21" t="s">
        <v>4776</v>
      </c>
      <c r="H55" s="21" t="s">
        <v>142</v>
      </c>
      <c r="I55" s="21" t="s">
        <v>5198</v>
      </c>
    </row>
    <row r="56" ht="41.75" customHeight="1" spans="1:9" s="21" customFormat="1" x14ac:dyDescent="0.25">
      <c r="A56" s="21" t="s">
        <v>5372</v>
      </c>
      <c r="B56" s="21" t="s">
        <v>5354</v>
      </c>
      <c r="C56" s="21" t="s">
        <v>5373</v>
      </c>
      <c r="D56" s="21" t="s">
        <v>5374</v>
      </c>
      <c r="E56" s="31" t="s">
        <v>2928</v>
      </c>
      <c r="F56" s="21" t="s">
        <v>5197</v>
      </c>
      <c r="G56" s="21" t="s">
        <v>4776</v>
      </c>
      <c r="H56" s="21" t="s">
        <v>5375</v>
      </c>
      <c r="I56" s="21" t="s">
        <v>5376</v>
      </c>
    </row>
    <row r="57" ht="28.35" customHeight="1" spans="1:9" s="21" customFormat="1" x14ac:dyDescent="0.25">
      <c r="A57" s="21" t="s">
        <v>5377</v>
      </c>
      <c r="B57" s="21" t="s">
        <v>5378</v>
      </c>
      <c r="C57" s="21" t="s">
        <v>5379</v>
      </c>
      <c r="D57" s="21" t="s">
        <v>5380</v>
      </c>
      <c r="E57" s="31" t="s">
        <v>2928</v>
      </c>
      <c r="F57" s="21" t="s">
        <v>5197</v>
      </c>
      <c r="G57" s="21" t="s">
        <v>4776</v>
      </c>
      <c r="H57" s="21" t="s">
        <v>142</v>
      </c>
      <c r="I57" s="21" t="s">
        <v>5198</v>
      </c>
    </row>
    <row r="58" ht="28.35" customHeight="1" spans="1:9" s="21" customFormat="1" x14ac:dyDescent="0.25">
      <c r="A58" s="21" t="s">
        <v>5381</v>
      </c>
      <c r="B58" s="21" t="s">
        <v>5382</v>
      </c>
      <c r="C58" s="21" t="s">
        <v>5383</v>
      </c>
      <c r="D58" s="21" t="s">
        <v>5384</v>
      </c>
      <c r="E58" s="31" t="s">
        <v>2928</v>
      </c>
      <c r="F58" s="21" t="s">
        <v>5197</v>
      </c>
      <c r="G58" s="21" t="s">
        <v>4776</v>
      </c>
      <c r="H58" s="21" t="s">
        <v>5385</v>
      </c>
      <c r="I58" s="21" t="s">
        <v>5198</v>
      </c>
    </row>
    <row r="59" ht="55.2" customHeight="1" spans="1:9" s="21" customFormat="1" x14ac:dyDescent="0.25">
      <c r="A59" s="21" t="s">
        <v>5386</v>
      </c>
      <c r="B59" s="21" t="s">
        <v>1630</v>
      </c>
      <c r="C59" s="21" t="s">
        <v>5387</v>
      </c>
      <c r="D59" s="21" t="s">
        <v>5388</v>
      </c>
      <c r="E59" s="31" t="s">
        <v>2928</v>
      </c>
      <c r="F59" s="21" t="s">
        <v>5197</v>
      </c>
      <c r="G59" s="21" t="s">
        <v>4776</v>
      </c>
      <c r="H59" s="21" t="s">
        <v>5389</v>
      </c>
      <c r="I59" s="21" t="s">
        <v>5198</v>
      </c>
    </row>
    <row r="60" ht="82.05" customHeight="1" spans="1:9" s="21" customFormat="1" x14ac:dyDescent="0.25">
      <c r="A60" s="21" t="s">
        <v>5390</v>
      </c>
      <c r="B60" s="21" t="s">
        <v>5354</v>
      </c>
      <c r="C60" s="21" t="s">
        <v>5391</v>
      </c>
      <c r="D60" s="21" t="s">
        <v>5392</v>
      </c>
      <c r="E60" s="32" t="s">
        <v>5169</v>
      </c>
      <c r="F60" s="21" t="s">
        <v>5393</v>
      </c>
      <c r="G60" s="21" t="s">
        <v>4776</v>
      </c>
      <c r="H60" s="21" t="s">
        <v>5394</v>
      </c>
      <c r="I60" s="21" t="s">
        <v>5198</v>
      </c>
    </row>
    <row r="62" ht="15" customHeight="1" spans="1:3" s="12" customFormat="1" x14ac:dyDescent="0.25">
      <c r="A62" s="13" t="s">
        <v>5395</v>
      </c>
      <c r="B62" s="10" t="s">
        <v>2928</v>
      </c>
      <c r="C62" s="10">
        <f>COUNTIF($E$5:$E$60,B62)</f>
      </c>
    </row>
    <row r="63" ht="15" customHeight="1" spans="2:3" s="12" customFormat="1" x14ac:dyDescent="0.25">
      <c r="B63" s="10" t="s">
        <v>3876</v>
      </c>
      <c r="C63" s="10">
        <f>COUNTIF($E$5:$E$60,B63)</f>
      </c>
    </row>
    <row r="64" ht="15" customHeight="1" spans="2:3" s="12" customFormat="1" x14ac:dyDescent="0.25">
      <c r="B64" s="10" t="s">
        <v>53</v>
      </c>
      <c r="C64" s="10">
        <f>COUNTIF($E$5:$E$60,B64)</f>
      </c>
    </row>
    <row r="65" ht="15" customHeight="1" spans="2:3" s="12" customFormat="1" x14ac:dyDescent="0.25">
      <c r="B65" s="10" t="s">
        <v>5169</v>
      </c>
      <c r="C65" s="10">
        <f>COUNTIF($E$5:$E$60,B65)</f>
      </c>
    </row>
    <row r="66" ht="15" customHeight="1" spans="2:3" s="12" customFormat="1" x14ac:dyDescent="0.25">
      <c r="B66" s="10" t="s">
        <v>20</v>
      </c>
      <c r="C66" s="10">
        <f>SUM(C62:C65)</f>
      </c>
    </row>
  </sheetData>
  <dataValidations count="2">
    <dataValidation type="list" errorStyle="stop" sqref="E10:E60">
      <formula1>"Not started,In progress,Done,Blocked"</formula1>
      <formula2>0</formula2>
    </dataValidation>
    <dataValidation type="list" errorStyle="stop" sqref="E5:E60">
      <formula1>"Not started,In progress,Done,Blocked"</formula1>
      <formula2>0</formula2>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450C"/>
    <pageSetUpPr fitToPage="1"/>
    <outlinePr summaryBelow="1" summaryRight="1"/>
  </sheetPr>
  <dimension ref="A1:R336"/>
  <sheetViews>
    <sheetView workbookViewId="0" zoomScale="90" zoomScaleNormal="90" view="normal">
      <pane xSplit="5" ySplit="1" topLeftCell="F2" activePane="bottomRight" state="frozen"/>
      <selection pane="bottomRight" activeCell="A1" sqref="A1"/>
    </sheetView>
  </sheetViews>
  <sheetFormatPr defaultRowHeight="15" outlineLevelRow="0" outlineLevelCol="0" x14ac:dyDescent="0" defaultColWidth="8.6796875"/>
  <cols>
    <col min="1" max="1" width="5" style="10" customWidth="1"/>
    <col min="2" max="2" width="16" style="10" customWidth="1"/>
    <col min="3" max="3" width="10" style="10" customWidth="1"/>
    <col min="4" max="4" width="14" style="10" customWidth="1"/>
    <col min="5" max="5" width="30" style="10" customWidth="1"/>
    <col min="6" max="6" width="60" style="10" customWidth="1"/>
    <col min="7" max="7" width="13" style="10" customWidth="1"/>
    <col min="8" max="8" width="8" style="10" customWidth="1"/>
    <col min="9" max="9" width="14" style="10" customWidth="1"/>
    <col min="10" max="10" width="22" style="10" customWidth="1"/>
    <col min="11" max="11" width="24" style="10" customWidth="1"/>
    <col min="12" max="12" width="30" style="10" customWidth="1"/>
    <col min="13" max="13" width="22" style="10" customWidth="1"/>
    <col min="14" max="15" width="34" style="10" customWidth="1"/>
    <col min="16" max="16" width="12" style="10" customWidth="1"/>
    <col min="17" max="17" width="40" style="10" customWidth="1"/>
    <col min="18" max="18" width="34" style="10" customWidth="1"/>
  </cols>
  <sheetData>
    <row r="1" ht="30" customHeight="1" spans="1:18" s="10" customFormat="1" x14ac:dyDescent="0.25">
      <c r="A1" s="4" t="s">
        <v>118</v>
      </c>
      <c r="B1" s="4" t="s">
        <v>19</v>
      </c>
      <c r="C1" s="4" t="s">
        <v>119</v>
      </c>
      <c r="D1" s="4" t="s">
        <v>120</v>
      </c>
      <c r="E1" s="4" t="s">
        <v>91</v>
      </c>
      <c r="F1" s="4" t="s">
        <v>121</v>
      </c>
      <c r="G1" s="4" t="s">
        <v>122</v>
      </c>
      <c r="H1" s="4" t="s">
        <v>123</v>
      </c>
      <c r="I1" s="4" t="s">
        <v>124</v>
      </c>
      <c r="J1" s="4" t="s">
        <v>44</v>
      </c>
      <c r="K1" s="4" t="s">
        <v>125</v>
      </c>
      <c r="L1" s="4" t="s">
        <v>126</v>
      </c>
      <c r="M1" s="4" t="s">
        <v>127</v>
      </c>
      <c r="N1" s="4" t="s">
        <v>128</v>
      </c>
      <c r="O1" s="4" t="s">
        <v>129</v>
      </c>
      <c r="P1" s="4" t="s">
        <v>9</v>
      </c>
      <c r="Q1" s="4" t="s">
        <v>130</v>
      </c>
      <c r="R1" s="4" t="s">
        <v>131</v>
      </c>
    </row>
    <row r="2" ht="51" customHeight="1" spans="1:18" s="10" customFormat="1" x14ac:dyDescent="0.25">
      <c r="A2" s="6">
        <v>1</v>
      </c>
      <c r="B2" s="11" t="s">
        <v>22</v>
      </c>
      <c r="C2" s="5" t="s">
        <v>132</v>
      </c>
      <c r="D2" s="11" t="s">
        <v>133</v>
      </c>
      <c r="E2" s="11" t="s">
        <v>134</v>
      </c>
      <c r="F2" s="11" t="s">
        <v>135</v>
      </c>
      <c r="G2" s="11" t="s">
        <v>136</v>
      </c>
      <c r="H2" s="11" t="s">
        <v>137</v>
      </c>
      <c r="I2" s="6" t="s">
        <v>11</v>
      </c>
      <c r="J2" s="11" t="s">
        <v>45</v>
      </c>
      <c r="K2" s="11" t="s">
        <v>138</v>
      </c>
      <c r="L2" s="11" t="s">
        <v>139</v>
      </c>
      <c r="M2" s="11" t="s">
        <v>140</v>
      </c>
      <c r="N2" s="11" t="s">
        <v>141</v>
      </c>
      <c r="O2" s="11" t="s">
        <v>142</v>
      </c>
      <c r="P2" s="11" t="s">
        <v>11</v>
      </c>
      <c r="Q2" s="11" t="s">
        <v>143</v>
      </c>
      <c r="R2" s="11" t="s">
        <v>144</v>
      </c>
    </row>
    <row r="3" ht="27" customHeight="1" spans="1:18" s="10" customFormat="1" x14ac:dyDescent="0.25">
      <c r="A3" s="6">
        <v>2</v>
      </c>
      <c r="B3" s="11" t="s">
        <v>22</v>
      </c>
      <c r="C3" s="5" t="s">
        <v>145</v>
      </c>
      <c r="D3" s="11" t="s">
        <v>133</v>
      </c>
      <c r="E3" s="11" t="s">
        <v>146</v>
      </c>
      <c r="F3" s="11" t="s">
        <v>147</v>
      </c>
      <c r="G3" s="11" t="s">
        <v>148</v>
      </c>
      <c r="H3" s="11" t="s">
        <v>137</v>
      </c>
      <c r="I3" s="6" t="s">
        <v>11</v>
      </c>
      <c r="J3" s="11" t="s">
        <v>45</v>
      </c>
      <c r="K3" s="11" t="s">
        <v>149</v>
      </c>
      <c r="L3" s="11" t="s">
        <v>150</v>
      </c>
      <c r="M3" s="11" t="s">
        <v>151</v>
      </c>
      <c r="N3" s="11" t="s">
        <v>142</v>
      </c>
      <c r="O3" s="11" t="s">
        <v>142</v>
      </c>
      <c r="P3" s="11" t="s">
        <v>11</v>
      </c>
      <c r="Q3" s="11" t="s">
        <v>143</v>
      </c>
      <c r="R3" s="11" t="s">
        <v>152</v>
      </c>
    </row>
    <row r="4" ht="27" customHeight="1" spans="1:18" s="10" customFormat="1" x14ac:dyDescent="0.25">
      <c r="A4" s="6">
        <v>3</v>
      </c>
      <c r="B4" s="11" t="s">
        <v>22</v>
      </c>
      <c r="C4" s="5" t="s">
        <v>153</v>
      </c>
      <c r="D4" s="11" t="s">
        <v>133</v>
      </c>
      <c r="E4" s="11" t="s">
        <v>154</v>
      </c>
      <c r="F4" s="11" t="s">
        <v>155</v>
      </c>
      <c r="G4" s="11" t="s">
        <v>156</v>
      </c>
      <c r="H4" s="11" t="s">
        <v>157</v>
      </c>
      <c r="I4" s="6" t="s">
        <v>11</v>
      </c>
      <c r="J4" s="11" t="s">
        <v>45</v>
      </c>
      <c r="K4" s="11" t="s">
        <v>149</v>
      </c>
      <c r="L4" s="11" t="s">
        <v>158</v>
      </c>
      <c r="M4" s="11" t="s">
        <v>159</v>
      </c>
      <c r="N4" s="11" t="s">
        <v>142</v>
      </c>
      <c r="O4" s="11" t="s">
        <v>142</v>
      </c>
      <c r="P4" s="11" t="s">
        <v>11</v>
      </c>
      <c r="Q4" s="11" t="s">
        <v>143</v>
      </c>
      <c r="R4" s="11" t="s">
        <v>160</v>
      </c>
    </row>
    <row r="5" ht="51" customHeight="1" spans="1:18" s="10" customFormat="1" x14ac:dyDescent="0.25">
      <c r="A5" s="6">
        <v>4</v>
      </c>
      <c r="B5" s="11" t="s">
        <v>22</v>
      </c>
      <c r="C5" s="5" t="s">
        <v>161</v>
      </c>
      <c r="D5" s="11" t="s">
        <v>162</v>
      </c>
      <c r="E5" s="11" t="s">
        <v>163</v>
      </c>
      <c r="F5" s="11" t="s">
        <v>164</v>
      </c>
      <c r="G5" s="11" t="s">
        <v>165</v>
      </c>
      <c r="H5" s="11" t="s">
        <v>137</v>
      </c>
      <c r="I5" s="6" t="s">
        <v>11</v>
      </c>
      <c r="J5" s="11" t="s">
        <v>45</v>
      </c>
      <c r="K5" s="11" t="s">
        <v>149</v>
      </c>
      <c r="L5" s="11" t="s">
        <v>166</v>
      </c>
      <c r="M5" s="11" t="s">
        <v>167</v>
      </c>
      <c r="N5" s="11" t="s">
        <v>142</v>
      </c>
      <c r="O5" s="11" t="s">
        <v>142</v>
      </c>
      <c r="P5" s="11" t="s">
        <v>11</v>
      </c>
      <c r="Q5" s="11" t="s">
        <v>143</v>
      </c>
      <c r="R5" s="11" t="s">
        <v>168</v>
      </c>
    </row>
    <row r="6" ht="15" customHeight="1" spans="1:18" s="10" customFormat="1" x14ac:dyDescent="0.25">
      <c r="A6" s="6">
        <v>5</v>
      </c>
      <c r="B6" s="11" t="s">
        <v>22</v>
      </c>
      <c r="C6" s="5" t="s">
        <v>169</v>
      </c>
      <c r="D6" s="11" t="s">
        <v>162</v>
      </c>
      <c r="E6" s="11" t="s">
        <v>170</v>
      </c>
      <c r="F6" s="11" t="s">
        <v>171</v>
      </c>
      <c r="G6" s="11" t="s">
        <v>172</v>
      </c>
      <c r="H6" s="11" t="s">
        <v>137</v>
      </c>
      <c r="I6" s="6" t="s">
        <v>11</v>
      </c>
      <c r="J6" s="11" t="s">
        <v>45</v>
      </c>
      <c r="K6" s="11" t="s">
        <v>149</v>
      </c>
      <c r="L6" s="11" t="s">
        <v>173</v>
      </c>
      <c r="M6" s="11" t="s">
        <v>159</v>
      </c>
      <c r="N6" s="11" t="s">
        <v>142</v>
      </c>
      <c r="O6" s="11" t="s">
        <v>142</v>
      </c>
      <c r="P6" s="11" t="s">
        <v>11</v>
      </c>
      <c r="Q6" s="11" t="s">
        <v>143</v>
      </c>
      <c r="R6" s="11" t="s">
        <v>174</v>
      </c>
    </row>
    <row r="7" ht="51" customHeight="1" spans="1:18" s="10" customFormat="1" x14ac:dyDescent="0.25">
      <c r="A7" s="6">
        <v>6</v>
      </c>
      <c r="B7" s="11" t="s">
        <v>22</v>
      </c>
      <c r="C7" s="5" t="s">
        <v>175</v>
      </c>
      <c r="D7" s="11" t="s">
        <v>176</v>
      </c>
      <c r="E7" s="11" t="s">
        <v>177</v>
      </c>
      <c r="F7" s="11" t="s">
        <v>178</v>
      </c>
      <c r="G7" s="11" t="s">
        <v>179</v>
      </c>
      <c r="H7" s="11" t="s">
        <v>137</v>
      </c>
      <c r="I7" s="6" t="s">
        <v>11</v>
      </c>
      <c r="J7" s="11" t="s">
        <v>45</v>
      </c>
      <c r="K7" s="11" t="s">
        <v>149</v>
      </c>
      <c r="L7" s="11" t="s">
        <v>180</v>
      </c>
      <c r="M7" s="11" t="s">
        <v>181</v>
      </c>
      <c r="N7" s="11" t="s">
        <v>182</v>
      </c>
      <c r="O7" s="11" t="s">
        <v>142</v>
      </c>
      <c r="P7" s="11" t="s">
        <v>11</v>
      </c>
      <c r="Q7" s="11" t="s">
        <v>143</v>
      </c>
      <c r="R7" s="11" t="s">
        <v>142</v>
      </c>
    </row>
    <row r="8" ht="75" customHeight="1" spans="1:18" s="10" customFormat="1" x14ac:dyDescent="0.25">
      <c r="A8" s="6">
        <v>7</v>
      </c>
      <c r="B8" s="11" t="s">
        <v>22</v>
      </c>
      <c r="C8" s="5" t="s">
        <v>183</v>
      </c>
      <c r="D8" s="11" t="s">
        <v>176</v>
      </c>
      <c r="E8" s="11" t="s">
        <v>184</v>
      </c>
      <c r="F8" s="11" t="s">
        <v>185</v>
      </c>
      <c r="G8" s="11" t="s">
        <v>186</v>
      </c>
      <c r="H8" s="11" t="s">
        <v>137</v>
      </c>
      <c r="I8" s="6" t="s">
        <v>11</v>
      </c>
      <c r="J8" s="11" t="s">
        <v>45</v>
      </c>
      <c r="K8" s="11" t="s">
        <v>187</v>
      </c>
      <c r="L8" s="11" t="s">
        <v>188</v>
      </c>
      <c r="M8" s="11" t="s">
        <v>189</v>
      </c>
      <c r="N8" s="11" t="s">
        <v>190</v>
      </c>
      <c r="O8" s="11" t="s">
        <v>142</v>
      </c>
      <c r="P8" s="11" t="s">
        <v>11</v>
      </c>
      <c r="Q8" s="11" t="s">
        <v>143</v>
      </c>
      <c r="R8" s="11" t="s">
        <v>191</v>
      </c>
    </row>
    <row r="9" ht="63" customHeight="1" spans="1:18" s="10" customFormat="1" x14ac:dyDescent="0.25">
      <c r="A9" s="6">
        <v>8</v>
      </c>
      <c r="B9" s="11" t="s">
        <v>22</v>
      </c>
      <c r="C9" s="5" t="s">
        <v>192</v>
      </c>
      <c r="D9" s="11" t="s">
        <v>176</v>
      </c>
      <c r="E9" s="11" t="s">
        <v>193</v>
      </c>
      <c r="F9" s="11" t="s">
        <v>194</v>
      </c>
      <c r="G9" s="11" t="s">
        <v>195</v>
      </c>
      <c r="H9" s="11" t="s">
        <v>137</v>
      </c>
      <c r="I9" s="6" t="s">
        <v>11</v>
      </c>
      <c r="J9" s="11" t="s">
        <v>45</v>
      </c>
      <c r="K9" s="11" t="s">
        <v>149</v>
      </c>
      <c r="L9" s="11" t="s">
        <v>196</v>
      </c>
      <c r="M9" s="11" t="s">
        <v>197</v>
      </c>
      <c r="N9" s="11" t="s">
        <v>142</v>
      </c>
      <c r="O9" s="11" t="s">
        <v>142</v>
      </c>
      <c r="P9" s="11" t="s">
        <v>11</v>
      </c>
      <c r="Q9" s="11" t="s">
        <v>143</v>
      </c>
      <c r="R9" s="11" t="s">
        <v>198</v>
      </c>
    </row>
    <row r="10" ht="63" customHeight="1" spans="1:18" s="10" customFormat="1" x14ac:dyDescent="0.25">
      <c r="A10" s="6">
        <v>9</v>
      </c>
      <c r="B10" s="11" t="s">
        <v>22</v>
      </c>
      <c r="C10" s="5" t="s">
        <v>199</v>
      </c>
      <c r="D10" s="11" t="s">
        <v>176</v>
      </c>
      <c r="E10" s="11" t="s">
        <v>200</v>
      </c>
      <c r="F10" s="11" t="s">
        <v>201</v>
      </c>
      <c r="G10" s="11" t="s">
        <v>202</v>
      </c>
      <c r="H10" s="11" t="s">
        <v>137</v>
      </c>
      <c r="I10" s="6" t="s">
        <v>11</v>
      </c>
      <c r="J10" s="11" t="s">
        <v>45</v>
      </c>
      <c r="K10" s="11" t="s">
        <v>149</v>
      </c>
      <c r="L10" s="11" t="s">
        <v>203</v>
      </c>
      <c r="M10" s="11" t="s">
        <v>204</v>
      </c>
      <c r="N10" s="11" t="s">
        <v>142</v>
      </c>
      <c r="O10" s="11" t="s">
        <v>142</v>
      </c>
      <c r="P10" s="11" t="s">
        <v>11</v>
      </c>
      <c r="Q10" s="11" t="s">
        <v>143</v>
      </c>
      <c r="R10" s="11" t="s">
        <v>205</v>
      </c>
    </row>
    <row r="11" ht="39" customHeight="1" spans="1:18" s="10" customFormat="1" x14ac:dyDescent="0.25">
      <c r="A11" s="6">
        <v>10</v>
      </c>
      <c r="B11" s="11" t="s">
        <v>22</v>
      </c>
      <c r="C11" s="5" t="s">
        <v>206</v>
      </c>
      <c r="D11" s="11" t="s">
        <v>176</v>
      </c>
      <c r="E11" s="11" t="s">
        <v>207</v>
      </c>
      <c r="F11" s="11" t="s">
        <v>208</v>
      </c>
      <c r="G11" s="11" t="s">
        <v>209</v>
      </c>
      <c r="H11" s="11" t="s">
        <v>137</v>
      </c>
      <c r="I11" s="6" t="s">
        <v>11</v>
      </c>
      <c r="J11" s="11" t="s">
        <v>45</v>
      </c>
      <c r="K11" s="11" t="s">
        <v>149</v>
      </c>
      <c r="L11" s="11" t="s">
        <v>210</v>
      </c>
      <c r="M11" s="11" t="s">
        <v>211</v>
      </c>
      <c r="N11" s="11" t="s">
        <v>142</v>
      </c>
      <c r="O11" s="11" t="s">
        <v>142</v>
      </c>
      <c r="P11" s="11" t="s">
        <v>11</v>
      </c>
      <c r="Q11" s="11" t="s">
        <v>143</v>
      </c>
      <c r="R11" s="11" t="s">
        <v>212</v>
      </c>
    </row>
    <row r="12" ht="39" customHeight="1" spans="1:18" s="10" customFormat="1" x14ac:dyDescent="0.25">
      <c r="A12" s="6">
        <v>11</v>
      </c>
      <c r="B12" s="11" t="s">
        <v>22</v>
      </c>
      <c r="C12" s="5" t="s">
        <v>213</v>
      </c>
      <c r="D12" s="11" t="s">
        <v>214</v>
      </c>
      <c r="E12" s="11" t="s">
        <v>215</v>
      </c>
      <c r="F12" s="11" t="s">
        <v>216</v>
      </c>
      <c r="G12" s="11" t="s">
        <v>142</v>
      </c>
      <c r="H12" s="11" t="s">
        <v>137</v>
      </c>
      <c r="I12" s="6" t="s">
        <v>11</v>
      </c>
      <c r="J12" s="11" t="s">
        <v>45</v>
      </c>
      <c r="K12" s="11" t="s">
        <v>149</v>
      </c>
      <c r="L12" s="11" t="s">
        <v>217</v>
      </c>
      <c r="M12" s="11" t="s">
        <v>218</v>
      </c>
      <c r="N12" s="11" t="s">
        <v>142</v>
      </c>
      <c r="O12" s="11" t="s">
        <v>142</v>
      </c>
      <c r="P12" s="11" t="s">
        <v>11</v>
      </c>
      <c r="Q12" s="11" t="s">
        <v>143</v>
      </c>
      <c r="R12" s="11" t="s">
        <v>142</v>
      </c>
    </row>
    <row r="13" ht="39" customHeight="1" spans="1:18" s="10" customFormat="1" x14ac:dyDescent="0.25">
      <c r="A13" s="6">
        <v>12</v>
      </c>
      <c r="B13" s="11" t="s">
        <v>22</v>
      </c>
      <c r="C13" s="5" t="s">
        <v>219</v>
      </c>
      <c r="D13" s="11" t="s">
        <v>214</v>
      </c>
      <c r="E13" s="11" t="s">
        <v>220</v>
      </c>
      <c r="F13" s="11" t="s">
        <v>221</v>
      </c>
      <c r="G13" s="11" t="s">
        <v>222</v>
      </c>
      <c r="H13" s="11" t="s">
        <v>137</v>
      </c>
      <c r="I13" s="6" t="s">
        <v>11</v>
      </c>
      <c r="J13" s="11" t="s">
        <v>45</v>
      </c>
      <c r="K13" s="11" t="s">
        <v>149</v>
      </c>
      <c r="L13" s="11" t="s">
        <v>223</v>
      </c>
      <c r="M13" s="11" t="s">
        <v>224</v>
      </c>
      <c r="N13" s="11" t="s">
        <v>142</v>
      </c>
      <c r="O13" s="11" t="s">
        <v>142</v>
      </c>
      <c r="P13" s="11" t="s">
        <v>11</v>
      </c>
      <c r="Q13" s="11" t="s">
        <v>143</v>
      </c>
      <c r="R13" s="11" t="s">
        <v>142</v>
      </c>
    </row>
    <row r="14" ht="39" customHeight="1" spans="1:18" s="10" customFormat="1" x14ac:dyDescent="0.25">
      <c r="A14" s="6">
        <v>13</v>
      </c>
      <c r="B14" s="11" t="s">
        <v>22</v>
      </c>
      <c r="C14" s="5" t="s">
        <v>225</v>
      </c>
      <c r="D14" s="11" t="s">
        <v>214</v>
      </c>
      <c r="E14" s="11" t="s">
        <v>226</v>
      </c>
      <c r="F14" s="11" t="s">
        <v>227</v>
      </c>
      <c r="G14" s="11" t="s">
        <v>222</v>
      </c>
      <c r="H14" s="11" t="s">
        <v>137</v>
      </c>
      <c r="I14" s="6" t="s">
        <v>11</v>
      </c>
      <c r="J14" s="11" t="s">
        <v>45</v>
      </c>
      <c r="K14" s="11" t="s">
        <v>149</v>
      </c>
      <c r="L14" s="11" t="s">
        <v>228</v>
      </c>
      <c r="M14" s="11" t="s">
        <v>229</v>
      </c>
      <c r="N14" s="11" t="s">
        <v>142</v>
      </c>
      <c r="O14" s="11" t="s">
        <v>142</v>
      </c>
      <c r="P14" s="11" t="s">
        <v>11</v>
      </c>
      <c r="Q14" s="11" t="s">
        <v>143</v>
      </c>
      <c r="R14" s="11" t="s">
        <v>142</v>
      </c>
    </row>
    <row r="15" ht="39" customHeight="1" spans="1:18" s="10" customFormat="1" x14ac:dyDescent="0.25">
      <c r="A15" s="6">
        <v>14</v>
      </c>
      <c r="B15" s="11" t="s">
        <v>22</v>
      </c>
      <c r="C15" s="5" t="s">
        <v>230</v>
      </c>
      <c r="D15" s="11" t="s">
        <v>214</v>
      </c>
      <c r="E15" s="11" t="s">
        <v>231</v>
      </c>
      <c r="F15" s="11" t="s">
        <v>232</v>
      </c>
      <c r="G15" s="11" t="s">
        <v>233</v>
      </c>
      <c r="H15" s="11" t="s">
        <v>157</v>
      </c>
      <c r="I15" s="6" t="s">
        <v>11</v>
      </c>
      <c r="J15" s="11" t="s">
        <v>46</v>
      </c>
      <c r="K15" s="11" t="s">
        <v>234</v>
      </c>
      <c r="L15" s="11" t="s">
        <v>235</v>
      </c>
      <c r="M15" s="11" t="s">
        <v>236</v>
      </c>
      <c r="N15" s="11" t="s">
        <v>142</v>
      </c>
      <c r="O15" s="11" t="s">
        <v>142</v>
      </c>
      <c r="P15" s="11" t="s">
        <v>11</v>
      </c>
      <c r="Q15" s="11" t="s">
        <v>143</v>
      </c>
      <c r="R15" s="11" t="s">
        <v>237</v>
      </c>
    </row>
    <row r="16" ht="63" customHeight="1" spans="1:18" s="10" customFormat="1" x14ac:dyDescent="0.25">
      <c r="A16" s="6">
        <v>15</v>
      </c>
      <c r="B16" s="11" t="s">
        <v>22</v>
      </c>
      <c r="C16" s="5" t="s">
        <v>238</v>
      </c>
      <c r="D16" s="11" t="s">
        <v>214</v>
      </c>
      <c r="E16" s="11" t="s">
        <v>239</v>
      </c>
      <c r="F16" s="11" t="s">
        <v>240</v>
      </c>
      <c r="G16" s="11" t="s">
        <v>241</v>
      </c>
      <c r="H16" s="11" t="s">
        <v>137</v>
      </c>
      <c r="I16" s="6" t="s">
        <v>11</v>
      </c>
      <c r="J16" s="11" t="s">
        <v>45</v>
      </c>
      <c r="K16" s="11" t="s">
        <v>149</v>
      </c>
      <c r="L16" s="11" t="s">
        <v>242</v>
      </c>
      <c r="M16" s="11" t="s">
        <v>243</v>
      </c>
      <c r="N16" s="11" t="s">
        <v>142</v>
      </c>
      <c r="O16" s="11" t="s">
        <v>142</v>
      </c>
      <c r="P16" s="11" t="s">
        <v>11</v>
      </c>
      <c r="Q16" s="11" t="s">
        <v>143</v>
      </c>
      <c r="R16" s="11" t="s">
        <v>244</v>
      </c>
    </row>
    <row r="17" ht="63" customHeight="1" spans="1:18" s="10" customFormat="1" x14ac:dyDescent="0.25">
      <c r="A17" s="6">
        <v>16</v>
      </c>
      <c r="B17" s="11" t="s">
        <v>22</v>
      </c>
      <c r="C17" s="5" t="s">
        <v>245</v>
      </c>
      <c r="D17" s="11" t="s">
        <v>246</v>
      </c>
      <c r="E17" s="11" t="s">
        <v>247</v>
      </c>
      <c r="F17" s="11" t="s">
        <v>248</v>
      </c>
      <c r="G17" s="11" t="s">
        <v>249</v>
      </c>
      <c r="H17" s="11" t="s">
        <v>137</v>
      </c>
      <c r="I17" s="6" t="s">
        <v>11</v>
      </c>
      <c r="J17" s="11" t="s">
        <v>45</v>
      </c>
      <c r="K17" s="11" t="s">
        <v>149</v>
      </c>
      <c r="L17" s="11" t="s">
        <v>250</v>
      </c>
      <c r="M17" s="11" t="s">
        <v>250</v>
      </c>
      <c r="N17" s="11" t="s">
        <v>142</v>
      </c>
      <c r="O17" s="11" t="s">
        <v>142</v>
      </c>
      <c r="P17" s="11" t="s">
        <v>11</v>
      </c>
      <c r="Q17" s="11" t="s">
        <v>143</v>
      </c>
      <c r="R17" s="11" t="s">
        <v>142</v>
      </c>
    </row>
    <row r="18" ht="27" customHeight="1" spans="1:18" s="10" customFormat="1" x14ac:dyDescent="0.25">
      <c r="A18" s="6">
        <v>17</v>
      </c>
      <c r="B18" s="11" t="s">
        <v>22</v>
      </c>
      <c r="C18" s="5" t="s">
        <v>251</v>
      </c>
      <c r="D18" s="11" t="s">
        <v>246</v>
      </c>
      <c r="E18" s="11" t="s">
        <v>252</v>
      </c>
      <c r="F18" s="11" t="s">
        <v>253</v>
      </c>
      <c r="G18" s="11" t="s">
        <v>241</v>
      </c>
      <c r="H18" s="11" t="s">
        <v>157</v>
      </c>
      <c r="I18" s="6" t="s">
        <v>11</v>
      </c>
      <c r="J18" s="11" t="s">
        <v>45</v>
      </c>
      <c r="K18" s="11" t="s">
        <v>149</v>
      </c>
      <c r="L18" s="11" t="s">
        <v>254</v>
      </c>
      <c r="M18" s="11" t="s">
        <v>255</v>
      </c>
      <c r="N18" s="11" t="s">
        <v>142</v>
      </c>
      <c r="O18" s="11" t="s">
        <v>142</v>
      </c>
      <c r="P18" s="11" t="s">
        <v>11</v>
      </c>
      <c r="Q18" s="11" t="s">
        <v>143</v>
      </c>
      <c r="R18" s="11" t="s">
        <v>142</v>
      </c>
    </row>
    <row r="19" ht="51" customHeight="1" spans="1:18" s="10" customFormat="1" x14ac:dyDescent="0.25">
      <c r="A19" s="6">
        <v>18</v>
      </c>
      <c r="B19" s="11" t="s">
        <v>22</v>
      </c>
      <c r="C19" s="5" t="s">
        <v>256</v>
      </c>
      <c r="D19" s="11" t="s">
        <v>246</v>
      </c>
      <c r="E19" s="11" t="s">
        <v>257</v>
      </c>
      <c r="F19" s="11" t="s">
        <v>258</v>
      </c>
      <c r="G19" s="11" t="s">
        <v>241</v>
      </c>
      <c r="H19" s="11" t="s">
        <v>157</v>
      </c>
      <c r="I19" s="6" t="s">
        <v>11</v>
      </c>
      <c r="J19" s="11" t="s">
        <v>45</v>
      </c>
      <c r="K19" s="11" t="s">
        <v>149</v>
      </c>
      <c r="L19" s="11" t="s">
        <v>259</v>
      </c>
      <c r="M19" s="11" t="s">
        <v>255</v>
      </c>
      <c r="N19" s="11" t="s">
        <v>260</v>
      </c>
      <c r="O19" s="11" t="s">
        <v>142</v>
      </c>
      <c r="P19" s="11" t="s">
        <v>11</v>
      </c>
      <c r="Q19" s="11" t="s">
        <v>143</v>
      </c>
      <c r="R19" s="11" t="s">
        <v>261</v>
      </c>
    </row>
    <row r="20" ht="27" customHeight="1" spans="1:18" s="10" customFormat="1" x14ac:dyDescent="0.25">
      <c r="A20" s="6">
        <v>19</v>
      </c>
      <c r="B20" s="11" t="s">
        <v>22</v>
      </c>
      <c r="C20" s="5" t="s">
        <v>262</v>
      </c>
      <c r="D20" s="11" t="s">
        <v>263</v>
      </c>
      <c r="E20" s="11" t="s">
        <v>264</v>
      </c>
      <c r="F20" s="11" t="s">
        <v>265</v>
      </c>
      <c r="G20" s="11" t="s">
        <v>266</v>
      </c>
      <c r="H20" s="11" t="s">
        <v>137</v>
      </c>
      <c r="I20" s="6" t="s">
        <v>11</v>
      </c>
      <c r="J20" s="11" t="s">
        <v>45</v>
      </c>
      <c r="K20" s="11" t="s">
        <v>149</v>
      </c>
      <c r="L20" s="11" t="s">
        <v>267</v>
      </c>
      <c r="M20" s="11" t="s">
        <v>268</v>
      </c>
      <c r="N20" s="11" t="s">
        <v>142</v>
      </c>
      <c r="O20" s="11" t="s">
        <v>142</v>
      </c>
      <c r="P20" s="11" t="s">
        <v>11</v>
      </c>
      <c r="Q20" s="11" t="s">
        <v>143</v>
      </c>
      <c r="R20" s="11" t="s">
        <v>269</v>
      </c>
    </row>
    <row r="21" ht="27" customHeight="1" spans="1:18" s="10" customFormat="1" x14ac:dyDescent="0.25">
      <c r="A21" s="6">
        <v>20</v>
      </c>
      <c r="B21" s="11" t="s">
        <v>22</v>
      </c>
      <c r="C21" s="5" t="s">
        <v>270</v>
      </c>
      <c r="D21" s="11" t="s">
        <v>263</v>
      </c>
      <c r="E21" s="11" t="s">
        <v>271</v>
      </c>
      <c r="F21" s="11" t="s">
        <v>272</v>
      </c>
      <c r="G21" s="11" t="s">
        <v>273</v>
      </c>
      <c r="H21" s="11" t="s">
        <v>137</v>
      </c>
      <c r="I21" s="6" t="s">
        <v>11</v>
      </c>
      <c r="J21" s="11" t="s">
        <v>45</v>
      </c>
      <c r="K21" s="11" t="s">
        <v>149</v>
      </c>
      <c r="L21" s="11" t="s">
        <v>274</v>
      </c>
      <c r="M21" s="11" t="s">
        <v>275</v>
      </c>
      <c r="N21" s="11" t="s">
        <v>142</v>
      </c>
      <c r="O21" s="11" t="s">
        <v>142</v>
      </c>
      <c r="P21" s="11" t="s">
        <v>11</v>
      </c>
      <c r="Q21" s="11" t="s">
        <v>143</v>
      </c>
      <c r="R21" s="11" t="s">
        <v>276</v>
      </c>
    </row>
    <row r="22" ht="15" customHeight="1" spans="1:18" s="10" customFormat="1" x14ac:dyDescent="0.25">
      <c r="A22" s="6">
        <v>21</v>
      </c>
      <c r="B22" s="11" t="s">
        <v>22</v>
      </c>
      <c r="C22" s="5" t="s">
        <v>277</v>
      </c>
      <c r="D22" s="11" t="s">
        <v>263</v>
      </c>
      <c r="E22" s="11" t="s">
        <v>278</v>
      </c>
      <c r="F22" s="11" t="s">
        <v>279</v>
      </c>
      <c r="G22" s="11" t="s">
        <v>280</v>
      </c>
      <c r="H22" s="11" t="s">
        <v>137</v>
      </c>
      <c r="I22" s="6" t="s">
        <v>11</v>
      </c>
      <c r="J22" s="11" t="s">
        <v>45</v>
      </c>
      <c r="K22" s="11" t="s">
        <v>149</v>
      </c>
      <c r="L22" s="11" t="s">
        <v>281</v>
      </c>
      <c r="M22" s="11" t="s">
        <v>282</v>
      </c>
      <c r="N22" s="11" t="s">
        <v>142</v>
      </c>
      <c r="O22" s="11" t="s">
        <v>142</v>
      </c>
      <c r="P22" s="11" t="s">
        <v>11</v>
      </c>
      <c r="Q22" s="11" t="s">
        <v>143</v>
      </c>
      <c r="R22" s="11" t="s">
        <v>283</v>
      </c>
    </row>
    <row r="23" ht="27" customHeight="1" spans="1:18" s="10" customFormat="1" x14ac:dyDescent="0.25">
      <c r="A23" s="6">
        <v>22</v>
      </c>
      <c r="B23" s="11" t="s">
        <v>22</v>
      </c>
      <c r="C23" s="5" t="s">
        <v>284</v>
      </c>
      <c r="D23" s="11" t="s">
        <v>285</v>
      </c>
      <c r="E23" s="11" t="s">
        <v>286</v>
      </c>
      <c r="F23" s="11" t="s">
        <v>287</v>
      </c>
      <c r="G23" s="11" t="s">
        <v>288</v>
      </c>
      <c r="H23" s="11" t="s">
        <v>137</v>
      </c>
      <c r="I23" s="6" t="s">
        <v>11</v>
      </c>
      <c r="J23" s="11" t="s">
        <v>45</v>
      </c>
      <c r="K23" s="11" t="s">
        <v>149</v>
      </c>
      <c r="L23" s="11" t="s">
        <v>289</v>
      </c>
      <c r="M23" s="11" t="s">
        <v>290</v>
      </c>
      <c r="N23" s="11" t="s">
        <v>142</v>
      </c>
      <c r="O23" s="11" t="s">
        <v>142</v>
      </c>
      <c r="P23" s="11" t="s">
        <v>11</v>
      </c>
      <c r="Q23" s="11" t="s">
        <v>143</v>
      </c>
      <c r="R23" s="11" t="s">
        <v>283</v>
      </c>
    </row>
    <row r="24" ht="39" customHeight="1" spans="1:18" s="10" customFormat="1" x14ac:dyDescent="0.25">
      <c r="A24" s="6">
        <v>23</v>
      </c>
      <c r="B24" s="11" t="s">
        <v>22</v>
      </c>
      <c r="C24" s="5" t="s">
        <v>291</v>
      </c>
      <c r="D24" s="11" t="s">
        <v>285</v>
      </c>
      <c r="E24" s="11" t="s">
        <v>292</v>
      </c>
      <c r="F24" s="11" t="s">
        <v>293</v>
      </c>
      <c r="G24" s="11" t="s">
        <v>294</v>
      </c>
      <c r="H24" s="11" t="s">
        <v>157</v>
      </c>
      <c r="I24" s="6" t="s">
        <v>15</v>
      </c>
      <c r="J24" s="11" t="s">
        <v>47</v>
      </c>
      <c r="K24" s="11" t="s">
        <v>295</v>
      </c>
      <c r="L24" s="11" t="s">
        <v>296</v>
      </c>
      <c r="M24" s="11" t="s">
        <v>297</v>
      </c>
      <c r="N24" s="11" t="s">
        <v>142</v>
      </c>
      <c r="O24" s="11" t="s">
        <v>142</v>
      </c>
      <c r="P24" s="11" t="s">
        <v>15</v>
      </c>
      <c r="Q24" s="11" t="s">
        <v>143</v>
      </c>
      <c r="R24" s="11" t="s">
        <v>298</v>
      </c>
    </row>
    <row r="25" ht="27" customHeight="1" spans="1:18" s="10" customFormat="1" x14ac:dyDescent="0.25">
      <c r="A25" s="6">
        <v>24</v>
      </c>
      <c r="B25" s="11" t="s">
        <v>22</v>
      </c>
      <c r="C25" s="5" t="s">
        <v>299</v>
      </c>
      <c r="D25" s="11" t="s">
        <v>300</v>
      </c>
      <c r="E25" s="11" t="s">
        <v>301</v>
      </c>
      <c r="F25" s="11" t="s">
        <v>302</v>
      </c>
      <c r="G25" s="11" t="s">
        <v>303</v>
      </c>
      <c r="H25" s="11" t="s">
        <v>137</v>
      </c>
      <c r="I25" s="6" t="s">
        <v>11</v>
      </c>
      <c r="J25" s="11" t="s">
        <v>45</v>
      </c>
      <c r="K25" s="11" t="s">
        <v>149</v>
      </c>
      <c r="L25" s="11" t="s">
        <v>304</v>
      </c>
      <c r="M25" s="11" t="s">
        <v>305</v>
      </c>
      <c r="N25" s="11" t="s">
        <v>142</v>
      </c>
      <c r="O25" s="11" t="s">
        <v>142</v>
      </c>
      <c r="P25" s="11" t="s">
        <v>11</v>
      </c>
      <c r="Q25" s="11" t="s">
        <v>143</v>
      </c>
      <c r="R25" s="11" t="s">
        <v>142</v>
      </c>
    </row>
    <row r="26" ht="27" customHeight="1" spans="1:18" s="10" customFormat="1" x14ac:dyDescent="0.25">
      <c r="A26" s="6">
        <v>25</v>
      </c>
      <c r="B26" s="11" t="s">
        <v>22</v>
      </c>
      <c r="C26" s="5" t="s">
        <v>306</v>
      </c>
      <c r="D26" s="11" t="s">
        <v>300</v>
      </c>
      <c r="E26" s="11" t="s">
        <v>307</v>
      </c>
      <c r="F26" s="11" t="s">
        <v>308</v>
      </c>
      <c r="G26" s="11" t="s">
        <v>309</v>
      </c>
      <c r="H26" s="11" t="s">
        <v>157</v>
      </c>
      <c r="I26" s="6" t="s">
        <v>11</v>
      </c>
      <c r="J26" s="11" t="s">
        <v>45</v>
      </c>
      <c r="K26" s="11" t="s">
        <v>149</v>
      </c>
      <c r="L26" s="11" t="s">
        <v>310</v>
      </c>
      <c r="M26" s="11" t="s">
        <v>311</v>
      </c>
      <c r="N26" s="11" t="s">
        <v>142</v>
      </c>
      <c r="O26" s="11" t="s">
        <v>142</v>
      </c>
      <c r="P26" s="11" t="s">
        <v>11</v>
      </c>
      <c r="Q26" s="11" t="s">
        <v>143</v>
      </c>
      <c r="R26" s="11" t="s">
        <v>142</v>
      </c>
    </row>
    <row r="27" ht="63" customHeight="1" spans="1:18" s="10" customFormat="1" x14ac:dyDescent="0.25">
      <c r="A27" s="6">
        <v>26</v>
      </c>
      <c r="B27" s="11" t="s">
        <v>22</v>
      </c>
      <c r="C27" s="5" t="s">
        <v>312</v>
      </c>
      <c r="D27" s="11" t="s">
        <v>313</v>
      </c>
      <c r="E27" s="11" t="s">
        <v>314</v>
      </c>
      <c r="F27" s="11" t="s">
        <v>315</v>
      </c>
      <c r="G27" s="11" t="s">
        <v>316</v>
      </c>
      <c r="H27" s="11" t="s">
        <v>137</v>
      </c>
      <c r="I27" s="6" t="s">
        <v>11</v>
      </c>
      <c r="J27" s="11" t="s">
        <v>45</v>
      </c>
      <c r="K27" s="11" t="s">
        <v>149</v>
      </c>
      <c r="L27" s="11" t="s">
        <v>317</v>
      </c>
      <c r="M27" s="11" t="s">
        <v>318</v>
      </c>
      <c r="N27" s="11" t="s">
        <v>142</v>
      </c>
      <c r="O27" s="11" t="s">
        <v>142</v>
      </c>
      <c r="P27" s="11" t="s">
        <v>11</v>
      </c>
      <c r="Q27" s="11" t="s">
        <v>143</v>
      </c>
      <c r="R27" s="11" t="s">
        <v>319</v>
      </c>
    </row>
    <row r="28" ht="87" customHeight="1" spans="1:18" s="10" customFormat="1" x14ac:dyDescent="0.25">
      <c r="A28" s="6">
        <v>27</v>
      </c>
      <c r="B28" s="11" t="s">
        <v>22</v>
      </c>
      <c r="C28" s="5" t="s">
        <v>320</v>
      </c>
      <c r="D28" s="11" t="s">
        <v>313</v>
      </c>
      <c r="E28" s="11" t="s">
        <v>321</v>
      </c>
      <c r="F28" s="11" t="s">
        <v>322</v>
      </c>
      <c r="G28" s="11" t="s">
        <v>323</v>
      </c>
      <c r="H28" s="11" t="s">
        <v>137</v>
      </c>
      <c r="I28" s="6" t="s">
        <v>11</v>
      </c>
      <c r="J28" s="11" t="s">
        <v>46</v>
      </c>
      <c r="K28" s="11" t="s">
        <v>324</v>
      </c>
      <c r="L28" s="11" t="s">
        <v>325</v>
      </c>
      <c r="M28" s="11" t="s">
        <v>326</v>
      </c>
      <c r="N28" s="11" t="s">
        <v>142</v>
      </c>
      <c r="O28" s="11" t="s">
        <v>142</v>
      </c>
      <c r="P28" s="11" t="s">
        <v>11</v>
      </c>
      <c r="Q28" s="11" t="s">
        <v>143</v>
      </c>
      <c r="R28" s="11" t="s">
        <v>327</v>
      </c>
    </row>
    <row r="29" ht="63" customHeight="1" spans="1:18" s="10" customFormat="1" x14ac:dyDescent="0.25">
      <c r="A29" s="6">
        <v>28</v>
      </c>
      <c r="B29" s="11" t="s">
        <v>22</v>
      </c>
      <c r="C29" s="5" t="s">
        <v>328</v>
      </c>
      <c r="D29" s="11" t="s">
        <v>329</v>
      </c>
      <c r="E29" s="11" t="s">
        <v>330</v>
      </c>
      <c r="F29" s="11" t="s">
        <v>331</v>
      </c>
      <c r="G29" s="11" t="s">
        <v>332</v>
      </c>
      <c r="H29" s="11" t="s">
        <v>137</v>
      </c>
      <c r="I29" s="6" t="s">
        <v>11</v>
      </c>
      <c r="J29" s="11" t="s">
        <v>46</v>
      </c>
      <c r="K29" s="11" t="s">
        <v>333</v>
      </c>
      <c r="L29" s="11" t="s">
        <v>334</v>
      </c>
      <c r="M29" s="11" t="s">
        <v>335</v>
      </c>
      <c r="N29" s="11" t="s">
        <v>336</v>
      </c>
      <c r="O29" s="11" t="s">
        <v>337</v>
      </c>
      <c r="P29" s="11" t="s">
        <v>11</v>
      </c>
      <c r="Q29" s="11" t="s">
        <v>143</v>
      </c>
      <c r="R29" s="11" t="s">
        <v>338</v>
      </c>
    </row>
    <row r="30" ht="39" customHeight="1" spans="1:18" s="10" customFormat="1" x14ac:dyDescent="0.25">
      <c r="A30" s="6">
        <v>29</v>
      </c>
      <c r="B30" s="11" t="s">
        <v>22</v>
      </c>
      <c r="C30" s="5" t="s">
        <v>339</v>
      </c>
      <c r="D30" s="11" t="s">
        <v>329</v>
      </c>
      <c r="E30" s="11" t="s">
        <v>340</v>
      </c>
      <c r="F30" s="11" t="s">
        <v>341</v>
      </c>
      <c r="G30" s="11" t="s">
        <v>342</v>
      </c>
      <c r="H30" s="11" t="s">
        <v>157</v>
      </c>
      <c r="I30" s="6" t="s">
        <v>11</v>
      </c>
      <c r="J30" s="11" t="s">
        <v>45</v>
      </c>
      <c r="K30" s="11" t="s">
        <v>149</v>
      </c>
      <c r="L30" s="11" t="s">
        <v>250</v>
      </c>
      <c r="M30" s="11" t="s">
        <v>250</v>
      </c>
      <c r="N30" s="11" t="s">
        <v>142</v>
      </c>
      <c r="O30" s="11" t="s">
        <v>142</v>
      </c>
      <c r="P30" s="11" t="s">
        <v>11</v>
      </c>
      <c r="Q30" s="11" t="s">
        <v>143</v>
      </c>
      <c r="R30" s="11" t="s">
        <v>142</v>
      </c>
    </row>
    <row r="31" ht="39" customHeight="1" spans="1:18" s="10" customFormat="1" x14ac:dyDescent="0.25">
      <c r="A31" s="6">
        <v>30</v>
      </c>
      <c r="B31" s="11" t="s">
        <v>22</v>
      </c>
      <c r="C31" s="5" t="s">
        <v>343</v>
      </c>
      <c r="D31" s="11" t="s">
        <v>329</v>
      </c>
      <c r="E31" s="11" t="s">
        <v>344</v>
      </c>
      <c r="F31" s="11" t="s">
        <v>345</v>
      </c>
      <c r="G31" s="11" t="s">
        <v>346</v>
      </c>
      <c r="H31" s="11" t="s">
        <v>157</v>
      </c>
      <c r="I31" s="6" t="s">
        <v>11</v>
      </c>
      <c r="J31" s="11" t="s">
        <v>45</v>
      </c>
      <c r="K31" s="11" t="s">
        <v>149</v>
      </c>
      <c r="L31" s="11" t="s">
        <v>158</v>
      </c>
      <c r="M31" s="11" t="s">
        <v>159</v>
      </c>
      <c r="N31" s="11" t="s">
        <v>142</v>
      </c>
      <c r="O31" s="11" t="s">
        <v>142</v>
      </c>
      <c r="P31" s="11" t="s">
        <v>11</v>
      </c>
      <c r="Q31" s="11" t="s">
        <v>143</v>
      </c>
      <c r="R31" s="11" t="s">
        <v>347</v>
      </c>
    </row>
    <row r="32" ht="27" customHeight="1" spans="1:18" s="10" customFormat="1" x14ac:dyDescent="0.25">
      <c r="A32" s="6">
        <v>31</v>
      </c>
      <c r="B32" s="11" t="s">
        <v>22</v>
      </c>
      <c r="C32" s="5" t="s">
        <v>348</v>
      </c>
      <c r="D32" s="11" t="s">
        <v>329</v>
      </c>
      <c r="E32" s="11" t="s">
        <v>349</v>
      </c>
      <c r="F32" s="11" t="s">
        <v>350</v>
      </c>
      <c r="G32" s="11" t="s">
        <v>351</v>
      </c>
      <c r="H32" s="11" t="s">
        <v>137</v>
      </c>
      <c r="I32" s="6" t="s">
        <v>11</v>
      </c>
      <c r="J32" s="11" t="s">
        <v>45</v>
      </c>
      <c r="K32" s="11" t="s">
        <v>149</v>
      </c>
      <c r="L32" s="11" t="s">
        <v>281</v>
      </c>
      <c r="M32" s="11" t="s">
        <v>282</v>
      </c>
      <c r="N32" s="11" t="s">
        <v>352</v>
      </c>
      <c r="O32" s="11" t="s">
        <v>142</v>
      </c>
      <c r="P32" s="11" t="s">
        <v>11</v>
      </c>
      <c r="Q32" s="11" t="s">
        <v>143</v>
      </c>
      <c r="R32" s="11" t="s">
        <v>353</v>
      </c>
    </row>
    <row r="33" ht="27" customHeight="1" spans="1:18" s="10" customFormat="1" x14ac:dyDescent="0.25">
      <c r="A33" s="6">
        <v>32</v>
      </c>
      <c r="B33" s="11" t="s">
        <v>22</v>
      </c>
      <c r="C33" s="5" t="s">
        <v>354</v>
      </c>
      <c r="D33" s="11" t="s">
        <v>355</v>
      </c>
      <c r="E33" s="11" t="s">
        <v>356</v>
      </c>
      <c r="F33" s="11" t="s">
        <v>357</v>
      </c>
      <c r="G33" s="11" t="s">
        <v>358</v>
      </c>
      <c r="H33" s="11" t="s">
        <v>137</v>
      </c>
      <c r="I33" s="6" t="s">
        <v>11</v>
      </c>
      <c r="J33" s="11" t="s">
        <v>45</v>
      </c>
      <c r="K33" s="11" t="s">
        <v>149</v>
      </c>
      <c r="L33" s="11" t="s">
        <v>359</v>
      </c>
      <c r="M33" s="11" t="s">
        <v>311</v>
      </c>
      <c r="N33" s="11" t="s">
        <v>142</v>
      </c>
      <c r="O33" s="11" t="s">
        <v>142</v>
      </c>
      <c r="P33" s="11" t="s">
        <v>11</v>
      </c>
      <c r="Q33" s="11" t="s">
        <v>143</v>
      </c>
      <c r="R33" s="11" t="s">
        <v>142</v>
      </c>
    </row>
    <row r="34" ht="39" customHeight="1" spans="1:18" s="10" customFormat="1" x14ac:dyDescent="0.25">
      <c r="A34" s="6">
        <v>33</v>
      </c>
      <c r="B34" s="11" t="s">
        <v>22</v>
      </c>
      <c r="C34" s="5" t="s">
        <v>360</v>
      </c>
      <c r="D34" s="11" t="s">
        <v>355</v>
      </c>
      <c r="E34" s="11" t="s">
        <v>361</v>
      </c>
      <c r="F34" s="11" t="s">
        <v>362</v>
      </c>
      <c r="G34" s="11" t="s">
        <v>363</v>
      </c>
      <c r="H34" s="11" t="s">
        <v>137</v>
      </c>
      <c r="I34" s="6" t="s">
        <v>11</v>
      </c>
      <c r="J34" s="11" t="s">
        <v>46</v>
      </c>
      <c r="K34" s="11" t="s">
        <v>364</v>
      </c>
      <c r="L34" s="11" t="s">
        <v>365</v>
      </c>
      <c r="M34" s="11" t="s">
        <v>366</v>
      </c>
      <c r="N34" s="11" t="s">
        <v>142</v>
      </c>
      <c r="O34" s="11" t="s">
        <v>142</v>
      </c>
      <c r="P34" s="11" t="s">
        <v>11</v>
      </c>
      <c r="Q34" s="11" t="s">
        <v>143</v>
      </c>
      <c r="R34" s="11" t="s">
        <v>367</v>
      </c>
    </row>
    <row r="35" ht="63" customHeight="1" spans="1:18" s="10" customFormat="1" x14ac:dyDescent="0.25">
      <c r="A35" s="6">
        <v>34</v>
      </c>
      <c r="B35" s="11" t="s">
        <v>22</v>
      </c>
      <c r="C35" s="5" t="s">
        <v>368</v>
      </c>
      <c r="D35" s="11" t="s">
        <v>355</v>
      </c>
      <c r="E35" s="11" t="s">
        <v>369</v>
      </c>
      <c r="F35" s="11" t="s">
        <v>370</v>
      </c>
      <c r="G35" s="11" t="s">
        <v>371</v>
      </c>
      <c r="H35" s="11" t="s">
        <v>137</v>
      </c>
      <c r="I35" s="6" t="s">
        <v>11</v>
      </c>
      <c r="J35" s="11" t="s">
        <v>45</v>
      </c>
      <c r="K35" s="11" t="s">
        <v>149</v>
      </c>
      <c r="L35" s="11" t="s">
        <v>372</v>
      </c>
      <c r="M35" s="11" t="s">
        <v>373</v>
      </c>
      <c r="N35" s="11" t="s">
        <v>374</v>
      </c>
      <c r="O35" s="11" t="s">
        <v>142</v>
      </c>
      <c r="P35" s="11" t="s">
        <v>11</v>
      </c>
      <c r="Q35" s="11" t="s">
        <v>143</v>
      </c>
      <c r="R35" s="11" t="s">
        <v>375</v>
      </c>
    </row>
    <row r="36" ht="27" customHeight="1" spans="1:18" s="10" customFormat="1" x14ac:dyDescent="0.25">
      <c r="A36" s="6">
        <v>35</v>
      </c>
      <c r="B36" s="11" t="s">
        <v>22</v>
      </c>
      <c r="C36" s="5" t="s">
        <v>376</v>
      </c>
      <c r="D36" s="11" t="s">
        <v>355</v>
      </c>
      <c r="E36" s="11" t="s">
        <v>377</v>
      </c>
      <c r="F36" s="11" t="s">
        <v>378</v>
      </c>
      <c r="G36" s="11" t="s">
        <v>379</v>
      </c>
      <c r="H36" s="11" t="s">
        <v>157</v>
      </c>
      <c r="I36" s="6" t="s">
        <v>11</v>
      </c>
      <c r="J36" s="11" t="s">
        <v>45</v>
      </c>
      <c r="K36" s="11" t="s">
        <v>149</v>
      </c>
      <c r="L36" s="11" t="s">
        <v>281</v>
      </c>
      <c r="M36" s="11" t="s">
        <v>282</v>
      </c>
      <c r="N36" s="11" t="s">
        <v>142</v>
      </c>
      <c r="O36" s="11" t="s">
        <v>142</v>
      </c>
      <c r="P36" s="11" t="s">
        <v>11</v>
      </c>
      <c r="Q36" s="11" t="s">
        <v>143</v>
      </c>
      <c r="R36" s="11" t="s">
        <v>380</v>
      </c>
    </row>
    <row r="37" ht="51" customHeight="1" spans="1:18" s="10" customFormat="1" x14ac:dyDescent="0.25">
      <c r="A37" s="6">
        <v>36</v>
      </c>
      <c r="B37" s="11" t="s">
        <v>22</v>
      </c>
      <c r="C37" s="5" t="s">
        <v>381</v>
      </c>
      <c r="D37" s="11" t="s">
        <v>355</v>
      </c>
      <c r="E37" s="11" t="s">
        <v>382</v>
      </c>
      <c r="F37" s="11" t="s">
        <v>383</v>
      </c>
      <c r="G37" s="11" t="s">
        <v>384</v>
      </c>
      <c r="H37" s="11" t="s">
        <v>137</v>
      </c>
      <c r="I37" s="6" t="s">
        <v>11</v>
      </c>
      <c r="J37" s="11" t="s">
        <v>45</v>
      </c>
      <c r="K37" s="11" t="s">
        <v>149</v>
      </c>
      <c r="L37" s="11" t="s">
        <v>281</v>
      </c>
      <c r="M37" s="11" t="s">
        <v>282</v>
      </c>
      <c r="N37" s="11" t="s">
        <v>385</v>
      </c>
      <c r="O37" s="11" t="s">
        <v>142</v>
      </c>
      <c r="P37" s="11" t="s">
        <v>11</v>
      </c>
      <c r="Q37" s="11" t="s">
        <v>143</v>
      </c>
      <c r="R37" s="11" t="s">
        <v>386</v>
      </c>
    </row>
    <row r="38" ht="39" customHeight="1" spans="1:18" s="10" customFormat="1" x14ac:dyDescent="0.25">
      <c r="A38" s="6">
        <v>37</v>
      </c>
      <c r="B38" s="11" t="s">
        <v>22</v>
      </c>
      <c r="C38" s="5" t="s">
        <v>387</v>
      </c>
      <c r="D38" s="11" t="s">
        <v>388</v>
      </c>
      <c r="E38" s="11" t="s">
        <v>389</v>
      </c>
      <c r="F38" s="11" t="s">
        <v>390</v>
      </c>
      <c r="G38" s="11" t="s">
        <v>142</v>
      </c>
      <c r="H38" s="11" t="s">
        <v>137</v>
      </c>
      <c r="I38" s="6" t="s">
        <v>11</v>
      </c>
      <c r="J38" s="11" t="s">
        <v>45</v>
      </c>
      <c r="K38" s="11" t="s">
        <v>149</v>
      </c>
      <c r="L38" s="11" t="s">
        <v>250</v>
      </c>
      <c r="M38" s="11" t="s">
        <v>250</v>
      </c>
      <c r="N38" s="11" t="s">
        <v>142</v>
      </c>
      <c r="O38" s="11" t="s">
        <v>142</v>
      </c>
      <c r="P38" s="11" t="s">
        <v>11</v>
      </c>
      <c r="Q38" s="11" t="s">
        <v>143</v>
      </c>
      <c r="R38" s="11" t="s">
        <v>142</v>
      </c>
    </row>
    <row r="39" ht="39" customHeight="1" spans="1:18" s="10" customFormat="1" x14ac:dyDescent="0.25">
      <c r="A39" s="6">
        <v>38</v>
      </c>
      <c r="B39" s="11" t="s">
        <v>22</v>
      </c>
      <c r="C39" s="5" t="s">
        <v>391</v>
      </c>
      <c r="D39" s="11" t="s">
        <v>388</v>
      </c>
      <c r="E39" s="11" t="s">
        <v>392</v>
      </c>
      <c r="F39" s="11" t="s">
        <v>393</v>
      </c>
      <c r="G39" s="11" t="s">
        <v>394</v>
      </c>
      <c r="H39" s="11" t="s">
        <v>137</v>
      </c>
      <c r="I39" s="6" t="s">
        <v>11</v>
      </c>
      <c r="J39" s="11" t="s">
        <v>45</v>
      </c>
      <c r="K39" s="11" t="s">
        <v>149</v>
      </c>
      <c r="L39" s="11" t="s">
        <v>395</v>
      </c>
      <c r="M39" s="11" t="s">
        <v>396</v>
      </c>
      <c r="N39" s="11" t="s">
        <v>142</v>
      </c>
      <c r="O39" s="11" t="s">
        <v>142</v>
      </c>
      <c r="P39" s="11" t="s">
        <v>11</v>
      </c>
      <c r="Q39" s="11" t="s">
        <v>143</v>
      </c>
      <c r="R39" s="11" t="s">
        <v>142</v>
      </c>
    </row>
    <row r="40" ht="39" customHeight="1" spans="1:18" s="10" customFormat="1" x14ac:dyDescent="0.25">
      <c r="A40" s="6">
        <v>39</v>
      </c>
      <c r="B40" s="11" t="s">
        <v>22</v>
      </c>
      <c r="C40" s="5" t="s">
        <v>397</v>
      </c>
      <c r="D40" s="11" t="s">
        <v>388</v>
      </c>
      <c r="E40" s="11" t="s">
        <v>398</v>
      </c>
      <c r="F40" s="11" t="s">
        <v>399</v>
      </c>
      <c r="G40" s="11" t="s">
        <v>400</v>
      </c>
      <c r="H40" s="11" t="s">
        <v>137</v>
      </c>
      <c r="I40" s="6" t="s">
        <v>11</v>
      </c>
      <c r="J40" s="11" t="s">
        <v>45</v>
      </c>
      <c r="K40" s="11" t="s">
        <v>149</v>
      </c>
      <c r="L40" s="11" t="s">
        <v>401</v>
      </c>
      <c r="M40" s="11" t="s">
        <v>211</v>
      </c>
      <c r="N40" s="11" t="s">
        <v>142</v>
      </c>
      <c r="O40" s="11" t="s">
        <v>142</v>
      </c>
      <c r="P40" s="11" t="s">
        <v>11</v>
      </c>
      <c r="Q40" s="11" t="s">
        <v>143</v>
      </c>
      <c r="R40" s="11" t="s">
        <v>402</v>
      </c>
    </row>
    <row r="41" ht="27" customHeight="1" spans="1:18" s="10" customFormat="1" x14ac:dyDescent="0.25">
      <c r="A41" s="6">
        <v>40</v>
      </c>
      <c r="B41" s="11" t="s">
        <v>22</v>
      </c>
      <c r="C41" s="5" t="s">
        <v>403</v>
      </c>
      <c r="D41" s="11" t="s">
        <v>388</v>
      </c>
      <c r="E41" s="11" t="s">
        <v>404</v>
      </c>
      <c r="F41" s="11" t="s">
        <v>405</v>
      </c>
      <c r="G41" s="11" t="s">
        <v>406</v>
      </c>
      <c r="H41" s="11" t="s">
        <v>137</v>
      </c>
      <c r="I41" s="6" t="s">
        <v>11</v>
      </c>
      <c r="J41" s="11" t="s">
        <v>45</v>
      </c>
      <c r="K41" s="11" t="s">
        <v>149</v>
      </c>
      <c r="L41" s="11" t="s">
        <v>173</v>
      </c>
      <c r="M41" s="11" t="s">
        <v>159</v>
      </c>
      <c r="N41" s="11" t="s">
        <v>142</v>
      </c>
      <c r="O41" s="11" t="s">
        <v>142</v>
      </c>
      <c r="P41" s="11" t="s">
        <v>11</v>
      </c>
      <c r="Q41" s="11" t="s">
        <v>143</v>
      </c>
      <c r="R41" s="11" t="s">
        <v>407</v>
      </c>
    </row>
    <row r="42" ht="27" customHeight="1" spans="1:18" s="10" customFormat="1" x14ac:dyDescent="0.25">
      <c r="A42" s="6">
        <v>41</v>
      </c>
      <c r="B42" s="11" t="s">
        <v>22</v>
      </c>
      <c r="C42" s="5" t="s">
        <v>408</v>
      </c>
      <c r="D42" s="11" t="s">
        <v>388</v>
      </c>
      <c r="E42" s="11" t="s">
        <v>409</v>
      </c>
      <c r="F42" s="11" t="s">
        <v>410</v>
      </c>
      <c r="G42" s="11" t="s">
        <v>411</v>
      </c>
      <c r="H42" s="11" t="s">
        <v>137</v>
      </c>
      <c r="I42" s="6" t="s">
        <v>11</v>
      </c>
      <c r="J42" s="11" t="s">
        <v>45</v>
      </c>
      <c r="K42" s="11" t="s">
        <v>149</v>
      </c>
      <c r="L42" s="11" t="s">
        <v>281</v>
      </c>
      <c r="M42" s="11" t="s">
        <v>282</v>
      </c>
      <c r="N42" s="11" t="s">
        <v>412</v>
      </c>
      <c r="O42" s="11" t="s">
        <v>142</v>
      </c>
      <c r="P42" s="11" t="s">
        <v>11</v>
      </c>
      <c r="Q42" s="11" t="s">
        <v>143</v>
      </c>
      <c r="R42" s="11" t="s">
        <v>413</v>
      </c>
    </row>
    <row r="43" ht="63" customHeight="1" spans="1:18" s="10" customFormat="1" x14ac:dyDescent="0.25">
      <c r="A43" s="6">
        <v>42</v>
      </c>
      <c r="B43" s="11" t="s">
        <v>22</v>
      </c>
      <c r="C43" s="5" t="s">
        <v>414</v>
      </c>
      <c r="D43" s="11" t="s">
        <v>388</v>
      </c>
      <c r="E43" s="11" t="s">
        <v>415</v>
      </c>
      <c r="F43" s="11" t="s">
        <v>416</v>
      </c>
      <c r="G43" s="11" t="s">
        <v>417</v>
      </c>
      <c r="H43" s="11" t="s">
        <v>137</v>
      </c>
      <c r="I43" s="6" t="s">
        <v>11</v>
      </c>
      <c r="J43" s="11" t="s">
        <v>45</v>
      </c>
      <c r="K43" s="11" t="s">
        <v>149</v>
      </c>
      <c r="L43" s="11" t="s">
        <v>418</v>
      </c>
      <c r="M43" s="11" t="s">
        <v>419</v>
      </c>
      <c r="N43" s="11" t="s">
        <v>142</v>
      </c>
      <c r="O43" s="11" t="s">
        <v>142</v>
      </c>
      <c r="P43" s="11" t="s">
        <v>11</v>
      </c>
      <c r="Q43" s="11" t="s">
        <v>143</v>
      </c>
      <c r="R43" s="11" t="s">
        <v>420</v>
      </c>
    </row>
    <row r="44" ht="63" customHeight="1" spans="1:18" s="10" customFormat="1" x14ac:dyDescent="0.25">
      <c r="A44" s="6">
        <v>43</v>
      </c>
      <c r="B44" s="11" t="s">
        <v>22</v>
      </c>
      <c r="C44" s="5" t="s">
        <v>421</v>
      </c>
      <c r="D44" s="11" t="s">
        <v>388</v>
      </c>
      <c r="E44" s="11" t="s">
        <v>422</v>
      </c>
      <c r="F44" s="11" t="s">
        <v>423</v>
      </c>
      <c r="G44" s="11" t="s">
        <v>424</v>
      </c>
      <c r="H44" s="11" t="s">
        <v>137</v>
      </c>
      <c r="I44" s="6" t="s">
        <v>11</v>
      </c>
      <c r="J44" s="11" t="s">
        <v>45</v>
      </c>
      <c r="K44" s="11" t="s">
        <v>149</v>
      </c>
      <c r="L44" s="11" t="s">
        <v>425</v>
      </c>
      <c r="M44" s="11" t="s">
        <v>426</v>
      </c>
      <c r="N44" s="11" t="s">
        <v>427</v>
      </c>
      <c r="O44" s="11" t="s">
        <v>142</v>
      </c>
      <c r="P44" s="11" t="s">
        <v>11</v>
      </c>
      <c r="Q44" s="11" t="s">
        <v>143</v>
      </c>
      <c r="R44" s="11" t="s">
        <v>428</v>
      </c>
    </row>
    <row r="45" ht="27" customHeight="1" spans="1:18" s="10" customFormat="1" x14ac:dyDescent="0.25">
      <c r="A45" s="6">
        <v>44</v>
      </c>
      <c r="B45" s="11" t="s">
        <v>22</v>
      </c>
      <c r="C45" s="5" t="s">
        <v>429</v>
      </c>
      <c r="D45" s="11" t="s">
        <v>430</v>
      </c>
      <c r="E45" s="11" t="s">
        <v>431</v>
      </c>
      <c r="F45" s="11" t="s">
        <v>432</v>
      </c>
      <c r="G45" s="11" t="s">
        <v>433</v>
      </c>
      <c r="H45" s="11" t="s">
        <v>157</v>
      </c>
      <c r="I45" s="6" t="s">
        <v>11</v>
      </c>
      <c r="J45" s="11" t="s">
        <v>45</v>
      </c>
      <c r="K45" s="11" t="s">
        <v>149</v>
      </c>
      <c r="L45" s="11" t="s">
        <v>173</v>
      </c>
      <c r="M45" s="11" t="s">
        <v>159</v>
      </c>
      <c r="N45" s="11" t="s">
        <v>434</v>
      </c>
      <c r="O45" s="11" t="s">
        <v>142</v>
      </c>
      <c r="P45" s="11" t="s">
        <v>11</v>
      </c>
      <c r="Q45" s="11" t="s">
        <v>143</v>
      </c>
      <c r="R45" s="11" t="s">
        <v>435</v>
      </c>
    </row>
    <row r="46" ht="27" customHeight="1" spans="1:18" s="10" customFormat="1" x14ac:dyDescent="0.25">
      <c r="A46" s="6">
        <v>45</v>
      </c>
      <c r="B46" s="11" t="s">
        <v>22</v>
      </c>
      <c r="C46" s="5" t="s">
        <v>436</v>
      </c>
      <c r="D46" s="11" t="s">
        <v>430</v>
      </c>
      <c r="E46" s="11" t="s">
        <v>437</v>
      </c>
      <c r="F46" s="11" t="s">
        <v>438</v>
      </c>
      <c r="G46" s="11" t="s">
        <v>439</v>
      </c>
      <c r="H46" s="11" t="s">
        <v>137</v>
      </c>
      <c r="I46" s="6" t="s">
        <v>11</v>
      </c>
      <c r="J46" s="11" t="s">
        <v>45</v>
      </c>
      <c r="K46" s="11" t="s">
        <v>149</v>
      </c>
      <c r="L46" s="11" t="s">
        <v>173</v>
      </c>
      <c r="M46" s="11" t="s">
        <v>159</v>
      </c>
      <c r="N46" s="11" t="s">
        <v>142</v>
      </c>
      <c r="O46" s="11" t="s">
        <v>142</v>
      </c>
      <c r="P46" s="11" t="s">
        <v>11</v>
      </c>
      <c r="Q46" s="11" t="s">
        <v>143</v>
      </c>
      <c r="R46" s="11" t="s">
        <v>440</v>
      </c>
    </row>
    <row r="47" ht="15" customHeight="1" spans="1:18" s="10" customFormat="1" x14ac:dyDescent="0.25">
      <c r="A47" s="6">
        <v>46</v>
      </c>
      <c r="B47" s="11" t="s">
        <v>22</v>
      </c>
      <c r="C47" s="5" t="s">
        <v>441</v>
      </c>
      <c r="D47" s="11" t="s">
        <v>430</v>
      </c>
      <c r="E47" s="11" t="s">
        <v>442</v>
      </c>
      <c r="F47" s="11" t="s">
        <v>443</v>
      </c>
      <c r="G47" s="11" t="s">
        <v>444</v>
      </c>
      <c r="H47" s="11" t="s">
        <v>157</v>
      </c>
      <c r="I47" s="6" t="s">
        <v>11</v>
      </c>
      <c r="J47" s="11" t="s">
        <v>45</v>
      </c>
      <c r="K47" s="11" t="s">
        <v>149</v>
      </c>
      <c r="L47" s="11" t="s">
        <v>173</v>
      </c>
      <c r="M47" s="11" t="s">
        <v>159</v>
      </c>
      <c r="N47" s="11" t="s">
        <v>142</v>
      </c>
      <c r="O47" s="11" t="s">
        <v>142</v>
      </c>
      <c r="P47" s="11" t="s">
        <v>11</v>
      </c>
      <c r="Q47" s="11" t="s">
        <v>143</v>
      </c>
      <c r="R47" s="11" t="s">
        <v>174</v>
      </c>
    </row>
    <row r="48" ht="51" customHeight="1" spans="1:18" s="10" customFormat="1" x14ac:dyDescent="0.25">
      <c r="A48" s="6">
        <v>47</v>
      </c>
      <c r="B48" s="11" t="s">
        <v>22</v>
      </c>
      <c r="C48" s="5" t="s">
        <v>445</v>
      </c>
      <c r="D48" s="11" t="s">
        <v>430</v>
      </c>
      <c r="E48" s="11" t="s">
        <v>446</v>
      </c>
      <c r="F48" s="11" t="s">
        <v>447</v>
      </c>
      <c r="G48" s="11" t="s">
        <v>448</v>
      </c>
      <c r="H48" s="11" t="s">
        <v>157</v>
      </c>
      <c r="I48" s="6" t="s">
        <v>11</v>
      </c>
      <c r="J48" s="11" t="s">
        <v>45</v>
      </c>
      <c r="K48" s="11" t="s">
        <v>149</v>
      </c>
      <c r="L48" s="11" t="s">
        <v>449</v>
      </c>
      <c r="M48" s="11" t="s">
        <v>450</v>
      </c>
      <c r="N48" s="11" t="s">
        <v>142</v>
      </c>
      <c r="O48" s="11" t="s">
        <v>142</v>
      </c>
      <c r="P48" s="11" t="s">
        <v>11</v>
      </c>
      <c r="Q48" s="11" t="s">
        <v>143</v>
      </c>
      <c r="R48" s="11" t="s">
        <v>451</v>
      </c>
    </row>
    <row r="49" ht="27" customHeight="1" spans="1:18" s="10" customFormat="1" x14ac:dyDescent="0.25">
      <c r="A49" s="6">
        <v>48</v>
      </c>
      <c r="B49" s="11" t="s">
        <v>22</v>
      </c>
      <c r="C49" s="5" t="s">
        <v>452</v>
      </c>
      <c r="D49" s="11" t="s">
        <v>453</v>
      </c>
      <c r="E49" s="11" t="s">
        <v>454</v>
      </c>
      <c r="F49" s="11" t="s">
        <v>455</v>
      </c>
      <c r="G49" s="11" t="s">
        <v>456</v>
      </c>
      <c r="H49" s="11" t="s">
        <v>137</v>
      </c>
      <c r="I49" s="6" t="s">
        <v>11</v>
      </c>
      <c r="J49" s="11" t="s">
        <v>45</v>
      </c>
      <c r="K49" s="11" t="s">
        <v>149</v>
      </c>
      <c r="L49" s="11" t="s">
        <v>250</v>
      </c>
      <c r="M49" s="11" t="s">
        <v>250</v>
      </c>
      <c r="N49" s="11" t="s">
        <v>142</v>
      </c>
      <c r="O49" s="11" t="s">
        <v>142</v>
      </c>
      <c r="P49" s="11" t="s">
        <v>11</v>
      </c>
      <c r="Q49" s="11" t="s">
        <v>143</v>
      </c>
      <c r="R49" s="11" t="s">
        <v>142</v>
      </c>
    </row>
    <row r="50" ht="15" customHeight="1" spans="1:18" s="10" customFormat="1" x14ac:dyDescent="0.25">
      <c r="A50" s="6">
        <v>49</v>
      </c>
      <c r="B50" s="11" t="s">
        <v>22</v>
      </c>
      <c r="C50" s="5" t="s">
        <v>457</v>
      </c>
      <c r="D50" s="11" t="s">
        <v>453</v>
      </c>
      <c r="E50" s="11" t="s">
        <v>458</v>
      </c>
      <c r="F50" s="11" t="s">
        <v>459</v>
      </c>
      <c r="G50" s="11" t="s">
        <v>456</v>
      </c>
      <c r="H50" s="11" t="s">
        <v>157</v>
      </c>
      <c r="I50" s="6" t="s">
        <v>11</v>
      </c>
      <c r="J50" s="11" t="s">
        <v>45</v>
      </c>
      <c r="K50" s="11" t="s">
        <v>149</v>
      </c>
      <c r="L50" s="11" t="s">
        <v>460</v>
      </c>
      <c r="M50" s="11" t="s">
        <v>396</v>
      </c>
      <c r="N50" s="11" t="s">
        <v>142</v>
      </c>
      <c r="O50" s="11" t="s">
        <v>142</v>
      </c>
      <c r="P50" s="11" t="s">
        <v>11</v>
      </c>
      <c r="Q50" s="11" t="s">
        <v>143</v>
      </c>
      <c r="R50" s="11" t="s">
        <v>461</v>
      </c>
    </row>
    <row r="51" ht="27" customHeight="1" spans="1:18" s="10" customFormat="1" x14ac:dyDescent="0.25">
      <c r="A51" s="6">
        <v>50</v>
      </c>
      <c r="B51" s="11" t="s">
        <v>22</v>
      </c>
      <c r="C51" s="5" t="s">
        <v>462</v>
      </c>
      <c r="D51" s="11" t="s">
        <v>453</v>
      </c>
      <c r="E51" s="11" t="s">
        <v>463</v>
      </c>
      <c r="F51" s="11" t="s">
        <v>464</v>
      </c>
      <c r="G51" s="11" t="s">
        <v>465</v>
      </c>
      <c r="H51" s="11" t="s">
        <v>137</v>
      </c>
      <c r="I51" s="6" t="s">
        <v>11</v>
      </c>
      <c r="J51" s="11" t="s">
        <v>45</v>
      </c>
      <c r="K51" s="11" t="s">
        <v>149</v>
      </c>
      <c r="L51" s="11" t="s">
        <v>250</v>
      </c>
      <c r="M51" s="11" t="s">
        <v>250</v>
      </c>
      <c r="N51" s="11" t="s">
        <v>142</v>
      </c>
      <c r="O51" s="11" t="s">
        <v>142</v>
      </c>
      <c r="P51" s="11" t="s">
        <v>11</v>
      </c>
      <c r="Q51" s="11" t="s">
        <v>143</v>
      </c>
      <c r="R51" s="11" t="s">
        <v>142</v>
      </c>
    </row>
    <row r="52" ht="39" customHeight="1" spans="1:18" s="10" customFormat="1" x14ac:dyDescent="0.25">
      <c r="A52" s="6">
        <v>51</v>
      </c>
      <c r="B52" s="11" t="s">
        <v>22</v>
      </c>
      <c r="C52" s="5" t="s">
        <v>466</v>
      </c>
      <c r="D52" s="11" t="s">
        <v>453</v>
      </c>
      <c r="E52" s="11" t="s">
        <v>467</v>
      </c>
      <c r="F52" s="11" t="s">
        <v>468</v>
      </c>
      <c r="G52" s="11" t="s">
        <v>469</v>
      </c>
      <c r="H52" s="11" t="s">
        <v>137</v>
      </c>
      <c r="I52" s="6" t="s">
        <v>11</v>
      </c>
      <c r="J52" s="11" t="s">
        <v>45</v>
      </c>
      <c r="K52" s="11" t="s">
        <v>149</v>
      </c>
      <c r="L52" s="11" t="s">
        <v>470</v>
      </c>
      <c r="M52" s="11" t="s">
        <v>471</v>
      </c>
      <c r="N52" s="11" t="s">
        <v>142</v>
      </c>
      <c r="O52" s="11" t="s">
        <v>142</v>
      </c>
      <c r="P52" s="11" t="s">
        <v>11</v>
      </c>
      <c r="Q52" s="11" t="s">
        <v>143</v>
      </c>
      <c r="R52" s="11" t="s">
        <v>142</v>
      </c>
    </row>
    <row r="53" ht="27" customHeight="1" spans="1:18" s="10" customFormat="1" x14ac:dyDescent="0.25">
      <c r="A53" s="6">
        <v>52</v>
      </c>
      <c r="B53" s="11" t="s">
        <v>22</v>
      </c>
      <c r="C53" s="5" t="s">
        <v>472</v>
      </c>
      <c r="D53" s="11" t="s">
        <v>473</v>
      </c>
      <c r="E53" s="11" t="s">
        <v>474</v>
      </c>
      <c r="F53" s="11" t="s">
        <v>475</v>
      </c>
      <c r="G53" s="11" t="s">
        <v>476</v>
      </c>
      <c r="H53" s="11" t="s">
        <v>157</v>
      </c>
      <c r="I53" s="6" t="s">
        <v>11</v>
      </c>
      <c r="J53" s="11" t="s">
        <v>45</v>
      </c>
      <c r="K53" s="11" t="s">
        <v>149</v>
      </c>
      <c r="L53" s="11" t="s">
        <v>158</v>
      </c>
      <c r="M53" s="11" t="s">
        <v>159</v>
      </c>
      <c r="N53" s="11" t="s">
        <v>142</v>
      </c>
      <c r="O53" s="11" t="s">
        <v>142</v>
      </c>
      <c r="P53" s="11" t="s">
        <v>11</v>
      </c>
      <c r="Q53" s="11" t="s">
        <v>143</v>
      </c>
      <c r="R53" s="11" t="s">
        <v>477</v>
      </c>
    </row>
    <row r="54" ht="15" customHeight="1" spans="1:18" s="10" customFormat="1" x14ac:dyDescent="0.25">
      <c r="A54" s="6">
        <v>53</v>
      </c>
      <c r="B54" s="11" t="s">
        <v>22</v>
      </c>
      <c r="C54" s="5" t="s">
        <v>478</v>
      </c>
      <c r="D54" s="11" t="s">
        <v>473</v>
      </c>
      <c r="E54" s="11" t="s">
        <v>479</v>
      </c>
      <c r="F54" s="11" t="s">
        <v>480</v>
      </c>
      <c r="G54" s="11" t="s">
        <v>481</v>
      </c>
      <c r="H54" s="11" t="s">
        <v>157</v>
      </c>
      <c r="I54" s="6" t="s">
        <v>11</v>
      </c>
      <c r="J54" s="11" t="s">
        <v>45</v>
      </c>
      <c r="K54" s="11" t="s">
        <v>149</v>
      </c>
      <c r="L54" s="11" t="s">
        <v>158</v>
      </c>
      <c r="M54" s="11" t="s">
        <v>159</v>
      </c>
      <c r="N54" s="11" t="s">
        <v>142</v>
      </c>
      <c r="O54" s="11" t="s">
        <v>142</v>
      </c>
      <c r="P54" s="11" t="s">
        <v>11</v>
      </c>
      <c r="Q54" s="11" t="s">
        <v>143</v>
      </c>
      <c r="R54" s="11" t="s">
        <v>482</v>
      </c>
    </row>
    <row r="55" ht="51" customHeight="1" spans="1:18" s="10" customFormat="1" x14ac:dyDescent="0.25">
      <c r="A55" s="6">
        <v>54</v>
      </c>
      <c r="B55" s="11" t="s">
        <v>22</v>
      </c>
      <c r="C55" s="5" t="s">
        <v>483</v>
      </c>
      <c r="D55" s="11" t="s">
        <v>473</v>
      </c>
      <c r="E55" s="11" t="s">
        <v>484</v>
      </c>
      <c r="F55" s="11" t="s">
        <v>485</v>
      </c>
      <c r="G55" s="11" t="s">
        <v>486</v>
      </c>
      <c r="H55" s="11" t="s">
        <v>157</v>
      </c>
      <c r="I55" s="6" t="s">
        <v>11</v>
      </c>
      <c r="J55" s="11" t="s">
        <v>46</v>
      </c>
      <c r="K55" s="11" t="s">
        <v>487</v>
      </c>
      <c r="L55" s="11" t="s">
        <v>488</v>
      </c>
      <c r="M55" s="11" t="s">
        <v>366</v>
      </c>
      <c r="N55" s="11" t="s">
        <v>142</v>
      </c>
      <c r="O55" s="11" t="s">
        <v>142</v>
      </c>
      <c r="P55" s="11" t="s">
        <v>11</v>
      </c>
      <c r="Q55" s="11" t="s">
        <v>143</v>
      </c>
      <c r="R55" s="11" t="s">
        <v>489</v>
      </c>
    </row>
    <row r="56" ht="63" customHeight="1" spans="1:18" s="10" customFormat="1" x14ac:dyDescent="0.25">
      <c r="A56" s="6">
        <v>55</v>
      </c>
      <c r="B56" s="11" t="s">
        <v>22</v>
      </c>
      <c r="C56" s="5" t="s">
        <v>490</v>
      </c>
      <c r="D56" s="11" t="s">
        <v>491</v>
      </c>
      <c r="E56" s="11" t="s">
        <v>492</v>
      </c>
      <c r="F56" s="11" t="s">
        <v>493</v>
      </c>
      <c r="G56" s="11" t="s">
        <v>494</v>
      </c>
      <c r="H56" s="11" t="s">
        <v>137</v>
      </c>
      <c r="I56" s="6" t="s">
        <v>11</v>
      </c>
      <c r="J56" s="11" t="s">
        <v>45</v>
      </c>
      <c r="K56" s="11" t="s">
        <v>149</v>
      </c>
      <c r="L56" s="11" t="s">
        <v>495</v>
      </c>
      <c r="M56" s="11" t="s">
        <v>211</v>
      </c>
      <c r="N56" s="11" t="s">
        <v>496</v>
      </c>
      <c r="O56" s="11" t="s">
        <v>142</v>
      </c>
      <c r="P56" s="11" t="s">
        <v>11</v>
      </c>
      <c r="Q56" s="11" t="s">
        <v>143</v>
      </c>
      <c r="R56" s="11" t="s">
        <v>497</v>
      </c>
    </row>
    <row r="57" ht="15" customHeight="1" spans="1:18" s="10" customFormat="1" x14ac:dyDescent="0.25">
      <c r="A57" s="6">
        <v>56</v>
      </c>
      <c r="B57" s="11" t="s">
        <v>22</v>
      </c>
      <c r="C57" s="5" t="s">
        <v>498</v>
      </c>
      <c r="D57" s="11" t="s">
        <v>499</v>
      </c>
      <c r="E57" s="11" t="s">
        <v>500</v>
      </c>
      <c r="F57" s="11" t="s">
        <v>501</v>
      </c>
      <c r="G57" s="11" t="s">
        <v>502</v>
      </c>
      <c r="H57" s="11" t="s">
        <v>137</v>
      </c>
      <c r="I57" s="6" t="s">
        <v>11</v>
      </c>
      <c r="J57" s="11" t="s">
        <v>45</v>
      </c>
      <c r="K57" s="11" t="s">
        <v>149</v>
      </c>
      <c r="L57" s="11" t="s">
        <v>173</v>
      </c>
      <c r="M57" s="11" t="s">
        <v>159</v>
      </c>
      <c r="N57" s="11" t="s">
        <v>142</v>
      </c>
      <c r="O57" s="11" t="s">
        <v>142</v>
      </c>
      <c r="P57" s="11" t="s">
        <v>11</v>
      </c>
      <c r="Q57" s="11" t="s">
        <v>143</v>
      </c>
      <c r="R57" s="11" t="s">
        <v>503</v>
      </c>
    </row>
    <row r="58" ht="99" customHeight="1" spans="1:18" s="10" customFormat="1" x14ac:dyDescent="0.25">
      <c r="A58" s="6">
        <v>57</v>
      </c>
      <c r="B58" s="11" t="s">
        <v>22</v>
      </c>
      <c r="C58" s="5" t="s">
        <v>504</v>
      </c>
      <c r="D58" s="11" t="s">
        <v>499</v>
      </c>
      <c r="E58" s="11" t="s">
        <v>505</v>
      </c>
      <c r="F58" s="11" t="s">
        <v>506</v>
      </c>
      <c r="G58" s="11" t="s">
        <v>507</v>
      </c>
      <c r="H58" s="11" t="s">
        <v>137</v>
      </c>
      <c r="I58" s="6" t="s">
        <v>11</v>
      </c>
      <c r="J58" s="11" t="s">
        <v>45</v>
      </c>
      <c r="K58" s="11" t="s">
        <v>149</v>
      </c>
      <c r="L58" s="11" t="s">
        <v>508</v>
      </c>
      <c r="M58" s="11" t="s">
        <v>509</v>
      </c>
      <c r="N58" s="11" t="s">
        <v>510</v>
      </c>
      <c r="O58" s="11" t="s">
        <v>142</v>
      </c>
      <c r="P58" s="11" t="s">
        <v>11</v>
      </c>
      <c r="Q58" s="11" t="s">
        <v>143</v>
      </c>
      <c r="R58" s="11" t="s">
        <v>511</v>
      </c>
    </row>
    <row r="59" ht="87" customHeight="1" spans="1:18" s="10" customFormat="1" x14ac:dyDescent="0.25">
      <c r="A59" s="6">
        <v>58</v>
      </c>
      <c r="B59" s="11" t="s">
        <v>22</v>
      </c>
      <c r="C59" s="5" t="s">
        <v>512</v>
      </c>
      <c r="D59" s="11" t="s">
        <v>499</v>
      </c>
      <c r="E59" s="11" t="s">
        <v>513</v>
      </c>
      <c r="F59" s="11" t="s">
        <v>514</v>
      </c>
      <c r="G59" s="11" t="s">
        <v>515</v>
      </c>
      <c r="H59" s="11" t="s">
        <v>137</v>
      </c>
      <c r="I59" s="6" t="s">
        <v>11</v>
      </c>
      <c r="J59" s="11" t="s">
        <v>45</v>
      </c>
      <c r="K59" s="11" t="s">
        <v>149</v>
      </c>
      <c r="L59" s="11" t="s">
        <v>516</v>
      </c>
      <c r="M59" s="11" t="s">
        <v>517</v>
      </c>
      <c r="N59" s="11" t="s">
        <v>518</v>
      </c>
      <c r="O59" s="11" t="s">
        <v>142</v>
      </c>
      <c r="P59" s="11" t="s">
        <v>11</v>
      </c>
      <c r="Q59" s="11" t="s">
        <v>143</v>
      </c>
      <c r="R59" s="11" t="s">
        <v>519</v>
      </c>
    </row>
    <row r="60" ht="15" customHeight="1" spans="1:18" s="10" customFormat="1" x14ac:dyDescent="0.25">
      <c r="A60" s="6">
        <v>59</v>
      </c>
      <c r="B60" s="11" t="s">
        <v>22</v>
      </c>
      <c r="C60" s="5" t="s">
        <v>520</v>
      </c>
      <c r="D60" s="11" t="s">
        <v>521</v>
      </c>
      <c r="E60" s="11" t="s">
        <v>522</v>
      </c>
      <c r="F60" s="11" t="s">
        <v>523</v>
      </c>
      <c r="G60" s="11" t="s">
        <v>524</v>
      </c>
      <c r="H60" s="11" t="s">
        <v>157</v>
      </c>
      <c r="I60" s="6" t="s">
        <v>11</v>
      </c>
      <c r="J60" s="11" t="s">
        <v>45</v>
      </c>
      <c r="K60" s="11" t="s">
        <v>149</v>
      </c>
      <c r="L60" s="11" t="s">
        <v>173</v>
      </c>
      <c r="M60" s="11" t="s">
        <v>159</v>
      </c>
      <c r="N60" s="11" t="s">
        <v>142</v>
      </c>
      <c r="O60" s="11" t="s">
        <v>142</v>
      </c>
      <c r="P60" s="11" t="s">
        <v>11</v>
      </c>
      <c r="Q60" s="11" t="s">
        <v>143</v>
      </c>
      <c r="R60" s="11" t="s">
        <v>525</v>
      </c>
    </row>
    <row r="61" ht="15" customHeight="1" spans="1:18" s="10" customFormat="1" x14ac:dyDescent="0.25">
      <c r="A61" s="6">
        <v>60</v>
      </c>
      <c r="B61" s="11" t="s">
        <v>22</v>
      </c>
      <c r="C61" s="5" t="s">
        <v>526</v>
      </c>
      <c r="D61" s="11" t="s">
        <v>521</v>
      </c>
      <c r="E61" s="11" t="s">
        <v>527</v>
      </c>
      <c r="F61" s="11" t="s">
        <v>528</v>
      </c>
      <c r="G61" s="11" t="s">
        <v>524</v>
      </c>
      <c r="H61" s="11" t="s">
        <v>157</v>
      </c>
      <c r="I61" s="6" t="s">
        <v>11</v>
      </c>
      <c r="J61" s="11" t="s">
        <v>45</v>
      </c>
      <c r="K61" s="11" t="s">
        <v>149</v>
      </c>
      <c r="L61" s="11" t="s">
        <v>173</v>
      </c>
      <c r="M61" s="11" t="s">
        <v>159</v>
      </c>
      <c r="N61" s="11" t="s">
        <v>142</v>
      </c>
      <c r="O61" s="11" t="s">
        <v>142</v>
      </c>
      <c r="P61" s="11" t="s">
        <v>11</v>
      </c>
      <c r="Q61" s="11" t="s">
        <v>143</v>
      </c>
      <c r="R61" s="11" t="s">
        <v>525</v>
      </c>
    </row>
    <row r="62" ht="15" customHeight="1" spans="1:18" s="10" customFormat="1" x14ac:dyDescent="0.25">
      <c r="A62" s="6">
        <v>61</v>
      </c>
      <c r="B62" s="11" t="s">
        <v>22</v>
      </c>
      <c r="C62" s="5" t="s">
        <v>529</v>
      </c>
      <c r="D62" s="11" t="s">
        <v>530</v>
      </c>
      <c r="E62" s="11" t="s">
        <v>531</v>
      </c>
      <c r="F62" s="11" t="s">
        <v>532</v>
      </c>
      <c r="G62" s="11" t="s">
        <v>533</v>
      </c>
      <c r="H62" s="11" t="s">
        <v>137</v>
      </c>
      <c r="I62" s="6" t="s">
        <v>11</v>
      </c>
      <c r="J62" s="11" t="s">
        <v>45</v>
      </c>
      <c r="K62" s="11" t="s">
        <v>149</v>
      </c>
      <c r="L62" s="11" t="s">
        <v>281</v>
      </c>
      <c r="M62" s="11" t="s">
        <v>282</v>
      </c>
      <c r="N62" s="11" t="s">
        <v>142</v>
      </c>
      <c r="O62" s="11" t="s">
        <v>142</v>
      </c>
      <c r="P62" s="11" t="s">
        <v>11</v>
      </c>
      <c r="Q62" s="11" t="s">
        <v>143</v>
      </c>
      <c r="R62" s="11" t="s">
        <v>534</v>
      </c>
    </row>
    <row r="63" ht="15" customHeight="1" spans="1:18" s="10" customFormat="1" x14ac:dyDescent="0.25">
      <c r="A63" s="6">
        <v>62</v>
      </c>
      <c r="B63" s="11" t="s">
        <v>22</v>
      </c>
      <c r="C63" s="5" t="s">
        <v>535</v>
      </c>
      <c r="D63" s="11" t="s">
        <v>530</v>
      </c>
      <c r="E63" s="11" t="s">
        <v>536</v>
      </c>
      <c r="F63" s="11" t="s">
        <v>537</v>
      </c>
      <c r="G63" s="11" t="s">
        <v>538</v>
      </c>
      <c r="H63" s="11" t="s">
        <v>137</v>
      </c>
      <c r="I63" s="6" t="s">
        <v>11</v>
      </c>
      <c r="J63" s="11" t="s">
        <v>45</v>
      </c>
      <c r="K63" s="11" t="s">
        <v>149</v>
      </c>
      <c r="L63" s="11" t="s">
        <v>281</v>
      </c>
      <c r="M63" s="11" t="s">
        <v>282</v>
      </c>
      <c r="N63" s="11" t="s">
        <v>142</v>
      </c>
      <c r="O63" s="11" t="s">
        <v>142</v>
      </c>
      <c r="P63" s="11" t="s">
        <v>11</v>
      </c>
      <c r="Q63" s="11" t="s">
        <v>143</v>
      </c>
      <c r="R63" s="11" t="s">
        <v>539</v>
      </c>
    </row>
    <row r="64" ht="87" customHeight="1" spans="1:18" s="10" customFormat="1" x14ac:dyDescent="0.25">
      <c r="A64" s="6">
        <v>63</v>
      </c>
      <c r="B64" s="11" t="s">
        <v>22</v>
      </c>
      <c r="C64" s="5" t="s">
        <v>540</v>
      </c>
      <c r="D64" s="11" t="s">
        <v>530</v>
      </c>
      <c r="E64" s="11" t="s">
        <v>541</v>
      </c>
      <c r="F64" s="11" t="s">
        <v>542</v>
      </c>
      <c r="G64" s="11" t="s">
        <v>543</v>
      </c>
      <c r="H64" s="11" t="s">
        <v>137</v>
      </c>
      <c r="I64" s="6" t="s">
        <v>11</v>
      </c>
      <c r="J64" s="11" t="s">
        <v>45</v>
      </c>
      <c r="K64" s="11" t="s">
        <v>149</v>
      </c>
      <c r="L64" s="11" t="s">
        <v>544</v>
      </c>
      <c r="M64" s="11" t="s">
        <v>255</v>
      </c>
      <c r="N64" s="11" t="s">
        <v>142</v>
      </c>
      <c r="O64" s="11" t="s">
        <v>142</v>
      </c>
      <c r="P64" s="11" t="s">
        <v>11</v>
      </c>
      <c r="Q64" s="11" t="s">
        <v>143</v>
      </c>
      <c r="R64" s="11" t="s">
        <v>545</v>
      </c>
    </row>
    <row r="65" ht="27" customHeight="1" spans="1:18" s="10" customFormat="1" x14ac:dyDescent="0.25">
      <c r="A65" s="6">
        <v>64</v>
      </c>
      <c r="B65" s="11" t="s">
        <v>22</v>
      </c>
      <c r="C65" s="5" t="s">
        <v>546</v>
      </c>
      <c r="D65" s="11" t="s">
        <v>530</v>
      </c>
      <c r="E65" s="11" t="s">
        <v>547</v>
      </c>
      <c r="F65" s="11" t="s">
        <v>548</v>
      </c>
      <c r="G65" s="11" t="s">
        <v>538</v>
      </c>
      <c r="H65" s="11" t="s">
        <v>137</v>
      </c>
      <c r="I65" s="6" t="s">
        <v>11</v>
      </c>
      <c r="J65" s="11" t="s">
        <v>45</v>
      </c>
      <c r="K65" s="11" t="s">
        <v>149</v>
      </c>
      <c r="L65" s="11" t="s">
        <v>281</v>
      </c>
      <c r="M65" s="11" t="s">
        <v>282</v>
      </c>
      <c r="N65" s="11" t="s">
        <v>549</v>
      </c>
      <c r="O65" s="11" t="s">
        <v>142</v>
      </c>
      <c r="P65" s="11" t="s">
        <v>11</v>
      </c>
      <c r="Q65" s="11" t="s">
        <v>143</v>
      </c>
      <c r="R65" s="11" t="s">
        <v>550</v>
      </c>
    </row>
    <row r="66" ht="39" customHeight="1" spans="1:18" s="10" customFormat="1" x14ac:dyDescent="0.25">
      <c r="A66" s="6">
        <v>65</v>
      </c>
      <c r="B66" s="11" t="s">
        <v>22</v>
      </c>
      <c r="C66" s="5" t="s">
        <v>551</v>
      </c>
      <c r="D66" s="11" t="s">
        <v>552</v>
      </c>
      <c r="E66" s="11" t="s">
        <v>553</v>
      </c>
      <c r="F66" s="11" t="s">
        <v>554</v>
      </c>
      <c r="G66" s="11" t="s">
        <v>555</v>
      </c>
      <c r="H66" s="11" t="s">
        <v>137</v>
      </c>
      <c r="I66" s="6" t="s">
        <v>11</v>
      </c>
      <c r="J66" s="11" t="s">
        <v>45</v>
      </c>
      <c r="K66" s="11" t="s">
        <v>149</v>
      </c>
      <c r="L66" s="11" t="s">
        <v>556</v>
      </c>
      <c r="M66" s="11" t="s">
        <v>450</v>
      </c>
      <c r="N66" s="11" t="s">
        <v>142</v>
      </c>
      <c r="O66" s="11" t="s">
        <v>142</v>
      </c>
      <c r="P66" s="11" t="s">
        <v>11</v>
      </c>
      <c r="Q66" s="11" t="s">
        <v>143</v>
      </c>
      <c r="R66" s="11" t="s">
        <v>557</v>
      </c>
    </row>
    <row r="67" ht="75" customHeight="1" spans="1:18" s="10" customFormat="1" x14ac:dyDescent="0.25">
      <c r="A67" s="6">
        <v>66</v>
      </c>
      <c r="B67" s="11" t="s">
        <v>22</v>
      </c>
      <c r="C67" s="5" t="s">
        <v>558</v>
      </c>
      <c r="D67" s="11" t="s">
        <v>552</v>
      </c>
      <c r="E67" s="11" t="s">
        <v>559</v>
      </c>
      <c r="F67" s="11" t="s">
        <v>560</v>
      </c>
      <c r="G67" s="11" t="s">
        <v>561</v>
      </c>
      <c r="H67" s="11" t="s">
        <v>137</v>
      </c>
      <c r="I67" s="6" t="s">
        <v>11</v>
      </c>
      <c r="J67" s="11" t="s">
        <v>45</v>
      </c>
      <c r="K67" s="11" t="s">
        <v>149</v>
      </c>
      <c r="L67" s="11" t="s">
        <v>562</v>
      </c>
      <c r="M67" s="11" t="s">
        <v>159</v>
      </c>
      <c r="N67" s="11" t="s">
        <v>142</v>
      </c>
      <c r="O67" s="11" t="s">
        <v>142</v>
      </c>
      <c r="P67" s="11" t="s">
        <v>11</v>
      </c>
      <c r="Q67" s="11" t="s">
        <v>143</v>
      </c>
      <c r="R67" s="11" t="s">
        <v>563</v>
      </c>
    </row>
    <row r="68" ht="27" customHeight="1" spans="1:18" s="10" customFormat="1" x14ac:dyDescent="0.25">
      <c r="A68" s="6">
        <v>67</v>
      </c>
      <c r="B68" s="11" t="s">
        <v>22</v>
      </c>
      <c r="C68" s="5" t="s">
        <v>564</v>
      </c>
      <c r="D68" s="11" t="s">
        <v>552</v>
      </c>
      <c r="E68" s="11" t="s">
        <v>565</v>
      </c>
      <c r="F68" s="11" t="s">
        <v>566</v>
      </c>
      <c r="G68" s="11" t="s">
        <v>156</v>
      </c>
      <c r="H68" s="11" t="s">
        <v>137</v>
      </c>
      <c r="I68" s="6" t="s">
        <v>11</v>
      </c>
      <c r="J68" s="11" t="s">
        <v>45</v>
      </c>
      <c r="K68" s="11" t="s">
        <v>149</v>
      </c>
      <c r="L68" s="11" t="s">
        <v>567</v>
      </c>
      <c r="M68" s="11" t="s">
        <v>311</v>
      </c>
      <c r="N68" s="11" t="s">
        <v>568</v>
      </c>
      <c r="O68" s="11" t="s">
        <v>142</v>
      </c>
      <c r="P68" s="11" t="s">
        <v>11</v>
      </c>
      <c r="Q68" s="11" t="s">
        <v>143</v>
      </c>
      <c r="R68" s="11" t="s">
        <v>569</v>
      </c>
    </row>
    <row r="69" ht="27" customHeight="1" spans="1:18" s="10" customFormat="1" x14ac:dyDescent="0.25">
      <c r="A69" s="6">
        <v>68</v>
      </c>
      <c r="B69" s="11" t="s">
        <v>22</v>
      </c>
      <c r="C69" s="5" t="s">
        <v>570</v>
      </c>
      <c r="D69" s="11" t="s">
        <v>552</v>
      </c>
      <c r="E69" s="11" t="s">
        <v>571</v>
      </c>
      <c r="F69" s="11" t="s">
        <v>572</v>
      </c>
      <c r="G69" s="11" t="s">
        <v>573</v>
      </c>
      <c r="H69" s="11" t="s">
        <v>157</v>
      </c>
      <c r="I69" s="6" t="s">
        <v>11</v>
      </c>
      <c r="J69" s="11" t="s">
        <v>45</v>
      </c>
      <c r="K69" s="11" t="s">
        <v>149</v>
      </c>
      <c r="L69" s="11" t="s">
        <v>574</v>
      </c>
      <c r="M69" s="11" t="s">
        <v>159</v>
      </c>
      <c r="N69" s="11" t="s">
        <v>142</v>
      </c>
      <c r="O69" s="11" t="s">
        <v>142</v>
      </c>
      <c r="P69" s="11" t="s">
        <v>11</v>
      </c>
      <c r="Q69" s="11" t="s">
        <v>143</v>
      </c>
      <c r="R69" s="11" t="s">
        <v>575</v>
      </c>
    </row>
    <row r="70" ht="39" customHeight="1" spans="1:18" s="10" customFormat="1" x14ac:dyDescent="0.25">
      <c r="A70" s="6">
        <v>69</v>
      </c>
      <c r="B70" s="11" t="s">
        <v>22</v>
      </c>
      <c r="C70" s="5" t="s">
        <v>576</v>
      </c>
      <c r="D70" s="11" t="s">
        <v>577</v>
      </c>
      <c r="E70" s="11" t="s">
        <v>578</v>
      </c>
      <c r="F70" s="11" t="s">
        <v>579</v>
      </c>
      <c r="G70" s="11" t="s">
        <v>555</v>
      </c>
      <c r="H70" s="11" t="s">
        <v>137</v>
      </c>
      <c r="I70" s="6" t="s">
        <v>11</v>
      </c>
      <c r="J70" s="11" t="s">
        <v>45</v>
      </c>
      <c r="K70" s="11" t="s">
        <v>149</v>
      </c>
      <c r="L70" s="11" t="s">
        <v>158</v>
      </c>
      <c r="M70" s="11" t="s">
        <v>159</v>
      </c>
      <c r="N70" s="11" t="s">
        <v>142</v>
      </c>
      <c r="O70" s="11" t="s">
        <v>142</v>
      </c>
      <c r="P70" s="11" t="s">
        <v>11</v>
      </c>
      <c r="Q70" s="11" t="s">
        <v>143</v>
      </c>
      <c r="R70" s="11" t="s">
        <v>580</v>
      </c>
    </row>
    <row r="71" ht="39" customHeight="1" spans="1:18" s="10" customFormat="1" x14ac:dyDescent="0.25">
      <c r="A71" s="6">
        <v>70</v>
      </c>
      <c r="B71" s="11" t="s">
        <v>22</v>
      </c>
      <c r="C71" s="5" t="s">
        <v>581</v>
      </c>
      <c r="D71" s="11" t="s">
        <v>582</v>
      </c>
      <c r="E71" s="11" t="s">
        <v>583</v>
      </c>
      <c r="F71" s="11" t="s">
        <v>584</v>
      </c>
      <c r="G71" s="11" t="s">
        <v>585</v>
      </c>
      <c r="H71" s="11" t="s">
        <v>137</v>
      </c>
      <c r="I71" s="6" t="s">
        <v>11</v>
      </c>
      <c r="J71" s="11" t="s">
        <v>45</v>
      </c>
      <c r="K71" s="11" t="s">
        <v>149</v>
      </c>
      <c r="L71" s="11" t="s">
        <v>586</v>
      </c>
      <c r="M71" s="11" t="s">
        <v>587</v>
      </c>
      <c r="N71" s="11" t="s">
        <v>142</v>
      </c>
      <c r="O71" s="11" t="s">
        <v>142</v>
      </c>
      <c r="P71" s="11" t="s">
        <v>11</v>
      </c>
      <c r="Q71" s="11" t="s">
        <v>143</v>
      </c>
      <c r="R71" s="11" t="s">
        <v>588</v>
      </c>
    </row>
    <row r="72" ht="39" customHeight="1" spans="1:18" s="10" customFormat="1" x14ac:dyDescent="0.25">
      <c r="A72" s="6">
        <v>71</v>
      </c>
      <c r="B72" s="11" t="s">
        <v>22</v>
      </c>
      <c r="C72" s="5" t="s">
        <v>589</v>
      </c>
      <c r="D72" s="11" t="s">
        <v>582</v>
      </c>
      <c r="E72" s="11" t="s">
        <v>590</v>
      </c>
      <c r="F72" s="11" t="s">
        <v>591</v>
      </c>
      <c r="G72" s="11" t="s">
        <v>142</v>
      </c>
      <c r="H72" s="11" t="s">
        <v>137</v>
      </c>
      <c r="I72" s="6" t="s">
        <v>11</v>
      </c>
      <c r="J72" s="11" t="s">
        <v>45</v>
      </c>
      <c r="K72" s="11" t="s">
        <v>149</v>
      </c>
      <c r="L72" s="11" t="s">
        <v>592</v>
      </c>
      <c r="M72" s="11" t="s">
        <v>593</v>
      </c>
      <c r="N72" s="11" t="s">
        <v>142</v>
      </c>
      <c r="O72" s="11" t="s">
        <v>142</v>
      </c>
      <c r="P72" s="11" t="s">
        <v>11</v>
      </c>
      <c r="Q72" s="11" t="s">
        <v>143</v>
      </c>
      <c r="R72" s="11" t="s">
        <v>142</v>
      </c>
    </row>
    <row r="73" ht="51" customHeight="1" spans="1:18" s="10" customFormat="1" x14ac:dyDescent="0.25">
      <c r="A73" s="6">
        <v>72</v>
      </c>
      <c r="B73" s="11" t="s">
        <v>22</v>
      </c>
      <c r="C73" s="5" t="s">
        <v>594</v>
      </c>
      <c r="D73" s="11" t="s">
        <v>595</v>
      </c>
      <c r="E73" s="11" t="s">
        <v>596</v>
      </c>
      <c r="F73" s="11" t="s">
        <v>597</v>
      </c>
      <c r="G73" s="11" t="s">
        <v>598</v>
      </c>
      <c r="H73" s="11" t="s">
        <v>137</v>
      </c>
      <c r="I73" s="6" t="s">
        <v>11</v>
      </c>
      <c r="J73" s="11" t="s">
        <v>46</v>
      </c>
      <c r="K73" s="11" t="s">
        <v>599</v>
      </c>
      <c r="L73" s="11" t="s">
        <v>600</v>
      </c>
      <c r="M73" s="11" t="s">
        <v>601</v>
      </c>
      <c r="N73" s="11" t="s">
        <v>602</v>
      </c>
      <c r="O73" s="11" t="s">
        <v>142</v>
      </c>
      <c r="P73" s="11" t="s">
        <v>11</v>
      </c>
      <c r="Q73" s="11" t="s">
        <v>143</v>
      </c>
      <c r="R73" s="11" t="s">
        <v>603</v>
      </c>
    </row>
    <row r="74" ht="27" customHeight="1" spans="1:18" s="10" customFormat="1" x14ac:dyDescent="0.25">
      <c r="A74" s="6">
        <v>73</v>
      </c>
      <c r="B74" s="11" t="s">
        <v>22</v>
      </c>
      <c r="C74" s="5" t="s">
        <v>604</v>
      </c>
      <c r="D74" s="11" t="s">
        <v>595</v>
      </c>
      <c r="E74" s="11" t="s">
        <v>605</v>
      </c>
      <c r="F74" s="11" t="s">
        <v>606</v>
      </c>
      <c r="G74" s="11" t="s">
        <v>607</v>
      </c>
      <c r="H74" s="11" t="s">
        <v>137</v>
      </c>
      <c r="I74" s="6" t="s">
        <v>11</v>
      </c>
      <c r="J74" s="11" t="s">
        <v>46</v>
      </c>
      <c r="K74" s="11" t="s">
        <v>608</v>
      </c>
      <c r="L74" s="11" t="s">
        <v>609</v>
      </c>
      <c r="M74" s="11" t="s">
        <v>335</v>
      </c>
      <c r="N74" s="11" t="s">
        <v>610</v>
      </c>
      <c r="O74" s="11" t="s">
        <v>337</v>
      </c>
      <c r="P74" s="11" t="s">
        <v>11</v>
      </c>
      <c r="Q74" s="11" t="s">
        <v>143</v>
      </c>
      <c r="R74" s="11" t="s">
        <v>611</v>
      </c>
    </row>
    <row r="75" ht="39" customHeight="1" spans="1:18" s="10" customFormat="1" x14ac:dyDescent="0.25">
      <c r="A75" s="6">
        <v>74</v>
      </c>
      <c r="B75" s="11" t="s">
        <v>22</v>
      </c>
      <c r="C75" s="5" t="s">
        <v>612</v>
      </c>
      <c r="D75" s="11" t="s">
        <v>595</v>
      </c>
      <c r="E75" s="11" t="s">
        <v>613</v>
      </c>
      <c r="F75" s="11" t="s">
        <v>614</v>
      </c>
      <c r="G75" s="11" t="s">
        <v>615</v>
      </c>
      <c r="H75" s="11" t="s">
        <v>157</v>
      </c>
      <c r="I75" s="6" t="s">
        <v>11</v>
      </c>
      <c r="J75" s="11" t="s">
        <v>46</v>
      </c>
      <c r="K75" s="11" t="s">
        <v>616</v>
      </c>
      <c r="L75" s="11" t="s">
        <v>617</v>
      </c>
      <c r="M75" s="11" t="s">
        <v>297</v>
      </c>
      <c r="N75" s="11" t="s">
        <v>618</v>
      </c>
      <c r="O75" s="11" t="s">
        <v>619</v>
      </c>
      <c r="P75" s="11" t="s">
        <v>11</v>
      </c>
      <c r="Q75" s="11" t="s">
        <v>143</v>
      </c>
      <c r="R75" s="11" t="s">
        <v>620</v>
      </c>
    </row>
    <row r="76" ht="39" customHeight="1" spans="1:18" s="10" customFormat="1" x14ac:dyDescent="0.25">
      <c r="A76" s="6">
        <v>75</v>
      </c>
      <c r="B76" s="11" t="s">
        <v>23</v>
      </c>
      <c r="C76" s="5" t="s">
        <v>621</v>
      </c>
      <c r="D76" s="11" t="s">
        <v>622</v>
      </c>
      <c r="E76" s="11" t="s">
        <v>623</v>
      </c>
      <c r="F76" s="11" t="s">
        <v>624</v>
      </c>
      <c r="G76" s="11" t="s">
        <v>142</v>
      </c>
      <c r="H76" s="11" t="s">
        <v>142</v>
      </c>
      <c r="I76" s="6" t="s">
        <v>11</v>
      </c>
      <c r="J76" s="11" t="s">
        <v>46</v>
      </c>
      <c r="K76" s="11" t="s">
        <v>625</v>
      </c>
      <c r="L76" s="11" t="s">
        <v>626</v>
      </c>
      <c r="M76" s="11" t="s">
        <v>627</v>
      </c>
      <c r="N76" s="11" t="s">
        <v>628</v>
      </c>
      <c r="O76" s="11" t="s">
        <v>337</v>
      </c>
      <c r="P76" s="11" t="s">
        <v>11</v>
      </c>
      <c r="Q76" s="11" t="s">
        <v>143</v>
      </c>
      <c r="R76" s="11" t="s">
        <v>629</v>
      </c>
    </row>
    <row r="77" ht="27" customHeight="1" spans="1:18" s="10" customFormat="1" x14ac:dyDescent="0.25">
      <c r="A77" s="6">
        <v>76</v>
      </c>
      <c r="B77" s="11" t="s">
        <v>23</v>
      </c>
      <c r="C77" s="5" t="s">
        <v>630</v>
      </c>
      <c r="D77" s="11" t="s">
        <v>631</v>
      </c>
      <c r="E77" s="11" t="s">
        <v>632</v>
      </c>
      <c r="F77" s="11" t="s">
        <v>633</v>
      </c>
      <c r="G77" s="11" t="s">
        <v>142</v>
      </c>
      <c r="H77" s="11" t="s">
        <v>142</v>
      </c>
      <c r="I77" s="6" t="s">
        <v>11</v>
      </c>
      <c r="J77" s="11" t="s">
        <v>45</v>
      </c>
      <c r="K77" s="11" t="s">
        <v>149</v>
      </c>
      <c r="L77" s="11" t="s">
        <v>634</v>
      </c>
      <c r="M77" s="11" t="s">
        <v>635</v>
      </c>
      <c r="N77" s="11" t="s">
        <v>142</v>
      </c>
      <c r="O77" s="11" t="s">
        <v>142</v>
      </c>
      <c r="P77" s="11" t="s">
        <v>11</v>
      </c>
      <c r="Q77" s="11" t="s">
        <v>143</v>
      </c>
      <c r="R77" s="11" t="s">
        <v>386</v>
      </c>
    </row>
    <row r="78" ht="39" customHeight="1" spans="1:18" s="10" customFormat="1" x14ac:dyDescent="0.25">
      <c r="A78" s="6">
        <v>77</v>
      </c>
      <c r="B78" s="11" t="s">
        <v>23</v>
      </c>
      <c r="C78" s="5" t="s">
        <v>636</v>
      </c>
      <c r="D78" s="11" t="s">
        <v>637</v>
      </c>
      <c r="E78" s="11" t="s">
        <v>638</v>
      </c>
      <c r="F78" s="11" t="s">
        <v>639</v>
      </c>
      <c r="G78" s="11" t="s">
        <v>142</v>
      </c>
      <c r="H78" s="11" t="s">
        <v>142</v>
      </c>
      <c r="I78" s="6" t="s">
        <v>11</v>
      </c>
      <c r="J78" s="11" t="s">
        <v>45</v>
      </c>
      <c r="K78" s="11" t="s">
        <v>149</v>
      </c>
      <c r="L78" s="11" t="s">
        <v>640</v>
      </c>
      <c r="M78" s="11" t="s">
        <v>641</v>
      </c>
      <c r="N78" s="11" t="s">
        <v>642</v>
      </c>
      <c r="O78" s="11" t="s">
        <v>142</v>
      </c>
      <c r="P78" s="11" t="s">
        <v>11</v>
      </c>
      <c r="Q78" s="11" t="s">
        <v>143</v>
      </c>
      <c r="R78" s="11" t="s">
        <v>413</v>
      </c>
    </row>
    <row r="79" ht="27" customHeight="1" spans="1:18" s="10" customFormat="1" x14ac:dyDescent="0.25">
      <c r="A79" s="6">
        <v>78</v>
      </c>
      <c r="B79" s="11" t="s">
        <v>23</v>
      </c>
      <c r="C79" s="5" t="s">
        <v>643</v>
      </c>
      <c r="D79" s="11" t="s">
        <v>644</v>
      </c>
      <c r="E79" s="11" t="s">
        <v>645</v>
      </c>
      <c r="F79" s="11" t="s">
        <v>646</v>
      </c>
      <c r="G79" s="11" t="s">
        <v>142</v>
      </c>
      <c r="H79" s="11" t="s">
        <v>142</v>
      </c>
      <c r="I79" s="6" t="s">
        <v>11</v>
      </c>
      <c r="J79" s="11" t="s">
        <v>45</v>
      </c>
      <c r="K79" s="11" t="s">
        <v>149</v>
      </c>
      <c r="L79" s="11" t="s">
        <v>173</v>
      </c>
      <c r="M79" s="11" t="s">
        <v>159</v>
      </c>
      <c r="N79" s="11" t="s">
        <v>142</v>
      </c>
      <c r="O79" s="11" t="s">
        <v>142</v>
      </c>
      <c r="P79" s="11" t="s">
        <v>11</v>
      </c>
      <c r="Q79" s="11" t="s">
        <v>143</v>
      </c>
      <c r="R79" s="11" t="s">
        <v>647</v>
      </c>
    </row>
    <row r="80" ht="39" customHeight="1" spans="1:18" s="10" customFormat="1" x14ac:dyDescent="0.25">
      <c r="A80" s="6">
        <v>79</v>
      </c>
      <c r="B80" s="11" t="s">
        <v>23</v>
      </c>
      <c r="C80" s="5" t="s">
        <v>648</v>
      </c>
      <c r="D80" s="11" t="s">
        <v>649</v>
      </c>
      <c r="E80" s="11" t="s">
        <v>388</v>
      </c>
      <c r="F80" s="11" t="s">
        <v>650</v>
      </c>
      <c r="G80" s="11" t="s">
        <v>651</v>
      </c>
      <c r="H80" s="11" t="s">
        <v>142</v>
      </c>
      <c r="I80" s="6" t="s">
        <v>11</v>
      </c>
      <c r="J80" s="11" t="s">
        <v>45</v>
      </c>
      <c r="K80" s="11" t="s">
        <v>149</v>
      </c>
      <c r="L80" s="11" t="s">
        <v>652</v>
      </c>
      <c r="M80" s="11" t="s">
        <v>653</v>
      </c>
      <c r="N80" s="11" t="s">
        <v>654</v>
      </c>
      <c r="O80" s="11" t="s">
        <v>142</v>
      </c>
      <c r="P80" s="11" t="s">
        <v>11</v>
      </c>
      <c r="Q80" s="11" t="s">
        <v>143</v>
      </c>
      <c r="R80" s="11" t="s">
        <v>655</v>
      </c>
    </row>
    <row r="81" ht="27" customHeight="1" spans="1:18" s="10" customFormat="1" x14ac:dyDescent="0.25">
      <c r="A81" s="6">
        <v>80</v>
      </c>
      <c r="B81" s="11" t="s">
        <v>23</v>
      </c>
      <c r="C81" s="5" t="s">
        <v>656</v>
      </c>
      <c r="D81" s="11" t="s">
        <v>657</v>
      </c>
      <c r="E81" s="11" t="s">
        <v>453</v>
      </c>
      <c r="F81" s="11" t="s">
        <v>658</v>
      </c>
      <c r="G81" s="11" t="s">
        <v>659</v>
      </c>
      <c r="H81" s="11" t="s">
        <v>142</v>
      </c>
      <c r="I81" s="6" t="s">
        <v>11</v>
      </c>
      <c r="J81" s="11" t="s">
        <v>45</v>
      </c>
      <c r="K81" s="11" t="s">
        <v>149</v>
      </c>
      <c r="L81" s="11" t="s">
        <v>660</v>
      </c>
      <c r="M81" s="11" t="s">
        <v>661</v>
      </c>
      <c r="N81" s="11" t="s">
        <v>142</v>
      </c>
      <c r="O81" s="11" t="s">
        <v>142</v>
      </c>
      <c r="P81" s="11" t="s">
        <v>11</v>
      </c>
      <c r="Q81" s="11" t="s">
        <v>143</v>
      </c>
      <c r="R81" s="11" t="s">
        <v>461</v>
      </c>
    </row>
    <row r="82" ht="39" customHeight="1" spans="1:18" s="10" customFormat="1" x14ac:dyDescent="0.25">
      <c r="A82" s="6">
        <v>81</v>
      </c>
      <c r="B82" s="11" t="s">
        <v>23</v>
      </c>
      <c r="C82" s="5" t="s">
        <v>662</v>
      </c>
      <c r="D82" s="11" t="s">
        <v>663</v>
      </c>
      <c r="E82" s="11" t="s">
        <v>664</v>
      </c>
      <c r="F82" s="11" t="s">
        <v>665</v>
      </c>
      <c r="G82" s="11" t="s">
        <v>507</v>
      </c>
      <c r="H82" s="11" t="s">
        <v>142</v>
      </c>
      <c r="I82" s="6" t="s">
        <v>11</v>
      </c>
      <c r="J82" s="11" t="s">
        <v>45</v>
      </c>
      <c r="K82" s="11" t="s">
        <v>149</v>
      </c>
      <c r="L82" s="11" t="s">
        <v>666</v>
      </c>
      <c r="M82" s="11" t="s">
        <v>509</v>
      </c>
      <c r="N82" s="11" t="s">
        <v>667</v>
      </c>
      <c r="O82" s="11" t="s">
        <v>142</v>
      </c>
      <c r="P82" s="11" t="s">
        <v>11</v>
      </c>
      <c r="Q82" s="11" t="s">
        <v>143</v>
      </c>
      <c r="R82" s="11" t="s">
        <v>668</v>
      </c>
    </row>
    <row r="83" ht="75" customHeight="1" spans="1:18" s="10" customFormat="1" x14ac:dyDescent="0.25">
      <c r="A83" s="6">
        <v>82</v>
      </c>
      <c r="B83" s="11" t="s">
        <v>23</v>
      </c>
      <c r="C83" s="5" t="s">
        <v>669</v>
      </c>
      <c r="D83" s="11" t="s">
        <v>670</v>
      </c>
      <c r="E83" s="11" t="s">
        <v>671</v>
      </c>
      <c r="F83" s="11" t="s">
        <v>672</v>
      </c>
      <c r="G83" s="11" t="s">
        <v>673</v>
      </c>
      <c r="H83" s="11" t="s">
        <v>142</v>
      </c>
      <c r="I83" s="6" t="s">
        <v>11</v>
      </c>
      <c r="J83" s="11" t="s">
        <v>45</v>
      </c>
      <c r="K83" s="11" t="s">
        <v>149</v>
      </c>
      <c r="L83" s="11" t="s">
        <v>674</v>
      </c>
      <c r="M83" s="11" t="s">
        <v>675</v>
      </c>
      <c r="N83" s="11" t="s">
        <v>142</v>
      </c>
      <c r="O83" s="11" t="s">
        <v>142</v>
      </c>
      <c r="P83" s="11" t="s">
        <v>11</v>
      </c>
      <c r="Q83" s="11" t="s">
        <v>143</v>
      </c>
      <c r="R83" s="11" t="s">
        <v>676</v>
      </c>
    </row>
    <row r="84" ht="27" customHeight="1" spans="1:18" s="10" customFormat="1" x14ac:dyDescent="0.25">
      <c r="A84" s="6">
        <v>83</v>
      </c>
      <c r="B84" s="11" t="s">
        <v>23</v>
      </c>
      <c r="C84" s="5" t="s">
        <v>677</v>
      </c>
      <c r="D84" s="11" t="s">
        <v>631</v>
      </c>
      <c r="E84" s="11" t="s">
        <v>678</v>
      </c>
      <c r="F84" s="11" t="s">
        <v>679</v>
      </c>
      <c r="G84" s="11" t="s">
        <v>481</v>
      </c>
      <c r="H84" s="11" t="s">
        <v>142</v>
      </c>
      <c r="I84" s="6" t="s">
        <v>11</v>
      </c>
      <c r="J84" s="11" t="s">
        <v>45</v>
      </c>
      <c r="K84" s="11" t="s">
        <v>149</v>
      </c>
      <c r="L84" s="11" t="s">
        <v>158</v>
      </c>
      <c r="M84" s="11" t="s">
        <v>159</v>
      </c>
      <c r="N84" s="11" t="s">
        <v>142</v>
      </c>
      <c r="O84" s="11" t="s">
        <v>142</v>
      </c>
      <c r="P84" s="11" t="s">
        <v>11</v>
      </c>
      <c r="Q84" s="11" t="s">
        <v>143</v>
      </c>
      <c r="R84" s="11" t="s">
        <v>680</v>
      </c>
    </row>
    <row r="85" ht="27" customHeight="1" spans="1:18" s="10" customFormat="1" x14ac:dyDescent="0.25">
      <c r="A85" s="6">
        <v>84</v>
      </c>
      <c r="B85" s="11" t="s">
        <v>23</v>
      </c>
      <c r="C85" s="5" t="s">
        <v>681</v>
      </c>
      <c r="D85" s="11" t="s">
        <v>682</v>
      </c>
      <c r="E85" s="11" t="s">
        <v>683</v>
      </c>
      <c r="F85" s="11" t="s">
        <v>684</v>
      </c>
      <c r="G85" s="11" t="s">
        <v>538</v>
      </c>
      <c r="H85" s="11" t="s">
        <v>142</v>
      </c>
      <c r="I85" s="6" t="s">
        <v>11</v>
      </c>
      <c r="J85" s="11" t="s">
        <v>45</v>
      </c>
      <c r="K85" s="11" t="s">
        <v>149</v>
      </c>
      <c r="L85" s="11" t="s">
        <v>281</v>
      </c>
      <c r="M85" s="11" t="s">
        <v>282</v>
      </c>
      <c r="N85" s="11" t="s">
        <v>142</v>
      </c>
      <c r="O85" s="11" t="s">
        <v>142</v>
      </c>
      <c r="P85" s="11" t="s">
        <v>11</v>
      </c>
      <c r="Q85" s="11" t="s">
        <v>143</v>
      </c>
      <c r="R85" s="11" t="s">
        <v>685</v>
      </c>
    </row>
    <row r="86" ht="27" customHeight="1" spans="1:18" s="10" customFormat="1" x14ac:dyDescent="0.25">
      <c r="A86" s="6">
        <v>85</v>
      </c>
      <c r="B86" s="11" t="s">
        <v>24</v>
      </c>
      <c r="C86" s="5" t="s">
        <v>686</v>
      </c>
      <c r="D86" s="11" t="s">
        <v>582</v>
      </c>
      <c r="E86" s="11" t="s">
        <v>687</v>
      </c>
      <c r="F86" s="11" t="s">
        <v>688</v>
      </c>
      <c r="G86" s="11" t="s">
        <v>142</v>
      </c>
      <c r="H86" s="11" t="s">
        <v>142</v>
      </c>
      <c r="I86" s="6" t="s">
        <v>11</v>
      </c>
      <c r="J86" s="11" t="s">
        <v>45</v>
      </c>
      <c r="K86" s="11" t="s">
        <v>149</v>
      </c>
      <c r="L86" s="11" t="s">
        <v>250</v>
      </c>
      <c r="M86" s="11" t="s">
        <v>250</v>
      </c>
      <c r="N86" s="11" t="s">
        <v>142</v>
      </c>
      <c r="O86" s="11" t="s">
        <v>142</v>
      </c>
      <c r="P86" s="11" t="s">
        <v>11</v>
      </c>
      <c r="Q86" s="11" t="s">
        <v>143</v>
      </c>
      <c r="R86" s="11" t="s">
        <v>142</v>
      </c>
    </row>
    <row r="87" ht="27" customHeight="1" spans="1:18" s="10" customFormat="1" x14ac:dyDescent="0.25">
      <c r="A87" s="6">
        <v>86</v>
      </c>
      <c r="B87" s="11" t="s">
        <v>24</v>
      </c>
      <c r="C87" s="5" t="s">
        <v>689</v>
      </c>
      <c r="D87" s="11" t="s">
        <v>582</v>
      </c>
      <c r="E87" s="11" t="s">
        <v>690</v>
      </c>
      <c r="F87" s="11" t="s">
        <v>691</v>
      </c>
      <c r="G87" s="11" t="s">
        <v>142</v>
      </c>
      <c r="H87" s="11" t="s">
        <v>142</v>
      </c>
      <c r="I87" s="6" t="s">
        <v>11</v>
      </c>
      <c r="J87" s="11" t="s">
        <v>45</v>
      </c>
      <c r="K87" s="11" t="s">
        <v>149</v>
      </c>
      <c r="L87" s="11" t="s">
        <v>359</v>
      </c>
      <c r="M87" s="11" t="s">
        <v>311</v>
      </c>
      <c r="N87" s="11" t="s">
        <v>142</v>
      </c>
      <c r="O87" s="11" t="s">
        <v>142</v>
      </c>
      <c r="P87" s="11" t="s">
        <v>11</v>
      </c>
      <c r="Q87" s="11" t="s">
        <v>143</v>
      </c>
      <c r="R87" s="11" t="s">
        <v>692</v>
      </c>
    </row>
    <row r="88" ht="27" customHeight="1" spans="1:18" s="10" customFormat="1" x14ac:dyDescent="0.25">
      <c r="A88" s="6">
        <v>87</v>
      </c>
      <c r="B88" s="11" t="s">
        <v>24</v>
      </c>
      <c r="C88" s="5" t="s">
        <v>693</v>
      </c>
      <c r="D88" s="11" t="s">
        <v>582</v>
      </c>
      <c r="E88" s="11" t="s">
        <v>694</v>
      </c>
      <c r="F88" s="11" t="s">
        <v>695</v>
      </c>
      <c r="G88" s="11" t="s">
        <v>696</v>
      </c>
      <c r="H88" s="11" t="s">
        <v>142</v>
      </c>
      <c r="I88" s="6" t="s">
        <v>11</v>
      </c>
      <c r="J88" s="11" t="s">
        <v>46</v>
      </c>
      <c r="K88" s="11" t="s">
        <v>697</v>
      </c>
      <c r="L88" s="11" t="s">
        <v>698</v>
      </c>
      <c r="M88" s="11" t="s">
        <v>335</v>
      </c>
      <c r="N88" s="11" t="s">
        <v>142</v>
      </c>
      <c r="O88" s="11" t="s">
        <v>142</v>
      </c>
      <c r="P88" s="11" t="s">
        <v>11</v>
      </c>
      <c r="Q88" s="11" t="s">
        <v>143</v>
      </c>
      <c r="R88" s="11" t="s">
        <v>699</v>
      </c>
    </row>
    <row r="89" ht="27" customHeight="1" spans="1:18" s="10" customFormat="1" x14ac:dyDescent="0.25">
      <c r="A89" s="6">
        <v>88</v>
      </c>
      <c r="B89" s="11" t="s">
        <v>24</v>
      </c>
      <c r="C89" s="5" t="s">
        <v>700</v>
      </c>
      <c r="D89" s="11" t="s">
        <v>582</v>
      </c>
      <c r="E89" s="11" t="s">
        <v>701</v>
      </c>
      <c r="F89" s="11" t="s">
        <v>702</v>
      </c>
      <c r="G89" s="11" t="s">
        <v>142</v>
      </c>
      <c r="H89" s="11" t="s">
        <v>142</v>
      </c>
      <c r="I89" s="6" t="s">
        <v>11</v>
      </c>
      <c r="J89" s="11" t="s">
        <v>45</v>
      </c>
      <c r="K89" s="11" t="s">
        <v>149</v>
      </c>
      <c r="L89" s="11" t="s">
        <v>703</v>
      </c>
      <c r="M89" s="11" t="s">
        <v>229</v>
      </c>
      <c r="N89" s="11" t="s">
        <v>142</v>
      </c>
      <c r="O89" s="11" t="s">
        <v>142</v>
      </c>
      <c r="P89" s="11" t="s">
        <v>11</v>
      </c>
      <c r="Q89" s="11" t="s">
        <v>143</v>
      </c>
      <c r="R89" s="11" t="s">
        <v>142</v>
      </c>
    </row>
    <row r="90" ht="27" customHeight="1" spans="1:18" s="10" customFormat="1" x14ac:dyDescent="0.25">
      <c r="A90" s="6">
        <v>89</v>
      </c>
      <c r="B90" s="11" t="s">
        <v>24</v>
      </c>
      <c r="C90" s="5" t="s">
        <v>704</v>
      </c>
      <c r="D90" s="11" t="s">
        <v>582</v>
      </c>
      <c r="E90" s="11" t="s">
        <v>705</v>
      </c>
      <c r="F90" s="11" t="s">
        <v>706</v>
      </c>
      <c r="G90" s="11" t="s">
        <v>222</v>
      </c>
      <c r="H90" s="11" t="s">
        <v>142</v>
      </c>
      <c r="I90" s="6" t="s">
        <v>11</v>
      </c>
      <c r="J90" s="11" t="s">
        <v>45</v>
      </c>
      <c r="K90" s="11" t="s">
        <v>149</v>
      </c>
      <c r="L90" s="11" t="s">
        <v>250</v>
      </c>
      <c r="M90" s="11" t="s">
        <v>250</v>
      </c>
      <c r="N90" s="11" t="s">
        <v>142</v>
      </c>
      <c r="O90" s="11" t="s">
        <v>142</v>
      </c>
      <c r="P90" s="11" t="s">
        <v>11</v>
      </c>
      <c r="Q90" s="11" t="s">
        <v>143</v>
      </c>
      <c r="R90" s="11" t="s">
        <v>142</v>
      </c>
    </row>
    <row r="91" ht="15" customHeight="1" spans="1:18" s="10" customFormat="1" x14ac:dyDescent="0.25">
      <c r="A91" s="6">
        <v>90</v>
      </c>
      <c r="B91" s="11" t="s">
        <v>24</v>
      </c>
      <c r="C91" s="5" t="s">
        <v>707</v>
      </c>
      <c r="D91" s="11" t="s">
        <v>582</v>
      </c>
      <c r="E91" s="11" t="s">
        <v>708</v>
      </c>
      <c r="F91" s="11" t="s">
        <v>709</v>
      </c>
      <c r="G91" s="11" t="s">
        <v>673</v>
      </c>
      <c r="H91" s="11" t="s">
        <v>142</v>
      </c>
      <c r="I91" s="6" t="s">
        <v>11</v>
      </c>
      <c r="J91" s="11" t="s">
        <v>45</v>
      </c>
      <c r="K91" s="11" t="s">
        <v>149</v>
      </c>
      <c r="L91" s="11" t="s">
        <v>250</v>
      </c>
      <c r="M91" s="11" t="s">
        <v>250</v>
      </c>
      <c r="N91" s="11" t="s">
        <v>142</v>
      </c>
      <c r="O91" s="11" t="s">
        <v>142</v>
      </c>
      <c r="P91" s="11" t="s">
        <v>11</v>
      </c>
      <c r="Q91" s="11" t="s">
        <v>143</v>
      </c>
      <c r="R91" s="11" t="s">
        <v>142</v>
      </c>
    </row>
    <row r="92" ht="63" customHeight="1" spans="1:18" s="10" customFormat="1" x14ac:dyDescent="0.25">
      <c r="A92" s="6">
        <v>91</v>
      </c>
      <c r="B92" s="11" t="s">
        <v>24</v>
      </c>
      <c r="C92" s="5" t="s">
        <v>710</v>
      </c>
      <c r="D92" s="11" t="s">
        <v>582</v>
      </c>
      <c r="E92" s="11" t="s">
        <v>711</v>
      </c>
      <c r="F92" s="11" t="s">
        <v>712</v>
      </c>
      <c r="G92" s="11" t="s">
        <v>400</v>
      </c>
      <c r="H92" s="11" t="s">
        <v>142</v>
      </c>
      <c r="I92" s="6" t="s">
        <v>11</v>
      </c>
      <c r="J92" s="11" t="s">
        <v>45</v>
      </c>
      <c r="K92" s="11" t="s">
        <v>149</v>
      </c>
      <c r="L92" s="11" t="s">
        <v>713</v>
      </c>
      <c r="M92" s="11" t="s">
        <v>211</v>
      </c>
      <c r="N92" s="11" t="s">
        <v>142</v>
      </c>
      <c r="O92" s="11" t="s">
        <v>142</v>
      </c>
      <c r="P92" s="11" t="s">
        <v>11</v>
      </c>
      <c r="Q92" s="11" t="s">
        <v>143</v>
      </c>
      <c r="R92" s="11" t="s">
        <v>714</v>
      </c>
    </row>
    <row r="93" ht="27" customHeight="1" spans="1:18" s="10" customFormat="1" x14ac:dyDescent="0.25">
      <c r="A93" s="6">
        <v>92</v>
      </c>
      <c r="B93" s="11" t="s">
        <v>24</v>
      </c>
      <c r="C93" s="5" t="s">
        <v>715</v>
      </c>
      <c r="D93" s="11" t="s">
        <v>582</v>
      </c>
      <c r="E93" s="11" t="s">
        <v>716</v>
      </c>
      <c r="F93" s="11" t="s">
        <v>717</v>
      </c>
      <c r="G93" s="11" t="s">
        <v>142</v>
      </c>
      <c r="H93" s="11" t="s">
        <v>142</v>
      </c>
      <c r="I93" s="6" t="s">
        <v>11</v>
      </c>
      <c r="J93" s="11" t="s">
        <v>45</v>
      </c>
      <c r="K93" s="11" t="s">
        <v>149</v>
      </c>
      <c r="L93" s="11" t="s">
        <v>250</v>
      </c>
      <c r="M93" s="11" t="s">
        <v>250</v>
      </c>
      <c r="N93" s="11" t="s">
        <v>142</v>
      </c>
      <c r="O93" s="11" t="s">
        <v>142</v>
      </c>
      <c r="P93" s="11" t="s">
        <v>11</v>
      </c>
      <c r="Q93" s="11" t="s">
        <v>143</v>
      </c>
      <c r="R93" s="11" t="s">
        <v>142</v>
      </c>
    </row>
    <row r="94" ht="15" customHeight="1" spans="1:18" s="10" customFormat="1" x14ac:dyDescent="0.25">
      <c r="A94" s="6">
        <v>93</v>
      </c>
      <c r="B94" s="11" t="s">
        <v>24</v>
      </c>
      <c r="C94" s="5" t="s">
        <v>718</v>
      </c>
      <c r="D94" s="11" t="s">
        <v>582</v>
      </c>
      <c r="E94" s="11" t="s">
        <v>719</v>
      </c>
      <c r="F94" s="11" t="s">
        <v>720</v>
      </c>
      <c r="G94" s="11" t="s">
        <v>721</v>
      </c>
      <c r="H94" s="11" t="s">
        <v>142</v>
      </c>
      <c r="I94" s="6" t="s">
        <v>11</v>
      </c>
      <c r="J94" s="11" t="s">
        <v>45</v>
      </c>
      <c r="K94" s="11" t="s">
        <v>149</v>
      </c>
      <c r="L94" s="11" t="s">
        <v>173</v>
      </c>
      <c r="M94" s="11" t="s">
        <v>159</v>
      </c>
      <c r="N94" s="11" t="s">
        <v>142</v>
      </c>
      <c r="O94" s="11" t="s">
        <v>142</v>
      </c>
      <c r="P94" s="11" t="s">
        <v>11</v>
      </c>
      <c r="Q94" s="11" t="s">
        <v>143</v>
      </c>
      <c r="R94" s="11" t="s">
        <v>699</v>
      </c>
    </row>
    <row r="95" ht="39" customHeight="1" spans="1:18" s="10" customFormat="1" x14ac:dyDescent="0.25">
      <c r="A95" s="6">
        <v>94</v>
      </c>
      <c r="B95" s="11" t="s">
        <v>24</v>
      </c>
      <c r="C95" s="5" t="s">
        <v>722</v>
      </c>
      <c r="D95" s="11" t="s">
        <v>582</v>
      </c>
      <c r="E95" s="11" t="s">
        <v>723</v>
      </c>
      <c r="F95" s="11" t="s">
        <v>724</v>
      </c>
      <c r="G95" s="11" t="s">
        <v>142</v>
      </c>
      <c r="H95" s="11" t="s">
        <v>142</v>
      </c>
      <c r="I95" s="6" t="s">
        <v>11</v>
      </c>
      <c r="J95" s="11" t="s">
        <v>45</v>
      </c>
      <c r="K95" s="11" t="s">
        <v>149</v>
      </c>
      <c r="L95" s="11" t="s">
        <v>725</v>
      </c>
      <c r="M95" s="11" t="s">
        <v>396</v>
      </c>
      <c r="N95" s="11" t="s">
        <v>142</v>
      </c>
      <c r="O95" s="11" t="s">
        <v>142</v>
      </c>
      <c r="P95" s="11" t="s">
        <v>11</v>
      </c>
      <c r="Q95" s="11" t="s">
        <v>143</v>
      </c>
      <c r="R95" s="11" t="s">
        <v>726</v>
      </c>
    </row>
    <row r="96" ht="15" customHeight="1" spans="1:18" s="10" customFormat="1" x14ac:dyDescent="0.25">
      <c r="A96" s="6">
        <v>95</v>
      </c>
      <c r="B96" s="11" t="s">
        <v>24</v>
      </c>
      <c r="C96" s="5" t="s">
        <v>727</v>
      </c>
      <c r="D96" s="11" t="s">
        <v>582</v>
      </c>
      <c r="E96" s="11" t="s">
        <v>728</v>
      </c>
      <c r="F96" s="11" t="s">
        <v>729</v>
      </c>
      <c r="G96" s="11" t="s">
        <v>142</v>
      </c>
      <c r="H96" s="11" t="s">
        <v>142</v>
      </c>
      <c r="I96" s="6" t="s">
        <v>11</v>
      </c>
      <c r="J96" s="11" t="s">
        <v>45</v>
      </c>
      <c r="K96" s="11" t="s">
        <v>149</v>
      </c>
      <c r="L96" s="11" t="s">
        <v>281</v>
      </c>
      <c r="M96" s="11" t="s">
        <v>282</v>
      </c>
      <c r="N96" s="11" t="s">
        <v>142</v>
      </c>
      <c r="O96" s="11" t="s">
        <v>142</v>
      </c>
      <c r="P96" s="11" t="s">
        <v>11</v>
      </c>
      <c r="Q96" s="11" t="s">
        <v>143</v>
      </c>
      <c r="R96" s="11" t="s">
        <v>699</v>
      </c>
    </row>
    <row r="97" ht="15" customHeight="1" spans="1:18" s="10" customFormat="1" x14ac:dyDescent="0.25">
      <c r="A97" s="6">
        <v>96</v>
      </c>
      <c r="B97" s="11" t="s">
        <v>24</v>
      </c>
      <c r="C97" s="5" t="s">
        <v>730</v>
      </c>
      <c r="D97" s="11" t="s">
        <v>582</v>
      </c>
      <c r="E97" s="11" t="s">
        <v>683</v>
      </c>
      <c r="F97" s="11" t="s">
        <v>731</v>
      </c>
      <c r="G97" s="11" t="s">
        <v>142</v>
      </c>
      <c r="H97" s="11" t="s">
        <v>142</v>
      </c>
      <c r="I97" s="6" t="s">
        <v>11</v>
      </c>
      <c r="J97" s="11" t="s">
        <v>45</v>
      </c>
      <c r="K97" s="11" t="s">
        <v>149</v>
      </c>
      <c r="L97" s="11" t="s">
        <v>281</v>
      </c>
      <c r="M97" s="11" t="s">
        <v>282</v>
      </c>
      <c r="N97" s="11" t="s">
        <v>142</v>
      </c>
      <c r="O97" s="11" t="s">
        <v>142</v>
      </c>
      <c r="P97" s="11" t="s">
        <v>11</v>
      </c>
      <c r="Q97" s="11" t="s">
        <v>143</v>
      </c>
      <c r="R97" s="11" t="s">
        <v>699</v>
      </c>
    </row>
    <row r="98" ht="27" customHeight="1" spans="1:18" s="10" customFormat="1" x14ac:dyDescent="0.25">
      <c r="A98" s="6">
        <v>97</v>
      </c>
      <c r="B98" s="11" t="s">
        <v>24</v>
      </c>
      <c r="C98" s="5" t="s">
        <v>732</v>
      </c>
      <c r="D98" s="11" t="s">
        <v>582</v>
      </c>
      <c r="E98" s="11" t="s">
        <v>733</v>
      </c>
      <c r="F98" s="11" t="s">
        <v>734</v>
      </c>
      <c r="G98" s="11" t="s">
        <v>142</v>
      </c>
      <c r="H98" s="11" t="s">
        <v>142</v>
      </c>
      <c r="I98" s="6" t="s">
        <v>11</v>
      </c>
      <c r="J98" s="11" t="s">
        <v>45</v>
      </c>
      <c r="K98" s="11" t="s">
        <v>149</v>
      </c>
      <c r="L98" s="11" t="s">
        <v>735</v>
      </c>
      <c r="M98" s="11" t="s">
        <v>736</v>
      </c>
      <c r="N98" s="11" t="s">
        <v>142</v>
      </c>
      <c r="O98" s="11" t="s">
        <v>142</v>
      </c>
      <c r="P98" s="11" t="s">
        <v>11</v>
      </c>
      <c r="Q98" s="11" t="s">
        <v>143</v>
      </c>
      <c r="R98" s="11" t="s">
        <v>142</v>
      </c>
    </row>
    <row r="99" ht="15" customHeight="1" spans="1:18" s="10" customFormat="1" x14ac:dyDescent="0.25">
      <c r="A99" s="6">
        <v>98</v>
      </c>
      <c r="B99" s="11" t="s">
        <v>24</v>
      </c>
      <c r="C99" s="5" t="s">
        <v>737</v>
      </c>
      <c r="D99" s="11" t="s">
        <v>582</v>
      </c>
      <c r="E99" s="11" t="s">
        <v>738</v>
      </c>
      <c r="F99" s="11" t="s">
        <v>739</v>
      </c>
      <c r="G99" s="11" t="s">
        <v>142</v>
      </c>
      <c r="H99" s="11" t="s">
        <v>142</v>
      </c>
      <c r="I99" s="6" t="s">
        <v>11</v>
      </c>
      <c r="J99" s="11" t="s">
        <v>45</v>
      </c>
      <c r="K99" s="11" t="s">
        <v>149</v>
      </c>
      <c r="L99" s="11" t="s">
        <v>740</v>
      </c>
      <c r="M99" s="11" t="s">
        <v>741</v>
      </c>
      <c r="N99" s="11" t="s">
        <v>142</v>
      </c>
      <c r="O99" s="11" t="s">
        <v>142</v>
      </c>
      <c r="P99" s="11" t="s">
        <v>11</v>
      </c>
      <c r="Q99" s="11" t="s">
        <v>143</v>
      </c>
      <c r="R99" s="11" t="s">
        <v>142</v>
      </c>
    </row>
    <row r="100" ht="15" customHeight="1" spans="1:18" s="10" customFormat="1" x14ac:dyDescent="0.25">
      <c r="A100" s="6">
        <v>99</v>
      </c>
      <c r="B100" s="11" t="s">
        <v>24</v>
      </c>
      <c r="C100" s="5" t="s">
        <v>742</v>
      </c>
      <c r="D100" s="11" t="s">
        <v>582</v>
      </c>
      <c r="E100" s="11" t="s">
        <v>565</v>
      </c>
      <c r="F100" s="11" t="s">
        <v>743</v>
      </c>
      <c r="G100" s="11" t="s">
        <v>142</v>
      </c>
      <c r="H100" s="11" t="s">
        <v>142</v>
      </c>
      <c r="I100" s="6" t="s">
        <v>11</v>
      </c>
      <c r="J100" s="11" t="s">
        <v>45</v>
      </c>
      <c r="K100" s="11" t="s">
        <v>149</v>
      </c>
      <c r="L100" s="11" t="s">
        <v>281</v>
      </c>
      <c r="M100" s="11" t="s">
        <v>282</v>
      </c>
      <c r="N100" s="11" t="s">
        <v>142</v>
      </c>
      <c r="O100" s="11" t="s">
        <v>142</v>
      </c>
      <c r="P100" s="11" t="s">
        <v>11</v>
      </c>
      <c r="Q100" s="11" t="s">
        <v>143</v>
      </c>
      <c r="R100" s="11" t="s">
        <v>142</v>
      </c>
    </row>
    <row r="101" ht="27" customHeight="1" spans="1:18" s="10" customFormat="1" x14ac:dyDescent="0.25">
      <c r="A101" s="6">
        <v>100</v>
      </c>
      <c r="B101" s="11" t="s">
        <v>25</v>
      </c>
      <c r="C101" s="5" t="s">
        <v>744</v>
      </c>
      <c r="D101" s="11" t="s">
        <v>745</v>
      </c>
      <c r="E101" s="11" t="s">
        <v>746</v>
      </c>
      <c r="F101" s="11" t="s">
        <v>747</v>
      </c>
      <c r="G101" s="11" t="s">
        <v>651</v>
      </c>
      <c r="H101" s="11" t="s">
        <v>142</v>
      </c>
      <c r="I101" s="6" t="s">
        <v>11</v>
      </c>
      <c r="J101" s="11" t="s">
        <v>45</v>
      </c>
      <c r="K101" s="11" t="s">
        <v>149</v>
      </c>
      <c r="L101" s="11" t="s">
        <v>310</v>
      </c>
      <c r="M101" s="11" t="s">
        <v>311</v>
      </c>
      <c r="N101" s="11" t="s">
        <v>142</v>
      </c>
      <c r="O101" s="11" t="s">
        <v>142</v>
      </c>
      <c r="P101" s="11" t="s">
        <v>11</v>
      </c>
      <c r="Q101" s="11" t="s">
        <v>143</v>
      </c>
      <c r="R101" s="11" t="s">
        <v>748</v>
      </c>
    </row>
    <row r="102" ht="87" customHeight="1" spans="1:18" s="10" customFormat="1" x14ac:dyDescent="0.25">
      <c r="A102" s="6">
        <v>101</v>
      </c>
      <c r="B102" s="11" t="s">
        <v>25</v>
      </c>
      <c r="C102" s="5" t="s">
        <v>749</v>
      </c>
      <c r="D102" s="11" t="s">
        <v>631</v>
      </c>
      <c r="E102" s="11" t="s">
        <v>750</v>
      </c>
      <c r="F102" s="11" t="s">
        <v>751</v>
      </c>
      <c r="G102" s="11" t="s">
        <v>752</v>
      </c>
      <c r="H102" s="11" t="s">
        <v>142</v>
      </c>
      <c r="I102" s="6" t="s">
        <v>11</v>
      </c>
      <c r="J102" s="11" t="s">
        <v>45</v>
      </c>
      <c r="K102" s="11" t="s">
        <v>753</v>
      </c>
      <c r="L102" s="11" t="s">
        <v>754</v>
      </c>
      <c r="M102" s="11" t="s">
        <v>755</v>
      </c>
      <c r="N102" s="11" t="s">
        <v>756</v>
      </c>
      <c r="O102" s="11" t="s">
        <v>142</v>
      </c>
      <c r="P102" s="11" t="s">
        <v>11</v>
      </c>
      <c r="Q102" s="11" t="s">
        <v>143</v>
      </c>
      <c r="R102" s="11" t="s">
        <v>757</v>
      </c>
    </row>
    <row r="103" ht="63" customHeight="1" spans="1:18" s="10" customFormat="1" x14ac:dyDescent="0.25">
      <c r="A103" s="6">
        <v>102</v>
      </c>
      <c r="B103" s="11" t="s">
        <v>25</v>
      </c>
      <c r="C103" s="5" t="s">
        <v>758</v>
      </c>
      <c r="D103" s="11" t="s">
        <v>649</v>
      </c>
      <c r="E103" s="11" t="s">
        <v>759</v>
      </c>
      <c r="F103" s="11" t="s">
        <v>760</v>
      </c>
      <c r="G103" s="11" t="s">
        <v>142</v>
      </c>
      <c r="H103" s="11" t="s">
        <v>142</v>
      </c>
      <c r="I103" s="6" t="s">
        <v>11</v>
      </c>
      <c r="J103" s="11" t="s">
        <v>45</v>
      </c>
      <c r="K103" s="11" t="s">
        <v>761</v>
      </c>
      <c r="L103" s="11" t="s">
        <v>762</v>
      </c>
      <c r="M103" s="11" t="s">
        <v>763</v>
      </c>
      <c r="N103" s="11" t="s">
        <v>764</v>
      </c>
      <c r="O103" s="11" t="s">
        <v>142</v>
      </c>
      <c r="P103" s="11" t="s">
        <v>11</v>
      </c>
      <c r="Q103" s="11" t="s">
        <v>143</v>
      </c>
      <c r="R103" s="11" t="s">
        <v>765</v>
      </c>
    </row>
    <row r="104" ht="87" customHeight="1" spans="1:18" s="10" customFormat="1" x14ac:dyDescent="0.25">
      <c r="A104" s="6">
        <v>103</v>
      </c>
      <c r="B104" s="11" t="s">
        <v>25</v>
      </c>
      <c r="C104" s="5" t="s">
        <v>766</v>
      </c>
      <c r="D104" s="11" t="s">
        <v>453</v>
      </c>
      <c r="E104" s="11" t="s">
        <v>767</v>
      </c>
      <c r="F104" s="11" t="s">
        <v>768</v>
      </c>
      <c r="G104" s="11" t="s">
        <v>769</v>
      </c>
      <c r="H104" s="11" t="s">
        <v>142</v>
      </c>
      <c r="I104" s="6" t="s">
        <v>11</v>
      </c>
      <c r="J104" s="11" t="s">
        <v>45</v>
      </c>
      <c r="K104" s="11" t="s">
        <v>770</v>
      </c>
      <c r="L104" s="11" t="s">
        <v>771</v>
      </c>
      <c r="M104" s="11" t="s">
        <v>772</v>
      </c>
      <c r="N104" s="11" t="s">
        <v>142</v>
      </c>
      <c r="O104" s="11" t="s">
        <v>142</v>
      </c>
      <c r="P104" s="11" t="s">
        <v>11</v>
      </c>
      <c r="Q104" s="11" t="s">
        <v>143</v>
      </c>
      <c r="R104" s="11" t="s">
        <v>773</v>
      </c>
    </row>
    <row r="105" ht="51" customHeight="1" spans="1:18" s="10" customFormat="1" x14ac:dyDescent="0.25">
      <c r="A105" s="6">
        <v>104</v>
      </c>
      <c r="B105" s="11" t="s">
        <v>25</v>
      </c>
      <c r="C105" s="5" t="s">
        <v>774</v>
      </c>
      <c r="D105" s="11" t="s">
        <v>775</v>
      </c>
      <c r="E105" s="11" t="s">
        <v>776</v>
      </c>
      <c r="F105" s="11" t="s">
        <v>777</v>
      </c>
      <c r="G105" s="11" t="s">
        <v>778</v>
      </c>
      <c r="H105" s="11" t="s">
        <v>142</v>
      </c>
      <c r="I105" s="6" t="s">
        <v>11</v>
      </c>
      <c r="J105" s="11" t="s">
        <v>46</v>
      </c>
      <c r="K105" s="11" t="s">
        <v>608</v>
      </c>
      <c r="L105" s="11" t="s">
        <v>698</v>
      </c>
      <c r="M105" s="11" t="s">
        <v>335</v>
      </c>
      <c r="N105" s="11" t="s">
        <v>779</v>
      </c>
      <c r="O105" s="11" t="s">
        <v>337</v>
      </c>
      <c r="P105" s="11" t="s">
        <v>11</v>
      </c>
      <c r="Q105" s="11" t="s">
        <v>143</v>
      </c>
      <c r="R105" s="11" t="s">
        <v>780</v>
      </c>
    </row>
    <row r="106" ht="51" customHeight="1" spans="1:18" s="10" customFormat="1" x14ac:dyDescent="0.25">
      <c r="A106" s="6">
        <v>105</v>
      </c>
      <c r="B106" s="11" t="s">
        <v>25</v>
      </c>
      <c r="C106" s="5" t="s">
        <v>781</v>
      </c>
      <c r="D106" s="11" t="s">
        <v>782</v>
      </c>
      <c r="E106" s="11" t="s">
        <v>783</v>
      </c>
      <c r="F106" s="11" t="s">
        <v>784</v>
      </c>
      <c r="G106" s="11" t="s">
        <v>785</v>
      </c>
      <c r="H106" s="11" t="s">
        <v>142</v>
      </c>
      <c r="I106" s="6" t="s">
        <v>11</v>
      </c>
      <c r="J106" s="11" t="s">
        <v>45</v>
      </c>
      <c r="K106" s="11" t="s">
        <v>786</v>
      </c>
      <c r="L106" s="11" t="s">
        <v>787</v>
      </c>
      <c r="M106" s="11" t="s">
        <v>788</v>
      </c>
      <c r="N106" s="11" t="s">
        <v>789</v>
      </c>
      <c r="O106" s="11" t="s">
        <v>790</v>
      </c>
      <c r="P106" s="11" t="s">
        <v>11</v>
      </c>
      <c r="Q106" s="11" t="s">
        <v>143</v>
      </c>
      <c r="R106" s="11" t="s">
        <v>791</v>
      </c>
    </row>
    <row r="107" ht="27" customHeight="1" spans="1:18" s="10" customFormat="1" x14ac:dyDescent="0.25">
      <c r="A107" s="6">
        <v>106</v>
      </c>
      <c r="B107" s="11" t="s">
        <v>26</v>
      </c>
      <c r="C107" s="5" t="s">
        <v>792</v>
      </c>
      <c r="D107" s="11" t="s">
        <v>388</v>
      </c>
      <c r="E107" s="11" t="s">
        <v>793</v>
      </c>
      <c r="F107" s="11" t="s">
        <v>794</v>
      </c>
      <c r="G107" s="11" t="s">
        <v>795</v>
      </c>
      <c r="H107" s="11" t="s">
        <v>137</v>
      </c>
      <c r="I107" s="6" t="s">
        <v>11</v>
      </c>
      <c r="J107" s="11" t="s">
        <v>45</v>
      </c>
      <c r="K107" s="11" t="s">
        <v>149</v>
      </c>
      <c r="L107" s="11" t="s">
        <v>173</v>
      </c>
      <c r="M107" s="11" t="s">
        <v>159</v>
      </c>
      <c r="N107" s="11" t="s">
        <v>142</v>
      </c>
      <c r="O107" s="11" t="s">
        <v>142</v>
      </c>
      <c r="P107" s="11" t="s">
        <v>11</v>
      </c>
      <c r="Q107" s="11" t="s">
        <v>143</v>
      </c>
      <c r="R107" s="11" t="s">
        <v>796</v>
      </c>
    </row>
    <row r="108" ht="27" customHeight="1" spans="1:18" s="10" customFormat="1" x14ac:dyDescent="0.25">
      <c r="A108" s="6">
        <v>107</v>
      </c>
      <c r="B108" s="11" t="s">
        <v>26</v>
      </c>
      <c r="C108" s="5" t="s">
        <v>797</v>
      </c>
      <c r="D108" s="11" t="s">
        <v>388</v>
      </c>
      <c r="E108" s="11" t="s">
        <v>798</v>
      </c>
      <c r="F108" s="11" t="s">
        <v>799</v>
      </c>
      <c r="G108" s="11" t="s">
        <v>406</v>
      </c>
      <c r="H108" s="11" t="s">
        <v>137</v>
      </c>
      <c r="I108" s="6" t="s">
        <v>11</v>
      </c>
      <c r="J108" s="11" t="s">
        <v>45</v>
      </c>
      <c r="K108" s="11" t="s">
        <v>149</v>
      </c>
      <c r="L108" s="11" t="s">
        <v>173</v>
      </c>
      <c r="M108" s="11" t="s">
        <v>159</v>
      </c>
      <c r="N108" s="11" t="s">
        <v>142</v>
      </c>
      <c r="O108" s="11" t="s">
        <v>142</v>
      </c>
      <c r="P108" s="11" t="s">
        <v>11</v>
      </c>
      <c r="Q108" s="11" t="s">
        <v>143</v>
      </c>
      <c r="R108" s="11" t="s">
        <v>800</v>
      </c>
    </row>
    <row r="109" ht="27" customHeight="1" spans="1:18" s="10" customFormat="1" x14ac:dyDescent="0.25">
      <c r="A109" s="6">
        <v>108</v>
      </c>
      <c r="B109" s="11" t="s">
        <v>26</v>
      </c>
      <c r="C109" s="5" t="s">
        <v>801</v>
      </c>
      <c r="D109" s="11" t="s">
        <v>388</v>
      </c>
      <c r="E109" s="11" t="s">
        <v>802</v>
      </c>
      <c r="F109" s="11" t="s">
        <v>803</v>
      </c>
      <c r="G109" s="11" t="s">
        <v>804</v>
      </c>
      <c r="H109" s="11" t="s">
        <v>137</v>
      </c>
      <c r="I109" s="6" t="s">
        <v>11</v>
      </c>
      <c r="J109" s="11" t="s">
        <v>45</v>
      </c>
      <c r="K109" s="11" t="s">
        <v>149</v>
      </c>
      <c r="L109" s="11" t="s">
        <v>250</v>
      </c>
      <c r="M109" s="11" t="s">
        <v>250</v>
      </c>
      <c r="N109" s="11" t="s">
        <v>142</v>
      </c>
      <c r="O109" s="11" t="s">
        <v>142</v>
      </c>
      <c r="P109" s="11" t="s">
        <v>11</v>
      </c>
      <c r="Q109" s="11" t="s">
        <v>143</v>
      </c>
      <c r="R109" s="11" t="s">
        <v>142</v>
      </c>
    </row>
    <row r="110" ht="27" customHeight="1" spans="1:18" s="10" customFormat="1" x14ac:dyDescent="0.25">
      <c r="A110" s="6">
        <v>109</v>
      </c>
      <c r="B110" s="11" t="s">
        <v>26</v>
      </c>
      <c r="C110" s="5" t="s">
        <v>805</v>
      </c>
      <c r="D110" s="11" t="s">
        <v>388</v>
      </c>
      <c r="E110" s="11" t="s">
        <v>806</v>
      </c>
      <c r="F110" s="11" t="s">
        <v>807</v>
      </c>
      <c r="G110" s="11" t="s">
        <v>394</v>
      </c>
      <c r="H110" s="11" t="s">
        <v>137</v>
      </c>
      <c r="I110" s="6" t="s">
        <v>11</v>
      </c>
      <c r="J110" s="11" t="s">
        <v>45</v>
      </c>
      <c r="K110" s="11" t="s">
        <v>149</v>
      </c>
      <c r="L110" s="11" t="s">
        <v>250</v>
      </c>
      <c r="M110" s="11" t="s">
        <v>250</v>
      </c>
      <c r="N110" s="11" t="s">
        <v>142</v>
      </c>
      <c r="O110" s="11" t="s">
        <v>142</v>
      </c>
      <c r="P110" s="11" t="s">
        <v>11</v>
      </c>
      <c r="Q110" s="11" t="s">
        <v>143</v>
      </c>
      <c r="R110" s="11" t="s">
        <v>142</v>
      </c>
    </row>
    <row r="111" ht="75" customHeight="1" spans="1:18" s="10" customFormat="1" x14ac:dyDescent="0.25">
      <c r="A111" s="6">
        <v>110</v>
      </c>
      <c r="B111" s="11" t="s">
        <v>26</v>
      </c>
      <c r="C111" s="5" t="s">
        <v>808</v>
      </c>
      <c r="D111" s="11" t="s">
        <v>388</v>
      </c>
      <c r="E111" s="11" t="s">
        <v>809</v>
      </c>
      <c r="F111" s="11" t="s">
        <v>810</v>
      </c>
      <c r="G111" s="11" t="s">
        <v>811</v>
      </c>
      <c r="H111" s="11" t="s">
        <v>137</v>
      </c>
      <c r="I111" s="6" t="s">
        <v>11</v>
      </c>
      <c r="J111" s="11" t="s">
        <v>46</v>
      </c>
      <c r="K111" s="11" t="s">
        <v>812</v>
      </c>
      <c r="L111" s="11" t="s">
        <v>813</v>
      </c>
      <c r="M111" s="11" t="s">
        <v>326</v>
      </c>
      <c r="N111" s="11" t="s">
        <v>142</v>
      </c>
      <c r="O111" s="11" t="s">
        <v>142</v>
      </c>
      <c r="P111" s="11" t="s">
        <v>11</v>
      </c>
      <c r="Q111" s="11" t="s">
        <v>143</v>
      </c>
      <c r="R111" s="11" t="s">
        <v>814</v>
      </c>
    </row>
    <row r="112" ht="27" customHeight="1" spans="1:18" s="10" customFormat="1" x14ac:dyDescent="0.25">
      <c r="A112" s="6">
        <v>111</v>
      </c>
      <c r="B112" s="11" t="s">
        <v>26</v>
      </c>
      <c r="C112" s="5" t="s">
        <v>815</v>
      </c>
      <c r="D112" s="11" t="s">
        <v>388</v>
      </c>
      <c r="E112" s="11" t="s">
        <v>816</v>
      </c>
      <c r="F112" s="11" t="s">
        <v>817</v>
      </c>
      <c r="G112" s="11" t="s">
        <v>818</v>
      </c>
      <c r="H112" s="11" t="s">
        <v>137</v>
      </c>
      <c r="I112" s="6" t="s">
        <v>11</v>
      </c>
      <c r="J112" s="11" t="s">
        <v>45</v>
      </c>
      <c r="K112" s="11" t="s">
        <v>149</v>
      </c>
      <c r="L112" s="11" t="s">
        <v>281</v>
      </c>
      <c r="M112" s="11" t="s">
        <v>282</v>
      </c>
      <c r="N112" s="11" t="s">
        <v>142</v>
      </c>
      <c r="O112" s="11" t="s">
        <v>142</v>
      </c>
      <c r="P112" s="11" t="s">
        <v>11</v>
      </c>
      <c r="Q112" s="11" t="s">
        <v>143</v>
      </c>
      <c r="R112" s="11" t="s">
        <v>413</v>
      </c>
    </row>
    <row r="113" ht="27" customHeight="1" spans="1:18" s="10" customFormat="1" x14ac:dyDescent="0.25">
      <c r="A113" s="6">
        <v>112</v>
      </c>
      <c r="B113" s="11" t="s">
        <v>26</v>
      </c>
      <c r="C113" s="5" t="s">
        <v>819</v>
      </c>
      <c r="D113" s="11" t="s">
        <v>388</v>
      </c>
      <c r="E113" s="11" t="s">
        <v>820</v>
      </c>
      <c r="F113" s="11" t="s">
        <v>821</v>
      </c>
      <c r="G113" s="11" t="s">
        <v>804</v>
      </c>
      <c r="H113" s="11" t="s">
        <v>157</v>
      </c>
      <c r="I113" s="6" t="s">
        <v>11</v>
      </c>
      <c r="J113" s="11" t="s">
        <v>45</v>
      </c>
      <c r="K113" s="11" t="s">
        <v>149</v>
      </c>
      <c r="L113" s="11" t="s">
        <v>173</v>
      </c>
      <c r="M113" s="11" t="s">
        <v>159</v>
      </c>
      <c r="N113" s="11" t="s">
        <v>142</v>
      </c>
      <c r="O113" s="11" t="s">
        <v>142</v>
      </c>
      <c r="P113" s="11" t="s">
        <v>11</v>
      </c>
      <c r="Q113" s="11" t="s">
        <v>143</v>
      </c>
      <c r="R113" s="11" t="s">
        <v>822</v>
      </c>
    </row>
    <row r="114" ht="27" customHeight="1" spans="1:18" s="10" customFormat="1" x14ac:dyDescent="0.25">
      <c r="A114" s="6">
        <v>113</v>
      </c>
      <c r="B114" s="11" t="s">
        <v>26</v>
      </c>
      <c r="C114" s="5" t="s">
        <v>823</v>
      </c>
      <c r="D114" s="11" t="s">
        <v>388</v>
      </c>
      <c r="E114" s="11" t="s">
        <v>824</v>
      </c>
      <c r="F114" s="11" t="s">
        <v>825</v>
      </c>
      <c r="G114" s="11" t="s">
        <v>804</v>
      </c>
      <c r="H114" s="11" t="s">
        <v>157</v>
      </c>
      <c r="I114" s="6" t="s">
        <v>11</v>
      </c>
      <c r="J114" s="11" t="s">
        <v>45</v>
      </c>
      <c r="K114" s="11" t="s">
        <v>149</v>
      </c>
      <c r="L114" s="11" t="s">
        <v>173</v>
      </c>
      <c r="M114" s="11" t="s">
        <v>159</v>
      </c>
      <c r="N114" s="11" t="s">
        <v>142</v>
      </c>
      <c r="O114" s="11" t="s">
        <v>142</v>
      </c>
      <c r="P114" s="11" t="s">
        <v>11</v>
      </c>
      <c r="Q114" s="11" t="s">
        <v>143</v>
      </c>
      <c r="R114" s="11" t="s">
        <v>826</v>
      </c>
    </row>
    <row r="115" ht="51" customHeight="1" spans="1:18" s="10" customFormat="1" x14ac:dyDescent="0.25">
      <c r="A115" s="6">
        <v>114</v>
      </c>
      <c r="B115" s="11" t="s">
        <v>26</v>
      </c>
      <c r="C115" s="5" t="s">
        <v>827</v>
      </c>
      <c r="D115" s="11" t="s">
        <v>388</v>
      </c>
      <c r="E115" s="11" t="s">
        <v>828</v>
      </c>
      <c r="F115" s="11" t="s">
        <v>829</v>
      </c>
      <c r="G115" s="11" t="s">
        <v>400</v>
      </c>
      <c r="H115" s="11" t="s">
        <v>137</v>
      </c>
      <c r="I115" s="6" t="s">
        <v>11</v>
      </c>
      <c r="J115" s="11" t="s">
        <v>45</v>
      </c>
      <c r="K115" s="11" t="s">
        <v>149</v>
      </c>
      <c r="L115" s="11" t="s">
        <v>830</v>
      </c>
      <c r="M115" s="11" t="s">
        <v>211</v>
      </c>
      <c r="N115" s="11" t="s">
        <v>831</v>
      </c>
      <c r="O115" s="11" t="s">
        <v>142</v>
      </c>
      <c r="P115" s="11" t="s">
        <v>11</v>
      </c>
      <c r="Q115" s="11" t="s">
        <v>143</v>
      </c>
      <c r="R115" s="11" t="s">
        <v>832</v>
      </c>
    </row>
    <row r="116" ht="63" customHeight="1" spans="1:18" s="10" customFormat="1" x14ac:dyDescent="0.25">
      <c r="A116" s="6">
        <v>115</v>
      </c>
      <c r="B116" s="11" t="s">
        <v>27</v>
      </c>
      <c r="C116" s="5" t="s">
        <v>833</v>
      </c>
      <c r="D116" s="11" t="s">
        <v>622</v>
      </c>
      <c r="E116" s="11" t="s">
        <v>834</v>
      </c>
      <c r="F116" s="11" t="s">
        <v>835</v>
      </c>
      <c r="G116" s="11" t="s">
        <v>836</v>
      </c>
      <c r="H116" s="11" t="s">
        <v>142</v>
      </c>
      <c r="I116" s="6" t="s">
        <v>11</v>
      </c>
      <c r="J116" s="11" t="s">
        <v>46</v>
      </c>
      <c r="K116" s="11" t="s">
        <v>837</v>
      </c>
      <c r="L116" s="11" t="s">
        <v>838</v>
      </c>
      <c r="M116" s="11" t="s">
        <v>839</v>
      </c>
      <c r="N116" s="11" t="s">
        <v>840</v>
      </c>
      <c r="O116" s="11" t="s">
        <v>142</v>
      </c>
      <c r="P116" s="11" t="s">
        <v>11</v>
      </c>
      <c r="Q116" s="11" t="s">
        <v>143</v>
      </c>
      <c r="R116" s="11" t="s">
        <v>841</v>
      </c>
    </row>
    <row r="117" ht="51" customHeight="1" spans="1:18" s="10" customFormat="1" x14ac:dyDescent="0.25">
      <c r="A117" s="6">
        <v>116</v>
      </c>
      <c r="B117" s="11" t="s">
        <v>27</v>
      </c>
      <c r="C117" s="5" t="s">
        <v>842</v>
      </c>
      <c r="D117" s="11" t="s">
        <v>622</v>
      </c>
      <c r="E117" s="11" t="s">
        <v>843</v>
      </c>
      <c r="F117" s="11" t="s">
        <v>844</v>
      </c>
      <c r="G117" s="11" t="s">
        <v>845</v>
      </c>
      <c r="H117" s="11" t="s">
        <v>142</v>
      </c>
      <c r="I117" s="6" t="s">
        <v>11</v>
      </c>
      <c r="J117" s="11" t="s">
        <v>46</v>
      </c>
      <c r="K117" s="11" t="s">
        <v>846</v>
      </c>
      <c r="L117" s="11" t="s">
        <v>847</v>
      </c>
      <c r="M117" s="11" t="s">
        <v>848</v>
      </c>
      <c r="N117" s="11" t="s">
        <v>142</v>
      </c>
      <c r="O117" s="11" t="s">
        <v>142</v>
      </c>
      <c r="P117" s="11" t="s">
        <v>11</v>
      </c>
      <c r="Q117" s="11" t="s">
        <v>143</v>
      </c>
      <c r="R117" s="11" t="s">
        <v>849</v>
      </c>
    </row>
    <row r="118" ht="51" customHeight="1" spans="1:18" s="10" customFormat="1" x14ac:dyDescent="0.25">
      <c r="A118" s="6">
        <v>117</v>
      </c>
      <c r="B118" s="11" t="s">
        <v>27</v>
      </c>
      <c r="C118" s="5" t="s">
        <v>850</v>
      </c>
      <c r="D118" s="11" t="s">
        <v>622</v>
      </c>
      <c r="E118" s="11" t="s">
        <v>851</v>
      </c>
      <c r="F118" s="11" t="s">
        <v>852</v>
      </c>
      <c r="G118" s="11" t="s">
        <v>853</v>
      </c>
      <c r="H118" s="11" t="s">
        <v>142</v>
      </c>
      <c r="I118" s="6" t="s">
        <v>11</v>
      </c>
      <c r="J118" s="11" t="s">
        <v>46</v>
      </c>
      <c r="K118" s="11" t="s">
        <v>854</v>
      </c>
      <c r="L118" s="11" t="s">
        <v>855</v>
      </c>
      <c r="M118" s="11" t="s">
        <v>856</v>
      </c>
      <c r="N118" s="11" t="s">
        <v>628</v>
      </c>
      <c r="O118" s="11" t="s">
        <v>337</v>
      </c>
      <c r="P118" s="11" t="s">
        <v>11</v>
      </c>
      <c r="Q118" s="11" t="s">
        <v>143</v>
      </c>
      <c r="R118" s="11" t="s">
        <v>857</v>
      </c>
    </row>
    <row r="119" ht="39" customHeight="1" spans="1:18" s="10" customFormat="1" x14ac:dyDescent="0.25">
      <c r="A119" s="6">
        <v>118</v>
      </c>
      <c r="B119" s="11" t="s">
        <v>27</v>
      </c>
      <c r="C119" s="5" t="s">
        <v>858</v>
      </c>
      <c r="D119" s="11" t="s">
        <v>622</v>
      </c>
      <c r="E119" s="11" t="s">
        <v>859</v>
      </c>
      <c r="F119" s="11" t="s">
        <v>860</v>
      </c>
      <c r="G119" s="11" t="s">
        <v>417</v>
      </c>
      <c r="H119" s="11" t="s">
        <v>142</v>
      </c>
      <c r="I119" s="6" t="s">
        <v>11</v>
      </c>
      <c r="J119" s="11" t="s">
        <v>45</v>
      </c>
      <c r="K119" s="11" t="s">
        <v>149</v>
      </c>
      <c r="L119" s="11" t="s">
        <v>861</v>
      </c>
      <c r="M119" s="11" t="s">
        <v>862</v>
      </c>
      <c r="N119" s="11" t="s">
        <v>142</v>
      </c>
      <c r="O119" s="11" t="s">
        <v>142</v>
      </c>
      <c r="P119" s="11" t="s">
        <v>11</v>
      </c>
      <c r="Q119" s="11" t="s">
        <v>143</v>
      </c>
      <c r="R119" s="11" t="s">
        <v>863</v>
      </c>
    </row>
    <row r="120" ht="39" customHeight="1" spans="1:18" s="10" customFormat="1" x14ac:dyDescent="0.25">
      <c r="A120" s="6">
        <v>119</v>
      </c>
      <c r="B120" s="11" t="s">
        <v>27</v>
      </c>
      <c r="C120" s="5" t="s">
        <v>864</v>
      </c>
      <c r="D120" s="11" t="s">
        <v>622</v>
      </c>
      <c r="E120" s="11" t="s">
        <v>865</v>
      </c>
      <c r="F120" s="11" t="s">
        <v>866</v>
      </c>
      <c r="G120" s="11" t="s">
        <v>867</v>
      </c>
      <c r="H120" s="11" t="s">
        <v>142</v>
      </c>
      <c r="I120" s="6" t="s">
        <v>11</v>
      </c>
      <c r="J120" s="11" t="s">
        <v>45</v>
      </c>
      <c r="K120" s="11" t="s">
        <v>149</v>
      </c>
      <c r="L120" s="11" t="s">
        <v>868</v>
      </c>
      <c r="M120" s="11" t="s">
        <v>869</v>
      </c>
      <c r="N120" s="11" t="s">
        <v>142</v>
      </c>
      <c r="O120" s="11" t="s">
        <v>142</v>
      </c>
      <c r="P120" s="11" t="s">
        <v>11</v>
      </c>
      <c r="Q120" s="11" t="s">
        <v>143</v>
      </c>
      <c r="R120" s="11" t="s">
        <v>142</v>
      </c>
    </row>
    <row r="121" ht="63" customHeight="1" spans="1:18" s="10" customFormat="1" x14ac:dyDescent="0.25">
      <c r="A121" s="6">
        <v>120</v>
      </c>
      <c r="B121" s="11" t="s">
        <v>27</v>
      </c>
      <c r="C121" s="5" t="s">
        <v>870</v>
      </c>
      <c r="D121" s="11" t="s">
        <v>631</v>
      </c>
      <c r="E121" s="11" t="s">
        <v>871</v>
      </c>
      <c r="F121" s="11" t="s">
        <v>872</v>
      </c>
      <c r="G121" s="11" t="s">
        <v>142</v>
      </c>
      <c r="H121" s="11" t="s">
        <v>142</v>
      </c>
      <c r="I121" s="6" t="s">
        <v>11</v>
      </c>
      <c r="J121" s="11" t="s">
        <v>45</v>
      </c>
      <c r="K121" s="11" t="s">
        <v>149</v>
      </c>
      <c r="L121" s="11" t="s">
        <v>873</v>
      </c>
      <c r="M121" s="11" t="s">
        <v>874</v>
      </c>
      <c r="N121" s="11" t="s">
        <v>142</v>
      </c>
      <c r="O121" s="11" t="s">
        <v>142</v>
      </c>
      <c r="P121" s="11" t="s">
        <v>11</v>
      </c>
      <c r="Q121" s="11" t="s">
        <v>143</v>
      </c>
      <c r="R121" s="11" t="s">
        <v>875</v>
      </c>
    </row>
    <row r="122" ht="39" customHeight="1" spans="1:18" s="10" customFormat="1" x14ac:dyDescent="0.25">
      <c r="A122" s="6">
        <v>121</v>
      </c>
      <c r="B122" s="11" t="s">
        <v>27</v>
      </c>
      <c r="C122" s="5" t="s">
        <v>876</v>
      </c>
      <c r="D122" s="11" t="s">
        <v>631</v>
      </c>
      <c r="E122" s="11" t="s">
        <v>877</v>
      </c>
      <c r="F122" s="11" t="s">
        <v>878</v>
      </c>
      <c r="G122" s="11" t="s">
        <v>142</v>
      </c>
      <c r="H122" s="11" t="s">
        <v>142</v>
      </c>
      <c r="I122" s="6" t="s">
        <v>11</v>
      </c>
      <c r="J122" s="11" t="s">
        <v>45</v>
      </c>
      <c r="K122" s="11" t="s">
        <v>149</v>
      </c>
      <c r="L122" s="11" t="s">
        <v>879</v>
      </c>
      <c r="M122" s="11" t="s">
        <v>880</v>
      </c>
      <c r="N122" s="11" t="s">
        <v>142</v>
      </c>
      <c r="O122" s="11" t="s">
        <v>142</v>
      </c>
      <c r="P122" s="11" t="s">
        <v>11</v>
      </c>
      <c r="Q122" s="11" t="s">
        <v>143</v>
      </c>
      <c r="R122" s="11" t="s">
        <v>142</v>
      </c>
    </row>
    <row r="123" ht="27" customHeight="1" spans="1:18" s="10" customFormat="1" x14ac:dyDescent="0.25">
      <c r="A123" s="6">
        <v>122</v>
      </c>
      <c r="B123" s="11" t="s">
        <v>27</v>
      </c>
      <c r="C123" s="5" t="s">
        <v>881</v>
      </c>
      <c r="D123" s="11" t="s">
        <v>631</v>
      </c>
      <c r="E123" s="11" t="s">
        <v>882</v>
      </c>
      <c r="F123" s="11" t="s">
        <v>883</v>
      </c>
      <c r="G123" s="11" t="s">
        <v>884</v>
      </c>
      <c r="H123" s="11" t="s">
        <v>142</v>
      </c>
      <c r="I123" s="6" t="s">
        <v>11</v>
      </c>
      <c r="J123" s="11" t="s">
        <v>45</v>
      </c>
      <c r="K123" s="11" t="s">
        <v>149</v>
      </c>
      <c r="L123" s="11" t="s">
        <v>885</v>
      </c>
      <c r="M123" s="11" t="s">
        <v>886</v>
      </c>
      <c r="N123" s="11" t="s">
        <v>142</v>
      </c>
      <c r="O123" s="11" t="s">
        <v>142</v>
      </c>
      <c r="P123" s="11" t="s">
        <v>11</v>
      </c>
      <c r="Q123" s="11" t="s">
        <v>143</v>
      </c>
      <c r="R123" s="11" t="s">
        <v>142</v>
      </c>
    </row>
    <row r="124" ht="15" customHeight="1" spans="1:18" s="10" customFormat="1" x14ac:dyDescent="0.25">
      <c r="A124" s="6">
        <v>123</v>
      </c>
      <c r="B124" s="11" t="s">
        <v>27</v>
      </c>
      <c r="C124" s="5" t="s">
        <v>887</v>
      </c>
      <c r="D124" s="11" t="s">
        <v>631</v>
      </c>
      <c r="E124" s="11" t="s">
        <v>888</v>
      </c>
      <c r="F124" s="11" t="s">
        <v>889</v>
      </c>
      <c r="G124" s="11" t="s">
        <v>142</v>
      </c>
      <c r="H124" s="11" t="s">
        <v>142</v>
      </c>
      <c r="I124" s="6" t="s">
        <v>11</v>
      </c>
      <c r="J124" s="11" t="s">
        <v>45</v>
      </c>
      <c r="K124" s="11" t="s">
        <v>149</v>
      </c>
      <c r="L124" s="11" t="s">
        <v>890</v>
      </c>
      <c r="M124" s="11" t="s">
        <v>891</v>
      </c>
      <c r="N124" s="11" t="s">
        <v>142</v>
      </c>
      <c r="O124" s="11" t="s">
        <v>142</v>
      </c>
      <c r="P124" s="11" t="s">
        <v>11</v>
      </c>
      <c r="Q124" s="11" t="s">
        <v>143</v>
      </c>
      <c r="R124" s="11" t="s">
        <v>892</v>
      </c>
    </row>
    <row r="125" ht="39" customHeight="1" spans="1:18" s="10" customFormat="1" x14ac:dyDescent="0.25">
      <c r="A125" s="6">
        <v>124</v>
      </c>
      <c r="B125" s="11" t="s">
        <v>27</v>
      </c>
      <c r="C125" s="5" t="s">
        <v>893</v>
      </c>
      <c r="D125" s="11" t="s">
        <v>631</v>
      </c>
      <c r="E125" s="11" t="s">
        <v>894</v>
      </c>
      <c r="F125" s="11" t="s">
        <v>895</v>
      </c>
      <c r="G125" s="11" t="s">
        <v>142</v>
      </c>
      <c r="H125" s="11" t="s">
        <v>142</v>
      </c>
      <c r="I125" s="6" t="s">
        <v>11</v>
      </c>
      <c r="J125" s="11" t="s">
        <v>45</v>
      </c>
      <c r="K125" s="11" t="s">
        <v>149</v>
      </c>
      <c r="L125" s="11" t="s">
        <v>896</v>
      </c>
      <c r="M125" s="11" t="s">
        <v>897</v>
      </c>
      <c r="N125" s="11" t="s">
        <v>898</v>
      </c>
      <c r="O125" s="11" t="s">
        <v>142</v>
      </c>
      <c r="P125" s="11" t="s">
        <v>11</v>
      </c>
      <c r="Q125" s="11" t="s">
        <v>143</v>
      </c>
      <c r="R125" s="11" t="s">
        <v>899</v>
      </c>
    </row>
    <row r="126" ht="27" customHeight="1" spans="1:18" s="10" customFormat="1" x14ac:dyDescent="0.25">
      <c r="A126" s="6">
        <v>125</v>
      </c>
      <c r="B126" s="11" t="s">
        <v>27</v>
      </c>
      <c r="C126" s="5" t="s">
        <v>900</v>
      </c>
      <c r="D126" s="11" t="s">
        <v>649</v>
      </c>
      <c r="E126" s="11" t="s">
        <v>901</v>
      </c>
      <c r="F126" s="11" t="s">
        <v>902</v>
      </c>
      <c r="G126" s="11" t="s">
        <v>903</v>
      </c>
      <c r="H126" s="11" t="s">
        <v>142</v>
      </c>
      <c r="I126" s="6" t="s">
        <v>11</v>
      </c>
      <c r="J126" s="11" t="s">
        <v>45</v>
      </c>
      <c r="K126" s="11" t="s">
        <v>149</v>
      </c>
      <c r="L126" s="11" t="s">
        <v>904</v>
      </c>
      <c r="M126" s="11" t="s">
        <v>661</v>
      </c>
      <c r="N126" s="11" t="s">
        <v>142</v>
      </c>
      <c r="O126" s="11" t="s">
        <v>142</v>
      </c>
      <c r="P126" s="11" t="s">
        <v>11</v>
      </c>
      <c r="Q126" s="11" t="s">
        <v>143</v>
      </c>
      <c r="R126" s="11" t="s">
        <v>142</v>
      </c>
    </row>
    <row r="127" ht="27" customHeight="1" spans="1:18" s="10" customFormat="1" x14ac:dyDescent="0.25">
      <c r="A127" s="6">
        <v>126</v>
      </c>
      <c r="B127" s="11" t="s">
        <v>27</v>
      </c>
      <c r="C127" s="5" t="s">
        <v>905</v>
      </c>
      <c r="D127" s="11" t="s">
        <v>649</v>
      </c>
      <c r="E127" s="11" t="s">
        <v>906</v>
      </c>
      <c r="F127" s="11" t="s">
        <v>907</v>
      </c>
      <c r="G127" s="11" t="s">
        <v>142</v>
      </c>
      <c r="H127" s="11" t="s">
        <v>142</v>
      </c>
      <c r="I127" s="6" t="s">
        <v>11</v>
      </c>
      <c r="J127" s="11" t="s">
        <v>45</v>
      </c>
      <c r="K127" s="11" t="s">
        <v>149</v>
      </c>
      <c r="L127" s="11" t="s">
        <v>908</v>
      </c>
      <c r="M127" s="11" t="s">
        <v>909</v>
      </c>
      <c r="N127" s="11" t="s">
        <v>142</v>
      </c>
      <c r="O127" s="11" t="s">
        <v>142</v>
      </c>
      <c r="P127" s="11" t="s">
        <v>11</v>
      </c>
      <c r="Q127" s="11" t="s">
        <v>143</v>
      </c>
      <c r="R127" s="11" t="s">
        <v>910</v>
      </c>
    </row>
    <row r="128" ht="39" customHeight="1" spans="1:18" s="10" customFormat="1" x14ac:dyDescent="0.25">
      <c r="A128" s="6">
        <v>127</v>
      </c>
      <c r="B128" s="11" t="s">
        <v>27</v>
      </c>
      <c r="C128" s="5" t="s">
        <v>911</v>
      </c>
      <c r="D128" s="11" t="s">
        <v>649</v>
      </c>
      <c r="E128" s="11" t="s">
        <v>912</v>
      </c>
      <c r="F128" s="11" t="s">
        <v>913</v>
      </c>
      <c r="G128" s="11" t="s">
        <v>142</v>
      </c>
      <c r="H128" s="11" t="s">
        <v>142</v>
      </c>
      <c r="I128" s="6" t="s">
        <v>11</v>
      </c>
      <c r="J128" s="11" t="s">
        <v>45</v>
      </c>
      <c r="K128" s="11" t="s">
        <v>149</v>
      </c>
      <c r="L128" s="11" t="s">
        <v>914</v>
      </c>
      <c r="M128" s="11" t="s">
        <v>891</v>
      </c>
      <c r="N128" s="11" t="s">
        <v>142</v>
      </c>
      <c r="O128" s="11" t="s">
        <v>142</v>
      </c>
      <c r="P128" s="11" t="s">
        <v>11</v>
      </c>
      <c r="Q128" s="11" t="s">
        <v>143</v>
      </c>
      <c r="R128" s="11" t="s">
        <v>915</v>
      </c>
    </row>
    <row r="129" ht="15" customHeight="1" spans="1:18" s="10" customFormat="1" x14ac:dyDescent="0.25">
      <c r="A129" s="6">
        <v>128</v>
      </c>
      <c r="B129" s="11" t="s">
        <v>27</v>
      </c>
      <c r="C129" s="5" t="s">
        <v>916</v>
      </c>
      <c r="D129" s="11" t="s">
        <v>430</v>
      </c>
      <c r="E129" s="11" t="s">
        <v>917</v>
      </c>
      <c r="F129" s="11" t="s">
        <v>918</v>
      </c>
      <c r="G129" s="11" t="s">
        <v>142</v>
      </c>
      <c r="H129" s="11" t="s">
        <v>142</v>
      </c>
      <c r="I129" s="6" t="s">
        <v>11</v>
      </c>
      <c r="J129" s="11" t="s">
        <v>45</v>
      </c>
      <c r="K129" s="11" t="s">
        <v>149</v>
      </c>
      <c r="L129" s="11" t="s">
        <v>173</v>
      </c>
      <c r="M129" s="11" t="s">
        <v>159</v>
      </c>
      <c r="N129" s="11" t="s">
        <v>142</v>
      </c>
      <c r="O129" s="11" t="s">
        <v>142</v>
      </c>
      <c r="P129" s="11" t="s">
        <v>11</v>
      </c>
      <c r="Q129" s="11" t="s">
        <v>143</v>
      </c>
      <c r="R129" s="11" t="s">
        <v>919</v>
      </c>
    </row>
    <row r="130" ht="27" customHeight="1" spans="1:18" s="10" customFormat="1" x14ac:dyDescent="0.25">
      <c r="A130" s="6">
        <v>129</v>
      </c>
      <c r="B130" s="11" t="s">
        <v>27</v>
      </c>
      <c r="C130" s="5" t="s">
        <v>920</v>
      </c>
      <c r="D130" s="11" t="s">
        <v>921</v>
      </c>
      <c r="E130" s="11" t="s">
        <v>922</v>
      </c>
      <c r="F130" s="11" t="s">
        <v>923</v>
      </c>
      <c r="G130" s="11" t="s">
        <v>561</v>
      </c>
      <c r="H130" s="11" t="s">
        <v>142</v>
      </c>
      <c r="I130" s="6" t="s">
        <v>11</v>
      </c>
      <c r="J130" s="11" t="s">
        <v>45</v>
      </c>
      <c r="K130" s="11" t="s">
        <v>149</v>
      </c>
      <c r="L130" s="11" t="s">
        <v>924</v>
      </c>
      <c r="M130" s="11" t="s">
        <v>925</v>
      </c>
      <c r="N130" s="11" t="s">
        <v>142</v>
      </c>
      <c r="O130" s="11" t="s">
        <v>142</v>
      </c>
      <c r="P130" s="11" t="s">
        <v>11</v>
      </c>
      <c r="Q130" s="11" t="s">
        <v>143</v>
      </c>
      <c r="R130" s="11" t="s">
        <v>926</v>
      </c>
    </row>
    <row r="131" ht="27" customHeight="1" spans="1:18" s="10" customFormat="1" x14ac:dyDescent="0.25">
      <c r="A131" s="6">
        <v>130</v>
      </c>
      <c r="B131" s="11" t="s">
        <v>27</v>
      </c>
      <c r="C131" s="5" t="s">
        <v>927</v>
      </c>
      <c r="D131" s="11" t="s">
        <v>921</v>
      </c>
      <c r="E131" s="11" t="s">
        <v>928</v>
      </c>
      <c r="F131" s="11" t="s">
        <v>929</v>
      </c>
      <c r="G131" s="11" t="s">
        <v>561</v>
      </c>
      <c r="H131" s="11" t="s">
        <v>142</v>
      </c>
      <c r="I131" s="6" t="s">
        <v>11</v>
      </c>
      <c r="J131" s="11" t="s">
        <v>45</v>
      </c>
      <c r="K131" s="11" t="s">
        <v>149</v>
      </c>
      <c r="L131" s="11" t="s">
        <v>930</v>
      </c>
      <c r="M131" s="11" t="s">
        <v>931</v>
      </c>
      <c r="N131" s="11" t="s">
        <v>142</v>
      </c>
      <c r="O131" s="11" t="s">
        <v>142</v>
      </c>
      <c r="P131" s="11" t="s">
        <v>11</v>
      </c>
      <c r="Q131" s="11" t="s">
        <v>143</v>
      </c>
      <c r="R131" s="11" t="s">
        <v>932</v>
      </c>
    </row>
    <row r="132" ht="39" customHeight="1" spans="1:18" s="10" customFormat="1" x14ac:dyDescent="0.25">
      <c r="A132" s="6">
        <v>131</v>
      </c>
      <c r="B132" s="11" t="s">
        <v>27</v>
      </c>
      <c r="C132" s="5" t="s">
        <v>933</v>
      </c>
      <c r="D132" s="11" t="s">
        <v>552</v>
      </c>
      <c r="E132" s="11" t="s">
        <v>934</v>
      </c>
      <c r="F132" s="11" t="s">
        <v>935</v>
      </c>
      <c r="G132" s="11" t="s">
        <v>142</v>
      </c>
      <c r="H132" s="11" t="s">
        <v>142</v>
      </c>
      <c r="I132" s="6" t="s">
        <v>11</v>
      </c>
      <c r="J132" s="11" t="s">
        <v>45</v>
      </c>
      <c r="K132" s="11" t="s">
        <v>149</v>
      </c>
      <c r="L132" s="11" t="s">
        <v>936</v>
      </c>
      <c r="M132" s="11" t="s">
        <v>937</v>
      </c>
      <c r="N132" s="11" t="s">
        <v>142</v>
      </c>
      <c r="O132" s="11" t="s">
        <v>142</v>
      </c>
      <c r="P132" s="11" t="s">
        <v>11</v>
      </c>
      <c r="Q132" s="11" t="s">
        <v>143</v>
      </c>
      <c r="R132" s="11" t="s">
        <v>938</v>
      </c>
    </row>
    <row r="133" ht="39" customHeight="1" spans="1:18" s="10" customFormat="1" x14ac:dyDescent="0.25">
      <c r="A133" s="6">
        <v>132</v>
      </c>
      <c r="B133" s="11" t="s">
        <v>27</v>
      </c>
      <c r="C133" s="5" t="s">
        <v>939</v>
      </c>
      <c r="D133" s="11" t="s">
        <v>552</v>
      </c>
      <c r="E133" s="11" t="s">
        <v>940</v>
      </c>
      <c r="F133" s="11" t="s">
        <v>941</v>
      </c>
      <c r="G133" s="11" t="s">
        <v>142</v>
      </c>
      <c r="H133" s="11" t="s">
        <v>142</v>
      </c>
      <c r="I133" s="6" t="s">
        <v>11</v>
      </c>
      <c r="J133" s="11" t="s">
        <v>45</v>
      </c>
      <c r="K133" s="11" t="s">
        <v>149</v>
      </c>
      <c r="L133" s="11" t="s">
        <v>158</v>
      </c>
      <c r="M133" s="11" t="s">
        <v>159</v>
      </c>
      <c r="N133" s="11" t="s">
        <v>142</v>
      </c>
      <c r="O133" s="11" t="s">
        <v>142</v>
      </c>
      <c r="P133" s="11" t="s">
        <v>11</v>
      </c>
      <c r="Q133" s="11" t="s">
        <v>143</v>
      </c>
      <c r="R133" s="11" t="s">
        <v>580</v>
      </c>
    </row>
    <row r="134" ht="51" customHeight="1" spans="1:18" s="10" customFormat="1" x14ac:dyDescent="0.25">
      <c r="A134" s="6">
        <v>133</v>
      </c>
      <c r="B134" s="11" t="s">
        <v>27</v>
      </c>
      <c r="C134" s="5" t="s">
        <v>942</v>
      </c>
      <c r="D134" s="11" t="s">
        <v>552</v>
      </c>
      <c r="E134" s="11" t="s">
        <v>943</v>
      </c>
      <c r="F134" s="11" t="s">
        <v>944</v>
      </c>
      <c r="G134" s="11" t="s">
        <v>945</v>
      </c>
      <c r="H134" s="11" t="s">
        <v>142</v>
      </c>
      <c r="I134" s="6" t="s">
        <v>11</v>
      </c>
      <c r="J134" s="11" t="s">
        <v>45</v>
      </c>
      <c r="K134" s="11" t="s">
        <v>149</v>
      </c>
      <c r="L134" s="11" t="s">
        <v>946</v>
      </c>
      <c r="M134" s="11" t="s">
        <v>947</v>
      </c>
      <c r="N134" s="11" t="s">
        <v>142</v>
      </c>
      <c r="O134" s="11" t="s">
        <v>142</v>
      </c>
      <c r="P134" s="11" t="s">
        <v>11</v>
      </c>
      <c r="Q134" s="11" t="s">
        <v>143</v>
      </c>
      <c r="R134" s="11" t="s">
        <v>948</v>
      </c>
    </row>
    <row r="135" ht="39" customHeight="1" spans="1:18" s="10" customFormat="1" x14ac:dyDescent="0.25">
      <c r="A135" s="6">
        <v>134</v>
      </c>
      <c r="B135" s="11" t="s">
        <v>28</v>
      </c>
      <c r="C135" s="5" t="s">
        <v>949</v>
      </c>
      <c r="D135" s="11" t="s">
        <v>577</v>
      </c>
      <c r="E135" s="11" t="s">
        <v>950</v>
      </c>
      <c r="F135" s="11" t="s">
        <v>951</v>
      </c>
      <c r="G135" s="11" t="s">
        <v>142</v>
      </c>
      <c r="H135" s="11" t="s">
        <v>142</v>
      </c>
      <c r="I135" s="6" t="s">
        <v>11</v>
      </c>
      <c r="J135" s="11" t="s">
        <v>45</v>
      </c>
      <c r="K135" s="11" t="s">
        <v>149</v>
      </c>
      <c r="L135" s="11" t="s">
        <v>158</v>
      </c>
      <c r="M135" s="11" t="s">
        <v>159</v>
      </c>
      <c r="N135" s="11" t="s">
        <v>142</v>
      </c>
      <c r="O135" s="11" t="s">
        <v>142</v>
      </c>
      <c r="P135" s="11" t="s">
        <v>11</v>
      </c>
      <c r="Q135" s="11" t="s">
        <v>143</v>
      </c>
      <c r="R135" s="11" t="s">
        <v>580</v>
      </c>
    </row>
    <row r="136" ht="39" customHeight="1" spans="1:18" s="10" customFormat="1" x14ac:dyDescent="0.25">
      <c r="A136" s="6">
        <v>135</v>
      </c>
      <c r="B136" s="11" t="s">
        <v>28</v>
      </c>
      <c r="C136" s="5" t="s">
        <v>952</v>
      </c>
      <c r="D136" s="11" t="s">
        <v>577</v>
      </c>
      <c r="E136" s="11" t="s">
        <v>953</v>
      </c>
      <c r="F136" s="11" t="s">
        <v>954</v>
      </c>
      <c r="G136" s="11" t="s">
        <v>142</v>
      </c>
      <c r="H136" s="11" t="s">
        <v>142</v>
      </c>
      <c r="I136" s="6" t="s">
        <v>11</v>
      </c>
      <c r="J136" s="11" t="s">
        <v>45</v>
      </c>
      <c r="K136" s="11" t="s">
        <v>149</v>
      </c>
      <c r="L136" s="11" t="s">
        <v>158</v>
      </c>
      <c r="M136" s="11" t="s">
        <v>159</v>
      </c>
      <c r="N136" s="11" t="s">
        <v>142</v>
      </c>
      <c r="O136" s="11" t="s">
        <v>142</v>
      </c>
      <c r="P136" s="11" t="s">
        <v>11</v>
      </c>
      <c r="Q136" s="11" t="s">
        <v>143</v>
      </c>
      <c r="R136" s="11" t="s">
        <v>580</v>
      </c>
    </row>
    <row r="137" ht="39" customHeight="1" spans="1:18" s="10" customFormat="1" x14ac:dyDescent="0.25">
      <c r="A137" s="6">
        <v>136</v>
      </c>
      <c r="B137" s="11" t="s">
        <v>28</v>
      </c>
      <c r="C137" s="5" t="s">
        <v>955</v>
      </c>
      <c r="D137" s="11" t="s">
        <v>577</v>
      </c>
      <c r="E137" s="11" t="s">
        <v>956</v>
      </c>
      <c r="F137" s="11" t="s">
        <v>957</v>
      </c>
      <c r="G137" s="11" t="s">
        <v>142</v>
      </c>
      <c r="H137" s="11" t="s">
        <v>142</v>
      </c>
      <c r="I137" s="6" t="s">
        <v>11</v>
      </c>
      <c r="J137" s="11" t="s">
        <v>45</v>
      </c>
      <c r="K137" s="11" t="s">
        <v>149</v>
      </c>
      <c r="L137" s="11" t="s">
        <v>158</v>
      </c>
      <c r="M137" s="11" t="s">
        <v>159</v>
      </c>
      <c r="N137" s="11" t="s">
        <v>142</v>
      </c>
      <c r="O137" s="11" t="s">
        <v>142</v>
      </c>
      <c r="P137" s="11" t="s">
        <v>11</v>
      </c>
      <c r="Q137" s="11" t="s">
        <v>143</v>
      </c>
      <c r="R137" s="11" t="s">
        <v>580</v>
      </c>
    </row>
    <row r="138" ht="39" customHeight="1" spans="1:18" s="10" customFormat="1" x14ac:dyDescent="0.25">
      <c r="A138" s="6">
        <v>137</v>
      </c>
      <c r="B138" s="11" t="s">
        <v>28</v>
      </c>
      <c r="C138" s="5" t="s">
        <v>958</v>
      </c>
      <c r="D138" s="11" t="s">
        <v>577</v>
      </c>
      <c r="E138" s="11" t="s">
        <v>959</v>
      </c>
      <c r="F138" s="11" t="s">
        <v>960</v>
      </c>
      <c r="G138" s="11" t="s">
        <v>142</v>
      </c>
      <c r="H138" s="11" t="s">
        <v>142</v>
      </c>
      <c r="I138" s="6" t="s">
        <v>11</v>
      </c>
      <c r="J138" s="11" t="s">
        <v>45</v>
      </c>
      <c r="K138" s="11" t="s">
        <v>149</v>
      </c>
      <c r="L138" s="11" t="s">
        <v>158</v>
      </c>
      <c r="M138" s="11" t="s">
        <v>159</v>
      </c>
      <c r="N138" s="11" t="s">
        <v>142</v>
      </c>
      <c r="O138" s="11" t="s">
        <v>142</v>
      </c>
      <c r="P138" s="11" t="s">
        <v>11</v>
      </c>
      <c r="Q138" s="11" t="s">
        <v>143</v>
      </c>
      <c r="R138" s="11" t="s">
        <v>580</v>
      </c>
    </row>
    <row r="139" ht="39" customHeight="1" spans="1:18" s="10" customFormat="1" x14ac:dyDescent="0.25">
      <c r="A139" s="6">
        <v>138</v>
      </c>
      <c r="B139" s="11" t="s">
        <v>28</v>
      </c>
      <c r="C139" s="5" t="s">
        <v>961</v>
      </c>
      <c r="D139" s="11" t="s">
        <v>577</v>
      </c>
      <c r="E139" s="11" t="s">
        <v>962</v>
      </c>
      <c r="F139" s="11" t="s">
        <v>963</v>
      </c>
      <c r="G139" s="11" t="s">
        <v>142</v>
      </c>
      <c r="H139" s="11" t="s">
        <v>142</v>
      </c>
      <c r="I139" s="6" t="s">
        <v>11</v>
      </c>
      <c r="J139" s="11" t="s">
        <v>45</v>
      </c>
      <c r="K139" s="11" t="s">
        <v>149</v>
      </c>
      <c r="L139" s="11" t="s">
        <v>158</v>
      </c>
      <c r="M139" s="11" t="s">
        <v>159</v>
      </c>
      <c r="N139" s="11" t="s">
        <v>142</v>
      </c>
      <c r="O139" s="11" t="s">
        <v>142</v>
      </c>
      <c r="P139" s="11" t="s">
        <v>11</v>
      </c>
      <c r="Q139" s="11" t="s">
        <v>143</v>
      </c>
      <c r="R139" s="11" t="s">
        <v>580</v>
      </c>
    </row>
    <row r="140" ht="39" customHeight="1" spans="1:18" s="10" customFormat="1" x14ac:dyDescent="0.25">
      <c r="A140" s="6">
        <v>139</v>
      </c>
      <c r="B140" s="11" t="s">
        <v>28</v>
      </c>
      <c r="C140" s="5" t="s">
        <v>964</v>
      </c>
      <c r="D140" s="11" t="s">
        <v>577</v>
      </c>
      <c r="E140" s="11" t="s">
        <v>965</v>
      </c>
      <c r="F140" s="11" t="s">
        <v>966</v>
      </c>
      <c r="G140" s="11" t="s">
        <v>142</v>
      </c>
      <c r="H140" s="11" t="s">
        <v>142</v>
      </c>
      <c r="I140" s="6" t="s">
        <v>11</v>
      </c>
      <c r="J140" s="11" t="s">
        <v>45</v>
      </c>
      <c r="K140" s="11" t="s">
        <v>149</v>
      </c>
      <c r="L140" s="11" t="s">
        <v>158</v>
      </c>
      <c r="M140" s="11" t="s">
        <v>159</v>
      </c>
      <c r="N140" s="11" t="s">
        <v>142</v>
      </c>
      <c r="O140" s="11" t="s">
        <v>142</v>
      </c>
      <c r="P140" s="11" t="s">
        <v>11</v>
      </c>
      <c r="Q140" s="11" t="s">
        <v>143</v>
      </c>
      <c r="R140" s="11" t="s">
        <v>580</v>
      </c>
    </row>
    <row r="141" ht="39" customHeight="1" spans="1:18" s="10" customFormat="1" x14ac:dyDescent="0.25">
      <c r="A141" s="6">
        <v>140</v>
      </c>
      <c r="B141" s="11" t="s">
        <v>28</v>
      </c>
      <c r="C141" s="5" t="s">
        <v>967</v>
      </c>
      <c r="D141" s="11" t="s">
        <v>577</v>
      </c>
      <c r="E141" s="11" t="s">
        <v>968</v>
      </c>
      <c r="F141" s="11" t="s">
        <v>969</v>
      </c>
      <c r="G141" s="11" t="s">
        <v>142</v>
      </c>
      <c r="H141" s="11" t="s">
        <v>142</v>
      </c>
      <c r="I141" s="6" t="s">
        <v>11</v>
      </c>
      <c r="J141" s="11" t="s">
        <v>45</v>
      </c>
      <c r="K141" s="11" t="s">
        <v>149</v>
      </c>
      <c r="L141" s="11" t="s">
        <v>158</v>
      </c>
      <c r="M141" s="11" t="s">
        <v>159</v>
      </c>
      <c r="N141" s="11" t="s">
        <v>142</v>
      </c>
      <c r="O141" s="11" t="s">
        <v>142</v>
      </c>
      <c r="P141" s="11" t="s">
        <v>11</v>
      </c>
      <c r="Q141" s="11" t="s">
        <v>143</v>
      </c>
      <c r="R141" s="11" t="s">
        <v>580</v>
      </c>
    </row>
    <row r="142" ht="39" customHeight="1" spans="1:18" s="10" customFormat="1" x14ac:dyDescent="0.25">
      <c r="A142" s="6">
        <v>141</v>
      </c>
      <c r="B142" s="11" t="s">
        <v>28</v>
      </c>
      <c r="C142" s="5" t="s">
        <v>970</v>
      </c>
      <c r="D142" s="11" t="s">
        <v>577</v>
      </c>
      <c r="E142" s="11" t="s">
        <v>971</v>
      </c>
      <c r="F142" s="11" t="s">
        <v>972</v>
      </c>
      <c r="G142" s="11" t="s">
        <v>142</v>
      </c>
      <c r="H142" s="11" t="s">
        <v>142</v>
      </c>
      <c r="I142" s="6" t="s">
        <v>11</v>
      </c>
      <c r="J142" s="11" t="s">
        <v>45</v>
      </c>
      <c r="K142" s="11" t="s">
        <v>149</v>
      </c>
      <c r="L142" s="11" t="s">
        <v>158</v>
      </c>
      <c r="M142" s="11" t="s">
        <v>159</v>
      </c>
      <c r="N142" s="11" t="s">
        <v>142</v>
      </c>
      <c r="O142" s="11" t="s">
        <v>142</v>
      </c>
      <c r="P142" s="11" t="s">
        <v>11</v>
      </c>
      <c r="Q142" s="11" t="s">
        <v>143</v>
      </c>
      <c r="R142" s="11" t="s">
        <v>580</v>
      </c>
    </row>
    <row r="143" ht="39" customHeight="1" spans="1:18" s="10" customFormat="1" x14ac:dyDescent="0.25">
      <c r="A143" s="6">
        <v>142</v>
      </c>
      <c r="B143" s="11" t="s">
        <v>28</v>
      </c>
      <c r="C143" s="5" t="s">
        <v>973</v>
      </c>
      <c r="D143" s="11" t="s">
        <v>577</v>
      </c>
      <c r="E143" s="11" t="s">
        <v>974</v>
      </c>
      <c r="F143" s="11" t="s">
        <v>975</v>
      </c>
      <c r="G143" s="11" t="s">
        <v>142</v>
      </c>
      <c r="H143" s="11" t="s">
        <v>142</v>
      </c>
      <c r="I143" s="6" t="s">
        <v>11</v>
      </c>
      <c r="J143" s="11" t="s">
        <v>45</v>
      </c>
      <c r="K143" s="11" t="s">
        <v>149</v>
      </c>
      <c r="L143" s="11" t="s">
        <v>158</v>
      </c>
      <c r="M143" s="11" t="s">
        <v>159</v>
      </c>
      <c r="N143" s="11" t="s">
        <v>142</v>
      </c>
      <c r="O143" s="11" t="s">
        <v>142</v>
      </c>
      <c r="P143" s="11" t="s">
        <v>11</v>
      </c>
      <c r="Q143" s="11" t="s">
        <v>143</v>
      </c>
      <c r="R143" s="11" t="s">
        <v>580</v>
      </c>
    </row>
    <row r="144" ht="39" customHeight="1" spans="1:18" s="10" customFormat="1" x14ac:dyDescent="0.25">
      <c r="A144" s="6">
        <v>143</v>
      </c>
      <c r="B144" s="11" t="s">
        <v>28</v>
      </c>
      <c r="C144" s="5" t="s">
        <v>976</v>
      </c>
      <c r="D144" s="11" t="s">
        <v>577</v>
      </c>
      <c r="E144" s="11" t="s">
        <v>977</v>
      </c>
      <c r="F144" s="11" t="s">
        <v>978</v>
      </c>
      <c r="G144" s="11" t="s">
        <v>142</v>
      </c>
      <c r="H144" s="11" t="s">
        <v>142</v>
      </c>
      <c r="I144" s="6" t="s">
        <v>11</v>
      </c>
      <c r="J144" s="11" t="s">
        <v>45</v>
      </c>
      <c r="K144" s="11" t="s">
        <v>149</v>
      </c>
      <c r="L144" s="11" t="s">
        <v>158</v>
      </c>
      <c r="M144" s="11" t="s">
        <v>159</v>
      </c>
      <c r="N144" s="11" t="s">
        <v>142</v>
      </c>
      <c r="O144" s="11" t="s">
        <v>142</v>
      </c>
      <c r="P144" s="11" t="s">
        <v>11</v>
      </c>
      <c r="Q144" s="11" t="s">
        <v>143</v>
      </c>
      <c r="R144" s="11" t="s">
        <v>580</v>
      </c>
    </row>
    <row r="145" ht="39" customHeight="1" spans="1:18" s="10" customFormat="1" x14ac:dyDescent="0.25">
      <c r="A145" s="6">
        <v>144</v>
      </c>
      <c r="B145" s="11" t="s">
        <v>28</v>
      </c>
      <c r="C145" s="5" t="s">
        <v>979</v>
      </c>
      <c r="D145" s="11" t="s">
        <v>577</v>
      </c>
      <c r="E145" s="11" t="s">
        <v>980</v>
      </c>
      <c r="F145" s="11" t="s">
        <v>981</v>
      </c>
      <c r="G145" s="11" t="s">
        <v>142</v>
      </c>
      <c r="H145" s="11" t="s">
        <v>142</v>
      </c>
      <c r="I145" s="6" t="s">
        <v>11</v>
      </c>
      <c r="J145" s="11" t="s">
        <v>45</v>
      </c>
      <c r="K145" s="11" t="s">
        <v>149</v>
      </c>
      <c r="L145" s="11" t="s">
        <v>158</v>
      </c>
      <c r="M145" s="11" t="s">
        <v>159</v>
      </c>
      <c r="N145" s="11" t="s">
        <v>142</v>
      </c>
      <c r="O145" s="11" t="s">
        <v>142</v>
      </c>
      <c r="P145" s="11" t="s">
        <v>11</v>
      </c>
      <c r="Q145" s="11" t="s">
        <v>143</v>
      </c>
      <c r="R145" s="11" t="s">
        <v>580</v>
      </c>
    </row>
    <row r="146" ht="39" customHeight="1" spans="1:18" s="10" customFormat="1" x14ac:dyDescent="0.25">
      <c r="A146" s="6">
        <v>145</v>
      </c>
      <c r="B146" s="11" t="s">
        <v>28</v>
      </c>
      <c r="C146" s="5" t="s">
        <v>982</v>
      </c>
      <c r="D146" s="11" t="s">
        <v>577</v>
      </c>
      <c r="E146" s="11" t="s">
        <v>983</v>
      </c>
      <c r="F146" s="11" t="s">
        <v>984</v>
      </c>
      <c r="G146" s="11" t="s">
        <v>142</v>
      </c>
      <c r="H146" s="11" t="s">
        <v>142</v>
      </c>
      <c r="I146" s="6" t="s">
        <v>11</v>
      </c>
      <c r="J146" s="11" t="s">
        <v>45</v>
      </c>
      <c r="K146" s="11" t="s">
        <v>149</v>
      </c>
      <c r="L146" s="11" t="s">
        <v>158</v>
      </c>
      <c r="M146" s="11" t="s">
        <v>159</v>
      </c>
      <c r="N146" s="11" t="s">
        <v>142</v>
      </c>
      <c r="O146" s="11" t="s">
        <v>142</v>
      </c>
      <c r="P146" s="11" t="s">
        <v>11</v>
      </c>
      <c r="Q146" s="11" t="s">
        <v>143</v>
      </c>
      <c r="R146" s="11" t="s">
        <v>580</v>
      </c>
    </row>
    <row r="147" ht="39" customHeight="1" spans="1:18" s="10" customFormat="1" x14ac:dyDescent="0.25">
      <c r="A147" s="6">
        <v>146</v>
      </c>
      <c r="B147" s="11" t="s">
        <v>28</v>
      </c>
      <c r="C147" s="5" t="s">
        <v>985</v>
      </c>
      <c r="D147" s="11" t="s">
        <v>577</v>
      </c>
      <c r="E147" s="11" t="s">
        <v>986</v>
      </c>
      <c r="F147" s="11" t="s">
        <v>987</v>
      </c>
      <c r="G147" s="11" t="s">
        <v>142</v>
      </c>
      <c r="H147" s="11" t="s">
        <v>142</v>
      </c>
      <c r="I147" s="6" t="s">
        <v>11</v>
      </c>
      <c r="J147" s="11" t="s">
        <v>45</v>
      </c>
      <c r="K147" s="11" t="s">
        <v>149</v>
      </c>
      <c r="L147" s="11" t="s">
        <v>158</v>
      </c>
      <c r="M147" s="11" t="s">
        <v>159</v>
      </c>
      <c r="N147" s="11" t="s">
        <v>142</v>
      </c>
      <c r="O147" s="11" t="s">
        <v>142</v>
      </c>
      <c r="P147" s="11" t="s">
        <v>11</v>
      </c>
      <c r="Q147" s="11" t="s">
        <v>143</v>
      </c>
      <c r="R147" s="11" t="s">
        <v>580</v>
      </c>
    </row>
    <row r="148" ht="39" customHeight="1" spans="1:18" s="10" customFormat="1" x14ac:dyDescent="0.25">
      <c r="A148" s="6">
        <v>147</v>
      </c>
      <c r="B148" s="11" t="s">
        <v>28</v>
      </c>
      <c r="C148" s="5" t="s">
        <v>988</v>
      </c>
      <c r="D148" s="11" t="s">
        <v>577</v>
      </c>
      <c r="E148" s="11" t="s">
        <v>989</v>
      </c>
      <c r="F148" s="11" t="s">
        <v>990</v>
      </c>
      <c r="G148" s="11" t="s">
        <v>142</v>
      </c>
      <c r="H148" s="11" t="s">
        <v>142</v>
      </c>
      <c r="I148" s="6" t="s">
        <v>11</v>
      </c>
      <c r="J148" s="11" t="s">
        <v>45</v>
      </c>
      <c r="K148" s="11" t="s">
        <v>149</v>
      </c>
      <c r="L148" s="11" t="s">
        <v>158</v>
      </c>
      <c r="M148" s="11" t="s">
        <v>159</v>
      </c>
      <c r="N148" s="11" t="s">
        <v>142</v>
      </c>
      <c r="O148" s="11" t="s">
        <v>142</v>
      </c>
      <c r="P148" s="11" t="s">
        <v>11</v>
      </c>
      <c r="Q148" s="11" t="s">
        <v>143</v>
      </c>
      <c r="R148" s="11" t="s">
        <v>580</v>
      </c>
    </row>
    <row r="149" ht="15" customHeight="1" spans="1:18" s="10" customFormat="1" x14ac:dyDescent="0.25">
      <c r="A149" s="6">
        <v>148</v>
      </c>
      <c r="B149" s="11" t="s">
        <v>28</v>
      </c>
      <c r="C149" s="5" t="s">
        <v>991</v>
      </c>
      <c r="D149" s="11" t="s">
        <v>577</v>
      </c>
      <c r="E149" s="11" t="s">
        <v>992</v>
      </c>
      <c r="F149" s="11" t="s">
        <v>993</v>
      </c>
      <c r="G149" s="11" t="s">
        <v>142</v>
      </c>
      <c r="H149" s="11" t="s">
        <v>142</v>
      </c>
      <c r="I149" s="6" t="s">
        <v>11</v>
      </c>
      <c r="J149" s="11" t="s">
        <v>45</v>
      </c>
      <c r="K149" s="11" t="s">
        <v>149</v>
      </c>
      <c r="L149" s="11" t="s">
        <v>158</v>
      </c>
      <c r="M149" s="11" t="s">
        <v>159</v>
      </c>
      <c r="N149" s="11" t="s">
        <v>142</v>
      </c>
      <c r="O149" s="11" t="s">
        <v>142</v>
      </c>
      <c r="P149" s="11" t="s">
        <v>11</v>
      </c>
      <c r="Q149" s="11" t="s">
        <v>143</v>
      </c>
      <c r="R149" s="11" t="s">
        <v>994</v>
      </c>
    </row>
    <row r="150" ht="51" customHeight="1" spans="1:18" s="10" customFormat="1" x14ac:dyDescent="0.25">
      <c r="A150" s="6">
        <v>149</v>
      </c>
      <c r="B150" s="11" t="s">
        <v>29</v>
      </c>
      <c r="C150" s="5" t="s">
        <v>995</v>
      </c>
      <c r="D150" s="11" t="s">
        <v>552</v>
      </c>
      <c r="E150" s="11" t="s">
        <v>996</v>
      </c>
      <c r="F150" s="11" t="s">
        <v>997</v>
      </c>
      <c r="G150" s="11" t="s">
        <v>998</v>
      </c>
      <c r="H150" s="11" t="s">
        <v>142</v>
      </c>
      <c r="I150" s="6" t="s">
        <v>11</v>
      </c>
      <c r="J150" s="11" t="s">
        <v>45</v>
      </c>
      <c r="K150" s="11" t="s">
        <v>149</v>
      </c>
      <c r="L150" s="11" t="s">
        <v>999</v>
      </c>
      <c r="M150" s="11" t="s">
        <v>741</v>
      </c>
      <c r="N150" s="11" t="s">
        <v>1000</v>
      </c>
      <c r="O150" s="11" t="s">
        <v>142</v>
      </c>
      <c r="P150" s="11" t="s">
        <v>11</v>
      </c>
      <c r="Q150" s="11" t="s">
        <v>143</v>
      </c>
      <c r="R150" s="11" t="s">
        <v>1001</v>
      </c>
    </row>
    <row r="151" ht="75" customHeight="1" spans="1:18" s="10" customFormat="1" x14ac:dyDescent="0.25">
      <c r="A151" s="6">
        <v>150</v>
      </c>
      <c r="B151" s="11" t="s">
        <v>29</v>
      </c>
      <c r="C151" s="5" t="s">
        <v>1002</v>
      </c>
      <c r="D151" s="11" t="s">
        <v>176</v>
      </c>
      <c r="E151" s="11" t="s">
        <v>1003</v>
      </c>
      <c r="F151" s="11" t="s">
        <v>1004</v>
      </c>
      <c r="G151" s="11" t="s">
        <v>1005</v>
      </c>
      <c r="H151" s="11" t="s">
        <v>142</v>
      </c>
      <c r="I151" s="6" t="s">
        <v>11</v>
      </c>
      <c r="J151" s="11" t="s">
        <v>45</v>
      </c>
      <c r="K151" s="11" t="s">
        <v>149</v>
      </c>
      <c r="L151" s="11" t="s">
        <v>1006</v>
      </c>
      <c r="M151" s="11" t="s">
        <v>741</v>
      </c>
      <c r="N151" s="11" t="s">
        <v>142</v>
      </c>
      <c r="O151" s="11" t="s">
        <v>142</v>
      </c>
      <c r="P151" s="11" t="s">
        <v>11</v>
      </c>
      <c r="Q151" s="11" t="s">
        <v>143</v>
      </c>
      <c r="R151" s="11" t="s">
        <v>1007</v>
      </c>
    </row>
    <row r="152" ht="63" customHeight="1" spans="1:18" s="10" customFormat="1" x14ac:dyDescent="0.25">
      <c r="A152" s="6">
        <v>151</v>
      </c>
      <c r="B152" s="11" t="s">
        <v>29</v>
      </c>
      <c r="C152" s="5" t="s">
        <v>1008</v>
      </c>
      <c r="D152" s="11" t="s">
        <v>355</v>
      </c>
      <c r="E152" s="11" t="s">
        <v>1009</v>
      </c>
      <c r="F152" s="11" t="s">
        <v>1010</v>
      </c>
      <c r="G152" s="11" t="s">
        <v>1011</v>
      </c>
      <c r="H152" s="11" t="s">
        <v>142</v>
      </c>
      <c r="I152" s="6" t="s">
        <v>11</v>
      </c>
      <c r="J152" s="11" t="s">
        <v>45</v>
      </c>
      <c r="K152" s="11" t="s">
        <v>149</v>
      </c>
      <c r="L152" s="11" t="s">
        <v>1012</v>
      </c>
      <c r="M152" s="11" t="s">
        <v>1012</v>
      </c>
      <c r="N152" s="11" t="s">
        <v>142</v>
      </c>
      <c r="O152" s="11" t="s">
        <v>142</v>
      </c>
      <c r="P152" s="11" t="s">
        <v>11</v>
      </c>
      <c r="Q152" s="11" t="s">
        <v>143</v>
      </c>
      <c r="R152" s="11" t="s">
        <v>1013</v>
      </c>
    </row>
    <row r="153" ht="39" customHeight="1" spans="1:18" s="10" customFormat="1" x14ac:dyDescent="0.25">
      <c r="A153" s="6">
        <v>152</v>
      </c>
      <c r="B153" s="11" t="s">
        <v>29</v>
      </c>
      <c r="C153" s="5" t="s">
        <v>1014</v>
      </c>
      <c r="D153" s="11" t="s">
        <v>388</v>
      </c>
      <c r="E153" s="11" t="s">
        <v>1015</v>
      </c>
      <c r="F153" s="11" t="s">
        <v>1016</v>
      </c>
      <c r="G153" s="11" t="s">
        <v>411</v>
      </c>
      <c r="H153" s="11" t="s">
        <v>142</v>
      </c>
      <c r="I153" s="6" t="s">
        <v>11</v>
      </c>
      <c r="J153" s="11" t="s">
        <v>45</v>
      </c>
      <c r="K153" s="11" t="s">
        <v>149</v>
      </c>
      <c r="L153" s="11" t="s">
        <v>1017</v>
      </c>
      <c r="M153" s="11" t="s">
        <v>741</v>
      </c>
      <c r="N153" s="11" t="s">
        <v>142</v>
      </c>
      <c r="O153" s="11" t="s">
        <v>142</v>
      </c>
      <c r="P153" s="11" t="s">
        <v>11</v>
      </c>
      <c r="Q153" s="11" t="s">
        <v>143</v>
      </c>
      <c r="R153" s="11" t="s">
        <v>1018</v>
      </c>
    </row>
    <row r="154" ht="39" customHeight="1" spans="1:18" s="10" customFormat="1" x14ac:dyDescent="0.25">
      <c r="A154" s="6">
        <v>153</v>
      </c>
      <c r="B154" s="11" t="s">
        <v>29</v>
      </c>
      <c r="C154" s="5" t="s">
        <v>1019</v>
      </c>
      <c r="D154" s="11" t="s">
        <v>176</v>
      </c>
      <c r="E154" s="11" t="s">
        <v>1020</v>
      </c>
      <c r="F154" s="11" t="s">
        <v>1021</v>
      </c>
      <c r="G154" s="11" t="s">
        <v>1022</v>
      </c>
      <c r="H154" s="11" t="s">
        <v>142</v>
      </c>
      <c r="I154" s="6" t="s">
        <v>11</v>
      </c>
      <c r="J154" s="11" t="s">
        <v>45</v>
      </c>
      <c r="K154" s="11" t="s">
        <v>149</v>
      </c>
      <c r="L154" s="11" t="s">
        <v>1023</v>
      </c>
      <c r="M154" s="11" t="s">
        <v>741</v>
      </c>
      <c r="N154" s="11" t="s">
        <v>142</v>
      </c>
      <c r="O154" s="11" t="s">
        <v>142</v>
      </c>
      <c r="P154" s="11" t="s">
        <v>11</v>
      </c>
      <c r="Q154" s="11" t="s">
        <v>143</v>
      </c>
      <c r="R154" s="11" t="s">
        <v>1024</v>
      </c>
    </row>
    <row r="155" ht="51" customHeight="1" spans="1:18" s="10" customFormat="1" x14ac:dyDescent="0.25">
      <c r="A155" s="6">
        <v>154</v>
      </c>
      <c r="B155" s="11" t="s">
        <v>29</v>
      </c>
      <c r="C155" s="5" t="s">
        <v>1025</v>
      </c>
      <c r="D155" s="11" t="s">
        <v>355</v>
      </c>
      <c r="E155" s="11" t="s">
        <v>1026</v>
      </c>
      <c r="F155" s="11" t="s">
        <v>1027</v>
      </c>
      <c r="G155" s="11" t="s">
        <v>1028</v>
      </c>
      <c r="H155" s="11" t="s">
        <v>142</v>
      </c>
      <c r="I155" s="6" t="s">
        <v>11</v>
      </c>
      <c r="J155" s="11" t="s">
        <v>45</v>
      </c>
      <c r="K155" s="11" t="s">
        <v>149</v>
      </c>
      <c r="L155" s="11" t="s">
        <v>1029</v>
      </c>
      <c r="M155" s="11" t="s">
        <v>1030</v>
      </c>
      <c r="N155" s="11" t="s">
        <v>142</v>
      </c>
      <c r="O155" s="11" t="s">
        <v>142</v>
      </c>
      <c r="P155" s="11" t="s">
        <v>11</v>
      </c>
      <c r="Q155" s="11" t="s">
        <v>143</v>
      </c>
      <c r="R155" s="11" t="s">
        <v>1031</v>
      </c>
    </row>
    <row r="156" ht="99" customHeight="1" spans="1:18" s="10" customFormat="1" x14ac:dyDescent="0.25">
      <c r="A156" s="6">
        <v>155</v>
      </c>
      <c r="B156" s="11" t="s">
        <v>29</v>
      </c>
      <c r="C156" s="5" t="s">
        <v>1032</v>
      </c>
      <c r="D156" s="11" t="s">
        <v>329</v>
      </c>
      <c r="E156" s="11" t="s">
        <v>1033</v>
      </c>
      <c r="F156" s="11" t="s">
        <v>1034</v>
      </c>
      <c r="G156" s="11" t="s">
        <v>1035</v>
      </c>
      <c r="H156" s="11" t="s">
        <v>142</v>
      </c>
      <c r="I156" s="6" t="s">
        <v>11</v>
      </c>
      <c r="J156" s="11" t="s">
        <v>46</v>
      </c>
      <c r="K156" s="11" t="s">
        <v>1036</v>
      </c>
      <c r="L156" s="11" t="s">
        <v>1037</v>
      </c>
      <c r="M156" s="11" t="s">
        <v>1038</v>
      </c>
      <c r="N156" s="11" t="s">
        <v>1039</v>
      </c>
      <c r="O156" s="11" t="s">
        <v>337</v>
      </c>
      <c r="P156" s="11" t="s">
        <v>11</v>
      </c>
      <c r="Q156" s="11" t="s">
        <v>143</v>
      </c>
      <c r="R156" s="11" t="s">
        <v>1040</v>
      </c>
    </row>
    <row r="157" ht="75" customHeight="1" spans="1:18" s="10" customFormat="1" x14ac:dyDescent="0.25">
      <c r="A157" s="6">
        <v>156</v>
      </c>
      <c r="B157" s="11" t="s">
        <v>29</v>
      </c>
      <c r="C157" s="5" t="s">
        <v>1041</v>
      </c>
      <c r="D157" s="11" t="s">
        <v>214</v>
      </c>
      <c r="E157" s="11" t="s">
        <v>1042</v>
      </c>
      <c r="F157" s="11" t="s">
        <v>1043</v>
      </c>
      <c r="G157" s="11" t="s">
        <v>1044</v>
      </c>
      <c r="H157" s="11" t="s">
        <v>142</v>
      </c>
      <c r="I157" s="6" t="s">
        <v>11</v>
      </c>
      <c r="J157" s="11" t="s">
        <v>45</v>
      </c>
      <c r="K157" s="11" t="s">
        <v>149</v>
      </c>
      <c r="L157" s="11" t="s">
        <v>1045</v>
      </c>
      <c r="M157" s="11" t="s">
        <v>1046</v>
      </c>
      <c r="N157" s="11" t="s">
        <v>1047</v>
      </c>
      <c r="O157" s="11" t="s">
        <v>142</v>
      </c>
      <c r="P157" s="11" t="s">
        <v>11</v>
      </c>
      <c r="Q157" s="11" t="s">
        <v>143</v>
      </c>
      <c r="R157" s="11" t="s">
        <v>1048</v>
      </c>
    </row>
    <row r="158" ht="63" customHeight="1" spans="1:18" s="10" customFormat="1" x14ac:dyDescent="0.25">
      <c r="A158" s="6">
        <v>157</v>
      </c>
      <c r="B158" s="11" t="s">
        <v>29</v>
      </c>
      <c r="C158" s="5" t="s">
        <v>1049</v>
      </c>
      <c r="D158" s="11" t="s">
        <v>552</v>
      </c>
      <c r="E158" s="11" t="s">
        <v>1050</v>
      </c>
      <c r="F158" s="11" t="s">
        <v>1051</v>
      </c>
      <c r="G158" s="11" t="s">
        <v>156</v>
      </c>
      <c r="H158" s="11" t="s">
        <v>142</v>
      </c>
      <c r="I158" s="6" t="s">
        <v>11</v>
      </c>
      <c r="J158" s="11" t="s">
        <v>45</v>
      </c>
      <c r="K158" s="11" t="s">
        <v>149</v>
      </c>
      <c r="L158" s="11" t="s">
        <v>1052</v>
      </c>
      <c r="M158" s="11" t="s">
        <v>1053</v>
      </c>
      <c r="N158" s="11" t="s">
        <v>142</v>
      </c>
      <c r="O158" s="11" t="s">
        <v>142</v>
      </c>
      <c r="P158" s="11" t="s">
        <v>11</v>
      </c>
      <c r="Q158" s="11" t="s">
        <v>143</v>
      </c>
      <c r="R158" s="11" t="s">
        <v>1054</v>
      </c>
    </row>
    <row r="159" ht="63" customHeight="1" spans="1:18" s="10" customFormat="1" x14ac:dyDescent="0.25">
      <c r="A159" s="6">
        <v>158</v>
      </c>
      <c r="B159" s="11" t="s">
        <v>29</v>
      </c>
      <c r="C159" s="5" t="s">
        <v>1055</v>
      </c>
      <c r="D159" s="11" t="s">
        <v>214</v>
      </c>
      <c r="E159" s="11" t="s">
        <v>1056</v>
      </c>
      <c r="F159" s="11" t="s">
        <v>1057</v>
      </c>
      <c r="G159" s="11" t="s">
        <v>202</v>
      </c>
      <c r="H159" s="11" t="s">
        <v>142</v>
      </c>
      <c r="I159" s="6" t="s">
        <v>11</v>
      </c>
      <c r="J159" s="11" t="s">
        <v>45</v>
      </c>
      <c r="K159" s="11" t="s">
        <v>149</v>
      </c>
      <c r="L159" s="11" t="s">
        <v>1058</v>
      </c>
      <c r="M159" s="11" t="s">
        <v>1059</v>
      </c>
      <c r="N159" s="11" t="s">
        <v>142</v>
      </c>
      <c r="O159" s="11" t="s">
        <v>142</v>
      </c>
      <c r="P159" s="11" t="s">
        <v>11</v>
      </c>
      <c r="Q159" s="11" t="s">
        <v>143</v>
      </c>
      <c r="R159" s="11" t="s">
        <v>1060</v>
      </c>
    </row>
    <row r="160" ht="39" customHeight="1" spans="1:18" s="10" customFormat="1" x14ac:dyDescent="0.25">
      <c r="A160" s="6">
        <v>159</v>
      </c>
      <c r="B160" s="11" t="s">
        <v>30</v>
      </c>
      <c r="C160" s="5" t="s">
        <v>1061</v>
      </c>
      <c r="D160" s="11" t="s">
        <v>87</v>
      </c>
      <c r="E160" s="11" t="s">
        <v>1062</v>
      </c>
      <c r="F160" s="11" t="s">
        <v>1063</v>
      </c>
      <c r="G160" s="11" t="s">
        <v>142</v>
      </c>
      <c r="H160" s="11" t="s">
        <v>142</v>
      </c>
      <c r="I160" s="6" t="s">
        <v>11</v>
      </c>
      <c r="J160" s="11" t="s">
        <v>45</v>
      </c>
      <c r="K160" s="11" t="s">
        <v>149</v>
      </c>
      <c r="L160" s="11" t="s">
        <v>1064</v>
      </c>
      <c r="M160" s="11" t="s">
        <v>1065</v>
      </c>
      <c r="N160" s="11" t="s">
        <v>142</v>
      </c>
      <c r="O160" s="11" t="s">
        <v>142</v>
      </c>
      <c r="P160" s="11" t="s">
        <v>11</v>
      </c>
      <c r="Q160" s="11" t="s">
        <v>143</v>
      </c>
      <c r="R160" s="11" t="s">
        <v>1066</v>
      </c>
    </row>
    <row r="161" ht="51" customHeight="1" spans="1:18" s="10" customFormat="1" x14ac:dyDescent="0.25">
      <c r="A161" s="6">
        <v>160</v>
      </c>
      <c r="B161" s="11" t="s">
        <v>30</v>
      </c>
      <c r="C161" s="5" t="s">
        <v>1067</v>
      </c>
      <c r="D161" s="11" t="s">
        <v>300</v>
      </c>
      <c r="E161" s="11" t="s">
        <v>1068</v>
      </c>
      <c r="F161" s="11" t="s">
        <v>1069</v>
      </c>
      <c r="G161" s="11" t="s">
        <v>303</v>
      </c>
      <c r="H161" s="11" t="s">
        <v>142</v>
      </c>
      <c r="I161" s="6" t="s">
        <v>11</v>
      </c>
      <c r="J161" s="11" t="s">
        <v>45</v>
      </c>
      <c r="K161" s="11" t="s">
        <v>149</v>
      </c>
      <c r="L161" s="11" t="s">
        <v>1070</v>
      </c>
      <c r="M161" s="11" t="s">
        <v>1071</v>
      </c>
      <c r="N161" s="11" t="s">
        <v>142</v>
      </c>
      <c r="O161" s="11" t="s">
        <v>142</v>
      </c>
      <c r="P161" s="11" t="s">
        <v>11</v>
      </c>
      <c r="Q161" s="11" t="s">
        <v>143</v>
      </c>
      <c r="R161" s="11" t="s">
        <v>1072</v>
      </c>
    </row>
    <row r="162" ht="51" customHeight="1" spans="1:18" s="10" customFormat="1" x14ac:dyDescent="0.25">
      <c r="A162" s="6">
        <v>161</v>
      </c>
      <c r="B162" s="11" t="s">
        <v>30</v>
      </c>
      <c r="C162" s="5" t="s">
        <v>1073</v>
      </c>
      <c r="D162" s="11" t="s">
        <v>1074</v>
      </c>
      <c r="E162" s="11" t="s">
        <v>1075</v>
      </c>
      <c r="F162" s="11" t="s">
        <v>1076</v>
      </c>
      <c r="G162" s="11" t="s">
        <v>142</v>
      </c>
      <c r="H162" s="11" t="s">
        <v>142</v>
      </c>
      <c r="I162" s="6" t="s">
        <v>11</v>
      </c>
      <c r="J162" s="11" t="s">
        <v>45</v>
      </c>
      <c r="K162" s="11" t="s">
        <v>149</v>
      </c>
      <c r="L162" s="11" t="s">
        <v>1077</v>
      </c>
      <c r="M162" s="11" t="s">
        <v>1078</v>
      </c>
      <c r="N162" s="11" t="s">
        <v>142</v>
      </c>
      <c r="O162" s="11" t="s">
        <v>142</v>
      </c>
      <c r="P162" s="11" t="s">
        <v>11</v>
      </c>
      <c r="Q162" s="11" t="s">
        <v>143</v>
      </c>
      <c r="R162" s="11" t="s">
        <v>1079</v>
      </c>
    </row>
    <row r="163" ht="63" customHeight="1" spans="1:18" s="10" customFormat="1" x14ac:dyDescent="0.25">
      <c r="A163" s="6">
        <v>162</v>
      </c>
      <c r="B163" s="11" t="s">
        <v>30</v>
      </c>
      <c r="C163" s="5" t="s">
        <v>1080</v>
      </c>
      <c r="D163" s="11" t="s">
        <v>582</v>
      </c>
      <c r="E163" s="11" t="s">
        <v>1081</v>
      </c>
      <c r="F163" s="11" t="s">
        <v>1082</v>
      </c>
      <c r="G163" s="11" t="s">
        <v>142</v>
      </c>
      <c r="H163" s="11" t="s">
        <v>142</v>
      </c>
      <c r="I163" s="6" t="s">
        <v>11</v>
      </c>
      <c r="J163" s="11" t="s">
        <v>45</v>
      </c>
      <c r="K163" s="11" t="s">
        <v>149</v>
      </c>
      <c r="L163" s="11" t="s">
        <v>1083</v>
      </c>
      <c r="M163" s="11" t="s">
        <v>1084</v>
      </c>
      <c r="N163" s="11" t="s">
        <v>142</v>
      </c>
      <c r="O163" s="11" t="s">
        <v>142</v>
      </c>
      <c r="P163" s="11" t="s">
        <v>11</v>
      </c>
      <c r="Q163" s="11" t="s">
        <v>143</v>
      </c>
      <c r="R163" s="11" t="s">
        <v>1085</v>
      </c>
    </row>
    <row r="164" ht="39" customHeight="1" spans="1:18" s="10" customFormat="1" x14ac:dyDescent="0.25">
      <c r="A164" s="6">
        <v>163</v>
      </c>
      <c r="B164" s="11" t="s">
        <v>30</v>
      </c>
      <c r="C164" s="5" t="s">
        <v>1086</v>
      </c>
      <c r="D164" s="11" t="s">
        <v>27</v>
      </c>
      <c r="E164" s="11" t="s">
        <v>1087</v>
      </c>
      <c r="F164" s="11" t="s">
        <v>1088</v>
      </c>
      <c r="G164" s="11" t="s">
        <v>142</v>
      </c>
      <c r="H164" s="11" t="s">
        <v>142</v>
      </c>
      <c r="I164" s="6" t="s">
        <v>11</v>
      </c>
      <c r="J164" s="11" t="s">
        <v>45</v>
      </c>
      <c r="K164" s="11" t="s">
        <v>149</v>
      </c>
      <c r="L164" s="11" t="s">
        <v>1089</v>
      </c>
      <c r="M164" s="11" t="s">
        <v>1090</v>
      </c>
      <c r="N164" s="11" t="s">
        <v>142</v>
      </c>
      <c r="O164" s="11" t="s">
        <v>142</v>
      </c>
      <c r="P164" s="11" t="s">
        <v>11</v>
      </c>
      <c r="Q164" s="11" t="s">
        <v>143</v>
      </c>
      <c r="R164" s="11" t="s">
        <v>1091</v>
      </c>
    </row>
    <row r="165" ht="51" customHeight="1" spans="1:18" s="10" customFormat="1" x14ac:dyDescent="0.25">
      <c r="A165" s="6">
        <v>164</v>
      </c>
      <c r="B165" s="11" t="s">
        <v>30</v>
      </c>
      <c r="C165" s="5" t="s">
        <v>1092</v>
      </c>
      <c r="D165" s="11" t="s">
        <v>491</v>
      </c>
      <c r="E165" s="11" t="s">
        <v>1093</v>
      </c>
      <c r="F165" s="11" t="s">
        <v>1094</v>
      </c>
      <c r="G165" s="11" t="s">
        <v>1095</v>
      </c>
      <c r="H165" s="11" t="s">
        <v>142</v>
      </c>
      <c r="I165" s="6" t="s">
        <v>11</v>
      </c>
      <c r="J165" s="11" t="s">
        <v>45</v>
      </c>
      <c r="K165" s="11" t="s">
        <v>149</v>
      </c>
      <c r="L165" s="11" t="s">
        <v>1096</v>
      </c>
      <c r="M165" s="11" t="s">
        <v>1097</v>
      </c>
      <c r="N165" s="11" t="s">
        <v>142</v>
      </c>
      <c r="O165" s="11" t="s">
        <v>142</v>
      </c>
      <c r="P165" s="11" t="s">
        <v>11</v>
      </c>
      <c r="Q165" s="11" t="s">
        <v>143</v>
      </c>
      <c r="R165" s="11" t="s">
        <v>1098</v>
      </c>
    </row>
    <row r="166" ht="51" customHeight="1" spans="1:18" s="10" customFormat="1" x14ac:dyDescent="0.25">
      <c r="A166" s="6">
        <v>165</v>
      </c>
      <c r="B166" s="11" t="s">
        <v>30</v>
      </c>
      <c r="C166" s="5" t="s">
        <v>1099</v>
      </c>
      <c r="D166" s="11" t="s">
        <v>214</v>
      </c>
      <c r="E166" s="11" t="s">
        <v>1100</v>
      </c>
      <c r="F166" s="11" t="s">
        <v>1101</v>
      </c>
      <c r="G166" s="11" t="s">
        <v>233</v>
      </c>
      <c r="H166" s="11" t="s">
        <v>142</v>
      </c>
      <c r="I166" s="6" t="s">
        <v>11</v>
      </c>
      <c r="J166" s="11" t="s">
        <v>45</v>
      </c>
      <c r="K166" s="11" t="s">
        <v>149</v>
      </c>
      <c r="L166" s="11" t="s">
        <v>1102</v>
      </c>
      <c r="M166" s="11" t="s">
        <v>1103</v>
      </c>
      <c r="N166" s="11" t="s">
        <v>142</v>
      </c>
      <c r="O166" s="11" t="s">
        <v>142</v>
      </c>
      <c r="P166" s="11" t="s">
        <v>11</v>
      </c>
      <c r="Q166" s="11" t="s">
        <v>143</v>
      </c>
      <c r="R166" s="11" t="s">
        <v>1104</v>
      </c>
    </row>
    <row r="167" ht="51" customHeight="1" spans="1:18" s="10" customFormat="1" x14ac:dyDescent="0.25">
      <c r="A167" s="6">
        <v>166</v>
      </c>
      <c r="B167" s="11" t="s">
        <v>30</v>
      </c>
      <c r="C167" s="5" t="s">
        <v>1105</v>
      </c>
      <c r="D167" s="11" t="s">
        <v>133</v>
      </c>
      <c r="E167" s="11" t="s">
        <v>1106</v>
      </c>
      <c r="F167" s="11" t="s">
        <v>1107</v>
      </c>
      <c r="G167" s="11" t="s">
        <v>1108</v>
      </c>
      <c r="H167" s="11" t="s">
        <v>142</v>
      </c>
      <c r="I167" s="6" t="s">
        <v>11</v>
      </c>
      <c r="J167" s="11" t="s">
        <v>45</v>
      </c>
      <c r="K167" s="11" t="s">
        <v>149</v>
      </c>
      <c r="L167" s="11" t="s">
        <v>1109</v>
      </c>
      <c r="M167" s="11" t="s">
        <v>1110</v>
      </c>
      <c r="N167" s="11" t="s">
        <v>142</v>
      </c>
      <c r="O167" s="11" t="s">
        <v>142</v>
      </c>
      <c r="P167" s="11" t="s">
        <v>11</v>
      </c>
      <c r="Q167" s="11" t="s">
        <v>143</v>
      </c>
      <c r="R167" s="11" t="s">
        <v>1111</v>
      </c>
    </row>
    <row r="168" ht="51" customHeight="1" spans="1:18" s="10" customFormat="1" x14ac:dyDescent="0.25">
      <c r="A168" s="6">
        <v>167</v>
      </c>
      <c r="B168" s="11" t="s">
        <v>30</v>
      </c>
      <c r="C168" s="5" t="s">
        <v>1112</v>
      </c>
      <c r="D168" s="11" t="s">
        <v>1074</v>
      </c>
      <c r="E168" s="11" t="s">
        <v>1113</v>
      </c>
      <c r="F168" s="11" t="s">
        <v>1114</v>
      </c>
      <c r="G168" s="11" t="s">
        <v>1115</v>
      </c>
      <c r="H168" s="11" t="s">
        <v>142</v>
      </c>
      <c r="I168" s="6" t="s">
        <v>11</v>
      </c>
      <c r="J168" s="11" t="s">
        <v>45</v>
      </c>
      <c r="K168" s="11" t="s">
        <v>149</v>
      </c>
      <c r="L168" s="11" t="s">
        <v>1116</v>
      </c>
      <c r="M168" s="11" t="s">
        <v>1117</v>
      </c>
      <c r="N168" s="11" t="s">
        <v>142</v>
      </c>
      <c r="O168" s="11" t="s">
        <v>142</v>
      </c>
      <c r="P168" s="11" t="s">
        <v>11</v>
      </c>
      <c r="Q168" s="11" t="s">
        <v>143</v>
      </c>
      <c r="R168" s="11" t="s">
        <v>1118</v>
      </c>
    </row>
    <row r="169" ht="75" customHeight="1" spans="1:18" s="10" customFormat="1" x14ac:dyDescent="0.25">
      <c r="A169" s="6">
        <v>168</v>
      </c>
      <c r="B169" s="11" t="s">
        <v>30</v>
      </c>
      <c r="C169" s="5" t="s">
        <v>1119</v>
      </c>
      <c r="D169" s="11" t="s">
        <v>355</v>
      </c>
      <c r="E169" s="11" t="s">
        <v>1120</v>
      </c>
      <c r="F169" s="11" t="s">
        <v>1121</v>
      </c>
      <c r="G169" s="11" t="s">
        <v>1122</v>
      </c>
      <c r="H169" s="11" t="s">
        <v>142</v>
      </c>
      <c r="I169" s="6" t="s">
        <v>11</v>
      </c>
      <c r="J169" s="11" t="s">
        <v>46</v>
      </c>
      <c r="K169" s="11" t="s">
        <v>1123</v>
      </c>
      <c r="L169" s="11" t="s">
        <v>1124</v>
      </c>
      <c r="M169" s="11" t="s">
        <v>1125</v>
      </c>
      <c r="N169" s="11" t="s">
        <v>142</v>
      </c>
      <c r="O169" s="11" t="s">
        <v>1126</v>
      </c>
      <c r="P169" s="11" t="s">
        <v>11</v>
      </c>
      <c r="Q169" s="11" t="s">
        <v>143</v>
      </c>
      <c r="R169" s="11" t="s">
        <v>142</v>
      </c>
    </row>
    <row r="170" ht="39" customHeight="1" spans="1:18" s="10" customFormat="1" x14ac:dyDescent="0.25">
      <c r="A170" s="6">
        <v>169</v>
      </c>
      <c r="B170" s="11" t="s">
        <v>30</v>
      </c>
      <c r="C170" s="5" t="s">
        <v>1127</v>
      </c>
      <c r="D170" s="11" t="s">
        <v>552</v>
      </c>
      <c r="E170" s="11" t="s">
        <v>1128</v>
      </c>
      <c r="F170" s="11" t="s">
        <v>1129</v>
      </c>
      <c r="G170" s="11" t="s">
        <v>1130</v>
      </c>
      <c r="H170" s="11" t="s">
        <v>142</v>
      </c>
      <c r="I170" s="6" t="s">
        <v>11</v>
      </c>
      <c r="J170" s="11" t="s">
        <v>45</v>
      </c>
      <c r="K170" s="11" t="s">
        <v>1131</v>
      </c>
      <c r="L170" s="11" t="s">
        <v>1132</v>
      </c>
      <c r="M170" s="11" t="s">
        <v>1133</v>
      </c>
      <c r="N170" s="11" t="s">
        <v>142</v>
      </c>
      <c r="O170" s="11" t="s">
        <v>142</v>
      </c>
      <c r="P170" s="11" t="s">
        <v>11</v>
      </c>
      <c r="Q170" s="11" t="s">
        <v>143</v>
      </c>
      <c r="R170" s="11" t="s">
        <v>142</v>
      </c>
    </row>
    <row r="171" ht="39" customHeight="1" spans="1:18" s="10" customFormat="1" x14ac:dyDescent="0.25">
      <c r="A171" s="6">
        <v>170</v>
      </c>
      <c r="B171" s="11" t="s">
        <v>30</v>
      </c>
      <c r="C171" s="5" t="s">
        <v>1134</v>
      </c>
      <c r="D171" s="11" t="s">
        <v>176</v>
      </c>
      <c r="E171" s="11" t="s">
        <v>1135</v>
      </c>
      <c r="F171" s="11" t="s">
        <v>1136</v>
      </c>
      <c r="G171" s="11" t="s">
        <v>1137</v>
      </c>
      <c r="H171" s="11" t="s">
        <v>142</v>
      </c>
      <c r="I171" s="6" t="s">
        <v>11</v>
      </c>
      <c r="J171" s="11" t="s">
        <v>45</v>
      </c>
      <c r="K171" s="11" t="s">
        <v>1138</v>
      </c>
      <c r="L171" s="11" t="s">
        <v>1139</v>
      </c>
      <c r="M171" s="11" t="s">
        <v>1140</v>
      </c>
      <c r="N171" s="11" t="s">
        <v>142</v>
      </c>
      <c r="O171" s="11" t="s">
        <v>142</v>
      </c>
      <c r="P171" s="11" t="s">
        <v>11</v>
      </c>
      <c r="Q171" s="11" t="s">
        <v>143</v>
      </c>
      <c r="R171" s="11" t="s">
        <v>142</v>
      </c>
    </row>
    <row r="172" ht="27" customHeight="1" spans="1:18" s="10" customFormat="1" x14ac:dyDescent="0.25">
      <c r="A172" s="6">
        <v>171</v>
      </c>
      <c r="B172" s="11" t="s">
        <v>30</v>
      </c>
      <c r="C172" s="5" t="s">
        <v>1141</v>
      </c>
      <c r="D172" s="11" t="s">
        <v>430</v>
      </c>
      <c r="E172" s="11" t="s">
        <v>1142</v>
      </c>
      <c r="F172" s="11" t="s">
        <v>1143</v>
      </c>
      <c r="G172" s="11" t="s">
        <v>1144</v>
      </c>
      <c r="H172" s="11" t="s">
        <v>142</v>
      </c>
      <c r="I172" s="6" t="s">
        <v>11</v>
      </c>
      <c r="J172" s="11" t="s">
        <v>45</v>
      </c>
      <c r="K172" s="11" t="s">
        <v>1145</v>
      </c>
      <c r="L172" s="11" t="s">
        <v>1139</v>
      </c>
      <c r="M172" s="11" t="s">
        <v>1140</v>
      </c>
      <c r="N172" s="11" t="s">
        <v>142</v>
      </c>
      <c r="O172" s="11" t="s">
        <v>142</v>
      </c>
      <c r="P172" s="11" t="s">
        <v>11</v>
      </c>
      <c r="Q172" s="11" t="s">
        <v>143</v>
      </c>
      <c r="R172" s="11" t="s">
        <v>142</v>
      </c>
    </row>
    <row r="173" ht="39" customHeight="1" spans="1:18" s="10" customFormat="1" x14ac:dyDescent="0.25">
      <c r="A173" s="6">
        <v>172</v>
      </c>
      <c r="B173" s="11" t="s">
        <v>30</v>
      </c>
      <c r="C173" s="5" t="s">
        <v>1146</v>
      </c>
      <c r="D173" s="11" t="s">
        <v>300</v>
      </c>
      <c r="E173" s="11" t="s">
        <v>1147</v>
      </c>
      <c r="F173" s="11" t="s">
        <v>1148</v>
      </c>
      <c r="G173" s="11" t="s">
        <v>1149</v>
      </c>
      <c r="H173" s="11" t="s">
        <v>142</v>
      </c>
      <c r="I173" s="6" t="s">
        <v>11</v>
      </c>
      <c r="J173" s="11" t="s">
        <v>45</v>
      </c>
      <c r="K173" s="11" t="s">
        <v>1150</v>
      </c>
      <c r="L173" s="11" t="s">
        <v>1139</v>
      </c>
      <c r="M173" s="11" t="s">
        <v>1140</v>
      </c>
      <c r="N173" s="11" t="s">
        <v>142</v>
      </c>
      <c r="O173" s="11" t="s">
        <v>142</v>
      </c>
      <c r="P173" s="11" t="s">
        <v>11</v>
      </c>
      <c r="Q173" s="11" t="s">
        <v>143</v>
      </c>
      <c r="R173" s="11" t="s">
        <v>142</v>
      </c>
    </row>
    <row r="174" ht="39" customHeight="1" spans="1:18" s="10" customFormat="1" x14ac:dyDescent="0.25">
      <c r="A174" s="6">
        <v>173</v>
      </c>
      <c r="B174" s="11" t="s">
        <v>30</v>
      </c>
      <c r="C174" s="5" t="s">
        <v>1151</v>
      </c>
      <c r="D174" s="11" t="s">
        <v>582</v>
      </c>
      <c r="E174" s="11" t="s">
        <v>1152</v>
      </c>
      <c r="F174" s="11" t="s">
        <v>1153</v>
      </c>
      <c r="G174" s="11" t="s">
        <v>142</v>
      </c>
      <c r="H174" s="11" t="s">
        <v>142</v>
      </c>
      <c r="I174" s="6" t="s">
        <v>11</v>
      </c>
      <c r="J174" s="11" t="s">
        <v>45</v>
      </c>
      <c r="K174" s="11" t="s">
        <v>149</v>
      </c>
      <c r="L174" s="11" t="s">
        <v>1154</v>
      </c>
      <c r="M174" s="11" t="s">
        <v>1155</v>
      </c>
      <c r="N174" s="11" t="s">
        <v>142</v>
      </c>
      <c r="O174" s="11" t="s">
        <v>142</v>
      </c>
      <c r="P174" s="11" t="s">
        <v>11</v>
      </c>
      <c r="Q174" s="11" t="s">
        <v>143</v>
      </c>
      <c r="R174" s="11" t="s">
        <v>142</v>
      </c>
    </row>
    <row r="175" ht="63" customHeight="1" spans="1:18" s="10" customFormat="1" x14ac:dyDescent="0.25">
      <c r="A175" s="6">
        <v>174</v>
      </c>
      <c r="B175" s="11" t="s">
        <v>30</v>
      </c>
      <c r="C175" s="5" t="s">
        <v>1156</v>
      </c>
      <c r="D175" s="11" t="s">
        <v>388</v>
      </c>
      <c r="E175" s="11" t="s">
        <v>1157</v>
      </c>
      <c r="F175" s="11" t="s">
        <v>1158</v>
      </c>
      <c r="G175" s="11" t="s">
        <v>1159</v>
      </c>
      <c r="H175" s="11" t="s">
        <v>142</v>
      </c>
      <c r="I175" s="6" t="s">
        <v>11</v>
      </c>
      <c r="J175" s="11" t="s">
        <v>45</v>
      </c>
      <c r="K175" s="11" t="s">
        <v>1160</v>
      </c>
      <c r="L175" s="11" t="s">
        <v>1139</v>
      </c>
      <c r="M175" s="11" t="s">
        <v>1140</v>
      </c>
      <c r="N175" s="11" t="s">
        <v>142</v>
      </c>
      <c r="O175" s="11" t="s">
        <v>1161</v>
      </c>
      <c r="P175" s="11" t="s">
        <v>11</v>
      </c>
      <c r="Q175" s="11" t="s">
        <v>143</v>
      </c>
      <c r="R175" s="11" t="s">
        <v>142</v>
      </c>
    </row>
    <row r="176" ht="51" customHeight="1" spans="1:18" s="10" customFormat="1" x14ac:dyDescent="0.25">
      <c r="A176" s="6">
        <v>175</v>
      </c>
      <c r="B176" s="11" t="s">
        <v>30</v>
      </c>
      <c r="C176" s="5" t="s">
        <v>1162</v>
      </c>
      <c r="D176" s="11" t="s">
        <v>530</v>
      </c>
      <c r="E176" s="11" t="s">
        <v>1163</v>
      </c>
      <c r="F176" s="11" t="s">
        <v>1164</v>
      </c>
      <c r="G176" s="11" t="s">
        <v>142</v>
      </c>
      <c r="H176" s="11" t="s">
        <v>142</v>
      </c>
      <c r="I176" s="6" t="s">
        <v>14</v>
      </c>
      <c r="J176" s="11" t="s">
        <v>45</v>
      </c>
      <c r="K176" s="11" t="s">
        <v>142</v>
      </c>
      <c r="L176" s="11" t="s">
        <v>1139</v>
      </c>
      <c r="M176" s="11" t="s">
        <v>1165</v>
      </c>
      <c r="N176" s="11" t="s">
        <v>1166</v>
      </c>
      <c r="O176" s="11" t="s">
        <v>1167</v>
      </c>
      <c r="P176" s="11" t="s">
        <v>14</v>
      </c>
      <c r="Q176" s="11" t="s">
        <v>143</v>
      </c>
      <c r="R176" s="11" t="s">
        <v>142</v>
      </c>
    </row>
    <row r="177" ht="75" customHeight="1" spans="1:18" s="10" customFormat="1" x14ac:dyDescent="0.25">
      <c r="A177" s="6">
        <v>176</v>
      </c>
      <c r="B177" s="11" t="s">
        <v>30</v>
      </c>
      <c r="C177" s="5" t="s">
        <v>1168</v>
      </c>
      <c r="D177" s="11" t="s">
        <v>1169</v>
      </c>
      <c r="E177" s="11" t="s">
        <v>1170</v>
      </c>
      <c r="F177" s="11" t="s">
        <v>1171</v>
      </c>
      <c r="G177" s="11" t="s">
        <v>1172</v>
      </c>
      <c r="H177" s="11" t="s">
        <v>142</v>
      </c>
      <c r="I177" s="6" t="s">
        <v>11</v>
      </c>
      <c r="J177" s="11" t="s">
        <v>45</v>
      </c>
      <c r="K177" s="11" t="s">
        <v>1173</v>
      </c>
      <c r="L177" s="11" t="s">
        <v>1174</v>
      </c>
      <c r="M177" s="11" t="s">
        <v>1165</v>
      </c>
      <c r="N177" s="11" t="s">
        <v>1175</v>
      </c>
      <c r="O177" s="11" t="s">
        <v>1176</v>
      </c>
      <c r="P177" s="11" t="s">
        <v>11</v>
      </c>
      <c r="Q177" s="11" t="s">
        <v>143</v>
      </c>
      <c r="R177" s="11" t="s">
        <v>142</v>
      </c>
    </row>
    <row r="178" ht="39" customHeight="1" spans="1:18" s="10" customFormat="1" x14ac:dyDescent="0.25">
      <c r="A178" s="6">
        <v>177</v>
      </c>
      <c r="B178" s="11" t="s">
        <v>30</v>
      </c>
      <c r="C178" s="5" t="s">
        <v>1177</v>
      </c>
      <c r="D178" s="11" t="s">
        <v>388</v>
      </c>
      <c r="E178" s="11" t="s">
        <v>1178</v>
      </c>
      <c r="F178" s="11" t="s">
        <v>1179</v>
      </c>
      <c r="G178" s="11" t="s">
        <v>1180</v>
      </c>
      <c r="H178" s="11" t="s">
        <v>142</v>
      </c>
      <c r="I178" s="6" t="s">
        <v>11</v>
      </c>
      <c r="J178" s="11" t="s">
        <v>45</v>
      </c>
      <c r="K178" s="11" t="s">
        <v>1173</v>
      </c>
      <c r="L178" s="11" t="s">
        <v>1174</v>
      </c>
      <c r="M178" s="11" t="s">
        <v>1165</v>
      </c>
      <c r="N178" s="11" t="s">
        <v>142</v>
      </c>
      <c r="O178" s="11" t="s">
        <v>142</v>
      </c>
      <c r="P178" s="11" t="s">
        <v>11</v>
      </c>
      <c r="Q178" s="11" t="s">
        <v>143</v>
      </c>
      <c r="R178" s="11" t="s">
        <v>142</v>
      </c>
    </row>
    <row r="179" ht="75" customHeight="1" spans="1:18" s="10" customFormat="1" x14ac:dyDescent="0.25">
      <c r="A179" s="6">
        <v>178</v>
      </c>
      <c r="B179" s="11" t="s">
        <v>30</v>
      </c>
      <c r="C179" s="5" t="s">
        <v>1181</v>
      </c>
      <c r="D179" s="11" t="s">
        <v>176</v>
      </c>
      <c r="E179" s="11" t="s">
        <v>1182</v>
      </c>
      <c r="F179" s="11" t="s">
        <v>1183</v>
      </c>
      <c r="G179" s="11" t="s">
        <v>1184</v>
      </c>
      <c r="H179" s="11" t="s">
        <v>142</v>
      </c>
      <c r="I179" s="6" t="s">
        <v>11</v>
      </c>
      <c r="J179" s="11" t="s">
        <v>45</v>
      </c>
      <c r="K179" s="11" t="s">
        <v>1173</v>
      </c>
      <c r="L179" s="11" t="s">
        <v>1174</v>
      </c>
      <c r="M179" s="11" t="s">
        <v>1165</v>
      </c>
      <c r="N179" s="11" t="s">
        <v>142</v>
      </c>
      <c r="O179" s="11" t="s">
        <v>1176</v>
      </c>
      <c r="P179" s="11" t="s">
        <v>11</v>
      </c>
      <c r="Q179" s="11" t="s">
        <v>143</v>
      </c>
      <c r="R179" s="11" t="s">
        <v>142</v>
      </c>
    </row>
    <row r="180" ht="75" customHeight="1" spans="1:18" s="10" customFormat="1" x14ac:dyDescent="0.25">
      <c r="A180" s="6">
        <v>179</v>
      </c>
      <c r="B180" s="11" t="s">
        <v>30</v>
      </c>
      <c r="C180" s="5" t="s">
        <v>1185</v>
      </c>
      <c r="D180" s="11" t="s">
        <v>499</v>
      </c>
      <c r="E180" s="11" t="s">
        <v>1186</v>
      </c>
      <c r="F180" s="11" t="s">
        <v>1187</v>
      </c>
      <c r="G180" s="11" t="s">
        <v>1188</v>
      </c>
      <c r="H180" s="11" t="s">
        <v>142</v>
      </c>
      <c r="I180" s="6" t="s">
        <v>11</v>
      </c>
      <c r="J180" s="11" t="s">
        <v>45</v>
      </c>
      <c r="K180" s="11" t="s">
        <v>1173</v>
      </c>
      <c r="L180" s="11" t="s">
        <v>1174</v>
      </c>
      <c r="M180" s="11" t="s">
        <v>1165</v>
      </c>
      <c r="N180" s="11" t="s">
        <v>142</v>
      </c>
      <c r="O180" s="11" t="s">
        <v>1176</v>
      </c>
      <c r="P180" s="11" t="s">
        <v>11</v>
      </c>
      <c r="Q180" s="11" t="s">
        <v>143</v>
      </c>
      <c r="R180" s="11" t="s">
        <v>142</v>
      </c>
    </row>
    <row r="181" ht="27" customHeight="1" spans="1:18" s="10" customFormat="1" x14ac:dyDescent="0.25">
      <c r="A181" s="6">
        <v>180</v>
      </c>
      <c r="B181" s="11" t="s">
        <v>30</v>
      </c>
      <c r="C181" s="5" t="s">
        <v>1189</v>
      </c>
      <c r="D181" s="11" t="s">
        <v>552</v>
      </c>
      <c r="E181" s="11" t="s">
        <v>1190</v>
      </c>
      <c r="F181" s="11" t="s">
        <v>1191</v>
      </c>
      <c r="G181" s="11" t="s">
        <v>1192</v>
      </c>
      <c r="H181" s="11" t="s">
        <v>142</v>
      </c>
      <c r="I181" s="6" t="s">
        <v>11</v>
      </c>
      <c r="J181" s="11" t="s">
        <v>45</v>
      </c>
      <c r="K181" s="11" t="s">
        <v>1173</v>
      </c>
      <c r="L181" s="11" t="s">
        <v>1174</v>
      </c>
      <c r="M181" s="11" t="s">
        <v>1165</v>
      </c>
      <c r="N181" s="11" t="s">
        <v>142</v>
      </c>
      <c r="O181" s="11" t="s">
        <v>142</v>
      </c>
      <c r="P181" s="11" t="s">
        <v>11</v>
      </c>
      <c r="Q181" s="11" t="s">
        <v>143</v>
      </c>
      <c r="R181" s="11" t="s">
        <v>142</v>
      </c>
    </row>
    <row r="182" ht="75" customHeight="1" spans="1:18" s="10" customFormat="1" x14ac:dyDescent="0.25">
      <c r="A182" s="6">
        <v>181</v>
      </c>
      <c r="B182" s="11" t="s">
        <v>30</v>
      </c>
      <c r="C182" s="5" t="s">
        <v>1193</v>
      </c>
      <c r="D182" s="11" t="s">
        <v>530</v>
      </c>
      <c r="E182" s="11" t="s">
        <v>1194</v>
      </c>
      <c r="F182" s="11" t="s">
        <v>1195</v>
      </c>
      <c r="G182" s="11" t="s">
        <v>1196</v>
      </c>
      <c r="H182" s="11" t="s">
        <v>142</v>
      </c>
      <c r="I182" s="6" t="s">
        <v>11</v>
      </c>
      <c r="J182" s="11" t="s">
        <v>46</v>
      </c>
      <c r="K182" s="11" t="s">
        <v>1197</v>
      </c>
      <c r="L182" s="11" t="s">
        <v>1198</v>
      </c>
      <c r="M182" s="11" t="s">
        <v>1165</v>
      </c>
      <c r="N182" s="11" t="s">
        <v>1199</v>
      </c>
      <c r="O182" s="11" t="s">
        <v>1200</v>
      </c>
      <c r="P182" s="11" t="s">
        <v>11</v>
      </c>
      <c r="Q182" s="11" t="s">
        <v>143</v>
      </c>
      <c r="R182" s="11" t="s">
        <v>142</v>
      </c>
    </row>
    <row r="183" ht="75" customHeight="1" spans="1:18" s="10" customFormat="1" x14ac:dyDescent="0.25">
      <c r="A183" s="6">
        <v>182</v>
      </c>
      <c r="B183" s="11" t="s">
        <v>30</v>
      </c>
      <c r="C183" s="5" t="s">
        <v>1201</v>
      </c>
      <c r="D183" s="11" t="s">
        <v>530</v>
      </c>
      <c r="E183" s="11" t="s">
        <v>1202</v>
      </c>
      <c r="F183" s="11" t="s">
        <v>1203</v>
      </c>
      <c r="G183" s="11" t="s">
        <v>1204</v>
      </c>
      <c r="H183" s="11" t="s">
        <v>142</v>
      </c>
      <c r="I183" s="6" t="s">
        <v>11</v>
      </c>
      <c r="J183" s="11" t="s">
        <v>46</v>
      </c>
      <c r="K183" s="11" t="s">
        <v>1197</v>
      </c>
      <c r="L183" s="11" t="s">
        <v>1205</v>
      </c>
      <c r="M183" s="11" t="s">
        <v>1165</v>
      </c>
      <c r="N183" s="11" t="s">
        <v>1199</v>
      </c>
      <c r="O183" s="11" t="s">
        <v>1200</v>
      </c>
      <c r="P183" s="11" t="s">
        <v>11</v>
      </c>
      <c r="Q183" s="11" t="s">
        <v>143</v>
      </c>
      <c r="R183" s="11" t="s">
        <v>142</v>
      </c>
    </row>
    <row r="184" ht="63" customHeight="1" spans="1:18" s="10" customFormat="1" x14ac:dyDescent="0.25">
      <c r="A184" s="6">
        <v>183</v>
      </c>
      <c r="B184" s="11" t="s">
        <v>30</v>
      </c>
      <c r="C184" s="5" t="s">
        <v>1206</v>
      </c>
      <c r="D184" s="11" t="s">
        <v>388</v>
      </c>
      <c r="E184" s="11" t="s">
        <v>1207</v>
      </c>
      <c r="F184" s="11" t="s">
        <v>1208</v>
      </c>
      <c r="G184" s="11" t="s">
        <v>1209</v>
      </c>
      <c r="H184" s="11" t="s">
        <v>142</v>
      </c>
      <c r="I184" s="6" t="s">
        <v>11</v>
      </c>
      <c r="J184" s="11" t="s">
        <v>45</v>
      </c>
      <c r="K184" s="11" t="s">
        <v>1210</v>
      </c>
      <c r="L184" s="11" t="s">
        <v>1211</v>
      </c>
      <c r="M184" s="11" t="s">
        <v>1165</v>
      </c>
      <c r="N184" s="11" t="s">
        <v>1212</v>
      </c>
      <c r="O184" s="11" t="s">
        <v>1213</v>
      </c>
      <c r="P184" s="11" t="s">
        <v>11</v>
      </c>
      <c r="Q184" s="11" t="s">
        <v>143</v>
      </c>
      <c r="R184" s="11" t="s">
        <v>142</v>
      </c>
    </row>
    <row r="185" ht="63" customHeight="1" spans="1:18" s="10" customFormat="1" x14ac:dyDescent="0.25">
      <c r="A185" s="6">
        <v>184</v>
      </c>
      <c r="B185" s="11" t="s">
        <v>30</v>
      </c>
      <c r="C185" s="5" t="s">
        <v>1214</v>
      </c>
      <c r="D185" s="11" t="s">
        <v>214</v>
      </c>
      <c r="E185" s="11" t="s">
        <v>1215</v>
      </c>
      <c r="F185" s="11" t="s">
        <v>1216</v>
      </c>
      <c r="G185" s="11" t="s">
        <v>1217</v>
      </c>
      <c r="H185" s="11" t="s">
        <v>142</v>
      </c>
      <c r="I185" s="6" t="s">
        <v>11</v>
      </c>
      <c r="J185" s="11" t="s">
        <v>45</v>
      </c>
      <c r="K185" s="11" t="s">
        <v>149</v>
      </c>
      <c r="L185" s="11" t="s">
        <v>1218</v>
      </c>
      <c r="M185" s="11" t="s">
        <v>1165</v>
      </c>
      <c r="N185" s="11" t="s">
        <v>142</v>
      </c>
      <c r="O185" s="11" t="s">
        <v>142</v>
      </c>
      <c r="P185" s="11" t="s">
        <v>11</v>
      </c>
      <c r="Q185" s="11" t="s">
        <v>143</v>
      </c>
      <c r="R185" s="11" t="s">
        <v>1219</v>
      </c>
    </row>
    <row r="186" ht="75" customHeight="1" spans="1:18" s="10" customFormat="1" x14ac:dyDescent="0.25">
      <c r="A186" s="6">
        <v>185</v>
      </c>
      <c r="B186" s="11" t="s">
        <v>30</v>
      </c>
      <c r="C186" s="5" t="s">
        <v>1220</v>
      </c>
      <c r="D186" s="11" t="s">
        <v>595</v>
      </c>
      <c r="E186" s="11" t="s">
        <v>1221</v>
      </c>
      <c r="F186" s="11" t="s">
        <v>1222</v>
      </c>
      <c r="G186" s="11" t="s">
        <v>1223</v>
      </c>
      <c r="H186" s="11" t="s">
        <v>142</v>
      </c>
      <c r="I186" s="6" t="s">
        <v>11</v>
      </c>
      <c r="J186" s="11" t="s">
        <v>45</v>
      </c>
      <c r="K186" s="11" t="s">
        <v>1224</v>
      </c>
      <c r="L186" s="11" t="s">
        <v>1225</v>
      </c>
      <c r="M186" s="11" t="s">
        <v>1226</v>
      </c>
      <c r="N186" s="11" t="s">
        <v>1227</v>
      </c>
      <c r="O186" s="11" t="s">
        <v>142</v>
      </c>
      <c r="P186" s="11" t="s">
        <v>11</v>
      </c>
      <c r="Q186" s="11" t="s">
        <v>143</v>
      </c>
      <c r="R186" s="11" t="s">
        <v>1228</v>
      </c>
    </row>
    <row r="187" ht="87" customHeight="1" spans="1:18" s="10" customFormat="1" x14ac:dyDescent="0.25">
      <c r="A187" s="6">
        <v>186</v>
      </c>
      <c r="B187" s="11" t="s">
        <v>30</v>
      </c>
      <c r="C187" s="5" t="s">
        <v>1229</v>
      </c>
      <c r="D187" s="11" t="s">
        <v>176</v>
      </c>
      <c r="E187" s="11" t="s">
        <v>1230</v>
      </c>
      <c r="F187" s="11" t="s">
        <v>1231</v>
      </c>
      <c r="G187" s="11" t="s">
        <v>1232</v>
      </c>
      <c r="H187" s="11" t="s">
        <v>142</v>
      </c>
      <c r="I187" s="6" t="s">
        <v>11</v>
      </c>
      <c r="J187" s="11" t="s">
        <v>46</v>
      </c>
      <c r="K187" s="11" t="s">
        <v>1233</v>
      </c>
      <c r="L187" s="11" t="s">
        <v>1218</v>
      </c>
      <c r="M187" s="11" t="s">
        <v>1165</v>
      </c>
      <c r="N187" s="11" t="s">
        <v>1234</v>
      </c>
      <c r="O187" s="11" t="s">
        <v>1235</v>
      </c>
      <c r="P187" s="11" t="s">
        <v>11</v>
      </c>
      <c r="Q187" s="11" t="s">
        <v>143</v>
      </c>
      <c r="R187" s="11" t="s">
        <v>1236</v>
      </c>
    </row>
    <row r="188" ht="87" customHeight="1" spans="1:18" s="10" customFormat="1" x14ac:dyDescent="0.25">
      <c r="A188" s="6">
        <v>187</v>
      </c>
      <c r="B188" s="11" t="s">
        <v>31</v>
      </c>
      <c r="C188" s="5" t="s">
        <v>1237</v>
      </c>
      <c r="D188" s="11" t="s">
        <v>388</v>
      </c>
      <c r="E188" s="11" t="s">
        <v>1238</v>
      </c>
      <c r="F188" s="11" t="s">
        <v>1239</v>
      </c>
      <c r="G188" s="11" t="s">
        <v>1240</v>
      </c>
      <c r="H188" s="11" t="s">
        <v>142</v>
      </c>
      <c r="I188" s="6" t="s">
        <v>11</v>
      </c>
      <c r="J188" s="11" t="s">
        <v>46</v>
      </c>
      <c r="K188" s="11" t="s">
        <v>1241</v>
      </c>
      <c r="L188" s="11" t="s">
        <v>1242</v>
      </c>
      <c r="M188" s="11" t="s">
        <v>1165</v>
      </c>
      <c r="N188" s="11" t="s">
        <v>1243</v>
      </c>
      <c r="O188" s="11" t="s">
        <v>1244</v>
      </c>
      <c r="P188" s="11" t="s">
        <v>11</v>
      </c>
      <c r="Q188" s="11" t="s">
        <v>143</v>
      </c>
      <c r="R188" s="11" t="s">
        <v>1245</v>
      </c>
    </row>
    <row r="189" ht="75" customHeight="1" spans="1:18" s="10" customFormat="1" x14ac:dyDescent="0.25">
      <c r="A189" s="6">
        <v>188</v>
      </c>
      <c r="B189" s="11" t="s">
        <v>31</v>
      </c>
      <c r="C189" s="5" t="s">
        <v>1246</v>
      </c>
      <c r="D189" s="11" t="s">
        <v>176</v>
      </c>
      <c r="E189" s="11" t="s">
        <v>1247</v>
      </c>
      <c r="F189" s="11" t="s">
        <v>1248</v>
      </c>
      <c r="G189" s="11" t="s">
        <v>1249</v>
      </c>
      <c r="H189" s="11" t="s">
        <v>142</v>
      </c>
      <c r="I189" s="6" t="s">
        <v>11</v>
      </c>
      <c r="J189" s="11" t="s">
        <v>46</v>
      </c>
      <c r="K189" s="11" t="s">
        <v>1250</v>
      </c>
      <c r="L189" s="11" t="s">
        <v>1251</v>
      </c>
      <c r="M189" s="11" t="s">
        <v>1165</v>
      </c>
      <c r="N189" s="11" t="s">
        <v>1252</v>
      </c>
      <c r="O189" s="11" t="s">
        <v>1253</v>
      </c>
      <c r="P189" s="11" t="s">
        <v>11</v>
      </c>
      <c r="Q189" s="11" t="s">
        <v>143</v>
      </c>
      <c r="R189" s="11" t="s">
        <v>1254</v>
      </c>
    </row>
    <row r="190" ht="75" customHeight="1" spans="1:18" s="10" customFormat="1" x14ac:dyDescent="0.25">
      <c r="A190" s="6">
        <v>189</v>
      </c>
      <c r="B190" s="11" t="s">
        <v>31</v>
      </c>
      <c r="C190" s="5" t="s">
        <v>1255</v>
      </c>
      <c r="D190" s="11" t="s">
        <v>329</v>
      </c>
      <c r="E190" s="11" t="s">
        <v>1256</v>
      </c>
      <c r="F190" s="11" t="s">
        <v>1257</v>
      </c>
      <c r="G190" s="11" t="s">
        <v>1258</v>
      </c>
      <c r="H190" s="11" t="s">
        <v>142</v>
      </c>
      <c r="I190" s="6" t="s">
        <v>11</v>
      </c>
      <c r="J190" s="11" t="s">
        <v>46</v>
      </c>
      <c r="K190" s="11" t="s">
        <v>1259</v>
      </c>
      <c r="L190" s="11" t="s">
        <v>1260</v>
      </c>
      <c r="M190" s="11" t="s">
        <v>1165</v>
      </c>
      <c r="N190" s="11" t="s">
        <v>1261</v>
      </c>
      <c r="O190" s="11" t="s">
        <v>1262</v>
      </c>
      <c r="P190" s="11" t="s">
        <v>11</v>
      </c>
      <c r="Q190" s="11" t="s">
        <v>143</v>
      </c>
      <c r="R190" s="11" t="s">
        <v>1263</v>
      </c>
    </row>
    <row r="191" ht="75" customHeight="1" spans="1:18" s="10" customFormat="1" x14ac:dyDescent="0.25">
      <c r="A191" s="6">
        <v>190</v>
      </c>
      <c r="B191" s="11" t="s">
        <v>31</v>
      </c>
      <c r="C191" s="5" t="s">
        <v>1264</v>
      </c>
      <c r="D191" s="11" t="s">
        <v>176</v>
      </c>
      <c r="E191" s="11" t="s">
        <v>1265</v>
      </c>
      <c r="F191" s="11" t="s">
        <v>1266</v>
      </c>
      <c r="G191" s="11" t="s">
        <v>1267</v>
      </c>
      <c r="H191" s="11" t="s">
        <v>142</v>
      </c>
      <c r="I191" s="6" t="s">
        <v>11</v>
      </c>
      <c r="J191" s="11" t="s">
        <v>46</v>
      </c>
      <c r="K191" s="11" t="s">
        <v>1268</v>
      </c>
      <c r="L191" s="11" t="s">
        <v>1269</v>
      </c>
      <c r="M191" s="11" t="s">
        <v>1165</v>
      </c>
      <c r="N191" s="11" t="s">
        <v>1270</v>
      </c>
      <c r="O191" s="11" t="s">
        <v>1271</v>
      </c>
      <c r="P191" s="11" t="s">
        <v>11</v>
      </c>
      <c r="Q191" s="11" t="s">
        <v>143</v>
      </c>
      <c r="R191" s="11" t="s">
        <v>1272</v>
      </c>
    </row>
    <row r="192" ht="87" customHeight="1" spans="1:18" s="10" customFormat="1" x14ac:dyDescent="0.25">
      <c r="A192" s="6">
        <v>191</v>
      </c>
      <c r="B192" s="11" t="s">
        <v>31</v>
      </c>
      <c r="C192" s="5" t="s">
        <v>1273</v>
      </c>
      <c r="D192" s="11" t="s">
        <v>1274</v>
      </c>
      <c r="E192" s="11" t="s">
        <v>1275</v>
      </c>
      <c r="F192" s="11" t="s">
        <v>1276</v>
      </c>
      <c r="G192" s="11" t="s">
        <v>1277</v>
      </c>
      <c r="H192" s="11" t="s">
        <v>142</v>
      </c>
      <c r="I192" s="6" t="s">
        <v>12</v>
      </c>
      <c r="J192" s="11" t="s">
        <v>48</v>
      </c>
      <c r="K192" s="11" t="s">
        <v>1278</v>
      </c>
      <c r="L192" s="11" t="s">
        <v>1279</v>
      </c>
      <c r="M192" s="11" t="s">
        <v>1280</v>
      </c>
      <c r="N192" s="11" t="s">
        <v>1281</v>
      </c>
      <c r="O192" s="11" t="s">
        <v>1282</v>
      </c>
      <c r="P192" s="11" t="s">
        <v>12</v>
      </c>
      <c r="Q192" s="11" t="s">
        <v>143</v>
      </c>
      <c r="R192" s="11" t="s">
        <v>1283</v>
      </c>
    </row>
    <row r="193" ht="63" customHeight="1" spans="1:18" s="10" customFormat="1" x14ac:dyDescent="0.25">
      <c r="A193" s="6">
        <v>192</v>
      </c>
      <c r="B193" s="11" t="s">
        <v>31</v>
      </c>
      <c r="C193" s="5" t="s">
        <v>1284</v>
      </c>
      <c r="D193" s="11" t="s">
        <v>1274</v>
      </c>
      <c r="E193" s="11" t="s">
        <v>1285</v>
      </c>
      <c r="F193" s="11" t="s">
        <v>1286</v>
      </c>
      <c r="G193" s="11" t="s">
        <v>1287</v>
      </c>
      <c r="H193" s="11" t="s">
        <v>142</v>
      </c>
      <c r="I193" s="6" t="s">
        <v>11</v>
      </c>
      <c r="J193" s="11" t="s">
        <v>45</v>
      </c>
      <c r="K193" s="11" t="s">
        <v>1288</v>
      </c>
      <c r="L193" s="11" t="s">
        <v>1279</v>
      </c>
      <c r="M193" s="11" t="s">
        <v>1279</v>
      </c>
      <c r="N193" s="11" t="s">
        <v>1289</v>
      </c>
      <c r="O193" s="11" t="s">
        <v>1290</v>
      </c>
      <c r="P193" s="11" t="s">
        <v>11</v>
      </c>
      <c r="Q193" s="11" t="s">
        <v>143</v>
      </c>
      <c r="R193" s="11" t="s">
        <v>1291</v>
      </c>
    </row>
    <row r="194" ht="51" customHeight="1" spans="1:18" s="10" customFormat="1" x14ac:dyDescent="0.25">
      <c r="A194" s="6">
        <v>193</v>
      </c>
      <c r="B194" s="11" t="s">
        <v>31</v>
      </c>
      <c r="C194" s="5" t="s">
        <v>1292</v>
      </c>
      <c r="D194" s="11" t="s">
        <v>1274</v>
      </c>
      <c r="E194" s="11" t="s">
        <v>1293</v>
      </c>
      <c r="F194" s="11" t="s">
        <v>1294</v>
      </c>
      <c r="G194" s="11" t="s">
        <v>1295</v>
      </c>
      <c r="H194" s="11" t="s">
        <v>142</v>
      </c>
      <c r="I194" s="6" t="s">
        <v>11</v>
      </c>
      <c r="J194" s="11" t="s">
        <v>45</v>
      </c>
      <c r="K194" s="11" t="s">
        <v>149</v>
      </c>
      <c r="L194" s="11" t="s">
        <v>1279</v>
      </c>
      <c r="M194" s="11" t="s">
        <v>1279</v>
      </c>
      <c r="N194" s="11" t="s">
        <v>142</v>
      </c>
      <c r="O194" s="11" t="s">
        <v>142</v>
      </c>
      <c r="P194" s="11" t="s">
        <v>11</v>
      </c>
      <c r="Q194" s="11" t="s">
        <v>143</v>
      </c>
      <c r="R194" s="11" t="s">
        <v>1296</v>
      </c>
    </row>
    <row r="195" ht="87" customHeight="1" spans="1:18" s="10" customFormat="1" x14ac:dyDescent="0.25">
      <c r="A195" s="6">
        <v>194</v>
      </c>
      <c r="B195" s="11" t="s">
        <v>31</v>
      </c>
      <c r="C195" s="5" t="s">
        <v>1297</v>
      </c>
      <c r="D195" s="11" t="s">
        <v>1298</v>
      </c>
      <c r="E195" s="11" t="s">
        <v>1299</v>
      </c>
      <c r="F195" s="11" t="s">
        <v>1300</v>
      </c>
      <c r="G195" s="11" t="s">
        <v>266</v>
      </c>
      <c r="H195" s="11" t="s">
        <v>142</v>
      </c>
      <c r="I195" s="6" t="s">
        <v>11</v>
      </c>
      <c r="J195" s="11" t="s">
        <v>45</v>
      </c>
      <c r="K195" s="11" t="s">
        <v>149</v>
      </c>
      <c r="L195" s="11" t="s">
        <v>1301</v>
      </c>
      <c r="M195" s="11" t="s">
        <v>1302</v>
      </c>
      <c r="N195" s="11" t="s">
        <v>1303</v>
      </c>
      <c r="O195" s="11" t="s">
        <v>1304</v>
      </c>
      <c r="P195" s="11" t="s">
        <v>11</v>
      </c>
      <c r="Q195" s="11" t="s">
        <v>143</v>
      </c>
      <c r="R195" s="11" t="s">
        <v>1305</v>
      </c>
    </row>
    <row r="196" ht="63" customHeight="1" spans="1:18" s="10" customFormat="1" x14ac:dyDescent="0.25">
      <c r="A196" s="6">
        <v>195</v>
      </c>
      <c r="B196" s="11" t="s">
        <v>31</v>
      </c>
      <c r="C196" s="5" t="s">
        <v>1306</v>
      </c>
      <c r="D196" s="11" t="s">
        <v>1298</v>
      </c>
      <c r="E196" s="11" t="s">
        <v>1307</v>
      </c>
      <c r="F196" s="11" t="s">
        <v>1308</v>
      </c>
      <c r="G196" s="11" t="s">
        <v>142</v>
      </c>
      <c r="H196" s="11" t="s">
        <v>142</v>
      </c>
      <c r="I196" s="6" t="s">
        <v>11</v>
      </c>
      <c r="J196" s="11" t="s">
        <v>45</v>
      </c>
      <c r="K196" s="11" t="s">
        <v>149</v>
      </c>
      <c r="L196" s="11" t="s">
        <v>1309</v>
      </c>
      <c r="M196" s="11" t="s">
        <v>1310</v>
      </c>
      <c r="N196" s="11" t="s">
        <v>1311</v>
      </c>
      <c r="O196" s="11" t="s">
        <v>1312</v>
      </c>
      <c r="P196" s="11" t="s">
        <v>11</v>
      </c>
      <c r="Q196" s="11" t="s">
        <v>143</v>
      </c>
      <c r="R196" s="11" t="s">
        <v>1313</v>
      </c>
    </row>
    <row r="197" ht="51" customHeight="1" spans="1:18" s="10" customFormat="1" x14ac:dyDescent="0.25">
      <c r="A197" s="6">
        <v>196</v>
      </c>
      <c r="B197" s="11" t="s">
        <v>31</v>
      </c>
      <c r="C197" s="5" t="s">
        <v>1314</v>
      </c>
      <c r="D197" s="11" t="s">
        <v>473</v>
      </c>
      <c r="E197" s="11" t="s">
        <v>1315</v>
      </c>
      <c r="F197" s="11" t="s">
        <v>1316</v>
      </c>
      <c r="G197" s="11" t="s">
        <v>486</v>
      </c>
      <c r="H197" s="11" t="s">
        <v>142</v>
      </c>
      <c r="I197" s="6" t="s">
        <v>11</v>
      </c>
      <c r="J197" s="11" t="s">
        <v>46</v>
      </c>
      <c r="K197" s="11" t="s">
        <v>1317</v>
      </c>
      <c r="L197" s="11" t="s">
        <v>1318</v>
      </c>
      <c r="M197" s="11" t="s">
        <v>1165</v>
      </c>
      <c r="N197" s="11" t="s">
        <v>142</v>
      </c>
      <c r="O197" s="11" t="s">
        <v>1319</v>
      </c>
      <c r="P197" s="11" t="s">
        <v>11</v>
      </c>
      <c r="Q197" s="11" t="s">
        <v>143</v>
      </c>
      <c r="R197" s="11" t="s">
        <v>1320</v>
      </c>
    </row>
    <row r="198" ht="51" customHeight="1" spans="1:18" s="10" customFormat="1" x14ac:dyDescent="0.25">
      <c r="A198" s="6">
        <v>197</v>
      </c>
      <c r="B198" s="11" t="s">
        <v>31</v>
      </c>
      <c r="C198" s="5" t="s">
        <v>1321</v>
      </c>
      <c r="D198" s="11" t="s">
        <v>329</v>
      </c>
      <c r="E198" s="11" t="s">
        <v>1322</v>
      </c>
      <c r="F198" s="11" t="s">
        <v>1323</v>
      </c>
      <c r="G198" s="11" t="s">
        <v>507</v>
      </c>
      <c r="H198" s="11" t="s">
        <v>142</v>
      </c>
      <c r="I198" s="6" t="s">
        <v>11</v>
      </c>
      <c r="J198" s="11" t="s">
        <v>46</v>
      </c>
      <c r="K198" s="11" t="s">
        <v>1324</v>
      </c>
      <c r="L198" s="11" t="s">
        <v>1325</v>
      </c>
      <c r="M198" s="11" t="s">
        <v>1165</v>
      </c>
      <c r="N198" s="11" t="s">
        <v>142</v>
      </c>
      <c r="O198" s="11" t="s">
        <v>1326</v>
      </c>
      <c r="P198" s="11" t="s">
        <v>11</v>
      </c>
      <c r="Q198" s="11" t="s">
        <v>143</v>
      </c>
      <c r="R198" s="11" t="s">
        <v>1327</v>
      </c>
    </row>
    <row r="199" ht="51" customHeight="1" spans="1:18" s="10" customFormat="1" x14ac:dyDescent="0.25">
      <c r="A199" s="6">
        <v>198</v>
      </c>
      <c r="B199" s="11" t="s">
        <v>31</v>
      </c>
      <c r="C199" s="5" t="s">
        <v>1328</v>
      </c>
      <c r="D199" s="11" t="s">
        <v>329</v>
      </c>
      <c r="E199" s="11" t="s">
        <v>1329</v>
      </c>
      <c r="F199" s="11" t="s">
        <v>1330</v>
      </c>
      <c r="G199" s="11" t="s">
        <v>1258</v>
      </c>
      <c r="H199" s="11" t="s">
        <v>142</v>
      </c>
      <c r="I199" s="6" t="s">
        <v>11</v>
      </c>
      <c r="J199" s="11" t="s">
        <v>46</v>
      </c>
      <c r="K199" s="11" t="s">
        <v>1331</v>
      </c>
      <c r="L199" s="11" t="s">
        <v>1332</v>
      </c>
      <c r="M199" s="11" t="s">
        <v>1165</v>
      </c>
      <c r="N199" s="11" t="s">
        <v>1333</v>
      </c>
      <c r="O199" s="11" t="s">
        <v>1334</v>
      </c>
      <c r="P199" s="11" t="s">
        <v>11</v>
      </c>
      <c r="Q199" s="11" t="s">
        <v>143</v>
      </c>
      <c r="R199" s="11" t="s">
        <v>1335</v>
      </c>
    </row>
    <row r="200" ht="99" customHeight="1" spans="1:18" s="10" customFormat="1" x14ac:dyDescent="0.25">
      <c r="A200" s="6">
        <v>199</v>
      </c>
      <c r="B200" s="11" t="s">
        <v>32</v>
      </c>
      <c r="C200" s="5" t="s">
        <v>1336</v>
      </c>
      <c r="D200" s="11" t="s">
        <v>1298</v>
      </c>
      <c r="E200" s="11" t="s">
        <v>1337</v>
      </c>
      <c r="F200" s="11" t="s">
        <v>1338</v>
      </c>
      <c r="G200" s="11" t="s">
        <v>266</v>
      </c>
      <c r="H200" s="11" t="s">
        <v>142</v>
      </c>
      <c r="I200" s="6" t="s">
        <v>11</v>
      </c>
      <c r="J200" s="11" t="s">
        <v>45</v>
      </c>
      <c r="K200" s="11" t="s">
        <v>149</v>
      </c>
      <c r="L200" s="11" t="s">
        <v>1339</v>
      </c>
      <c r="M200" s="11" t="s">
        <v>1340</v>
      </c>
      <c r="N200" s="11" t="s">
        <v>1341</v>
      </c>
      <c r="O200" s="11" t="s">
        <v>142</v>
      </c>
      <c r="P200" s="11" t="s">
        <v>11</v>
      </c>
      <c r="Q200" s="11" t="s">
        <v>143</v>
      </c>
      <c r="R200" s="11" t="s">
        <v>1342</v>
      </c>
    </row>
    <row r="201" ht="87" customHeight="1" spans="1:18" s="10" customFormat="1" x14ac:dyDescent="0.25">
      <c r="A201" s="6">
        <v>200</v>
      </c>
      <c r="B201" s="11" t="s">
        <v>32</v>
      </c>
      <c r="C201" s="5" t="s">
        <v>1343</v>
      </c>
      <c r="D201" s="11" t="s">
        <v>1298</v>
      </c>
      <c r="E201" s="11" t="s">
        <v>1344</v>
      </c>
      <c r="F201" s="11" t="s">
        <v>1345</v>
      </c>
      <c r="G201" s="11" t="s">
        <v>142</v>
      </c>
      <c r="H201" s="11" t="s">
        <v>142</v>
      </c>
      <c r="I201" s="6" t="s">
        <v>11</v>
      </c>
      <c r="J201" s="11" t="s">
        <v>45</v>
      </c>
      <c r="K201" s="11" t="s">
        <v>149</v>
      </c>
      <c r="L201" s="11" t="s">
        <v>1346</v>
      </c>
      <c r="M201" s="11" t="s">
        <v>1347</v>
      </c>
      <c r="N201" s="11" t="s">
        <v>1348</v>
      </c>
      <c r="O201" s="11" t="s">
        <v>142</v>
      </c>
      <c r="P201" s="11" t="s">
        <v>11</v>
      </c>
      <c r="Q201" s="11" t="s">
        <v>143</v>
      </c>
      <c r="R201" s="11" t="s">
        <v>1349</v>
      </c>
    </row>
    <row r="202" ht="51" customHeight="1" spans="1:18" s="10" customFormat="1" x14ac:dyDescent="0.25">
      <c r="A202" s="6">
        <v>201</v>
      </c>
      <c r="B202" s="11" t="s">
        <v>32</v>
      </c>
      <c r="C202" s="5" t="s">
        <v>1350</v>
      </c>
      <c r="D202" s="11" t="s">
        <v>1298</v>
      </c>
      <c r="E202" s="11" t="s">
        <v>1351</v>
      </c>
      <c r="F202" s="11" t="s">
        <v>1352</v>
      </c>
      <c r="G202" s="11" t="s">
        <v>142</v>
      </c>
      <c r="H202" s="11" t="s">
        <v>142</v>
      </c>
      <c r="I202" s="6" t="s">
        <v>11</v>
      </c>
      <c r="J202" s="11" t="s">
        <v>45</v>
      </c>
      <c r="K202" s="11" t="s">
        <v>149</v>
      </c>
      <c r="L202" s="11" t="s">
        <v>1339</v>
      </c>
      <c r="M202" s="11" t="s">
        <v>1340</v>
      </c>
      <c r="N202" s="11" t="s">
        <v>142</v>
      </c>
      <c r="O202" s="11" t="s">
        <v>142</v>
      </c>
      <c r="P202" s="11" t="s">
        <v>11</v>
      </c>
      <c r="Q202" s="11" t="s">
        <v>143</v>
      </c>
      <c r="R202" s="11" t="s">
        <v>1353</v>
      </c>
    </row>
    <row r="203" ht="51" customHeight="1" spans="1:18" s="10" customFormat="1" x14ac:dyDescent="0.25">
      <c r="A203" s="6">
        <v>202</v>
      </c>
      <c r="B203" s="11" t="s">
        <v>32</v>
      </c>
      <c r="C203" s="5" t="s">
        <v>1354</v>
      </c>
      <c r="D203" s="11" t="s">
        <v>1298</v>
      </c>
      <c r="E203" s="11" t="s">
        <v>1355</v>
      </c>
      <c r="F203" s="11" t="s">
        <v>1356</v>
      </c>
      <c r="G203" s="11" t="s">
        <v>142</v>
      </c>
      <c r="H203" s="11" t="s">
        <v>142</v>
      </c>
      <c r="I203" s="6" t="s">
        <v>11</v>
      </c>
      <c r="J203" s="11" t="s">
        <v>45</v>
      </c>
      <c r="K203" s="11" t="s">
        <v>149</v>
      </c>
      <c r="L203" s="11" t="s">
        <v>1346</v>
      </c>
      <c r="M203" s="11" t="s">
        <v>1347</v>
      </c>
      <c r="N203" s="11" t="s">
        <v>1357</v>
      </c>
      <c r="O203" s="11" t="s">
        <v>142</v>
      </c>
      <c r="P203" s="11" t="s">
        <v>11</v>
      </c>
      <c r="Q203" s="11" t="s">
        <v>143</v>
      </c>
      <c r="R203" s="11" t="s">
        <v>1358</v>
      </c>
    </row>
    <row r="204" ht="51" customHeight="1" spans="1:18" s="10" customFormat="1" x14ac:dyDescent="0.25">
      <c r="A204" s="6">
        <v>203</v>
      </c>
      <c r="B204" s="11" t="s">
        <v>32</v>
      </c>
      <c r="C204" s="5" t="s">
        <v>1359</v>
      </c>
      <c r="D204" s="11" t="s">
        <v>1360</v>
      </c>
      <c r="E204" s="11" t="s">
        <v>1361</v>
      </c>
      <c r="F204" s="11" t="s">
        <v>1362</v>
      </c>
      <c r="G204" s="11" t="s">
        <v>288</v>
      </c>
      <c r="H204" s="11" t="s">
        <v>142</v>
      </c>
      <c r="I204" s="6" t="s">
        <v>11</v>
      </c>
      <c r="J204" s="11" t="s">
        <v>45</v>
      </c>
      <c r="K204" s="11" t="s">
        <v>149</v>
      </c>
      <c r="L204" s="11" t="s">
        <v>1339</v>
      </c>
      <c r="M204" s="11" t="s">
        <v>1340</v>
      </c>
      <c r="N204" s="11" t="s">
        <v>1363</v>
      </c>
      <c r="O204" s="11" t="s">
        <v>142</v>
      </c>
      <c r="P204" s="11" t="s">
        <v>11</v>
      </c>
      <c r="Q204" s="11" t="s">
        <v>143</v>
      </c>
      <c r="R204" s="11" t="s">
        <v>1364</v>
      </c>
    </row>
    <row r="205" ht="39" customHeight="1" spans="1:18" s="10" customFormat="1" x14ac:dyDescent="0.25">
      <c r="A205" s="6">
        <v>204</v>
      </c>
      <c r="B205" s="11" t="s">
        <v>32</v>
      </c>
      <c r="C205" s="5" t="s">
        <v>1365</v>
      </c>
      <c r="D205" s="11" t="s">
        <v>133</v>
      </c>
      <c r="E205" s="11" t="s">
        <v>1366</v>
      </c>
      <c r="F205" s="11" t="s">
        <v>1367</v>
      </c>
      <c r="G205" s="11" t="s">
        <v>1108</v>
      </c>
      <c r="H205" s="11" t="s">
        <v>142</v>
      </c>
      <c r="I205" s="6" t="s">
        <v>11</v>
      </c>
      <c r="J205" s="11" t="s">
        <v>45</v>
      </c>
      <c r="K205" s="11" t="s">
        <v>149</v>
      </c>
      <c r="L205" s="11" t="s">
        <v>1368</v>
      </c>
      <c r="M205" s="11" t="s">
        <v>1340</v>
      </c>
      <c r="N205" s="11" t="s">
        <v>142</v>
      </c>
      <c r="O205" s="11" t="s">
        <v>142</v>
      </c>
      <c r="P205" s="11" t="s">
        <v>11</v>
      </c>
      <c r="Q205" s="11" t="s">
        <v>143</v>
      </c>
      <c r="R205" s="11" t="s">
        <v>1369</v>
      </c>
    </row>
    <row r="206" ht="63" customHeight="1" spans="1:18" s="10" customFormat="1" x14ac:dyDescent="0.25">
      <c r="A206" s="6">
        <v>205</v>
      </c>
      <c r="B206" s="11" t="s">
        <v>33</v>
      </c>
      <c r="C206" s="5" t="s">
        <v>1370</v>
      </c>
      <c r="D206" s="11" t="s">
        <v>162</v>
      </c>
      <c r="E206" s="11" t="s">
        <v>1371</v>
      </c>
      <c r="F206" s="11" t="s">
        <v>1372</v>
      </c>
      <c r="G206" s="11" t="s">
        <v>1373</v>
      </c>
      <c r="H206" s="11" t="s">
        <v>142</v>
      </c>
      <c r="I206" s="6" t="s">
        <v>11</v>
      </c>
      <c r="J206" s="11" t="s">
        <v>45</v>
      </c>
      <c r="K206" s="11" t="s">
        <v>1374</v>
      </c>
      <c r="L206" s="11" t="s">
        <v>1375</v>
      </c>
      <c r="M206" s="11" t="s">
        <v>1376</v>
      </c>
      <c r="N206" s="11" t="s">
        <v>1377</v>
      </c>
      <c r="O206" s="11" t="s">
        <v>1378</v>
      </c>
      <c r="P206" s="11" t="s">
        <v>11</v>
      </c>
      <c r="Q206" s="11" t="s">
        <v>143</v>
      </c>
      <c r="R206" s="11" t="s">
        <v>1379</v>
      </c>
    </row>
    <row r="207" ht="63" customHeight="1" spans="1:18" s="10" customFormat="1" x14ac:dyDescent="0.25">
      <c r="A207" s="6">
        <v>206</v>
      </c>
      <c r="B207" s="11" t="s">
        <v>33</v>
      </c>
      <c r="C207" s="5" t="s">
        <v>1380</v>
      </c>
      <c r="D207" s="11" t="s">
        <v>133</v>
      </c>
      <c r="E207" s="11" t="s">
        <v>1381</v>
      </c>
      <c r="F207" s="11" t="s">
        <v>1382</v>
      </c>
      <c r="G207" s="11" t="s">
        <v>1383</v>
      </c>
      <c r="H207" s="11" t="s">
        <v>142</v>
      </c>
      <c r="I207" s="6" t="s">
        <v>11</v>
      </c>
      <c r="J207" s="11" t="s">
        <v>45</v>
      </c>
      <c r="K207" s="11" t="s">
        <v>1384</v>
      </c>
      <c r="L207" s="11" t="s">
        <v>1385</v>
      </c>
      <c r="M207" s="11" t="s">
        <v>1376</v>
      </c>
      <c r="N207" s="11" t="s">
        <v>1386</v>
      </c>
      <c r="O207" s="11" t="s">
        <v>142</v>
      </c>
      <c r="P207" s="11" t="s">
        <v>11</v>
      </c>
      <c r="Q207" s="11" t="s">
        <v>143</v>
      </c>
      <c r="R207" s="11" t="s">
        <v>1387</v>
      </c>
    </row>
    <row r="208" ht="39" customHeight="1" spans="1:18" s="10" customFormat="1" x14ac:dyDescent="0.25">
      <c r="A208" s="6">
        <v>207</v>
      </c>
      <c r="B208" s="11" t="s">
        <v>33</v>
      </c>
      <c r="C208" s="5" t="s">
        <v>1388</v>
      </c>
      <c r="D208" s="11" t="s">
        <v>176</v>
      </c>
      <c r="E208" s="11" t="s">
        <v>1389</v>
      </c>
      <c r="F208" s="11" t="s">
        <v>1390</v>
      </c>
      <c r="G208" s="11" t="s">
        <v>1373</v>
      </c>
      <c r="H208" s="11" t="s">
        <v>142</v>
      </c>
      <c r="I208" s="6" t="s">
        <v>11</v>
      </c>
      <c r="J208" s="11" t="s">
        <v>45</v>
      </c>
      <c r="K208" s="11" t="s">
        <v>149</v>
      </c>
      <c r="L208" s="11" t="s">
        <v>1385</v>
      </c>
      <c r="M208" s="11" t="s">
        <v>1376</v>
      </c>
      <c r="N208" s="11" t="s">
        <v>1391</v>
      </c>
      <c r="O208" s="11" t="s">
        <v>142</v>
      </c>
      <c r="P208" s="11" t="s">
        <v>11</v>
      </c>
      <c r="Q208" s="11" t="s">
        <v>143</v>
      </c>
      <c r="R208" s="11" t="s">
        <v>1392</v>
      </c>
    </row>
    <row r="209" ht="75" customHeight="1" spans="1:18" s="10" customFormat="1" x14ac:dyDescent="0.25">
      <c r="A209" s="6">
        <v>208</v>
      </c>
      <c r="B209" s="11" t="s">
        <v>33</v>
      </c>
      <c r="C209" s="5" t="s">
        <v>1393</v>
      </c>
      <c r="D209" s="11" t="s">
        <v>176</v>
      </c>
      <c r="E209" s="11" t="s">
        <v>1394</v>
      </c>
      <c r="F209" s="11" t="s">
        <v>1395</v>
      </c>
      <c r="G209" s="11" t="s">
        <v>1396</v>
      </c>
      <c r="H209" s="11" t="s">
        <v>142</v>
      </c>
      <c r="I209" s="6" t="s">
        <v>11</v>
      </c>
      <c r="J209" s="11" t="s">
        <v>45</v>
      </c>
      <c r="K209" s="11" t="s">
        <v>149</v>
      </c>
      <c r="L209" s="11" t="s">
        <v>1397</v>
      </c>
      <c r="M209" s="11" t="s">
        <v>1398</v>
      </c>
      <c r="N209" s="11" t="s">
        <v>1399</v>
      </c>
      <c r="O209" s="11" t="s">
        <v>1400</v>
      </c>
      <c r="P209" s="11" t="s">
        <v>11</v>
      </c>
      <c r="Q209" s="11" t="s">
        <v>143</v>
      </c>
      <c r="R209" s="11" t="s">
        <v>1401</v>
      </c>
    </row>
    <row r="210" ht="87" customHeight="1" spans="1:18" s="10" customFormat="1" x14ac:dyDescent="0.25">
      <c r="A210" s="6">
        <v>209</v>
      </c>
      <c r="B210" s="11" t="s">
        <v>33</v>
      </c>
      <c r="C210" s="5" t="s">
        <v>1402</v>
      </c>
      <c r="D210" s="11" t="s">
        <v>176</v>
      </c>
      <c r="E210" s="11" t="s">
        <v>1403</v>
      </c>
      <c r="F210" s="11" t="s">
        <v>1404</v>
      </c>
      <c r="G210" s="11" t="s">
        <v>1405</v>
      </c>
      <c r="H210" s="11" t="s">
        <v>142</v>
      </c>
      <c r="I210" s="6" t="s">
        <v>11</v>
      </c>
      <c r="J210" s="11" t="s">
        <v>45</v>
      </c>
      <c r="K210" s="11" t="s">
        <v>1406</v>
      </c>
      <c r="L210" s="11" t="s">
        <v>1407</v>
      </c>
      <c r="M210" s="11" t="s">
        <v>1408</v>
      </c>
      <c r="N210" s="11" t="s">
        <v>1409</v>
      </c>
      <c r="O210" s="11" t="s">
        <v>142</v>
      </c>
      <c r="P210" s="11" t="s">
        <v>11</v>
      </c>
      <c r="Q210" s="11" t="s">
        <v>143</v>
      </c>
      <c r="R210" s="11" t="s">
        <v>1410</v>
      </c>
    </row>
    <row r="211" ht="39" customHeight="1" spans="1:18" s="10" customFormat="1" x14ac:dyDescent="0.25">
      <c r="A211" s="6">
        <v>210</v>
      </c>
      <c r="B211" s="11" t="s">
        <v>33</v>
      </c>
      <c r="C211" s="5" t="s">
        <v>1411</v>
      </c>
      <c r="D211" s="11" t="s">
        <v>176</v>
      </c>
      <c r="E211" s="11" t="s">
        <v>1412</v>
      </c>
      <c r="F211" s="11" t="s">
        <v>1413</v>
      </c>
      <c r="G211" s="11" t="s">
        <v>1414</v>
      </c>
      <c r="H211" s="11" t="s">
        <v>142</v>
      </c>
      <c r="I211" s="6" t="s">
        <v>11</v>
      </c>
      <c r="J211" s="11" t="s">
        <v>45</v>
      </c>
      <c r="K211" s="11" t="s">
        <v>1415</v>
      </c>
      <c r="L211" s="11" t="s">
        <v>1416</v>
      </c>
      <c r="M211" s="11" t="s">
        <v>1417</v>
      </c>
      <c r="N211" s="11" t="s">
        <v>142</v>
      </c>
      <c r="O211" s="11" t="s">
        <v>142</v>
      </c>
      <c r="P211" s="11" t="s">
        <v>11</v>
      </c>
      <c r="Q211" s="11" t="s">
        <v>143</v>
      </c>
      <c r="R211" s="11" t="s">
        <v>1418</v>
      </c>
    </row>
    <row r="212" ht="51" customHeight="1" spans="1:18" s="10" customFormat="1" x14ac:dyDescent="0.25">
      <c r="A212" s="6">
        <v>211</v>
      </c>
      <c r="B212" s="11" t="s">
        <v>33</v>
      </c>
      <c r="C212" s="5" t="s">
        <v>1419</v>
      </c>
      <c r="D212" s="11" t="s">
        <v>87</v>
      </c>
      <c r="E212" s="11" t="s">
        <v>1420</v>
      </c>
      <c r="F212" s="11" t="s">
        <v>1421</v>
      </c>
      <c r="G212" s="11" t="s">
        <v>142</v>
      </c>
      <c r="H212" s="11" t="s">
        <v>142</v>
      </c>
      <c r="I212" s="6" t="s">
        <v>11</v>
      </c>
      <c r="J212" s="11" t="s">
        <v>45</v>
      </c>
      <c r="K212" s="11" t="s">
        <v>149</v>
      </c>
      <c r="L212" s="11" t="s">
        <v>1422</v>
      </c>
      <c r="M212" s="11" t="s">
        <v>1423</v>
      </c>
      <c r="N212" s="11" t="s">
        <v>1424</v>
      </c>
      <c r="O212" s="11" t="s">
        <v>142</v>
      </c>
      <c r="P212" s="11" t="s">
        <v>11</v>
      </c>
      <c r="Q212" s="11" t="s">
        <v>143</v>
      </c>
      <c r="R212" s="11" t="s">
        <v>1425</v>
      </c>
    </row>
    <row r="213" ht="39" customHeight="1" spans="1:18" s="10" customFormat="1" x14ac:dyDescent="0.25">
      <c r="A213" s="6">
        <v>212</v>
      </c>
      <c r="B213" s="11" t="s">
        <v>33</v>
      </c>
      <c r="C213" s="5" t="s">
        <v>1426</v>
      </c>
      <c r="D213" s="11" t="s">
        <v>473</v>
      </c>
      <c r="E213" s="11" t="s">
        <v>1427</v>
      </c>
      <c r="F213" s="11" t="s">
        <v>1428</v>
      </c>
      <c r="G213" s="11" t="s">
        <v>142</v>
      </c>
      <c r="H213" s="11" t="s">
        <v>142</v>
      </c>
      <c r="I213" s="6" t="s">
        <v>11</v>
      </c>
      <c r="J213" s="11" t="s">
        <v>45</v>
      </c>
      <c r="K213" s="11" t="s">
        <v>149</v>
      </c>
      <c r="L213" s="11" t="s">
        <v>1429</v>
      </c>
      <c r="M213" s="11" t="s">
        <v>1430</v>
      </c>
      <c r="N213" s="11" t="s">
        <v>1431</v>
      </c>
      <c r="O213" s="11" t="s">
        <v>142</v>
      </c>
      <c r="P213" s="11" t="s">
        <v>11</v>
      </c>
      <c r="Q213" s="11" t="s">
        <v>143</v>
      </c>
      <c r="R213" s="11" t="s">
        <v>1432</v>
      </c>
    </row>
    <row r="214" ht="63" customHeight="1" spans="1:18" s="10" customFormat="1" x14ac:dyDescent="0.25">
      <c r="A214" s="6">
        <v>213</v>
      </c>
      <c r="B214" s="11" t="s">
        <v>34</v>
      </c>
      <c r="C214" s="5" t="s">
        <v>1433</v>
      </c>
      <c r="D214" s="11" t="s">
        <v>176</v>
      </c>
      <c r="E214" s="11" t="s">
        <v>1434</v>
      </c>
      <c r="F214" s="11" t="s">
        <v>1435</v>
      </c>
      <c r="G214" s="11" t="s">
        <v>1436</v>
      </c>
      <c r="H214" s="11" t="s">
        <v>142</v>
      </c>
      <c r="I214" s="6" t="s">
        <v>11</v>
      </c>
      <c r="J214" s="11" t="s">
        <v>45</v>
      </c>
      <c r="K214" s="11" t="s">
        <v>1437</v>
      </c>
      <c r="L214" s="11" t="s">
        <v>1438</v>
      </c>
      <c r="M214" s="11" t="s">
        <v>1439</v>
      </c>
      <c r="N214" s="11" t="s">
        <v>1440</v>
      </c>
      <c r="O214" s="11" t="s">
        <v>142</v>
      </c>
      <c r="P214" s="11" t="s">
        <v>11</v>
      </c>
      <c r="Q214" s="11" t="s">
        <v>143</v>
      </c>
      <c r="R214" s="11" t="s">
        <v>1441</v>
      </c>
    </row>
    <row r="215" ht="147" customHeight="1" spans="1:18" s="10" customFormat="1" x14ac:dyDescent="0.25">
      <c r="A215" s="6">
        <v>214</v>
      </c>
      <c r="B215" s="11" t="s">
        <v>34</v>
      </c>
      <c r="C215" s="5" t="s">
        <v>1442</v>
      </c>
      <c r="D215" s="11" t="s">
        <v>246</v>
      </c>
      <c r="E215" s="11" t="s">
        <v>1443</v>
      </c>
      <c r="F215" s="11" t="s">
        <v>1444</v>
      </c>
      <c r="G215" s="11" t="s">
        <v>1445</v>
      </c>
      <c r="H215" s="11" t="s">
        <v>142</v>
      </c>
      <c r="I215" s="6" t="s">
        <v>11</v>
      </c>
      <c r="J215" s="11" t="s">
        <v>45</v>
      </c>
      <c r="K215" s="11" t="s">
        <v>1446</v>
      </c>
      <c r="L215" s="11" t="s">
        <v>1447</v>
      </c>
      <c r="M215" s="11" t="s">
        <v>1448</v>
      </c>
      <c r="N215" s="11" t="s">
        <v>1449</v>
      </c>
      <c r="O215" s="11" t="s">
        <v>1450</v>
      </c>
      <c r="P215" s="11" t="s">
        <v>11</v>
      </c>
      <c r="Q215" s="11" t="s">
        <v>143</v>
      </c>
      <c r="R215" s="11" t="s">
        <v>1451</v>
      </c>
    </row>
    <row r="216" ht="63" customHeight="1" spans="1:18" s="10" customFormat="1" x14ac:dyDescent="0.25">
      <c r="A216" s="6">
        <v>215</v>
      </c>
      <c r="B216" s="11" t="s">
        <v>35</v>
      </c>
      <c r="C216" s="5" t="s">
        <v>1452</v>
      </c>
      <c r="D216" s="11" t="s">
        <v>1453</v>
      </c>
      <c r="E216" s="11" t="s">
        <v>1454</v>
      </c>
      <c r="F216" s="11" t="s">
        <v>1455</v>
      </c>
      <c r="G216" s="11" t="s">
        <v>1456</v>
      </c>
      <c r="H216" s="11" t="s">
        <v>142</v>
      </c>
      <c r="I216" s="6" t="s">
        <v>11</v>
      </c>
      <c r="J216" s="11" t="s">
        <v>45</v>
      </c>
      <c r="K216" s="11" t="s">
        <v>1457</v>
      </c>
      <c r="L216" s="11" t="s">
        <v>1458</v>
      </c>
      <c r="M216" s="11" t="s">
        <v>1459</v>
      </c>
      <c r="N216" s="11" t="s">
        <v>142</v>
      </c>
      <c r="O216" s="11" t="s">
        <v>142</v>
      </c>
      <c r="P216" s="11" t="s">
        <v>11</v>
      </c>
      <c r="Q216" s="11" t="s">
        <v>143</v>
      </c>
      <c r="R216" s="11" t="s">
        <v>1460</v>
      </c>
    </row>
    <row r="217" ht="63" customHeight="1" spans="1:18" s="10" customFormat="1" x14ac:dyDescent="0.25">
      <c r="A217" s="6">
        <v>216</v>
      </c>
      <c r="B217" s="11" t="s">
        <v>35</v>
      </c>
      <c r="C217" s="5" t="s">
        <v>1461</v>
      </c>
      <c r="D217" s="11" t="s">
        <v>1453</v>
      </c>
      <c r="E217" s="11" t="s">
        <v>1462</v>
      </c>
      <c r="F217" s="11" t="s">
        <v>1463</v>
      </c>
      <c r="G217" s="11" t="s">
        <v>1464</v>
      </c>
      <c r="H217" s="11" t="s">
        <v>142</v>
      </c>
      <c r="I217" s="6" t="s">
        <v>11</v>
      </c>
      <c r="J217" s="11" t="s">
        <v>46</v>
      </c>
      <c r="K217" s="11" t="s">
        <v>1465</v>
      </c>
      <c r="L217" s="11" t="s">
        <v>1466</v>
      </c>
      <c r="M217" s="11" t="s">
        <v>1467</v>
      </c>
      <c r="N217" s="11" t="s">
        <v>1468</v>
      </c>
      <c r="O217" s="11" t="s">
        <v>1469</v>
      </c>
      <c r="P217" s="11" t="s">
        <v>11</v>
      </c>
      <c r="Q217" s="11" t="s">
        <v>143</v>
      </c>
      <c r="R217" s="11" t="s">
        <v>1470</v>
      </c>
    </row>
    <row r="218" ht="39" customHeight="1" spans="1:18" s="10" customFormat="1" x14ac:dyDescent="0.25">
      <c r="A218" s="6">
        <v>217</v>
      </c>
      <c r="B218" s="11" t="s">
        <v>35</v>
      </c>
      <c r="C218" s="5" t="s">
        <v>1471</v>
      </c>
      <c r="D218" s="11" t="s">
        <v>1453</v>
      </c>
      <c r="E218" s="11" t="s">
        <v>1472</v>
      </c>
      <c r="F218" s="11" t="s">
        <v>1473</v>
      </c>
      <c r="G218" s="11" t="s">
        <v>1456</v>
      </c>
      <c r="H218" s="11" t="s">
        <v>142</v>
      </c>
      <c r="I218" s="6" t="s">
        <v>11</v>
      </c>
      <c r="J218" s="11" t="s">
        <v>45</v>
      </c>
      <c r="K218" s="11" t="s">
        <v>1474</v>
      </c>
      <c r="L218" s="11" t="s">
        <v>1475</v>
      </c>
      <c r="M218" s="11" t="s">
        <v>1476</v>
      </c>
      <c r="N218" s="11" t="s">
        <v>1477</v>
      </c>
      <c r="O218" s="11" t="s">
        <v>142</v>
      </c>
      <c r="P218" s="11" t="s">
        <v>11</v>
      </c>
      <c r="Q218" s="11" t="s">
        <v>143</v>
      </c>
      <c r="R218" s="11" t="s">
        <v>1478</v>
      </c>
    </row>
    <row r="219" ht="39" customHeight="1" spans="1:18" s="10" customFormat="1" x14ac:dyDescent="0.25">
      <c r="A219" s="6">
        <v>218</v>
      </c>
      <c r="B219" s="11" t="s">
        <v>35</v>
      </c>
      <c r="C219" s="5" t="s">
        <v>1479</v>
      </c>
      <c r="D219" s="11" t="s">
        <v>1453</v>
      </c>
      <c r="E219" s="11" t="s">
        <v>1480</v>
      </c>
      <c r="F219" s="11" t="s">
        <v>1481</v>
      </c>
      <c r="G219" s="11" t="s">
        <v>1482</v>
      </c>
      <c r="H219" s="11" t="s">
        <v>142</v>
      </c>
      <c r="I219" s="6" t="s">
        <v>11</v>
      </c>
      <c r="J219" s="11" t="s">
        <v>45</v>
      </c>
      <c r="K219" s="11" t="s">
        <v>1474</v>
      </c>
      <c r="L219" s="11" t="s">
        <v>1483</v>
      </c>
      <c r="M219" s="11" t="s">
        <v>1484</v>
      </c>
      <c r="N219" s="11" t="s">
        <v>142</v>
      </c>
      <c r="O219" s="11" t="s">
        <v>142</v>
      </c>
      <c r="P219" s="11" t="s">
        <v>11</v>
      </c>
      <c r="Q219" s="11" t="s">
        <v>143</v>
      </c>
      <c r="R219" s="11" t="s">
        <v>1485</v>
      </c>
    </row>
    <row r="220" ht="27" customHeight="1" spans="1:18" s="10" customFormat="1" x14ac:dyDescent="0.25">
      <c r="A220" s="6">
        <v>219</v>
      </c>
      <c r="B220" s="11" t="s">
        <v>35</v>
      </c>
      <c r="C220" s="5" t="s">
        <v>1486</v>
      </c>
      <c r="D220" s="11" t="s">
        <v>1453</v>
      </c>
      <c r="E220" s="11" t="s">
        <v>1487</v>
      </c>
      <c r="F220" s="11" t="s">
        <v>1488</v>
      </c>
      <c r="G220" s="11" t="s">
        <v>1456</v>
      </c>
      <c r="H220" s="11" t="s">
        <v>142</v>
      </c>
      <c r="I220" s="6" t="s">
        <v>11</v>
      </c>
      <c r="J220" s="11" t="s">
        <v>45</v>
      </c>
      <c r="K220" s="11" t="s">
        <v>1474</v>
      </c>
      <c r="L220" s="11" t="s">
        <v>1489</v>
      </c>
      <c r="M220" s="11" t="s">
        <v>1490</v>
      </c>
      <c r="N220" s="11" t="s">
        <v>142</v>
      </c>
      <c r="O220" s="11" t="s">
        <v>142</v>
      </c>
      <c r="P220" s="11" t="s">
        <v>11</v>
      </c>
      <c r="Q220" s="11" t="s">
        <v>143</v>
      </c>
      <c r="R220" s="11" t="s">
        <v>1491</v>
      </c>
    </row>
    <row r="221" ht="39" customHeight="1" spans="1:18" s="10" customFormat="1" x14ac:dyDescent="0.25">
      <c r="A221" s="6">
        <v>220</v>
      </c>
      <c r="B221" s="11" t="s">
        <v>35</v>
      </c>
      <c r="C221" s="5" t="s">
        <v>1492</v>
      </c>
      <c r="D221" s="11" t="s">
        <v>1453</v>
      </c>
      <c r="E221" s="11" t="s">
        <v>1493</v>
      </c>
      <c r="F221" s="11" t="s">
        <v>1494</v>
      </c>
      <c r="G221" s="11" t="s">
        <v>1495</v>
      </c>
      <c r="H221" s="11" t="s">
        <v>142</v>
      </c>
      <c r="I221" s="6" t="s">
        <v>11</v>
      </c>
      <c r="J221" s="11" t="s">
        <v>45</v>
      </c>
      <c r="K221" s="11" t="s">
        <v>1496</v>
      </c>
      <c r="L221" s="11" t="s">
        <v>1497</v>
      </c>
      <c r="M221" s="11" t="s">
        <v>1498</v>
      </c>
      <c r="N221" s="11" t="s">
        <v>1499</v>
      </c>
      <c r="O221" s="11" t="s">
        <v>142</v>
      </c>
      <c r="P221" s="11" t="s">
        <v>11</v>
      </c>
      <c r="Q221" s="11" t="s">
        <v>143</v>
      </c>
      <c r="R221" s="11" t="s">
        <v>1500</v>
      </c>
    </row>
    <row r="222" ht="27" customHeight="1" spans="1:18" s="10" customFormat="1" x14ac:dyDescent="0.25">
      <c r="A222" s="6">
        <v>221</v>
      </c>
      <c r="B222" s="11" t="s">
        <v>35</v>
      </c>
      <c r="C222" s="5" t="s">
        <v>1501</v>
      </c>
      <c r="D222" s="11" t="s">
        <v>1453</v>
      </c>
      <c r="E222" s="11" t="s">
        <v>1502</v>
      </c>
      <c r="F222" s="11" t="s">
        <v>1503</v>
      </c>
      <c r="G222" s="11" t="s">
        <v>1495</v>
      </c>
      <c r="H222" s="11" t="s">
        <v>142</v>
      </c>
      <c r="I222" s="6" t="s">
        <v>11</v>
      </c>
      <c r="J222" s="11" t="s">
        <v>45</v>
      </c>
      <c r="K222" s="11" t="s">
        <v>1504</v>
      </c>
      <c r="L222" s="11" t="s">
        <v>1497</v>
      </c>
      <c r="M222" s="11" t="s">
        <v>1498</v>
      </c>
      <c r="N222" s="11" t="s">
        <v>1505</v>
      </c>
      <c r="O222" s="11" t="s">
        <v>142</v>
      </c>
      <c r="P222" s="11" t="s">
        <v>11</v>
      </c>
      <c r="Q222" s="11" t="s">
        <v>143</v>
      </c>
      <c r="R222" s="11" t="s">
        <v>1500</v>
      </c>
    </row>
    <row r="223" ht="39" customHeight="1" spans="1:18" s="10" customFormat="1" x14ac:dyDescent="0.25">
      <c r="A223" s="6">
        <v>222</v>
      </c>
      <c r="B223" s="11" t="s">
        <v>36</v>
      </c>
      <c r="C223" s="5" t="s">
        <v>1506</v>
      </c>
      <c r="D223" s="11" t="s">
        <v>1507</v>
      </c>
      <c r="E223" s="11" t="s">
        <v>1508</v>
      </c>
      <c r="F223" s="11" t="s">
        <v>1509</v>
      </c>
      <c r="G223" s="11" t="s">
        <v>142</v>
      </c>
      <c r="H223" s="11" t="s">
        <v>142</v>
      </c>
      <c r="I223" s="6" t="s">
        <v>11</v>
      </c>
      <c r="J223" s="11" t="s">
        <v>45</v>
      </c>
      <c r="K223" s="11" t="s">
        <v>149</v>
      </c>
      <c r="L223" s="11" t="s">
        <v>1510</v>
      </c>
      <c r="M223" s="11" t="s">
        <v>1511</v>
      </c>
      <c r="N223" s="11" t="s">
        <v>142</v>
      </c>
      <c r="O223" s="11" t="s">
        <v>142</v>
      </c>
      <c r="P223" s="11" t="s">
        <v>11</v>
      </c>
      <c r="Q223" s="11" t="s">
        <v>143</v>
      </c>
      <c r="R223" s="11" t="s">
        <v>1512</v>
      </c>
    </row>
    <row r="224" ht="27" customHeight="1" spans="1:18" s="10" customFormat="1" x14ac:dyDescent="0.25">
      <c r="A224" s="6">
        <v>223</v>
      </c>
      <c r="B224" s="11" t="s">
        <v>36</v>
      </c>
      <c r="C224" s="5" t="s">
        <v>1513</v>
      </c>
      <c r="D224" s="11" t="s">
        <v>1507</v>
      </c>
      <c r="E224" s="11" t="s">
        <v>1514</v>
      </c>
      <c r="F224" s="11" t="s">
        <v>1515</v>
      </c>
      <c r="G224" s="11" t="s">
        <v>142</v>
      </c>
      <c r="H224" s="11" t="s">
        <v>142</v>
      </c>
      <c r="I224" s="6" t="s">
        <v>11</v>
      </c>
      <c r="J224" s="11" t="s">
        <v>45</v>
      </c>
      <c r="K224" s="11" t="s">
        <v>149</v>
      </c>
      <c r="L224" s="11" t="s">
        <v>1516</v>
      </c>
      <c r="M224" s="11" t="s">
        <v>159</v>
      </c>
      <c r="N224" s="11" t="s">
        <v>142</v>
      </c>
      <c r="O224" s="11" t="s">
        <v>142</v>
      </c>
      <c r="P224" s="11" t="s">
        <v>11</v>
      </c>
      <c r="Q224" s="11" t="s">
        <v>143</v>
      </c>
      <c r="R224" s="11" t="s">
        <v>1517</v>
      </c>
    </row>
    <row r="225" ht="27" customHeight="1" spans="1:18" s="10" customFormat="1" x14ac:dyDescent="0.25">
      <c r="A225" s="6">
        <v>224</v>
      </c>
      <c r="B225" s="11" t="s">
        <v>36</v>
      </c>
      <c r="C225" s="5" t="s">
        <v>1518</v>
      </c>
      <c r="D225" s="11" t="s">
        <v>1507</v>
      </c>
      <c r="E225" s="11" t="s">
        <v>1519</v>
      </c>
      <c r="F225" s="11" t="s">
        <v>1520</v>
      </c>
      <c r="G225" s="11" t="s">
        <v>1521</v>
      </c>
      <c r="H225" s="11" t="s">
        <v>142</v>
      </c>
      <c r="I225" s="6" t="s">
        <v>11</v>
      </c>
      <c r="J225" s="11" t="s">
        <v>45</v>
      </c>
      <c r="K225" s="11" t="s">
        <v>149</v>
      </c>
      <c r="L225" s="11" t="s">
        <v>1522</v>
      </c>
      <c r="M225" s="11" t="s">
        <v>1484</v>
      </c>
      <c r="N225" s="11" t="s">
        <v>142</v>
      </c>
      <c r="O225" s="11" t="s">
        <v>142</v>
      </c>
      <c r="P225" s="11" t="s">
        <v>11</v>
      </c>
      <c r="Q225" s="11" t="s">
        <v>143</v>
      </c>
      <c r="R225" s="11" t="s">
        <v>1523</v>
      </c>
    </row>
    <row r="226" ht="27" customHeight="1" spans="1:18" s="10" customFormat="1" x14ac:dyDescent="0.25">
      <c r="A226" s="6">
        <v>225</v>
      </c>
      <c r="B226" s="11" t="s">
        <v>36</v>
      </c>
      <c r="C226" s="5" t="s">
        <v>1524</v>
      </c>
      <c r="D226" s="11" t="s">
        <v>582</v>
      </c>
      <c r="E226" s="11" t="s">
        <v>1525</v>
      </c>
      <c r="F226" s="11" t="s">
        <v>1526</v>
      </c>
      <c r="G226" s="11" t="s">
        <v>142</v>
      </c>
      <c r="H226" s="11" t="s">
        <v>142</v>
      </c>
      <c r="I226" s="6" t="s">
        <v>11</v>
      </c>
      <c r="J226" s="11" t="s">
        <v>45</v>
      </c>
      <c r="K226" s="11" t="s">
        <v>149</v>
      </c>
      <c r="L226" s="11" t="s">
        <v>1527</v>
      </c>
      <c r="M226" s="11" t="s">
        <v>1528</v>
      </c>
      <c r="N226" s="11" t="s">
        <v>142</v>
      </c>
      <c r="O226" s="11" t="s">
        <v>142</v>
      </c>
      <c r="P226" s="11" t="s">
        <v>11</v>
      </c>
      <c r="Q226" s="11" t="s">
        <v>143</v>
      </c>
      <c r="R226" s="11" t="s">
        <v>1529</v>
      </c>
    </row>
    <row r="227" ht="27" customHeight="1" spans="1:18" s="10" customFormat="1" x14ac:dyDescent="0.25">
      <c r="A227" s="6">
        <v>226</v>
      </c>
      <c r="B227" s="11" t="s">
        <v>36</v>
      </c>
      <c r="C227" s="5" t="s">
        <v>1530</v>
      </c>
      <c r="D227" s="11" t="s">
        <v>1507</v>
      </c>
      <c r="E227" s="11" t="s">
        <v>1531</v>
      </c>
      <c r="F227" s="11" t="s">
        <v>1532</v>
      </c>
      <c r="G227" s="11" t="s">
        <v>142</v>
      </c>
      <c r="H227" s="11" t="s">
        <v>142</v>
      </c>
      <c r="I227" s="6" t="s">
        <v>11</v>
      </c>
      <c r="J227" s="11" t="s">
        <v>45</v>
      </c>
      <c r="K227" s="11" t="s">
        <v>149</v>
      </c>
      <c r="L227" s="11" t="s">
        <v>1533</v>
      </c>
      <c r="M227" s="11" t="s">
        <v>1534</v>
      </c>
      <c r="N227" s="11" t="s">
        <v>142</v>
      </c>
      <c r="O227" s="11" t="s">
        <v>142</v>
      </c>
      <c r="P227" s="11" t="s">
        <v>11</v>
      </c>
      <c r="Q227" s="11" t="s">
        <v>143</v>
      </c>
      <c r="R227" s="11" t="s">
        <v>1535</v>
      </c>
    </row>
    <row r="228" ht="39" customHeight="1" spans="1:18" s="10" customFormat="1" x14ac:dyDescent="0.25">
      <c r="A228" s="6">
        <v>227</v>
      </c>
      <c r="B228" s="11" t="s">
        <v>36</v>
      </c>
      <c r="C228" s="5" t="s">
        <v>1536</v>
      </c>
      <c r="D228" s="11" t="s">
        <v>1507</v>
      </c>
      <c r="E228" s="11" t="s">
        <v>1537</v>
      </c>
      <c r="F228" s="11" t="s">
        <v>1538</v>
      </c>
      <c r="G228" s="11" t="s">
        <v>1539</v>
      </c>
      <c r="H228" s="11" t="s">
        <v>142</v>
      </c>
      <c r="I228" s="6" t="s">
        <v>11</v>
      </c>
      <c r="J228" s="11" t="s">
        <v>45</v>
      </c>
      <c r="K228" s="11" t="s">
        <v>149</v>
      </c>
      <c r="L228" s="11" t="s">
        <v>1540</v>
      </c>
      <c r="M228" s="11" t="s">
        <v>1540</v>
      </c>
      <c r="N228" s="11" t="s">
        <v>142</v>
      </c>
      <c r="O228" s="11" t="s">
        <v>142</v>
      </c>
      <c r="P228" s="11" t="s">
        <v>11</v>
      </c>
      <c r="Q228" s="11" t="s">
        <v>143</v>
      </c>
      <c r="R228" s="11" t="s">
        <v>1541</v>
      </c>
    </row>
    <row r="229" ht="39" customHeight="1" spans="1:18" s="10" customFormat="1" x14ac:dyDescent="0.25">
      <c r="A229" s="6">
        <v>228</v>
      </c>
      <c r="B229" s="11" t="s">
        <v>36</v>
      </c>
      <c r="C229" s="5" t="s">
        <v>1542</v>
      </c>
      <c r="D229" s="11" t="s">
        <v>1507</v>
      </c>
      <c r="E229" s="11" t="s">
        <v>1543</v>
      </c>
      <c r="F229" s="11" t="s">
        <v>1544</v>
      </c>
      <c r="G229" s="11" t="s">
        <v>1539</v>
      </c>
      <c r="H229" s="11" t="s">
        <v>142</v>
      </c>
      <c r="I229" s="6" t="s">
        <v>11</v>
      </c>
      <c r="J229" s="11" t="s">
        <v>45</v>
      </c>
      <c r="K229" s="11" t="s">
        <v>1545</v>
      </c>
      <c r="L229" s="11" t="s">
        <v>1546</v>
      </c>
      <c r="M229" s="11" t="s">
        <v>1165</v>
      </c>
      <c r="N229" s="11" t="s">
        <v>142</v>
      </c>
      <c r="O229" s="11" t="s">
        <v>142</v>
      </c>
      <c r="P229" s="11" t="s">
        <v>11</v>
      </c>
      <c r="Q229" s="11" t="s">
        <v>143</v>
      </c>
      <c r="R229" s="11" t="s">
        <v>142</v>
      </c>
    </row>
    <row r="230" ht="51" customHeight="1" spans="1:18" s="10" customFormat="1" x14ac:dyDescent="0.25">
      <c r="A230" s="6">
        <v>229</v>
      </c>
      <c r="B230" s="11" t="s">
        <v>36</v>
      </c>
      <c r="C230" s="5" t="s">
        <v>1547</v>
      </c>
      <c r="D230" s="11" t="s">
        <v>1507</v>
      </c>
      <c r="E230" s="11" t="s">
        <v>1548</v>
      </c>
      <c r="F230" s="11" t="s">
        <v>1549</v>
      </c>
      <c r="G230" s="11" t="s">
        <v>1550</v>
      </c>
      <c r="H230" s="11" t="s">
        <v>142</v>
      </c>
      <c r="I230" s="6" t="s">
        <v>11</v>
      </c>
      <c r="J230" s="11" t="s">
        <v>49</v>
      </c>
      <c r="K230" s="11" t="s">
        <v>1551</v>
      </c>
      <c r="L230" s="11" t="s">
        <v>1552</v>
      </c>
      <c r="M230" s="11" t="s">
        <v>1553</v>
      </c>
      <c r="N230" s="11" t="s">
        <v>1554</v>
      </c>
      <c r="O230" s="11" t="s">
        <v>142</v>
      </c>
      <c r="P230" s="11" t="s">
        <v>11</v>
      </c>
      <c r="Q230" s="11" t="s">
        <v>143</v>
      </c>
      <c r="R230" s="11" t="s">
        <v>1555</v>
      </c>
    </row>
    <row r="231" ht="111" customHeight="1" spans="1:18" s="10" customFormat="1" x14ac:dyDescent="0.25">
      <c r="A231" s="6">
        <v>230</v>
      </c>
      <c r="B231" s="11" t="s">
        <v>36</v>
      </c>
      <c r="C231" s="5" t="s">
        <v>1556</v>
      </c>
      <c r="D231" s="11" t="s">
        <v>1507</v>
      </c>
      <c r="E231" s="11" t="s">
        <v>1557</v>
      </c>
      <c r="F231" s="11" t="s">
        <v>1558</v>
      </c>
      <c r="G231" s="11" t="s">
        <v>1559</v>
      </c>
      <c r="H231" s="11" t="s">
        <v>142</v>
      </c>
      <c r="I231" s="6" t="s">
        <v>11</v>
      </c>
      <c r="J231" s="11" t="s">
        <v>50</v>
      </c>
      <c r="K231" s="11" t="s">
        <v>149</v>
      </c>
      <c r="L231" s="11" t="s">
        <v>1560</v>
      </c>
      <c r="M231" s="11" t="s">
        <v>1561</v>
      </c>
      <c r="N231" s="11" t="s">
        <v>142</v>
      </c>
      <c r="O231" s="11" t="s">
        <v>142</v>
      </c>
      <c r="P231" s="11" t="s">
        <v>11</v>
      </c>
      <c r="Q231" s="11" t="s">
        <v>143</v>
      </c>
      <c r="R231" s="11" t="s">
        <v>1562</v>
      </c>
    </row>
    <row r="232" ht="51" customHeight="1" spans="1:18" s="10" customFormat="1" x14ac:dyDescent="0.25">
      <c r="A232" s="6">
        <v>231</v>
      </c>
      <c r="B232" s="11" t="s">
        <v>36</v>
      </c>
      <c r="C232" s="5" t="s">
        <v>1563</v>
      </c>
      <c r="D232" s="11" t="s">
        <v>1507</v>
      </c>
      <c r="E232" s="11" t="s">
        <v>1564</v>
      </c>
      <c r="F232" s="11" t="s">
        <v>1565</v>
      </c>
      <c r="G232" s="11" t="s">
        <v>1566</v>
      </c>
      <c r="H232" s="11" t="s">
        <v>142</v>
      </c>
      <c r="I232" s="6" t="s">
        <v>11</v>
      </c>
      <c r="J232" s="11" t="s">
        <v>50</v>
      </c>
      <c r="K232" s="11" t="s">
        <v>149</v>
      </c>
      <c r="L232" s="11" t="s">
        <v>1279</v>
      </c>
      <c r="M232" s="11" t="s">
        <v>1279</v>
      </c>
      <c r="N232" s="11" t="s">
        <v>142</v>
      </c>
      <c r="O232" s="11" t="s">
        <v>142</v>
      </c>
      <c r="P232" s="11" t="s">
        <v>11</v>
      </c>
      <c r="Q232" s="11" t="s">
        <v>143</v>
      </c>
      <c r="R232" s="11" t="s">
        <v>1567</v>
      </c>
    </row>
    <row r="233" ht="51" customHeight="1" spans="1:18" s="10" customFormat="1" x14ac:dyDescent="0.25">
      <c r="A233" s="6">
        <v>232</v>
      </c>
      <c r="B233" s="11" t="s">
        <v>36</v>
      </c>
      <c r="C233" s="5" t="s">
        <v>1568</v>
      </c>
      <c r="D233" s="11" t="s">
        <v>1507</v>
      </c>
      <c r="E233" s="11" t="s">
        <v>1569</v>
      </c>
      <c r="F233" s="11" t="s">
        <v>1570</v>
      </c>
      <c r="G233" s="11" t="s">
        <v>1571</v>
      </c>
      <c r="H233" s="11" t="s">
        <v>142</v>
      </c>
      <c r="I233" s="6" t="s">
        <v>11</v>
      </c>
      <c r="J233" s="11" t="s">
        <v>49</v>
      </c>
      <c r="K233" s="11" t="s">
        <v>1572</v>
      </c>
      <c r="L233" s="11" t="s">
        <v>1573</v>
      </c>
      <c r="M233" s="11" t="s">
        <v>1553</v>
      </c>
      <c r="N233" s="11" t="s">
        <v>142</v>
      </c>
      <c r="O233" s="11" t="s">
        <v>142</v>
      </c>
      <c r="P233" s="11" t="s">
        <v>11</v>
      </c>
      <c r="Q233" s="11" t="s">
        <v>143</v>
      </c>
      <c r="R233" s="11" t="s">
        <v>1574</v>
      </c>
    </row>
    <row r="234" ht="51" customHeight="1" spans="1:18" s="10" customFormat="1" x14ac:dyDescent="0.25">
      <c r="A234" s="6">
        <v>233</v>
      </c>
      <c r="B234" s="11" t="s">
        <v>36</v>
      </c>
      <c r="C234" s="5" t="s">
        <v>1575</v>
      </c>
      <c r="D234" s="11" t="s">
        <v>1576</v>
      </c>
      <c r="E234" s="11" t="s">
        <v>1577</v>
      </c>
      <c r="F234" s="11" t="s">
        <v>1578</v>
      </c>
      <c r="G234" s="11" t="s">
        <v>142</v>
      </c>
      <c r="H234" s="11" t="s">
        <v>142</v>
      </c>
      <c r="I234" s="6" t="s">
        <v>11</v>
      </c>
      <c r="J234" s="11" t="s">
        <v>45</v>
      </c>
      <c r="K234" s="11" t="s">
        <v>149</v>
      </c>
      <c r="L234" s="11" t="s">
        <v>1579</v>
      </c>
      <c r="M234" s="11" t="s">
        <v>1580</v>
      </c>
      <c r="N234" s="11" t="s">
        <v>142</v>
      </c>
      <c r="O234" s="11" t="s">
        <v>142</v>
      </c>
      <c r="P234" s="11" t="s">
        <v>11</v>
      </c>
      <c r="Q234" s="11" t="s">
        <v>143</v>
      </c>
      <c r="R234" s="11" t="s">
        <v>1581</v>
      </c>
    </row>
    <row r="235" ht="39" customHeight="1" spans="1:18" s="10" customFormat="1" x14ac:dyDescent="0.25">
      <c r="A235" s="6">
        <v>234</v>
      </c>
      <c r="B235" s="11" t="s">
        <v>36</v>
      </c>
      <c r="C235" s="5" t="s">
        <v>1582</v>
      </c>
      <c r="D235" s="11" t="s">
        <v>1576</v>
      </c>
      <c r="E235" s="11" t="s">
        <v>1583</v>
      </c>
      <c r="F235" s="11" t="s">
        <v>1584</v>
      </c>
      <c r="G235" s="11" t="s">
        <v>142</v>
      </c>
      <c r="H235" s="11" t="s">
        <v>142</v>
      </c>
      <c r="I235" s="6" t="s">
        <v>11</v>
      </c>
      <c r="J235" s="11" t="s">
        <v>46</v>
      </c>
      <c r="K235" s="11" t="s">
        <v>1585</v>
      </c>
      <c r="L235" s="11" t="s">
        <v>1579</v>
      </c>
      <c r="M235" s="11" t="s">
        <v>1580</v>
      </c>
      <c r="N235" s="11" t="s">
        <v>1586</v>
      </c>
      <c r="O235" s="11" t="s">
        <v>1587</v>
      </c>
      <c r="P235" s="11" t="s">
        <v>11</v>
      </c>
      <c r="Q235" s="11" t="s">
        <v>143</v>
      </c>
      <c r="R235" s="11" t="s">
        <v>1588</v>
      </c>
    </row>
    <row r="236" ht="51" customHeight="1" spans="1:18" s="10" customFormat="1" x14ac:dyDescent="0.25">
      <c r="A236" s="6">
        <v>235</v>
      </c>
      <c r="B236" s="11" t="s">
        <v>36</v>
      </c>
      <c r="C236" s="5" t="s">
        <v>1589</v>
      </c>
      <c r="D236" s="11" t="s">
        <v>1576</v>
      </c>
      <c r="E236" s="11" t="s">
        <v>1590</v>
      </c>
      <c r="F236" s="11" t="s">
        <v>1591</v>
      </c>
      <c r="G236" s="11" t="s">
        <v>142</v>
      </c>
      <c r="H236" s="11" t="s">
        <v>142</v>
      </c>
      <c r="I236" s="6" t="s">
        <v>11</v>
      </c>
      <c r="J236" s="11" t="s">
        <v>45</v>
      </c>
      <c r="K236" s="11" t="s">
        <v>149</v>
      </c>
      <c r="L236" s="11" t="s">
        <v>1592</v>
      </c>
      <c r="M236" s="11" t="s">
        <v>1593</v>
      </c>
      <c r="N236" s="11" t="s">
        <v>142</v>
      </c>
      <c r="O236" s="11" t="s">
        <v>142</v>
      </c>
      <c r="P236" s="11" t="s">
        <v>11</v>
      </c>
      <c r="Q236" s="11" t="s">
        <v>143</v>
      </c>
      <c r="R236" s="11" t="s">
        <v>1594</v>
      </c>
    </row>
    <row r="237" ht="159" customHeight="1" spans="1:18" s="10" customFormat="1" x14ac:dyDescent="0.25">
      <c r="A237" s="6">
        <v>236</v>
      </c>
      <c r="B237" s="11" t="s">
        <v>36</v>
      </c>
      <c r="C237" s="5" t="s">
        <v>1595</v>
      </c>
      <c r="D237" s="11" t="s">
        <v>1507</v>
      </c>
      <c r="E237" s="11" t="s">
        <v>1596</v>
      </c>
      <c r="F237" s="11" t="s">
        <v>1597</v>
      </c>
      <c r="G237" s="11" t="s">
        <v>1598</v>
      </c>
      <c r="H237" s="11" t="s">
        <v>142</v>
      </c>
      <c r="I237" s="6" t="s">
        <v>11</v>
      </c>
      <c r="J237" s="11" t="s">
        <v>45</v>
      </c>
      <c r="K237" s="11" t="s">
        <v>1599</v>
      </c>
      <c r="L237" s="11" t="s">
        <v>1600</v>
      </c>
      <c r="M237" s="11" t="s">
        <v>1601</v>
      </c>
      <c r="N237" s="11" t="s">
        <v>1602</v>
      </c>
      <c r="O237" s="11" t="s">
        <v>142</v>
      </c>
      <c r="P237" s="11" t="s">
        <v>11</v>
      </c>
      <c r="Q237" s="11" t="s">
        <v>143</v>
      </c>
      <c r="R237" s="11" t="s">
        <v>1603</v>
      </c>
    </row>
    <row r="238" ht="51" customHeight="1" spans="1:18" s="10" customFormat="1" x14ac:dyDescent="0.25">
      <c r="A238" s="6">
        <v>237</v>
      </c>
      <c r="B238" s="11" t="s">
        <v>36</v>
      </c>
      <c r="C238" s="5" t="s">
        <v>1604</v>
      </c>
      <c r="D238" s="11" t="s">
        <v>1507</v>
      </c>
      <c r="E238" s="11" t="s">
        <v>1605</v>
      </c>
      <c r="F238" s="11" t="s">
        <v>1606</v>
      </c>
      <c r="G238" s="11" t="s">
        <v>1521</v>
      </c>
      <c r="H238" s="11" t="s">
        <v>142</v>
      </c>
      <c r="I238" s="6" t="s">
        <v>11</v>
      </c>
      <c r="J238" s="11" t="s">
        <v>50</v>
      </c>
      <c r="K238" s="11" t="s">
        <v>149</v>
      </c>
      <c r="L238" s="11" t="s">
        <v>1607</v>
      </c>
      <c r="M238" s="11" t="s">
        <v>1376</v>
      </c>
      <c r="N238" s="11" t="s">
        <v>142</v>
      </c>
      <c r="O238" s="11" t="s">
        <v>142</v>
      </c>
      <c r="P238" s="11" t="s">
        <v>11</v>
      </c>
      <c r="Q238" s="11" t="s">
        <v>143</v>
      </c>
      <c r="R238" s="11" t="s">
        <v>1608</v>
      </c>
    </row>
    <row r="239" ht="63" customHeight="1" spans="1:18" s="10" customFormat="1" x14ac:dyDescent="0.25">
      <c r="A239" s="6">
        <v>238</v>
      </c>
      <c r="B239" s="11" t="s">
        <v>36</v>
      </c>
      <c r="C239" s="5" t="s">
        <v>1609</v>
      </c>
      <c r="D239" s="11" t="s">
        <v>1274</v>
      </c>
      <c r="E239" s="11" t="s">
        <v>1610</v>
      </c>
      <c r="F239" s="11" t="s">
        <v>1611</v>
      </c>
      <c r="G239" s="11" t="s">
        <v>1612</v>
      </c>
      <c r="H239" s="11" t="s">
        <v>142</v>
      </c>
      <c r="I239" s="6" t="s">
        <v>14</v>
      </c>
      <c r="J239" s="11" t="s">
        <v>50</v>
      </c>
      <c r="K239" s="11" t="s">
        <v>1613</v>
      </c>
      <c r="L239" s="11" t="s">
        <v>1614</v>
      </c>
      <c r="M239" s="11" t="s">
        <v>1615</v>
      </c>
      <c r="N239" s="11" t="s">
        <v>1616</v>
      </c>
      <c r="O239" s="11" t="s">
        <v>1617</v>
      </c>
      <c r="P239" s="11" t="s">
        <v>14</v>
      </c>
      <c r="Q239" s="11" t="s">
        <v>143</v>
      </c>
      <c r="R239" s="11" t="s">
        <v>1618</v>
      </c>
    </row>
    <row r="240" ht="75" customHeight="1" spans="1:18" s="10" customFormat="1" x14ac:dyDescent="0.25">
      <c r="A240" s="6">
        <v>239</v>
      </c>
      <c r="B240" s="11" t="s">
        <v>36</v>
      </c>
      <c r="C240" s="5" t="s">
        <v>1619</v>
      </c>
      <c r="D240" s="11" t="s">
        <v>1507</v>
      </c>
      <c r="E240" s="11" t="s">
        <v>1620</v>
      </c>
      <c r="F240" s="11" t="s">
        <v>1621</v>
      </c>
      <c r="G240" s="11" t="s">
        <v>1622</v>
      </c>
      <c r="H240" s="11" t="s">
        <v>142</v>
      </c>
      <c r="I240" s="6" t="s">
        <v>11</v>
      </c>
      <c r="J240" s="11" t="s">
        <v>50</v>
      </c>
      <c r="K240" s="11" t="s">
        <v>1623</v>
      </c>
      <c r="L240" s="11" t="s">
        <v>1624</v>
      </c>
      <c r="M240" s="11" t="s">
        <v>1625</v>
      </c>
      <c r="N240" s="11" t="s">
        <v>1626</v>
      </c>
      <c r="O240" s="11" t="s">
        <v>1627</v>
      </c>
      <c r="P240" s="11" t="s">
        <v>11</v>
      </c>
      <c r="Q240" s="11" t="s">
        <v>143</v>
      </c>
      <c r="R240" s="11" t="s">
        <v>1628</v>
      </c>
    </row>
    <row r="241" ht="51" customHeight="1" spans="1:18" s="10" customFormat="1" x14ac:dyDescent="0.25">
      <c r="A241" s="6">
        <v>240</v>
      </c>
      <c r="B241" s="11" t="s">
        <v>37</v>
      </c>
      <c r="C241" s="5" t="s">
        <v>1629</v>
      </c>
      <c r="D241" s="11" t="s">
        <v>1630</v>
      </c>
      <c r="E241" s="11" t="s">
        <v>1631</v>
      </c>
      <c r="F241" s="11" t="s">
        <v>1632</v>
      </c>
      <c r="G241" s="11" t="s">
        <v>1521</v>
      </c>
      <c r="H241" s="11" t="s">
        <v>142</v>
      </c>
      <c r="I241" s="6" t="s">
        <v>11</v>
      </c>
      <c r="J241" s="11" t="s">
        <v>45</v>
      </c>
      <c r="K241" s="11" t="s">
        <v>1633</v>
      </c>
      <c r="L241" s="11" t="s">
        <v>1634</v>
      </c>
      <c r="M241" s="11" t="s">
        <v>1635</v>
      </c>
      <c r="N241" s="11" t="s">
        <v>142</v>
      </c>
      <c r="O241" s="11" t="s">
        <v>142</v>
      </c>
      <c r="P241" s="11" t="s">
        <v>11</v>
      </c>
      <c r="Q241" s="11" t="s">
        <v>143</v>
      </c>
      <c r="R241" s="11" t="s">
        <v>1636</v>
      </c>
    </row>
    <row r="242" ht="39" customHeight="1" spans="1:18" s="10" customFormat="1" x14ac:dyDescent="0.25">
      <c r="A242" s="6">
        <v>241</v>
      </c>
      <c r="B242" s="11" t="s">
        <v>37</v>
      </c>
      <c r="C242" s="5" t="s">
        <v>1637</v>
      </c>
      <c r="D242" s="11" t="s">
        <v>1630</v>
      </c>
      <c r="E242" s="11" t="s">
        <v>1638</v>
      </c>
      <c r="F242" s="11" t="s">
        <v>1639</v>
      </c>
      <c r="G242" s="11" t="s">
        <v>1640</v>
      </c>
      <c r="H242" s="11" t="s">
        <v>142</v>
      </c>
      <c r="I242" s="6" t="s">
        <v>11</v>
      </c>
      <c r="J242" s="11" t="s">
        <v>45</v>
      </c>
      <c r="K242" s="11" t="s">
        <v>149</v>
      </c>
      <c r="L242" s="11" t="s">
        <v>1641</v>
      </c>
      <c r="M242" s="11" t="s">
        <v>1642</v>
      </c>
      <c r="N242" s="11" t="s">
        <v>142</v>
      </c>
      <c r="O242" s="11" t="s">
        <v>142</v>
      </c>
      <c r="P242" s="11" t="s">
        <v>11</v>
      </c>
      <c r="Q242" s="11" t="s">
        <v>143</v>
      </c>
      <c r="R242" s="11" t="s">
        <v>1643</v>
      </c>
    </row>
    <row r="243" ht="39" customHeight="1" spans="1:18" s="10" customFormat="1" x14ac:dyDescent="0.25">
      <c r="A243" s="6">
        <v>242</v>
      </c>
      <c r="B243" s="11" t="s">
        <v>37</v>
      </c>
      <c r="C243" s="5" t="s">
        <v>1644</v>
      </c>
      <c r="D243" s="11" t="s">
        <v>1630</v>
      </c>
      <c r="E243" s="11" t="s">
        <v>1645</v>
      </c>
      <c r="F243" s="11" t="s">
        <v>1646</v>
      </c>
      <c r="G243" s="11" t="s">
        <v>1640</v>
      </c>
      <c r="H243" s="11" t="s">
        <v>142</v>
      </c>
      <c r="I243" s="6" t="s">
        <v>12</v>
      </c>
      <c r="J243" s="11" t="s">
        <v>51</v>
      </c>
      <c r="K243" s="11" t="s">
        <v>142</v>
      </c>
      <c r="L243" s="11" t="s">
        <v>1647</v>
      </c>
      <c r="M243" s="11" t="s">
        <v>1648</v>
      </c>
      <c r="N243" s="11" t="s">
        <v>1649</v>
      </c>
      <c r="O243" s="11" t="s">
        <v>1650</v>
      </c>
      <c r="P243" s="11" t="s">
        <v>12</v>
      </c>
      <c r="Q243" s="11" t="s">
        <v>1651</v>
      </c>
      <c r="R243" s="11" t="s">
        <v>1652</v>
      </c>
    </row>
    <row r="244" ht="63" customHeight="1" spans="1:18" s="10" customFormat="1" x14ac:dyDescent="0.25">
      <c r="A244" s="6">
        <v>243</v>
      </c>
      <c r="B244" s="11" t="s">
        <v>37</v>
      </c>
      <c r="C244" s="5" t="s">
        <v>1653</v>
      </c>
      <c r="D244" s="11" t="s">
        <v>1630</v>
      </c>
      <c r="E244" s="11" t="s">
        <v>1654</v>
      </c>
      <c r="F244" s="11" t="s">
        <v>1655</v>
      </c>
      <c r="G244" s="11" t="s">
        <v>1656</v>
      </c>
      <c r="H244" s="11" t="s">
        <v>142</v>
      </c>
      <c r="I244" s="6" t="s">
        <v>11</v>
      </c>
      <c r="J244" s="11" t="s">
        <v>52</v>
      </c>
      <c r="K244" s="11" t="s">
        <v>142</v>
      </c>
      <c r="L244" s="11" t="s">
        <v>1657</v>
      </c>
      <c r="M244" s="11" t="s">
        <v>1553</v>
      </c>
      <c r="N244" s="11" t="s">
        <v>1658</v>
      </c>
      <c r="O244" s="11" t="s">
        <v>142</v>
      </c>
      <c r="P244" s="11" t="s">
        <v>11</v>
      </c>
      <c r="Q244" s="11" t="s">
        <v>143</v>
      </c>
      <c r="R244" s="11" t="s">
        <v>1659</v>
      </c>
    </row>
    <row r="245" ht="87" customHeight="1" spans="1:18" s="10" customFormat="1" x14ac:dyDescent="0.25">
      <c r="A245" s="6">
        <v>244</v>
      </c>
      <c r="B245" s="11" t="s">
        <v>37</v>
      </c>
      <c r="C245" s="5" t="s">
        <v>1660</v>
      </c>
      <c r="D245" s="11" t="s">
        <v>1630</v>
      </c>
      <c r="E245" s="11" t="s">
        <v>1661</v>
      </c>
      <c r="F245" s="11" t="s">
        <v>1662</v>
      </c>
      <c r="G245" s="11" t="s">
        <v>1656</v>
      </c>
      <c r="H245" s="11" t="s">
        <v>142</v>
      </c>
      <c r="I245" s="6" t="s">
        <v>11</v>
      </c>
      <c r="J245" s="11" t="s">
        <v>52</v>
      </c>
      <c r="K245" s="11" t="s">
        <v>142</v>
      </c>
      <c r="L245" s="11" t="s">
        <v>1663</v>
      </c>
      <c r="M245" s="11" t="s">
        <v>1553</v>
      </c>
      <c r="N245" s="11" t="s">
        <v>1664</v>
      </c>
      <c r="O245" s="11" t="s">
        <v>142</v>
      </c>
      <c r="P245" s="11" t="s">
        <v>11</v>
      </c>
      <c r="Q245" s="11" t="s">
        <v>143</v>
      </c>
      <c r="R245" s="11" t="s">
        <v>1665</v>
      </c>
    </row>
    <row r="246" ht="39" customHeight="1" spans="1:18" s="10" customFormat="1" x14ac:dyDescent="0.25">
      <c r="A246" s="6">
        <v>245</v>
      </c>
      <c r="B246" s="11" t="s">
        <v>37</v>
      </c>
      <c r="C246" s="5" t="s">
        <v>1666</v>
      </c>
      <c r="D246" s="11" t="s">
        <v>1630</v>
      </c>
      <c r="E246" s="11" t="s">
        <v>1667</v>
      </c>
      <c r="F246" s="11" t="s">
        <v>1668</v>
      </c>
      <c r="G246" s="11" t="s">
        <v>1656</v>
      </c>
      <c r="H246" s="11" t="s">
        <v>142</v>
      </c>
      <c r="I246" s="6" t="s">
        <v>11</v>
      </c>
      <c r="J246" s="11" t="s">
        <v>52</v>
      </c>
      <c r="K246" s="11" t="s">
        <v>142</v>
      </c>
      <c r="L246" s="11" t="s">
        <v>1669</v>
      </c>
      <c r="M246" s="11" t="s">
        <v>1553</v>
      </c>
      <c r="N246" s="11" t="s">
        <v>1670</v>
      </c>
      <c r="O246" s="11" t="s">
        <v>142</v>
      </c>
      <c r="P246" s="11" t="s">
        <v>11</v>
      </c>
      <c r="Q246" s="11" t="s">
        <v>143</v>
      </c>
      <c r="R246" s="11" t="s">
        <v>1671</v>
      </c>
    </row>
    <row r="247" ht="39" customHeight="1" spans="1:18" s="10" customFormat="1" x14ac:dyDescent="0.25">
      <c r="A247" s="6">
        <v>246</v>
      </c>
      <c r="B247" s="11" t="s">
        <v>37</v>
      </c>
      <c r="C247" s="5" t="s">
        <v>1672</v>
      </c>
      <c r="D247" s="11" t="s">
        <v>1630</v>
      </c>
      <c r="E247" s="11" t="s">
        <v>1673</v>
      </c>
      <c r="F247" s="11" t="s">
        <v>1674</v>
      </c>
      <c r="G247" s="11" t="s">
        <v>1656</v>
      </c>
      <c r="H247" s="11" t="s">
        <v>142</v>
      </c>
      <c r="I247" s="6" t="s">
        <v>11</v>
      </c>
      <c r="J247" s="11" t="s">
        <v>52</v>
      </c>
      <c r="K247" s="11" t="s">
        <v>142</v>
      </c>
      <c r="L247" s="11" t="s">
        <v>1675</v>
      </c>
      <c r="M247" s="11" t="s">
        <v>1553</v>
      </c>
      <c r="N247" s="11" t="s">
        <v>1676</v>
      </c>
      <c r="O247" s="11" t="s">
        <v>142</v>
      </c>
      <c r="P247" s="11" t="s">
        <v>11</v>
      </c>
      <c r="Q247" s="11" t="s">
        <v>143</v>
      </c>
      <c r="R247" s="11" t="s">
        <v>1677</v>
      </c>
    </row>
    <row r="248" ht="87" customHeight="1" spans="1:18" s="10" customFormat="1" x14ac:dyDescent="0.25">
      <c r="A248" s="6">
        <v>247</v>
      </c>
      <c r="B248" s="11" t="s">
        <v>37</v>
      </c>
      <c r="C248" s="5" t="s">
        <v>1678</v>
      </c>
      <c r="D248" s="11" t="s">
        <v>1630</v>
      </c>
      <c r="E248" s="11" t="s">
        <v>1679</v>
      </c>
      <c r="F248" s="11" t="s">
        <v>1680</v>
      </c>
      <c r="G248" s="11" t="s">
        <v>1640</v>
      </c>
      <c r="H248" s="11" t="s">
        <v>142</v>
      </c>
      <c r="I248" s="6" t="s">
        <v>11</v>
      </c>
      <c r="J248" s="11" t="s">
        <v>52</v>
      </c>
      <c r="K248" s="11" t="s">
        <v>142</v>
      </c>
      <c r="L248" s="11" t="s">
        <v>1681</v>
      </c>
      <c r="M248" s="11" t="s">
        <v>1553</v>
      </c>
      <c r="N248" s="11" t="s">
        <v>1682</v>
      </c>
      <c r="O248" s="11" t="s">
        <v>142</v>
      </c>
      <c r="P248" s="11" t="s">
        <v>11</v>
      </c>
      <c r="Q248" s="11" t="s">
        <v>143</v>
      </c>
      <c r="R248" s="11" t="s">
        <v>1683</v>
      </c>
    </row>
    <row r="249" ht="51" customHeight="1" spans="1:18" s="10" customFormat="1" x14ac:dyDescent="0.25">
      <c r="A249" s="6">
        <v>248</v>
      </c>
      <c r="B249" s="11" t="s">
        <v>37</v>
      </c>
      <c r="C249" s="5" t="s">
        <v>1684</v>
      </c>
      <c r="D249" s="11" t="s">
        <v>1630</v>
      </c>
      <c r="E249" s="11" t="s">
        <v>1685</v>
      </c>
      <c r="F249" s="11" t="s">
        <v>1686</v>
      </c>
      <c r="G249" s="11" t="s">
        <v>1640</v>
      </c>
      <c r="H249" s="11" t="s">
        <v>142</v>
      </c>
      <c r="I249" s="6" t="s">
        <v>14</v>
      </c>
      <c r="J249" s="11" t="s">
        <v>53</v>
      </c>
      <c r="K249" s="11" t="s">
        <v>142</v>
      </c>
      <c r="L249" s="11" t="s">
        <v>142</v>
      </c>
      <c r="M249" s="11" t="s">
        <v>142</v>
      </c>
      <c r="N249" s="11" t="s">
        <v>1687</v>
      </c>
      <c r="O249" s="11" t="s">
        <v>1688</v>
      </c>
      <c r="P249" s="11" t="s">
        <v>14</v>
      </c>
      <c r="Q249" s="11" t="s">
        <v>143</v>
      </c>
      <c r="R249" s="11" t="s">
        <v>1689</v>
      </c>
    </row>
    <row r="250" ht="27" customHeight="1" spans="1:18" s="10" customFormat="1" x14ac:dyDescent="0.25">
      <c r="A250" s="6">
        <v>249</v>
      </c>
      <c r="B250" s="11" t="s">
        <v>38</v>
      </c>
      <c r="C250" s="5" t="s">
        <v>1690</v>
      </c>
      <c r="D250" s="11" t="s">
        <v>388</v>
      </c>
      <c r="E250" s="11" t="s">
        <v>1691</v>
      </c>
      <c r="F250" s="11" t="s">
        <v>1692</v>
      </c>
      <c r="G250" s="11" t="s">
        <v>1693</v>
      </c>
      <c r="H250" s="11" t="s">
        <v>142</v>
      </c>
      <c r="I250" s="6" t="s">
        <v>11</v>
      </c>
      <c r="J250" s="11" t="s">
        <v>46</v>
      </c>
      <c r="K250" s="11" t="s">
        <v>1694</v>
      </c>
      <c r="L250" s="11" t="s">
        <v>1497</v>
      </c>
      <c r="M250" s="11" t="s">
        <v>1498</v>
      </c>
      <c r="N250" s="11" t="s">
        <v>142</v>
      </c>
      <c r="O250" s="11" t="s">
        <v>1695</v>
      </c>
      <c r="P250" s="11" t="s">
        <v>11</v>
      </c>
      <c r="Q250" s="11" t="s">
        <v>143</v>
      </c>
      <c r="R250" s="11" t="s">
        <v>1696</v>
      </c>
    </row>
    <row r="251" ht="27" customHeight="1" spans="1:18" s="10" customFormat="1" x14ac:dyDescent="0.25">
      <c r="A251" s="6">
        <v>250</v>
      </c>
      <c r="B251" s="11" t="s">
        <v>38</v>
      </c>
      <c r="C251" s="5" t="s">
        <v>1697</v>
      </c>
      <c r="D251" s="11" t="s">
        <v>388</v>
      </c>
      <c r="E251" s="11" t="s">
        <v>1698</v>
      </c>
      <c r="F251" s="11" t="s">
        <v>1699</v>
      </c>
      <c r="G251" s="11" t="s">
        <v>1700</v>
      </c>
      <c r="H251" s="11" t="s">
        <v>142</v>
      </c>
      <c r="I251" s="6" t="s">
        <v>11</v>
      </c>
      <c r="J251" s="11" t="s">
        <v>46</v>
      </c>
      <c r="K251" s="11" t="s">
        <v>1701</v>
      </c>
      <c r="L251" s="11" t="s">
        <v>1497</v>
      </c>
      <c r="M251" s="11" t="s">
        <v>1498</v>
      </c>
      <c r="N251" s="11" t="s">
        <v>1702</v>
      </c>
      <c r="O251" s="11" t="s">
        <v>1703</v>
      </c>
      <c r="P251" s="11" t="s">
        <v>11</v>
      </c>
      <c r="Q251" s="11" t="s">
        <v>143</v>
      </c>
      <c r="R251" s="11" t="s">
        <v>1704</v>
      </c>
    </row>
    <row r="252" ht="27" customHeight="1" spans="1:18" s="10" customFormat="1" x14ac:dyDescent="0.25">
      <c r="A252" s="6">
        <v>251</v>
      </c>
      <c r="B252" s="11" t="s">
        <v>38</v>
      </c>
      <c r="C252" s="5" t="s">
        <v>1705</v>
      </c>
      <c r="D252" s="11" t="s">
        <v>388</v>
      </c>
      <c r="E252" s="11" t="s">
        <v>1706</v>
      </c>
      <c r="F252" s="11" t="s">
        <v>1707</v>
      </c>
      <c r="G252" s="11" t="s">
        <v>1708</v>
      </c>
      <c r="H252" s="11" t="s">
        <v>142</v>
      </c>
      <c r="I252" s="6" t="s">
        <v>13</v>
      </c>
      <c r="J252" s="11" t="s">
        <v>53</v>
      </c>
      <c r="K252" s="11" t="s">
        <v>142</v>
      </c>
      <c r="L252" s="11" t="s">
        <v>142</v>
      </c>
      <c r="M252" s="11" t="s">
        <v>142</v>
      </c>
      <c r="N252" s="11" t="s">
        <v>1709</v>
      </c>
      <c r="O252" s="11" t="s">
        <v>1710</v>
      </c>
      <c r="P252" s="11" t="s">
        <v>13</v>
      </c>
      <c r="Q252" s="11" t="s">
        <v>143</v>
      </c>
      <c r="R252" s="11" t="s">
        <v>1711</v>
      </c>
    </row>
    <row r="253" ht="27" customHeight="1" spans="1:18" s="10" customFormat="1" x14ac:dyDescent="0.25">
      <c r="A253" s="6">
        <v>252</v>
      </c>
      <c r="B253" s="11" t="s">
        <v>38</v>
      </c>
      <c r="C253" s="5" t="s">
        <v>1712</v>
      </c>
      <c r="D253" s="11" t="s">
        <v>388</v>
      </c>
      <c r="E253" s="11" t="s">
        <v>1713</v>
      </c>
      <c r="F253" s="11" t="s">
        <v>1714</v>
      </c>
      <c r="G253" s="11" t="s">
        <v>1715</v>
      </c>
      <c r="H253" s="11" t="s">
        <v>142</v>
      </c>
      <c r="I253" s="6" t="s">
        <v>11</v>
      </c>
      <c r="J253" s="11" t="s">
        <v>46</v>
      </c>
      <c r="K253" s="11" t="s">
        <v>1716</v>
      </c>
      <c r="L253" s="11" t="s">
        <v>1497</v>
      </c>
      <c r="M253" s="11" t="s">
        <v>1498</v>
      </c>
      <c r="N253" s="11" t="s">
        <v>142</v>
      </c>
      <c r="O253" s="11" t="s">
        <v>1717</v>
      </c>
      <c r="P253" s="11" t="s">
        <v>11</v>
      </c>
      <c r="Q253" s="11" t="s">
        <v>143</v>
      </c>
      <c r="R253" s="11" t="s">
        <v>1718</v>
      </c>
    </row>
    <row r="254" ht="27" customHeight="1" spans="1:18" s="10" customFormat="1" x14ac:dyDescent="0.25">
      <c r="A254" s="6">
        <v>253</v>
      </c>
      <c r="B254" s="11" t="s">
        <v>38</v>
      </c>
      <c r="C254" s="5" t="s">
        <v>1719</v>
      </c>
      <c r="D254" s="11" t="s">
        <v>530</v>
      </c>
      <c r="E254" s="11" t="s">
        <v>1720</v>
      </c>
      <c r="F254" s="11" t="s">
        <v>1721</v>
      </c>
      <c r="G254" s="11" t="s">
        <v>1722</v>
      </c>
      <c r="H254" s="11" t="s">
        <v>142</v>
      </c>
      <c r="I254" s="6" t="s">
        <v>11</v>
      </c>
      <c r="J254" s="11" t="s">
        <v>46</v>
      </c>
      <c r="K254" s="11" t="s">
        <v>1723</v>
      </c>
      <c r="L254" s="11" t="s">
        <v>1497</v>
      </c>
      <c r="M254" s="11" t="s">
        <v>1498</v>
      </c>
      <c r="N254" s="11" t="s">
        <v>1724</v>
      </c>
      <c r="O254" s="11" t="s">
        <v>1725</v>
      </c>
      <c r="P254" s="11" t="s">
        <v>11</v>
      </c>
      <c r="Q254" s="11" t="s">
        <v>143</v>
      </c>
      <c r="R254" s="11" t="s">
        <v>1726</v>
      </c>
    </row>
    <row r="255" ht="27" customHeight="1" spans="1:18" s="10" customFormat="1" x14ac:dyDescent="0.25">
      <c r="A255" s="6">
        <v>254</v>
      </c>
      <c r="B255" s="11" t="s">
        <v>38</v>
      </c>
      <c r="C255" s="5" t="s">
        <v>1727</v>
      </c>
      <c r="D255" s="11" t="s">
        <v>530</v>
      </c>
      <c r="E255" s="11" t="s">
        <v>1728</v>
      </c>
      <c r="F255" s="11" t="s">
        <v>1729</v>
      </c>
      <c r="G255" s="11" t="s">
        <v>1730</v>
      </c>
      <c r="H255" s="11" t="s">
        <v>142</v>
      </c>
      <c r="I255" s="6" t="s">
        <v>11</v>
      </c>
      <c r="J255" s="11" t="s">
        <v>46</v>
      </c>
      <c r="K255" s="11" t="s">
        <v>1731</v>
      </c>
      <c r="L255" s="11" t="s">
        <v>1497</v>
      </c>
      <c r="M255" s="11" t="s">
        <v>1498</v>
      </c>
      <c r="N255" s="11" t="s">
        <v>1732</v>
      </c>
      <c r="O255" s="11" t="s">
        <v>1733</v>
      </c>
      <c r="P255" s="11" t="s">
        <v>11</v>
      </c>
      <c r="Q255" s="11" t="s">
        <v>143</v>
      </c>
      <c r="R255" s="11" t="s">
        <v>1734</v>
      </c>
    </row>
    <row r="256" ht="63" customHeight="1" spans="1:18" s="10" customFormat="1" x14ac:dyDescent="0.25">
      <c r="A256" s="6">
        <v>255</v>
      </c>
      <c r="B256" s="11" t="s">
        <v>38</v>
      </c>
      <c r="C256" s="5" t="s">
        <v>1735</v>
      </c>
      <c r="D256" s="11" t="s">
        <v>355</v>
      </c>
      <c r="E256" s="11" t="s">
        <v>1736</v>
      </c>
      <c r="F256" s="11" t="s">
        <v>1737</v>
      </c>
      <c r="G256" s="11" t="s">
        <v>1738</v>
      </c>
      <c r="H256" s="11" t="s">
        <v>142</v>
      </c>
      <c r="I256" s="6" t="s">
        <v>11</v>
      </c>
      <c r="J256" s="11" t="s">
        <v>45</v>
      </c>
      <c r="K256" s="11" t="s">
        <v>1739</v>
      </c>
      <c r="L256" s="11" t="s">
        <v>1339</v>
      </c>
      <c r="M256" s="11" t="s">
        <v>1340</v>
      </c>
      <c r="N256" s="11" t="s">
        <v>142</v>
      </c>
      <c r="O256" s="11" t="s">
        <v>142</v>
      </c>
      <c r="P256" s="11" t="s">
        <v>11</v>
      </c>
      <c r="Q256" s="11" t="s">
        <v>143</v>
      </c>
      <c r="R256" s="11" t="s">
        <v>1740</v>
      </c>
    </row>
    <row r="257" ht="63" customHeight="1" spans="1:18" s="10" customFormat="1" x14ac:dyDescent="0.25">
      <c r="A257" s="6">
        <v>256</v>
      </c>
      <c r="B257" s="11" t="s">
        <v>38</v>
      </c>
      <c r="C257" s="5" t="s">
        <v>1741</v>
      </c>
      <c r="D257" s="11" t="s">
        <v>162</v>
      </c>
      <c r="E257" s="11" t="s">
        <v>1742</v>
      </c>
      <c r="F257" s="11" t="s">
        <v>1743</v>
      </c>
      <c r="G257" s="11" t="s">
        <v>165</v>
      </c>
      <c r="H257" s="11" t="s">
        <v>142</v>
      </c>
      <c r="I257" s="6" t="s">
        <v>11</v>
      </c>
      <c r="J257" s="11" t="s">
        <v>45</v>
      </c>
      <c r="K257" s="11" t="s">
        <v>149</v>
      </c>
      <c r="L257" s="11" t="s">
        <v>142</v>
      </c>
      <c r="M257" s="11" t="s">
        <v>142</v>
      </c>
      <c r="N257" s="11" t="s">
        <v>1744</v>
      </c>
      <c r="O257" s="11" t="s">
        <v>142</v>
      </c>
      <c r="P257" s="11" t="s">
        <v>11</v>
      </c>
      <c r="Q257" s="11" t="s">
        <v>143</v>
      </c>
      <c r="R257" s="11" t="s">
        <v>1745</v>
      </c>
    </row>
    <row r="258" ht="51" customHeight="1" spans="1:18" s="10" customFormat="1" x14ac:dyDescent="0.25">
      <c r="A258" s="6">
        <v>257</v>
      </c>
      <c r="B258" s="11" t="s">
        <v>38</v>
      </c>
      <c r="C258" s="5" t="s">
        <v>1746</v>
      </c>
      <c r="D258" s="11" t="s">
        <v>491</v>
      </c>
      <c r="E258" s="11" t="s">
        <v>1747</v>
      </c>
      <c r="F258" s="11" t="s">
        <v>1748</v>
      </c>
      <c r="G258" s="11" t="s">
        <v>1749</v>
      </c>
      <c r="H258" s="11" t="s">
        <v>142</v>
      </c>
      <c r="I258" s="6" t="s">
        <v>13</v>
      </c>
      <c r="J258" s="11" t="s">
        <v>53</v>
      </c>
      <c r="K258" s="11" t="s">
        <v>142</v>
      </c>
      <c r="L258" s="11" t="s">
        <v>142</v>
      </c>
      <c r="M258" s="11" t="s">
        <v>142</v>
      </c>
      <c r="N258" s="11" t="s">
        <v>1750</v>
      </c>
      <c r="O258" s="11" t="s">
        <v>1751</v>
      </c>
      <c r="P258" s="11" t="s">
        <v>13</v>
      </c>
      <c r="Q258" s="11" t="s">
        <v>143</v>
      </c>
      <c r="R258" s="11" t="s">
        <v>1752</v>
      </c>
    </row>
    <row r="259" ht="39" customHeight="1" spans="1:18" s="10" customFormat="1" x14ac:dyDescent="0.25">
      <c r="A259" s="6">
        <v>258</v>
      </c>
      <c r="B259" s="11" t="s">
        <v>38</v>
      </c>
      <c r="C259" s="5" t="s">
        <v>1753</v>
      </c>
      <c r="D259" s="11" t="s">
        <v>1576</v>
      </c>
      <c r="E259" s="11" t="s">
        <v>1754</v>
      </c>
      <c r="F259" s="11" t="s">
        <v>1755</v>
      </c>
      <c r="G259" s="11" t="s">
        <v>142</v>
      </c>
      <c r="H259" s="11" t="s">
        <v>142</v>
      </c>
      <c r="I259" s="6" t="s">
        <v>12</v>
      </c>
      <c r="J259" s="11" t="s">
        <v>54</v>
      </c>
      <c r="K259" s="11" t="s">
        <v>1756</v>
      </c>
      <c r="L259" s="11" t="s">
        <v>1757</v>
      </c>
      <c r="M259" s="11" t="s">
        <v>1758</v>
      </c>
      <c r="N259" s="11" t="s">
        <v>1759</v>
      </c>
      <c r="O259" s="11" t="s">
        <v>1760</v>
      </c>
      <c r="P259" s="11" t="s">
        <v>14</v>
      </c>
      <c r="Q259" s="11" t="s">
        <v>1761</v>
      </c>
      <c r="R259" s="11" t="s">
        <v>1762</v>
      </c>
    </row>
    <row r="260" ht="27" customHeight="1" spans="1:18" s="10" customFormat="1" x14ac:dyDescent="0.25">
      <c r="A260" s="6">
        <v>259</v>
      </c>
      <c r="B260" s="11" t="s">
        <v>38</v>
      </c>
      <c r="C260" s="5" t="s">
        <v>1763</v>
      </c>
      <c r="D260" s="11" t="s">
        <v>263</v>
      </c>
      <c r="E260" s="11" t="s">
        <v>1764</v>
      </c>
      <c r="F260" s="11" t="s">
        <v>1765</v>
      </c>
      <c r="G260" s="11" t="s">
        <v>288</v>
      </c>
      <c r="H260" s="11" t="s">
        <v>142</v>
      </c>
      <c r="I260" s="6" t="s">
        <v>11</v>
      </c>
      <c r="J260" s="11" t="s">
        <v>45</v>
      </c>
      <c r="K260" s="11" t="s">
        <v>149</v>
      </c>
      <c r="L260" s="11" t="s">
        <v>1766</v>
      </c>
      <c r="M260" s="11" t="s">
        <v>1767</v>
      </c>
      <c r="N260" s="11" t="s">
        <v>142</v>
      </c>
      <c r="O260" s="11" t="s">
        <v>142</v>
      </c>
      <c r="P260" s="11" t="s">
        <v>13</v>
      </c>
      <c r="Q260" s="11" t="s">
        <v>1768</v>
      </c>
      <c r="R260" s="11" t="s">
        <v>1769</v>
      </c>
    </row>
    <row r="261" ht="27" customHeight="1" spans="1:18" s="10" customFormat="1" x14ac:dyDescent="0.25">
      <c r="A261" s="6">
        <v>260</v>
      </c>
      <c r="B261" s="11" t="s">
        <v>38</v>
      </c>
      <c r="C261" s="5" t="s">
        <v>1770</v>
      </c>
      <c r="D261" s="11" t="s">
        <v>1771</v>
      </c>
      <c r="E261" s="11" t="s">
        <v>1772</v>
      </c>
      <c r="F261" s="11" t="s">
        <v>1773</v>
      </c>
      <c r="G261" s="11" t="s">
        <v>1188</v>
      </c>
      <c r="H261" s="11" t="s">
        <v>142</v>
      </c>
      <c r="I261" s="6" t="s">
        <v>11</v>
      </c>
      <c r="J261" s="11" t="s">
        <v>45</v>
      </c>
      <c r="K261" s="11" t="s">
        <v>149</v>
      </c>
      <c r="L261" s="11" t="s">
        <v>1766</v>
      </c>
      <c r="M261" s="11" t="s">
        <v>1767</v>
      </c>
      <c r="N261" s="11" t="s">
        <v>142</v>
      </c>
      <c r="O261" s="11" t="s">
        <v>142</v>
      </c>
      <c r="P261" s="11" t="s">
        <v>13</v>
      </c>
      <c r="Q261" s="11" t="s">
        <v>1768</v>
      </c>
      <c r="R261" s="11" t="s">
        <v>1774</v>
      </c>
    </row>
    <row r="262" ht="27" customHeight="1" spans="1:18" s="10" customFormat="1" x14ac:dyDescent="0.25">
      <c r="A262" s="6">
        <v>261</v>
      </c>
      <c r="B262" s="11" t="s">
        <v>38</v>
      </c>
      <c r="C262" s="5" t="s">
        <v>1775</v>
      </c>
      <c r="D262" s="11" t="s">
        <v>1776</v>
      </c>
      <c r="E262" s="11" t="s">
        <v>1777</v>
      </c>
      <c r="F262" s="11" t="s">
        <v>1778</v>
      </c>
      <c r="G262" s="11" t="s">
        <v>142</v>
      </c>
      <c r="H262" s="11" t="s">
        <v>142</v>
      </c>
      <c r="I262" s="6" t="s">
        <v>11</v>
      </c>
      <c r="J262" s="11" t="s">
        <v>45</v>
      </c>
      <c r="K262" s="11" t="s">
        <v>149</v>
      </c>
      <c r="L262" s="11" t="s">
        <v>1779</v>
      </c>
      <c r="M262" s="11" t="s">
        <v>1767</v>
      </c>
      <c r="N262" s="11" t="s">
        <v>142</v>
      </c>
      <c r="O262" s="11" t="s">
        <v>142</v>
      </c>
      <c r="P262" s="11" t="s">
        <v>11</v>
      </c>
      <c r="Q262" s="11" t="s">
        <v>1780</v>
      </c>
      <c r="R262" s="11" t="s">
        <v>1781</v>
      </c>
    </row>
    <row r="263" ht="27" customHeight="1" spans="1:18" s="10" customFormat="1" x14ac:dyDescent="0.25">
      <c r="A263" s="6">
        <v>262</v>
      </c>
      <c r="B263" s="11" t="s">
        <v>38</v>
      </c>
      <c r="C263" s="5" t="s">
        <v>1782</v>
      </c>
      <c r="D263" s="11" t="s">
        <v>355</v>
      </c>
      <c r="E263" s="11" t="s">
        <v>1783</v>
      </c>
      <c r="F263" s="11" t="s">
        <v>1784</v>
      </c>
      <c r="G263" s="11" t="s">
        <v>417</v>
      </c>
      <c r="H263" s="11" t="s">
        <v>142</v>
      </c>
      <c r="I263" s="6" t="s">
        <v>11</v>
      </c>
      <c r="J263" s="11" t="s">
        <v>45</v>
      </c>
      <c r="K263" s="11" t="s">
        <v>149</v>
      </c>
      <c r="L263" s="11" t="s">
        <v>1766</v>
      </c>
      <c r="M263" s="11" t="s">
        <v>1767</v>
      </c>
      <c r="N263" s="11" t="s">
        <v>142</v>
      </c>
      <c r="O263" s="11" t="s">
        <v>142</v>
      </c>
      <c r="P263" s="11" t="s">
        <v>13</v>
      </c>
      <c r="Q263" s="11" t="s">
        <v>1768</v>
      </c>
      <c r="R263" s="11" t="s">
        <v>1785</v>
      </c>
    </row>
    <row r="264" ht="27" customHeight="1" spans="1:18" s="10" customFormat="1" x14ac:dyDescent="0.25">
      <c r="A264" s="6">
        <v>263</v>
      </c>
      <c r="B264" s="11" t="s">
        <v>38</v>
      </c>
      <c r="C264" s="5" t="s">
        <v>1786</v>
      </c>
      <c r="D264" s="11" t="s">
        <v>1298</v>
      </c>
      <c r="E264" s="11" t="s">
        <v>1787</v>
      </c>
      <c r="F264" s="11" t="s">
        <v>1788</v>
      </c>
      <c r="G264" s="11" t="s">
        <v>142</v>
      </c>
      <c r="H264" s="11" t="s">
        <v>142</v>
      </c>
      <c r="I264" s="6" t="s">
        <v>13</v>
      </c>
      <c r="J264" s="11" t="s">
        <v>53</v>
      </c>
      <c r="K264" s="11" t="s">
        <v>142</v>
      </c>
      <c r="L264" s="11" t="s">
        <v>142</v>
      </c>
      <c r="M264" s="11" t="s">
        <v>142</v>
      </c>
      <c r="N264" s="11" t="s">
        <v>1789</v>
      </c>
      <c r="O264" s="11" t="s">
        <v>1790</v>
      </c>
      <c r="P264" s="11" t="s">
        <v>13</v>
      </c>
      <c r="Q264" s="11" t="s">
        <v>143</v>
      </c>
      <c r="R264" s="11" t="s">
        <v>1791</v>
      </c>
    </row>
    <row r="265" ht="39" customHeight="1" spans="1:18" s="10" customFormat="1" x14ac:dyDescent="0.25">
      <c r="A265" s="6">
        <v>264</v>
      </c>
      <c r="B265" s="11" t="s">
        <v>38</v>
      </c>
      <c r="C265" s="5" t="s">
        <v>1792</v>
      </c>
      <c r="D265" s="11" t="s">
        <v>1507</v>
      </c>
      <c r="E265" s="11" t="s">
        <v>1793</v>
      </c>
      <c r="F265" s="11" t="s">
        <v>1794</v>
      </c>
      <c r="G265" s="11" t="s">
        <v>142</v>
      </c>
      <c r="H265" s="11" t="s">
        <v>142</v>
      </c>
      <c r="I265" s="6" t="s">
        <v>11</v>
      </c>
      <c r="J265" s="11" t="s">
        <v>45</v>
      </c>
      <c r="K265" s="11" t="s">
        <v>149</v>
      </c>
      <c r="L265" s="11" t="s">
        <v>1766</v>
      </c>
      <c r="M265" s="11" t="s">
        <v>1767</v>
      </c>
      <c r="N265" s="11" t="s">
        <v>142</v>
      </c>
      <c r="O265" s="11" t="s">
        <v>142</v>
      </c>
      <c r="P265" s="11" t="s">
        <v>13</v>
      </c>
      <c r="Q265" s="11" t="s">
        <v>1768</v>
      </c>
      <c r="R265" s="11" t="s">
        <v>1795</v>
      </c>
    </row>
    <row r="266" ht="27" customHeight="1" spans="1:18" s="10" customFormat="1" x14ac:dyDescent="0.25">
      <c r="A266" s="6">
        <v>265</v>
      </c>
      <c r="B266" s="11" t="s">
        <v>38</v>
      </c>
      <c r="C266" s="5" t="s">
        <v>1796</v>
      </c>
      <c r="D266" s="11" t="s">
        <v>1507</v>
      </c>
      <c r="E266" s="11" t="s">
        <v>1797</v>
      </c>
      <c r="F266" s="11" t="s">
        <v>1798</v>
      </c>
      <c r="G266" s="11" t="s">
        <v>142</v>
      </c>
      <c r="H266" s="11" t="s">
        <v>142</v>
      </c>
      <c r="I266" s="6" t="s">
        <v>11</v>
      </c>
      <c r="J266" s="11" t="s">
        <v>45</v>
      </c>
      <c r="K266" s="11" t="s">
        <v>149</v>
      </c>
      <c r="L266" s="11" t="s">
        <v>1799</v>
      </c>
      <c r="M266" s="11" t="s">
        <v>1767</v>
      </c>
      <c r="N266" s="11" t="s">
        <v>142</v>
      </c>
      <c r="O266" s="11" t="s">
        <v>142</v>
      </c>
      <c r="P266" s="11" t="s">
        <v>13</v>
      </c>
      <c r="Q266" s="11" t="s">
        <v>1800</v>
      </c>
      <c r="R266" s="11" t="s">
        <v>1671</v>
      </c>
    </row>
    <row r="267" ht="51" customHeight="1" spans="1:18" s="10" customFormat="1" x14ac:dyDescent="0.25">
      <c r="A267" s="6">
        <v>266</v>
      </c>
      <c r="B267" s="11" t="s">
        <v>38</v>
      </c>
      <c r="C267" s="5" t="s">
        <v>1801</v>
      </c>
      <c r="D267" s="11" t="s">
        <v>355</v>
      </c>
      <c r="E267" s="11" t="s">
        <v>1802</v>
      </c>
      <c r="F267" s="11" t="s">
        <v>1803</v>
      </c>
      <c r="G267" s="11" t="s">
        <v>142</v>
      </c>
      <c r="H267" s="11" t="s">
        <v>142</v>
      </c>
      <c r="I267" s="6" t="s">
        <v>11</v>
      </c>
      <c r="J267" s="11" t="s">
        <v>45</v>
      </c>
      <c r="K267" s="11" t="s">
        <v>149</v>
      </c>
      <c r="L267" s="11" t="s">
        <v>1766</v>
      </c>
      <c r="M267" s="11" t="s">
        <v>1767</v>
      </c>
      <c r="N267" s="11" t="s">
        <v>142</v>
      </c>
      <c r="O267" s="11" t="s">
        <v>142</v>
      </c>
      <c r="P267" s="11" t="s">
        <v>13</v>
      </c>
      <c r="Q267" s="11" t="s">
        <v>1768</v>
      </c>
      <c r="R267" s="11" t="s">
        <v>1804</v>
      </c>
    </row>
    <row r="268" ht="39" customHeight="1" spans="1:18" s="10" customFormat="1" x14ac:dyDescent="0.25">
      <c r="A268" s="6">
        <v>267</v>
      </c>
      <c r="B268" s="11" t="s">
        <v>38</v>
      </c>
      <c r="C268" s="5" t="s">
        <v>1805</v>
      </c>
      <c r="D268" s="11" t="s">
        <v>313</v>
      </c>
      <c r="E268" s="11" t="s">
        <v>1806</v>
      </c>
      <c r="F268" s="11" t="s">
        <v>1807</v>
      </c>
      <c r="G268" s="11" t="s">
        <v>142</v>
      </c>
      <c r="H268" s="11" t="s">
        <v>142</v>
      </c>
      <c r="I268" s="6" t="s">
        <v>11</v>
      </c>
      <c r="J268" s="11" t="s">
        <v>45</v>
      </c>
      <c r="K268" s="11" t="s">
        <v>149</v>
      </c>
      <c r="L268" s="11" t="s">
        <v>1808</v>
      </c>
      <c r="M268" s="11" t="s">
        <v>1767</v>
      </c>
      <c r="N268" s="11" t="s">
        <v>1809</v>
      </c>
      <c r="O268" s="11" t="s">
        <v>142</v>
      </c>
      <c r="P268" s="11" t="s">
        <v>12</v>
      </c>
      <c r="Q268" s="11" t="s">
        <v>1810</v>
      </c>
      <c r="R268" s="11" t="s">
        <v>1811</v>
      </c>
    </row>
    <row r="269" ht="123" customHeight="1" spans="1:18" s="12" customFormat="1" x14ac:dyDescent="0.25">
      <c r="A269" s="6">
        <v>268</v>
      </c>
      <c r="B269" s="11" t="s">
        <v>39</v>
      </c>
      <c r="C269" s="5" t="s">
        <v>1812</v>
      </c>
      <c r="D269" s="11" t="s">
        <v>530</v>
      </c>
      <c r="E269" s="11" t="s">
        <v>1813</v>
      </c>
      <c r="F269" s="11" t="s">
        <v>1814</v>
      </c>
      <c r="G269" s="11" t="s">
        <v>142</v>
      </c>
      <c r="H269" s="11" t="s">
        <v>142</v>
      </c>
      <c r="I269" s="6" t="s">
        <v>11</v>
      </c>
      <c r="J269" s="11" t="s">
        <v>45</v>
      </c>
      <c r="K269" s="11" t="s">
        <v>1815</v>
      </c>
      <c r="L269" s="11" t="s">
        <v>1816</v>
      </c>
      <c r="M269" s="11" t="s">
        <v>1817</v>
      </c>
      <c r="N269" s="11" t="s">
        <v>1818</v>
      </c>
      <c r="O269" s="11" t="s">
        <v>1819</v>
      </c>
      <c r="P269" s="11" t="s">
        <v>11</v>
      </c>
      <c r="Q269" s="11" t="s">
        <v>143</v>
      </c>
      <c r="R269" s="11" t="s">
        <v>1820</v>
      </c>
    </row>
    <row r="270" ht="99" customHeight="1" spans="1:18" s="12" customFormat="1" x14ac:dyDescent="0.25">
      <c r="A270" s="6">
        <v>269</v>
      </c>
      <c r="B270" s="11" t="s">
        <v>39</v>
      </c>
      <c r="C270" s="5" t="s">
        <v>1821</v>
      </c>
      <c r="D270" s="11" t="s">
        <v>1074</v>
      </c>
      <c r="E270" s="11" t="s">
        <v>1822</v>
      </c>
      <c r="F270" s="11" t="s">
        <v>1823</v>
      </c>
      <c r="G270" s="11" t="s">
        <v>142</v>
      </c>
      <c r="H270" s="11" t="s">
        <v>142</v>
      </c>
      <c r="I270" s="6" t="s">
        <v>11</v>
      </c>
      <c r="J270" s="11" t="s">
        <v>45</v>
      </c>
      <c r="K270" s="11" t="s">
        <v>1824</v>
      </c>
      <c r="L270" s="11" t="s">
        <v>1825</v>
      </c>
      <c r="M270" s="11" t="s">
        <v>1826</v>
      </c>
      <c r="N270" s="11" t="s">
        <v>1827</v>
      </c>
      <c r="O270" s="11" t="s">
        <v>1828</v>
      </c>
      <c r="P270" s="11" t="s">
        <v>11</v>
      </c>
      <c r="Q270" s="11" t="s">
        <v>143</v>
      </c>
      <c r="R270" s="11" t="s">
        <v>1829</v>
      </c>
    </row>
    <row r="271" ht="63" customHeight="1" spans="1:18" s="12" customFormat="1" x14ac:dyDescent="0.25">
      <c r="A271" s="6">
        <v>270</v>
      </c>
      <c r="B271" s="11" t="s">
        <v>39</v>
      </c>
      <c r="C271" s="5" t="s">
        <v>1830</v>
      </c>
      <c r="D271" s="11" t="s">
        <v>1507</v>
      </c>
      <c r="E271" s="11" t="s">
        <v>1831</v>
      </c>
      <c r="F271" s="11" t="s">
        <v>1832</v>
      </c>
      <c r="G271" s="11" t="s">
        <v>142</v>
      </c>
      <c r="H271" s="11" t="s">
        <v>142</v>
      </c>
      <c r="I271" s="6" t="s">
        <v>11</v>
      </c>
      <c r="J271" s="11" t="s">
        <v>45</v>
      </c>
      <c r="K271" s="11" t="s">
        <v>149</v>
      </c>
      <c r="L271" s="11" t="s">
        <v>1833</v>
      </c>
      <c r="M271" s="11" t="s">
        <v>1767</v>
      </c>
      <c r="N271" s="11" t="s">
        <v>142</v>
      </c>
      <c r="O271" s="11" t="s">
        <v>142</v>
      </c>
      <c r="P271" s="11" t="s">
        <v>12</v>
      </c>
      <c r="Q271" s="11" t="s">
        <v>1834</v>
      </c>
      <c r="R271" s="11" t="s">
        <v>1835</v>
      </c>
    </row>
    <row r="272" ht="63" customHeight="1" spans="1:18" s="12" customFormat="1" x14ac:dyDescent="0.25">
      <c r="A272" s="6">
        <v>271</v>
      </c>
      <c r="B272" s="11" t="s">
        <v>36</v>
      </c>
      <c r="C272" s="5" t="s">
        <v>1836</v>
      </c>
      <c r="D272" s="11" t="s">
        <v>1507</v>
      </c>
      <c r="E272" s="11" t="s">
        <v>1837</v>
      </c>
      <c r="F272" s="11" t="s">
        <v>1838</v>
      </c>
      <c r="G272" s="11" t="s">
        <v>1539</v>
      </c>
      <c r="H272" s="11" t="s">
        <v>142</v>
      </c>
      <c r="I272" s="6" t="s">
        <v>11</v>
      </c>
      <c r="J272" s="11" t="s">
        <v>45</v>
      </c>
      <c r="K272" s="11" t="s">
        <v>1839</v>
      </c>
      <c r="L272" s="11" t="s">
        <v>1840</v>
      </c>
      <c r="M272" s="11" t="s">
        <v>1841</v>
      </c>
      <c r="N272" s="11" t="s">
        <v>142</v>
      </c>
      <c r="O272" s="11" t="s">
        <v>142</v>
      </c>
      <c r="P272" s="11" t="s">
        <v>11</v>
      </c>
      <c r="Q272" s="11" t="s">
        <v>143</v>
      </c>
      <c r="R272" s="11" t="s">
        <v>1842</v>
      </c>
    </row>
    <row r="273" spans="1:18" x14ac:dyDescent="0.25">
      <c r="A273" s="6">
        <v>272</v>
      </c>
      <c r="B273" s="11" t="s">
        <v>40</v>
      </c>
      <c r="C273" s="5" t="s">
        <v>1843</v>
      </c>
      <c r="D273" s="11" t="s">
        <v>162</v>
      </c>
      <c r="E273" s="11" t="s">
        <v>1844</v>
      </c>
      <c r="F273" s="11" t="s">
        <v>1845</v>
      </c>
      <c r="G273" s="11" t="s">
        <v>165</v>
      </c>
      <c r="H273" s="11" t="s">
        <v>142</v>
      </c>
      <c r="I273" s="6" t="s">
        <v>11</v>
      </c>
      <c r="J273" s="11" t="s">
        <v>45</v>
      </c>
      <c r="K273" s="11" t="s">
        <v>149</v>
      </c>
      <c r="L273" s="11" t="s">
        <v>1846</v>
      </c>
      <c r="M273" s="11" t="s">
        <v>1847</v>
      </c>
      <c r="N273" s="11" t="s">
        <v>142</v>
      </c>
      <c r="O273" s="11" t="s">
        <v>142</v>
      </c>
      <c r="P273" s="11" t="s">
        <v>11</v>
      </c>
      <c r="Q273" s="11" t="s">
        <v>143</v>
      </c>
      <c r="R273" s="11" t="s">
        <v>1848</v>
      </c>
    </row>
    <row r="274" spans="1:18" x14ac:dyDescent="0.25">
      <c r="A274" s="6">
        <v>273</v>
      </c>
      <c r="B274" s="11" t="s">
        <v>40</v>
      </c>
      <c r="C274" s="5" t="s">
        <v>1849</v>
      </c>
      <c r="D274" s="11" t="s">
        <v>1850</v>
      </c>
      <c r="E274" s="11" t="s">
        <v>1851</v>
      </c>
      <c r="F274" s="11" t="s">
        <v>1852</v>
      </c>
      <c r="G274" s="11" t="s">
        <v>142</v>
      </c>
      <c r="H274" s="11" t="s">
        <v>142</v>
      </c>
      <c r="I274" s="6" t="s">
        <v>11</v>
      </c>
      <c r="J274" s="11" t="s">
        <v>45</v>
      </c>
      <c r="K274" s="11" t="s">
        <v>149</v>
      </c>
      <c r="L274" s="11" t="s">
        <v>1853</v>
      </c>
      <c r="M274" s="11" t="s">
        <v>1854</v>
      </c>
      <c r="N274" s="11" t="s">
        <v>142</v>
      </c>
      <c r="O274" s="11" t="s">
        <v>142</v>
      </c>
      <c r="P274" s="11" t="s">
        <v>11</v>
      </c>
      <c r="Q274" s="11" t="s">
        <v>143</v>
      </c>
      <c r="R274" s="11" t="s">
        <v>1855</v>
      </c>
    </row>
    <row r="275" spans="1:18" x14ac:dyDescent="0.25">
      <c r="A275" s="6">
        <v>274</v>
      </c>
      <c r="B275" s="11" t="s">
        <v>40</v>
      </c>
      <c r="C275" s="5" t="s">
        <v>1856</v>
      </c>
      <c r="D275" s="11" t="s">
        <v>1857</v>
      </c>
      <c r="E275" s="11" t="s">
        <v>1858</v>
      </c>
      <c r="F275" s="11" t="s">
        <v>1859</v>
      </c>
      <c r="G275" s="11" t="s">
        <v>303</v>
      </c>
      <c r="H275" s="11" t="s">
        <v>142</v>
      </c>
      <c r="I275" s="6" t="s">
        <v>11</v>
      </c>
      <c r="J275" s="11" t="s">
        <v>45</v>
      </c>
      <c r="K275" s="11" t="s">
        <v>149</v>
      </c>
      <c r="L275" s="11" t="s">
        <v>1860</v>
      </c>
      <c r="M275" s="11" t="s">
        <v>1861</v>
      </c>
      <c r="N275" s="11" t="s">
        <v>1862</v>
      </c>
      <c r="O275" s="11" t="s">
        <v>1863</v>
      </c>
      <c r="P275" s="11" t="s">
        <v>11</v>
      </c>
      <c r="Q275" s="11" t="s">
        <v>143</v>
      </c>
      <c r="R275" s="11" t="s">
        <v>1864</v>
      </c>
    </row>
    <row r="276" spans="1:18" x14ac:dyDescent="0.25">
      <c r="A276" s="6">
        <v>275</v>
      </c>
      <c r="B276" s="11" t="s">
        <v>40</v>
      </c>
      <c r="C276" s="5" t="s">
        <v>1865</v>
      </c>
      <c r="D276" s="11" t="s">
        <v>1866</v>
      </c>
      <c r="E276" s="11" t="s">
        <v>1867</v>
      </c>
      <c r="F276" s="11" t="s">
        <v>1868</v>
      </c>
      <c r="G276" s="11" t="s">
        <v>266</v>
      </c>
      <c r="H276" s="11" t="s">
        <v>142</v>
      </c>
      <c r="I276" s="6" t="s">
        <v>11</v>
      </c>
      <c r="J276" s="11" t="s">
        <v>45</v>
      </c>
      <c r="K276" s="11" t="s">
        <v>149</v>
      </c>
      <c r="L276" s="11" t="s">
        <v>1869</v>
      </c>
      <c r="M276" s="11" t="s">
        <v>1648</v>
      </c>
      <c r="N276" s="11" t="s">
        <v>142</v>
      </c>
      <c r="O276" s="11" t="s">
        <v>142</v>
      </c>
      <c r="P276" s="11" t="s">
        <v>11</v>
      </c>
      <c r="Q276" s="11" t="s">
        <v>143</v>
      </c>
      <c r="R276" s="11" t="s">
        <v>1870</v>
      </c>
    </row>
    <row r="277" spans="1:18" x14ac:dyDescent="0.25">
      <c r="A277" s="6">
        <v>276</v>
      </c>
      <c r="B277" s="11" t="s">
        <v>40</v>
      </c>
      <c r="C277" s="5" t="s">
        <v>1871</v>
      </c>
      <c r="D277" s="11" t="s">
        <v>1872</v>
      </c>
      <c r="E277" s="11" t="s">
        <v>1873</v>
      </c>
      <c r="F277" s="11" t="s">
        <v>1874</v>
      </c>
      <c r="G277" s="11" t="s">
        <v>1875</v>
      </c>
      <c r="H277" s="11" t="s">
        <v>142</v>
      </c>
      <c r="I277" s="6" t="s">
        <v>11</v>
      </c>
      <c r="J277" s="11" t="s">
        <v>45</v>
      </c>
      <c r="K277" s="11" t="s">
        <v>149</v>
      </c>
      <c r="L277" s="11" t="s">
        <v>1876</v>
      </c>
      <c r="M277" s="11" t="s">
        <v>1648</v>
      </c>
      <c r="N277" s="11" t="s">
        <v>142</v>
      </c>
      <c r="O277" s="11" t="s">
        <v>142</v>
      </c>
      <c r="P277" s="11" t="s">
        <v>11</v>
      </c>
      <c r="Q277" s="11" t="s">
        <v>143</v>
      </c>
      <c r="R277" s="11" t="s">
        <v>1877</v>
      </c>
    </row>
    <row r="278" spans="1:18" x14ac:dyDescent="0.25">
      <c r="A278" s="6">
        <v>277</v>
      </c>
      <c r="B278" s="11" t="s">
        <v>40</v>
      </c>
      <c r="C278" s="5" t="s">
        <v>1878</v>
      </c>
      <c r="D278" s="11" t="s">
        <v>1630</v>
      </c>
      <c r="E278" s="11" t="s">
        <v>1879</v>
      </c>
      <c r="F278" s="11" t="s">
        <v>1880</v>
      </c>
      <c r="G278" s="11" t="s">
        <v>1881</v>
      </c>
      <c r="H278" s="11" t="s">
        <v>142</v>
      </c>
      <c r="I278" s="6" t="s">
        <v>11</v>
      </c>
      <c r="J278" s="11" t="s">
        <v>45</v>
      </c>
      <c r="K278" s="11" t="s">
        <v>1882</v>
      </c>
      <c r="L278" s="11" t="s">
        <v>1883</v>
      </c>
      <c r="M278" s="11" t="s">
        <v>1648</v>
      </c>
      <c r="N278" s="11" t="s">
        <v>1884</v>
      </c>
      <c r="O278" s="11" t="s">
        <v>1885</v>
      </c>
      <c r="P278" s="11" t="s">
        <v>11</v>
      </c>
      <c r="Q278" s="11" t="s">
        <v>143</v>
      </c>
      <c r="R278" s="11" t="s">
        <v>1886</v>
      </c>
    </row>
    <row r="279" spans="1:18" x14ac:dyDescent="0.25">
      <c r="A279" s="6">
        <v>278</v>
      </c>
      <c r="B279" s="11" t="s">
        <v>41</v>
      </c>
      <c r="C279" s="5" t="s">
        <v>1887</v>
      </c>
      <c r="D279" s="11" t="s">
        <v>1888</v>
      </c>
      <c r="E279" s="11" t="s">
        <v>1889</v>
      </c>
      <c r="F279" s="11" t="s">
        <v>1890</v>
      </c>
      <c r="G279" s="11" t="s">
        <v>1891</v>
      </c>
      <c r="H279" s="11" t="s">
        <v>137</v>
      </c>
      <c r="I279" s="6" t="s">
        <v>11</v>
      </c>
      <c r="J279" s="11" t="s">
        <v>46</v>
      </c>
      <c r="K279" s="11" t="s">
        <v>1892</v>
      </c>
      <c r="L279" s="11" t="s">
        <v>1893</v>
      </c>
      <c r="M279" s="11" t="s">
        <v>1894</v>
      </c>
      <c r="N279" s="11" t="s">
        <v>142</v>
      </c>
      <c r="O279" s="11" t="s">
        <v>1895</v>
      </c>
      <c r="P279" s="11" t="s">
        <v>1896</v>
      </c>
      <c r="Q279" s="11" t="s">
        <v>1897</v>
      </c>
      <c r="R279" s="11" t="s">
        <v>1898</v>
      </c>
    </row>
    <row r="280" spans="1:18" x14ac:dyDescent="0.25">
      <c r="A280" s="6">
        <v>279</v>
      </c>
      <c r="B280" s="11" t="s">
        <v>41</v>
      </c>
      <c r="C280" s="5" t="s">
        <v>1899</v>
      </c>
      <c r="D280" s="11" t="s">
        <v>671</v>
      </c>
      <c r="E280" s="11" t="s">
        <v>1900</v>
      </c>
      <c r="F280" s="11" t="s">
        <v>1901</v>
      </c>
      <c r="G280" s="11" t="s">
        <v>1902</v>
      </c>
      <c r="H280" s="11" t="s">
        <v>137</v>
      </c>
      <c r="I280" s="6" t="s">
        <v>11</v>
      </c>
      <c r="J280" s="11" t="s">
        <v>45</v>
      </c>
      <c r="K280" s="11" t="s">
        <v>149</v>
      </c>
      <c r="L280" s="11" t="s">
        <v>1903</v>
      </c>
      <c r="M280" s="11" t="s">
        <v>1894</v>
      </c>
      <c r="N280" s="11" t="s">
        <v>142</v>
      </c>
      <c r="O280" s="11" t="s">
        <v>142</v>
      </c>
      <c r="P280" s="11" t="s">
        <v>1896</v>
      </c>
      <c r="Q280" s="11" t="s">
        <v>1897</v>
      </c>
      <c r="R280" s="11" t="s">
        <v>1904</v>
      </c>
    </row>
    <row r="281" spans="1:18" x14ac:dyDescent="0.25">
      <c r="A281" s="6">
        <v>280</v>
      </c>
      <c r="B281" s="11" t="s">
        <v>41</v>
      </c>
      <c r="C281" s="5" t="s">
        <v>1905</v>
      </c>
      <c r="D281" s="11" t="s">
        <v>1888</v>
      </c>
      <c r="E281" s="11" t="s">
        <v>1906</v>
      </c>
      <c r="F281" s="11" t="s">
        <v>1907</v>
      </c>
      <c r="G281" s="11" t="s">
        <v>1908</v>
      </c>
      <c r="H281" s="11" t="s">
        <v>137</v>
      </c>
      <c r="I281" s="6" t="s">
        <v>11</v>
      </c>
      <c r="J281" s="11" t="s">
        <v>46</v>
      </c>
      <c r="K281" s="11" t="s">
        <v>1892</v>
      </c>
      <c r="L281" s="11" t="s">
        <v>1909</v>
      </c>
      <c r="M281" s="11" t="s">
        <v>1894</v>
      </c>
      <c r="N281" s="11" t="s">
        <v>142</v>
      </c>
      <c r="O281" s="11" t="s">
        <v>142</v>
      </c>
      <c r="P281" s="11" t="s">
        <v>1896</v>
      </c>
      <c r="Q281" s="11" t="s">
        <v>1897</v>
      </c>
      <c r="R281" s="11" t="s">
        <v>1910</v>
      </c>
    </row>
    <row r="282" spans="1:18" x14ac:dyDescent="0.25">
      <c r="A282" s="6">
        <v>281</v>
      </c>
      <c r="B282" s="11" t="s">
        <v>41</v>
      </c>
      <c r="C282" s="5" t="s">
        <v>1911</v>
      </c>
      <c r="D282" s="11" t="s">
        <v>1888</v>
      </c>
      <c r="E282" s="11" t="s">
        <v>1912</v>
      </c>
      <c r="F282" s="11" t="s">
        <v>1913</v>
      </c>
      <c r="G282" s="11" t="s">
        <v>1914</v>
      </c>
      <c r="H282" s="11" t="s">
        <v>137</v>
      </c>
      <c r="I282" s="6" t="s">
        <v>11</v>
      </c>
      <c r="J282" s="11" t="s">
        <v>46</v>
      </c>
      <c r="K282" s="11" t="s">
        <v>1892</v>
      </c>
      <c r="L282" s="11" t="s">
        <v>1915</v>
      </c>
      <c r="M282" s="11" t="s">
        <v>1894</v>
      </c>
      <c r="N282" s="11" t="s">
        <v>142</v>
      </c>
      <c r="O282" s="11" t="s">
        <v>142</v>
      </c>
      <c r="P282" s="11" t="s">
        <v>1896</v>
      </c>
      <c r="Q282" s="11" t="s">
        <v>1897</v>
      </c>
      <c r="R282" s="11" t="s">
        <v>1916</v>
      </c>
    </row>
    <row r="283" spans="1:18" x14ac:dyDescent="0.25">
      <c r="A283" s="6">
        <v>282</v>
      </c>
      <c r="B283" s="11" t="s">
        <v>41</v>
      </c>
      <c r="C283" s="5" t="s">
        <v>1917</v>
      </c>
      <c r="D283" s="11" t="s">
        <v>1888</v>
      </c>
      <c r="E283" s="11" t="s">
        <v>1918</v>
      </c>
      <c r="F283" s="11" t="s">
        <v>1919</v>
      </c>
      <c r="G283" s="11" t="s">
        <v>1920</v>
      </c>
      <c r="H283" s="11" t="s">
        <v>137</v>
      </c>
      <c r="I283" s="6" t="s">
        <v>11</v>
      </c>
      <c r="J283" s="11" t="s">
        <v>46</v>
      </c>
      <c r="K283" s="11" t="s">
        <v>1892</v>
      </c>
      <c r="L283" s="11" t="s">
        <v>1921</v>
      </c>
      <c r="M283" s="11" t="s">
        <v>1894</v>
      </c>
      <c r="N283" s="11" t="s">
        <v>142</v>
      </c>
      <c r="O283" s="11" t="s">
        <v>142</v>
      </c>
      <c r="P283" s="11" t="s">
        <v>1896</v>
      </c>
      <c r="Q283" s="11" t="s">
        <v>1897</v>
      </c>
      <c r="R283" s="11" t="s">
        <v>1922</v>
      </c>
    </row>
    <row r="284" spans="1:18" x14ac:dyDescent="0.25">
      <c r="A284" s="6">
        <v>283</v>
      </c>
      <c r="B284" s="11" t="s">
        <v>41</v>
      </c>
      <c r="C284" s="5" t="s">
        <v>1923</v>
      </c>
      <c r="D284" s="11" t="s">
        <v>1888</v>
      </c>
      <c r="E284" s="11" t="s">
        <v>1924</v>
      </c>
      <c r="F284" s="11" t="s">
        <v>1925</v>
      </c>
      <c r="G284" s="11" t="s">
        <v>1926</v>
      </c>
      <c r="H284" s="11" t="s">
        <v>137</v>
      </c>
      <c r="I284" s="6" t="s">
        <v>11</v>
      </c>
      <c r="J284" s="11" t="s">
        <v>46</v>
      </c>
      <c r="K284" s="11" t="s">
        <v>1892</v>
      </c>
      <c r="L284" s="11" t="s">
        <v>1921</v>
      </c>
      <c r="M284" s="11" t="s">
        <v>1894</v>
      </c>
      <c r="N284" s="11" t="s">
        <v>142</v>
      </c>
      <c r="O284" s="11" t="s">
        <v>142</v>
      </c>
      <c r="P284" s="11" t="s">
        <v>1896</v>
      </c>
      <c r="Q284" s="11" t="s">
        <v>1897</v>
      </c>
      <c r="R284" s="11" t="s">
        <v>1927</v>
      </c>
    </row>
    <row r="285" spans="1:18" x14ac:dyDescent="0.25">
      <c r="A285" s="6">
        <v>284</v>
      </c>
      <c r="B285" s="11" t="s">
        <v>41</v>
      </c>
      <c r="C285" s="5" t="s">
        <v>1928</v>
      </c>
      <c r="D285" s="11" t="s">
        <v>1888</v>
      </c>
      <c r="E285" s="11" t="s">
        <v>1929</v>
      </c>
      <c r="F285" s="11" t="s">
        <v>1930</v>
      </c>
      <c r="G285" s="11" t="s">
        <v>1931</v>
      </c>
      <c r="H285" s="11" t="s">
        <v>137</v>
      </c>
      <c r="I285" s="6" t="s">
        <v>11</v>
      </c>
      <c r="J285" s="11" t="s">
        <v>46</v>
      </c>
      <c r="K285" s="11" t="s">
        <v>1892</v>
      </c>
      <c r="L285" s="11" t="s">
        <v>1932</v>
      </c>
      <c r="M285" s="11" t="s">
        <v>1894</v>
      </c>
      <c r="N285" s="11" t="s">
        <v>142</v>
      </c>
      <c r="O285" s="11" t="s">
        <v>142</v>
      </c>
      <c r="P285" s="11" t="s">
        <v>1896</v>
      </c>
      <c r="Q285" s="11" t="s">
        <v>1897</v>
      </c>
      <c r="R285" s="11" t="s">
        <v>1933</v>
      </c>
    </row>
    <row r="286" spans="1:18" x14ac:dyDescent="0.25">
      <c r="A286" s="6">
        <v>285</v>
      </c>
      <c r="B286" s="11" t="s">
        <v>41</v>
      </c>
      <c r="C286" s="5" t="s">
        <v>1934</v>
      </c>
      <c r="D286" s="11" t="s">
        <v>1888</v>
      </c>
      <c r="E286" s="11" t="s">
        <v>1935</v>
      </c>
      <c r="F286" s="11" t="s">
        <v>1936</v>
      </c>
      <c r="G286" s="11" t="s">
        <v>1937</v>
      </c>
      <c r="H286" s="11" t="s">
        <v>137</v>
      </c>
      <c r="I286" s="6" t="s">
        <v>11</v>
      </c>
      <c r="J286" s="11" t="s">
        <v>46</v>
      </c>
      <c r="K286" s="11" t="s">
        <v>1892</v>
      </c>
      <c r="L286" s="11" t="s">
        <v>1938</v>
      </c>
      <c r="M286" s="11" t="s">
        <v>1894</v>
      </c>
      <c r="N286" s="11" t="s">
        <v>142</v>
      </c>
      <c r="O286" s="11" t="s">
        <v>142</v>
      </c>
      <c r="P286" s="11" t="s">
        <v>1896</v>
      </c>
      <c r="Q286" s="11" t="s">
        <v>1897</v>
      </c>
      <c r="R286" s="11" t="s">
        <v>1939</v>
      </c>
    </row>
    <row r="287" spans="1:18" x14ac:dyDescent="0.25">
      <c r="A287" s="6">
        <v>286</v>
      </c>
      <c r="B287" s="11" t="s">
        <v>41</v>
      </c>
      <c r="C287" s="5" t="s">
        <v>1940</v>
      </c>
      <c r="D287" s="11" t="s">
        <v>1888</v>
      </c>
      <c r="E287" s="11" t="s">
        <v>1941</v>
      </c>
      <c r="F287" s="11" t="s">
        <v>1942</v>
      </c>
      <c r="G287" s="11" t="s">
        <v>1943</v>
      </c>
      <c r="H287" s="11" t="s">
        <v>137</v>
      </c>
      <c r="I287" s="6" t="s">
        <v>11</v>
      </c>
      <c r="J287" s="11" t="s">
        <v>46</v>
      </c>
      <c r="K287" s="11" t="s">
        <v>1892</v>
      </c>
      <c r="L287" s="11" t="s">
        <v>1938</v>
      </c>
      <c r="M287" s="11" t="s">
        <v>1894</v>
      </c>
      <c r="N287" s="11" t="s">
        <v>1944</v>
      </c>
      <c r="O287" s="11" t="s">
        <v>142</v>
      </c>
      <c r="P287" s="11" t="s">
        <v>1896</v>
      </c>
      <c r="Q287" s="11" t="s">
        <v>1897</v>
      </c>
      <c r="R287" s="11" t="s">
        <v>1945</v>
      </c>
    </row>
    <row r="288" spans="1:18" x14ac:dyDescent="0.25">
      <c r="A288" s="6">
        <v>287</v>
      </c>
      <c r="B288" s="11" t="s">
        <v>41</v>
      </c>
      <c r="C288" s="5" t="s">
        <v>1946</v>
      </c>
      <c r="D288" s="11" t="s">
        <v>1888</v>
      </c>
      <c r="E288" s="11" t="s">
        <v>1947</v>
      </c>
      <c r="F288" s="11" t="s">
        <v>1948</v>
      </c>
      <c r="G288" s="11" t="s">
        <v>1949</v>
      </c>
      <c r="H288" s="11" t="s">
        <v>137</v>
      </c>
      <c r="I288" s="6" t="s">
        <v>11</v>
      </c>
      <c r="J288" s="11" t="s">
        <v>46</v>
      </c>
      <c r="K288" s="11" t="s">
        <v>1892</v>
      </c>
      <c r="L288" s="11" t="s">
        <v>1938</v>
      </c>
      <c r="M288" s="11" t="s">
        <v>1894</v>
      </c>
      <c r="N288" s="11" t="s">
        <v>142</v>
      </c>
      <c r="O288" s="11" t="s">
        <v>142</v>
      </c>
      <c r="P288" s="11" t="s">
        <v>1896</v>
      </c>
      <c r="Q288" s="11" t="s">
        <v>1897</v>
      </c>
      <c r="R288" s="11" t="s">
        <v>1950</v>
      </c>
    </row>
    <row r="289" spans="1:18" x14ac:dyDescent="0.25">
      <c r="A289" s="6">
        <v>288</v>
      </c>
      <c r="B289" s="11" t="s">
        <v>41</v>
      </c>
      <c r="C289" s="5" t="s">
        <v>1951</v>
      </c>
      <c r="D289" s="11" t="s">
        <v>671</v>
      </c>
      <c r="E289" s="11" t="s">
        <v>1952</v>
      </c>
      <c r="F289" s="11" t="s">
        <v>1953</v>
      </c>
      <c r="G289" s="11" t="s">
        <v>1954</v>
      </c>
      <c r="H289" s="11" t="s">
        <v>137</v>
      </c>
      <c r="I289" s="6" t="s">
        <v>11</v>
      </c>
      <c r="J289" s="11" t="s">
        <v>46</v>
      </c>
      <c r="K289" s="11" t="s">
        <v>1955</v>
      </c>
      <c r="L289" s="11" t="s">
        <v>1956</v>
      </c>
      <c r="M289" s="11" t="s">
        <v>1894</v>
      </c>
      <c r="N289" s="11" t="s">
        <v>142</v>
      </c>
      <c r="O289" s="11" t="s">
        <v>1957</v>
      </c>
      <c r="P289" s="11" t="s">
        <v>1896</v>
      </c>
      <c r="Q289" s="11" t="s">
        <v>1897</v>
      </c>
      <c r="R289" s="11" t="s">
        <v>1958</v>
      </c>
    </row>
    <row r="290" spans="1:18" x14ac:dyDescent="0.25">
      <c r="A290" s="6">
        <v>289</v>
      </c>
      <c r="B290" s="11" t="s">
        <v>41</v>
      </c>
      <c r="C290" s="5" t="s">
        <v>1959</v>
      </c>
      <c r="D290" s="11" t="s">
        <v>1888</v>
      </c>
      <c r="E290" s="11" t="s">
        <v>1960</v>
      </c>
      <c r="F290" s="11" t="s">
        <v>1961</v>
      </c>
      <c r="G290" s="11" t="s">
        <v>1962</v>
      </c>
      <c r="H290" s="11" t="s">
        <v>137</v>
      </c>
      <c r="I290" s="6" t="s">
        <v>11</v>
      </c>
      <c r="J290" s="11" t="s">
        <v>46</v>
      </c>
      <c r="K290" s="11" t="s">
        <v>1892</v>
      </c>
      <c r="L290" s="11" t="s">
        <v>1963</v>
      </c>
      <c r="M290" s="11" t="s">
        <v>1894</v>
      </c>
      <c r="N290" s="11" t="s">
        <v>142</v>
      </c>
      <c r="O290" s="11" t="s">
        <v>142</v>
      </c>
      <c r="P290" s="11" t="s">
        <v>1896</v>
      </c>
      <c r="Q290" s="11" t="s">
        <v>1897</v>
      </c>
      <c r="R290" s="11" t="s">
        <v>1964</v>
      </c>
    </row>
    <row r="291" spans="1:18" x14ac:dyDescent="0.25">
      <c r="A291" s="6">
        <v>290</v>
      </c>
      <c r="B291" s="11" t="s">
        <v>41</v>
      </c>
      <c r="C291" s="5" t="s">
        <v>1965</v>
      </c>
      <c r="D291" s="11" t="s">
        <v>1888</v>
      </c>
      <c r="E291" s="11" t="s">
        <v>1966</v>
      </c>
      <c r="F291" s="11" t="s">
        <v>1967</v>
      </c>
      <c r="G291" s="11" t="s">
        <v>1968</v>
      </c>
      <c r="H291" s="11" t="s">
        <v>137</v>
      </c>
      <c r="I291" s="6" t="s">
        <v>11</v>
      </c>
      <c r="J291" s="11" t="s">
        <v>46</v>
      </c>
      <c r="K291" s="11" t="s">
        <v>1892</v>
      </c>
      <c r="L291" s="11" t="s">
        <v>1969</v>
      </c>
      <c r="M291" s="11" t="s">
        <v>1894</v>
      </c>
      <c r="N291" s="11" t="s">
        <v>1970</v>
      </c>
      <c r="O291" s="11" t="s">
        <v>142</v>
      </c>
      <c r="P291" s="11" t="s">
        <v>1896</v>
      </c>
      <c r="Q291" s="11" t="s">
        <v>1897</v>
      </c>
      <c r="R291" s="11" t="s">
        <v>1964</v>
      </c>
    </row>
    <row r="292" spans="1:18" x14ac:dyDescent="0.25">
      <c r="A292" s="6">
        <v>291</v>
      </c>
      <c r="B292" s="11" t="s">
        <v>41</v>
      </c>
      <c r="C292" s="5" t="s">
        <v>1971</v>
      </c>
      <c r="D292" s="11" t="s">
        <v>1888</v>
      </c>
      <c r="E292" s="11" t="s">
        <v>1972</v>
      </c>
      <c r="F292" s="11" t="s">
        <v>1973</v>
      </c>
      <c r="G292" s="11" t="s">
        <v>1974</v>
      </c>
      <c r="H292" s="11" t="s">
        <v>137</v>
      </c>
      <c r="I292" s="6" t="s">
        <v>11</v>
      </c>
      <c r="J292" s="11" t="s">
        <v>46</v>
      </c>
      <c r="K292" s="11" t="s">
        <v>1975</v>
      </c>
      <c r="L292" s="11" t="s">
        <v>1976</v>
      </c>
      <c r="M292" s="11" t="s">
        <v>1894</v>
      </c>
      <c r="N292" s="11" t="s">
        <v>142</v>
      </c>
      <c r="O292" s="11" t="s">
        <v>142</v>
      </c>
      <c r="P292" s="11" t="s">
        <v>1896</v>
      </c>
      <c r="Q292" s="11" t="s">
        <v>1897</v>
      </c>
      <c r="R292" s="11" t="s">
        <v>1964</v>
      </c>
    </row>
    <row r="293" spans="1:18" x14ac:dyDescent="0.25">
      <c r="A293" s="6">
        <v>292</v>
      </c>
      <c r="B293" s="11" t="s">
        <v>41</v>
      </c>
      <c r="C293" s="5" t="s">
        <v>1977</v>
      </c>
      <c r="D293" s="11" t="s">
        <v>1888</v>
      </c>
      <c r="E293" s="11" t="s">
        <v>1978</v>
      </c>
      <c r="F293" s="11" t="s">
        <v>1979</v>
      </c>
      <c r="G293" s="11" t="s">
        <v>1980</v>
      </c>
      <c r="H293" s="11" t="s">
        <v>137</v>
      </c>
      <c r="I293" s="6" t="s">
        <v>11</v>
      </c>
      <c r="J293" s="11" t="s">
        <v>46</v>
      </c>
      <c r="K293" s="11" t="s">
        <v>1892</v>
      </c>
      <c r="L293" s="11" t="s">
        <v>1981</v>
      </c>
      <c r="M293" s="11" t="s">
        <v>1982</v>
      </c>
      <c r="N293" s="11" t="s">
        <v>142</v>
      </c>
      <c r="O293" s="11" t="s">
        <v>142</v>
      </c>
      <c r="P293" s="11" t="s">
        <v>1896</v>
      </c>
      <c r="Q293" s="11" t="s">
        <v>1897</v>
      </c>
      <c r="R293" s="11" t="s">
        <v>1983</v>
      </c>
    </row>
    <row r="294" spans="1:18" x14ac:dyDescent="0.25">
      <c r="A294" s="6">
        <v>293</v>
      </c>
      <c r="B294" s="11" t="s">
        <v>41</v>
      </c>
      <c r="C294" s="5" t="s">
        <v>1984</v>
      </c>
      <c r="D294" s="11" t="s">
        <v>1888</v>
      </c>
      <c r="E294" s="11" t="s">
        <v>1985</v>
      </c>
      <c r="F294" s="11" t="s">
        <v>1986</v>
      </c>
      <c r="G294" s="11" t="s">
        <v>1987</v>
      </c>
      <c r="H294" s="11" t="s">
        <v>137</v>
      </c>
      <c r="I294" s="6" t="s">
        <v>11</v>
      </c>
      <c r="J294" s="11" t="s">
        <v>46</v>
      </c>
      <c r="K294" s="11" t="s">
        <v>1892</v>
      </c>
      <c r="L294" s="11" t="s">
        <v>1988</v>
      </c>
      <c r="M294" s="11" t="s">
        <v>1989</v>
      </c>
      <c r="N294" s="11" t="s">
        <v>142</v>
      </c>
      <c r="O294" s="11" t="s">
        <v>142</v>
      </c>
      <c r="P294" s="11" t="s">
        <v>1896</v>
      </c>
      <c r="Q294" s="11" t="s">
        <v>1897</v>
      </c>
      <c r="R294" s="11" t="s">
        <v>1990</v>
      </c>
    </row>
    <row r="295" spans="1:18" x14ac:dyDescent="0.25">
      <c r="A295" s="6">
        <v>294</v>
      </c>
      <c r="B295" s="11" t="s">
        <v>41</v>
      </c>
      <c r="C295" s="5" t="s">
        <v>1991</v>
      </c>
      <c r="D295" s="11" t="s">
        <v>1888</v>
      </c>
      <c r="E295" s="11" t="s">
        <v>1992</v>
      </c>
      <c r="F295" s="11" t="s">
        <v>1993</v>
      </c>
      <c r="G295" s="11" t="s">
        <v>1968</v>
      </c>
      <c r="H295" s="11" t="s">
        <v>137</v>
      </c>
      <c r="I295" s="6" t="s">
        <v>11</v>
      </c>
      <c r="J295" s="11" t="s">
        <v>46</v>
      </c>
      <c r="K295" s="11" t="s">
        <v>1892</v>
      </c>
      <c r="L295" s="11" t="s">
        <v>1994</v>
      </c>
      <c r="M295" s="11" t="s">
        <v>1995</v>
      </c>
      <c r="N295" s="11" t="s">
        <v>142</v>
      </c>
      <c r="O295" s="11" t="s">
        <v>142</v>
      </c>
      <c r="P295" s="11" t="s">
        <v>1896</v>
      </c>
      <c r="Q295" s="11" t="s">
        <v>1897</v>
      </c>
      <c r="R295" s="11" t="s">
        <v>1964</v>
      </c>
    </row>
    <row r="296" spans="1:18" x14ac:dyDescent="0.25">
      <c r="A296" s="6">
        <v>295</v>
      </c>
      <c r="B296" s="11" t="s">
        <v>41</v>
      </c>
      <c r="C296" s="5" t="s">
        <v>1996</v>
      </c>
      <c r="D296" s="11" t="s">
        <v>1888</v>
      </c>
      <c r="E296" s="11" t="s">
        <v>1997</v>
      </c>
      <c r="F296" s="11" t="s">
        <v>1998</v>
      </c>
      <c r="G296" s="11" t="s">
        <v>1999</v>
      </c>
      <c r="H296" s="11" t="s">
        <v>137</v>
      </c>
      <c r="I296" s="6" t="s">
        <v>11</v>
      </c>
      <c r="J296" s="11" t="s">
        <v>46</v>
      </c>
      <c r="K296" s="11" t="s">
        <v>1892</v>
      </c>
      <c r="L296" s="11" t="s">
        <v>2000</v>
      </c>
      <c r="M296" s="11" t="s">
        <v>1894</v>
      </c>
      <c r="N296" s="11" t="s">
        <v>142</v>
      </c>
      <c r="O296" s="11" t="s">
        <v>142</v>
      </c>
      <c r="P296" s="11" t="s">
        <v>1896</v>
      </c>
      <c r="Q296" s="11" t="s">
        <v>1897</v>
      </c>
      <c r="R296" s="11" t="s">
        <v>2001</v>
      </c>
    </row>
    <row r="297" spans="1:18" x14ac:dyDescent="0.25">
      <c r="A297" s="6">
        <v>296</v>
      </c>
      <c r="B297" s="11" t="s">
        <v>41</v>
      </c>
      <c r="C297" s="5" t="s">
        <v>2002</v>
      </c>
      <c r="D297" s="11" t="s">
        <v>1888</v>
      </c>
      <c r="E297" s="11" t="s">
        <v>2003</v>
      </c>
      <c r="F297" s="11" t="s">
        <v>2004</v>
      </c>
      <c r="G297" s="11" t="s">
        <v>2005</v>
      </c>
      <c r="H297" s="11" t="s">
        <v>137</v>
      </c>
      <c r="I297" s="6" t="s">
        <v>11</v>
      </c>
      <c r="J297" s="11" t="s">
        <v>46</v>
      </c>
      <c r="K297" s="11" t="s">
        <v>2006</v>
      </c>
      <c r="L297" s="11" t="s">
        <v>2007</v>
      </c>
      <c r="M297" s="11" t="s">
        <v>1894</v>
      </c>
      <c r="N297" s="11" t="s">
        <v>142</v>
      </c>
      <c r="O297" s="11" t="s">
        <v>142</v>
      </c>
      <c r="P297" s="11" t="s">
        <v>1896</v>
      </c>
      <c r="Q297" s="11" t="s">
        <v>1897</v>
      </c>
      <c r="R297" s="11" t="s">
        <v>2008</v>
      </c>
    </row>
    <row r="298" spans="1:18" x14ac:dyDescent="0.25">
      <c r="A298" s="6">
        <v>297</v>
      </c>
      <c r="B298" s="11" t="s">
        <v>41</v>
      </c>
      <c r="C298" s="5" t="s">
        <v>2009</v>
      </c>
      <c r="D298" s="11" t="s">
        <v>1888</v>
      </c>
      <c r="E298" s="11" t="s">
        <v>2010</v>
      </c>
      <c r="F298" s="11" t="s">
        <v>2011</v>
      </c>
      <c r="G298" s="11" t="s">
        <v>2012</v>
      </c>
      <c r="H298" s="11" t="s">
        <v>157</v>
      </c>
      <c r="I298" s="6" t="s">
        <v>11</v>
      </c>
      <c r="J298" s="11" t="s">
        <v>46</v>
      </c>
      <c r="K298" s="11" t="s">
        <v>1892</v>
      </c>
      <c r="L298" s="11" t="s">
        <v>2013</v>
      </c>
      <c r="M298" s="11" t="s">
        <v>1894</v>
      </c>
      <c r="N298" s="11" t="s">
        <v>142</v>
      </c>
      <c r="O298" s="11" t="s">
        <v>142</v>
      </c>
      <c r="P298" s="11" t="s">
        <v>1896</v>
      </c>
      <c r="Q298" s="11" t="s">
        <v>1897</v>
      </c>
      <c r="R298" s="11" t="s">
        <v>2014</v>
      </c>
    </row>
    <row r="299" spans="1:18" x14ac:dyDescent="0.25">
      <c r="A299" s="6">
        <v>298</v>
      </c>
      <c r="B299" s="11" t="s">
        <v>41</v>
      </c>
      <c r="C299" s="5" t="s">
        <v>2015</v>
      </c>
      <c r="D299" s="11" t="s">
        <v>1888</v>
      </c>
      <c r="E299" s="11" t="s">
        <v>2016</v>
      </c>
      <c r="F299" s="11" t="s">
        <v>2017</v>
      </c>
      <c r="G299" s="11" t="s">
        <v>2018</v>
      </c>
      <c r="H299" s="11" t="s">
        <v>157</v>
      </c>
      <c r="I299" s="6" t="s">
        <v>11</v>
      </c>
      <c r="J299" s="11" t="s">
        <v>46</v>
      </c>
      <c r="K299" s="11" t="s">
        <v>1892</v>
      </c>
      <c r="L299" s="11" t="s">
        <v>2019</v>
      </c>
      <c r="M299" s="11" t="s">
        <v>1894</v>
      </c>
      <c r="N299" s="11" t="s">
        <v>142</v>
      </c>
      <c r="O299" s="11" t="s">
        <v>142</v>
      </c>
      <c r="P299" s="11" t="s">
        <v>1896</v>
      </c>
      <c r="Q299" s="11" t="s">
        <v>1897</v>
      </c>
      <c r="R299" s="11" t="s">
        <v>2020</v>
      </c>
    </row>
    <row r="300" spans="1:18" x14ac:dyDescent="0.25">
      <c r="A300" s="6">
        <v>299</v>
      </c>
      <c r="B300" s="11" t="s">
        <v>41</v>
      </c>
      <c r="C300" s="5" t="s">
        <v>2021</v>
      </c>
      <c r="D300" s="11" t="s">
        <v>1888</v>
      </c>
      <c r="E300" s="11" t="s">
        <v>2022</v>
      </c>
      <c r="F300" s="11" t="s">
        <v>2023</v>
      </c>
      <c r="G300" s="11" t="s">
        <v>2018</v>
      </c>
      <c r="H300" s="11" t="s">
        <v>157</v>
      </c>
      <c r="I300" s="6" t="s">
        <v>11</v>
      </c>
      <c r="J300" s="11" t="s">
        <v>46</v>
      </c>
      <c r="K300" s="11" t="s">
        <v>1892</v>
      </c>
      <c r="L300" s="11" t="s">
        <v>2019</v>
      </c>
      <c r="M300" s="11" t="s">
        <v>1894</v>
      </c>
      <c r="N300" s="11" t="s">
        <v>142</v>
      </c>
      <c r="O300" s="11" t="s">
        <v>142</v>
      </c>
      <c r="P300" s="11" t="s">
        <v>1896</v>
      </c>
      <c r="Q300" s="11" t="s">
        <v>1897</v>
      </c>
      <c r="R300" s="11" t="s">
        <v>2024</v>
      </c>
    </row>
    <row r="301" spans="1:18" x14ac:dyDescent="0.25">
      <c r="A301" s="6">
        <v>300</v>
      </c>
      <c r="B301" s="11" t="s">
        <v>41</v>
      </c>
      <c r="C301" s="5" t="s">
        <v>2025</v>
      </c>
      <c r="D301" s="11" t="s">
        <v>1274</v>
      </c>
      <c r="E301" s="11" t="s">
        <v>2026</v>
      </c>
      <c r="F301" s="11" t="s">
        <v>2027</v>
      </c>
      <c r="G301" s="11" t="s">
        <v>142</v>
      </c>
      <c r="H301" s="11" t="s">
        <v>137</v>
      </c>
      <c r="I301" s="6" t="s">
        <v>11</v>
      </c>
      <c r="J301" s="11" t="s">
        <v>45</v>
      </c>
      <c r="K301" s="11" t="s">
        <v>2028</v>
      </c>
      <c r="L301" s="11" t="s">
        <v>2029</v>
      </c>
      <c r="M301" s="11" t="s">
        <v>1894</v>
      </c>
      <c r="N301" s="11" t="s">
        <v>2030</v>
      </c>
      <c r="O301" s="11" t="s">
        <v>142</v>
      </c>
      <c r="P301" s="11" t="s">
        <v>1896</v>
      </c>
      <c r="Q301" s="11" t="s">
        <v>1897</v>
      </c>
      <c r="R301" s="11" t="s">
        <v>2031</v>
      </c>
    </row>
    <row r="302" spans="1:18" x14ac:dyDescent="0.25">
      <c r="A302" s="6">
        <v>301</v>
      </c>
      <c r="B302" s="11" t="s">
        <v>41</v>
      </c>
      <c r="C302" s="5" t="s">
        <v>2032</v>
      </c>
      <c r="D302" s="11" t="s">
        <v>1888</v>
      </c>
      <c r="E302" s="11" t="s">
        <v>2033</v>
      </c>
      <c r="F302" s="11" t="s">
        <v>2034</v>
      </c>
      <c r="G302" s="11" t="s">
        <v>142</v>
      </c>
      <c r="H302" s="11" t="s">
        <v>137</v>
      </c>
      <c r="I302" s="6" t="s">
        <v>11</v>
      </c>
      <c r="J302" s="11" t="s">
        <v>45</v>
      </c>
      <c r="K302" s="11" t="s">
        <v>142</v>
      </c>
      <c r="L302" s="11" t="s">
        <v>2035</v>
      </c>
      <c r="M302" s="11" t="s">
        <v>1894</v>
      </c>
      <c r="N302" s="11" t="s">
        <v>142</v>
      </c>
      <c r="O302" s="11" t="s">
        <v>142</v>
      </c>
      <c r="P302" s="11" t="s">
        <v>1896</v>
      </c>
      <c r="Q302" s="11" t="s">
        <v>1897</v>
      </c>
      <c r="R302" s="11" t="s">
        <v>2036</v>
      </c>
    </row>
    <row r="303" spans="1:18" x14ac:dyDescent="0.25">
      <c r="A303" s="6">
        <v>302</v>
      </c>
      <c r="B303" s="11" t="s">
        <v>41</v>
      </c>
      <c r="C303" s="5" t="s">
        <v>2037</v>
      </c>
      <c r="D303" s="11" t="s">
        <v>1888</v>
      </c>
      <c r="E303" s="11" t="s">
        <v>2038</v>
      </c>
      <c r="F303" s="11" t="s">
        <v>2039</v>
      </c>
      <c r="G303" s="11" t="s">
        <v>2040</v>
      </c>
      <c r="H303" s="11" t="s">
        <v>137</v>
      </c>
      <c r="I303" s="6" t="s">
        <v>11</v>
      </c>
      <c r="J303" s="11" t="s">
        <v>46</v>
      </c>
      <c r="K303" s="11" t="s">
        <v>1892</v>
      </c>
      <c r="L303" s="11" t="s">
        <v>2041</v>
      </c>
      <c r="M303" s="11" t="s">
        <v>2042</v>
      </c>
      <c r="N303" s="11" t="s">
        <v>142</v>
      </c>
      <c r="O303" s="11" t="s">
        <v>142</v>
      </c>
      <c r="P303" s="11" t="s">
        <v>1896</v>
      </c>
      <c r="Q303" s="11" t="s">
        <v>1897</v>
      </c>
      <c r="R303" s="11" t="s">
        <v>2043</v>
      </c>
    </row>
    <row r="304" spans="1:18" x14ac:dyDescent="0.25">
      <c r="A304" s="6">
        <v>303</v>
      </c>
      <c r="B304" s="11" t="s">
        <v>41</v>
      </c>
      <c r="C304" s="5" t="s">
        <v>2044</v>
      </c>
      <c r="D304" s="11" t="s">
        <v>1888</v>
      </c>
      <c r="E304" s="11" t="s">
        <v>2045</v>
      </c>
      <c r="F304" s="11" t="s">
        <v>2046</v>
      </c>
      <c r="G304" s="11" t="s">
        <v>2040</v>
      </c>
      <c r="H304" s="11" t="s">
        <v>137</v>
      </c>
      <c r="I304" s="6" t="s">
        <v>11</v>
      </c>
      <c r="J304" s="11" t="s">
        <v>46</v>
      </c>
      <c r="K304" s="11" t="s">
        <v>1892</v>
      </c>
      <c r="L304" s="11" t="s">
        <v>2047</v>
      </c>
      <c r="M304" s="11" t="s">
        <v>2042</v>
      </c>
      <c r="N304" s="11" t="s">
        <v>142</v>
      </c>
      <c r="O304" s="11" t="s">
        <v>142</v>
      </c>
      <c r="P304" s="11" t="s">
        <v>1896</v>
      </c>
      <c r="Q304" s="11" t="s">
        <v>1897</v>
      </c>
      <c r="R304" s="11" t="s">
        <v>2048</v>
      </c>
    </row>
    <row r="305" spans="1:18" x14ac:dyDescent="0.25">
      <c r="A305" s="6">
        <v>304</v>
      </c>
      <c r="B305" s="11" t="s">
        <v>41</v>
      </c>
      <c r="C305" s="5" t="s">
        <v>2049</v>
      </c>
      <c r="D305" s="11" t="s">
        <v>1888</v>
      </c>
      <c r="E305" s="11" t="s">
        <v>2050</v>
      </c>
      <c r="F305" s="11" t="s">
        <v>2051</v>
      </c>
      <c r="G305" s="11" t="s">
        <v>1962</v>
      </c>
      <c r="H305" s="11" t="s">
        <v>137</v>
      </c>
      <c r="I305" s="6" t="s">
        <v>11</v>
      </c>
      <c r="J305" s="11" t="s">
        <v>46</v>
      </c>
      <c r="K305" s="11" t="s">
        <v>1892</v>
      </c>
      <c r="L305" s="11" t="s">
        <v>2047</v>
      </c>
      <c r="M305" s="11" t="s">
        <v>2042</v>
      </c>
      <c r="N305" s="11" t="s">
        <v>142</v>
      </c>
      <c r="O305" s="11" t="s">
        <v>142</v>
      </c>
      <c r="P305" s="11" t="s">
        <v>1896</v>
      </c>
      <c r="Q305" s="11" t="s">
        <v>1897</v>
      </c>
      <c r="R305" s="11" t="s">
        <v>2052</v>
      </c>
    </row>
    <row r="306" spans="1:18" x14ac:dyDescent="0.25">
      <c r="A306" s="6">
        <v>305</v>
      </c>
      <c r="B306" s="11" t="s">
        <v>41</v>
      </c>
      <c r="C306" s="5" t="s">
        <v>2053</v>
      </c>
      <c r="D306" s="11" t="s">
        <v>2054</v>
      </c>
      <c r="E306" s="11" t="s">
        <v>2055</v>
      </c>
      <c r="F306" s="11" t="s">
        <v>2056</v>
      </c>
      <c r="G306" s="11" t="s">
        <v>2057</v>
      </c>
      <c r="H306" s="11" t="s">
        <v>137</v>
      </c>
      <c r="I306" s="6" t="s">
        <v>11</v>
      </c>
      <c r="J306" s="11" t="s">
        <v>45</v>
      </c>
      <c r="K306" s="11" t="s">
        <v>149</v>
      </c>
      <c r="L306" s="11" t="s">
        <v>2058</v>
      </c>
      <c r="M306" s="11" t="s">
        <v>2042</v>
      </c>
      <c r="N306" s="11" t="s">
        <v>2059</v>
      </c>
      <c r="O306" s="11" t="s">
        <v>2060</v>
      </c>
      <c r="P306" s="11" t="s">
        <v>1896</v>
      </c>
      <c r="Q306" s="11" t="s">
        <v>1897</v>
      </c>
      <c r="R306" s="11" t="s">
        <v>2061</v>
      </c>
    </row>
    <row r="307" spans="1:18" x14ac:dyDescent="0.25">
      <c r="A307" s="6">
        <v>306</v>
      </c>
      <c r="B307" s="11" t="s">
        <v>42</v>
      </c>
      <c r="C307" s="5" t="s">
        <v>2062</v>
      </c>
      <c r="D307" s="11" t="s">
        <v>176</v>
      </c>
      <c r="E307" s="11" t="s">
        <v>2063</v>
      </c>
      <c r="F307" s="11" t="s">
        <v>2064</v>
      </c>
      <c r="G307" s="11" t="s">
        <v>2065</v>
      </c>
      <c r="H307" s="11" t="s">
        <v>137</v>
      </c>
      <c r="I307" s="6" t="s">
        <v>11</v>
      </c>
      <c r="J307" s="11" t="s">
        <v>45</v>
      </c>
      <c r="K307" s="11" t="s">
        <v>2066</v>
      </c>
      <c r="L307" s="11" t="s">
        <v>2067</v>
      </c>
      <c r="M307" s="11" t="s">
        <v>1894</v>
      </c>
      <c r="N307" s="11" t="s">
        <v>142</v>
      </c>
      <c r="O307" s="11" t="s">
        <v>142</v>
      </c>
      <c r="P307" s="11" t="s">
        <v>1896</v>
      </c>
      <c r="Q307" s="11" t="s">
        <v>1897</v>
      </c>
      <c r="R307" s="11" t="s">
        <v>2068</v>
      </c>
    </row>
    <row r="308" spans="1:18" x14ac:dyDescent="0.25">
      <c r="A308" s="6">
        <v>307</v>
      </c>
      <c r="B308" s="11" t="s">
        <v>42</v>
      </c>
      <c r="C308" s="5" t="s">
        <v>2069</v>
      </c>
      <c r="D308" s="11" t="s">
        <v>176</v>
      </c>
      <c r="E308" s="11" t="s">
        <v>2070</v>
      </c>
      <c r="F308" s="11" t="s">
        <v>2071</v>
      </c>
      <c r="G308" s="11" t="s">
        <v>2072</v>
      </c>
      <c r="H308" s="11" t="s">
        <v>157</v>
      </c>
      <c r="I308" s="6" t="s">
        <v>11</v>
      </c>
      <c r="J308" s="11" t="s">
        <v>45</v>
      </c>
      <c r="K308" s="11" t="s">
        <v>149</v>
      </c>
      <c r="L308" s="11" t="s">
        <v>2073</v>
      </c>
      <c r="M308" s="11" t="s">
        <v>1894</v>
      </c>
      <c r="N308" s="11" t="s">
        <v>142</v>
      </c>
      <c r="O308" s="11" t="s">
        <v>142</v>
      </c>
      <c r="P308" s="11" t="s">
        <v>1896</v>
      </c>
      <c r="Q308" s="11" t="s">
        <v>1897</v>
      </c>
      <c r="R308" s="11" t="s">
        <v>2074</v>
      </c>
    </row>
    <row r="309" spans="1:18" x14ac:dyDescent="0.25">
      <c r="A309" s="6">
        <v>308</v>
      </c>
      <c r="B309" s="11" t="s">
        <v>42</v>
      </c>
      <c r="C309" s="5" t="s">
        <v>2075</v>
      </c>
      <c r="D309" s="11" t="s">
        <v>176</v>
      </c>
      <c r="E309" s="11" t="s">
        <v>2076</v>
      </c>
      <c r="F309" s="11" t="s">
        <v>2077</v>
      </c>
      <c r="G309" s="11" t="s">
        <v>2078</v>
      </c>
      <c r="H309" s="11" t="s">
        <v>157</v>
      </c>
      <c r="I309" s="6" t="s">
        <v>11</v>
      </c>
      <c r="J309" s="11" t="s">
        <v>45</v>
      </c>
      <c r="K309" s="11" t="s">
        <v>149</v>
      </c>
      <c r="L309" s="11" t="s">
        <v>2079</v>
      </c>
      <c r="M309" s="11" t="s">
        <v>1767</v>
      </c>
      <c r="N309" s="11" t="s">
        <v>142</v>
      </c>
      <c r="O309" s="11" t="s">
        <v>142</v>
      </c>
      <c r="P309" s="11" t="s">
        <v>1896</v>
      </c>
      <c r="Q309" s="11" t="s">
        <v>1897</v>
      </c>
      <c r="R309" s="11" t="s">
        <v>2080</v>
      </c>
    </row>
    <row r="310" spans="1:18" x14ac:dyDescent="0.25">
      <c r="A310" s="6">
        <v>309</v>
      </c>
      <c r="B310" s="11" t="s">
        <v>42</v>
      </c>
      <c r="C310" s="5" t="s">
        <v>2081</v>
      </c>
      <c r="D310" s="11" t="s">
        <v>176</v>
      </c>
      <c r="E310" s="11" t="s">
        <v>2082</v>
      </c>
      <c r="F310" s="11" t="s">
        <v>2083</v>
      </c>
      <c r="G310" s="11" t="s">
        <v>2078</v>
      </c>
      <c r="H310" s="11" t="s">
        <v>157</v>
      </c>
      <c r="I310" s="6" t="s">
        <v>11</v>
      </c>
      <c r="J310" s="11" t="s">
        <v>45</v>
      </c>
      <c r="K310" s="11" t="s">
        <v>149</v>
      </c>
      <c r="L310" s="11" t="s">
        <v>2084</v>
      </c>
      <c r="M310" s="11" t="s">
        <v>1894</v>
      </c>
      <c r="N310" s="11" t="s">
        <v>142</v>
      </c>
      <c r="O310" s="11" t="s">
        <v>142</v>
      </c>
      <c r="P310" s="11" t="s">
        <v>1896</v>
      </c>
      <c r="Q310" s="11" t="s">
        <v>1897</v>
      </c>
      <c r="R310" s="11" t="s">
        <v>2085</v>
      </c>
    </row>
    <row r="311" spans="1:18" x14ac:dyDescent="0.25">
      <c r="A311" s="6">
        <v>310</v>
      </c>
      <c r="B311" s="11" t="s">
        <v>42</v>
      </c>
      <c r="C311" s="5" t="s">
        <v>2086</v>
      </c>
      <c r="D311" s="11" t="s">
        <v>214</v>
      </c>
      <c r="E311" s="11" t="s">
        <v>2087</v>
      </c>
      <c r="F311" s="11" t="s">
        <v>2088</v>
      </c>
      <c r="G311" s="11" t="s">
        <v>2089</v>
      </c>
      <c r="H311" s="11" t="s">
        <v>157</v>
      </c>
      <c r="I311" s="6" t="s">
        <v>11</v>
      </c>
      <c r="J311" s="11" t="s">
        <v>45</v>
      </c>
      <c r="K311" s="11" t="s">
        <v>149</v>
      </c>
      <c r="L311" s="11" t="s">
        <v>2090</v>
      </c>
      <c r="M311" s="11" t="s">
        <v>1767</v>
      </c>
      <c r="N311" s="11" t="s">
        <v>142</v>
      </c>
      <c r="O311" s="11" t="s">
        <v>142</v>
      </c>
      <c r="P311" s="11" t="s">
        <v>1896</v>
      </c>
      <c r="Q311" s="11" t="s">
        <v>1897</v>
      </c>
      <c r="R311" s="11" t="s">
        <v>2091</v>
      </c>
    </row>
    <row r="312" spans="1:18" x14ac:dyDescent="0.25">
      <c r="A312" s="6">
        <v>311</v>
      </c>
      <c r="B312" s="11" t="s">
        <v>42</v>
      </c>
      <c r="C312" s="5" t="s">
        <v>2092</v>
      </c>
      <c r="D312" s="11" t="s">
        <v>1507</v>
      </c>
      <c r="E312" s="11" t="s">
        <v>2093</v>
      </c>
      <c r="F312" s="11" t="s">
        <v>2094</v>
      </c>
      <c r="G312" s="11" t="s">
        <v>142</v>
      </c>
      <c r="H312" s="11" t="s">
        <v>157</v>
      </c>
      <c r="I312" s="6" t="s">
        <v>11</v>
      </c>
      <c r="J312" s="11" t="s">
        <v>45</v>
      </c>
      <c r="K312" s="11" t="s">
        <v>149</v>
      </c>
      <c r="L312" s="11" t="s">
        <v>2095</v>
      </c>
      <c r="M312" s="11" t="s">
        <v>1767</v>
      </c>
      <c r="N312" s="11" t="s">
        <v>142</v>
      </c>
      <c r="O312" s="11" t="s">
        <v>142</v>
      </c>
      <c r="P312" s="11" t="s">
        <v>1896</v>
      </c>
      <c r="Q312" s="11" t="s">
        <v>1897</v>
      </c>
      <c r="R312" s="11" t="s">
        <v>2096</v>
      </c>
    </row>
    <row r="313" spans="1:18" x14ac:dyDescent="0.25">
      <c r="A313" s="6">
        <v>312</v>
      </c>
      <c r="B313" s="11" t="s">
        <v>42</v>
      </c>
      <c r="C313" s="5" t="s">
        <v>2097</v>
      </c>
      <c r="D313" s="11" t="s">
        <v>1298</v>
      </c>
      <c r="E313" s="11" t="s">
        <v>2098</v>
      </c>
      <c r="F313" s="11" t="s">
        <v>2099</v>
      </c>
      <c r="G313" s="11" t="s">
        <v>142</v>
      </c>
      <c r="H313" s="11" t="s">
        <v>157</v>
      </c>
      <c r="I313" s="6" t="s">
        <v>11</v>
      </c>
      <c r="J313" s="11" t="s">
        <v>45</v>
      </c>
      <c r="K313" s="11" t="s">
        <v>149</v>
      </c>
      <c r="L313" s="11" t="s">
        <v>2100</v>
      </c>
      <c r="M313" s="11" t="s">
        <v>2101</v>
      </c>
      <c r="N313" s="11" t="s">
        <v>142</v>
      </c>
      <c r="O313" s="11" t="s">
        <v>142</v>
      </c>
      <c r="P313" s="11" t="s">
        <v>1896</v>
      </c>
      <c r="Q313" s="11" t="s">
        <v>1897</v>
      </c>
      <c r="R313" s="11" t="s">
        <v>2102</v>
      </c>
    </row>
    <row r="314" spans="1:18" x14ac:dyDescent="0.25">
      <c r="A314" s="6">
        <v>313</v>
      </c>
      <c r="B314" s="11" t="s">
        <v>42</v>
      </c>
      <c r="C314" s="5" t="s">
        <v>2103</v>
      </c>
      <c r="D314" s="11" t="s">
        <v>246</v>
      </c>
      <c r="E314" s="11" t="s">
        <v>2104</v>
      </c>
      <c r="F314" s="11" t="s">
        <v>2105</v>
      </c>
      <c r="G314" s="11" t="s">
        <v>142</v>
      </c>
      <c r="H314" s="11" t="s">
        <v>157</v>
      </c>
      <c r="I314" s="6" t="s">
        <v>11</v>
      </c>
      <c r="J314" s="11" t="s">
        <v>45</v>
      </c>
      <c r="K314" s="11" t="s">
        <v>149</v>
      </c>
      <c r="L314" s="11" t="s">
        <v>2106</v>
      </c>
      <c r="M314" s="11" t="s">
        <v>1767</v>
      </c>
      <c r="N314" s="11" t="s">
        <v>142</v>
      </c>
      <c r="O314" s="11" t="s">
        <v>142</v>
      </c>
      <c r="P314" s="11" t="s">
        <v>1896</v>
      </c>
      <c r="Q314" s="11" t="s">
        <v>1897</v>
      </c>
      <c r="R314" s="11" t="s">
        <v>2107</v>
      </c>
    </row>
    <row r="315" spans="1:18" x14ac:dyDescent="0.25">
      <c r="A315" s="6">
        <v>314</v>
      </c>
      <c r="B315" s="11" t="s">
        <v>42</v>
      </c>
      <c r="C315" s="5" t="s">
        <v>2108</v>
      </c>
      <c r="D315" s="11" t="s">
        <v>1507</v>
      </c>
      <c r="E315" s="11" t="s">
        <v>2109</v>
      </c>
      <c r="F315" s="11" t="s">
        <v>2110</v>
      </c>
      <c r="G315" s="11" t="s">
        <v>142</v>
      </c>
      <c r="H315" s="11" t="s">
        <v>157</v>
      </c>
      <c r="I315" s="6" t="s">
        <v>11</v>
      </c>
      <c r="J315" s="11" t="s">
        <v>45</v>
      </c>
      <c r="K315" s="11" t="s">
        <v>149</v>
      </c>
      <c r="L315" s="11" t="s">
        <v>2111</v>
      </c>
      <c r="M315" s="11" t="s">
        <v>1767</v>
      </c>
      <c r="N315" s="11" t="s">
        <v>142</v>
      </c>
      <c r="O315" s="11" t="s">
        <v>142</v>
      </c>
      <c r="P315" s="11" t="s">
        <v>1896</v>
      </c>
      <c r="Q315" s="11" t="s">
        <v>1897</v>
      </c>
      <c r="R315" s="11" t="s">
        <v>2112</v>
      </c>
    </row>
    <row r="316" spans="1:18" x14ac:dyDescent="0.25">
      <c r="A316" s="6">
        <v>315</v>
      </c>
      <c r="B316" s="11" t="s">
        <v>42</v>
      </c>
      <c r="C316" s="5" t="s">
        <v>2113</v>
      </c>
      <c r="D316" s="11" t="s">
        <v>1507</v>
      </c>
      <c r="E316" s="11" t="s">
        <v>2114</v>
      </c>
      <c r="F316" s="11" t="s">
        <v>2115</v>
      </c>
      <c r="G316" s="11" t="s">
        <v>2116</v>
      </c>
      <c r="H316" s="11" t="s">
        <v>137</v>
      </c>
      <c r="I316" s="6" t="s">
        <v>11</v>
      </c>
      <c r="J316" s="11" t="s">
        <v>50</v>
      </c>
      <c r="K316" s="11" t="s">
        <v>149</v>
      </c>
      <c r="L316" s="11" t="s">
        <v>2117</v>
      </c>
      <c r="M316" s="11" t="s">
        <v>1767</v>
      </c>
      <c r="N316" s="11" t="s">
        <v>142</v>
      </c>
      <c r="O316" s="11" t="s">
        <v>142</v>
      </c>
      <c r="P316" s="11" t="s">
        <v>1896</v>
      </c>
      <c r="Q316" s="11" t="s">
        <v>1897</v>
      </c>
      <c r="R316" s="11" t="s">
        <v>2118</v>
      </c>
    </row>
    <row r="317" spans="1:18" x14ac:dyDescent="0.25">
      <c r="A317" s="6">
        <v>316</v>
      </c>
      <c r="B317" s="11" t="s">
        <v>42</v>
      </c>
      <c r="C317" s="5" t="s">
        <v>2119</v>
      </c>
      <c r="D317" s="11" t="s">
        <v>1507</v>
      </c>
      <c r="E317" s="11" t="s">
        <v>2120</v>
      </c>
      <c r="F317" s="11" t="s">
        <v>2121</v>
      </c>
      <c r="G317" s="11" t="s">
        <v>2122</v>
      </c>
      <c r="H317" s="11" t="s">
        <v>137</v>
      </c>
      <c r="I317" s="6" t="s">
        <v>11</v>
      </c>
      <c r="J317" s="11" t="s">
        <v>45</v>
      </c>
      <c r="K317" s="11" t="s">
        <v>149</v>
      </c>
      <c r="L317" s="11" t="s">
        <v>2123</v>
      </c>
      <c r="M317" s="11" t="s">
        <v>2124</v>
      </c>
      <c r="N317" s="11" t="s">
        <v>2125</v>
      </c>
      <c r="O317" s="11" t="s">
        <v>2126</v>
      </c>
      <c r="P317" s="11" t="s">
        <v>1896</v>
      </c>
      <c r="Q317" s="11" t="s">
        <v>1897</v>
      </c>
      <c r="R317" s="11" t="s">
        <v>2127</v>
      </c>
    </row>
    <row r="318" spans="1:18" x14ac:dyDescent="0.25">
      <c r="A318" s="6">
        <v>317</v>
      </c>
      <c r="B318" s="11" t="s">
        <v>42</v>
      </c>
      <c r="C318" s="5" t="s">
        <v>2128</v>
      </c>
      <c r="D318" s="11" t="s">
        <v>176</v>
      </c>
      <c r="E318" s="11" t="s">
        <v>2129</v>
      </c>
      <c r="F318" s="11" t="s">
        <v>2130</v>
      </c>
      <c r="G318" s="11" t="s">
        <v>2131</v>
      </c>
      <c r="H318" s="11" t="s">
        <v>137</v>
      </c>
      <c r="I318" s="6" t="s">
        <v>11</v>
      </c>
      <c r="J318" s="11" t="s">
        <v>45</v>
      </c>
      <c r="K318" s="11" t="s">
        <v>149</v>
      </c>
      <c r="L318" s="11" t="s">
        <v>2132</v>
      </c>
      <c r="M318" s="11" t="s">
        <v>1894</v>
      </c>
      <c r="N318" s="11" t="s">
        <v>142</v>
      </c>
      <c r="O318" s="11" t="s">
        <v>142</v>
      </c>
      <c r="P318" s="11" t="s">
        <v>1896</v>
      </c>
      <c r="Q318" s="11" t="s">
        <v>1897</v>
      </c>
      <c r="R318" s="11" t="s">
        <v>2133</v>
      </c>
    </row>
    <row r="319" spans="1:18" x14ac:dyDescent="0.25">
      <c r="A319" s="6">
        <v>318</v>
      </c>
      <c r="B319" s="11" t="s">
        <v>42</v>
      </c>
      <c r="C319" s="5" t="s">
        <v>2134</v>
      </c>
      <c r="D319" s="11" t="s">
        <v>329</v>
      </c>
      <c r="E319" s="11" t="s">
        <v>2135</v>
      </c>
      <c r="F319" s="11" t="s">
        <v>2136</v>
      </c>
      <c r="G319" s="11" t="s">
        <v>142</v>
      </c>
      <c r="H319" s="11" t="s">
        <v>157</v>
      </c>
      <c r="I319" s="6" t="s">
        <v>11</v>
      </c>
      <c r="J319" s="11" t="s">
        <v>45</v>
      </c>
      <c r="K319" s="11" t="s">
        <v>149</v>
      </c>
      <c r="L319" s="11" t="s">
        <v>2137</v>
      </c>
      <c r="M319" s="11" t="s">
        <v>1894</v>
      </c>
      <c r="N319" s="11" t="s">
        <v>142</v>
      </c>
      <c r="O319" s="11" t="s">
        <v>142</v>
      </c>
      <c r="P319" s="11" t="s">
        <v>1896</v>
      </c>
      <c r="Q319" s="11" t="s">
        <v>1897</v>
      </c>
      <c r="R319" s="11" t="s">
        <v>2138</v>
      </c>
    </row>
    <row r="320" spans="1:18" x14ac:dyDescent="0.25">
      <c r="A320" s="6">
        <v>319</v>
      </c>
      <c r="B320" s="11" t="s">
        <v>42</v>
      </c>
      <c r="C320" s="5" t="s">
        <v>2139</v>
      </c>
      <c r="D320" s="11" t="s">
        <v>176</v>
      </c>
      <c r="E320" s="11" t="s">
        <v>2140</v>
      </c>
      <c r="F320" s="11" t="s">
        <v>2141</v>
      </c>
      <c r="G320" s="11" t="s">
        <v>2142</v>
      </c>
      <c r="H320" s="11" t="s">
        <v>137</v>
      </c>
      <c r="I320" s="6" t="s">
        <v>11</v>
      </c>
      <c r="J320" s="11" t="s">
        <v>45</v>
      </c>
      <c r="K320" s="11" t="s">
        <v>149</v>
      </c>
      <c r="L320" s="11" t="s">
        <v>2143</v>
      </c>
      <c r="M320" s="11" t="s">
        <v>1894</v>
      </c>
      <c r="N320" s="11" t="s">
        <v>142</v>
      </c>
      <c r="O320" s="11" t="s">
        <v>142</v>
      </c>
      <c r="P320" s="11" t="s">
        <v>1896</v>
      </c>
      <c r="Q320" s="11" t="s">
        <v>1897</v>
      </c>
      <c r="R320" s="11" t="s">
        <v>2144</v>
      </c>
    </row>
    <row r="321" spans="1:18" x14ac:dyDescent="0.25">
      <c r="A321" s="6">
        <v>320</v>
      </c>
      <c r="B321" s="11" t="s">
        <v>42</v>
      </c>
      <c r="C321" s="5" t="s">
        <v>2145</v>
      </c>
      <c r="D321" s="11" t="s">
        <v>176</v>
      </c>
      <c r="E321" s="11" t="s">
        <v>2146</v>
      </c>
      <c r="F321" s="11" t="s">
        <v>2147</v>
      </c>
      <c r="G321" s="11" t="s">
        <v>2148</v>
      </c>
      <c r="H321" s="11" t="s">
        <v>157</v>
      </c>
      <c r="I321" s="6" t="s">
        <v>11</v>
      </c>
      <c r="J321" s="11" t="s">
        <v>45</v>
      </c>
      <c r="K321" s="11" t="s">
        <v>149</v>
      </c>
      <c r="L321" s="11" t="s">
        <v>2149</v>
      </c>
      <c r="M321" s="11" t="s">
        <v>2150</v>
      </c>
      <c r="N321" s="11" t="s">
        <v>142</v>
      </c>
      <c r="O321" s="11" t="s">
        <v>142</v>
      </c>
      <c r="P321" s="11" t="s">
        <v>1896</v>
      </c>
      <c r="Q321" s="11" t="s">
        <v>1897</v>
      </c>
      <c r="R321" s="11" t="s">
        <v>2151</v>
      </c>
    </row>
    <row r="322" spans="1:18" x14ac:dyDescent="0.25">
      <c r="A322" s="6">
        <v>321</v>
      </c>
      <c r="B322" s="11" t="s">
        <v>42</v>
      </c>
      <c r="C322" s="5" t="s">
        <v>2152</v>
      </c>
      <c r="D322" s="11" t="s">
        <v>176</v>
      </c>
      <c r="E322" s="11" t="s">
        <v>2153</v>
      </c>
      <c r="F322" s="11" t="s">
        <v>2154</v>
      </c>
      <c r="G322" s="11" t="s">
        <v>2155</v>
      </c>
      <c r="H322" s="11" t="s">
        <v>137</v>
      </c>
      <c r="I322" s="6" t="s">
        <v>11</v>
      </c>
      <c r="J322" s="11" t="s">
        <v>46</v>
      </c>
      <c r="K322" s="11" t="s">
        <v>2156</v>
      </c>
      <c r="L322" s="11" t="s">
        <v>2157</v>
      </c>
      <c r="M322" s="11" t="s">
        <v>1894</v>
      </c>
      <c r="N322" s="11" t="s">
        <v>142</v>
      </c>
      <c r="O322" s="11" t="s">
        <v>1957</v>
      </c>
      <c r="P322" s="11" t="s">
        <v>1896</v>
      </c>
      <c r="Q322" s="11" t="s">
        <v>1897</v>
      </c>
      <c r="R322" s="11" t="s">
        <v>2158</v>
      </c>
    </row>
    <row r="323" spans="1:18" x14ac:dyDescent="0.25">
      <c r="A323" s="6">
        <v>322</v>
      </c>
      <c r="B323" s="11" t="s">
        <v>42</v>
      </c>
      <c r="C323" s="5" t="s">
        <v>2159</v>
      </c>
      <c r="D323" s="11" t="s">
        <v>176</v>
      </c>
      <c r="E323" s="11" t="s">
        <v>2160</v>
      </c>
      <c r="F323" s="11" t="s">
        <v>2161</v>
      </c>
      <c r="G323" s="11" t="s">
        <v>2162</v>
      </c>
      <c r="H323" s="11" t="s">
        <v>137</v>
      </c>
      <c r="I323" s="6" t="s">
        <v>11</v>
      </c>
      <c r="J323" s="11" t="s">
        <v>46</v>
      </c>
      <c r="K323" s="11" t="s">
        <v>2156</v>
      </c>
      <c r="L323" s="11" t="s">
        <v>2163</v>
      </c>
      <c r="M323" s="11" t="s">
        <v>2150</v>
      </c>
      <c r="N323" s="11" t="s">
        <v>2164</v>
      </c>
      <c r="O323" s="11" t="s">
        <v>142</v>
      </c>
      <c r="P323" s="11" t="s">
        <v>1896</v>
      </c>
      <c r="Q323" s="11" t="s">
        <v>1897</v>
      </c>
      <c r="R323" s="11" t="s">
        <v>2165</v>
      </c>
    </row>
    <row r="324" spans="1:18" x14ac:dyDescent="0.25">
      <c r="A324" s="6">
        <v>323</v>
      </c>
      <c r="B324" s="11" t="s">
        <v>42</v>
      </c>
      <c r="C324" s="5" t="s">
        <v>2166</v>
      </c>
      <c r="D324" s="11" t="s">
        <v>176</v>
      </c>
      <c r="E324" s="11" t="s">
        <v>2167</v>
      </c>
      <c r="F324" s="11" t="s">
        <v>2168</v>
      </c>
      <c r="G324" s="11" t="s">
        <v>2169</v>
      </c>
      <c r="H324" s="11" t="s">
        <v>137</v>
      </c>
      <c r="I324" s="6" t="s">
        <v>11</v>
      </c>
      <c r="J324" s="11" t="s">
        <v>45</v>
      </c>
      <c r="K324" s="11" t="s">
        <v>2170</v>
      </c>
      <c r="L324" s="11" t="s">
        <v>2171</v>
      </c>
      <c r="M324" s="11" t="s">
        <v>2172</v>
      </c>
      <c r="N324" s="11" t="s">
        <v>142</v>
      </c>
      <c r="O324" s="11" t="s">
        <v>142</v>
      </c>
      <c r="P324" s="11" t="s">
        <v>1896</v>
      </c>
      <c r="Q324" s="11" t="s">
        <v>1897</v>
      </c>
      <c r="R324" s="11" t="s">
        <v>2173</v>
      </c>
    </row>
    <row r="325" spans="1:18" x14ac:dyDescent="0.25">
      <c r="A325" s="6">
        <v>324</v>
      </c>
      <c r="B325" s="11" t="s">
        <v>42</v>
      </c>
      <c r="C325" s="5" t="s">
        <v>2174</v>
      </c>
      <c r="D325" s="11" t="s">
        <v>176</v>
      </c>
      <c r="E325" s="11" t="s">
        <v>2175</v>
      </c>
      <c r="F325" s="11" t="s">
        <v>2176</v>
      </c>
      <c r="G325" s="11" t="s">
        <v>2177</v>
      </c>
      <c r="H325" s="11" t="s">
        <v>137</v>
      </c>
      <c r="I325" s="6" t="s">
        <v>11</v>
      </c>
      <c r="J325" s="11" t="s">
        <v>45</v>
      </c>
      <c r="K325" s="11" t="s">
        <v>2178</v>
      </c>
      <c r="L325" s="11" t="s">
        <v>2179</v>
      </c>
      <c r="M325" s="11" t="s">
        <v>2180</v>
      </c>
      <c r="N325" s="11" t="s">
        <v>142</v>
      </c>
      <c r="O325" s="11" t="s">
        <v>142</v>
      </c>
      <c r="P325" s="11" t="s">
        <v>1896</v>
      </c>
      <c r="Q325" s="11" t="s">
        <v>1897</v>
      </c>
      <c r="R325" s="11" t="s">
        <v>2181</v>
      </c>
    </row>
    <row r="326" spans="1:18" x14ac:dyDescent="0.25">
      <c r="A326" s="6">
        <v>325</v>
      </c>
      <c r="B326" s="11" t="s">
        <v>42</v>
      </c>
      <c r="C326" s="5" t="s">
        <v>2182</v>
      </c>
      <c r="D326" s="11" t="s">
        <v>2054</v>
      </c>
      <c r="E326" s="11" t="s">
        <v>2183</v>
      </c>
      <c r="F326" s="11" t="s">
        <v>2184</v>
      </c>
      <c r="G326" s="11" t="s">
        <v>2057</v>
      </c>
      <c r="H326" s="11" t="s">
        <v>137</v>
      </c>
      <c r="I326" s="6" t="s">
        <v>11</v>
      </c>
      <c r="J326" s="11" t="s">
        <v>45</v>
      </c>
      <c r="K326" s="11" t="s">
        <v>149</v>
      </c>
      <c r="L326" s="11" t="s">
        <v>2185</v>
      </c>
      <c r="M326" s="11" t="s">
        <v>1989</v>
      </c>
      <c r="N326" s="11" t="s">
        <v>2186</v>
      </c>
      <c r="O326" s="11" t="s">
        <v>2187</v>
      </c>
      <c r="P326" s="11" t="s">
        <v>1896</v>
      </c>
      <c r="Q326" s="11" t="s">
        <v>1897</v>
      </c>
      <c r="R326" s="11" t="s">
        <v>2061</v>
      </c>
    </row>
    <row r="327" spans="1:18" x14ac:dyDescent="0.25">
      <c r="A327" s="6">
        <v>326</v>
      </c>
      <c r="B327" s="11" t="s">
        <v>42</v>
      </c>
      <c r="C327" s="5" t="s">
        <v>2188</v>
      </c>
      <c r="D327" s="11" t="s">
        <v>1507</v>
      </c>
      <c r="E327" s="11" t="s">
        <v>2189</v>
      </c>
      <c r="F327" s="11" t="s">
        <v>2190</v>
      </c>
      <c r="G327" s="11" t="s">
        <v>2191</v>
      </c>
      <c r="H327" s="11" t="s">
        <v>157</v>
      </c>
      <c r="I327" s="6" t="s">
        <v>11</v>
      </c>
      <c r="J327" s="11" t="s">
        <v>45</v>
      </c>
      <c r="K327" s="11" t="s">
        <v>149</v>
      </c>
      <c r="L327" s="11" t="s">
        <v>2192</v>
      </c>
      <c r="M327" s="11" t="s">
        <v>1989</v>
      </c>
      <c r="N327" s="11" t="s">
        <v>2193</v>
      </c>
      <c r="O327" s="11" t="s">
        <v>2194</v>
      </c>
      <c r="P327" s="11" t="s">
        <v>1896</v>
      </c>
      <c r="Q327" s="11" t="s">
        <v>1897</v>
      </c>
      <c r="R327" s="11" t="s">
        <v>2195</v>
      </c>
    </row>
    <row r="328" spans="1:18" x14ac:dyDescent="0.25">
      <c r="A328" s="6">
        <v>327</v>
      </c>
      <c r="B328" s="11" t="s">
        <v>42</v>
      </c>
      <c r="C328" s="5" t="s">
        <v>2196</v>
      </c>
      <c r="D328" s="11" t="s">
        <v>1507</v>
      </c>
      <c r="E328" s="11" t="s">
        <v>2197</v>
      </c>
      <c r="F328" s="11" t="s">
        <v>2198</v>
      </c>
      <c r="G328" s="11" t="s">
        <v>2199</v>
      </c>
      <c r="H328" s="11" t="s">
        <v>137</v>
      </c>
      <c r="I328" s="6" t="s">
        <v>11</v>
      </c>
      <c r="J328" s="11" t="s">
        <v>50</v>
      </c>
      <c r="K328" s="11" t="s">
        <v>149</v>
      </c>
      <c r="L328" s="11" t="s">
        <v>2200</v>
      </c>
      <c r="M328" s="11" t="s">
        <v>1982</v>
      </c>
      <c r="N328" s="11" t="s">
        <v>142</v>
      </c>
      <c r="O328" s="11" t="s">
        <v>142</v>
      </c>
      <c r="P328" s="11" t="s">
        <v>1896</v>
      </c>
      <c r="Q328" s="11" t="s">
        <v>1897</v>
      </c>
      <c r="R328" s="11" t="s">
        <v>2201</v>
      </c>
    </row>
    <row r="329" spans="1:18" x14ac:dyDescent="0.25">
      <c r="A329" s="6">
        <v>328</v>
      </c>
      <c r="B329" s="11" t="s">
        <v>42</v>
      </c>
      <c r="C329" s="5" t="s">
        <v>2202</v>
      </c>
      <c r="D329" s="11" t="s">
        <v>1576</v>
      </c>
      <c r="E329" s="11" t="s">
        <v>2203</v>
      </c>
      <c r="F329" s="11" t="s">
        <v>2204</v>
      </c>
      <c r="G329" s="11" t="s">
        <v>2205</v>
      </c>
      <c r="H329" s="11" t="s">
        <v>137</v>
      </c>
      <c r="I329" s="6" t="s">
        <v>11</v>
      </c>
      <c r="J329" s="11" t="s">
        <v>45</v>
      </c>
      <c r="K329" s="11" t="s">
        <v>149</v>
      </c>
      <c r="L329" s="11" t="s">
        <v>2206</v>
      </c>
      <c r="M329" s="11" t="s">
        <v>2207</v>
      </c>
      <c r="N329" s="11" t="s">
        <v>2208</v>
      </c>
      <c r="O329" s="11" t="s">
        <v>142</v>
      </c>
      <c r="P329" s="11" t="s">
        <v>1896</v>
      </c>
      <c r="Q329" s="11" t="s">
        <v>1897</v>
      </c>
      <c r="R329" s="11" t="s">
        <v>2209</v>
      </c>
    </row>
    <row r="330" spans="1:18" x14ac:dyDescent="0.25">
      <c r="A330" s="6">
        <v>329</v>
      </c>
      <c r="B330" s="11" t="s">
        <v>42</v>
      </c>
      <c r="C330" s="5" t="s">
        <v>2210</v>
      </c>
      <c r="D330" s="11" t="s">
        <v>1576</v>
      </c>
      <c r="E330" s="11" t="s">
        <v>2211</v>
      </c>
      <c r="F330" s="11" t="s">
        <v>2212</v>
      </c>
      <c r="G330" s="11" t="s">
        <v>2213</v>
      </c>
      <c r="H330" s="11" t="s">
        <v>157</v>
      </c>
      <c r="I330" s="6" t="s">
        <v>13</v>
      </c>
      <c r="J330" s="11" t="s">
        <v>53</v>
      </c>
      <c r="K330" s="11" t="s">
        <v>142</v>
      </c>
      <c r="L330" s="11" t="s">
        <v>142</v>
      </c>
      <c r="M330" s="11" t="s">
        <v>142</v>
      </c>
      <c r="N330" s="11" t="s">
        <v>2214</v>
      </c>
      <c r="O330" s="11" t="s">
        <v>2215</v>
      </c>
      <c r="P330" s="11" t="s">
        <v>1896</v>
      </c>
      <c r="Q330" s="11" t="s">
        <v>1897</v>
      </c>
      <c r="R330" s="11" t="s">
        <v>2216</v>
      </c>
    </row>
    <row r="331" spans="1:18" x14ac:dyDescent="0.25">
      <c r="A331" s="6">
        <v>330</v>
      </c>
      <c r="B331" s="11" t="s">
        <v>42</v>
      </c>
      <c r="C331" s="5" t="s">
        <v>2217</v>
      </c>
      <c r="D331" s="11" t="s">
        <v>1576</v>
      </c>
      <c r="E331" s="11" t="s">
        <v>2218</v>
      </c>
      <c r="F331" s="11" t="s">
        <v>2219</v>
      </c>
      <c r="G331" s="11" t="s">
        <v>2220</v>
      </c>
      <c r="H331" s="11" t="s">
        <v>157</v>
      </c>
      <c r="I331" s="6" t="s">
        <v>13</v>
      </c>
      <c r="J331" s="11" t="s">
        <v>53</v>
      </c>
      <c r="K331" s="11" t="s">
        <v>142</v>
      </c>
      <c r="L331" s="11" t="s">
        <v>142</v>
      </c>
      <c r="M331" s="11" t="s">
        <v>142</v>
      </c>
      <c r="N331" s="11" t="s">
        <v>2214</v>
      </c>
      <c r="O331" s="11" t="s">
        <v>2221</v>
      </c>
      <c r="P331" s="11" t="s">
        <v>1896</v>
      </c>
      <c r="Q331" s="11" t="s">
        <v>1897</v>
      </c>
      <c r="R331" s="11" t="s">
        <v>2222</v>
      </c>
    </row>
    <row r="332" spans="1:18" x14ac:dyDescent="0.25">
      <c r="A332" s="6">
        <v>331</v>
      </c>
      <c r="B332" s="11" t="s">
        <v>42</v>
      </c>
      <c r="C332" s="5" t="s">
        <v>2223</v>
      </c>
      <c r="D332" s="11" t="s">
        <v>1576</v>
      </c>
      <c r="E332" s="11" t="s">
        <v>2224</v>
      </c>
      <c r="F332" s="11" t="s">
        <v>2225</v>
      </c>
      <c r="G332" s="11" t="s">
        <v>2226</v>
      </c>
      <c r="H332" s="11" t="s">
        <v>2227</v>
      </c>
      <c r="I332" s="6" t="s">
        <v>13</v>
      </c>
      <c r="J332" s="11" t="s">
        <v>53</v>
      </c>
      <c r="K332" s="11" t="s">
        <v>142</v>
      </c>
      <c r="L332" s="11" t="s">
        <v>142</v>
      </c>
      <c r="M332" s="11" t="s">
        <v>142</v>
      </c>
      <c r="N332" s="11" t="s">
        <v>2214</v>
      </c>
      <c r="O332" s="11" t="s">
        <v>2221</v>
      </c>
      <c r="P332" s="11" t="s">
        <v>1896</v>
      </c>
      <c r="Q332" s="11" t="s">
        <v>1897</v>
      </c>
      <c r="R332" s="11" t="s">
        <v>2228</v>
      </c>
    </row>
    <row r="333" spans="1:18" x14ac:dyDescent="0.25">
      <c r="A333" s="6">
        <v>332</v>
      </c>
      <c r="B333" s="11" t="s">
        <v>42</v>
      </c>
      <c r="C333" s="5" t="s">
        <v>2229</v>
      </c>
      <c r="D333" s="11" t="s">
        <v>1576</v>
      </c>
      <c r="E333" s="11" t="s">
        <v>2230</v>
      </c>
      <c r="F333" s="11" t="s">
        <v>2231</v>
      </c>
      <c r="G333" s="11" t="s">
        <v>2232</v>
      </c>
      <c r="H333" s="11" t="s">
        <v>157</v>
      </c>
      <c r="I333" s="6" t="s">
        <v>14</v>
      </c>
      <c r="J333" s="11" t="s">
        <v>53</v>
      </c>
      <c r="K333" s="11" t="s">
        <v>142</v>
      </c>
      <c r="L333" s="11" t="s">
        <v>142</v>
      </c>
      <c r="M333" s="11" t="s">
        <v>142</v>
      </c>
      <c r="N333" s="11" t="s">
        <v>2233</v>
      </c>
      <c r="O333" s="11" t="s">
        <v>2234</v>
      </c>
      <c r="P333" s="11" t="s">
        <v>1896</v>
      </c>
      <c r="Q333" s="11" t="s">
        <v>1897</v>
      </c>
      <c r="R333" s="11" t="s">
        <v>2235</v>
      </c>
    </row>
    <row r="334" spans="1:18" x14ac:dyDescent="0.25">
      <c r="A334" s="6">
        <v>333</v>
      </c>
      <c r="B334" s="11" t="s">
        <v>42</v>
      </c>
      <c r="C334" s="5" t="s">
        <v>2236</v>
      </c>
      <c r="D334" s="11" t="s">
        <v>1576</v>
      </c>
      <c r="E334" s="11" t="s">
        <v>2237</v>
      </c>
      <c r="F334" s="11" t="s">
        <v>2238</v>
      </c>
      <c r="G334" s="11" t="s">
        <v>142</v>
      </c>
      <c r="H334" s="11" t="s">
        <v>2227</v>
      </c>
      <c r="I334" s="6" t="s">
        <v>13</v>
      </c>
      <c r="J334" s="11" t="s">
        <v>53</v>
      </c>
      <c r="K334" s="11" t="s">
        <v>142</v>
      </c>
      <c r="L334" s="11" t="s">
        <v>142</v>
      </c>
      <c r="M334" s="11" t="s">
        <v>142</v>
      </c>
      <c r="N334" s="11" t="s">
        <v>2214</v>
      </c>
      <c r="O334" s="11" t="s">
        <v>2239</v>
      </c>
      <c r="P334" s="11" t="s">
        <v>1896</v>
      </c>
      <c r="Q334" s="11" t="s">
        <v>1897</v>
      </c>
      <c r="R334" s="11" t="s">
        <v>2240</v>
      </c>
    </row>
    <row r="335" spans="1:18" x14ac:dyDescent="0.25">
      <c r="A335" s="6">
        <v>334</v>
      </c>
      <c r="B335" s="11" t="s">
        <v>42</v>
      </c>
      <c r="C335" s="5" t="s">
        <v>2241</v>
      </c>
      <c r="D335" s="11" t="s">
        <v>1576</v>
      </c>
      <c r="E335" s="11" t="s">
        <v>2242</v>
      </c>
      <c r="F335" s="11" t="s">
        <v>2243</v>
      </c>
      <c r="G335" s="11" t="s">
        <v>142</v>
      </c>
      <c r="H335" s="11" t="s">
        <v>2227</v>
      </c>
      <c r="I335" s="6" t="s">
        <v>14</v>
      </c>
      <c r="J335" s="11" t="s">
        <v>53</v>
      </c>
      <c r="K335" s="11" t="s">
        <v>142</v>
      </c>
      <c r="L335" s="11" t="s">
        <v>142</v>
      </c>
      <c r="M335" s="11" t="s">
        <v>142</v>
      </c>
      <c r="N335" s="11" t="s">
        <v>2244</v>
      </c>
      <c r="O335" s="11" t="s">
        <v>2245</v>
      </c>
      <c r="P335" s="11" t="s">
        <v>1896</v>
      </c>
      <c r="Q335" s="11" t="s">
        <v>1897</v>
      </c>
      <c r="R335" s="11" t="s">
        <v>2246</v>
      </c>
    </row>
    <row r="336" spans="1:18" x14ac:dyDescent="0.25">
      <c r="A336" s="6">
        <v>335</v>
      </c>
      <c r="B336" s="11" t="s">
        <v>42</v>
      </c>
      <c r="C336" s="5" t="s">
        <v>2247</v>
      </c>
      <c r="D336" s="11" t="s">
        <v>1630</v>
      </c>
      <c r="E336" s="11" t="s">
        <v>2248</v>
      </c>
      <c r="F336" s="11" t="s">
        <v>2249</v>
      </c>
      <c r="G336" s="11" t="s">
        <v>142</v>
      </c>
      <c r="H336" s="11" t="s">
        <v>142</v>
      </c>
      <c r="I336" s="6" t="s">
        <v>11</v>
      </c>
      <c r="J336" s="11" t="s">
        <v>51</v>
      </c>
      <c r="K336" s="11" t="s">
        <v>142</v>
      </c>
      <c r="L336" s="11" t="s">
        <v>2250</v>
      </c>
      <c r="M336" s="11" t="s">
        <v>1989</v>
      </c>
      <c r="N336" s="11" t="s">
        <v>142</v>
      </c>
      <c r="O336" s="11" t="s">
        <v>142</v>
      </c>
      <c r="P336" s="11" t="s">
        <v>1896</v>
      </c>
      <c r="Q336" s="11" t="s">
        <v>1897</v>
      </c>
      <c r="R336" s="11" t="s">
        <v>2251</v>
      </c>
    </row>
  </sheetData>
  <autoFilter ref="A1:R336"/>
  <conditionalFormatting sqref="I2:I336">
    <cfRule type="cellIs" dxfId="12" priority="2" operator="equal">
      <formula>"COMPLETED"</formula>
    </cfRule>
    <cfRule type="cellIs" dxfId="13" priority="3" operator="equal">
      <formula>"IN PROGRESS"</formula>
    </cfRule>
    <cfRule type="cellIs" dxfId="14" priority="4" operator="equal">
      <formula>"YET TO START"</formula>
    </cfRule>
    <cfRule type="cellIs" dxfId="15" priority="5" operator="equal">
      <formula>"BLOCKED"</formula>
    </cfRule>
  </conditionalFormatting>
  <conditionalFormatting sqref="P2:P336">
    <cfRule type="cellIs" dxfId="16" priority="6" operator="equal">
      <formula>"COMPLETED"</formula>
    </cfRule>
    <cfRule type="cellIs" dxfId="17" priority="7" operator="equal">
      <formula>"IN PROGRESS"</formula>
    </cfRule>
    <cfRule type="cellIs" dxfId="18" priority="8" operator="equal">
      <formula>"YET TO START"</formula>
    </cfRule>
    <cfRule type="cellIs" dxfId="19" priority="9" operator="equal">
      <formula>"BLOCKED"</formula>
    </cfRule>
  </conditionalFormatting>
  <dataValidations count="2">
    <dataValidation type="list" errorStyle="stop" sqref="I10:I336">
      <formula1>"COMPLETED,IN PROGRESS,YET TO START,BLOCKED,DROPPED"</formula1>
      <formula2>0</formula2>
    </dataValidation>
    <dataValidation type="list" errorStyle="stop" sqref="I2:I336">
      <formula1>"COMPLETED,IN PROGRESS,YET TO START,BLOCKED,DROPPED"</formula1>
      <formula2>0</formula2>
    </dataValidation>
  </dataValidations>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pageSetUpPr fitToPage="1"/>
    <outlinePr summaryBelow="1" summaryRight="1"/>
  </sheetPr>
  <dimension ref="A1:L280"/>
  <sheetViews>
    <sheetView workbookViewId="0" zoomScale="90" zoomScaleNormal="90" view="normal">
      <pane xSplit="3" ySplit="4" topLeftCell="D5" activePane="bottomRight" state="frozen"/>
      <selection pane="bottomRight" activeCell="A1" sqref="A1"/>
    </sheetView>
  </sheetViews>
  <sheetFormatPr defaultRowHeight="15" outlineLevelRow="0" outlineLevelCol="0" x14ac:dyDescent="0" defaultColWidth="8.6796875"/>
  <cols>
    <col min="1" max="1" width="11" style="10" customWidth="1"/>
    <col min="2" max="2" width="6" style="10" customWidth="1"/>
    <col min="3" max="3" width="58" style="10" customWidth="1"/>
    <col min="4" max="4" width="16" style="10" customWidth="1"/>
    <col min="5" max="5" width="22" style="10" customWidth="1"/>
    <col min="6" max="6" width="11" style="10" customWidth="1"/>
    <col min="7" max="7" width="14" style="10" customWidth="1"/>
    <col min="8" max="8" width="22" style="10" customWidth="1"/>
    <col min="9" max="9" width="40" style="10" customWidth="1"/>
    <col min="10" max="10" width="22" style="10" customWidth="1"/>
    <col min="11" max="11" width="14" style="10" customWidth="1"/>
    <col min="12" max="12" width="70" style="10" customWidth="1"/>
  </cols>
  <sheetData>
    <row r="1" ht="17.25" customHeight="1" spans="1:1" s="10" customFormat="1" x14ac:dyDescent="0.25">
      <c r="A1" s="1" t="s">
        <v>2252</v>
      </c>
    </row>
    <row r="2" ht="30" customHeight="1" spans="1:9" s="10" customFormat="1" x14ac:dyDescent="0.25">
      <c r="A2" s="2" t="s">
        <v>2253</v>
      </c>
      <c r="B2" s="10"/>
      <c r="C2" s="10"/>
      <c r="D2" s="10"/>
      <c r="E2" s="10"/>
      <c r="F2" s="10"/>
      <c r="G2" s="10"/>
      <c r="H2" s="10"/>
      <c r="I2" s="10"/>
    </row>
    <row r="4" ht="30" customHeight="1" spans="1:12" s="10" customFormat="1" x14ac:dyDescent="0.25">
      <c r="A4" s="4" t="s">
        <v>2254</v>
      </c>
      <c r="B4" s="4" t="s">
        <v>2255</v>
      </c>
      <c r="C4" s="4" t="s">
        <v>2256</v>
      </c>
      <c r="D4" s="4" t="s">
        <v>2257</v>
      </c>
      <c r="E4" s="4" t="s">
        <v>2258</v>
      </c>
      <c r="F4" s="4" t="s">
        <v>61</v>
      </c>
      <c r="G4" s="4" t="s">
        <v>6</v>
      </c>
      <c r="H4" s="4" t="s">
        <v>126</v>
      </c>
      <c r="I4" s="4" t="s">
        <v>2259</v>
      </c>
      <c r="J4" s="13" t="s">
        <v>2260</v>
      </c>
      <c r="K4" s="13" t="s">
        <v>2261</v>
      </c>
      <c r="L4" s="13" t="s">
        <v>2262</v>
      </c>
    </row>
    <row r="5" ht="18" customHeight="1" spans="1:12" s="10" customFormat="1" x14ac:dyDescent="0.25">
      <c r="A5" s="14" t="s">
        <v>2263</v>
      </c>
      <c r="B5" s="15">
        <v>1</v>
      </c>
      <c r="C5" s="14" t="s">
        <v>62</v>
      </c>
      <c r="D5" s="14" t="s">
        <v>622</v>
      </c>
      <c r="E5" s="14"/>
      <c r="F5" s="15">
        <f>COUNTIFS($B$6:$B$48,3,$G$6:$G$48,"COMPLETED")&amp;" / "&amp;COUNTIF($B$6:$B$48,3)</f>
      </c>
      <c r="G5" s="15">
        <f>IF(COUNTIFS($B$6:$B$48,3,$G$6:$G$48,"COMPLETED")=COUNTIF($B$6:$B$48,3),"COMPLETED",IF(COUNTIFS($B$6:$B$48,3,$G$6:$G$48,"BLOCKED")&gt;0,"BLOCKED",IF(COUNTIFS($B$6:$B$48,3,$G$6:$G$48,"YET TO START")=COUNTIF($B$6:$B$48,3),"YET TO START","IN PROGRESS")))</f>
      </c>
      <c r="H5" s="14"/>
      <c r="I5" s="14"/>
      <c r="J5" s="13">
        <f>(COUNTIFS($B$6:$B$48,3,$J$6:$J$48,"DONE")+COUNTIFS($B$6:$B$48,3,$J$6:$J$48,"DONE-SANDBOX"))&amp;" / "&amp;COUNTIFS($B$6:$B$48,3,$J$6:$J$48,"&lt;&gt;")&amp;" batch steps done"</f>
      </c>
      <c r="K5" s="10"/>
      <c r="L5" s="10"/>
    </row>
    <row r="6" ht="15" customHeight="1" spans="1:12" s="10" customFormat="1" x14ac:dyDescent="0.25">
      <c r="A6" s="16" t="s">
        <v>2264</v>
      </c>
      <c r="B6" s="17">
        <v>2</v>
      </c>
      <c r="C6" s="18" t="s">
        <v>2265</v>
      </c>
      <c r="D6" s="16"/>
      <c r="E6" s="16"/>
      <c r="F6" s="17">
        <f>COUNTIFS($B$7:$B$9,3,$G$7:$G$9,"COMPLETED")&amp;" / "&amp;COUNTIF($B$7:$B$9,3)</f>
      </c>
      <c r="G6" s="17">
        <f>IF(COUNTIFS($B$7:$B$9,3,$G$7:$G$9,"COMPLETED")=COUNTIF($B$7:$B$9,3),"COMPLETED",IF(COUNTIFS($B$7:$B$9,3,$G$7:$G$9,"BLOCKED")&gt;0,"BLOCKED",IF(COUNTIFS($B$7:$B$9,3,$G$7:$G$9,"YET TO START")=COUNTIF($B$7:$B$9,3),"YET TO START","IN PROGRESS")))</f>
      </c>
      <c r="H6" s="16"/>
      <c r="I6" s="16"/>
      <c r="J6" s="13">
        <f>(COUNTIFS($B$7:$B$9,3,$J$7:$J$9,"DONE")+COUNTIFS($B$7:$B$9,3,$J$7:$J$9,"DONE-SANDBOX"))&amp;" / "&amp;COUNTIFS($B$7:$B$9,3,$J$7:$J$9,"&lt;&gt;")&amp;" batch steps done"</f>
      </c>
      <c r="K6" s="10"/>
      <c r="L6" s="10"/>
    </row>
    <row r="7" ht="27" customHeight="1" spans="1:12" s="10" customFormat="1" x14ac:dyDescent="0.25">
      <c r="A7" s="11" t="s">
        <v>1108</v>
      </c>
      <c r="B7" s="6">
        <v>3</v>
      </c>
      <c r="C7" s="19" t="s">
        <v>2266</v>
      </c>
      <c r="D7" s="11" t="s">
        <v>622</v>
      </c>
      <c r="E7" s="11" t="s">
        <v>2267</v>
      </c>
      <c r="F7" s="6"/>
      <c r="G7" s="6" t="s">
        <v>11</v>
      </c>
      <c r="H7" s="11" t="s">
        <v>2268</v>
      </c>
      <c r="I7" s="11" t="s">
        <v>142</v>
      </c>
      <c r="J7" s="10"/>
      <c r="K7" s="10"/>
      <c r="L7" s="10"/>
    </row>
    <row r="8" ht="15" customHeight="1" spans="1:12" s="10" customFormat="1" x14ac:dyDescent="0.25">
      <c r="A8" s="11" t="s">
        <v>2269</v>
      </c>
      <c r="B8" s="6">
        <v>3</v>
      </c>
      <c r="C8" s="19" t="s">
        <v>2270</v>
      </c>
      <c r="D8" s="11" t="s">
        <v>622</v>
      </c>
      <c r="E8" s="11" t="s">
        <v>2271</v>
      </c>
      <c r="F8" s="6"/>
      <c r="G8" s="6" t="s">
        <v>11</v>
      </c>
      <c r="H8" s="11" t="s">
        <v>2272</v>
      </c>
      <c r="I8" s="11" t="s">
        <v>2273</v>
      </c>
      <c r="J8" s="20" t="s">
        <v>2274</v>
      </c>
      <c r="K8" s="10" t="s">
        <v>2272</v>
      </c>
      <c r="L8" s="21" t="s">
        <v>2275</v>
      </c>
    </row>
    <row r="9" ht="15" customHeight="1" spans="1:9" s="10" customFormat="1" x14ac:dyDescent="0.25">
      <c r="A9" s="11" t="s">
        <v>2276</v>
      </c>
      <c r="B9" s="6">
        <v>3</v>
      </c>
      <c r="C9" s="19" t="s">
        <v>2277</v>
      </c>
      <c r="D9" s="11" t="s">
        <v>622</v>
      </c>
      <c r="E9" s="11" t="s">
        <v>132</v>
      </c>
      <c r="F9" s="6"/>
      <c r="G9" s="6" t="s">
        <v>11</v>
      </c>
      <c r="H9" s="11" t="s">
        <v>2278</v>
      </c>
      <c r="I9" s="11" t="s">
        <v>142</v>
      </c>
    </row>
    <row r="10" ht="15" customHeight="1" spans="1:10" s="10" customFormat="1" x14ac:dyDescent="0.25">
      <c r="A10" s="16" t="s">
        <v>2279</v>
      </c>
      <c r="B10" s="17">
        <v>2</v>
      </c>
      <c r="C10" s="18" t="s">
        <v>2280</v>
      </c>
      <c r="D10" s="16"/>
      <c r="E10" s="16"/>
      <c r="F10" s="17">
        <f>COUNTIFS($B$11:$B$12,3,$G$11:$G$12,"COMPLETED")&amp;" / "&amp;COUNTIF($B$11:$B$12,3)</f>
      </c>
      <c r="G10" s="17">
        <f>IF(COUNTIFS($B$11:$B$12,3,$G$11:$G$12,"COMPLETED")=COUNTIF($B$11:$B$12,3),"COMPLETED",IF(COUNTIFS($B$11:$B$12,3,$G$11:$G$12,"BLOCKED")&gt;0,"BLOCKED",IF(COUNTIFS($B$11:$B$12,3,$G$11:$G$12,"YET TO START")=COUNTIF($B$11:$B$12,3),"YET TO START","IN PROGRESS")))</f>
      </c>
      <c r="H10" s="16"/>
      <c r="I10" s="16"/>
      <c r="J10" s="13">
        <f>(COUNTIFS($B$11:$B$12,3,$J$11:$J$12,"DONE")+COUNTIFS($B$11:$B$12,3,$J$11:$J$12,"DONE-SANDBOX"))&amp;" / "&amp;COUNTIFS($B$11:$B$12,3,$J$11:$J$12,"&lt;&gt;")&amp;" batch steps done"</f>
      </c>
    </row>
    <row r="11" ht="27" customHeight="1" spans="1:9" s="10" customFormat="1" x14ac:dyDescent="0.25">
      <c r="A11" s="11" t="s">
        <v>165</v>
      </c>
      <c r="B11" s="6">
        <v>3</v>
      </c>
      <c r="C11" s="19" t="s">
        <v>2281</v>
      </c>
      <c r="D11" s="11" t="s">
        <v>622</v>
      </c>
      <c r="E11" s="11" t="s">
        <v>161</v>
      </c>
      <c r="F11" s="6"/>
      <c r="G11" s="6" t="s">
        <v>11</v>
      </c>
      <c r="H11" s="11" t="s">
        <v>2282</v>
      </c>
      <c r="I11" s="11" t="s">
        <v>2283</v>
      </c>
    </row>
    <row r="12" ht="15" customHeight="1" spans="1:9" s="10" customFormat="1" x14ac:dyDescent="0.25">
      <c r="A12" s="11" t="s">
        <v>2284</v>
      </c>
      <c r="B12" s="6">
        <v>3</v>
      </c>
      <c r="C12" s="19" t="s">
        <v>2285</v>
      </c>
      <c r="D12" s="11" t="s">
        <v>622</v>
      </c>
      <c r="E12" s="11" t="s">
        <v>169</v>
      </c>
      <c r="F12" s="6"/>
      <c r="G12" s="6" t="s">
        <v>11</v>
      </c>
      <c r="H12" s="11" t="s">
        <v>173</v>
      </c>
      <c r="I12" s="11" t="s">
        <v>142</v>
      </c>
    </row>
    <row r="13" ht="15" customHeight="1" spans="1:10" s="10" customFormat="1" x14ac:dyDescent="0.25">
      <c r="A13" s="16" t="s">
        <v>2089</v>
      </c>
      <c r="B13" s="17">
        <v>2</v>
      </c>
      <c r="C13" s="18" t="s">
        <v>2286</v>
      </c>
      <c r="D13" s="16"/>
      <c r="E13" s="16"/>
      <c r="F13" s="17">
        <f>COUNTIFS($B$14:$B$17,3,$G$14:$G$17,"COMPLETED")&amp;" / "&amp;COUNTIF($B$14:$B$17,3)</f>
      </c>
      <c r="G13" s="17">
        <f>IF(COUNTIFS($B$14:$B$17,3,$G$14:$G$17,"COMPLETED")=COUNTIF($B$14:$B$17,3),"COMPLETED",IF(COUNTIFS($B$14:$B$17,3,$G$14:$G$17,"BLOCKED")&gt;0,"BLOCKED",IF(COUNTIFS($B$14:$B$17,3,$G$14:$G$17,"YET TO START")=COUNTIF($B$14:$B$17,3),"YET TO START","IN PROGRESS")))</f>
      </c>
      <c r="H13" s="16"/>
      <c r="I13" s="16"/>
      <c r="J13" s="13">
        <f>(COUNTIFS($B$14:$B$17,3,$J$14:$J$17,"DONE")+COUNTIFS($B$14:$B$17,3,$J$14:$J$17,"DONE-SANDBOX"))&amp;" / "&amp;COUNTIFS($B$14:$B$17,3,$J$14:$J$17,"&lt;&gt;")&amp;" batch steps done"</f>
      </c>
    </row>
    <row r="14" ht="27" customHeight="1" spans="1:9" s="10" customFormat="1" x14ac:dyDescent="0.25">
      <c r="A14" s="11" t="s">
        <v>266</v>
      </c>
      <c r="B14" s="6">
        <v>3</v>
      </c>
      <c r="C14" s="19" t="s">
        <v>2287</v>
      </c>
      <c r="D14" s="11" t="s">
        <v>622</v>
      </c>
      <c r="E14" s="11" t="s">
        <v>2288</v>
      </c>
      <c r="F14" s="6"/>
      <c r="G14" s="6" t="s">
        <v>11</v>
      </c>
      <c r="H14" s="11" t="s">
        <v>2289</v>
      </c>
      <c r="I14" s="11" t="s">
        <v>142</v>
      </c>
    </row>
    <row r="15" ht="15" customHeight="1" spans="1:9" s="10" customFormat="1" x14ac:dyDescent="0.25">
      <c r="A15" s="11" t="s">
        <v>273</v>
      </c>
      <c r="B15" s="6">
        <v>3</v>
      </c>
      <c r="C15" s="19" t="s">
        <v>2290</v>
      </c>
      <c r="D15" s="11" t="s">
        <v>622</v>
      </c>
      <c r="E15" s="11" t="s">
        <v>270</v>
      </c>
      <c r="F15" s="6"/>
      <c r="G15" s="6" t="s">
        <v>11</v>
      </c>
      <c r="H15" s="11" t="s">
        <v>2291</v>
      </c>
      <c r="I15" s="11" t="s">
        <v>142</v>
      </c>
    </row>
    <row r="16" ht="15" customHeight="1" spans="1:9" s="10" customFormat="1" x14ac:dyDescent="0.25">
      <c r="A16" s="11" t="s">
        <v>280</v>
      </c>
      <c r="B16" s="6">
        <v>3</v>
      </c>
      <c r="C16" s="19" t="s">
        <v>2292</v>
      </c>
      <c r="D16" s="11" t="s">
        <v>622</v>
      </c>
      <c r="E16" s="11" t="s">
        <v>277</v>
      </c>
      <c r="F16" s="6"/>
      <c r="G16" s="6" t="s">
        <v>11</v>
      </c>
      <c r="H16" s="11" t="s">
        <v>281</v>
      </c>
      <c r="I16" s="11" t="s">
        <v>142</v>
      </c>
    </row>
    <row r="17" ht="27" customHeight="1" spans="1:9" s="10" customFormat="1" x14ac:dyDescent="0.25">
      <c r="A17" s="11" t="s">
        <v>1373</v>
      </c>
      <c r="B17" s="6">
        <v>3</v>
      </c>
      <c r="C17" s="19" t="s">
        <v>2293</v>
      </c>
      <c r="D17" s="11" t="s">
        <v>622</v>
      </c>
      <c r="E17" s="11" t="s">
        <v>2294</v>
      </c>
      <c r="F17" s="6"/>
      <c r="G17" s="6" t="s">
        <v>11</v>
      </c>
      <c r="H17" s="11" t="s">
        <v>2295</v>
      </c>
      <c r="I17" s="11" t="s">
        <v>2296</v>
      </c>
    </row>
    <row r="18" ht="15" customHeight="1" spans="1:10" s="10" customFormat="1" x14ac:dyDescent="0.25">
      <c r="A18" s="16" t="s">
        <v>2297</v>
      </c>
      <c r="B18" s="17">
        <v>2</v>
      </c>
      <c r="C18" s="18" t="s">
        <v>2298</v>
      </c>
      <c r="D18" s="16"/>
      <c r="E18" s="16"/>
      <c r="F18" s="17">
        <f>COUNTIFS($B$19:$B$21,3,$G$19:$G$21,"COMPLETED")&amp;" / "&amp;COUNTIF($B$19:$B$21,3)</f>
      </c>
      <c r="G18" s="17">
        <f>IF(COUNTIFS($B$19:$B$21,3,$G$19:$G$21,"COMPLETED")=COUNTIF($B$19:$B$21,3),"COMPLETED",IF(COUNTIFS($B$19:$B$21,3,$G$19:$G$21,"BLOCKED")&gt;0,"BLOCKED",IF(COUNTIFS($B$19:$B$21,3,$G$19:$G$21,"YET TO START")=COUNTIF($B$19:$B$21,3),"YET TO START","IN PROGRESS")))</f>
      </c>
      <c r="H18" s="16"/>
      <c r="I18" s="16"/>
      <c r="J18" s="13">
        <f>(COUNTIFS($B$19:$B$21,3,$J$19:$J$21,"DONE")+COUNTIFS($B$19:$B$21,3,$J$19:$J$21,"DONE-SANDBOX"))&amp;" / "&amp;COUNTIFS($B$19:$B$21,3,$J$19:$J$21,"&lt;&gt;")&amp;" batch steps done"</f>
      </c>
    </row>
    <row r="19" ht="15" customHeight="1" spans="1:9" s="10" customFormat="1" x14ac:dyDescent="0.25">
      <c r="A19" s="11" t="s">
        <v>288</v>
      </c>
      <c r="B19" s="6">
        <v>3</v>
      </c>
      <c r="C19" s="19" t="s">
        <v>2299</v>
      </c>
      <c r="D19" s="11" t="s">
        <v>622</v>
      </c>
      <c r="E19" s="11" t="s">
        <v>284</v>
      </c>
      <c r="F19" s="6"/>
      <c r="G19" s="6" t="s">
        <v>11</v>
      </c>
      <c r="H19" s="11" t="s">
        <v>2300</v>
      </c>
      <c r="I19" s="11" t="s">
        <v>142</v>
      </c>
    </row>
    <row r="20" ht="15" customHeight="1" spans="1:9" s="10" customFormat="1" x14ac:dyDescent="0.25">
      <c r="A20" s="11" t="s">
        <v>2301</v>
      </c>
      <c r="B20" s="6">
        <v>3</v>
      </c>
      <c r="C20" s="19" t="s">
        <v>2302</v>
      </c>
      <c r="D20" s="11" t="s">
        <v>622</v>
      </c>
      <c r="E20" s="11" t="s">
        <v>833</v>
      </c>
      <c r="F20" s="6"/>
      <c r="G20" s="6" t="s">
        <v>11</v>
      </c>
      <c r="H20" s="11" t="s">
        <v>2303</v>
      </c>
      <c r="I20" s="11" t="s">
        <v>2304</v>
      </c>
    </row>
    <row r="21" ht="15" customHeight="1" spans="1:12" s="10" customFormat="1" x14ac:dyDescent="0.25">
      <c r="A21" s="11" t="s">
        <v>294</v>
      </c>
      <c r="B21" s="6">
        <v>3</v>
      </c>
      <c r="C21" s="19" t="s">
        <v>2305</v>
      </c>
      <c r="D21" s="11" t="s">
        <v>622</v>
      </c>
      <c r="E21" s="11" t="s">
        <v>291</v>
      </c>
      <c r="F21" s="6"/>
      <c r="G21" s="6" t="s">
        <v>14</v>
      </c>
      <c r="H21" s="11" t="s">
        <v>2306</v>
      </c>
      <c r="I21" s="11" t="s">
        <v>2307</v>
      </c>
      <c r="J21" s="22" t="s">
        <v>15</v>
      </c>
      <c r="K21" s="10" t="s">
        <v>2308</v>
      </c>
      <c r="L21" s="21" t="s">
        <v>2309</v>
      </c>
    </row>
    <row r="22" ht="15" customHeight="1" spans="1:10" s="10" customFormat="1" x14ac:dyDescent="0.25">
      <c r="A22" s="16" t="s">
        <v>2310</v>
      </c>
      <c r="B22" s="17">
        <v>2</v>
      </c>
      <c r="C22" s="18" t="s">
        <v>2311</v>
      </c>
      <c r="D22" s="16"/>
      <c r="E22" s="16"/>
      <c r="F22" s="17">
        <f>COUNTIFS($B$23:$B$27,3,$G$23:$G$27,"COMPLETED")&amp;" / "&amp;COUNTIF($B$23:$B$27,3)</f>
      </c>
      <c r="G22" s="17">
        <f>IF(COUNTIFS($B$23:$B$27,3,$G$23:$G$27,"COMPLETED")=COUNTIF($B$23:$B$27,3),"COMPLETED",IF(COUNTIFS($B$23:$B$27,3,$G$23:$G$27,"BLOCKED")&gt;0,"BLOCKED",IF(COUNTIFS($B$23:$B$27,3,$G$23:$G$27,"YET TO START")=COUNTIF($B$23:$B$27,3),"YET TO START","IN PROGRESS")))</f>
      </c>
      <c r="H22" s="16"/>
      <c r="I22" s="16"/>
      <c r="J22" s="13">
        <f>(COUNTIFS($B$23:$B$27,3,$J$23:$J$27,"DONE")+COUNTIFS($B$23:$B$27,3,$J$23:$J$27,"DONE-SANDBOX"))&amp;" / "&amp;COUNTIFS($B$23:$B$27,3,$J$23:$J$27,"&lt;&gt;")&amp;" batch steps done"</f>
      </c>
    </row>
    <row r="23" ht="15" customHeight="1" spans="1:9" s="10" customFormat="1" x14ac:dyDescent="0.25">
      <c r="A23" s="11" t="s">
        <v>303</v>
      </c>
      <c r="B23" s="6">
        <v>3</v>
      </c>
      <c r="C23" s="19" t="s">
        <v>2312</v>
      </c>
      <c r="D23" s="11" t="s">
        <v>622</v>
      </c>
      <c r="E23" s="11" t="s">
        <v>2313</v>
      </c>
      <c r="F23" s="6"/>
      <c r="G23" s="6" t="s">
        <v>11</v>
      </c>
      <c r="H23" s="11" t="s">
        <v>1070</v>
      </c>
      <c r="I23" s="11" t="s">
        <v>142</v>
      </c>
    </row>
    <row r="24" ht="15" customHeight="1" spans="1:9" s="10" customFormat="1" x14ac:dyDescent="0.25">
      <c r="A24" s="11" t="s">
        <v>309</v>
      </c>
      <c r="B24" s="6">
        <v>3</v>
      </c>
      <c r="C24" s="19" t="s">
        <v>307</v>
      </c>
      <c r="D24" s="11" t="s">
        <v>622</v>
      </c>
      <c r="E24" s="11" t="s">
        <v>306</v>
      </c>
      <c r="F24" s="6"/>
      <c r="G24" s="6" t="s">
        <v>11</v>
      </c>
      <c r="H24" s="11" t="s">
        <v>310</v>
      </c>
      <c r="I24" s="11" t="s">
        <v>142</v>
      </c>
    </row>
    <row r="25" ht="27" customHeight="1" spans="1:9" s="10" customFormat="1" x14ac:dyDescent="0.25">
      <c r="A25" s="11" t="s">
        <v>2314</v>
      </c>
      <c r="B25" s="6">
        <v>3</v>
      </c>
      <c r="C25" s="19" t="s">
        <v>2315</v>
      </c>
      <c r="D25" s="11" t="s">
        <v>622</v>
      </c>
      <c r="E25" s="11" t="s">
        <v>2316</v>
      </c>
      <c r="F25" s="6"/>
      <c r="G25" s="6" t="s">
        <v>11</v>
      </c>
      <c r="H25" s="11" t="s">
        <v>2317</v>
      </c>
      <c r="I25" s="11" t="s">
        <v>142</v>
      </c>
    </row>
    <row r="26" ht="15" customHeight="1" spans="1:9" s="10" customFormat="1" x14ac:dyDescent="0.25">
      <c r="A26" s="11" t="s">
        <v>853</v>
      </c>
      <c r="B26" s="6">
        <v>3</v>
      </c>
      <c r="C26" s="19" t="s">
        <v>2318</v>
      </c>
      <c r="D26" s="11" t="s">
        <v>622</v>
      </c>
      <c r="E26" s="11" t="s">
        <v>2319</v>
      </c>
      <c r="F26" s="6"/>
      <c r="G26" s="6" t="s">
        <v>11</v>
      </c>
      <c r="H26" s="11" t="s">
        <v>2303</v>
      </c>
      <c r="I26" s="11" t="s">
        <v>2304</v>
      </c>
    </row>
    <row r="27" ht="15" customHeight="1" spans="1:9" s="10" customFormat="1" x14ac:dyDescent="0.25">
      <c r="A27" s="11" t="s">
        <v>1149</v>
      </c>
      <c r="B27" s="6">
        <v>3</v>
      </c>
      <c r="C27" s="19" t="s">
        <v>2320</v>
      </c>
      <c r="D27" s="11" t="s">
        <v>622</v>
      </c>
      <c r="E27" s="11" t="s">
        <v>1146</v>
      </c>
      <c r="F27" s="6"/>
      <c r="G27" s="6" t="s">
        <v>11</v>
      </c>
      <c r="H27" s="11" t="s">
        <v>2321</v>
      </c>
      <c r="I27" s="11" t="s">
        <v>2322</v>
      </c>
    </row>
    <row r="28" ht="15" customHeight="1" spans="1:10" s="10" customFormat="1" x14ac:dyDescent="0.25">
      <c r="A28" s="16" t="s">
        <v>2323</v>
      </c>
      <c r="B28" s="17">
        <v>2</v>
      </c>
      <c r="C28" s="18" t="s">
        <v>2324</v>
      </c>
      <c r="D28" s="16"/>
      <c r="E28" s="16"/>
      <c r="F28" s="17">
        <f>COUNTIFS($B$29:$B$31,3,$G$29:$G$31,"COMPLETED")&amp;" / "&amp;COUNTIF($B$29:$B$31,3)</f>
      </c>
      <c r="G28" s="17">
        <f>IF(COUNTIFS($B$29:$B$31,3,$G$29:$G$31,"COMPLETED")=COUNTIF($B$29:$B$31,3),"COMPLETED",IF(COUNTIFS($B$29:$B$31,3,$G$29:$G$31,"BLOCKED")&gt;0,"BLOCKED",IF(COUNTIFS($B$29:$B$31,3,$G$29:$G$31,"YET TO START")=COUNTIF($B$29:$B$31,3),"YET TO START","IN PROGRESS")))</f>
      </c>
      <c r="H28" s="16"/>
      <c r="I28" s="16"/>
      <c r="J28" s="13">
        <f>(COUNTIFS($B$29:$B$31,3,$J$29:$J$31,"DONE")+COUNTIFS($B$29:$B$31,3,$J$29:$J$31,"DONE-SANDBOX"))&amp;" / "&amp;COUNTIFS($B$29:$B$31,3,$J$29:$J$31,"&lt;&gt;")&amp;" batch steps done"</f>
      </c>
    </row>
    <row r="29" ht="15" customHeight="1" spans="1:9" s="10" customFormat="1" x14ac:dyDescent="0.25">
      <c r="A29" s="11" t="s">
        <v>1875</v>
      </c>
      <c r="B29" s="6">
        <v>3</v>
      </c>
      <c r="C29" s="19" t="s">
        <v>2325</v>
      </c>
      <c r="D29" s="11" t="s">
        <v>622</v>
      </c>
      <c r="E29" s="11" t="s">
        <v>312</v>
      </c>
      <c r="F29" s="6"/>
      <c r="G29" s="6" t="s">
        <v>11</v>
      </c>
      <c r="H29" s="11" t="s">
        <v>2278</v>
      </c>
      <c r="I29" s="11" t="s">
        <v>142</v>
      </c>
    </row>
    <row r="30" ht="15" customHeight="1" spans="1:9" s="10" customFormat="1" x14ac:dyDescent="0.25">
      <c r="A30" s="11" t="s">
        <v>323</v>
      </c>
      <c r="B30" s="6">
        <v>3</v>
      </c>
      <c r="C30" s="19" t="s">
        <v>2326</v>
      </c>
      <c r="D30" s="11" t="s">
        <v>622</v>
      </c>
      <c r="E30" s="11" t="s">
        <v>320</v>
      </c>
      <c r="F30" s="6"/>
      <c r="G30" s="6" t="s">
        <v>11</v>
      </c>
      <c r="H30" s="11" t="s">
        <v>2327</v>
      </c>
      <c r="I30" s="11" t="s">
        <v>2328</v>
      </c>
    </row>
    <row r="31" ht="15" customHeight="1" spans="1:9" s="10" customFormat="1" x14ac:dyDescent="0.25">
      <c r="A31" s="11" t="s">
        <v>1011</v>
      </c>
      <c r="B31" s="6">
        <v>3</v>
      </c>
      <c r="C31" s="19" t="s">
        <v>2329</v>
      </c>
      <c r="D31" s="11" t="s">
        <v>622</v>
      </c>
      <c r="E31" s="11" t="s">
        <v>1008</v>
      </c>
      <c r="F31" s="6"/>
      <c r="G31" s="6" t="s">
        <v>11</v>
      </c>
      <c r="H31" s="11" t="s">
        <v>1012</v>
      </c>
      <c r="I31" s="11" t="s">
        <v>142</v>
      </c>
    </row>
    <row r="32" ht="15" customHeight="1" spans="1:10" s="10" customFormat="1" x14ac:dyDescent="0.25">
      <c r="A32" s="16" t="s">
        <v>2330</v>
      </c>
      <c r="B32" s="17">
        <v>2</v>
      </c>
      <c r="C32" s="18" t="s">
        <v>2331</v>
      </c>
      <c r="D32" s="16"/>
      <c r="E32" s="16"/>
      <c r="F32" s="17">
        <f>COUNTIFS($B$33:$B$35,3,$G$33:$G$35,"COMPLETED")&amp;" / "&amp;COUNTIF($B$33:$B$35,3)</f>
      </c>
      <c r="G32" s="17">
        <f>IF(COUNTIFS($B$33:$B$35,3,$G$33:$G$35,"COMPLETED")=COUNTIF($B$33:$B$35,3),"COMPLETED",IF(COUNTIFS($B$33:$B$35,3,$G$33:$G$35,"BLOCKED")&gt;0,"BLOCKED",IF(COUNTIFS($B$33:$B$35,3,$G$33:$G$35,"YET TO START")=COUNTIF($B$33:$B$35,3),"YET TO START","IN PROGRESS")))</f>
      </c>
      <c r="H32" s="16"/>
      <c r="I32" s="16"/>
      <c r="J32" s="13">
        <f>(COUNTIFS($B$33:$B$35,3,$J$33:$J$35,"DONE")+COUNTIFS($B$33:$B$35,3,$J$33:$J$35,"DONE-SANDBOX"))&amp;" / "&amp;COUNTIFS($B$33:$B$35,3,$J$33:$J$35,"&lt;&gt;")&amp;" batch steps done"</f>
      </c>
    </row>
    <row r="33" ht="15" customHeight="1" spans="1:9" s="10" customFormat="1" x14ac:dyDescent="0.25">
      <c r="A33" s="11" t="s">
        <v>342</v>
      </c>
      <c r="B33" s="6">
        <v>3</v>
      </c>
      <c r="C33" s="19" t="s">
        <v>2332</v>
      </c>
      <c r="D33" s="11" t="s">
        <v>622</v>
      </c>
      <c r="E33" s="11" t="s">
        <v>2333</v>
      </c>
      <c r="F33" s="6"/>
      <c r="G33" s="6" t="s">
        <v>11</v>
      </c>
      <c r="H33" s="11" t="s">
        <v>250</v>
      </c>
      <c r="I33" s="11" t="s">
        <v>142</v>
      </c>
    </row>
    <row r="34" ht="15" customHeight="1" spans="1:9" s="10" customFormat="1" x14ac:dyDescent="0.25">
      <c r="A34" s="11" t="s">
        <v>346</v>
      </c>
      <c r="B34" s="6">
        <v>3</v>
      </c>
      <c r="C34" s="19" t="s">
        <v>2334</v>
      </c>
      <c r="D34" s="11" t="s">
        <v>622</v>
      </c>
      <c r="E34" s="11" t="s">
        <v>343</v>
      </c>
      <c r="F34" s="6"/>
      <c r="G34" s="6" t="s">
        <v>11</v>
      </c>
      <c r="H34" s="11" t="s">
        <v>158</v>
      </c>
      <c r="I34" s="11" t="s">
        <v>142</v>
      </c>
    </row>
    <row r="35" ht="15" customHeight="1" spans="1:12" s="10" customFormat="1" x14ac:dyDescent="0.25">
      <c r="A35" s="11" t="s">
        <v>2335</v>
      </c>
      <c r="B35" s="6">
        <v>3</v>
      </c>
      <c r="C35" s="19" t="s">
        <v>2336</v>
      </c>
      <c r="D35" s="11" t="s">
        <v>622</v>
      </c>
      <c r="E35" s="11" t="s">
        <v>2337</v>
      </c>
      <c r="F35" s="6"/>
      <c r="G35" s="6" t="s">
        <v>11</v>
      </c>
      <c r="H35" s="11" t="s">
        <v>2272</v>
      </c>
      <c r="I35" s="11" t="s">
        <v>2338</v>
      </c>
      <c r="J35" s="23" t="s">
        <v>2339</v>
      </c>
      <c r="K35" s="10" t="s">
        <v>2272</v>
      </c>
      <c r="L35" s="21" t="s">
        <v>2340</v>
      </c>
    </row>
    <row r="36" ht="15" customHeight="1" spans="1:10" s="10" customFormat="1" x14ac:dyDescent="0.25">
      <c r="A36" s="16" t="s">
        <v>2341</v>
      </c>
      <c r="B36" s="17">
        <v>2</v>
      </c>
      <c r="C36" s="18" t="s">
        <v>2342</v>
      </c>
      <c r="D36" s="16"/>
      <c r="E36" s="16"/>
      <c r="F36" s="17">
        <f>COUNTIFS($B$37:$B$41,3,$G$37:$G$41,"COMPLETED")&amp;" / "&amp;COUNTIF($B$37:$B$41,3)</f>
      </c>
      <c r="G36" s="17">
        <f>IF(COUNTIFS($B$37:$B$41,3,$G$37:$G$41,"COMPLETED")=COUNTIF($B$37:$B$41,3),"COMPLETED",IF(COUNTIFS($B$37:$B$41,3,$G$37:$G$41,"BLOCKED")&gt;0,"BLOCKED",IF(COUNTIFS($B$37:$B$41,3,$G$37:$G$41,"YET TO START")=COUNTIF($B$37:$B$41,3),"YET TO START","IN PROGRESS")))</f>
      </c>
      <c r="H36" s="16"/>
      <c r="I36" s="16"/>
      <c r="J36" s="13">
        <f>(COUNTIFS($B$37:$B$41,3,$J$37:$J$41,"DONE")+COUNTIFS($B$37:$B$41,3,$J$37:$J$41,"DONE-SANDBOX"))&amp;" / "&amp;COUNTIFS($B$37:$B$41,3,$J$37:$J$41,"&lt;&gt;")&amp;" batch steps done"</f>
      </c>
    </row>
    <row r="37" ht="15" customHeight="1" spans="1:9" s="10" customFormat="1" x14ac:dyDescent="0.25">
      <c r="A37" s="11" t="s">
        <v>2343</v>
      </c>
      <c r="B37" s="6">
        <v>3</v>
      </c>
      <c r="C37" s="19" t="s">
        <v>2344</v>
      </c>
      <c r="D37" s="11" t="s">
        <v>622</v>
      </c>
      <c r="E37" s="11" t="s">
        <v>2345</v>
      </c>
      <c r="F37" s="6"/>
      <c r="G37" s="6" t="s">
        <v>11</v>
      </c>
      <c r="H37" s="11" t="s">
        <v>2317</v>
      </c>
      <c r="I37" s="11" t="s">
        <v>142</v>
      </c>
    </row>
    <row r="38" ht="15" customHeight="1" spans="1:9" s="10" customFormat="1" x14ac:dyDescent="0.25">
      <c r="A38" s="11" t="s">
        <v>363</v>
      </c>
      <c r="B38" s="6">
        <v>3</v>
      </c>
      <c r="C38" s="19" t="s">
        <v>2346</v>
      </c>
      <c r="D38" s="11" t="s">
        <v>622</v>
      </c>
      <c r="E38" s="11" t="s">
        <v>360</v>
      </c>
      <c r="F38" s="6"/>
      <c r="G38" s="6" t="s">
        <v>11</v>
      </c>
      <c r="H38" s="11" t="s">
        <v>2347</v>
      </c>
      <c r="I38" s="11" t="s">
        <v>2348</v>
      </c>
    </row>
    <row r="39" ht="15" customHeight="1" spans="1:9" s="10" customFormat="1" x14ac:dyDescent="0.25">
      <c r="A39" s="11" t="s">
        <v>2349</v>
      </c>
      <c r="B39" s="6">
        <v>3</v>
      </c>
      <c r="C39" s="19" t="s">
        <v>2350</v>
      </c>
      <c r="D39" s="11" t="s">
        <v>622</v>
      </c>
      <c r="E39" s="11" t="s">
        <v>354</v>
      </c>
      <c r="F39" s="6"/>
      <c r="G39" s="6" t="s">
        <v>11</v>
      </c>
      <c r="H39" s="11" t="s">
        <v>310</v>
      </c>
      <c r="I39" s="11" t="s">
        <v>142</v>
      </c>
    </row>
    <row r="40" ht="15" customHeight="1" spans="1:12" s="10" customFormat="1" x14ac:dyDescent="0.25">
      <c r="A40" s="11" t="s">
        <v>778</v>
      </c>
      <c r="B40" s="6">
        <v>3</v>
      </c>
      <c r="C40" s="19" t="s">
        <v>2351</v>
      </c>
      <c r="D40" s="11" t="s">
        <v>622</v>
      </c>
      <c r="E40" s="11" t="s">
        <v>2352</v>
      </c>
      <c r="F40" s="6"/>
      <c r="G40" s="6" t="s">
        <v>11</v>
      </c>
      <c r="H40" s="11" t="s">
        <v>2272</v>
      </c>
      <c r="I40" s="11" t="s">
        <v>2353</v>
      </c>
      <c r="J40" s="23" t="s">
        <v>2339</v>
      </c>
      <c r="K40" s="10" t="s">
        <v>2272</v>
      </c>
      <c r="L40" s="21" t="s">
        <v>2354</v>
      </c>
    </row>
    <row r="41" ht="15" customHeight="1" spans="1:9" s="10" customFormat="1" x14ac:dyDescent="0.25">
      <c r="A41" s="11" t="s">
        <v>2355</v>
      </c>
      <c r="B41" s="6">
        <v>3</v>
      </c>
      <c r="C41" s="19" t="s">
        <v>2356</v>
      </c>
      <c r="D41" s="11" t="s">
        <v>622</v>
      </c>
      <c r="E41" s="11" t="s">
        <v>2357</v>
      </c>
      <c r="F41" s="6"/>
      <c r="G41" s="6" t="s">
        <v>11</v>
      </c>
      <c r="H41" s="11" t="s">
        <v>2358</v>
      </c>
      <c r="I41" s="11" t="s">
        <v>142</v>
      </c>
    </row>
    <row r="42" ht="15" customHeight="1" spans="1:10" s="10" customFormat="1" x14ac:dyDescent="0.25">
      <c r="A42" s="16" t="s">
        <v>2359</v>
      </c>
      <c r="B42" s="17">
        <v>2</v>
      </c>
      <c r="C42" s="18" t="s">
        <v>2360</v>
      </c>
      <c r="D42" s="16"/>
      <c r="E42" s="16"/>
      <c r="F42" s="17">
        <f>COUNTIFS($B$43:$B$48,3,$G$43:$G$48,"COMPLETED")&amp;" / "&amp;COUNTIF($B$43:$B$48,3)</f>
      </c>
      <c r="G42" s="17">
        <f>IF(COUNTIFS($B$43:$B$48,3,$G$43:$G$48,"COMPLETED")=COUNTIF($B$43:$B$48,3),"COMPLETED",IF(COUNTIFS($B$43:$B$48,3,$G$43:$G$48,"BLOCKED")&gt;0,"BLOCKED",IF(COUNTIFS($B$43:$B$48,3,$G$43:$G$48,"YET TO START")=COUNTIF($B$43:$B$48,3),"YET TO START","IN PROGRESS")))</f>
      </c>
      <c r="H42" s="16"/>
      <c r="I42" s="16"/>
      <c r="J42" s="13">
        <f>(COUNTIFS($B$43:$B$48,3,$J$43:$J$48,"DONE")+COUNTIFS($B$43:$B$48,3,$J$43:$J$48,"DONE-SANDBOX"))&amp;" / "&amp;COUNTIFS($B$43:$B$48,3,$J$43:$J$48,"&lt;&gt;")&amp;" batch steps done"</f>
      </c>
    </row>
    <row r="43" ht="15" customHeight="1" spans="1:9" s="10" customFormat="1" x14ac:dyDescent="0.25">
      <c r="A43" s="11" t="s">
        <v>417</v>
      </c>
      <c r="B43" s="6">
        <v>3</v>
      </c>
      <c r="C43" s="19" t="s">
        <v>2361</v>
      </c>
      <c r="D43" s="11" t="s">
        <v>622</v>
      </c>
      <c r="E43" s="11" t="s">
        <v>2362</v>
      </c>
      <c r="F43" s="6"/>
      <c r="G43" s="6" t="s">
        <v>11</v>
      </c>
      <c r="H43" s="11" t="s">
        <v>2363</v>
      </c>
      <c r="I43" s="11" t="s">
        <v>142</v>
      </c>
    </row>
    <row r="44" ht="15" customHeight="1" spans="1:9" s="10" customFormat="1" x14ac:dyDescent="0.25">
      <c r="A44" s="11" t="s">
        <v>1180</v>
      </c>
      <c r="B44" s="6">
        <v>3</v>
      </c>
      <c r="C44" s="19" t="s">
        <v>2364</v>
      </c>
      <c r="D44" s="11" t="s">
        <v>622</v>
      </c>
      <c r="E44" s="11" t="s">
        <v>2365</v>
      </c>
      <c r="F44" s="6"/>
      <c r="G44" s="6" t="s">
        <v>11</v>
      </c>
      <c r="H44" s="11" t="s">
        <v>2366</v>
      </c>
      <c r="I44" s="11" t="s">
        <v>2322</v>
      </c>
    </row>
    <row r="45" ht="15" customHeight="1" spans="1:9" s="10" customFormat="1" x14ac:dyDescent="0.25">
      <c r="A45" s="11" t="s">
        <v>2367</v>
      </c>
      <c r="B45" s="6">
        <v>3</v>
      </c>
      <c r="C45" s="19" t="s">
        <v>2368</v>
      </c>
      <c r="D45" s="11" t="s">
        <v>622</v>
      </c>
      <c r="E45" s="11" t="s">
        <v>421</v>
      </c>
      <c r="F45" s="6"/>
      <c r="G45" s="6" t="s">
        <v>11</v>
      </c>
      <c r="H45" s="11" t="s">
        <v>281</v>
      </c>
      <c r="I45" s="11" t="s">
        <v>142</v>
      </c>
    </row>
    <row r="46" ht="15" customHeight="1" spans="1:9" s="10" customFormat="1" x14ac:dyDescent="0.25">
      <c r="A46" s="11" t="s">
        <v>2369</v>
      </c>
      <c r="B46" s="6">
        <v>3</v>
      </c>
      <c r="C46" s="19" t="s">
        <v>2370</v>
      </c>
      <c r="D46" s="11" t="s">
        <v>622</v>
      </c>
      <c r="E46" s="11" t="s">
        <v>1206</v>
      </c>
      <c r="F46" s="6"/>
      <c r="G46" s="6" t="s">
        <v>11</v>
      </c>
      <c r="H46" s="11" t="s">
        <v>2371</v>
      </c>
      <c r="I46" s="11" t="s">
        <v>2322</v>
      </c>
    </row>
    <row r="47" ht="27" customHeight="1" spans="1:9" s="10" customFormat="1" x14ac:dyDescent="0.25">
      <c r="A47" s="11" t="s">
        <v>1738</v>
      </c>
      <c r="B47" s="6">
        <v>3</v>
      </c>
      <c r="C47" s="19" t="s">
        <v>2372</v>
      </c>
      <c r="D47" s="11" t="s">
        <v>622</v>
      </c>
      <c r="E47" s="11" t="s">
        <v>2373</v>
      </c>
      <c r="F47" s="6"/>
      <c r="G47" s="6" t="s">
        <v>11</v>
      </c>
      <c r="H47" s="11" t="s">
        <v>2374</v>
      </c>
      <c r="I47" s="11" t="s">
        <v>2375</v>
      </c>
    </row>
    <row r="48" ht="39" customHeight="1" spans="1:9" s="10" customFormat="1" x14ac:dyDescent="0.25">
      <c r="A48" s="11" t="s">
        <v>2376</v>
      </c>
      <c r="B48" s="6">
        <v>3</v>
      </c>
      <c r="C48" s="19" t="s">
        <v>2377</v>
      </c>
      <c r="D48" s="11" t="s">
        <v>622</v>
      </c>
      <c r="E48" s="11" t="s">
        <v>2378</v>
      </c>
      <c r="F48" s="6"/>
      <c r="G48" s="6" t="s">
        <v>11</v>
      </c>
      <c r="H48" s="11" t="s">
        <v>2379</v>
      </c>
      <c r="I48" s="11" t="s">
        <v>2380</v>
      </c>
    </row>
    <row r="49" ht="18" customHeight="1" spans="1:10" s="10" customFormat="1" x14ac:dyDescent="0.25">
      <c r="A49" s="14" t="s">
        <v>2381</v>
      </c>
      <c r="B49" s="15">
        <v>1</v>
      </c>
      <c r="C49" s="14" t="s">
        <v>63</v>
      </c>
      <c r="D49" s="14" t="s">
        <v>2382</v>
      </c>
      <c r="E49" s="14"/>
      <c r="F49" s="15">
        <f>COUNTIFS($B$50:$B$60,3,$G$50:$G$60,"COMPLETED")&amp;" / "&amp;COUNTIF($B$50:$B$60,3)</f>
      </c>
      <c r="G49" s="15">
        <f>IF(COUNTIFS($B$50:$B$60,3,$G$50:$G$60,"COMPLETED")=COUNTIF($B$50:$B$60,3),"COMPLETED",IF(COUNTIFS($B$50:$B$60,3,$G$50:$G$60,"BLOCKED")&gt;0,"BLOCKED",IF(COUNTIFS($B$50:$B$60,3,$G$50:$G$60,"YET TO START")=COUNTIF($B$50:$B$60,3),"YET TO START","IN PROGRESS")))</f>
      </c>
      <c r="H49" s="14"/>
      <c r="I49" s="14"/>
      <c r="J49" s="13">
        <f>(COUNTIFS($B$50:$B$60,3,$J$50:$J$60,"DONE")+COUNTIFS($B$50:$B$60,3,$J$50:$J$60,"DONE-SANDBOX"))&amp;" / "&amp;COUNTIFS($B$50:$B$60,3,$J$50:$J$60,"&lt;&gt;")&amp;" batch steps done"</f>
      </c>
    </row>
    <row r="50" ht="15" customHeight="1" spans="1:10" s="10" customFormat="1" x14ac:dyDescent="0.25">
      <c r="A50" s="16" t="s">
        <v>2383</v>
      </c>
      <c r="B50" s="17">
        <v>2</v>
      </c>
      <c r="C50" s="18" t="s">
        <v>2384</v>
      </c>
      <c r="D50" s="16"/>
      <c r="E50" s="16"/>
      <c r="F50" s="17">
        <f>COUNTIFS($B$51:$B$54,3,$G$51:$G$54,"COMPLETED")&amp;" / "&amp;COUNTIF($B$51:$B$54,3)</f>
      </c>
      <c r="G50" s="17">
        <f>IF(COUNTIFS($B$51:$B$54,3,$G$51:$G$54,"COMPLETED")=COUNTIF($B$51:$B$54,3),"COMPLETED",IF(COUNTIFS($B$51:$B$54,3,$G$51:$G$54,"BLOCKED")&gt;0,"BLOCKED",IF(COUNTIFS($B$51:$B$54,3,$G$51:$G$54,"YET TO START")=COUNTIF($B$51:$B$54,3),"YET TO START","IN PROGRESS")))</f>
      </c>
      <c r="H50" s="16"/>
      <c r="I50" s="16"/>
      <c r="J50" s="13">
        <f>(COUNTIFS($B$51:$B$54,3,$J$51:$J$54,"DONE")+COUNTIFS($B$51:$B$54,3,$J$51:$J$54,"DONE-SANDBOX"))&amp;" / "&amp;COUNTIFS($B$51:$B$54,3,$J$51:$J$54,"&lt;&gt;")&amp;" batch steps done"</f>
      </c>
    </row>
    <row r="51" ht="15" customHeight="1" spans="1:9" s="10" customFormat="1" x14ac:dyDescent="0.25">
      <c r="A51" s="11" t="s">
        <v>884</v>
      </c>
      <c r="B51" s="6">
        <v>3</v>
      </c>
      <c r="C51" s="19" t="s">
        <v>2385</v>
      </c>
      <c r="D51" s="11" t="s">
        <v>2382</v>
      </c>
      <c r="E51" s="11" t="s">
        <v>2386</v>
      </c>
      <c r="F51" s="6"/>
      <c r="G51" s="6" t="s">
        <v>11</v>
      </c>
      <c r="H51" s="11" t="s">
        <v>2358</v>
      </c>
      <c r="I51" s="11" t="s">
        <v>2387</v>
      </c>
    </row>
    <row r="52" ht="15" customHeight="1" spans="1:9" s="10" customFormat="1" x14ac:dyDescent="0.25">
      <c r="A52" s="11" t="s">
        <v>371</v>
      </c>
      <c r="B52" s="6">
        <v>3</v>
      </c>
      <c r="C52" s="19" t="s">
        <v>2388</v>
      </c>
      <c r="D52" s="11" t="s">
        <v>2382</v>
      </c>
      <c r="E52" s="11" t="s">
        <v>368</v>
      </c>
      <c r="F52" s="6"/>
      <c r="G52" s="6" t="s">
        <v>11</v>
      </c>
      <c r="H52" s="11" t="s">
        <v>281</v>
      </c>
      <c r="I52" s="11" t="s">
        <v>142</v>
      </c>
    </row>
    <row r="53" ht="15" customHeight="1" spans="1:9" s="10" customFormat="1" x14ac:dyDescent="0.25">
      <c r="A53" s="11" t="s">
        <v>2389</v>
      </c>
      <c r="B53" s="6">
        <v>3</v>
      </c>
      <c r="C53" s="19" t="s">
        <v>2390</v>
      </c>
      <c r="D53" s="11" t="s">
        <v>2382</v>
      </c>
      <c r="E53" s="11" t="s">
        <v>1032</v>
      </c>
      <c r="F53" s="6"/>
      <c r="G53" s="6" t="s">
        <v>11</v>
      </c>
      <c r="H53" s="11" t="s">
        <v>2391</v>
      </c>
      <c r="I53" s="11" t="s">
        <v>2304</v>
      </c>
    </row>
    <row r="54" ht="39" customHeight="1" spans="1:9" s="10" customFormat="1" x14ac:dyDescent="0.25">
      <c r="A54" s="11" t="s">
        <v>2392</v>
      </c>
      <c r="B54" s="6">
        <v>3</v>
      </c>
      <c r="C54" s="19" t="s">
        <v>2393</v>
      </c>
      <c r="D54" s="11" t="s">
        <v>2382</v>
      </c>
      <c r="E54" s="11" t="s">
        <v>1193</v>
      </c>
      <c r="F54" s="6"/>
      <c r="G54" s="6" t="s">
        <v>11</v>
      </c>
      <c r="H54" s="11" t="s">
        <v>2394</v>
      </c>
      <c r="I54" s="11" t="s">
        <v>2380</v>
      </c>
    </row>
    <row r="55" ht="15" customHeight="1" spans="1:10" s="10" customFormat="1" x14ac:dyDescent="0.25">
      <c r="A55" s="16" t="s">
        <v>2395</v>
      </c>
      <c r="B55" s="17">
        <v>2</v>
      </c>
      <c r="C55" s="18" t="s">
        <v>2396</v>
      </c>
      <c r="D55" s="16"/>
      <c r="E55" s="16"/>
      <c r="F55" s="17">
        <f>COUNTIFS($B$56:$B$60,3,$G$56:$G$60,"COMPLETED")&amp;" / "&amp;COUNTIF($B$56:$B$60,3)</f>
      </c>
      <c r="G55" s="17">
        <f>IF(COUNTIFS($B$56:$B$60,3,$G$56:$G$60,"COMPLETED")=COUNTIF($B$56:$B$60,3),"COMPLETED",IF(COUNTIFS($B$56:$B$60,3,$G$56:$G$60,"BLOCKED")&gt;0,"BLOCKED",IF(COUNTIFS($B$56:$B$60,3,$G$56:$G$60,"YET TO START")=COUNTIF($B$56:$B$60,3),"YET TO START","IN PROGRESS")))</f>
      </c>
      <c r="H55" s="16"/>
      <c r="I55" s="16"/>
      <c r="J55" s="13">
        <f>(COUNTIFS($B$56:$B$60,3,$J$56:$J$60,"DONE")+COUNTIFS($B$56:$B$60,3,$J$56:$J$60,"DONE-SANDBOX"))&amp;" / "&amp;COUNTIFS($B$56:$B$60,3,$J$56:$J$60,"&lt;&gt;")&amp;" batch steps done"</f>
      </c>
    </row>
    <row r="56" ht="15" customHeight="1" spans="1:9" s="10" customFormat="1" x14ac:dyDescent="0.25">
      <c r="A56" s="11" t="s">
        <v>379</v>
      </c>
      <c r="B56" s="6">
        <v>3</v>
      </c>
      <c r="C56" s="19" t="s">
        <v>2397</v>
      </c>
      <c r="D56" s="11" t="s">
        <v>2382</v>
      </c>
      <c r="E56" s="11" t="s">
        <v>376</v>
      </c>
      <c r="F56" s="6"/>
      <c r="G56" s="6" t="s">
        <v>11</v>
      </c>
      <c r="H56" s="11" t="s">
        <v>281</v>
      </c>
      <c r="I56" s="11" t="s">
        <v>142</v>
      </c>
    </row>
    <row r="57" ht="15" customHeight="1" spans="1:9" s="10" customFormat="1" x14ac:dyDescent="0.25">
      <c r="A57" s="11" t="s">
        <v>384</v>
      </c>
      <c r="B57" s="6">
        <v>3</v>
      </c>
      <c r="C57" s="19" t="s">
        <v>2398</v>
      </c>
      <c r="D57" s="11" t="s">
        <v>2382</v>
      </c>
      <c r="E57" s="11" t="s">
        <v>381</v>
      </c>
      <c r="F57" s="6"/>
      <c r="G57" s="6" t="s">
        <v>11</v>
      </c>
      <c r="H57" s="11" t="s">
        <v>281</v>
      </c>
      <c r="I57" s="11" t="s">
        <v>142</v>
      </c>
    </row>
    <row r="58" ht="15" customHeight="1" spans="1:9" s="10" customFormat="1" x14ac:dyDescent="0.25">
      <c r="A58" s="11" t="s">
        <v>818</v>
      </c>
      <c r="B58" s="6">
        <v>3</v>
      </c>
      <c r="C58" s="19" t="s">
        <v>2399</v>
      </c>
      <c r="D58" s="11" t="s">
        <v>2382</v>
      </c>
      <c r="E58" s="11" t="s">
        <v>815</v>
      </c>
      <c r="F58" s="6"/>
      <c r="G58" s="6" t="s">
        <v>11</v>
      </c>
      <c r="H58" s="11" t="s">
        <v>281</v>
      </c>
      <c r="I58" s="11" t="s">
        <v>142</v>
      </c>
    </row>
    <row r="59" ht="39" customHeight="1" spans="1:9" s="10" customFormat="1" x14ac:dyDescent="0.25">
      <c r="A59" s="11" t="s">
        <v>2400</v>
      </c>
      <c r="B59" s="6">
        <v>3</v>
      </c>
      <c r="C59" s="19" t="s">
        <v>2401</v>
      </c>
      <c r="D59" s="11" t="s">
        <v>2382</v>
      </c>
      <c r="E59" s="11" t="s">
        <v>2402</v>
      </c>
      <c r="F59" s="6"/>
      <c r="G59" s="6" t="s">
        <v>11</v>
      </c>
      <c r="H59" s="11" t="s">
        <v>2379</v>
      </c>
      <c r="I59" s="11" t="s">
        <v>2380</v>
      </c>
    </row>
    <row r="60" ht="39" customHeight="1" spans="1:9" s="10" customFormat="1" x14ac:dyDescent="0.25">
      <c r="A60" s="11" t="s">
        <v>2403</v>
      </c>
      <c r="B60" s="6">
        <v>3</v>
      </c>
      <c r="C60" s="19" t="s">
        <v>2404</v>
      </c>
      <c r="D60" s="11" t="s">
        <v>2382</v>
      </c>
      <c r="E60" s="11" t="s">
        <v>2405</v>
      </c>
      <c r="F60" s="6"/>
      <c r="G60" s="6" t="s">
        <v>11</v>
      </c>
      <c r="H60" s="11" t="s">
        <v>2406</v>
      </c>
      <c r="I60" s="11" t="s">
        <v>2380</v>
      </c>
    </row>
    <row r="61" ht="18" customHeight="1" spans="1:10" s="10" customFormat="1" x14ac:dyDescent="0.25">
      <c r="A61" s="14" t="s">
        <v>2407</v>
      </c>
      <c r="B61" s="15">
        <v>1</v>
      </c>
      <c r="C61" s="14" t="s">
        <v>64</v>
      </c>
      <c r="D61" s="14" t="s">
        <v>637</v>
      </c>
      <c r="E61" s="14"/>
      <c r="F61" s="15">
        <f>COUNTIFS($B$62:$B$71,3,$G$62:$G$71,"COMPLETED")&amp;" / "&amp;COUNTIF($B$62:$B$71,3)</f>
      </c>
      <c r="G61" s="15">
        <f>IF(COUNTIFS($B$62:$B$71,3,$G$62:$G$71,"COMPLETED")=COUNTIF($B$62:$B$71,3),"COMPLETED",IF(COUNTIFS($B$62:$B$71,3,$G$62:$G$71,"BLOCKED")&gt;0,"BLOCKED",IF(COUNTIFS($B$62:$B$71,3,$G$62:$G$71,"YET TO START")=COUNTIF($B$62:$B$71,3),"YET TO START","IN PROGRESS")))</f>
      </c>
      <c r="H61" s="14"/>
      <c r="I61" s="14"/>
      <c r="J61" s="13">
        <f>(COUNTIFS($B$62:$B$71,3,$J$62:$J$71,"DONE")+COUNTIFS($B$62:$B$71,3,$J$62:$J$71,"DONE-SANDBOX"))&amp;" / "&amp;COUNTIFS($B$62:$B$71,3,$J$62:$J$71,"&lt;&gt;")&amp;" batch steps done"</f>
      </c>
    </row>
    <row r="62" ht="15" customHeight="1" spans="1:10" s="10" customFormat="1" x14ac:dyDescent="0.25">
      <c r="A62" s="16" t="s">
        <v>2408</v>
      </c>
      <c r="B62" s="17">
        <v>2</v>
      </c>
      <c r="C62" s="18" t="s">
        <v>2409</v>
      </c>
      <c r="D62" s="16"/>
      <c r="E62" s="16"/>
      <c r="F62" s="17">
        <f>COUNTIFS($B$63:$B$64,3,$G$63:$G$64,"COMPLETED")&amp;" / "&amp;COUNTIF($B$63:$B$64,3)</f>
      </c>
      <c r="G62" s="17">
        <f>IF(COUNTIFS($B$63:$B$64,3,$G$63:$G$64,"COMPLETED")=COUNTIF($B$63:$B$64,3),"COMPLETED",IF(COUNTIFS($B$63:$B$64,3,$G$63:$G$64,"BLOCKED")&gt;0,"BLOCKED",IF(COUNTIFS($B$63:$B$64,3,$G$63:$G$64,"YET TO START")=COUNTIF($B$63:$B$64,3),"YET TO START","IN PROGRESS")))</f>
      </c>
      <c r="H62" s="16"/>
      <c r="I62" s="16"/>
      <c r="J62" s="13">
        <f>(COUNTIFS($B$63:$B$64,3,$J$63:$J$64,"DONE")+COUNTIFS($B$63:$B$64,3,$J$63:$J$64,"DONE-SANDBOX"))&amp;" / "&amp;COUNTIFS($B$63:$B$64,3,$J$63:$J$64,"&lt;&gt;")&amp;" batch steps done"</f>
      </c>
    </row>
    <row r="63" ht="15" customHeight="1" spans="1:9" s="10" customFormat="1" x14ac:dyDescent="0.25">
      <c r="A63" s="11" t="s">
        <v>795</v>
      </c>
      <c r="B63" s="6">
        <v>3</v>
      </c>
      <c r="C63" s="19" t="s">
        <v>2410</v>
      </c>
      <c r="D63" s="11" t="s">
        <v>637</v>
      </c>
      <c r="E63" s="11" t="s">
        <v>2411</v>
      </c>
      <c r="F63" s="6"/>
      <c r="G63" s="6" t="s">
        <v>11</v>
      </c>
      <c r="H63" s="11" t="s">
        <v>173</v>
      </c>
      <c r="I63" s="11" t="s">
        <v>142</v>
      </c>
    </row>
    <row r="64" ht="15" customHeight="1" spans="1:9" s="10" customFormat="1" x14ac:dyDescent="0.25">
      <c r="A64" s="11" t="s">
        <v>394</v>
      </c>
      <c r="B64" s="6">
        <v>3</v>
      </c>
      <c r="C64" s="19" t="s">
        <v>2412</v>
      </c>
      <c r="D64" s="11" t="s">
        <v>637</v>
      </c>
      <c r="E64" s="11" t="s">
        <v>2413</v>
      </c>
      <c r="F64" s="6"/>
      <c r="G64" s="6" t="s">
        <v>11</v>
      </c>
      <c r="H64" s="11" t="s">
        <v>2414</v>
      </c>
      <c r="I64" s="11" t="s">
        <v>142</v>
      </c>
    </row>
    <row r="65" ht="15" customHeight="1" spans="1:10" s="10" customFormat="1" x14ac:dyDescent="0.25">
      <c r="A65" s="16" t="s">
        <v>2415</v>
      </c>
      <c r="B65" s="17">
        <v>2</v>
      </c>
      <c r="C65" s="18" t="s">
        <v>2416</v>
      </c>
      <c r="D65" s="16"/>
      <c r="E65" s="16"/>
      <c r="F65" s="17">
        <f>COUNTIFS($B$66:$B$68,3,$G$66:$G$68,"COMPLETED")&amp;" / "&amp;COUNTIF($B$66:$B$68,3)</f>
      </c>
      <c r="G65" s="17">
        <f>IF(COUNTIFS($B$66:$B$68,3,$G$66:$G$68,"COMPLETED")=COUNTIF($B$66:$B$68,3),"COMPLETED",IF(COUNTIFS($B$66:$B$68,3,$G$66:$G$68,"BLOCKED")&gt;0,"BLOCKED",IF(COUNTIFS($B$66:$B$68,3,$G$66:$G$68,"YET TO START")=COUNTIF($B$66:$B$68,3),"YET TO START","IN PROGRESS")))</f>
      </c>
      <c r="H65" s="16"/>
      <c r="I65" s="16"/>
      <c r="J65" s="13">
        <f>(COUNTIFS($B$66:$B$68,3,$J$66:$J$68,"DONE")+COUNTIFS($B$66:$B$68,3,$J$66:$J$68,"DONE-SANDBOX"))&amp;" / "&amp;COUNTIFS($B$66:$B$68,3,$J$66:$J$68,"&lt;&gt;")&amp;" batch steps done"</f>
      </c>
    </row>
    <row r="66" ht="15" customHeight="1" spans="1:9" s="10" customFormat="1" x14ac:dyDescent="0.25">
      <c r="A66" s="11" t="s">
        <v>406</v>
      </c>
      <c r="B66" s="6">
        <v>3</v>
      </c>
      <c r="C66" s="19" t="s">
        <v>2417</v>
      </c>
      <c r="D66" s="11" t="s">
        <v>637</v>
      </c>
      <c r="E66" s="11" t="s">
        <v>2418</v>
      </c>
      <c r="F66" s="6"/>
      <c r="G66" s="6" t="s">
        <v>11</v>
      </c>
      <c r="H66" s="11" t="s">
        <v>173</v>
      </c>
      <c r="I66" s="11" t="s">
        <v>142</v>
      </c>
    </row>
    <row r="67" ht="15" customHeight="1" spans="1:9" s="10" customFormat="1" x14ac:dyDescent="0.25">
      <c r="A67" s="11" t="s">
        <v>804</v>
      </c>
      <c r="B67" s="6">
        <v>3</v>
      </c>
      <c r="C67" s="19" t="s">
        <v>2419</v>
      </c>
      <c r="D67" s="11" t="s">
        <v>637</v>
      </c>
      <c r="E67" s="11" t="s">
        <v>2420</v>
      </c>
      <c r="F67" s="6"/>
      <c r="G67" s="6" t="s">
        <v>11</v>
      </c>
      <c r="H67" s="11" t="s">
        <v>460</v>
      </c>
      <c r="I67" s="11" t="s">
        <v>142</v>
      </c>
    </row>
    <row r="68" ht="15" customHeight="1" spans="1:9" s="10" customFormat="1" x14ac:dyDescent="0.25">
      <c r="A68" s="11" t="s">
        <v>811</v>
      </c>
      <c r="B68" s="6">
        <v>3</v>
      </c>
      <c r="C68" s="19" t="s">
        <v>2421</v>
      </c>
      <c r="D68" s="11" t="s">
        <v>637</v>
      </c>
      <c r="E68" s="11" t="s">
        <v>2422</v>
      </c>
      <c r="F68" s="6"/>
      <c r="G68" s="6" t="s">
        <v>11</v>
      </c>
      <c r="H68" s="11" t="s">
        <v>2423</v>
      </c>
      <c r="I68" s="11" t="s">
        <v>2304</v>
      </c>
    </row>
    <row r="69" ht="15" customHeight="1" spans="1:10" s="10" customFormat="1" x14ac:dyDescent="0.25">
      <c r="A69" s="16" t="s">
        <v>2424</v>
      </c>
      <c r="B69" s="17">
        <v>2</v>
      </c>
      <c r="C69" s="18" t="s">
        <v>2425</v>
      </c>
      <c r="D69" s="16"/>
      <c r="E69" s="16"/>
      <c r="F69" s="17">
        <f>COUNTIFS($B$70:$B$71,3,$G$70:$G$71,"COMPLETED")&amp;" / "&amp;COUNTIF($B$70:$B$71,3)</f>
      </c>
      <c r="G69" s="17">
        <f>IF(COUNTIFS($B$70:$B$71,3,$G$70:$G$71,"COMPLETED")=COUNTIF($B$70:$B$71,3),"COMPLETED",IF(COUNTIFS($B$70:$B$71,3,$G$70:$G$71,"BLOCKED")&gt;0,"BLOCKED",IF(COUNTIFS($B$70:$B$71,3,$G$70:$G$71,"YET TO START")=COUNTIF($B$70:$B$71,3),"YET TO START","IN PROGRESS")))</f>
      </c>
      <c r="H69" s="16"/>
      <c r="I69" s="16"/>
      <c r="J69" s="13">
        <f>(COUNTIFS($B$70:$B$71,3,$J$70:$J$71,"DONE")+COUNTIFS($B$70:$B$71,3,$J$70:$J$71,"DONE-SANDBOX"))&amp;" / "&amp;COUNTIFS($B$70:$B$71,3,$J$70:$J$71,"&lt;&gt;")&amp;" batch steps done"</f>
      </c>
    </row>
    <row r="70" ht="15" customHeight="1" spans="1:9" s="10" customFormat="1" x14ac:dyDescent="0.25">
      <c r="A70" s="11" t="s">
        <v>400</v>
      </c>
      <c r="B70" s="6">
        <v>3</v>
      </c>
      <c r="C70" s="19" t="s">
        <v>2426</v>
      </c>
      <c r="D70" s="11" t="s">
        <v>637</v>
      </c>
      <c r="E70" s="11" t="s">
        <v>2427</v>
      </c>
      <c r="F70" s="6"/>
      <c r="G70" s="6" t="s">
        <v>11</v>
      </c>
      <c r="H70" s="11" t="s">
        <v>2428</v>
      </c>
      <c r="I70" s="11" t="s">
        <v>142</v>
      </c>
    </row>
    <row r="71" ht="15" customHeight="1" spans="1:12" s="10" customFormat="1" x14ac:dyDescent="0.25">
      <c r="A71" s="11" t="s">
        <v>1715</v>
      </c>
      <c r="B71" s="6">
        <v>3</v>
      </c>
      <c r="C71" s="19" t="s">
        <v>2429</v>
      </c>
      <c r="D71" s="11" t="s">
        <v>637</v>
      </c>
      <c r="E71" s="11" t="s">
        <v>1712</v>
      </c>
      <c r="F71" s="6"/>
      <c r="G71" s="6" t="s">
        <v>11</v>
      </c>
      <c r="H71" s="11" t="s">
        <v>2308</v>
      </c>
      <c r="I71" s="11" t="s">
        <v>2430</v>
      </c>
      <c r="J71" s="20" t="s">
        <v>2274</v>
      </c>
      <c r="K71" s="10" t="s">
        <v>2308</v>
      </c>
      <c r="L71" s="21" t="s">
        <v>2431</v>
      </c>
    </row>
    <row r="72" ht="18" customHeight="1" spans="1:10" s="10" customFormat="1" x14ac:dyDescent="0.25">
      <c r="A72" s="14" t="s">
        <v>2432</v>
      </c>
      <c r="B72" s="15">
        <v>1</v>
      </c>
      <c r="C72" s="14" t="s">
        <v>65</v>
      </c>
      <c r="D72" s="14" t="s">
        <v>2433</v>
      </c>
      <c r="E72" s="14"/>
      <c r="F72" s="15">
        <f>COUNTIFS($B$73:$B$84,3,$G$73:$G$84,"COMPLETED")&amp;" / "&amp;COUNTIF($B$73:$B$84,3)</f>
      </c>
      <c r="G72" s="15">
        <f>IF(COUNTIFS($B$73:$B$84,3,$G$73:$G$84,"COMPLETED")=COUNTIF($B$73:$B$84,3),"COMPLETED",IF(COUNTIFS($B$73:$B$84,3,$G$73:$G$84,"BLOCKED")&gt;0,"BLOCKED",IF(COUNTIFS($B$73:$B$84,3,$G$73:$G$84,"YET TO START")=COUNTIF($B$73:$B$84,3),"YET TO START","IN PROGRESS")))</f>
      </c>
      <c r="H72" s="14"/>
      <c r="I72" s="14"/>
      <c r="J72" s="13">
        <f>(COUNTIFS($B$73:$B$84,3,$J$73:$J$84,"DONE")+COUNTIFS($B$73:$B$84,3,$J$73:$J$84,"DONE-SANDBOX"))&amp;" / "&amp;COUNTIFS($B$73:$B$84,3,$J$73:$J$84,"&lt;&gt;")&amp;" batch steps done"</f>
      </c>
    </row>
    <row r="73" ht="15" customHeight="1" spans="1:10" s="10" customFormat="1" x14ac:dyDescent="0.25">
      <c r="A73" s="16" t="s">
        <v>2434</v>
      </c>
      <c r="B73" s="17">
        <v>2</v>
      </c>
      <c r="C73" s="18" t="s">
        <v>2435</v>
      </c>
      <c r="D73" s="16"/>
      <c r="E73" s="16"/>
      <c r="F73" s="17">
        <f>COUNTIFS($B$74:$B$76,3,$G$74:$G$76,"COMPLETED")&amp;" / "&amp;COUNTIF($B$74:$B$76,3)</f>
      </c>
      <c r="G73" s="17">
        <f>IF(COUNTIFS($B$74:$B$76,3,$G$74:$G$76,"COMPLETED")=COUNTIF($B$74:$B$76,3),"COMPLETED",IF(COUNTIFS($B$74:$B$76,3,$G$74:$G$76,"BLOCKED")&gt;0,"BLOCKED",IF(COUNTIFS($B$74:$B$76,3,$G$74:$G$76,"YET TO START")=COUNTIF($B$74:$B$76,3),"YET TO START","IN PROGRESS")))</f>
      </c>
      <c r="H73" s="16"/>
      <c r="I73" s="16"/>
      <c r="J73" s="13">
        <f>(COUNTIFS($B$74:$B$76,3,$J$74:$J$76,"DONE")+COUNTIFS($B$74:$B$76,3,$J$74:$J$76,"DONE-SANDBOX"))&amp;" / "&amp;COUNTIFS($B$74:$B$76,3,$J$74:$J$76,"&lt;&gt;")&amp;" batch steps done"</f>
      </c>
    </row>
    <row r="74" ht="15" customHeight="1" spans="1:9" s="10" customFormat="1" x14ac:dyDescent="0.25">
      <c r="A74" s="11" t="s">
        <v>903</v>
      </c>
      <c r="B74" s="6">
        <v>3</v>
      </c>
      <c r="C74" s="19" t="s">
        <v>2436</v>
      </c>
      <c r="D74" s="11" t="s">
        <v>2433</v>
      </c>
      <c r="E74" s="11" t="s">
        <v>900</v>
      </c>
      <c r="F74" s="6"/>
      <c r="G74" s="6" t="s">
        <v>11</v>
      </c>
      <c r="H74" s="11" t="s">
        <v>2437</v>
      </c>
      <c r="I74" s="11" t="s">
        <v>142</v>
      </c>
    </row>
    <row r="75" ht="15" customHeight="1" spans="1:9" s="10" customFormat="1" x14ac:dyDescent="0.25">
      <c r="A75" s="11" t="s">
        <v>411</v>
      </c>
      <c r="B75" s="6">
        <v>3</v>
      </c>
      <c r="C75" s="19" t="s">
        <v>2438</v>
      </c>
      <c r="D75" s="11" t="s">
        <v>2433</v>
      </c>
      <c r="E75" s="11" t="s">
        <v>2439</v>
      </c>
      <c r="F75" s="6"/>
      <c r="G75" s="6" t="s">
        <v>11</v>
      </c>
      <c r="H75" s="11" t="s">
        <v>2358</v>
      </c>
      <c r="I75" s="11" t="s">
        <v>142</v>
      </c>
    </row>
    <row r="76" ht="15" customHeight="1" spans="1:12" s="10" customFormat="1" x14ac:dyDescent="0.25">
      <c r="A76" s="11" t="s">
        <v>1693</v>
      </c>
      <c r="B76" s="6">
        <v>3</v>
      </c>
      <c r="C76" s="19" t="s">
        <v>2440</v>
      </c>
      <c r="D76" s="11" t="s">
        <v>2433</v>
      </c>
      <c r="E76" s="11" t="s">
        <v>1690</v>
      </c>
      <c r="F76" s="6"/>
      <c r="G76" s="6" t="s">
        <v>11</v>
      </c>
      <c r="H76" s="11" t="s">
        <v>2272</v>
      </c>
      <c r="I76" s="11" t="s">
        <v>2441</v>
      </c>
      <c r="J76" s="20" t="s">
        <v>2274</v>
      </c>
      <c r="K76" s="10" t="s">
        <v>2272</v>
      </c>
      <c r="L76" s="21" t="s">
        <v>2442</v>
      </c>
    </row>
    <row r="77" ht="15" customHeight="1" spans="1:10" s="10" customFormat="1" x14ac:dyDescent="0.25">
      <c r="A77" s="16" t="s">
        <v>2443</v>
      </c>
      <c r="B77" s="17">
        <v>2</v>
      </c>
      <c r="C77" s="18" t="s">
        <v>2444</v>
      </c>
      <c r="D77" s="16"/>
      <c r="E77" s="16"/>
      <c r="F77" s="17">
        <f>COUNTIFS($B$78:$B$84,3,$G$78:$G$84,"COMPLETED")&amp;" / "&amp;COUNTIF($B$78:$B$84,3)</f>
      </c>
      <c r="G77" s="17">
        <f>IF(COUNTIFS($B$78:$B$84,3,$G$78:$G$84,"COMPLETED")=COUNTIF($B$78:$B$84,3),"COMPLETED",IF(COUNTIFS($B$78:$B$84,3,$G$78:$G$84,"BLOCKED")&gt;0,"BLOCKED",IF(COUNTIFS($B$78:$B$84,3,$G$78:$G$84,"YET TO START")=COUNTIF($B$78:$B$84,3),"YET TO START","IN PROGRESS")))</f>
      </c>
      <c r="H77" s="16"/>
      <c r="I77" s="16"/>
      <c r="J77" s="13">
        <f>(COUNTIFS($B$78:$B$84,3,$J$78:$J$84,"DONE")+COUNTIFS($B$78:$B$84,3,$J$78:$J$84,"DONE-SANDBOX"))&amp;" / "&amp;COUNTIFS($B$78:$B$84,3,$J$78:$J$84,"&lt;&gt;")&amp;" batch steps done"</f>
      </c>
    </row>
    <row r="78" ht="15" customHeight="1" spans="1:9" s="10" customFormat="1" x14ac:dyDescent="0.25">
      <c r="A78" s="11" t="s">
        <v>2445</v>
      </c>
      <c r="B78" s="6">
        <v>3</v>
      </c>
      <c r="C78" s="19" t="s">
        <v>2446</v>
      </c>
      <c r="D78" s="11" t="s">
        <v>2433</v>
      </c>
      <c r="E78" s="11" t="s">
        <v>594</v>
      </c>
      <c r="F78" s="6"/>
      <c r="G78" s="6" t="s">
        <v>11</v>
      </c>
      <c r="H78" s="11" t="s">
        <v>741</v>
      </c>
      <c r="I78" s="11" t="s">
        <v>142</v>
      </c>
    </row>
    <row r="79" ht="15" customHeight="1" spans="1:12" s="10" customFormat="1" x14ac:dyDescent="0.25">
      <c r="A79" s="11" t="s">
        <v>1700</v>
      </c>
      <c r="B79" s="6">
        <v>3</v>
      </c>
      <c r="C79" s="19" t="s">
        <v>1698</v>
      </c>
      <c r="D79" s="11" t="s">
        <v>2433</v>
      </c>
      <c r="E79" s="11" t="s">
        <v>1697</v>
      </c>
      <c r="F79" s="6"/>
      <c r="G79" s="6" t="s">
        <v>11</v>
      </c>
      <c r="H79" s="11" t="s">
        <v>2308</v>
      </c>
      <c r="I79" s="11" t="s">
        <v>2447</v>
      </c>
      <c r="J79" s="23" t="s">
        <v>2339</v>
      </c>
      <c r="K79" s="10" t="s">
        <v>2308</v>
      </c>
      <c r="L79" s="21" t="s">
        <v>2448</v>
      </c>
    </row>
    <row r="80" ht="15" customHeight="1" spans="1:9" s="10" customFormat="1" x14ac:dyDescent="0.25">
      <c r="A80" s="11" t="s">
        <v>2449</v>
      </c>
      <c r="B80" s="6">
        <v>3</v>
      </c>
      <c r="C80" s="19" t="s">
        <v>2450</v>
      </c>
      <c r="D80" s="11" t="s">
        <v>2433</v>
      </c>
      <c r="E80" s="11" t="s">
        <v>445</v>
      </c>
      <c r="F80" s="6"/>
      <c r="G80" s="6" t="s">
        <v>11</v>
      </c>
      <c r="H80" s="11" t="s">
        <v>2317</v>
      </c>
      <c r="I80" s="11" t="s">
        <v>142</v>
      </c>
    </row>
    <row r="81" ht="15" customHeight="1" spans="1:9" s="10" customFormat="1" x14ac:dyDescent="0.25">
      <c r="A81" s="11" t="s">
        <v>2451</v>
      </c>
      <c r="B81" s="6">
        <v>3</v>
      </c>
      <c r="C81" s="19" t="s">
        <v>2452</v>
      </c>
      <c r="D81" s="11" t="s">
        <v>2433</v>
      </c>
      <c r="E81" s="11" t="s">
        <v>2453</v>
      </c>
      <c r="F81" s="6"/>
      <c r="G81" s="6" t="s">
        <v>11</v>
      </c>
      <c r="H81" s="11" t="s">
        <v>2454</v>
      </c>
      <c r="I81" s="11" t="s">
        <v>2455</v>
      </c>
    </row>
    <row r="82" ht="15" customHeight="1" spans="1:9" s="10" customFormat="1" x14ac:dyDescent="0.25">
      <c r="A82" s="11" t="s">
        <v>2456</v>
      </c>
      <c r="B82" s="6">
        <v>3</v>
      </c>
      <c r="C82" s="19" t="s">
        <v>2457</v>
      </c>
      <c r="D82" s="11" t="s">
        <v>2433</v>
      </c>
      <c r="E82" s="11" t="s">
        <v>1206</v>
      </c>
      <c r="F82" s="6"/>
      <c r="G82" s="6" t="s">
        <v>11</v>
      </c>
      <c r="H82" s="11" t="s">
        <v>2371</v>
      </c>
      <c r="I82" s="11" t="s">
        <v>2322</v>
      </c>
    </row>
    <row r="83" ht="15" customHeight="1" spans="1:12" s="10" customFormat="1" x14ac:dyDescent="0.25">
      <c r="A83" s="11" t="s">
        <v>1708</v>
      </c>
      <c r="B83" s="6">
        <v>3</v>
      </c>
      <c r="C83" s="19" t="s">
        <v>2458</v>
      </c>
      <c r="D83" s="11" t="s">
        <v>2433</v>
      </c>
      <c r="E83" s="11" t="s">
        <v>1705</v>
      </c>
      <c r="F83" s="6"/>
      <c r="G83" s="6" t="s">
        <v>14</v>
      </c>
      <c r="H83" s="11" t="s">
        <v>142</v>
      </c>
      <c r="I83" s="11" t="s">
        <v>2459</v>
      </c>
      <c r="J83" s="24" t="s">
        <v>2460</v>
      </c>
      <c r="K83" s="10" t="s">
        <v>142</v>
      </c>
      <c r="L83" s="21" t="s">
        <v>2461</v>
      </c>
    </row>
    <row r="84" ht="15" customHeight="1" spans="1:9" s="10" customFormat="1" x14ac:dyDescent="0.25">
      <c r="A84" s="11" t="s">
        <v>651</v>
      </c>
      <c r="B84" s="6">
        <v>3</v>
      </c>
      <c r="C84" s="19" t="s">
        <v>2462</v>
      </c>
      <c r="D84" s="11" t="s">
        <v>2433</v>
      </c>
      <c r="E84" s="11" t="s">
        <v>2463</v>
      </c>
      <c r="F84" s="6"/>
      <c r="G84" s="6" t="s">
        <v>11</v>
      </c>
      <c r="H84" s="11" t="s">
        <v>281</v>
      </c>
      <c r="I84" s="11" t="s">
        <v>142</v>
      </c>
    </row>
    <row r="85" ht="18" customHeight="1" spans="1:10" s="10" customFormat="1" x14ac:dyDescent="0.25">
      <c r="A85" s="14" t="s">
        <v>2464</v>
      </c>
      <c r="B85" s="15">
        <v>1</v>
      </c>
      <c r="C85" s="14" t="s">
        <v>66</v>
      </c>
      <c r="D85" s="14" t="s">
        <v>2465</v>
      </c>
      <c r="E85" s="14"/>
      <c r="F85" s="15">
        <f>COUNTIFS($B$86:$B$95,3,$G$86:$G$95,"COMPLETED")&amp;" / "&amp;COUNTIF($B$86:$B$95,3)</f>
      </c>
      <c r="G85" s="15">
        <f>IF(COUNTIFS($B$86:$B$95,3,$G$86:$G$95,"COMPLETED")=COUNTIF($B$86:$B$95,3),"COMPLETED",IF(COUNTIFS($B$86:$B$95,3,$G$86:$G$95,"BLOCKED")&gt;0,"BLOCKED",IF(COUNTIFS($B$86:$B$95,3,$G$86:$G$95,"YET TO START")=COUNTIF($B$86:$B$95,3),"YET TO START","IN PROGRESS")))</f>
      </c>
      <c r="H85" s="14"/>
      <c r="I85" s="14"/>
      <c r="J85" s="13">
        <f>(COUNTIFS($B$86:$B$95,3,$J$86:$J$95,"DONE")+COUNTIFS($B$86:$B$95,3,$J$86:$J$95,"DONE-SANDBOX"))&amp;" / "&amp;COUNTIFS($B$86:$B$95,3,$J$86:$J$95,"&lt;&gt;")&amp;" batch steps done"</f>
      </c>
    </row>
    <row r="86" ht="15" customHeight="1" spans="1:10" s="10" customFormat="1" x14ac:dyDescent="0.25">
      <c r="A86" s="16" t="s">
        <v>2466</v>
      </c>
      <c r="B86" s="17">
        <v>2</v>
      </c>
      <c r="C86" s="18" t="s">
        <v>2467</v>
      </c>
      <c r="D86" s="16"/>
      <c r="E86" s="16"/>
      <c r="F86" s="17">
        <f>COUNTIFS($B$87:$B$88,3,$G$87:$G$88,"COMPLETED")&amp;" / "&amp;COUNTIF($B$87:$B$88,3)</f>
      </c>
      <c r="G86" s="17">
        <f>IF(COUNTIFS($B$87:$B$88,3,$G$87:$G$88,"COMPLETED")=COUNTIF($B$87:$B$88,3),"COMPLETED",IF(COUNTIFS($B$87:$B$88,3,$G$87:$G$88,"BLOCKED")&gt;0,"BLOCKED",IF(COUNTIFS($B$87:$B$88,3,$G$87:$G$88,"YET TO START")=COUNTIF($B$87:$B$88,3),"YET TO START","IN PROGRESS")))</f>
      </c>
      <c r="H86" s="16"/>
      <c r="I86" s="16"/>
      <c r="J86" s="13">
        <f>(COUNTIFS($B$87:$B$88,3,$J$87:$J$88,"DONE")+COUNTIFS($B$87:$B$88,3,$J$87:$J$88,"DONE-SANDBOX"))&amp;" / "&amp;COUNTIFS($B$87:$B$88,3,$J$87:$J$88,"&lt;&gt;")&amp;" batch steps done"</f>
      </c>
    </row>
    <row r="87" ht="15" customHeight="1" spans="1:9" s="10" customFormat="1" x14ac:dyDescent="0.25">
      <c r="A87" s="11" t="s">
        <v>433</v>
      </c>
      <c r="B87" s="6">
        <v>3</v>
      </c>
      <c r="C87" s="19" t="s">
        <v>2468</v>
      </c>
      <c r="D87" s="11" t="s">
        <v>2465</v>
      </c>
      <c r="E87" s="11" t="s">
        <v>429</v>
      </c>
      <c r="F87" s="6"/>
      <c r="G87" s="6" t="s">
        <v>11</v>
      </c>
      <c r="H87" s="11" t="s">
        <v>173</v>
      </c>
      <c r="I87" s="11" t="s">
        <v>142</v>
      </c>
    </row>
    <row r="88" ht="15" customHeight="1" spans="1:9" s="10" customFormat="1" x14ac:dyDescent="0.25">
      <c r="A88" s="11" t="s">
        <v>2469</v>
      </c>
      <c r="B88" s="6">
        <v>3</v>
      </c>
      <c r="C88" s="19" t="s">
        <v>2470</v>
      </c>
      <c r="D88" s="11" t="s">
        <v>2465</v>
      </c>
      <c r="E88" s="11" t="s">
        <v>2471</v>
      </c>
      <c r="F88" s="6"/>
      <c r="G88" s="6" t="s">
        <v>11</v>
      </c>
      <c r="H88" s="11" t="s">
        <v>173</v>
      </c>
      <c r="I88" s="11" t="s">
        <v>142</v>
      </c>
    </row>
    <row r="89" ht="15" customHeight="1" spans="1:10" s="10" customFormat="1" x14ac:dyDescent="0.25">
      <c r="A89" s="16" t="s">
        <v>2472</v>
      </c>
      <c r="B89" s="17">
        <v>2</v>
      </c>
      <c r="C89" s="18" t="s">
        <v>2473</v>
      </c>
      <c r="D89" s="16"/>
      <c r="E89" s="16"/>
      <c r="F89" s="17">
        <f>COUNTIFS($B$90:$B$92,3,$G$90:$G$92,"COMPLETED")&amp;" / "&amp;COUNTIF($B$90:$B$92,3)</f>
      </c>
      <c r="G89" s="17">
        <f>IF(COUNTIFS($B$90:$B$92,3,$G$90:$G$92,"COMPLETED")=COUNTIF($B$90:$B$92,3),"COMPLETED",IF(COUNTIFS($B$90:$B$92,3,$G$90:$G$92,"BLOCKED")&gt;0,"BLOCKED",IF(COUNTIFS($B$90:$B$92,3,$G$90:$G$92,"YET TO START")=COUNTIF($B$90:$B$92,3),"YET TO START","IN PROGRESS")))</f>
      </c>
      <c r="H89" s="16"/>
      <c r="I89" s="16"/>
      <c r="J89" s="13">
        <f>(COUNTIFS($B$90:$B$92,3,$J$90:$J$92,"DONE")+COUNTIFS($B$90:$B$92,3,$J$90:$J$92,"DONE-SANDBOX"))&amp;" / "&amp;COUNTIFS($B$90:$B$92,3,$J$90:$J$92,"&lt;&gt;")&amp;" batch steps done"</f>
      </c>
    </row>
    <row r="90" ht="15" customHeight="1" spans="1:9" s="10" customFormat="1" x14ac:dyDescent="0.25">
      <c r="A90" s="11" t="s">
        <v>721</v>
      </c>
      <c r="B90" s="6">
        <v>3</v>
      </c>
      <c r="C90" s="19" t="s">
        <v>2474</v>
      </c>
      <c r="D90" s="11" t="s">
        <v>2465</v>
      </c>
      <c r="E90" s="11" t="s">
        <v>2475</v>
      </c>
      <c r="F90" s="6"/>
      <c r="G90" s="6" t="s">
        <v>11</v>
      </c>
      <c r="H90" s="11" t="s">
        <v>173</v>
      </c>
      <c r="I90" s="11" t="s">
        <v>142</v>
      </c>
    </row>
    <row r="91" ht="15" customHeight="1" spans="1:9" s="10" customFormat="1" x14ac:dyDescent="0.25">
      <c r="A91" s="11" t="s">
        <v>1144</v>
      </c>
      <c r="B91" s="6">
        <v>3</v>
      </c>
      <c r="C91" s="19" t="s">
        <v>2476</v>
      </c>
      <c r="D91" s="11" t="s">
        <v>2465</v>
      </c>
      <c r="E91" s="11" t="s">
        <v>1141</v>
      </c>
      <c r="F91" s="6"/>
      <c r="G91" s="6" t="s">
        <v>11</v>
      </c>
      <c r="H91" s="11" t="s">
        <v>2321</v>
      </c>
      <c r="I91" s="11" t="s">
        <v>2322</v>
      </c>
    </row>
    <row r="92" ht="15" customHeight="1" spans="1:9" s="10" customFormat="1" x14ac:dyDescent="0.25">
      <c r="A92" s="11" t="s">
        <v>2477</v>
      </c>
      <c r="B92" s="6">
        <v>3</v>
      </c>
      <c r="C92" s="19" t="s">
        <v>2478</v>
      </c>
      <c r="D92" s="11" t="s">
        <v>2465</v>
      </c>
      <c r="E92" s="11" t="s">
        <v>1156</v>
      </c>
      <c r="F92" s="6"/>
      <c r="G92" s="6" t="s">
        <v>11</v>
      </c>
      <c r="H92" s="11" t="s">
        <v>2321</v>
      </c>
      <c r="I92" s="11" t="s">
        <v>2322</v>
      </c>
    </row>
    <row r="93" ht="15" customHeight="1" spans="1:10" s="10" customFormat="1" x14ac:dyDescent="0.25">
      <c r="A93" s="16" t="s">
        <v>2479</v>
      </c>
      <c r="B93" s="17">
        <v>2</v>
      </c>
      <c r="C93" s="18" t="s">
        <v>2480</v>
      </c>
      <c r="D93" s="16"/>
      <c r="E93" s="16"/>
      <c r="F93" s="17">
        <f>COUNTIFS($B$94:$B$95,3,$G$94:$G$95,"COMPLETED")&amp;" / "&amp;COUNTIF($B$94:$B$95,3)</f>
      </c>
      <c r="G93" s="17">
        <f>IF(COUNTIFS($B$94:$B$95,3,$G$94:$G$95,"COMPLETED")=COUNTIF($B$94:$B$95,3),"COMPLETED",IF(COUNTIFS($B$94:$B$95,3,$G$94:$G$95,"BLOCKED")&gt;0,"BLOCKED",IF(COUNTIFS($B$94:$B$95,3,$G$94:$G$95,"YET TO START")=COUNTIF($B$94:$B$95,3),"YET TO START","IN PROGRESS")))</f>
      </c>
      <c r="H93" s="16"/>
      <c r="I93" s="16"/>
      <c r="J93" s="13">
        <f>(COUNTIFS($B$94:$B$95,3,$J$94:$J$95,"DONE")+COUNTIFS($B$94:$B$95,3,$J$94:$J$95,"DONE-SANDBOX"))&amp;" / "&amp;COUNTIFS($B$94:$B$95,3,$J$94:$J$95,"&lt;&gt;")&amp;" batch steps done"</f>
      </c>
    </row>
    <row r="94" ht="15" customHeight="1" spans="1:9" s="10" customFormat="1" x14ac:dyDescent="0.25">
      <c r="A94" s="11" t="s">
        <v>2481</v>
      </c>
      <c r="B94" s="6">
        <v>3</v>
      </c>
      <c r="C94" s="19" t="s">
        <v>2482</v>
      </c>
      <c r="D94" s="11" t="s">
        <v>2465</v>
      </c>
      <c r="E94" s="11" t="s">
        <v>445</v>
      </c>
      <c r="F94" s="6"/>
      <c r="G94" s="6" t="s">
        <v>11</v>
      </c>
      <c r="H94" s="11" t="s">
        <v>173</v>
      </c>
      <c r="I94" s="11" t="s">
        <v>142</v>
      </c>
    </row>
    <row r="95" ht="15" customHeight="1" spans="1:9" s="10" customFormat="1" x14ac:dyDescent="0.25">
      <c r="A95" s="11" t="s">
        <v>444</v>
      </c>
      <c r="B95" s="6">
        <v>3</v>
      </c>
      <c r="C95" s="19" t="s">
        <v>2483</v>
      </c>
      <c r="D95" s="11" t="s">
        <v>2465</v>
      </c>
      <c r="E95" s="11" t="s">
        <v>441</v>
      </c>
      <c r="F95" s="6"/>
      <c r="G95" s="6" t="s">
        <v>11</v>
      </c>
      <c r="H95" s="11" t="s">
        <v>173</v>
      </c>
      <c r="I95" s="11" t="s">
        <v>142</v>
      </c>
    </row>
    <row r="96" ht="18" customHeight="1" spans="1:10" s="10" customFormat="1" x14ac:dyDescent="0.25">
      <c r="A96" s="14" t="s">
        <v>2484</v>
      </c>
      <c r="B96" s="15">
        <v>1</v>
      </c>
      <c r="C96" s="14" t="s">
        <v>67</v>
      </c>
      <c r="D96" s="14" t="s">
        <v>2485</v>
      </c>
      <c r="E96" s="14"/>
      <c r="F96" s="15">
        <f>COUNTIFS($B$97:$B$110,3,$G$97:$G$110,"COMPLETED")&amp;" / "&amp;COUNTIF($B$97:$B$110,3)</f>
      </c>
      <c r="G96" s="15">
        <f>IF(COUNTIFS($B$97:$B$110,3,$G$97:$G$110,"COMPLETED")=COUNTIF($B$97:$B$110,3),"COMPLETED",IF(COUNTIFS($B$97:$B$110,3,$G$97:$G$110,"BLOCKED")&gt;0,"BLOCKED",IF(COUNTIFS($B$97:$B$110,3,$G$97:$G$110,"YET TO START")=COUNTIF($B$97:$B$110,3),"YET TO START","IN PROGRESS")))</f>
      </c>
      <c r="H96" s="14"/>
      <c r="I96" s="14"/>
      <c r="J96" s="13">
        <f>(COUNTIFS($B$97:$B$110,3,$J$97:$J$110,"DONE")+COUNTIFS($B$97:$B$110,3,$J$97:$J$110,"DONE-SANDBOX"))&amp;" / "&amp;COUNTIFS($B$97:$B$110,3,$J$97:$J$110,"&lt;&gt;")&amp;" batch steps done"</f>
      </c>
    </row>
    <row r="97" ht="15" customHeight="1" spans="1:10" s="10" customFormat="1" x14ac:dyDescent="0.25">
      <c r="A97" s="16" t="s">
        <v>2486</v>
      </c>
      <c r="B97" s="17">
        <v>2</v>
      </c>
      <c r="C97" s="18" t="s">
        <v>2487</v>
      </c>
      <c r="D97" s="16"/>
      <c r="E97" s="16"/>
      <c r="F97" s="17">
        <f>COUNTIFS($B$98:$B$100,3,$G$98:$G$100,"COMPLETED")&amp;" / "&amp;COUNTIF($B$98:$B$100,3)</f>
      </c>
      <c r="G97" s="17">
        <f>IF(COUNTIFS($B$98:$B$100,3,$G$98:$G$100,"COMPLETED")=COUNTIF($B$98:$B$100,3),"COMPLETED",IF(COUNTIFS($B$98:$B$100,3,$G$98:$G$100,"BLOCKED")&gt;0,"BLOCKED",IF(COUNTIFS($B$98:$B$100,3,$G$98:$G$100,"YET TO START")=COUNTIF($B$98:$B$100,3),"YET TO START","IN PROGRESS")))</f>
      </c>
      <c r="H97" s="16"/>
      <c r="I97" s="16"/>
      <c r="J97" s="13">
        <f>(COUNTIFS($B$98:$B$100,3,$J$98:$J$100,"DONE")+COUNTIFS($B$98:$B$100,3,$J$98:$J$100,"DONE-SANDBOX"))&amp;" / "&amp;COUNTIFS($B$98:$B$100,3,$J$98:$J$100,"&lt;&gt;")&amp;" batch steps done"</f>
      </c>
    </row>
    <row r="98" ht="15" customHeight="1" spans="1:9" s="10" customFormat="1" x14ac:dyDescent="0.25">
      <c r="A98" s="11" t="s">
        <v>2488</v>
      </c>
      <c r="B98" s="6">
        <v>3</v>
      </c>
      <c r="C98" s="19" t="s">
        <v>2489</v>
      </c>
      <c r="D98" s="11" t="s">
        <v>2485</v>
      </c>
      <c r="E98" s="11" t="s">
        <v>1025</v>
      </c>
      <c r="F98" s="6"/>
      <c r="G98" s="6" t="s">
        <v>11</v>
      </c>
      <c r="H98" s="11" t="s">
        <v>2358</v>
      </c>
      <c r="I98" s="11" t="s">
        <v>142</v>
      </c>
    </row>
    <row r="99" ht="39" customHeight="1" spans="1:9" s="10" customFormat="1" x14ac:dyDescent="0.25">
      <c r="A99" s="11" t="s">
        <v>2490</v>
      </c>
      <c r="B99" s="6">
        <v>3</v>
      </c>
      <c r="C99" s="19" t="s">
        <v>2491</v>
      </c>
      <c r="D99" s="11" t="s">
        <v>2485</v>
      </c>
      <c r="E99" s="11" t="s">
        <v>1119</v>
      </c>
      <c r="F99" s="6"/>
      <c r="G99" s="6" t="s">
        <v>11</v>
      </c>
      <c r="H99" s="11" t="s">
        <v>2321</v>
      </c>
      <c r="I99" s="11" t="s">
        <v>2380</v>
      </c>
    </row>
    <row r="100" ht="15" customHeight="1" spans="1:12" s="10" customFormat="1" x14ac:dyDescent="0.25">
      <c r="A100" s="11" t="s">
        <v>2492</v>
      </c>
      <c r="B100" s="6">
        <v>3</v>
      </c>
      <c r="C100" s="19" t="s">
        <v>2493</v>
      </c>
      <c r="D100" s="11" t="s">
        <v>2485</v>
      </c>
      <c r="E100" s="11" t="s">
        <v>1025</v>
      </c>
      <c r="F100" s="6"/>
      <c r="G100" s="6" t="s">
        <v>11</v>
      </c>
      <c r="H100" s="11" t="s">
        <v>2308</v>
      </c>
      <c r="I100" s="11" t="s">
        <v>2494</v>
      </c>
      <c r="J100" s="20" t="s">
        <v>2274</v>
      </c>
      <c r="K100" s="10" t="s">
        <v>2308</v>
      </c>
      <c r="L100" s="21" t="s">
        <v>2495</v>
      </c>
    </row>
    <row r="101" ht="15" customHeight="1" spans="1:10" s="10" customFormat="1" x14ac:dyDescent="0.25">
      <c r="A101" s="16" t="s">
        <v>2496</v>
      </c>
      <c r="B101" s="17">
        <v>2</v>
      </c>
      <c r="C101" s="18" t="s">
        <v>2497</v>
      </c>
      <c r="D101" s="16"/>
      <c r="E101" s="16"/>
      <c r="F101" s="17">
        <f>COUNTIFS($B$102:$B$104,3,$G$102:$G$104,"COMPLETED")&amp;" / "&amp;COUNTIF($B$102:$B$104,3)</f>
      </c>
      <c r="G101" s="17">
        <f>IF(COUNTIFS($B$102:$B$104,3,$G$102:$G$104,"COMPLETED")=COUNTIF($B$102:$B$104,3),"COMPLETED",IF(COUNTIFS($B$102:$B$104,3,$G$102:$G$104,"BLOCKED")&gt;0,"BLOCKED",IF(COUNTIFS($B$102:$B$104,3,$G$102:$G$104,"YET TO START")=COUNTIF($B$102:$B$104,3),"YET TO START","IN PROGRESS")))</f>
      </c>
      <c r="H101" s="16"/>
      <c r="I101" s="16"/>
      <c r="J101" s="13">
        <f>(COUNTIFS($B$102:$B$104,3,$J$102:$J$104,"DONE")+COUNTIFS($B$102:$B$104,3,$J$102:$J$104,"DONE-SANDBOX"))&amp;" / "&amp;COUNTIFS($B$102:$B$104,3,$J$102:$J$104,"&lt;&gt;")&amp;" batch steps done"</f>
      </c>
    </row>
    <row r="102" ht="15" customHeight="1" spans="1:9" s="10" customFormat="1" x14ac:dyDescent="0.25">
      <c r="A102" s="11" t="s">
        <v>502</v>
      </c>
      <c r="B102" s="6">
        <v>3</v>
      </c>
      <c r="C102" s="19" t="s">
        <v>2498</v>
      </c>
      <c r="D102" s="11" t="s">
        <v>2485</v>
      </c>
      <c r="E102" s="11" t="s">
        <v>498</v>
      </c>
      <c r="F102" s="6"/>
      <c r="G102" s="6" t="s">
        <v>11</v>
      </c>
      <c r="H102" s="11" t="s">
        <v>173</v>
      </c>
      <c r="I102" s="11" t="s">
        <v>142</v>
      </c>
    </row>
    <row r="103" ht="15" customHeight="1" spans="1:9" s="10" customFormat="1" x14ac:dyDescent="0.25">
      <c r="A103" s="11" t="s">
        <v>507</v>
      </c>
      <c r="B103" s="6">
        <v>3</v>
      </c>
      <c r="C103" s="19" t="s">
        <v>2499</v>
      </c>
      <c r="D103" s="11" t="s">
        <v>2485</v>
      </c>
      <c r="E103" s="11" t="s">
        <v>2500</v>
      </c>
      <c r="F103" s="6"/>
      <c r="G103" s="6" t="s">
        <v>11</v>
      </c>
      <c r="H103" s="11" t="s">
        <v>2358</v>
      </c>
      <c r="I103" s="11" t="s">
        <v>142</v>
      </c>
    </row>
    <row r="104" ht="15" customHeight="1" spans="1:12" s="10" customFormat="1" x14ac:dyDescent="0.25">
      <c r="A104" s="11" t="s">
        <v>2501</v>
      </c>
      <c r="B104" s="6">
        <v>3</v>
      </c>
      <c r="C104" s="19" t="s">
        <v>2502</v>
      </c>
      <c r="D104" s="11" t="s">
        <v>2485</v>
      </c>
      <c r="E104" s="11" t="s">
        <v>604</v>
      </c>
      <c r="F104" s="6"/>
      <c r="G104" s="6" t="s">
        <v>11</v>
      </c>
      <c r="H104" s="11" t="s">
        <v>2308</v>
      </c>
      <c r="I104" s="11" t="s">
        <v>2503</v>
      </c>
      <c r="J104" s="23" t="s">
        <v>2339</v>
      </c>
      <c r="K104" s="10" t="s">
        <v>2308</v>
      </c>
      <c r="L104" s="21" t="s">
        <v>2504</v>
      </c>
    </row>
    <row r="105" ht="15" customHeight="1" spans="1:10" s="10" customFormat="1" x14ac:dyDescent="0.25">
      <c r="A105" s="16" t="s">
        <v>2505</v>
      </c>
      <c r="B105" s="17">
        <v>2</v>
      </c>
      <c r="C105" s="18" t="s">
        <v>2506</v>
      </c>
      <c r="D105" s="16"/>
      <c r="E105" s="16"/>
      <c r="F105" s="17">
        <f>COUNTIFS($B$106:$B$108,3,$G$106:$G$108,"COMPLETED")&amp;" / "&amp;COUNTIF($B$106:$B$108,3)</f>
      </c>
      <c r="G105" s="17">
        <f>IF(COUNTIFS($B$106:$B$108,3,$G$106:$G$108,"COMPLETED")=COUNTIF($B$106:$B$108,3),"COMPLETED",IF(COUNTIFS($B$106:$B$108,3,$G$106:$G$108,"BLOCKED")&gt;0,"BLOCKED",IF(COUNTIFS($B$106:$B$108,3,$G$106:$G$108,"YET TO START")=COUNTIF($B$106:$B$108,3),"YET TO START","IN PROGRESS")))</f>
      </c>
      <c r="H105" s="16"/>
      <c r="I105" s="16"/>
      <c r="J105" s="13">
        <f>(COUNTIFS($B$106:$B$108,3,$J$106:$J$108,"DONE")+COUNTIFS($B$106:$B$108,3,$J$106:$J$108,"DONE-SANDBOX"))&amp;" / "&amp;COUNTIFS($B$106:$B$108,3,$J$106:$J$108,"&lt;&gt;")&amp;" batch steps done"</f>
      </c>
    </row>
    <row r="106" ht="15" customHeight="1" spans="1:9" s="10" customFormat="1" x14ac:dyDescent="0.25">
      <c r="A106" s="11" t="s">
        <v>515</v>
      </c>
      <c r="B106" s="6">
        <v>3</v>
      </c>
      <c r="C106" s="19" t="s">
        <v>2507</v>
      </c>
      <c r="D106" s="11" t="s">
        <v>2485</v>
      </c>
      <c r="E106" s="11" t="s">
        <v>512</v>
      </c>
      <c r="F106" s="6"/>
      <c r="G106" s="6" t="s">
        <v>11</v>
      </c>
      <c r="H106" s="11" t="s">
        <v>2508</v>
      </c>
      <c r="I106" s="11" t="s">
        <v>142</v>
      </c>
    </row>
    <row r="107" ht="15" customHeight="1" spans="1:9" s="10" customFormat="1" x14ac:dyDescent="0.25">
      <c r="A107" s="11" t="s">
        <v>1188</v>
      </c>
      <c r="B107" s="6">
        <v>3</v>
      </c>
      <c r="C107" s="19" t="s">
        <v>2509</v>
      </c>
      <c r="D107" s="11" t="s">
        <v>2485</v>
      </c>
      <c r="E107" s="11" t="s">
        <v>1185</v>
      </c>
      <c r="F107" s="6"/>
      <c r="G107" s="6" t="s">
        <v>11</v>
      </c>
      <c r="H107" s="11" t="s">
        <v>2366</v>
      </c>
      <c r="I107" s="11" t="s">
        <v>2322</v>
      </c>
    </row>
    <row r="108" ht="15" customHeight="1" spans="1:12" s="10" customFormat="1" x14ac:dyDescent="0.25">
      <c r="A108" s="11" t="s">
        <v>785</v>
      </c>
      <c r="B108" s="6">
        <v>3</v>
      </c>
      <c r="C108" s="19" t="s">
        <v>2510</v>
      </c>
      <c r="D108" s="11" t="s">
        <v>2485</v>
      </c>
      <c r="E108" s="11" t="s">
        <v>781</v>
      </c>
      <c r="F108" s="6"/>
      <c r="G108" s="6" t="s">
        <v>11</v>
      </c>
      <c r="H108" s="11" t="s">
        <v>2308</v>
      </c>
      <c r="I108" s="11" t="s">
        <v>2511</v>
      </c>
      <c r="J108" s="20" t="s">
        <v>2274</v>
      </c>
      <c r="K108" s="10" t="s">
        <v>2308</v>
      </c>
      <c r="L108" s="21" t="s">
        <v>2512</v>
      </c>
    </row>
    <row r="109" ht="15" customHeight="1" spans="1:10" s="10" customFormat="1" x14ac:dyDescent="0.25">
      <c r="A109" s="16" t="s">
        <v>2513</v>
      </c>
      <c r="B109" s="17">
        <v>2</v>
      </c>
      <c r="C109" s="18" t="s">
        <v>2514</v>
      </c>
      <c r="D109" s="16"/>
      <c r="E109" s="16"/>
      <c r="F109" s="17">
        <f>COUNTIFS($B$110:$B$110,3,$G$110:$G$110,"COMPLETED")&amp;" / "&amp;COUNTIF($B$110:$B$110,3)</f>
      </c>
      <c r="G109" s="17">
        <f>IF(COUNTIFS($B$110:$B$110,3,$G$110:$G$110,"COMPLETED")=COUNTIF($B$110:$B$110,3),"COMPLETED",IF(COUNTIFS($B$110:$B$110,3,$G$110:$G$110,"BLOCKED")&gt;0,"BLOCKED",IF(COUNTIFS($B$110:$B$110,3,$G$110:$G$110,"YET TO START")=COUNTIF($B$110:$B$110,3),"YET TO START","IN PROGRESS")))</f>
      </c>
      <c r="H109" s="16"/>
      <c r="I109" s="16"/>
      <c r="J109" s="13">
        <f>(COUNTIFS($B$110:$B$110,3,$J$110:$J$110,"DONE")+COUNTIFS($B$110:$B$110,3,$J$110:$J$110,"DONE-SANDBOX"))&amp;" / "&amp;COUNTIFS($B$110:$B$110,3,$J$110:$J$110,"&lt;&gt;")&amp;" batch steps done"</f>
      </c>
    </row>
    <row r="110" ht="15" customHeight="1" spans="1:9" s="10" customFormat="1" x14ac:dyDescent="0.25">
      <c r="A110" s="11" t="s">
        <v>524</v>
      </c>
      <c r="B110" s="6">
        <v>3</v>
      </c>
      <c r="C110" s="19" t="s">
        <v>2515</v>
      </c>
      <c r="D110" s="11" t="s">
        <v>2485</v>
      </c>
      <c r="E110" s="11" t="s">
        <v>2516</v>
      </c>
      <c r="F110" s="6"/>
      <c r="G110" s="6" t="s">
        <v>11</v>
      </c>
      <c r="H110" s="11" t="s">
        <v>173</v>
      </c>
      <c r="I110" s="11" t="s">
        <v>142</v>
      </c>
    </row>
    <row r="111" ht="18" customHeight="1" spans="1:10" s="10" customFormat="1" x14ac:dyDescent="0.25">
      <c r="A111" s="14" t="s">
        <v>2517</v>
      </c>
      <c r="B111" s="15">
        <v>1</v>
      </c>
      <c r="C111" s="14" t="s">
        <v>68</v>
      </c>
      <c r="D111" s="14" t="s">
        <v>2518</v>
      </c>
      <c r="E111" s="14"/>
      <c r="F111" s="15">
        <f>COUNTIFS($B$112:$B$119,3,$G$112:$G$119,"COMPLETED")&amp;" / "&amp;COUNTIF($B$112:$B$119,3)</f>
      </c>
      <c r="G111" s="15">
        <f>IF(COUNTIFS($B$112:$B$119,3,$G$112:$G$119,"COMPLETED")=COUNTIF($B$112:$B$119,3),"COMPLETED",IF(COUNTIFS($B$112:$B$119,3,$G$112:$G$119,"BLOCKED")&gt;0,"BLOCKED",IF(COUNTIFS($B$112:$B$119,3,$G$112:$G$119,"YET TO START")=COUNTIF($B$112:$B$119,3),"YET TO START","IN PROGRESS")))</f>
      </c>
      <c r="H111" s="14"/>
      <c r="I111" s="14"/>
      <c r="J111" s="13">
        <f>(COUNTIFS($B$112:$B$119,3,$J$112:$J$119,"DONE")+COUNTIFS($B$112:$B$119,3,$J$112:$J$119,"DONE-SANDBOX"))&amp;" / "&amp;COUNTIFS($B$112:$B$119,3,$J$112:$J$119,"&lt;&gt;")&amp;" batch steps done"</f>
      </c>
    </row>
    <row r="112" ht="15" customHeight="1" spans="1:10" s="10" customFormat="1" x14ac:dyDescent="0.25">
      <c r="A112" s="16" t="s">
        <v>2519</v>
      </c>
      <c r="B112" s="17">
        <v>2</v>
      </c>
      <c r="C112" s="18" t="s">
        <v>2520</v>
      </c>
      <c r="D112" s="16"/>
      <c r="E112" s="16"/>
      <c r="F112" s="17">
        <f>COUNTIFS($B$113:$B$113,3,$G$113:$G$113,"COMPLETED")&amp;" / "&amp;COUNTIF($B$113:$B$113,3)</f>
      </c>
      <c r="G112" s="17">
        <f>IF(COUNTIFS($B$113:$B$113,3,$G$113:$G$113,"COMPLETED")=COUNTIF($B$113:$B$113,3),"COMPLETED",IF(COUNTIFS($B$113:$B$113,3,$G$113:$G$113,"BLOCKED")&gt;0,"BLOCKED",IF(COUNTIFS($B$113:$B$113,3,$G$113:$G$113,"YET TO START")=COUNTIF($B$113:$B$113,3),"YET TO START","IN PROGRESS")))</f>
      </c>
      <c r="H112" s="16"/>
      <c r="I112" s="16"/>
      <c r="J112" s="13">
        <f>(COUNTIFS($B$113:$B$113,3,$J$113:$J$113,"DONE")+COUNTIFS($B$113:$B$113,3,$J$113:$J$113,"DONE-SANDBOX"))&amp;" / "&amp;COUNTIFS($B$113:$B$113,3,$J$113:$J$113,"&lt;&gt;")&amp;" batch steps done"</f>
      </c>
    </row>
    <row r="113" ht="15" customHeight="1" spans="1:9" s="10" customFormat="1" x14ac:dyDescent="0.25">
      <c r="A113" s="11" t="s">
        <v>456</v>
      </c>
      <c r="B113" s="6">
        <v>3</v>
      </c>
      <c r="C113" s="19" t="s">
        <v>2521</v>
      </c>
      <c r="D113" s="11" t="s">
        <v>2518</v>
      </c>
      <c r="E113" s="11" t="s">
        <v>2522</v>
      </c>
      <c r="F113" s="6"/>
      <c r="G113" s="6" t="s">
        <v>11</v>
      </c>
      <c r="H113" s="11" t="s">
        <v>660</v>
      </c>
      <c r="I113" s="11" t="s">
        <v>142</v>
      </c>
    </row>
    <row r="114" ht="15" customHeight="1" spans="1:10" s="10" customFormat="1" x14ac:dyDescent="0.25">
      <c r="A114" s="16" t="s">
        <v>2523</v>
      </c>
      <c r="B114" s="17">
        <v>2</v>
      </c>
      <c r="C114" s="18" t="s">
        <v>2524</v>
      </c>
      <c r="D114" s="16"/>
      <c r="E114" s="16"/>
      <c r="F114" s="17">
        <f>COUNTIFS($B$115:$B$115,3,$G$115:$G$115,"COMPLETED")&amp;" / "&amp;COUNTIF($B$115:$B$115,3)</f>
      </c>
      <c r="G114" s="17">
        <f>IF(COUNTIFS($B$115:$B$115,3,$G$115:$G$115,"COMPLETED")=COUNTIF($B$115:$B$115,3),"COMPLETED",IF(COUNTIFS($B$115:$B$115,3,$G$115:$G$115,"BLOCKED")&gt;0,"BLOCKED",IF(COUNTIFS($B$115:$B$115,3,$G$115:$G$115,"YET TO START")=COUNTIF($B$115:$B$115,3),"YET TO START","IN PROGRESS")))</f>
      </c>
      <c r="H114" s="16"/>
      <c r="I114" s="16"/>
      <c r="J114" s="13">
        <f>(COUNTIFS($B$115:$B$115,3,$J$115:$J$115,"DONE")+COUNTIFS($B$115:$B$115,3,$J$115:$J$115,"DONE-SANDBOX"))&amp;" / "&amp;COUNTIFS($B$115:$B$115,3,$J$115:$J$115,"&lt;&gt;")&amp;" batch steps done"</f>
      </c>
    </row>
    <row r="115" ht="15" customHeight="1" spans="1:9" s="10" customFormat="1" x14ac:dyDescent="0.25">
      <c r="A115" s="11" t="s">
        <v>469</v>
      </c>
      <c r="B115" s="6">
        <v>3</v>
      </c>
      <c r="C115" s="19" t="s">
        <v>2525</v>
      </c>
      <c r="D115" s="11" t="s">
        <v>2518</v>
      </c>
      <c r="E115" s="11" t="s">
        <v>2526</v>
      </c>
      <c r="F115" s="6"/>
      <c r="G115" s="6" t="s">
        <v>11</v>
      </c>
      <c r="H115" s="11" t="s">
        <v>2527</v>
      </c>
      <c r="I115" s="11" t="s">
        <v>142</v>
      </c>
    </row>
    <row r="116" ht="15" customHeight="1" spans="1:10" s="10" customFormat="1" x14ac:dyDescent="0.25">
      <c r="A116" s="16" t="s">
        <v>2528</v>
      </c>
      <c r="B116" s="17">
        <v>2</v>
      </c>
      <c r="C116" s="18" t="s">
        <v>2529</v>
      </c>
      <c r="D116" s="16"/>
      <c r="E116" s="16"/>
      <c r="F116" s="17">
        <f>COUNTIFS($B$117:$B$119,3,$G$117:$G$119,"COMPLETED")&amp;" / "&amp;COUNTIF($B$117:$B$119,3)</f>
      </c>
      <c r="G116" s="17">
        <f>IF(COUNTIFS($B$117:$B$119,3,$G$117:$G$119,"COMPLETED")=COUNTIF($B$117:$B$119,3),"COMPLETED",IF(COUNTIFS($B$117:$B$119,3,$G$117:$G$119,"BLOCKED")&gt;0,"BLOCKED",IF(COUNTIFS($B$117:$B$119,3,$G$117:$G$119,"YET TO START")=COUNTIF($B$117:$B$119,3),"YET TO START","IN PROGRESS")))</f>
      </c>
      <c r="H116" s="16"/>
      <c r="I116" s="16"/>
      <c r="J116" s="13">
        <f>(COUNTIFS($B$117:$B$119,3,$J$117:$J$119,"DONE")+COUNTIFS($B$117:$B$119,3,$J$117:$J$119,"DONE-SANDBOX"))&amp;" / "&amp;COUNTIFS($B$117:$B$119,3,$J$117:$J$119,"&lt;&gt;")&amp;" batch steps done"</f>
      </c>
    </row>
    <row r="117" ht="15" customHeight="1" spans="1:9" s="10" customFormat="1" x14ac:dyDescent="0.25">
      <c r="A117" s="11" t="s">
        <v>2530</v>
      </c>
      <c r="B117" s="6">
        <v>3</v>
      </c>
      <c r="C117" s="19" t="s">
        <v>2531</v>
      </c>
      <c r="D117" s="11" t="s">
        <v>2518</v>
      </c>
      <c r="E117" s="11" t="s">
        <v>656</v>
      </c>
      <c r="F117" s="6"/>
      <c r="G117" s="6" t="s">
        <v>11</v>
      </c>
      <c r="H117" s="11" t="s">
        <v>460</v>
      </c>
      <c r="I117" s="11" t="s">
        <v>142</v>
      </c>
    </row>
    <row r="118" ht="15" customHeight="1" spans="1:9" s="10" customFormat="1" x14ac:dyDescent="0.25">
      <c r="A118" s="11" t="s">
        <v>465</v>
      </c>
      <c r="B118" s="6">
        <v>3</v>
      </c>
      <c r="C118" s="19" t="s">
        <v>2532</v>
      </c>
      <c r="D118" s="11" t="s">
        <v>2518</v>
      </c>
      <c r="E118" s="11" t="s">
        <v>2533</v>
      </c>
      <c r="F118" s="6"/>
      <c r="G118" s="6" t="s">
        <v>11</v>
      </c>
      <c r="H118" s="11" t="s">
        <v>2534</v>
      </c>
      <c r="I118" s="11" t="s">
        <v>142</v>
      </c>
    </row>
    <row r="119" ht="15" customHeight="1" spans="1:9" s="10" customFormat="1" x14ac:dyDescent="0.25">
      <c r="A119" s="11" t="s">
        <v>867</v>
      </c>
      <c r="B119" s="6">
        <v>3</v>
      </c>
      <c r="C119" s="19" t="s">
        <v>2535</v>
      </c>
      <c r="D119" s="11" t="s">
        <v>2518</v>
      </c>
      <c r="E119" s="11" t="s">
        <v>2536</v>
      </c>
      <c r="F119" s="6"/>
      <c r="G119" s="6" t="s">
        <v>11</v>
      </c>
      <c r="H119" s="11" t="s">
        <v>2391</v>
      </c>
      <c r="I119" s="11" t="s">
        <v>142</v>
      </c>
    </row>
    <row r="120" ht="18" customHeight="1" spans="1:10" s="10" customFormat="1" x14ac:dyDescent="0.25">
      <c r="A120" s="14" t="s">
        <v>2537</v>
      </c>
      <c r="B120" s="15">
        <v>1</v>
      </c>
      <c r="C120" s="14" t="s">
        <v>69</v>
      </c>
      <c r="D120" s="14" t="s">
        <v>2538</v>
      </c>
      <c r="E120" s="14"/>
      <c r="F120" s="15">
        <f>COUNTIFS($B$121:$B$143,3,$G$121:$G$143,"COMPLETED")&amp;" / "&amp;COUNTIF($B$121:$B$143,3)</f>
      </c>
      <c r="G120" s="15">
        <f>IF(COUNTIFS($B$121:$B$143,3,$G$121:$G$143,"COMPLETED")=COUNTIF($B$121:$B$143,3),"COMPLETED",IF(COUNTIFS($B$121:$B$143,3,$G$121:$G$143,"BLOCKED")&gt;0,"BLOCKED",IF(COUNTIFS($B$121:$B$143,3,$G$121:$G$143,"YET TO START")=COUNTIF($B$121:$B$143,3),"YET TO START","IN PROGRESS")))</f>
      </c>
      <c r="H120" s="14"/>
      <c r="I120" s="14"/>
      <c r="J120" s="13">
        <f>(COUNTIFS($B$121:$B$143,3,$J$121:$J$143,"DONE")+COUNTIFS($B$121:$B$143,3,$J$121:$J$143,"DONE-SANDBOX"))&amp;" / "&amp;COUNTIFS($B$121:$B$143,3,$J$121:$J$143,"&lt;&gt;")&amp;" batch steps done"</f>
      </c>
    </row>
    <row r="121" ht="15" customHeight="1" spans="1:10" s="10" customFormat="1" x14ac:dyDescent="0.25">
      <c r="A121" s="16" t="s">
        <v>2539</v>
      </c>
      <c r="B121" s="17">
        <v>2</v>
      </c>
      <c r="C121" s="18" t="s">
        <v>2540</v>
      </c>
      <c r="D121" s="16"/>
      <c r="E121" s="16"/>
      <c r="F121" s="17">
        <f>COUNTIFS($B$122:$B$125,3,$G$122:$G$125,"COMPLETED")&amp;" / "&amp;COUNTIF($B$122:$B$125,3)</f>
      </c>
      <c r="G121" s="17">
        <f>IF(COUNTIFS($B$122:$B$125,3,$G$122:$G$125,"COMPLETED")=COUNTIF($B$122:$B$125,3),"COMPLETED",IF(COUNTIFS($B$122:$B$125,3,$G$122:$G$125,"BLOCKED")&gt;0,"BLOCKED",IF(COUNTIFS($B$122:$B$125,3,$G$122:$G$125,"YET TO START")=COUNTIF($B$122:$B$125,3),"YET TO START","IN PROGRESS")))</f>
      </c>
      <c r="H121" s="16"/>
      <c r="I121" s="16"/>
      <c r="J121" s="13">
        <f>(COUNTIFS($B$122:$B$125,3,$J$122:$J$125,"DONE")+COUNTIFS($B$122:$B$125,3,$J$122:$J$125,"DONE-SANDBOX"))&amp;" / "&amp;COUNTIFS($B$122:$B$125,3,$J$122:$J$125,"&lt;&gt;")&amp;" batch steps done"</f>
      </c>
    </row>
    <row r="122" ht="27" customHeight="1" spans="1:9" s="10" customFormat="1" x14ac:dyDescent="0.25">
      <c r="A122" s="11" t="s">
        <v>179</v>
      </c>
      <c r="B122" s="6">
        <v>3</v>
      </c>
      <c r="C122" s="19" t="s">
        <v>2541</v>
      </c>
      <c r="D122" s="11" t="s">
        <v>2538</v>
      </c>
      <c r="E122" s="11" t="s">
        <v>175</v>
      </c>
      <c r="F122" s="6"/>
      <c r="G122" s="6" t="s">
        <v>11</v>
      </c>
      <c r="H122" s="11" t="s">
        <v>2542</v>
      </c>
      <c r="I122" s="11" t="s">
        <v>142</v>
      </c>
    </row>
    <row r="123" ht="51" customHeight="1" spans="1:9" s="10" customFormat="1" x14ac:dyDescent="0.25">
      <c r="A123" s="11" t="s">
        <v>1232</v>
      </c>
      <c r="B123" s="6">
        <v>3</v>
      </c>
      <c r="C123" s="19" t="s">
        <v>2543</v>
      </c>
      <c r="D123" s="11" t="s">
        <v>2538</v>
      </c>
      <c r="E123" s="11" t="s">
        <v>1229</v>
      </c>
      <c r="F123" s="6"/>
      <c r="G123" s="6" t="s">
        <v>11</v>
      </c>
      <c r="H123" s="11" t="s">
        <v>2544</v>
      </c>
      <c r="I123" s="11" t="s">
        <v>2545</v>
      </c>
    </row>
    <row r="124" ht="39" customHeight="1" spans="1:9" s="10" customFormat="1" x14ac:dyDescent="0.25">
      <c r="A124" s="11" t="s">
        <v>1267</v>
      </c>
      <c r="B124" s="6">
        <v>3</v>
      </c>
      <c r="C124" s="19" t="s">
        <v>2546</v>
      </c>
      <c r="D124" s="11" t="s">
        <v>2538</v>
      </c>
      <c r="E124" s="11" t="s">
        <v>2547</v>
      </c>
      <c r="F124" s="6"/>
      <c r="G124" s="6" t="s">
        <v>11</v>
      </c>
      <c r="H124" s="11" t="s">
        <v>2379</v>
      </c>
      <c r="I124" s="11" t="s">
        <v>2380</v>
      </c>
    </row>
    <row r="125" ht="27" customHeight="1" spans="1:9" s="10" customFormat="1" x14ac:dyDescent="0.25">
      <c r="A125" s="11" t="s">
        <v>2548</v>
      </c>
      <c r="B125" s="6">
        <v>3</v>
      </c>
      <c r="C125" s="19" t="s">
        <v>2549</v>
      </c>
      <c r="D125" s="11" t="s">
        <v>552</v>
      </c>
      <c r="E125" s="11" t="s">
        <v>1380</v>
      </c>
      <c r="F125" s="6"/>
      <c r="G125" s="6" t="s">
        <v>11</v>
      </c>
      <c r="H125" s="11" t="s">
        <v>2550</v>
      </c>
      <c r="I125" s="11" t="s">
        <v>2551</v>
      </c>
    </row>
    <row r="126" ht="15" customHeight="1" spans="1:10" s="10" customFormat="1" x14ac:dyDescent="0.25">
      <c r="A126" s="16" t="s">
        <v>2552</v>
      </c>
      <c r="B126" s="17">
        <v>2</v>
      </c>
      <c r="C126" s="18" t="s">
        <v>2553</v>
      </c>
      <c r="D126" s="16"/>
      <c r="E126" s="16"/>
      <c r="F126" s="17">
        <f>COUNTIFS($B$127:$B$133,3,$G$127:$G$133,"COMPLETED")&amp;" / "&amp;COUNTIF($B$127:$B$133,3)</f>
      </c>
      <c r="G126" s="17">
        <f>IF(COUNTIFS($B$127:$B$133,3,$G$127:$G$133,"COMPLETED")=COUNTIF($B$127:$B$133,3),"COMPLETED",IF(COUNTIFS($B$127:$B$133,3,$G$127:$G$133,"BLOCKED")&gt;0,"BLOCKED",IF(COUNTIFS($B$127:$B$133,3,$G$127:$G$133,"YET TO START")=COUNTIF($B$127:$B$133,3),"YET TO START","IN PROGRESS")))</f>
      </c>
      <c r="H126" s="16"/>
      <c r="I126" s="16"/>
      <c r="J126" s="13">
        <f>(COUNTIFS($B$127:$B$133,3,$J$127:$J$133,"DONE")+COUNTIFS($B$127:$B$133,3,$J$127:$J$133,"DONE-SANDBOX"))&amp;" / "&amp;COUNTIFS($B$127:$B$133,3,$J$127:$J$133,"&lt;&gt;")&amp;" batch steps done"</f>
      </c>
    </row>
    <row r="127" ht="27" customHeight="1" spans="1:9" s="10" customFormat="1" x14ac:dyDescent="0.25">
      <c r="A127" s="11" t="s">
        <v>186</v>
      </c>
      <c r="B127" s="6">
        <v>3</v>
      </c>
      <c r="C127" s="19" t="s">
        <v>2554</v>
      </c>
      <c r="D127" s="11" t="s">
        <v>2538</v>
      </c>
      <c r="E127" s="11" t="s">
        <v>183</v>
      </c>
      <c r="F127" s="6"/>
      <c r="G127" s="6" t="s">
        <v>11</v>
      </c>
      <c r="H127" s="11" t="s">
        <v>2555</v>
      </c>
      <c r="I127" s="11" t="s">
        <v>2556</v>
      </c>
    </row>
    <row r="128" ht="27" customHeight="1" spans="1:9" s="10" customFormat="1" x14ac:dyDescent="0.25">
      <c r="A128" s="11" t="s">
        <v>1184</v>
      </c>
      <c r="B128" s="6">
        <v>3</v>
      </c>
      <c r="C128" s="19" t="s">
        <v>2557</v>
      </c>
      <c r="D128" s="11" t="s">
        <v>2538</v>
      </c>
      <c r="E128" s="11" t="s">
        <v>1181</v>
      </c>
      <c r="F128" s="6"/>
      <c r="G128" s="6" t="s">
        <v>11</v>
      </c>
      <c r="H128" s="11" t="s">
        <v>2366</v>
      </c>
      <c r="I128" s="11" t="s">
        <v>2322</v>
      </c>
    </row>
    <row r="129" ht="27" customHeight="1" spans="1:9" s="10" customFormat="1" x14ac:dyDescent="0.25">
      <c r="A129" s="11" t="s">
        <v>195</v>
      </c>
      <c r="B129" s="6">
        <v>3</v>
      </c>
      <c r="C129" s="19" t="s">
        <v>2558</v>
      </c>
      <c r="D129" s="11" t="s">
        <v>2538</v>
      </c>
      <c r="E129" s="11" t="s">
        <v>192</v>
      </c>
      <c r="F129" s="6"/>
      <c r="G129" s="6" t="s">
        <v>11</v>
      </c>
      <c r="H129" s="11" t="s">
        <v>2363</v>
      </c>
      <c r="I129" s="11" t="s">
        <v>142</v>
      </c>
    </row>
    <row r="130" ht="27" customHeight="1" spans="1:9" s="10" customFormat="1" x14ac:dyDescent="0.25">
      <c r="A130" s="11" t="s">
        <v>752</v>
      </c>
      <c r="B130" s="6">
        <v>3</v>
      </c>
      <c r="C130" s="19" t="s">
        <v>2559</v>
      </c>
      <c r="D130" s="11" t="s">
        <v>2538</v>
      </c>
      <c r="E130" s="11" t="s">
        <v>749</v>
      </c>
      <c r="F130" s="6"/>
      <c r="G130" s="6" t="s">
        <v>11</v>
      </c>
      <c r="H130" s="11" t="s">
        <v>2391</v>
      </c>
      <c r="I130" s="11" t="s">
        <v>142</v>
      </c>
    </row>
    <row r="131" ht="39" customHeight="1" spans="1:9" s="10" customFormat="1" x14ac:dyDescent="0.25">
      <c r="A131" s="11" t="s">
        <v>1249</v>
      </c>
      <c r="B131" s="6">
        <v>3</v>
      </c>
      <c r="C131" s="19" t="s">
        <v>2560</v>
      </c>
      <c r="D131" s="11" t="s">
        <v>2538</v>
      </c>
      <c r="E131" s="11" t="s">
        <v>2561</v>
      </c>
      <c r="F131" s="6"/>
      <c r="G131" s="6" t="s">
        <v>11</v>
      </c>
      <c r="H131" s="11" t="s">
        <v>2379</v>
      </c>
      <c r="I131" s="11" t="s">
        <v>2380</v>
      </c>
    </row>
    <row r="132" ht="39" customHeight="1" spans="1:9" s="10" customFormat="1" x14ac:dyDescent="0.25">
      <c r="A132" s="11" t="s">
        <v>1405</v>
      </c>
      <c r="B132" s="6">
        <v>3</v>
      </c>
      <c r="C132" s="19" t="s">
        <v>2562</v>
      </c>
      <c r="D132" s="11" t="s">
        <v>2538</v>
      </c>
      <c r="E132" s="11" t="s">
        <v>1402</v>
      </c>
      <c r="F132" s="6"/>
      <c r="G132" s="6" t="s">
        <v>11</v>
      </c>
      <c r="H132" s="11" t="s">
        <v>2563</v>
      </c>
      <c r="I132" s="11" t="s">
        <v>2564</v>
      </c>
    </row>
    <row r="133" ht="27" customHeight="1" spans="1:9" s="10" customFormat="1" x14ac:dyDescent="0.25">
      <c r="A133" s="11" t="s">
        <v>1414</v>
      </c>
      <c r="B133" s="6">
        <v>3</v>
      </c>
      <c r="C133" s="19" t="s">
        <v>2565</v>
      </c>
      <c r="D133" s="11" t="s">
        <v>2538</v>
      </c>
      <c r="E133" s="11" t="s">
        <v>1411</v>
      </c>
      <c r="F133" s="6"/>
      <c r="G133" s="6" t="s">
        <v>11</v>
      </c>
      <c r="H133" s="11" t="s">
        <v>2566</v>
      </c>
      <c r="I133" s="11" t="s">
        <v>2567</v>
      </c>
    </row>
    <row r="134" ht="15" customHeight="1" spans="1:10" s="10" customFormat="1" x14ac:dyDescent="0.25">
      <c r="A134" s="16" t="s">
        <v>2568</v>
      </c>
      <c r="B134" s="17">
        <v>2</v>
      </c>
      <c r="C134" s="18" t="s">
        <v>2569</v>
      </c>
      <c r="D134" s="16"/>
      <c r="E134" s="16"/>
      <c r="F134" s="17">
        <f>COUNTIFS($B$135:$B$138,3,$G$135:$G$138,"COMPLETED")&amp;" / "&amp;COUNTIF($B$135:$B$138,3)</f>
      </c>
      <c r="G134" s="17">
        <f>IF(COUNTIFS($B$135:$B$138,3,$G$135:$G$138,"COMPLETED")=COUNTIF($B$135:$B$138,3),"COMPLETED",IF(COUNTIFS($B$135:$B$138,3,$G$135:$G$138,"BLOCKED")&gt;0,"BLOCKED",IF(COUNTIFS($B$135:$B$138,3,$G$135:$G$138,"YET TO START")=COUNTIF($B$135:$B$138,3),"YET TO START","IN PROGRESS")))</f>
      </c>
      <c r="H134" s="16"/>
      <c r="I134" s="16"/>
      <c r="J134" s="13">
        <f>(COUNTIFS($B$135:$B$138,3,$J$135:$J$138,"DONE")+COUNTIFS($B$135:$B$138,3,$J$135:$J$138,"DONE-SANDBOX"))&amp;" / "&amp;COUNTIFS($B$135:$B$138,3,$J$135:$J$138,"&lt;&gt;")&amp;" batch steps done"</f>
      </c>
    </row>
    <row r="135" ht="27" customHeight="1" spans="1:9" s="10" customFormat="1" x14ac:dyDescent="0.25">
      <c r="A135" s="11" t="s">
        <v>673</v>
      </c>
      <c r="B135" s="6">
        <v>3</v>
      </c>
      <c r="C135" s="19" t="s">
        <v>2570</v>
      </c>
      <c r="D135" s="11" t="s">
        <v>2538</v>
      </c>
      <c r="E135" s="11" t="s">
        <v>2571</v>
      </c>
      <c r="F135" s="6"/>
      <c r="G135" s="6" t="s">
        <v>11</v>
      </c>
      <c r="H135" s="11" t="s">
        <v>2572</v>
      </c>
      <c r="I135" s="11" t="s">
        <v>142</v>
      </c>
    </row>
    <row r="136" ht="27" customHeight="1" spans="1:9" s="10" customFormat="1" x14ac:dyDescent="0.25">
      <c r="A136" s="11" t="s">
        <v>202</v>
      </c>
      <c r="B136" s="6">
        <v>3</v>
      </c>
      <c r="C136" s="19" t="s">
        <v>2573</v>
      </c>
      <c r="D136" s="11" t="s">
        <v>2538</v>
      </c>
      <c r="E136" s="11" t="s">
        <v>2574</v>
      </c>
      <c r="F136" s="6"/>
      <c r="G136" s="6" t="s">
        <v>11</v>
      </c>
      <c r="H136" s="11" t="s">
        <v>2575</v>
      </c>
      <c r="I136" s="11" t="s">
        <v>142</v>
      </c>
    </row>
    <row r="137" ht="27" customHeight="1" spans="1:9" s="10" customFormat="1" x14ac:dyDescent="0.25">
      <c r="A137" s="11" t="s">
        <v>209</v>
      </c>
      <c r="B137" s="6">
        <v>3</v>
      </c>
      <c r="C137" s="19" t="s">
        <v>2576</v>
      </c>
      <c r="D137" s="11" t="s">
        <v>2538</v>
      </c>
      <c r="E137" s="11" t="s">
        <v>2577</v>
      </c>
      <c r="F137" s="6"/>
      <c r="G137" s="6" t="s">
        <v>11</v>
      </c>
      <c r="H137" s="11" t="s">
        <v>2358</v>
      </c>
      <c r="I137" s="11" t="s">
        <v>142</v>
      </c>
    </row>
    <row r="138" ht="27" customHeight="1" spans="1:9" s="10" customFormat="1" x14ac:dyDescent="0.25">
      <c r="A138" s="11" t="s">
        <v>1137</v>
      </c>
      <c r="B138" s="6">
        <v>3</v>
      </c>
      <c r="C138" s="19" t="s">
        <v>2578</v>
      </c>
      <c r="D138" s="11" t="s">
        <v>2538</v>
      </c>
      <c r="E138" s="11" t="s">
        <v>1134</v>
      </c>
      <c r="F138" s="6"/>
      <c r="G138" s="6" t="s">
        <v>11</v>
      </c>
      <c r="H138" s="11" t="s">
        <v>2321</v>
      </c>
      <c r="I138" s="11" t="s">
        <v>2322</v>
      </c>
    </row>
    <row r="139" ht="15" customHeight="1" spans="1:10" s="10" customFormat="1" x14ac:dyDescent="0.25">
      <c r="A139" s="16" t="s">
        <v>2579</v>
      </c>
      <c r="B139" s="17">
        <v>2</v>
      </c>
      <c r="C139" s="18" t="s">
        <v>2580</v>
      </c>
      <c r="D139" s="16"/>
      <c r="E139" s="16"/>
      <c r="F139" s="17">
        <f>COUNTIFS($B$140:$B$143,3,$G$140:$G$143,"COMPLETED")&amp;" / "&amp;COUNTIF($B$140:$B$143,3)</f>
      </c>
      <c r="G139" s="17">
        <f>IF(COUNTIFS($B$140:$B$143,3,$G$140:$G$143,"COMPLETED")=COUNTIF($B$140:$B$143,3),"COMPLETED",IF(COUNTIFS($B$140:$B$143,3,$G$140:$G$143,"BLOCKED")&gt;0,"BLOCKED",IF(COUNTIFS($B$140:$B$143,3,$G$140:$G$143,"YET TO START")=COUNTIF($B$140:$B$143,3),"YET TO START","IN PROGRESS")))</f>
      </c>
      <c r="H139" s="16"/>
      <c r="I139" s="16"/>
      <c r="J139" s="13">
        <f>(COUNTIFS($B$140:$B$143,3,$J$140:$J$143,"DONE")+COUNTIFS($B$140:$B$143,3,$J$140:$J$143,"DONE-SANDBOX"))&amp;" / "&amp;COUNTIFS($B$140:$B$143,3,$J$140:$J$143,"&lt;&gt;")&amp;" batch steps done"</f>
      </c>
    </row>
    <row r="140" ht="27" customHeight="1" spans="1:9" s="10" customFormat="1" x14ac:dyDescent="0.25">
      <c r="A140" s="11" t="s">
        <v>1005</v>
      </c>
      <c r="B140" s="6">
        <v>3</v>
      </c>
      <c r="C140" s="19" t="s">
        <v>2581</v>
      </c>
      <c r="D140" s="11" t="s">
        <v>2538</v>
      </c>
      <c r="E140" s="11" t="s">
        <v>1002</v>
      </c>
      <c r="F140" s="6"/>
      <c r="G140" s="6" t="s">
        <v>11</v>
      </c>
      <c r="H140" s="11" t="s">
        <v>741</v>
      </c>
      <c r="I140" s="11" t="s">
        <v>142</v>
      </c>
    </row>
    <row r="141" ht="27" customHeight="1" spans="1:12" s="10" customFormat="1" x14ac:dyDescent="0.25">
      <c r="A141" s="11" t="s">
        <v>696</v>
      </c>
      <c r="B141" s="6">
        <v>3</v>
      </c>
      <c r="C141" s="19" t="s">
        <v>2582</v>
      </c>
      <c r="D141" s="11" t="s">
        <v>2538</v>
      </c>
      <c r="E141" s="11" t="s">
        <v>693</v>
      </c>
      <c r="F141" s="6"/>
      <c r="G141" s="6" t="s">
        <v>11</v>
      </c>
      <c r="H141" s="11" t="s">
        <v>2308</v>
      </c>
      <c r="I141" s="11" t="s">
        <v>2583</v>
      </c>
      <c r="J141" s="23" t="s">
        <v>2339</v>
      </c>
      <c r="K141" s="10" t="s">
        <v>2308</v>
      </c>
      <c r="L141" s="21" t="s">
        <v>2584</v>
      </c>
    </row>
    <row r="142" ht="27" customHeight="1" spans="1:9" s="10" customFormat="1" x14ac:dyDescent="0.25">
      <c r="A142" s="11" t="s">
        <v>1396</v>
      </c>
      <c r="B142" s="6">
        <v>3</v>
      </c>
      <c r="C142" s="19" t="s">
        <v>2585</v>
      </c>
      <c r="D142" s="11" t="s">
        <v>2382</v>
      </c>
      <c r="E142" s="11" t="s">
        <v>1393</v>
      </c>
      <c r="F142" s="6"/>
      <c r="G142" s="6" t="s">
        <v>11</v>
      </c>
      <c r="H142" s="11" t="s">
        <v>2586</v>
      </c>
      <c r="I142" s="11" t="s">
        <v>142</v>
      </c>
    </row>
    <row r="143" ht="15" customHeight="1" spans="1:9" s="10" customFormat="1" x14ac:dyDescent="0.25">
      <c r="A143" s="11" t="s">
        <v>1436</v>
      </c>
      <c r="B143" s="6">
        <v>3</v>
      </c>
      <c r="C143" s="19" t="s">
        <v>2587</v>
      </c>
      <c r="D143" s="11" t="s">
        <v>2382</v>
      </c>
      <c r="E143" s="11" t="s">
        <v>1433</v>
      </c>
      <c r="F143" s="6"/>
      <c r="G143" s="6" t="s">
        <v>11</v>
      </c>
      <c r="H143" s="11" t="s">
        <v>2588</v>
      </c>
      <c r="I143" s="11" t="s">
        <v>2589</v>
      </c>
    </row>
    <row r="144" ht="18" customHeight="1" spans="1:10" s="10" customFormat="1" x14ac:dyDescent="0.25">
      <c r="A144" s="14" t="s">
        <v>2590</v>
      </c>
      <c r="B144" s="15">
        <v>1</v>
      </c>
      <c r="C144" s="14" t="s">
        <v>70</v>
      </c>
      <c r="D144" s="14" t="s">
        <v>2538</v>
      </c>
      <c r="E144" s="14"/>
      <c r="F144" s="15">
        <f>COUNTIFS($B$145:$B$157,3,$G$145:$G$157,"COMPLETED")&amp;" / "&amp;COUNTIF($B$145:$B$157,3)</f>
      </c>
      <c r="G144" s="15">
        <f>IF(COUNTIFS($B$145:$B$157,3,$G$145:$G$157,"COMPLETED")=COUNTIF($B$145:$B$157,3),"COMPLETED",IF(COUNTIFS($B$145:$B$157,3,$G$145:$G$157,"BLOCKED")&gt;0,"BLOCKED",IF(COUNTIFS($B$145:$B$157,3,$G$145:$G$157,"YET TO START")=COUNTIF($B$145:$B$157,3),"YET TO START","IN PROGRESS")))</f>
      </c>
      <c r="H144" s="14"/>
      <c r="I144" s="14"/>
      <c r="J144" s="13">
        <f>(COUNTIFS($B$145:$B$157,3,$J$145:$J$157,"DONE")+COUNTIFS($B$145:$B$157,3,$J$145:$J$157,"DONE-SANDBOX"))&amp;" / "&amp;COUNTIFS($B$145:$B$157,3,$J$145:$J$157,"&lt;&gt;")&amp;" batch steps done"</f>
      </c>
    </row>
    <row r="145" ht="15" customHeight="1" spans="1:10" s="10" customFormat="1" x14ac:dyDescent="0.25">
      <c r="A145" s="16" t="s">
        <v>2591</v>
      </c>
      <c r="B145" s="17">
        <v>2</v>
      </c>
      <c r="C145" s="18" t="s">
        <v>2592</v>
      </c>
      <c r="D145" s="16"/>
      <c r="E145" s="16"/>
      <c r="F145" s="17">
        <f>COUNTIFS($B$146:$B$149,3,$G$146:$G$149,"COMPLETED")&amp;" / "&amp;COUNTIF($B$146:$B$149,3)</f>
      </c>
      <c r="G145" s="17">
        <f>IF(COUNTIFS($B$146:$B$149,3,$G$146:$G$149,"COMPLETED")=COUNTIF($B$146:$B$149,3),"COMPLETED",IF(COUNTIFS($B$146:$B$149,3,$G$146:$G$149,"BLOCKED")&gt;0,"BLOCKED",IF(COUNTIFS($B$146:$B$149,3,$G$146:$G$149,"YET TO START")=COUNTIF($B$146:$B$149,3),"YET TO START","IN PROGRESS")))</f>
      </c>
      <c r="H145" s="16"/>
      <c r="I145" s="16"/>
      <c r="J145" s="13">
        <f>(COUNTIFS($B$146:$B$149,3,$J$146:$J$149,"DONE")+COUNTIFS($B$146:$B$149,3,$J$146:$J$149,"DONE-SANDBOX"))&amp;" / "&amp;COUNTIFS($B$146:$B$149,3,$J$146:$J$149,"&lt;&gt;")&amp;" batch steps done"</f>
      </c>
    </row>
    <row r="146" ht="27" customHeight="1" spans="1:9" s="10" customFormat="1" x14ac:dyDescent="0.25">
      <c r="A146" s="11" t="s">
        <v>1456</v>
      </c>
      <c r="B146" s="6">
        <v>3</v>
      </c>
      <c r="C146" s="19" t="s">
        <v>2593</v>
      </c>
      <c r="D146" s="11" t="s">
        <v>2538</v>
      </c>
      <c r="E146" s="11" t="s">
        <v>2594</v>
      </c>
      <c r="F146" s="6"/>
      <c r="G146" s="6" t="s">
        <v>11</v>
      </c>
      <c r="H146" s="11" t="s">
        <v>2595</v>
      </c>
      <c r="I146" s="11" t="s">
        <v>142</v>
      </c>
    </row>
    <row r="147" ht="27" customHeight="1" spans="1:12" s="10" customFormat="1" x14ac:dyDescent="0.25">
      <c r="A147" s="11" t="s">
        <v>1464</v>
      </c>
      <c r="B147" s="6">
        <v>3</v>
      </c>
      <c r="C147" s="19" t="s">
        <v>2596</v>
      </c>
      <c r="D147" s="11" t="s">
        <v>2538</v>
      </c>
      <c r="E147" s="11" t="s">
        <v>1461</v>
      </c>
      <c r="F147" s="6"/>
      <c r="G147" s="6" t="s">
        <v>11</v>
      </c>
      <c r="H147" s="11" t="s">
        <v>2597</v>
      </c>
      <c r="I147" s="11" t="s">
        <v>2598</v>
      </c>
      <c r="J147" s="23" t="s">
        <v>2339</v>
      </c>
      <c r="K147" s="10" t="s">
        <v>2599</v>
      </c>
      <c r="L147" s="21" t="s">
        <v>2600</v>
      </c>
    </row>
    <row r="148" ht="27" customHeight="1" spans="1:9" s="10" customFormat="1" x14ac:dyDescent="0.25">
      <c r="A148" s="11" t="s">
        <v>1482</v>
      </c>
      <c r="B148" s="6">
        <v>3</v>
      </c>
      <c r="C148" s="19" t="s">
        <v>1480</v>
      </c>
      <c r="D148" s="11" t="s">
        <v>2538</v>
      </c>
      <c r="E148" s="11" t="s">
        <v>1479</v>
      </c>
      <c r="F148" s="6"/>
      <c r="G148" s="6" t="s">
        <v>11</v>
      </c>
      <c r="H148" s="11" t="s">
        <v>1483</v>
      </c>
      <c r="I148" s="11" t="s">
        <v>142</v>
      </c>
    </row>
    <row r="149" ht="27" customHeight="1" spans="1:12" s="10" customFormat="1" x14ac:dyDescent="0.25">
      <c r="A149" s="11" t="s">
        <v>1495</v>
      </c>
      <c r="B149" s="6">
        <v>3</v>
      </c>
      <c r="C149" s="19" t="s">
        <v>2601</v>
      </c>
      <c r="D149" s="11" t="s">
        <v>2538</v>
      </c>
      <c r="E149" s="11" t="s">
        <v>2602</v>
      </c>
      <c r="F149" s="6"/>
      <c r="G149" s="6" t="s">
        <v>11</v>
      </c>
      <c r="H149" s="11" t="s">
        <v>2603</v>
      </c>
      <c r="I149" s="11" t="s">
        <v>2604</v>
      </c>
      <c r="J149" s="20" t="s">
        <v>2274</v>
      </c>
      <c r="K149" s="10" t="s">
        <v>2603</v>
      </c>
      <c r="L149" s="21" t="s">
        <v>2605</v>
      </c>
    </row>
    <row r="150" ht="15" customHeight="1" spans="1:10" s="10" customFormat="1" x14ac:dyDescent="0.25">
      <c r="A150" s="16" t="s">
        <v>2606</v>
      </c>
      <c r="B150" s="17">
        <v>2</v>
      </c>
      <c r="C150" s="18" t="s">
        <v>2607</v>
      </c>
      <c r="D150" s="16"/>
      <c r="E150" s="16"/>
      <c r="F150" s="17">
        <f>COUNTIFS($B$151:$B$157,3,$G$151:$G$157,"COMPLETED")&amp;" / "&amp;COUNTIF($B$151:$B$157,3)</f>
      </c>
      <c r="G150" s="17">
        <f>IF(COUNTIFS($B$151:$B$157,3,$G$151:$G$157,"COMPLETED")=COUNTIF($B$151:$B$157,3),"COMPLETED",IF(COUNTIFS($B$151:$B$157,3,$G$151:$G$157,"BLOCKED")&gt;0,"BLOCKED",IF(COUNTIFS($B$151:$B$157,3,$G$151:$G$157,"YET TO START")=COUNTIF($B$151:$B$157,3),"YET TO START","IN PROGRESS")))</f>
      </c>
      <c r="H150" s="16"/>
      <c r="I150" s="16"/>
      <c r="J150" s="13">
        <f>(COUNTIFS($B$151:$B$157,3,$J$151:$J$157,"DONE")+COUNTIFS($B$151:$B$157,3,$J$151:$J$157,"DONE-SANDBOX"))&amp;" / "&amp;COUNTIFS($B$151:$B$157,3,$J$151:$J$157,"&lt;&gt;")&amp;" batch steps done"</f>
      </c>
    </row>
    <row r="151" ht="27" customHeight="1" spans="1:9" s="10" customFormat="1" x14ac:dyDescent="0.25">
      <c r="A151" s="11" t="s">
        <v>2608</v>
      </c>
      <c r="B151" s="6">
        <v>3</v>
      </c>
      <c r="C151" s="19" t="s">
        <v>2609</v>
      </c>
      <c r="D151" s="11" t="s">
        <v>2538</v>
      </c>
      <c r="E151" s="11" t="s">
        <v>1041</v>
      </c>
      <c r="F151" s="6"/>
      <c r="G151" s="6" t="s">
        <v>11</v>
      </c>
      <c r="H151" s="11" t="s">
        <v>1045</v>
      </c>
      <c r="I151" s="11" t="s">
        <v>142</v>
      </c>
    </row>
    <row r="152" ht="27" customHeight="1" spans="1:9" s="10" customFormat="1" x14ac:dyDescent="0.25">
      <c r="A152" s="11" t="s">
        <v>222</v>
      </c>
      <c r="B152" s="6">
        <v>3</v>
      </c>
      <c r="C152" s="19" t="s">
        <v>2610</v>
      </c>
      <c r="D152" s="11" t="s">
        <v>2538</v>
      </c>
      <c r="E152" s="11" t="s">
        <v>2611</v>
      </c>
      <c r="F152" s="6"/>
      <c r="G152" s="6" t="s">
        <v>11</v>
      </c>
      <c r="H152" s="11" t="s">
        <v>703</v>
      </c>
      <c r="I152" s="11" t="s">
        <v>142</v>
      </c>
    </row>
    <row r="153" ht="27" customHeight="1" spans="1:9" s="10" customFormat="1" x14ac:dyDescent="0.25">
      <c r="A153" s="11" t="s">
        <v>241</v>
      </c>
      <c r="B153" s="6">
        <v>3</v>
      </c>
      <c r="C153" s="19" t="s">
        <v>2612</v>
      </c>
      <c r="D153" s="11" t="s">
        <v>2538</v>
      </c>
      <c r="E153" s="11" t="s">
        <v>2613</v>
      </c>
      <c r="F153" s="6"/>
      <c r="G153" s="6" t="s">
        <v>11</v>
      </c>
      <c r="H153" s="11" t="s">
        <v>2614</v>
      </c>
      <c r="I153" s="11" t="s">
        <v>142</v>
      </c>
    </row>
    <row r="154" ht="27" customHeight="1" spans="1:9" s="10" customFormat="1" x14ac:dyDescent="0.25">
      <c r="A154" s="11" t="s">
        <v>233</v>
      </c>
      <c r="B154" s="6">
        <v>3</v>
      </c>
      <c r="C154" s="19" t="s">
        <v>2615</v>
      </c>
      <c r="D154" s="11" t="s">
        <v>2538</v>
      </c>
      <c r="E154" s="11" t="s">
        <v>2616</v>
      </c>
      <c r="F154" s="6"/>
      <c r="G154" s="6" t="s">
        <v>11</v>
      </c>
      <c r="H154" s="11" t="s">
        <v>2617</v>
      </c>
      <c r="I154" s="11" t="s">
        <v>2618</v>
      </c>
    </row>
    <row r="155" ht="27" customHeight="1" spans="1:9" s="10" customFormat="1" x14ac:dyDescent="0.25">
      <c r="A155" s="11" t="s">
        <v>1217</v>
      </c>
      <c r="B155" s="6">
        <v>3</v>
      </c>
      <c r="C155" s="19" t="s">
        <v>2619</v>
      </c>
      <c r="D155" s="11" t="s">
        <v>2538</v>
      </c>
      <c r="E155" s="11" t="s">
        <v>1214</v>
      </c>
      <c r="F155" s="6"/>
      <c r="G155" s="6" t="s">
        <v>11</v>
      </c>
      <c r="H155" s="11" t="s">
        <v>2544</v>
      </c>
      <c r="I155" s="11" t="s">
        <v>2322</v>
      </c>
    </row>
    <row r="156" ht="27" customHeight="1" spans="1:12" s="10" customFormat="1" x14ac:dyDescent="0.25">
      <c r="A156" s="11" t="s">
        <v>1223</v>
      </c>
      <c r="B156" s="6">
        <v>3</v>
      </c>
      <c r="C156" s="19" t="s">
        <v>2620</v>
      </c>
      <c r="D156" s="11" t="s">
        <v>2538</v>
      </c>
      <c r="E156" s="11" t="s">
        <v>1220</v>
      </c>
      <c r="F156" s="6"/>
      <c r="G156" s="6" t="s">
        <v>11</v>
      </c>
      <c r="H156" s="11" t="s">
        <v>2621</v>
      </c>
      <c r="I156" s="11" t="s">
        <v>2622</v>
      </c>
      <c r="J156" s="20" t="s">
        <v>2274</v>
      </c>
      <c r="K156" s="10" t="s">
        <v>2308</v>
      </c>
      <c r="L156" s="21" t="s">
        <v>2623</v>
      </c>
    </row>
    <row r="157" ht="27" customHeight="1" spans="1:9" s="10" customFormat="1" x14ac:dyDescent="0.25">
      <c r="A157" s="11" t="s">
        <v>1445</v>
      </c>
      <c r="B157" s="6">
        <v>3</v>
      </c>
      <c r="C157" s="19" t="s">
        <v>2624</v>
      </c>
      <c r="D157" s="11" t="s">
        <v>2382</v>
      </c>
      <c r="E157" s="11" t="s">
        <v>1442</v>
      </c>
      <c r="F157" s="6"/>
      <c r="G157" s="6" t="s">
        <v>11</v>
      </c>
      <c r="H157" s="11" t="s">
        <v>2625</v>
      </c>
      <c r="I157" s="11" t="s">
        <v>2626</v>
      </c>
    </row>
    <row r="158" ht="18" customHeight="1" spans="1:10" s="10" customFormat="1" x14ac:dyDescent="0.25">
      <c r="A158" s="14" t="s">
        <v>2627</v>
      </c>
      <c r="B158" s="15">
        <v>1</v>
      </c>
      <c r="C158" s="14" t="s">
        <v>71</v>
      </c>
      <c r="D158" s="14" t="s">
        <v>2628</v>
      </c>
      <c r="E158" s="14"/>
      <c r="F158" s="15">
        <f>COUNTIFS($B$159:$B$169,3,$G$159:$G$169,"COMPLETED")&amp;" / "&amp;COUNTIF($B$159:$B$169,3)</f>
      </c>
      <c r="G158" s="15">
        <f>IF(COUNTIFS($B$159:$B$169,3,$G$159:$G$169,"COMPLETED")=COUNTIF($B$159:$B$169,3),"COMPLETED",IF(COUNTIFS($B$159:$B$169,3,$G$159:$G$169,"BLOCKED")&gt;0,"BLOCKED",IF(COUNTIFS($B$159:$B$169,3,$G$159:$G$169,"YET TO START")=COUNTIF($B$159:$B$169,3),"YET TO START","IN PROGRESS")))</f>
      </c>
      <c r="H158" s="14"/>
      <c r="I158" s="14"/>
      <c r="J158" s="13">
        <f>(COUNTIFS($B$159:$B$169,3,$J$159:$J$169,"DONE")+COUNTIFS($B$159:$B$169,3,$J$159:$J$169,"DONE-SANDBOX"))&amp;" / "&amp;COUNTIFS($B$159:$B$169,3,$J$159:$J$169,"&lt;&gt;")&amp;" batch steps done"</f>
      </c>
    </row>
    <row r="159" ht="15" customHeight="1" spans="1:10" s="10" customFormat="1" x14ac:dyDescent="0.25">
      <c r="A159" s="16" t="s">
        <v>2629</v>
      </c>
      <c r="B159" s="17">
        <v>2</v>
      </c>
      <c r="C159" s="18" t="s">
        <v>2630</v>
      </c>
      <c r="D159" s="16"/>
      <c r="E159" s="16"/>
      <c r="F159" s="17">
        <f>COUNTIFS($B$160:$B$162,3,$G$160:$G$162,"COMPLETED")&amp;" / "&amp;COUNTIF($B$160:$B$162,3)</f>
      </c>
      <c r="G159" s="17">
        <f>IF(COUNTIFS($B$160:$B$162,3,$G$160:$G$162,"COMPLETED")=COUNTIF($B$160:$B$162,3),"COMPLETED",IF(COUNTIFS($B$160:$B$162,3,$G$160:$G$162,"BLOCKED")&gt;0,"BLOCKED",IF(COUNTIFS($B$160:$B$162,3,$G$160:$G$162,"YET TO START")=COUNTIF($B$160:$B$162,3),"YET TO START","IN PROGRESS")))</f>
      </c>
      <c r="H159" s="16"/>
      <c r="I159" s="16"/>
      <c r="J159" s="13">
        <f>(COUNTIFS($B$160:$B$162,3,$J$160:$J$162,"DONE")+COUNTIFS($B$160:$B$162,3,$J$160:$J$162,"DONE-SANDBOX"))&amp;" / "&amp;COUNTIFS($B$160:$B$162,3,$J$160:$J$162,"&lt;&gt;")&amp;" batch steps done"</f>
      </c>
    </row>
    <row r="160" ht="15" customHeight="1" spans="1:9" s="10" customFormat="1" x14ac:dyDescent="0.25">
      <c r="A160" s="11" t="s">
        <v>533</v>
      </c>
      <c r="B160" s="6">
        <v>3</v>
      </c>
      <c r="C160" s="19" t="s">
        <v>2631</v>
      </c>
      <c r="D160" s="11" t="s">
        <v>2628</v>
      </c>
      <c r="E160" s="11" t="s">
        <v>529</v>
      </c>
      <c r="F160" s="6"/>
      <c r="G160" s="6" t="s">
        <v>11</v>
      </c>
      <c r="H160" s="11" t="s">
        <v>281</v>
      </c>
      <c r="I160" s="11" t="s">
        <v>142</v>
      </c>
    </row>
    <row r="161" ht="15" customHeight="1" spans="1:9" s="10" customFormat="1" x14ac:dyDescent="0.25">
      <c r="A161" s="11" t="s">
        <v>2632</v>
      </c>
      <c r="B161" s="6">
        <v>3</v>
      </c>
      <c r="C161" s="19" t="s">
        <v>2633</v>
      </c>
      <c r="D161" s="11" t="s">
        <v>2628</v>
      </c>
      <c r="E161" s="11" t="s">
        <v>1032</v>
      </c>
      <c r="F161" s="6"/>
      <c r="G161" s="6" t="s">
        <v>11</v>
      </c>
      <c r="H161" s="11" t="s">
        <v>2391</v>
      </c>
      <c r="I161" s="11" t="s">
        <v>2634</v>
      </c>
    </row>
    <row r="162" ht="39" customHeight="1" spans="1:9" s="10" customFormat="1" x14ac:dyDescent="0.25">
      <c r="A162" s="11" t="s">
        <v>1204</v>
      </c>
      <c r="B162" s="6">
        <v>3</v>
      </c>
      <c r="C162" s="19" t="s">
        <v>2635</v>
      </c>
      <c r="D162" s="11" t="s">
        <v>2628</v>
      </c>
      <c r="E162" s="11" t="s">
        <v>2636</v>
      </c>
      <c r="F162" s="6"/>
      <c r="G162" s="6" t="s">
        <v>11</v>
      </c>
      <c r="H162" s="11" t="s">
        <v>2394</v>
      </c>
      <c r="I162" s="11" t="s">
        <v>2380</v>
      </c>
    </row>
    <row r="163" ht="15" customHeight="1" spans="1:10" s="10" customFormat="1" x14ac:dyDescent="0.25">
      <c r="A163" s="16" t="s">
        <v>2637</v>
      </c>
      <c r="B163" s="17">
        <v>2</v>
      </c>
      <c r="C163" s="18" t="s">
        <v>2638</v>
      </c>
      <c r="D163" s="16"/>
      <c r="E163" s="16"/>
      <c r="F163" s="17">
        <f>COUNTIFS($B$164:$B$169,3,$G$164:$G$169,"COMPLETED")&amp;" / "&amp;COUNTIF($B$164:$B$169,3)</f>
      </c>
      <c r="G163" s="17">
        <f>IF(COUNTIFS($B$164:$B$169,3,$G$164:$G$169,"COMPLETED")=COUNTIF($B$164:$B$169,3),"COMPLETED",IF(COUNTIFS($B$164:$B$169,3,$G$164:$G$169,"BLOCKED")&gt;0,"BLOCKED",IF(COUNTIFS($B$164:$B$169,3,$G$164:$G$169,"YET TO START")=COUNTIF($B$164:$B$169,3),"YET TO START","IN PROGRESS")))</f>
      </c>
      <c r="H163" s="16"/>
      <c r="I163" s="16"/>
      <c r="J163" s="13">
        <f>(COUNTIFS($B$164:$B$169,3,$J$164:$J$169,"DONE")+COUNTIFS($B$164:$B$169,3,$J$164:$J$169,"DONE-SANDBOX"))&amp;" / "&amp;COUNTIFS($B$164:$B$169,3,$J$164:$J$169,"&lt;&gt;")&amp;" batch steps done"</f>
      </c>
    </row>
    <row r="164" ht="15" customHeight="1" spans="1:9" s="10" customFormat="1" x14ac:dyDescent="0.25">
      <c r="A164" s="11" t="s">
        <v>538</v>
      </c>
      <c r="B164" s="6">
        <v>3</v>
      </c>
      <c r="C164" s="19" t="s">
        <v>2639</v>
      </c>
      <c r="D164" s="11" t="s">
        <v>2628</v>
      </c>
      <c r="E164" s="11" t="s">
        <v>2640</v>
      </c>
      <c r="F164" s="6"/>
      <c r="G164" s="6" t="s">
        <v>11</v>
      </c>
      <c r="H164" s="11" t="s">
        <v>281</v>
      </c>
      <c r="I164" s="11" t="s">
        <v>142</v>
      </c>
    </row>
    <row r="165" ht="15" customHeight="1" spans="1:9" s="10" customFormat="1" x14ac:dyDescent="0.25">
      <c r="A165" s="11" t="s">
        <v>351</v>
      </c>
      <c r="B165" s="6">
        <v>3</v>
      </c>
      <c r="C165" s="19" t="s">
        <v>2641</v>
      </c>
      <c r="D165" s="11" t="s">
        <v>2628</v>
      </c>
      <c r="E165" s="11" t="s">
        <v>348</v>
      </c>
      <c r="F165" s="6"/>
      <c r="G165" s="6" t="s">
        <v>11</v>
      </c>
      <c r="H165" s="11" t="s">
        <v>281</v>
      </c>
      <c r="I165" s="11" t="s">
        <v>142</v>
      </c>
    </row>
    <row r="166" ht="15" customHeight="1" spans="1:9" s="10" customFormat="1" x14ac:dyDescent="0.25">
      <c r="A166" s="11" t="s">
        <v>543</v>
      </c>
      <c r="B166" s="6">
        <v>3</v>
      </c>
      <c r="C166" s="19" t="s">
        <v>2642</v>
      </c>
      <c r="D166" s="11" t="s">
        <v>2628</v>
      </c>
      <c r="E166" s="11" t="s">
        <v>540</v>
      </c>
      <c r="F166" s="6"/>
      <c r="G166" s="6" t="s">
        <v>11</v>
      </c>
      <c r="H166" s="11" t="s">
        <v>741</v>
      </c>
      <c r="I166" s="11" t="s">
        <v>142</v>
      </c>
    </row>
    <row r="167" ht="15" customHeight="1" spans="1:12" s="10" customFormat="1" x14ac:dyDescent="0.25">
      <c r="A167" s="11" t="s">
        <v>1722</v>
      </c>
      <c r="B167" s="6">
        <v>3</v>
      </c>
      <c r="C167" s="19" t="s">
        <v>2643</v>
      </c>
      <c r="D167" s="11" t="s">
        <v>2628</v>
      </c>
      <c r="E167" s="11" t="s">
        <v>1719</v>
      </c>
      <c r="F167" s="6"/>
      <c r="G167" s="6" t="s">
        <v>11</v>
      </c>
      <c r="H167" s="11" t="s">
        <v>2308</v>
      </c>
      <c r="I167" s="11" t="s">
        <v>2644</v>
      </c>
      <c r="J167" s="23" t="s">
        <v>2339</v>
      </c>
      <c r="K167" s="10" t="s">
        <v>2308</v>
      </c>
      <c r="L167" s="21" t="s">
        <v>2645</v>
      </c>
    </row>
    <row r="168" ht="15" customHeight="1" spans="1:12" s="10" customFormat="1" x14ac:dyDescent="0.25">
      <c r="A168" s="11" t="s">
        <v>1730</v>
      </c>
      <c r="B168" s="6">
        <v>3</v>
      </c>
      <c r="C168" s="19" t="s">
        <v>2646</v>
      </c>
      <c r="D168" s="11" t="s">
        <v>2628</v>
      </c>
      <c r="E168" s="11" t="s">
        <v>1727</v>
      </c>
      <c r="F168" s="6"/>
      <c r="G168" s="6" t="s">
        <v>11</v>
      </c>
      <c r="H168" s="11" t="s">
        <v>2308</v>
      </c>
      <c r="I168" s="11" t="s">
        <v>2647</v>
      </c>
      <c r="J168" s="23" t="s">
        <v>2339</v>
      </c>
      <c r="K168" s="10" t="s">
        <v>2308</v>
      </c>
      <c r="L168" s="21" t="s">
        <v>2648</v>
      </c>
    </row>
    <row r="169" ht="39" customHeight="1" spans="1:9" s="10" customFormat="1" x14ac:dyDescent="0.25">
      <c r="A169" s="11" t="s">
        <v>1258</v>
      </c>
      <c r="B169" s="6">
        <v>3</v>
      </c>
      <c r="C169" s="19" t="s">
        <v>2649</v>
      </c>
      <c r="D169" s="11" t="s">
        <v>2628</v>
      </c>
      <c r="E169" s="11" t="s">
        <v>2650</v>
      </c>
      <c r="F169" s="6"/>
      <c r="G169" s="6" t="s">
        <v>11</v>
      </c>
      <c r="H169" s="11" t="s">
        <v>2379</v>
      </c>
      <c r="I169" s="11" t="s">
        <v>2651</v>
      </c>
    </row>
    <row r="170" ht="18" customHeight="1" spans="1:10" s="10" customFormat="1" x14ac:dyDescent="0.25">
      <c r="A170" s="14" t="s">
        <v>2652</v>
      </c>
      <c r="B170" s="15">
        <v>1</v>
      </c>
      <c r="C170" s="14" t="s">
        <v>72</v>
      </c>
      <c r="D170" s="14" t="s">
        <v>2538</v>
      </c>
      <c r="E170" s="14"/>
      <c r="F170" s="15">
        <f>COUNTIFS($B$171:$B$177,3,$G$171:$G$177,"COMPLETED")&amp;" / "&amp;COUNTIF($B$171:$B$177,3)</f>
      </c>
      <c r="G170" s="15">
        <f>IF(COUNTIFS($B$171:$B$177,3,$G$171:$G$177,"COMPLETED")=COUNTIF($B$171:$B$177,3),"COMPLETED",IF(COUNTIFS($B$171:$B$177,3,$G$171:$G$177,"BLOCKED")&gt;0,"BLOCKED",IF(COUNTIFS($B$171:$B$177,3,$G$171:$G$177,"YET TO START")=COUNTIF($B$171:$B$177,3),"YET TO START","IN PROGRESS")))</f>
      </c>
      <c r="H170" s="14"/>
      <c r="I170" s="14"/>
      <c r="J170" s="13">
        <f>(COUNTIFS($B$171:$B$177,3,$J$171:$J$177,"DONE")+COUNTIFS($B$171:$B$177,3,$J$171:$J$177,"DONE-SANDBOX"))&amp;" / "&amp;COUNTIFS($B$171:$B$177,3,$J$171:$J$177,"&lt;&gt;")&amp;" batch steps done"</f>
      </c>
    </row>
    <row r="171" ht="15" customHeight="1" spans="1:10" s="10" customFormat="1" x14ac:dyDescent="0.25">
      <c r="A171" s="16" t="s">
        <v>2653</v>
      </c>
      <c r="B171" s="17">
        <v>2</v>
      </c>
      <c r="C171" s="18" t="s">
        <v>2654</v>
      </c>
      <c r="D171" s="16"/>
      <c r="E171" s="16"/>
      <c r="F171" s="17">
        <f>COUNTIFS($B$172:$B$173,3,$G$172:$G$173,"COMPLETED")&amp;" / "&amp;COUNTIF($B$172:$B$173,3)</f>
      </c>
      <c r="G171" s="17">
        <f>IF(COUNTIFS($B$172:$B$173,3,$G$172:$G$173,"COMPLETED")=COUNTIF($B$172:$B$173,3),"COMPLETED",IF(COUNTIFS($B$172:$B$173,3,$G$172:$G$173,"BLOCKED")&gt;0,"BLOCKED",IF(COUNTIFS($B$172:$B$173,3,$G$172:$G$173,"YET TO START")=COUNTIF($B$172:$B$173,3),"YET TO START","IN PROGRESS")))</f>
      </c>
      <c r="H171" s="16"/>
      <c r="I171" s="16"/>
      <c r="J171" s="13">
        <f>(COUNTIFS($B$172:$B$173,3,$J$172:$J$173,"DONE")+COUNTIFS($B$172:$B$173,3,$J$172:$J$173,"DONE-SANDBOX"))&amp;" / "&amp;COUNTIFS($B$172:$B$173,3,$J$172:$J$173,"&lt;&gt;")&amp;" batch steps done"</f>
      </c>
    </row>
    <row r="172" ht="27" customHeight="1" spans="1:9" s="10" customFormat="1" x14ac:dyDescent="0.25">
      <c r="A172" s="11" t="s">
        <v>476</v>
      </c>
      <c r="B172" s="6">
        <v>3</v>
      </c>
      <c r="C172" s="19" t="s">
        <v>2655</v>
      </c>
      <c r="D172" s="11" t="s">
        <v>2538</v>
      </c>
      <c r="E172" s="11" t="s">
        <v>472</v>
      </c>
      <c r="F172" s="6"/>
      <c r="G172" s="6" t="s">
        <v>11</v>
      </c>
      <c r="H172" s="11" t="s">
        <v>158</v>
      </c>
      <c r="I172" s="11" t="s">
        <v>142</v>
      </c>
    </row>
    <row r="173" ht="27" customHeight="1" spans="1:9" s="10" customFormat="1" x14ac:dyDescent="0.25">
      <c r="A173" s="11" t="s">
        <v>481</v>
      </c>
      <c r="B173" s="6">
        <v>3</v>
      </c>
      <c r="C173" s="19" t="s">
        <v>2656</v>
      </c>
      <c r="D173" s="11" t="s">
        <v>2538</v>
      </c>
      <c r="E173" s="11" t="s">
        <v>2657</v>
      </c>
      <c r="F173" s="6"/>
      <c r="G173" s="6" t="s">
        <v>11</v>
      </c>
      <c r="H173" s="11" t="s">
        <v>158</v>
      </c>
      <c r="I173" s="11" t="s">
        <v>142</v>
      </c>
    </row>
    <row r="174" ht="15" customHeight="1" spans="1:10" s="10" customFormat="1" x14ac:dyDescent="0.25">
      <c r="A174" s="16" t="s">
        <v>2658</v>
      </c>
      <c r="B174" s="17">
        <v>2</v>
      </c>
      <c r="C174" s="18" t="s">
        <v>2659</v>
      </c>
      <c r="D174" s="16"/>
      <c r="E174" s="16"/>
      <c r="F174" s="17">
        <f>COUNTIFS($B$175:$B$177,3,$G$175:$G$177,"COMPLETED")&amp;" / "&amp;COUNTIF($B$175:$B$177,3)</f>
      </c>
      <c r="G174" s="17">
        <f>IF(COUNTIFS($B$175:$B$177,3,$G$175:$G$177,"COMPLETED")=COUNTIF($B$175:$B$177,3),"COMPLETED",IF(COUNTIFS($B$175:$B$177,3,$G$175:$G$177,"BLOCKED")&gt;0,"BLOCKED",IF(COUNTIFS($B$175:$B$177,3,$G$175:$G$177,"YET TO START")=COUNTIF($B$175:$B$177,3),"YET TO START","IN PROGRESS")))</f>
      </c>
      <c r="H174" s="16"/>
      <c r="I174" s="16"/>
      <c r="J174" s="13">
        <f>(COUNTIFS($B$175:$B$177,3,$J$175:$J$177,"DONE")+COUNTIFS($B$175:$B$177,3,$J$175:$J$177,"DONE-SANDBOX"))&amp;" / "&amp;COUNTIFS($B$175:$B$177,3,$J$175:$J$177,"&lt;&gt;")&amp;" batch steps done"</f>
      </c>
    </row>
    <row r="175" ht="27" customHeight="1" spans="1:9" s="10" customFormat="1" x14ac:dyDescent="0.25">
      <c r="A175" s="11" t="s">
        <v>2660</v>
      </c>
      <c r="B175" s="6">
        <v>3</v>
      </c>
      <c r="C175" s="19" t="s">
        <v>2661</v>
      </c>
      <c r="D175" s="11" t="s">
        <v>2538</v>
      </c>
      <c r="E175" s="11" t="s">
        <v>842</v>
      </c>
      <c r="F175" s="6"/>
      <c r="G175" s="6" t="s">
        <v>11</v>
      </c>
      <c r="H175" s="11" t="s">
        <v>2303</v>
      </c>
      <c r="I175" s="11" t="s">
        <v>2304</v>
      </c>
    </row>
    <row r="176" ht="27" customHeight="1" spans="1:9" s="10" customFormat="1" x14ac:dyDescent="0.25">
      <c r="A176" s="11" t="s">
        <v>486</v>
      </c>
      <c r="B176" s="6">
        <v>3</v>
      </c>
      <c r="C176" s="19" t="s">
        <v>2662</v>
      </c>
      <c r="D176" s="11" t="s">
        <v>2538</v>
      </c>
      <c r="E176" s="11" t="s">
        <v>483</v>
      </c>
      <c r="F176" s="6"/>
      <c r="G176" s="6" t="s">
        <v>11</v>
      </c>
      <c r="H176" s="11" t="s">
        <v>2663</v>
      </c>
      <c r="I176" s="11" t="s">
        <v>2304</v>
      </c>
    </row>
    <row r="177" ht="27" customHeight="1" spans="1:9" s="10" customFormat="1" x14ac:dyDescent="0.25">
      <c r="A177" s="11" t="s">
        <v>585</v>
      </c>
      <c r="B177" s="6">
        <v>3</v>
      </c>
      <c r="C177" s="19" t="s">
        <v>2664</v>
      </c>
      <c r="D177" s="11" t="s">
        <v>2538</v>
      </c>
      <c r="E177" s="11" t="s">
        <v>2665</v>
      </c>
      <c r="F177" s="6"/>
      <c r="G177" s="6" t="s">
        <v>11</v>
      </c>
      <c r="H177" s="11" t="s">
        <v>2666</v>
      </c>
      <c r="I177" s="11" t="s">
        <v>142</v>
      </c>
    </row>
    <row r="178" ht="18" customHeight="1" spans="1:10" s="10" customFormat="1" x14ac:dyDescent="0.25">
      <c r="A178" s="14" t="s">
        <v>2667</v>
      </c>
      <c r="B178" s="15">
        <v>1</v>
      </c>
      <c r="C178" s="14" t="s">
        <v>73</v>
      </c>
      <c r="D178" s="14" t="s">
        <v>2668</v>
      </c>
      <c r="E178" s="14"/>
      <c r="F178" s="15">
        <f>COUNTIFS($B$179:$B$189,3,$G$179:$G$189,"COMPLETED")&amp;" / "&amp;COUNTIF($B$179:$B$189,3)</f>
      </c>
      <c r="G178" s="15">
        <f>IF(COUNTIFS($B$179:$B$189,3,$G$179:$G$189,"COMPLETED")=COUNTIF($B$179:$B$189,3),"COMPLETED",IF(COUNTIFS($B$179:$B$189,3,$G$179:$G$189,"BLOCKED")&gt;0,"BLOCKED",IF(COUNTIFS($B$179:$B$189,3,$G$179:$G$189,"YET TO START")=COUNTIF($B$179:$B$189,3),"YET TO START","IN PROGRESS")))</f>
      </c>
      <c r="H178" s="14"/>
      <c r="I178" s="14"/>
      <c r="J178" s="13">
        <f>(COUNTIFS($B$179:$B$189,3,$J$179:$J$189,"DONE")+COUNTIFS($B$179:$B$189,3,$J$179:$J$189,"DONE-SANDBOX"))&amp;" / "&amp;COUNTIFS($B$179:$B$189,3,$J$179:$J$189,"&lt;&gt;")&amp;" batch steps done"</f>
      </c>
    </row>
    <row r="179" ht="15" customHeight="1" spans="1:10" s="10" customFormat="1" x14ac:dyDescent="0.25">
      <c r="A179" s="16" t="s">
        <v>2669</v>
      </c>
      <c r="B179" s="17">
        <v>2</v>
      </c>
      <c r="C179" s="18" t="s">
        <v>2670</v>
      </c>
      <c r="D179" s="16"/>
      <c r="E179" s="16"/>
      <c r="F179" s="17">
        <f>COUNTIFS($B$180:$B$183,3,$G$180:$G$183,"COMPLETED")&amp;" / "&amp;COUNTIF($B$180:$B$183,3)</f>
      </c>
      <c r="G179" s="17">
        <f>IF(COUNTIFS($B$180:$B$183,3,$G$180:$G$183,"COMPLETED")=COUNTIF($B$180:$B$183,3),"COMPLETED",IF(COUNTIFS($B$180:$B$183,3,$G$180:$G$183,"BLOCKED")&gt;0,"BLOCKED",IF(COUNTIFS($B$180:$B$183,3,$G$180:$G$183,"YET TO START")=COUNTIF($B$180:$B$183,3),"YET TO START","IN PROGRESS")))</f>
      </c>
      <c r="H179" s="16"/>
      <c r="I179" s="16"/>
      <c r="J179" s="13">
        <f>(COUNTIFS($B$180:$B$183,3,$J$180:$J$183,"DONE")+COUNTIFS($B$180:$B$183,3,$J$180:$J$183,"DONE-SANDBOX"))&amp;" / "&amp;COUNTIFS($B$180:$B$183,3,$J$180:$J$183,"&lt;&gt;")&amp;" batch steps done"</f>
      </c>
    </row>
    <row r="180" ht="15" customHeight="1" spans="1:9" s="10" customFormat="1" x14ac:dyDescent="0.25">
      <c r="A180" s="11" t="s">
        <v>555</v>
      </c>
      <c r="B180" s="6">
        <v>3</v>
      </c>
      <c r="C180" s="19" t="s">
        <v>2671</v>
      </c>
      <c r="D180" s="11" t="s">
        <v>2668</v>
      </c>
      <c r="E180" s="11" t="s">
        <v>2672</v>
      </c>
      <c r="F180" s="6"/>
      <c r="G180" s="6" t="s">
        <v>11</v>
      </c>
      <c r="H180" s="11" t="s">
        <v>2673</v>
      </c>
      <c r="I180" s="11" t="s">
        <v>142</v>
      </c>
    </row>
    <row r="181" ht="15" customHeight="1" spans="1:9" s="10" customFormat="1" x14ac:dyDescent="0.25">
      <c r="A181" s="11" t="s">
        <v>561</v>
      </c>
      <c r="B181" s="6">
        <v>3</v>
      </c>
      <c r="C181" s="19" t="s">
        <v>2674</v>
      </c>
      <c r="D181" s="11" t="s">
        <v>2668</v>
      </c>
      <c r="E181" s="11" t="s">
        <v>2675</v>
      </c>
      <c r="F181" s="6"/>
      <c r="G181" s="6" t="s">
        <v>11</v>
      </c>
      <c r="H181" s="11" t="s">
        <v>2676</v>
      </c>
      <c r="I181" s="11" t="s">
        <v>142</v>
      </c>
    </row>
    <row r="182" ht="15" customHeight="1" spans="1:9" s="10" customFormat="1" x14ac:dyDescent="0.25">
      <c r="A182" s="11" t="s">
        <v>573</v>
      </c>
      <c r="B182" s="6">
        <v>3</v>
      </c>
      <c r="C182" s="19" t="s">
        <v>2677</v>
      </c>
      <c r="D182" s="11" t="s">
        <v>2668</v>
      </c>
      <c r="E182" s="11" t="s">
        <v>570</v>
      </c>
      <c r="F182" s="6"/>
      <c r="G182" s="6" t="s">
        <v>11</v>
      </c>
      <c r="H182" s="11" t="s">
        <v>2678</v>
      </c>
      <c r="I182" s="11" t="s">
        <v>142</v>
      </c>
    </row>
    <row r="183" ht="15" customHeight="1" spans="1:9" s="10" customFormat="1" x14ac:dyDescent="0.25">
      <c r="A183" s="11" t="s">
        <v>1192</v>
      </c>
      <c r="B183" s="6">
        <v>3</v>
      </c>
      <c r="C183" s="19" t="s">
        <v>2679</v>
      </c>
      <c r="D183" s="11" t="s">
        <v>2668</v>
      </c>
      <c r="E183" s="11" t="s">
        <v>1189</v>
      </c>
      <c r="F183" s="6"/>
      <c r="G183" s="6" t="s">
        <v>11</v>
      </c>
      <c r="H183" s="11" t="s">
        <v>2366</v>
      </c>
      <c r="I183" s="11" t="s">
        <v>2322</v>
      </c>
    </row>
    <row r="184" ht="15" customHeight="1" spans="1:10" s="10" customFormat="1" x14ac:dyDescent="0.25">
      <c r="A184" s="16" t="s">
        <v>2680</v>
      </c>
      <c r="B184" s="17">
        <v>2</v>
      </c>
      <c r="C184" s="18" t="s">
        <v>2681</v>
      </c>
      <c r="D184" s="16"/>
      <c r="E184" s="16"/>
      <c r="F184" s="17">
        <f>COUNTIFS($B$185:$B$189,3,$G$185:$G$189,"COMPLETED")&amp;" / "&amp;COUNTIF($B$185:$B$189,3)</f>
      </c>
      <c r="G184" s="17">
        <f>IF(COUNTIFS($B$185:$B$189,3,$G$185:$G$189,"COMPLETED")=COUNTIF($B$185:$B$189,3),"COMPLETED",IF(COUNTIFS($B$185:$B$189,3,$G$185:$G$189,"BLOCKED")&gt;0,"BLOCKED",IF(COUNTIFS($B$185:$B$189,3,$G$185:$G$189,"YET TO START")=COUNTIF($B$185:$B$189,3),"YET TO START","IN PROGRESS")))</f>
      </c>
      <c r="H184" s="16"/>
      <c r="I184" s="16"/>
      <c r="J184" s="13">
        <f>(COUNTIFS($B$185:$B$189,3,$J$185:$J$189,"DONE")+COUNTIFS($B$185:$B$189,3,$J$185:$J$189,"DONE-SANDBOX"))&amp;" / "&amp;COUNTIFS($B$185:$B$189,3,$J$185:$J$189,"&lt;&gt;")&amp;" batch steps done"</f>
      </c>
    </row>
    <row r="185" ht="27" customHeight="1" spans="1:9" s="10" customFormat="1" x14ac:dyDescent="0.25">
      <c r="A185" s="11" t="s">
        <v>156</v>
      </c>
      <c r="B185" s="6">
        <v>3</v>
      </c>
      <c r="C185" s="19" t="s">
        <v>2682</v>
      </c>
      <c r="D185" s="11" t="s">
        <v>2668</v>
      </c>
      <c r="E185" s="11" t="s">
        <v>2683</v>
      </c>
      <c r="F185" s="6"/>
      <c r="G185" s="6" t="s">
        <v>11</v>
      </c>
      <c r="H185" s="11" t="s">
        <v>2684</v>
      </c>
      <c r="I185" s="11" t="s">
        <v>142</v>
      </c>
    </row>
    <row r="186" ht="15" customHeight="1" spans="1:9" s="10" customFormat="1" x14ac:dyDescent="0.25">
      <c r="A186" s="11" t="s">
        <v>998</v>
      </c>
      <c r="B186" s="6">
        <v>3</v>
      </c>
      <c r="C186" s="19" t="s">
        <v>2685</v>
      </c>
      <c r="D186" s="11" t="s">
        <v>2668</v>
      </c>
      <c r="E186" s="11" t="s">
        <v>995</v>
      </c>
      <c r="F186" s="6"/>
      <c r="G186" s="6" t="s">
        <v>11</v>
      </c>
      <c r="H186" s="11" t="s">
        <v>741</v>
      </c>
      <c r="I186" s="11" t="s">
        <v>142</v>
      </c>
    </row>
    <row r="187" ht="15" customHeight="1" spans="1:9" s="10" customFormat="1" x14ac:dyDescent="0.25">
      <c r="A187" s="11" t="s">
        <v>1130</v>
      </c>
      <c r="B187" s="6">
        <v>3</v>
      </c>
      <c r="C187" s="19" t="s">
        <v>2686</v>
      </c>
      <c r="D187" s="11" t="s">
        <v>2668</v>
      </c>
      <c r="E187" s="11" t="s">
        <v>1127</v>
      </c>
      <c r="F187" s="6"/>
      <c r="G187" s="6" t="s">
        <v>11</v>
      </c>
      <c r="H187" s="11" t="s">
        <v>2321</v>
      </c>
      <c r="I187" s="11" t="s">
        <v>2322</v>
      </c>
    </row>
    <row r="188" ht="15" customHeight="1" spans="1:9" s="10" customFormat="1" x14ac:dyDescent="0.25">
      <c r="A188" s="11" t="s">
        <v>945</v>
      </c>
      <c r="B188" s="6">
        <v>3</v>
      </c>
      <c r="C188" s="19" t="s">
        <v>2687</v>
      </c>
      <c r="D188" s="11" t="s">
        <v>2668</v>
      </c>
      <c r="E188" s="11" t="s">
        <v>942</v>
      </c>
      <c r="F188" s="6"/>
      <c r="G188" s="6" t="s">
        <v>11</v>
      </c>
      <c r="H188" s="11" t="s">
        <v>2688</v>
      </c>
      <c r="I188" s="11" t="s">
        <v>142</v>
      </c>
    </row>
    <row r="189" ht="15" customHeight="1" spans="1:9" s="10" customFormat="1" x14ac:dyDescent="0.25">
      <c r="A189" s="11" t="s">
        <v>2689</v>
      </c>
      <c r="B189" s="6">
        <v>3</v>
      </c>
      <c r="C189" s="19" t="s">
        <v>2690</v>
      </c>
      <c r="D189" s="11" t="s">
        <v>2668</v>
      </c>
      <c r="E189" s="11" t="s">
        <v>1156</v>
      </c>
      <c r="F189" s="6"/>
      <c r="G189" s="6" t="s">
        <v>11</v>
      </c>
      <c r="H189" s="11" t="s">
        <v>2321</v>
      </c>
      <c r="I189" s="11" t="s">
        <v>2322</v>
      </c>
    </row>
    <row r="190" ht="18" customHeight="1" spans="1:10" s="10" customFormat="1" x14ac:dyDescent="0.25">
      <c r="A190" s="14" t="s">
        <v>2691</v>
      </c>
      <c r="B190" s="15">
        <v>1</v>
      </c>
      <c r="C190" s="14" t="s">
        <v>74</v>
      </c>
      <c r="D190" s="14" t="s">
        <v>637</v>
      </c>
      <c r="E190" s="14"/>
      <c r="F190" s="15">
        <f>COUNTIFS($B$191:$B$195,3,$G$191:$G$195,"COMPLETED")&amp;" / "&amp;COUNTIF($B$191:$B$195,3)</f>
      </c>
      <c r="G190" s="15">
        <f>IF(COUNTIFS($B$191:$B$195,3,$G$191:$G$195,"COMPLETED")=COUNTIF($B$191:$B$195,3),"COMPLETED",IF(COUNTIFS($B$191:$B$195,3,$G$191:$G$195,"BLOCKED")&gt;0,"BLOCKED",IF(COUNTIFS($B$191:$B$195,3,$G$191:$G$195,"YET TO START")=COUNTIF($B$191:$B$195,3),"YET TO START","IN PROGRESS")))</f>
      </c>
      <c r="H190" s="14"/>
      <c r="I190" s="14"/>
      <c r="J190" s="13">
        <f>(COUNTIFS($B$191:$B$195,3,$J$191:$J$195,"DONE")+COUNTIFS($B$191:$B$195,3,$J$191:$J$195,"DONE-SANDBOX"))&amp;" / "&amp;COUNTIFS($B$191:$B$195,3,$J$191:$J$195,"&lt;&gt;")&amp;" batch steps done"</f>
      </c>
    </row>
    <row r="191" ht="15" customHeight="1" spans="1:10" s="10" customFormat="1" x14ac:dyDescent="0.25">
      <c r="A191" s="16" t="s">
        <v>2692</v>
      </c>
      <c r="B191" s="17">
        <v>2</v>
      </c>
      <c r="C191" s="18" t="s">
        <v>2693</v>
      </c>
      <c r="D191" s="16"/>
      <c r="E191" s="16"/>
      <c r="F191" s="17">
        <f>COUNTIFS($B$192:$B$193,3,$G$192:$G$193,"COMPLETED")&amp;" / "&amp;COUNTIF($B$192:$B$193,3)</f>
      </c>
      <c r="G191" s="17">
        <f>IF(COUNTIFS($B$192:$B$193,3,$G$192:$G$193,"COMPLETED")=COUNTIF($B$192:$B$193,3),"COMPLETED",IF(COUNTIFS($B$192:$B$193,3,$G$192:$G$193,"BLOCKED")&gt;0,"BLOCKED",IF(COUNTIFS($B$192:$B$193,3,$G$192:$G$193,"YET TO START")=COUNTIF($B$192:$B$193,3),"YET TO START","IN PROGRESS")))</f>
      </c>
      <c r="H191" s="16"/>
      <c r="I191" s="16"/>
      <c r="J191" s="13">
        <f>(COUNTIFS($B$192:$B$193,3,$J$192:$J$193,"DONE")+COUNTIFS($B$192:$B$193,3,$J$192:$J$193,"DONE-SANDBOX"))&amp;" / "&amp;COUNTIFS($B$192:$B$193,3,$J$192:$J$193,"&lt;&gt;")&amp;" batch steps done"</f>
      </c>
    </row>
    <row r="192" ht="27" customHeight="1" spans="1:9" s="10" customFormat="1" x14ac:dyDescent="0.25">
      <c r="A192" s="11" t="s">
        <v>1749</v>
      </c>
      <c r="B192" s="6">
        <v>3</v>
      </c>
      <c r="C192" s="19" t="s">
        <v>2694</v>
      </c>
      <c r="D192" s="11" t="s">
        <v>637</v>
      </c>
      <c r="E192" s="11" t="s">
        <v>2695</v>
      </c>
      <c r="F192" s="6"/>
      <c r="G192" s="6" t="s">
        <v>11</v>
      </c>
      <c r="H192" s="11" t="s">
        <v>2696</v>
      </c>
      <c r="I192" s="11" t="s">
        <v>2697</v>
      </c>
    </row>
    <row r="193" ht="15" customHeight="1" spans="1:12" s="10" customFormat="1" x14ac:dyDescent="0.25">
      <c r="A193" s="11" t="s">
        <v>2698</v>
      </c>
      <c r="B193" s="6">
        <v>3</v>
      </c>
      <c r="C193" s="19" t="s">
        <v>2699</v>
      </c>
      <c r="D193" s="11" t="s">
        <v>637</v>
      </c>
      <c r="E193" s="11" t="s">
        <v>612</v>
      </c>
      <c r="F193" s="6"/>
      <c r="G193" s="6" t="s">
        <v>11</v>
      </c>
      <c r="H193" s="11" t="s">
        <v>2308</v>
      </c>
      <c r="I193" s="11" t="s">
        <v>2700</v>
      </c>
      <c r="J193" s="23" t="s">
        <v>2339</v>
      </c>
      <c r="K193" s="10" t="s">
        <v>2308</v>
      </c>
      <c r="L193" s="21" t="s">
        <v>2701</v>
      </c>
    </row>
    <row r="194" ht="15" customHeight="1" spans="1:10" s="10" customFormat="1" x14ac:dyDescent="0.25">
      <c r="A194" s="16" t="s">
        <v>2702</v>
      </c>
      <c r="B194" s="17">
        <v>2</v>
      </c>
      <c r="C194" s="18" t="s">
        <v>2703</v>
      </c>
      <c r="D194" s="16"/>
      <c r="E194" s="16"/>
      <c r="F194" s="17">
        <f>COUNTIFS($B$195:$B$195,3,$G$195:$G$195,"COMPLETED")&amp;" / "&amp;COUNTIF($B$195:$B$195,3)</f>
      </c>
      <c r="G194" s="17">
        <f>IF(COUNTIFS($B$195:$B$195,3,$G$195:$G$195,"COMPLETED")=COUNTIF($B$195:$B$195,3),"COMPLETED",IF(COUNTIFS($B$195:$B$195,3,$G$195:$G$195,"BLOCKED")&gt;0,"BLOCKED",IF(COUNTIFS($B$195:$B$195,3,$G$195:$G$195,"YET TO START")=COUNTIF($B$195:$B$195,3),"YET TO START","IN PROGRESS")))</f>
      </c>
      <c r="H194" s="16"/>
      <c r="I194" s="16"/>
      <c r="J194" s="13">
        <f>(COUNTIFS($B$195:$B$195,3,$J$195:$J$195,"DONE")+COUNTIFS($B$195:$B$195,3,$J$195:$J$195,"DONE-SANDBOX"))&amp;" / "&amp;COUNTIFS($B$195:$B$195,3,$J$195:$J$195,"&lt;&gt;")&amp;" batch steps done"</f>
      </c>
    </row>
    <row r="195" ht="15" customHeight="1" spans="1:9" s="10" customFormat="1" x14ac:dyDescent="0.25">
      <c r="A195" s="11" t="s">
        <v>2704</v>
      </c>
      <c r="B195" s="6">
        <v>3</v>
      </c>
      <c r="C195" s="19" t="s">
        <v>2705</v>
      </c>
      <c r="D195" s="11" t="s">
        <v>637</v>
      </c>
      <c r="E195" s="11" t="s">
        <v>1168</v>
      </c>
      <c r="F195" s="6"/>
      <c r="G195" s="6" t="s">
        <v>11</v>
      </c>
      <c r="H195" s="11" t="s">
        <v>2366</v>
      </c>
      <c r="I195" s="11" t="s">
        <v>2322</v>
      </c>
    </row>
    <row r="196" ht="18" customHeight="1" spans="1:10" s="10" customFormat="1" x14ac:dyDescent="0.25">
      <c r="A196" s="14" t="s">
        <v>2706</v>
      </c>
      <c r="B196" s="15">
        <v>1</v>
      </c>
      <c r="C196" s="14" t="s">
        <v>75</v>
      </c>
      <c r="D196" s="14" t="s">
        <v>2707</v>
      </c>
      <c r="E196" s="14"/>
      <c r="F196" s="15">
        <f>COUNTIFS($B$197:$B$209,3,$G$197:$G$209,"COMPLETED")&amp;" / "&amp;COUNTIF($B$197:$B$209,3)</f>
      </c>
      <c r="G196" s="15">
        <f>IF(COUNTIFS($B$197:$B$209,3,$G$197:$G$209,"COMPLETED")=COUNTIF($B$197:$B$209,3),"COMPLETED",IF(COUNTIFS($B$197:$B$209,3,$G$197:$G$209,"BLOCKED")&gt;0,"BLOCKED",IF(COUNTIFS($B$197:$B$209,3,$G$197:$G$209,"YET TO START")=COUNTIF($B$197:$B$209,3),"YET TO START","IN PROGRESS")))</f>
      </c>
      <c r="H196" s="14"/>
      <c r="I196" s="14"/>
      <c r="J196" s="13">
        <f>(COUNTIFS($B$197:$B$209,3,$J$197:$J$209,"DONE")+COUNTIFS($B$197:$B$209,3,$J$197:$J$209,"DONE-SANDBOX"))&amp;" / "&amp;COUNTIFS($B$197:$B$209,3,$J$197:$J$209,"&lt;&gt;")&amp;" batch steps done"</f>
      </c>
    </row>
    <row r="197" ht="15" customHeight="1" spans="1:10" s="10" customFormat="1" x14ac:dyDescent="0.25">
      <c r="A197" s="16" t="s">
        <v>2708</v>
      </c>
      <c r="B197" s="17">
        <v>2</v>
      </c>
      <c r="C197" s="18" t="s">
        <v>2709</v>
      </c>
      <c r="D197" s="16"/>
      <c r="E197" s="16"/>
      <c r="F197" s="17">
        <f>COUNTIFS($B$198:$B$204,3,$G$198:$G$204,"COMPLETED")&amp;" / "&amp;COUNTIF($B$198:$B$204,3)</f>
      </c>
      <c r="G197" s="17">
        <f>IF(COUNTIFS($B$198:$B$204,3,$G$198:$G$204,"COMPLETED")=COUNTIF($B$198:$B$204,3),"COMPLETED",IF(COUNTIFS($B$198:$B$204,3,$G$198:$G$204,"BLOCKED")&gt;0,"BLOCKED",IF(COUNTIFS($B$198:$B$204,3,$G$198:$G$204,"YET TO START")=COUNTIF($B$198:$B$204,3),"YET TO START","IN PROGRESS")))</f>
      </c>
      <c r="H197" s="16"/>
      <c r="I197" s="16"/>
      <c r="J197" s="13">
        <f>(COUNTIFS($B$198:$B$204,3,$J$198:$J$204,"DONE")+COUNTIFS($B$198:$B$204,3,$J$198:$J$204,"DONE-SANDBOX"))&amp;" / "&amp;COUNTIFS($B$198:$B$204,3,$J$198:$J$204,"&lt;&gt;")&amp;" batch steps done"</f>
      </c>
    </row>
    <row r="198" ht="27" customHeight="1" spans="1:9" s="10" customFormat="1" x14ac:dyDescent="0.25">
      <c r="A198" s="11" t="s">
        <v>1521</v>
      </c>
      <c r="B198" s="6">
        <v>3</v>
      </c>
      <c r="C198" s="19" t="s">
        <v>2710</v>
      </c>
      <c r="D198" s="11" t="s">
        <v>2707</v>
      </c>
      <c r="E198" s="11" t="s">
        <v>2711</v>
      </c>
      <c r="F198" s="6"/>
      <c r="G198" s="6" t="s">
        <v>11</v>
      </c>
      <c r="H198" s="11" t="s">
        <v>2712</v>
      </c>
      <c r="I198" s="11" t="s">
        <v>142</v>
      </c>
    </row>
    <row r="199" ht="27" customHeight="1" spans="1:9" s="10" customFormat="1" x14ac:dyDescent="0.25">
      <c r="A199" s="11" t="s">
        <v>1550</v>
      </c>
      <c r="B199" s="6">
        <v>3</v>
      </c>
      <c r="C199" s="19" t="s">
        <v>2713</v>
      </c>
      <c r="D199" s="11" t="s">
        <v>2707</v>
      </c>
      <c r="E199" s="11" t="s">
        <v>1547</v>
      </c>
      <c r="F199" s="6"/>
      <c r="G199" s="6" t="s">
        <v>11</v>
      </c>
      <c r="H199" s="11" t="s">
        <v>2714</v>
      </c>
      <c r="I199" s="11" t="s">
        <v>142</v>
      </c>
    </row>
    <row r="200" ht="39" customHeight="1" spans="1:12" s="10" customFormat="1" x14ac:dyDescent="0.25">
      <c r="A200" s="11" t="s">
        <v>1640</v>
      </c>
      <c r="B200" s="6">
        <v>3</v>
      </c>
      <c r="C200" s="19" t="s">
        <v>2715</v>
      </c>
      <c r="D200" s="11" t="s">
        <v>2707</v>
      </c>
      <c r="E200" s="11" t="s">
        <v>2716</v>
      </c>
      <c r="F200" s="6"/>
      <c r="G200" s="6" t="s">
        <v>12</v>
      </c>
      <c r="H200" s="11" t="s">
        <v>2717</v>
      </c>
      <c r="I200" s="11" t="s">
        <v>2718</v>
      </c>
      <c r="J200" s="25" t="s">
        <v>2719</v>
      </c>
      <c r="K200" s="10" t="s">
        <v>2272</v>
      </c>
      <c r="L200" s="21" t="s">
        <v>2720</v>
      </c>
    </row>
    <row r="201" ht="15" customHeight="1" spans="1:9" s="10" customFormat="1" x14ac:dyDescent="0.25">
      <c r="A201" s="11" t="s">
        <v>1571</v>
      </c>
      <c r="B201" s="6">
        <v>3</v>
      </c>
      <c r="C201" s="19" t="s">
        <v>2721</v>
      </c>
      <c r="D201" s="11" t="s">
        <v>2707</v>
      </c>
      <c r="E201" s="11" t="s">
        <v>1568</v>
      </c>
      <c r="F201" s="6"/>
      <c r="G201" s="6" t="s">
        <v>11</v>
      </c>
      <c r="H201" s="11" t="s">
        <v>2722</v>
      </c>
      <c r="I201" s="11" t="s">
        <v>142</v>
      </c>
    </row>
    <row r="202" ht="27" customHeight="1" spans="1:9" s="10" customFormat="1" x14ac:dyDescent="0.25">
      <c r="A202" s="11" t="s">
        <v>1656</v>
      </c>
      <c r="B202" s="6">
        <v>3</v>
      </c>
      <c r="C202" s="19" t="s">
        <v>2723</v>
      </c>
      <c r="D202" s="11" t="s">
        <v>2707</v>
      </c>
      <c r="E202" s="11" t="s">
        <v>1653</v>
      </c>
      <c r="F202" s="6"/>
      <c r="G202" s="6" t="s">
        <v>11</v>
      </c>
      <c r="H202" s="11" t="s">
        <v>2724</v>
      </c>
      <c r="I202" s="11" t="s">
        <v>2725</v>
      </c>
    </row>
    <row r="203" ht="15" customHeight="1" spans="1:12" s="10" customFormat="1" x14ac:dyDescent="0.25">
      <c r="A203" s="11" t="s">
        <v>1881</v>
      </c>
      <c r="B203" s="6">
        <v>3</v>
      </c>
      <c r="C203" s="19" t="s">
        <v>2726</v>
      </c>
      <c r="D203" s="11" t="s">
        <v>2707</v>
      </c>
      <c r="E203" s="11" t="s">
        <v>2727</v>
      </c>
      <c r="F203" s="6"/>
      <c r="G203" s="6" t="s">
        <v>11</v>
      </c>
      <c r="H203" s="11" t="s">
        <v>1647</v>
      </c>
      <c r="I203" s="11" t="s">
        <v>2728</v>
      </c>
      <c r="J203" s="10"/>
      <c r="K203" s="10"/>
      <c r="L203" s="10"/>
    </row>
    <row r="204" ht="27" customHeight="1" spans="1:10" s="10" customFormat="1" x14ac:dyDescent="0.25">
      <c r="A204" s="16" t="s">
        <v>2729</v>
      </c>
      <c r="B204" s="17">
        <v>2</v>
      </c>
      <c r="C204" s="18" t="s">
        <v>2730</v>
      </c>
      <c r="D204" s="16"/>
      <c r="E204" s="16"/>
      <c r="F204" s="17">
        <f>COUNTIFS($B$205:$B$209,3,$G$205:$G$209,"COMPLETED")&amp;" / "&amp;COUNTIF($B$205:$B$209,3)</f>
      </c>
      <c r="G204" s="17">
        <f>IF(COUNTIFS($B$205:$B$209,3,$G$205:$G$209,"COMPLETED")=COUNTIF($B$205:$B$209,3),"COMPLETED",IF(COUNTIFS($B$205:$B$209,3,$G$205:$G$209,"BLOCKED")&gt;0,"BLOCKED",IF(COUNTIFS($B$205:$B$209,3,$G$205:$G$209,"YET TO START")=COUNTIF($B$205:$B$209,3),"YET TO START","IN PROGRESS")))</f>
      </c>
      <c r="H204" s="16"/>
      <c r="I204" s="16"/>
      <c r="J204" s="13">
        <f>(COUNTIFS($B$205:$B$209,3,$J$205:$J$209,"DONE")+COUNTIFS($B$205:$B$209,3,$J$205:$J$209,"DONE-SANDBOX"))&amp;" / "&amp;COUNTIFS($B$205:$B$209,3,$J$205:$J$209,"&lt;&gt;")&amp;" batch steps done"</f>
      </c>
    </row>
    <row r="205" ht="39" customHeight="1" spans="1:12" s="10" customFormat="1" x14ac:dyDescent="0.25">
      <c r="A205" s="11" t="s">
        <v>1559</v>
      </c>
      <c r="B205" s="6">
        <v>3</v>
      </c>
      <c r="C205" s="19" t="s">
        <v>2731</v>
      </c>
      <c r="D205" s="11" t="s">
        <v>2707</v>
      </c>
      <c r="E205" s="11" t="s">
        <v>1556</v>
      </c>
      <c r="F205" s="6"/>
      <c r="G205" s="6" t="s">
        <v>11</v>
      </c>
      <c r="H205" s="11" t="s">
        <v>2732</v>
      </c>
      <c r="I205" s="11" t="s">
        <v>2733</v>
      </c>
      <c r="J205" s="20" t="s">
        <v>2274</v>
      </c>
      <c r="K205" s="10" t="s">
        <v>2308</v>
      </c>
      <c r="L205" s="21" t="s">
        <v>2734</v>
      </c>
    </row>
    <row r="206" ht="27" customHeight="1" spans="1:9" s="10" customFormat="1" x14ac:dyDescent="0.25">
      <c r="A206" s="11" t="s">
        <v>1539</v>
      </c>
      <c r="B206" s="6">
        <v>3</v>
      </c>
      <c r="C206" s="19" t="s">
        <v>2735</v>
      </c>
      <c r="D206" s="11" t="s">
        <v>2707</v>
      </c>
      <c r="E206" s="11" t="s">
        <v>2736</v>
      </c>
      <c r="F206" s="6"/>
      <c r="G206" s="6" t="s">
        <v>11</v>
      </c>
      <c r="H206" s="11" t="s">
        <v>2737</v>
      </c>
      <c r="I206" s="11" t="s">
        <v>2738</v>
      </c>
    </row>
    <row r="207" ht="39" customHeight="1" spans="1:9" s="10" customFormat="1" x14ac:dyDescent="0.25">
      <c r="A207" s="11" t="s">
        <v>1622</v>
      </c>
      <c r="B207" s="6">
        <v>3</v>
      </c>
      <c r="C207" s="19" t="s">
        <v>2739</v>
      </c>
      <c r="D207" s="11" t="s">
        <v>2707</v>
      </c>
      <c r="E207" s="11" t="s">
        <v>1619</v>
      </c>
      <c r="F207" s="6"/>
      <c r="G207" s="6" t="s">
        <v>11</v>
      </c>
      <c r="H207" s="11" t="s">
        <v>2740</v>
      </c>
      <c r="I207" s="11" t="s">
        <v>2741</v>
      </c>
    </row>
    <row r="208" ht="18" customHeight="1" spans="1:12" s="10" customFormat="1" x14ac:dyDescent="0.25">
      <c r="A208" s="11" t="s">
        <v>1598</v>
      </c>
      <c r="B208" s="6">
        <v>3</v>
      </c>
      <c r="C208" s="19" t="s">
        <v>2742</v>
      </c>
      <c r="D208" s="11" t="s">
        <v>2707</v>
      </c>
      <c r="E208" s="11" t="s">
        <v>1595</v>
      </c>
      <c r="F208" s="6"/>
      <c r="G208" s="6" t="s">
        <v>11</v>
      </c>
      <c r="H208" s="11" t="s">
        <v>2743</v>
      </c>
      <c r="I208" s="11" t="s">
        <v>2744</v>
      </c>
      <c r="J208" s="25" t="s">
        <v>2719</v>
      </c>
      <c r="K208" s="10" t="s">
        <v>2308</v>
      </c>
      <c r="L208" s="21" t="s">
        <v>2745</v>
      </c>
    </row>
    <row r="209" ht="15" customHeight="1" spans="1:10" s="10" customFormat="1" x14ac:dyDescent="0.25">
      <c r="A209" s="14" t="s">
        <v>2746</v>
      </c>
      <c r="B209" s="15">
        <v>1</v>
      </c>
      <c r="C209" s="14" t="s">
        <v>76</v>
      </c>
      <c r="D209" s="14" t="s">
        <v>2747</v>
      </c>
      <c r="E209" s="14"/>
      <c r="F209" s="15">
        <f>COUNTIFS($B$210:$B$219,3,$G$210:$G$219,"COMPLETED")&amp;" / "&amp;COUNTIF($B$210:$B$219,3)</f>
      </c>
      <c r="G209" s="15">
        <f>IF(COUNTIFS($B$210:$B$219,3,$G$210:$G$219,"COMPLETED")=COUNTIF($B$210:$B$219,3),"COMPLETED",IF(COUNTIFS($B$210:$B$219,3,$G$210:$G$219,"BLOCKED")&gt;0,"BLOCKED",IF(COUNTIFS($B$210:$B$219,3,$G$210:$G$219,"YET TO START")=COUNTIF($B$210:$B$219,3),"YET TO START","IN PROGRESS")))</f>
      </c>
      <c r="H209" s="14"/>
      <c r="I209" s="14"/>
      <c r="J209" s="13">
        <f>(COUNTIFS($B$210:$B$219,3,$J$210:$J$219,"DONE")+COUNTIFS($B$210:$B$219,3,$J$210:$J$219,"DONE-SANDBOX"))&amp;" / "&amp;COUNTIFS($B$210:$B$219,3,$J$210:$J$219,"&lt;&gt;")&amp;" batch steps done"</f>
      </c>
    </row>
    <row r="210" ht="27" customHeight="1" spans="1:10" s="10" customFormat="1" x14ac:dyDescent="0.25">
      <c r="A210" s="16" t="s">
        <v>2748</v>
      </c>
      <c r="B210" s="17">
        <v>2</v>
      </c>
      <c r="C210" s="18" t="s">
        <v>2749</v>
      </c>
      <c r="D210" s="16"/>
      <c r="E210" s="16"/>
      <c r="F210" s="17">
        <f>COUNTIFS($B$211:$B$215,3,$G$211:$G$215,"COMPLETED")&amp;" / "&amp;COUNTIF($B$211:$B$215,3)</f>
      </c>
      <c r="G210" s="17">
        <f>IF(COUNTIFS($B$211:$B$215,3,$G$211:$G$215,"COMPLETED")=COUNTIF($B$211:$B$215,3),"COMPLETED",IF(COUNTIFS($B$211:$B$215,3,$G$211:$G$215,"BLOCKED")&gt;0,"BLOCKED",IF(COUNTIFS($B$211:$B$215,3,$G$211:$G$215,"YET TO START")=COUNTIF($B$211:$B$215,3),"YET TO START","IN PROGRESS")))</f>
      </c>
      <c r="H210" s="16"/>
      <c r="I210" s="16"/>
      <c r="J210" s="13">
        <f>(COUNTIFS($B$211:$B$215,3,$J$211:$J$215,"DONE")+COUNTIFS($B$211:$B$215,3,$J$211:$J$215,"DONE-SANDBOX"))&amp;" / "&amp;COUNTIFS($B$211:$B$215,3,$J$211:$J$215,"&lt;&gt;")&amp;" batch steps done"</f>
      </c>
    </row>
    <row r="211" ht="27" customHeight="1" spans="1:9" s="10" customFormat="1" x14ac:dyDescent="0.25">
      <c r="A211" s="11" t="s">
        <v>1566</v>
      </c>
      <c r="B211" s="6">
        <v>3</v>
      </c>
      <c r="C211" s="19" t="s">
        <v>2750</v>
      </c>
      <c r="D211" s="11" t="s">
        <v>2747</v>
      </c>
      <c r="E211" s="11" t="s">
        <v>2751</v>
      </c>
      <c r="F211" s="6"/>
      <c r="G211" s="6" t="s">
        <v>11</v>
      </c>
      <c r="H211" s="11" t="s">
        <v>1279</v>
      </c>
      <c r="I211" s="11" t="s">
        <v>2752</v>
      </c>
    </row>
    <row r="212" ht="27" customHeight="1" spans="1:9" s="10" customFormat="1" x14ac:dyDescent="0.25">
      <c r="A212" s="11" t="s">
        <v>1295</v>
      </c>
      <c r="B212" s="6">
        <v>3</v>
      </c>
      <c r="C212" s="19" t="s">
        <v>2753</v>
      </c>
      <c r="D212" s="11" t="s">
        <v>2747</v>
      </c>
      <c r="E212" s="11" t="s">
        <v>1292</v>
      </c>
      <c r="F212" s="6"/>
      <c r="G212" s="6" t="s">
        <v>11</v>
      </c>
      <c r="H212" s="11" t="s">
        <v>1279</v>
      </c>
      <c r="I212" s="11" t="s">
        <v>2296</v>
      </c>
    </row>
    <row r="213" ht="27" customHeight="1" spans="1:12" s="10" customFormat="1" x14ac:dyDescent="0.25">
      <c r="A213" s="11" t="s">
        <v>2754</v>
      </c>
      <c r="B213" s="6">
        <v>3</v>
      </c>
      <c r="C213" s="19" t="s">
        <v>2755</v>
      </c>
      <c r="D213" s="11" t="s">
        <v>2756</v>
      </c>
      <c r="E213" s="11" t="s">
        <v>1273</v>
      </c>
      <c r="F213" s="6"/>
      <c r="G213" s="6" t="s">
        <v>14</v>
      </c>
      <c r="H213" s="11" t="s">
        <v>142</v>
      </c>
      <c r="I213" s="11" t="s">
        <v>2757</v>
      </c>
      <c r="J213" s="24" t="s">
        <v>2758</v>
      </c>
      <c r="K213" s="10" t="s">
        <v>142</v>
      </c>
      <c r="L213" s="21" t="s">
        <v>2759</v>
      </c>
    </row>
    <row r="214" ht="15" customHeight="1" spans="1:12" s="10" customFormat="1" x14ac:dyDescent="0.25">
      <c r="A214" s="11" t="s">
        <v>1612</v>
      </c>
      <c r="B214" s="6">
        <v>3</v>
      </c>
      <c r="C214" s="19" t="s">
        <v>2760</v>
      </c>
      <c r="D214" s="11" t="s">
        <v>2756</v>
      </c>
      <c r="E214" s="11" t="s">
        <v>1273</v>
      </c>
      <c r="F214" s="6"/>
      <c r="G214" s="6" t="s">
        <v>14</v>
      </c>
      <c r="H214" s="11" t="s">
        <v>2761</v>
      </c>
      <c r="I214" s="11" t="s">
        <v>2762</v>
      </c>
      <c r="J214" s="24" t="s">
        <v>2758</v>
      </c>
      <c r="K214" s="10" t="s">
        <v>142</v>
      </c>
      <c r="L214" s="21" t="s">
        <v>2763</v>
      </c>
    </row>
    <row r="215" ht="27" customHeight="1" spans="1:10" s="10" customFormat="1" x14ac:dyDescent="0.25">
      <c r="A215" s="16" t="s">
        <v>2764</v>
      </c>
      <c r="B215" s="17">
        <v>2</v>
      </c>
      <c r="C215" s="18" t="s">
        <v>2765</v>
      </c>
      <c r="D215" s="16"/>
      <c r="E215" s="16"/>
      <c r="F215" s="17">
        <f>COUNTIFS($B$216:$B$219,3,$G$216:$G$219,"COMPLETED")&amp;" / "&amp;COUNTIF($B$216:$B$219,3)</f>
      </c>
      <c r="G215" s="17">
        <f>IF(COUNTIFS($B$216:$B$219,3,$G$216:$G$219,"COMPLETED")=COUNTIF($B$216:$B$219,3),"COMPLETED",IF(COUNTIFS($B$216:$B$219,3,$G$216:$G$219,"BLOCKED")&gt;0,"BLOCKED",IF(COUNTIFS($B$216:$B$219,3,$G$216:$G$219,"YET TO START")=COUNTIF($B$216:$B$219,3),"YET TO START","IN PROGRESS")))</f>
      </c>
      <c r="H215" s="16"/>
      <c r="I215" s="16"/>
      <c r="J215" s="13">
        <f>(COUNTIFS($B$216:$B$219,3,$J$216:$J$219,"DONE")+COUNTIFS($B$216:$B$219,3,$J$216:$J$219,"DONE-SANDBOX"))&amp;" / "&amp;COUNTIFS($B$216:$B$219,3,$J$216:$J$219,"&lt;&gt;")&amp;" batch steps done"</f>
      </c>
    </row>
    <row r="216" ht="27" customHeight="1" spans="1:9" s="10" customFormat="1" x14ac:dyDescent="0.25">
      <c r="A216" s="11" t="s">
        <v>2766</v>
      </c>
      <c r="B216" s="6">
        <v>3</v>
      </c>
      <c r="C216" s="19" t="s">
        <v>2767</v>
      </c>
      <c r="D216" s="11" t="s">
        <v>2747</v>
      </c>
      <c r="E216" s="11" t="s">
        <v>1273</v>
      </c>
      <c r="F216" s="6"/>
      <c r="G216" s="6" t="s">
        <v>11</v>
      </c>
      <c r="H216" s="11" t="s">
        <v>1279</v>
      </c>
      <c r="I216" s="11" t="s">
        <v>142</v>
      </c>
    </row>
    <row r="217" ht="27" customHeight="1" spans="1:9" s="10" customFormat="1" x14ac:dyDescent="0.25">
      <c r="A217" s="11" t="s">
        <v>2768</v>
      </c>
      <c r="B217" s="6">
        <v>3</v>
      </c>
      <c r="C217" s="19" t="s">
        <v>2769</v>
      </c>
      <c r="D217" s="11" t="s">
        <v>2747</v>
      </c>
      <c r="E217" s="11" t="s">
        <v>1284</v>
      </c>
      <c r="F217" s="6"/>
      <c r="G217" s="6" t="s">
        <v>11</v>
      </c>
      <c r="H217" s="11" t="s">
        <v>1279</v>
      </c>
      <c r="I217" s="11" t="s">
        <v>142</v>
      </c>
    </row>
    <row r="218" spans="1:12" x14ac:dyDescent="0.25">
      <c r="A218" s="11" t="s">
        <v>2770</v>
      </c>
      <c r="B218" s="6">
        <v>3</v>
      </c>
      <c r="C218" s="19" t="s">
        <v>2771</v>
      </c>
      <c r="D218" s="11" t="s">
        <v>2747</v>
      </c>
      <c r="E218" s="11" t="s">
        <v>1284</v>
      </c>
      <c r="F218" s="6"/>
      <c r="G218" s="6" t="s">
        <v>14</v>
      </c>
      <c r="H218" s="11" t="s">
        <v>2772</v>
      </c>
      <c r="I218" s="11" t="s">
        <v>2773</v>
      </c>
      <c r="J218" s="25" t="s">
        <v>2719</v>
      </c>
      <c r="K218" s="10" t="s">
        <v>2308</v>
      </c>
      <c r="L218" s="21" t="s">
        <v>2774</v>
      </c>
    </row>
    <row r="219" spans="1:12" x14ac:dyDescent="0.25">
      <c r="A219" s="14" t="s">
        <v>2775</v>
      </c>
      <c r="B219" s="15">
        <v>1</v>
      </c>
      <c r="C219" s="14" t="s">
        <v>77</v>
      </c>
      <c r="D219" s="14" t="s">
        <v>2776</v>
      </c>
      <c r="E219" s="14"/>
      <c r="F219" s="15" t="str">
        <f>COUNTIFS($B$220:$B$244,3,$G$220:$G$244,"COMPLETED")&amp;" / "&amp;COUNTIF($B$220:$B$244,3)</f>
        <v>20 / 20</v>
      </c>
      <c r="G219" s="15" t="str">
        <f>IF(COUNTIFS($B$220:$B$244,3,$G$220:$G$244,"COMPLETED")=COUNTIF($B$220:$B$244,3),"COMPLETED",IF(COUNTIFS($B$220:$B$244,3,$G$220:$G$244,"BLOCKED")&gt;0,"BLOCKED",IF(COUNTIFS($B$220:$B$244,3,$G$220:$G$244,"YET TO START")=COUNTIF($B$220:$B$244,3),"YET TO START","IN PROGRESS")))</f>
        <v>COMPLETED</v>
      </c>
      <c r="H219" s="14"/>
      <c r="I219" s="14"/>
      <c r="J219" s="13"/>
      <c r="K219" s="10"/>
      <c r="L219" s="10"/>
    </row>
    <row r="220" spans="1:12" x14ac:dyDescent="0.25">
      <c r="A220" s="16" t="s">
        <v>2777</v>
      </c>
      <c r="B220" s="17">
        <v>2</v>
      </c>
      <c r="C220" s="18" t="s">
        <v>2778</v>
      </c>
      <c r="D220" s="16"/>
      <c r="E220" s="16"/>
      <c r="F220" s="17" t="str">
        <f>COUNTIFS($B$221:$B$226,3,$G$221:$G$226,"COMPLETED")&amp;" / "&amp;COUNTIF($B$221:$B$226,3)</f>
        <v>6 / 6</v>
      </c>
      <c r="G220" s="17" t="str">
        <f>IF(COUNTIFS($B$221:$B$226,3,$G$221:$G$226,"COMPLETED")=COUNTIF($B$221:$B$226,3),"COMPLETED",IF(COUNTIFS($B$221:$B$226,3,$G$221:$G$226,"BLOCKED")&gt;0,"BLOCKED",IF(COUNTIFS($B$221:$B$226,3,$G$221:$G$226,"YET TO START")=COUNTIF($B$221:$B$226,3),"YET TO START","IN PROGRESS")))</f>
        <v>COMPLETED</v>
      </c>
      <c r="H220" s="16"/>
      <c r="I220" s="16"/>
      <c r="J220" s="13"/>
      <c r="K220" s="10"/>
      <c r="L220" s="10"/>
    </row>
    <row r="221" spans="1:12" x14ac:dyDescent="0.25">
      <c r="A221" s="11" t="s">
        <v>1891</v>
      </c>
      <c r="B221" s="6">
        <v>3</v>
      </c>
      <c r="C221" s="19" t="s">
        <v>2779</v>
      </c>
      <c r="D221" s="11" t="s">
        <v>2780</v>
      </c>
      <c r="E221" s="11" t="s">
        <v>2781</v>
      </c>
      <c r="F221" s="6"/>
      <c r="G221" s="6" t="s">
        <v>11</v>
      </c>
      <c r="H221" s="11" t="s">
        <v>1894</v>
      </c>
      <c r="I221" s="11" t="s">
        <v>2782</v>
      </c>
      <c r="J221" s="10"/>
      <c r="K221" s="10"/>
      <c r="L221" s="10"/>
    </row>
    <row r="222" spans="1:12" x14ac:dyDescent="0.25">
      <c r="A222" s="11" t="s">
        <v>2783</v>
      </c>
      <c r="B222" s="6">
        <v>3</v>
      </c>
      <c r="C222" s="19" t="s">
        <v>2784</v>
      </c>
      <c r="D222" s="11" t="s">
        <v>2780</v>
      </c>
      <c r="E222" s="11" t="s">
        <v>1905</v>
      </c>
      <c r="F222" s="6"/>
      <c r="G222" s="6" t="s">
        <v>11</v>
      </c>
      <c r="H222" s="11" t="s">
        <v>1894</v>
      </c>
      <c r="I222" s="11" t="s">
        <v>2785</v>
      </c>
      <c r="J222" s="10"/>
      <c r="K222" s="10"/>
      <c r="L222" s="10"/>
    </row>
    <row r="223" spans="1:12" x14ac:dyDescent="0.25">
      <c r="A223" s="11" t="s">
        <v>1914</v>
      </c>
      <c r="B223" s="6">
        <v>3</v>
      </c>
      <c r="C223" s="19" t="s">
        <v>2786</v>
      </c>
      <c r="D223" s="11" t="s">
        <v>552</v>
      </c>
      <c r="E223" s="11" t="s">
        <v>1911</v>
      </c>
      <c r="F223" s="6"/>
      <c r="G223" s="6" t="s">
        <v>11</v>
      </c>
      <c r="H223" s="11" t="s">
        <v>1894</v>
      </c>
      <c r="I223" s="11" t="s">
        <v>2787</v>
      </c>
      <c r="J223" s="10"/>
      <c r="K223" s="10"/>
      <c r="L223" s="10"/>
    </row>
    <row r="224" spans="1:12" x14ac:dyDescent="0.25">
      <c r="A224" s="11" t="s">
        <v>2040</v>
      </c>
      <c r="B224" s="6">
        <v>3</v>
      </c>
      <c r="C224" s="19" t="s">
        <v>2788</v>
      </c>
      <c r="D224" s="11" t="s">
        <v>552</v>
      </c>
      <c r="E224" s="11" t="s">
        <v>2789</v>
      </c>
      <c r="F224" s="6"/>
      <c r="G224" s="6" t="s">
        <v>11</v>
      </c>
      <c r="H224" s="11" t="s">
        <v>2042</v>
      </c>
      <c r="I224" s="11" t="s">
        <v>2790</v>
      </c>
      <c r="J224" s="10"/>
      <c r="K224" s="10"/>
      <c r="L224" s="10"/>
    </row>
    <row r="225" spans="1:12" x14ac:dyDescent="0.25">
      <c r="A225" s="11" t="s">
        <v>1920</v>
      </c>
      <c r="B225" s="6">
        <v>3</v>
      </c>
      <c r="C225" s="19" t="s">
        <v>2791</v>
      </c>
      <c r="D225" s="11" t="s">
        <v>2780</v>
      </c>
      <c r="E225" s="11" t="s">
        <v>1917</v>
      </c>
      <c r="F225" s="6"/>
      <c r="G225" s="6" t="s">
        <v>11</v>
      </c>
      <c r="H225" s="11" t="s">
        <v>1894</v>
      </c>
      <c r="I225" s="11" t="s">
        <v>2792</v>
      </c>
      <c r="J225" s="10"/>
      <c r="K225" s="10"/>
      <c r="L225" s="10"/>
    </row>
    <row r="226" spans="1:12" x14ac:dyDescent="0.25">
      <c r="A226" s="11" t="s">
        <v>1926</v>
      </c>
      <c r="B226" s="6">
        <v>3</v>
      </c>
      <c r="C226" s="19" t="s">
        <v>2793</v>
      </c>
      <c r="D226" s="11" t="s">
        <v>2780</v>
      </c>
      <c r="E226" s="11" t="s">
        <v>1923</v>
      </c>
      <c r="F226" s="6"/>
      <c r="G226" s="6" t="s">
        <v>11</v>
      </c>
      <c r="H226" s="11" t="s">
        <v>1894</v>
      </c>
      <c r="I226" s="11" t="s">
        <v>2792</v>
      </c>
      <c r="J226" s="10"/>
      <c r="K226" s="10"/>
      <c r="L226" s="10"/>
    </row>
    <row r="227" spans="1:12" x14ac:dyDescent="0.25">
      <c r="A227" s="16" t="s">
        <v>2794</v>
      </c>
      <c r="B227" s="17">
        <v>2</v>
      </c>
      <c r="C227" s="18" t="s">
        <v>2795</v>
      </c>
      <c r="D227" s="16"/>
      <c r="E227" s="16"/>
      <c r="F227" s="17" t="str">
        <f>COUNTIFS($B$228:$B$231,3,$G$228:$G$231,"COMPLETED")&amp;" / "&amp;COUNTIF($B$228:$B$231,3)</f>
        <v>4 / 4</v>
      </c>
      <c r="G227" s="17" t="str">
        <f>IF(COUNTIFS($B$228:$B$231,3,$G$228:$G$231,"COMPLETED")=COUNTIF($B$228:$B$231,3),"COMPLETED",IF(COUNTIFS($B$228:$B$231,3,$G$228:$G$231,"BLOCKED")&gt;0,"BLOCKED",IF(COUNTIFS($B$228:$B$231,3,$G$228:$G$231,"YET TO START")=COUNTIF($B$228:$B$231,3),"YET TO START","IN PROGRESS")))</f>
        <v>COMPLETED</v>
      </c>
      <c r="H227" s="16"/>
      <c r="I227" s="16"/>
      <c r="J227" s="13"/>
      <c r="K227" s="10"/>
      <c r="L227" s="10"/>
    </row>
    <row r="228" spans="1:12" x14ac:dyDescent="0.25">
      <c r="A228" s="11" t="s">
        <v>1931</v>
      </c>
      <c r="B228" s="6">
        <v>3</v>
      </c>
      <c r="C228" s="19" t="s">
        <v>2796</v>
      </c>
      <c r="D228" s="11" t="s">
        <v>2382</v>
      </c>
      <c r="E228" s="11" t="s">
        <v>1928</v>
      </c>
      <c r="F228" s="6"/>
      <c r="G228" s="6" t="s">
        <v>11</v>
      </c>
      <c r="H228" s="11" t="s">
        <v>1894</v>
      </c>
      <c r="I228" s="11" t="s">
        <v>2792</v>
      </c>
      <c r="J228" s="10"/>
      <c r="K228" s="10"/>
      <c r="L228" s="10"/>
    </row>
    <row r="229" spans="1:12" x14ac:dyDescent="0.25">
      <c r="A229" s="11" t="s">
        <v>1937</v>
      </c>
      <c r="B229" s="6">
        <v>3</v>
      </c>
      <c r="C229" s="19" t="s">
        <v>2797</v>
      </c>
      <c r="D229" s="11" t="s">
        <v>2798</v>
      </c>
      <c r="E229" s="11" t="s">
        <v>1934</v>
      </c>
      <c r="F229" s="6"/>
      <c r="G229" s="6" t="s">
        <v>11</v>
      </c>
      <c r="H229" s="11" t="s">
        <v>1894</v>
      </c>
      <c r="I229" s="11" t="s">
        <v>2792</v>
      </c>
      <c r="J229" s="10"/>
      <c r="K229" s="10"/>
      <c r="L229" s="10"/>
    </row>
    <row r="230" spans="1:12" x14ac:dyDescent="0.25">
      <c r="A230" s="11" t="s">
        <v>1943</v>
      </c>
      <c r="B230" s="6">
        <v>3</v>
      </c>
      <c r="C230" s="19" t="s">
        <v>2799</v>
      </c>
      <c r="D230" s="11" t="s">
        <v>637</v>
      </c>
      <c r="E230" s="11" t="s">
        <v>1940</v>
      </c>
      <c r="F230" s="6"/>
      <c r="G230" s="6" t="s">
        <v>11</v>
      </c>
      <c r="H230" s="11" t="s">
        <v>1894</v>
      </c>
      <c r="I230" s="11" t="s">
        <v>2800</v>
      </c>
      <c r="J230" s="10"/>
      <c r="K230" s="10"/>
      <c r="L230" s="10"/>
    </row>
    <row r="231" spans="1:12" x14ac:dyDescent="0.25">
      <c r="A231" s="11" t="s">
        <v>1949</v>
      </c>
      <c r="B231" s="6">
        <v>3</v>
      </c>
      <c r="C231" s="19" t="s">
        <v>2801</v>
      </c>
      <c r="D231" s="11" t="s">
        <v>2776</v>
      </c>
      <c r="E231" s="11" t="s">
        <v>1946</v>
      </c>
      <c r="F231" s="6"/>
      <c r="G231" s="6" t="s">
        <v>11</v>
      </c>
      <c r="H231" s="11" t="s">
        <v>1894</v>
      </c>
      <c r="I231" s="11" t="s">
        <v>2792</v>
      </c>
      <c r="J231" s="10"/>
      <c r="K231" s="10"/>
      <c r="L231" s="10"/>
    </row>
    <row r="232" spans="1:12" x14ac:dyDescent="0.25">
      <c r="A232" s="16" t="s">
        <v>2802</v>
      </c>
      <c r="B232" s="17">
        <v>2</v>
      </c>
      <c r="C232" s="18" t="s">
        <v>2803</v>
      </c>
      <c r="D232" s="16"/>
      <c r="E232" s="16"/>
      <c r="F232" s="17" t="str">
        <f>COUNTIFS($B$233:$B$237,3,$G$233:$G$237,"COMPLETED")&amp;" / "&amp;COUNTIF($B$233:$B$237,3)</f>
        <v>5 / 5</v>
      </c>
      <c r="G232" s="17" t="str">
        <f>IF(COUNTIFS($B$233:$B$237,3,$G$233:$G$237,"COMPLETED")=COUNTIF($B$233:$B$237,3),"COMPLETED",IF(COUNTIFS($B$233:$B$237,3,$G$233:$G$237,"BLOCKED")&gt;0,"BLOCKED",IF(COUNTIFS($B$233:$B$237,3,$G$233:$G$237,"YET TO START")=COUNTIF($B$233:$B$237,3),"YET TO START","IN PROGRESS")))</f>
        <v>COMPLETED</v>
      </c>
      <c r="H232" s="16"/>
      <c r="I232" s="16"/>
      <c r="J232" s="13"/>
      <c r="K232" s="10"/>
      <c r="L232" s="10"/>
    </row>
    <row r="233" spans="1:12" x14ac:dyDescent="0.25">
      <c r="A233" s="11" t="s">
        <v>1962</v>
      </c>
      <c r="B233" s="6">
        <v>3</v>
      </c>
      <c r="C233" s="19" t="s">
        <v>2804</v>
      </c>
      <c r="D233" s="11" t="s">
        <v>552</v>
      </c>
      <c r="E233" s="11" t="s">
        <v>2805</v>
      </c>
      <c r="F233" s="6"/>
      <c r="G233" s="6" t="s">
        <v>11</v>
      </c>
      <c r="H233" s="11" t="s">
        <v>2806</v>
      </c>
      <c r="I233" s="11" t="s">
        <v>2807</v>
      </c>
      <c r="J233" s="10"/>
      <c r="K233" s="10"/>
      <c r="L233" s="10"/>
    </row>
    <row r="234" spans="1:12" x14ac:dyDescent="0.25">
      <c r="A234" s="11" t="s">
        <v>1987</v>
      </c>
      <c r="B234" s="6">
        <v>3</v>
      </c>
      <c r="C234" s="19" t="s">
        <v>2808</v>
      </c>
      <c r="D234" s="11" t="s">
        <v>552</v>
      </c>
      <c r="E234" s="11" t="s">
        <v>1984</v>
      </c>
      <c r="F234" s="6"/>
      <c r="G234" s="6" t="s">
        <v>11</v>
      </c>
      <c r="H234" s="11" t="s">
        <v>1989</v>
      </c>
      <c r="I234" s="11" t="s">
        <v>2809</v>
      </c>
      <c r="J234" s="10"/>
      <c r="K234" s="10"/>
      <c r="L234" s="10"/>
    </row>
    <row r="235" spans="1:12" x14ac:dyDescent="0.25">
      <c r="A235" s="11" t="s">
        <v>1974</v>
      </c>
      <c r="B235" s="6">
        <v>3</v>
      </c>
      <c r="C235" s="19" t="s">
        <v>2810</v>
      </c>
      <c r="D235" s="11" t="s">
        <v>637</v>
      </c>
      <c r="E235" s="11" t="s">
        <v>1971</v>
      </c>
      <c r="F235" s="6"/>
      <c r="G235" s="6" t="s">
        <v>11</v>
      </c>
      <c r="H235" s="11" t="s">
        <v>1894</v>
      </c>
      <c r="I235" s="11" t="s">
        <v>2811</v>
      </c>
      <c r="J235" s="10"/>
      <c r="K235" s="10"/>
      <c r="L235" s="10"/>
    </row>
    <row r="236" spans="1:12" x14ac:dyDescent="0.25">
      <c r="A236" s="11" t="s">
        <v>1968</v>
      </c>
      <c r="B236" s="6">
        <v>3</v>
      </c>
      <c r="C236" s="19" t="s">
        <v>2812</v>
      </c>
      <c r="D236" s="11" t="s">
        <v>2813</v>
      </c>
      <c r="E236" s="11" t="s">
        <v>2814</v>
      </c>
      <c r="F236" s="6"/>
      <c r="G236" s="6" t="s">
        <v>11</v>
      </c>
      <c r="H236" s="11" t="s">
        <v>2815</v>
      </c>
      <c r="I236" s="11" t="s">
        <v>2816</v>
      </c>
      <c r="J236" s="10"/>
      <c r="K236" s="10"/>
      <c r="L236" s="10"/>
    </row>
    <row r="237" spans="1:12" x14ac:dyDescent="0.25">
      <c r="A237" s="11" t="s">
        <v>1980</v>
      </c>
      <c r="B237" s="6">
        <v>3</v>
      </c>
      <c r="C237" s="19" t="s">
        <v>2817</v>
      </c>
      <c r="D237" s="11" t="s">
        <v>2813</v>
      </c>
      <c r="E237" s="11" t="s">
        <v>1977</v>
      </c>
      <c r="F237" s="6"/>
      <c r="G237" s="6" t="s">
        <v>11</v>
      </c>
      <c r="H237" s="11" t="s">
        <v>1982</v>
      </c>
      <c r="I237" s="11" t="s">
        <v>2818</v>
      </c>
      <c r="J237" s="10"/>
      <c r="K237" s="10"/>
      <c r="L237" s="10"/>
    </row>
    <row r="238" spans="1:12" x14ac:dyDescent="0.25">
      <c r="A238" s="16" t="s">
        <v>2819</v>
      </c>
      <c r="B238" s="17">
        <v>2</v>
      </c>
      <c r="C238" s="18" t="s">
        <v>2820</v>
      </c>
      <c r="D238" s="16"/>
      <c r="E238" s="16"/>
      <c r="F238" s="17" t="str">
        <f>COUNTIFS($B$239:$B$241,3,$G$239:$G$241,"COMPLETED")&amp;" / "&amp;COUNTIF($B$239:$B$241,3)</f>
        <v>3 / 3</v>
      </c>
      <c r="G238" s="17" t="str">
        <f>IF(COUNTIFS($B$239:$B$241,3,$G$239:$G$241,"COMPLETED")=COUNTIF($B$239:$B$241,3),"COMPLETED",IF(COUNTIFS($B$239:$B$241,3,$G$239:$G$241,"BLOCKED")&gt;0,"BLOCKED",IF(COUNTIFS($B$239:$B$241,3,$G$239:$G$241,"YET TO START")=COUNTIF($B$239:$B$241,3),"YET TO START","IN PROGRESS")))</f>
        <v>COMPLETED</v>
      </c>
      <c r="H238" s="16"/>
      <c r="I238" s="16"/>
      <c r="J238" s="13"/>
      <c r="K238" s="10"/>
      <c r="L238" s="10"/>
    </row>
    <row r="239" spans="1:12" x14ac:dyDescent="0.25">
      <c r="A239" s="11" t="s">
        <v>1999</v>
      </c>
      <c r="B239" s="6">
        <v>3</v>
      </c>
      <c r="C239" s="19" t="s">
        <v>2821</v>
      </c>
      <c r="D239" s="11" t="s">
        <v>2780</v>
      </c>
      <c r="E239" s="11" t="s">
        <v>1996</v>
      </c>
      <c r="F239" s="6"/>
      <c r="G239" s="6" t="s">
        <v>11</v>
      </c>
      <c r="H239" s="11" t="s">
        <v>1894</v>
      </c>
      <c r="I239" s="11" t="s">
        <v>2792</v>
      </c>
      <c r="J239" s="10"/>
      <c r="K239" s="10"/>
      <c r="L239" s="10"/>
    </row>
    <row r="240" spans="1:12" x14ac:dyDescent="0.25">
      <c r="A240" s="11" t="s">
        <v>2012</v>
      </c>
      <c r="B240" s="6">
        <v>3</v>
      </c>
      <c r="C240" s="19" t="s">
        <v>2822</v>
      </c>
      <c r="D240" s="11" t="s">
        <v>552</v>
      </c>
      <c r="E240" s="11" t="s">
        <v>2009</v>
      </c>
      <c r="F240" s="6"/>
      <c r="G240" s="6" t="s">
        <v>11</v>
      </c>
      <c r="H240" s="11" t="s">
        <v>1894</v>
      </c>
      <c r="I240" s="11" t="s">
        <v>2792</v>
      </c>
      <c r="J240" s="10"/>
      <c r="K240" s="10"/>
      <c r="L240" s="10"/>
    </row>
    <row r="241" spans="1:12" x14ac:dyDescent="0.25">
      <c r="A241" s="11" t="s">
        <v>2018</v>
      </c>
      <c r="B241" s="6">
        <v>3</v>
      </c>
      <c r="C241" s="19" t="s">
        <v>2823</v>
      </c>
      <c r="D241" s="11" t="s">
        <v>552</v>
      </c>
      <c r="E241" s="11" t="s">
        <v>2824</v>
      </c>
      <c r="F241" s="6"/>
      <c r="G241" s="6" t="s">
        <v>11</v>
      </c>
      <c r="H241" s="11" t="s">
        <v>1894</v>
      </c>
      <c r="I241" s="11" t="s">
        <v>2792</v>
      </c>
      <c r="J241" s="10"/>
      <c r="K241" s="10"/>
      <c r="L241" s="10"/>
    </row>
    <row r="242" spans="1:12" x14ac:dyDescent="0.25">
      <c r="A242" s="16" t="s">
        <v>2825</v>
      </c>
      <c r="B242" s="17">
        <v>2</v>
      </c>
      <c r="C242" s="18" t="s">
        <v>2826</v>
      </c>
      <c r="D242" s="16"/>
      <c r="E242" s="16"/>
      <c r="F242" s="17" t="str">
        <f>COUNTIFS($B$243:$B$244,3,$G$243:$G$244,"COMPLETED")&amp;" / "&amp;COUNTIF($B$243:$B$244,3)</f>
        <v>2 / 2</v>
      </c>
      <c r="G242" s="17" t="str">
        <f>IF(COUNTIFS($B$243:$B$244,3,$G$243:$G$244,"COMPLETED")=COUNTIF($B$243:$B$244,3),"COMPLETED",IF(COUNTIFS($B$243:$B$244,3,$G$243:$G$244,"BLOCKED")&gt;0,"BLOCKED",IF(COUNTIFS($B$243:$B$244,3,$G$243:$G$244,"YET TO START")=COUNTIF($B$243:$B$244,3),"YET TO START","IN PROGRESS")))</f>
        <v>COMPLETED</v>
      </c>
      <c r="H242" s="16"/>
      <c r="I242" s="16"/>
      <c r="J242" s="13"/>
      <c r="K242" s="10"/>
      <c r="L242" s="10"/>
    </row>
    <row r="243" spans="1:12" x14ac:dyDescent="0.25">
      <c r="A243" s="11" t="s">
        <v>2827</v>
      </c>
      <c r="B243" s="6">
        <v>3</v>
      </c>
      <c r="C243" s="19" t="s">
        <v>2828</v>
      </c>
      <c r="D243" s="11" t="s">
        <v>2382</v>
      </c>
      <c r="E243" s="11" t="s">
        <v>2002</v>
      </c>
      <c r="F243" s="6"/>
      <c r="G243" s="6" t="s">
        <v>11</v>
      </c>
      <c r="H243" s="11" t="s">
        <v>1894</v>
      </c>
      <c r="I243" s="11" t="s">
        <v>2829</v>
      </c>
      <c r="J243" s="10"/>
      <c r="K243" s="10"/>
      <c r="L243" s="10"/>
    </row>
    <row r="244" spans="1:12" x14ac:dyDescent="0.25">
      <c r="A244" s="11" t="s">
        <v>2830</v>
      </c>
      <c r="B244" s="6">
        <v>3</v>
      </c>
      <c r="C244" s="19" t="s">
        <v>2831</v>
      </c>
      <c r="D244" s="11" t="s">
        <v>2832</v>
      </c>
      <c r="E244" s="11" t="s">
        <v>2002</v>
      </c>
      <c r="F244" s="6"/>
      <c r="G244" s="6" t="s">
        <v>11</v>
      </c>
      <c r="H244" s="11" t="s">
        <v>1894</v>
      </c>
      <c r="I244" s="11" t="s">
        <v>2792</v>
      </c>
      <c r="J244" s="10"/>
      <c r="K244" s="10"/>
      <c r="L244" s="10"/>
    </row>
    <row r="245" spans="1:12" x14ac:dyDescent="0.25">
      <c r="A245" s="14" t="s">
        <v>2833</v>
      </c>
      <c r="B245" s="15">
        <v>1</v>
      </c>
      <c r="C245" s="14" t="s">
        <v>78</v>
      </c>
      <c r="D245" s="14" t="s">
        <v>2832</v>
      </c>
      <c r="E245" s="14"/>
      <c r="F245" s="15" t="str">
        <f>COUNTIFS($B$246:$B$265,3,$G$246:$G$265,"COMPLETED")&amp;" / "&amp;COUNTIF($B$246:$B$265,3)</f>
        <v>16 / 16</v>
      </c>
      <c r="G245" s="15" t="str">
        <f>IF(COUNTIFS($B$246:$B$265,3,$G$246:$G$265,"COMPLETED")=COUNTIF($B$246:$B$265,3),"COMPLETED",IF(COUNTIFS($B$246:$B$265,3,$G$246:$G$265,"BLOCKED")&gt;0,"BLOCKED",IF(COUNTIFS($B$246:$B$265,3,$G$246:$G$265,"YET TO START")=COUNTIF($B$246:$B$265,3),"YET TO START","IN PROGRESS")))</f>
        <v>COMPLETED</v>
      </c>
      <c r="H245" s="14"/>
      <c r="I245" s="14"/>
      <c r="J245" s="13"/>
      <c r="K245" s="10"/>
      <c r="L245" s="10"/>
    </row>
    <row r="246" spans="1:12" x14ac:dyDescent="0.25">
      <c r="A246" s="16" t="s">
        <v>2834</v>
      </c>
      <c r="B246" s="17">
        <v>2</v>
      </c>
      <c r="C246" s="18" t="s">
        <v>2835</v>
      </c>
      <c r="D246" s="16"/>
      <c r="E246" s="16"/>
      <c r="F246" s="17" t="str">
        <f>COUNTIFS($B$247:$B$251,3,$G$247:$G$251,"COMPLETED")&amp;" / "&amp;COUNTIF($B$247:$B$251,3)</f>
        <v>5 / 5</v>
      </c>
      <c r="G246" s="17" t="str">
        <f>IF(COUNTIFS($B$247:$B$251,3,$G$247:$G$251,"COMPLETED")=COUNTIF($B$247:$B$251,3),"COMPLETED",IF(COUNTIFS($B$247:$B$251,3,$G$247:$G$251,"BLOCKED")&gt;0,"BLOCKED",IF(COUNTIFS($B$247:$B$251,3,$G$247:$G$251,"YET TO START")=COUNTIF($B$247:$B$251,3),"YET TO START","IN PROGRESS")))</f>
        <v>COMPLETED</v>
      </c>
      <c r="H246" s="16"/>
      <c r="I246" s="16"/>
      <c r="J246" s="13"/>
      <c r="K246" s="10"/>
      <c r="L246" s="10"/>
    </row>
    <row r="247" spans="1:12" x14ac:dyDescent="0.25">
      <c r="A247" s="11" t="s">
        <v>2078</v>
      </c>
      <c r="B247" s="6">
        <v>3</v>
      </c>
      <c r="C247" s="19" t="s">
        <v>2836</v>
      </c>
      <c r="D247" s="11" t="s">
        <v>2382</v>
      </c>
      <c r="E247" s="11" t="s">
        <v>2837</v>
      </c>
      <c r="F247" s="6"/>
      <c r="G247" s="6" t="s">
        <v>11</v>
      </c>
      <c r="H247" s="11" t="s">
        <v>2838</v>
      </c>
      <c r="I247" s="11" t="s">
        <v>2839</v>
      </c>
      <c r="J247" s="10"/>
      <c r="K247" s="10"/>
      <c r="L247" s="10"/>
    </row>
    <row r="248" spans="1:12" x14ac:dyDescent="0.25">
      <c r="A248" s="11" t="s">
        <v>2155</v>
      </c>
      <c r="B248" s="6">
        <v>3</v>
      </c>
      <c r="C248" s="19" t="s">
        <v>2840</v>
      </c>
      <c r="D248" s="11" t="s">
        <v>2382</v>
      </c>
      <c r="E248" s="11" t="s">
        <v>2152</v>
      </c>
      <c r="F248" s="6"/>
      <c r="G248" s="6" t="s">
        <v>11</v>
      </c>
      <c r="H248" s="11" t="s">
        <v>1894</v>
      </c>
      <c r="I248" s="11" t="s">
        <v>2841</v>
      </c>
      <c r="J248" s="10"/>
      <c r="K248" s="10"/>
      <c r="L248" s="10"/>
    </row>
    <row r="249" spans="1:12" x14ac:dyDescent="0.25">
      <c r="A249" s="11" t="s">
        <v>2162</v>
      </c>
      <c r="B249" s="6">
        <v>3</v>
      </c>
      <c r="C249" s="19" t="s">
        <v>2842</v>
      </c>
      <c r="D249" s="11" t="s">
        <v>2382</v>
      </c>
      <c r="E249" s="11" t="s">
        <v>2159</v>
      </c>
      <c r="F249" s="6"/>
      <c r="G249" s="6" t="s">
        <v>11</v>
      </c>
      <c r="H249" s="11" t="s">
        <v>2150</v>
      </c>
      <c r="I249" s="11" t="s">
        <v>2843</v>
      </c>
      <c r="J249" s="10"/>
      <c r="K249" s="10"/>
      <c r="L249" s="10"/>
    </row>
    <row r="250" spans="1:12" x14ac:dyDescent="0.25">
      <c r="A250" s="11" t="s">
        <v>2169</v>
      </c>
      <c r="B250" s="6">
        <v>3</v>
      </c>
      <c r="C250" s="19" t="s">
        <v>2844</v>
      </c>
      <c r="D250" s="11" t="s">
        <v>637</v>
      </c>
      <c r="E250" s="11" t="s">
        <v>2166</v>
      </c>
      <c r="F250" s="6"/>
      <c r="G250" s="6" t="s">
        <v>11</v>
      </c>
      <c r="H250" s="11" t="s">
        <v>2172</v>
      </c>
      <c r="I250" s="11" t="s">
        <v>2845</v>
      </c>
      <c r="J250" s="10"/>
      <c r="K250" s="10"/>
      <c r="L250" s="10"/>
    </row>
    <row r="251" spans="1:12" x14ac:dyDescent="0.25">
      <c r="A251" s="11" t="s">
        <v>2072</v>
      </c>
      <c r="B251" s="6">
        <v>3</v>
      </c>
      <c r="C251" s="19" t="s">
        <v>2846</v>
      </c>
      <c r="D251" s="11" t="s">
        <v>2382</v>
      </c>
      <c r="E251" s="11" t="s">
        <v>2069</v>
      </c>
      <c r="F251" s="6"/>
      <c r="G251" s="6" t="s">
        <v>11</v>
      </c>
      <c r="H251" s="11" t="s">
        <v>1894</v>
      </c>
      <c r="I251" s="11" t="s">
        <v>2792</v>
      </c>
      <c r="J251" s="10"/>
      <c r="K251" s="10"/>
      <c r="L251" s="10"/>
    </row>
    <row r="252" spans="1:12" x14ac:dyDescent="0.25">
      <c r="A252" s="16" t="s">
        <v>2847</v>
      </c>
      <c r="B252" s="17">
        <v>2</v>
      </c>
      <c r="C252" s="18" t="s">
        <v>2848</v>
      </c>
      <c r="D252" s="16"/>
      <c r="E252" s="16"/>
      <c r="F252" s="17" t="str">
        <f>COUNTIFS($B$253:$B$256,3,$G$253:$G$256,"COMPLETED")&amp;" / "&amp;COUNTIF($B$253:$B$256,3)</f>
        <v>4 / 4</v>
      </c>
      <c r="G252" s="17" t="str">
        <f>IF(COUNTIFS($B$253:$B$256,3,$G$253:$G$256,"COMPLETED")=COUNTIF($B$253:$B$256,3),"COMPLETED",IF(COUNTIFS($B$253:$B$256,3,$G$253:$G$256,"BLOCKED")&gt;0,"BLOCKED",IF(COUNTIFS($B$253:$B$256,3,$G$253:$G$256,"YET TO START")=COUNTIF($B$253:$B$256,3),"YET TO START","IN PROGRESS")))</f>
        <v>COMPLETED</v>
      </c>
      <c r="H252" s="16"/>
      <c r="I252" s="16"/>
      <c r="J252" s="13"/>
      <c r="K252" s="10"/>
      <c r="L252" s="10"/>
    </row>
    <row r="253" spans="1:12" x14ac:dyDescent="0.25">
      <c r="A253" s="11" t="s">
        <v>2148</v>
      </c>
      <c r="B253" s="6">
        <v>3</v>
      </c>
      <c r="C253" s="19" t="s">
        <v>2849</v>
      </c>
      <c r="D253" s="11" t="s">
        <v>2382</v>
      </c>
      <c r="E253" s="11" t="s">
        <v>2145</v>
      </c>
      <c r="F253" s="6"/>
      <c r="G253" s="6" t="s">
        <v>11</v>
      </c>
      <c r="H253" s="11" t="s">
        <v>2150</v>
      </c>
      <c r="I253" s="11" t="s">
        <v>2850</v>
      </c>
      <c r="J253" s="10"/>
      <c r="K253" s="10"/>
      <c r="L253" s="10"/>
    </row>
    <row r="254" spans="1:12" x14ac:dyDescent="0.25">
      <c r="A254" s="11" t="s">
        <v>2851</v>
      </c>
      <c r="B254" s="6">
        <v>3</v>
      </c>
      <c r="C254" s="19" t="s">
        <v>2852</v>
      </c>
      <c r="D254" s="11" t="s">
        <v>2382</v>
      </c>
      <c r="E254" s="11" t="s">
        <v>2174</v>
      </c>
      <c r="F254" s="6"/>
      <c r="G254" s="6" t="s">
        <v>11</v>
      </c>
      <c r="H254" s="11" t="s">
        <v>2042</v>
      </c>
      <c r="I254" s="11" t="s">
        <v>2853</v>
      </c>
      <c r="J254" s="10"/>
      <c r="K254" s="10"/>
      <c r="L254" s="10"/>
    </row>
    <row r="255" spans="1:12" x14ac:dyDescent="0.25">
      <c r="A255" s="11" t="s">
        <v>2854</v>
      </c>
      <c r="B255" s="6">
        <v>3</v>
      </c>
      <c r="C255" s="19" t="s">
        <v>2855</v>
      </c>
      <c r="D255" s="11" t="s">
        <v>637</v>
      </c>
      <c r="E255" s="11" t="s">
        <v>2174</v>
      </c>
      <c r="F255" s="6"/>
      <c r="G255" s="6" t="s">
        <v>11</v>
      </c>
      <c r="H255" s="11" t="s">
        <v>2180</v>
      </c>
      <c r="I255" s="11" t="s">
        <v>2856</v>
      </c>
      <c r="J255" s="10"/>
      <c r="K255" s="10"/>
      <c r="L255" s="10"/>
    </row>
    <row r="256" spans="1:12" x14ac:dyDescent="0.25">
      <c r="A256" s="11" t="s">
        <v>2057</v>
      </c>
      <c r="B256" s="6">
        <v>3</v>
      </c>
      <c r="C256" s="19" t="s">
        <v>2857</v>
      </c>
      <c r="D256" s="11" t="s">
        <v>2858</v>
      </c>
      <c r="E256" s="11" t="s">
        <v>2859</v>
      </c>
      <c r="F256" s="6"/>
      <c r="G256" s="6" t="s">
        <v>11</v>
      </c>
      <c r="H256" s="11" t="s">
        <v>2172</v>
      </c>
      <c r="I256" s="11" t="s">
        <v>2860</v>
      </c>
      <c r="J256" s="10"/>
      <c r="K256" s="10"/>
      <c r="L256" s="10"/>
    </row>
    <row r="257" spans="1:12" x14ac:dyDescent="0.25">
      <c r="A257" s="16" t="s">
        <v>2861</v>
      </c>
      <c r="B257" s="17">
        <v>2</v>
      </c>
      <c r="C257" s="18" t="s">
        <v>2862</v>
      </c>
      <c r="D257" s="16"/>
      <c r="E257" s="16"/>
      <c r="F257" s="17" t="str">
        <f>COUNTIFS($B$258:$B$260,3,$G$258:$G$260,"COMPLETED")&amp;" / "&amp;COUNTIF($B$258:$B$260,3)</f>
        <v>3 / 3</v>
      </c>
      <c r="G257" s="17" t="str">
        <f>IF(COUNTIFS($B$258:$B$260,3,$G$258:$G$260,"COMPLETED")=COUNTIF($B$258:$B$260,3),"COMPLETED",IF(COUNTIFS($B$258:$B$260,3,$G$258:$G$260,"BLOCKED")&gt;0,"BLOCKED",IF(COUNTIFS($B$258:$B$260,3,$G$258:$G$260,"YET TO START")=COUNTIF($B$258:$B$260,3),"YET TO START","IN PROGRESS")))</f>
        <v>COMPLETED</v>
      </c>
      <c r="H257" s="16"/>
      <c r="I257" s="16"/>
      <c r="J257" s="13"/>
      <c r="K257" s="10"/>
      <c r="L257" s="10"/>
    </row>
    <row r="258" spans="1:12" x14ac:dyDescent="0.25">
      <c r="A258" s="11" t="s">
        <v>1902</v>
      </c>
      <c r="B258" s="6">
        <v>3</v>
      </c>
      <c r="C258" s="19" t="s">
        <v>2863</v>
      </c>
      <c r="D258" s="11" t="s">
        <v>2864</v>
      </c>
      <c r="E258" s="11" t="s">
        <v>2865</v>
      </c>
      <c r="F258" s="6"/>
      <c r="G258" s="6" t="s">
        <v>11</v>
      </c>
      <c r="H258" s="11" t="s">
        <v>1894</v>
      </c>
      <c r="I258" s="11" t="s">
        <v>2792</v>
      </c>
      <c r="J258" s="10"/>
      <c r="K258" s="10"/>
      <c r="L258" s="10"/>
    </row>
    <row r="259" spans="1:12" x14ac:dyDescent="0.25">
      <c r="A259" s="11" t="s">
        <v>2866</v>
      </c>
      <c r="B259" s="6">
        <v>3</v>
      </c>
      <c r="C259" s="19" t="s">
        <v>2867</v>
      </c>
      <c r="D259" s="11" t="s">
        <v>2864</v>
      </c>
      <c r="E259" s="11" t="s">
        <v>2062</v>
      </c>
      <c r="F259" s="6"/>
      <c r="G259" s="6" t="s">
        <v>11</v>
      </c>
      <c r="H259" s="11" t="s">
        <v>1894</v>
      </c>
      <c r="I259" s="11" t="s">
        <v>2792</v>
      </c>
      <c r="J259" s="10"/>
      <c r="K259" s="10"/>
      <c r="L259" s="10"/>
    </row>
    <row r="260" spans="1:12" x14ac:dyDescent="0.25">
      <c r="A260" s="11" t="s">
        <v>2868</v>
      </c>
      <c r="B260" s="6">
        <v>3</v>
      </c>
      <c r="C260" s="19" t="s">
        <v>2869</v>
      </c>
      <c r="D260" s="11" t="s">
        <v>2832</v>
      </c>
      <c r="E260" s="11" t="s">
        <v>2870</v>
      </c>
      <c r="F260" s="6"/>
      <c r="G260" s="6" t="s">
        <v>11</v>
      </c>
      <c r="H260" s="11" t="s">
        <v>1894</v>
      </c>
      <c r="I260" s="11" t="s">
        <v>2792</v>
      </c>
      <c r="J260" s="10"/>
      <c r="K260" s="10"/>
      <c r="L260" s="10"/>
    </row>
    <row r="261" spans="1:12" x14ac:dyDescent="0.25">
      <c r="A261" s="16" t="s">
        <v>2871</v>
      </c>
      <c r="B261" s="17">
        <v>2</v>
      </c>
      <c r="C261" s="18" t="s">
        <v>2872</v>
      </c>
      <c r="D261" s="16"/>
      <c r="E261" s="16"/>
      <c r="F261" s="17" t="str">
        <f>COUNTIFS($B$262:$B$265,3,$G$262:$G$265,"COMPLETED")&amp;" / "&amp;COUNTIF($B$262:$B$265,3)</f>
        <v>4 / 4</v>
      </c>
      <c r="G261" s="17" t="str">
        <f>IF(COUNTIFS($B$262:$B$265,3,$G$262:$G$265,"COMPLETED")=COUNTIF($B$262:$B$265,3),"COMPLETED",IF(COUNTIFS($B$262:$B$265,3,$G$262:$G$265,"BLOCKED")&gt;0,"BLOCKED",IF(COUNTIFS($B$262:$B$265,3,$G$262:$G$265,"YET TO START")=COUNTIF($B$262:$B$265,3),"YET TO START","IN PROGRESS")))</f>
        <v>COMPLETED</v>
      </c>
      <c r="H261" s="16"/>
      <c r="I261" s="16"/>
      <c r="J261" s="13"/>
      <c r="K261" s="10"/>
      <c r="L261" s="10"/>
    </row>
    <row r="262" spans="1:12" x14ac:dyDescent="0.25">
      <c r="A262" s="11" t="s">
        <v>2873</v>
      </c>
      <c r="B262" s="6">
        <v>3</v>
      </c>
      <c r="C262" s="19" t="s">
        <v>2874</v>
      </c>
      <c r="D262" s="11" t="s">
        <v>637</v>
      </c>
      <c r="E262" s="11" t="s">
        <v>1951</v>
      </c>
      <c r="F262" s="6"/>
      <c r="G262" s="6" t="s">
        <v>11</v>
      </c>
      <c r="H262" s="11" t="s">
        <v>1894</v>
      </c>
      <c r="I262" s="11" t="s">
        <v>2875</v>
      </c>
      <c r="J262" s="10"/>
      <c r="K262" s="10"/>
      <c r="L262" s="10"/>
    </row>
    <row r="263" spans="1:12" x14ac:dyDescent="0.25">
      <c r="A263" s="11" t="s">
        <v>2876</v>
      </c>
      <c r="B263" s="6">
        <v>3</v>
      </c>
      <c r="C263" s="19" t="s">
        <v>2877</v>
      </c>
      <c r="D263" s="11" t="s">
        <v>2878</v>
      </c>
      <c r="E263" s="11" t="s">
        <v>2879</v>
      </c>
      <c r="F263" s="6"/>
      <c r="G263" s="6" t="s">
        <v>11</v>
      </c>
      <c r="H263" s="11" t="s">
        <v>2880</v>
      </c>
      <c r="I263" s="11" t="s">
        <v>2881</v>
      </c>
      <c r="J263" s="10"/>
      <c r="K263" s="10"/>
      <c r="L263" s="10"/>
    </row>
    <row r="264" spans="1:12" x14ac:dyDescent="0.25">
      <c r="A264" s="11" t="s">
        <v>2131</v>
      </c>
      <c r="B264" s="6">
        <v>3</v>
      </c>
      <c r="C264" s="19" t="s">
        <v>2882</v>
      </c>
      <c r="D264" s="11" t="s">
        <v>637</v>
      </c>
      <c r="E264" s="11" t="s">
        <v>2128</v>
      </c>
      <c r="F264" s="6"/>
      <c r="G264" s="6" t="s">
        <v>11</v>
      </c>
      <c r="H264" s="11" t="s">
        <v>1894</v>
      </c>
      <c r="I264" s="11" t="s">
        <v>2792</v>
      </c>
      <c r="J264" s="10"/>
      <c r="K264" s="10"/>
      <c r="L264" s="10"/>
    </row>
    <row r="265" spans="1:12" x14ac:dyDescent="0.25">
      <c r="A265" s="11" t="s">
        <v>2883</v>
      </c>
      <c r="B265" s="6">
        <v>3</v>
      </c>
      <c r="C265" s="19" t="s">
        <v>2884</v>
      </c>
      <c r="D265" s="11" t="s">
        <v>637</v>
      </c>
      <c r="E265" s="11" t="s">
        <v>1951</v>
      </c>
      <c r="F265" s="6"/>
      <c r="G265" s="6" t="s">
        <v>11</v>
      </c>
      <c r="H265" s="11" t="s">
        <v>1894</v>
      </c>
      <c r="I265" s="11" t="s">
        <v>2792</v>
      </c>
      <c r="J265" s="10"/>
      <c r="K265" s="10"/>
      <c r="L265" s="10"/>
    </row>
    <row r="266" spans="1:12" x14ac:dyDescent="0.25">
      <c r="A266" s="14" t="s">
        <v>2885</v>
      </c>
      <c r="B266" s="15">
        <v>1</v>
      </c>
      <c r="C266" s="14" t="s">
        <v>79</v>
      </c>
      <c r="D266" s="14" t="s">
        <v>2886</v>
      </c>
      <c r="E266" s="14"/>
      <c r="F266" s="15" t="str">
        <f>COUNTIFS($B$267:$B$280,3,$G$267:$G$280,"COMPLETED")&amp;" / "&amp;COUNTIF($B$267:$B$280,3)</f>
        <v>5 / 11</v>
      </c>
      <c r="G266" s="15" t="str">
        <f>IF(COUNTIFS($B$267:$B$280,3,$G$267:$G$280,"COMPLETED")=COUNTIF($B$267:$B$280,3),"COMPLETED",IF(COUNTIFS($B$267:$B$280,3,$G$267:$G$280,"BLOCKED")&gt;0,"BLOCKED",IF(COUNTIFS($B$267:$B$280,3,$G$267:$G$280,"YET TO START")=COUNTIF($B$267:$B$280,3),"YET TO START","IN PROGRESS")))</f>
        <v>BLOCKED</v>
      </c>
      <c r="H266" s="14"/>
      <c r="I266" s="14"/>
      <c r="J266" s="13"/>
      <c r="K266" s="10"/>
      <c r="L266" s="10"/>
    </row>
    <row r="267" spans="1:12" x14ac:dyDescent="0.25">
      <c r="A267" s="16" t="s">
        <v>2887</v>
      </c>
      <c r="B267" s="17">
        <v>2</v>
      </c>
      <c r="C267" s="18" t="s">
        <v>2888</v>
      </c>
      <c r="D267" s="16"/>
      <c r="E267" s="16"/>
      <c r="F267" s="17" t="str">
        <f>COUNTIFS($B$268:$B$270,3,$G$268:$G$270,"COMPLETED")&amp;" / "&amp;COUNTIF($B$268:$B$270,3)</f>
        <v>1 / 3</v>
      </c>
      <c r="G267" s="17" t="str">
        <f>IF(COUNTIFS($B$268:$B$270,3,$G$268:$G$270,"COMPLETED")=COUNTIF($B$268:$B$270,3),"COMPLETED",IF(COUNTIFS($B$268:$B$270,3,$G$268:$G$270,"BLOCKED")&gt;0,"BLOCKED",IF(COUNTIFS($B$268:$B$270,3,$G$268:$G$270,"YET TO START")=COUNTIF($B$268:$B$270,3),"YET TO START","IN PROGRESS")))</f>
        <v>BLOCKED</v>
      </c>
      <c r="H267" s="16"/>
      <c r="I267" s="16"/>
      <c r="J267" s="13"/>
      <c r="K267" s="10"/>
      <c r="L267" s="10"/>
    </row>
    <row r="268" spans="1:12" x14ac:dyDescent="0.25">
      <c r="A268" s="11" t="s">
        <v>2889</v>
      </c>
      <c r="B268" s="6">
        <v>3</v>
      </c>
      <c r="C268" s="19" t="s">
        <v>2890</v>
      </c>
      <c r="D268" s="11" t="s">
        <v>2886</v>
      </c>
      <c r="E268" s="11" t="s">
        <v>2119</v>
      </c>
      <c r="F268" s="6"/>
      <c r="G268" s="6" t="s">
        <v>11</v>
      </c>
      <c r="H268" s="11" t="s">
        <v>142</v>
      </c>
      <c r="I268" s="11" t="s">
        <v>2891</v>
      </c>
      <c r="J268" s="10"/>
      <c r="K268" s="10"/>
      <c r="L268" s="10"/>
    </row>
    <row r="269" spans="1:12" x14ac:dyDescent="0.25">
      <c r="A269" s="11" t="s">
        <v>2232</v>
      </c>
      <c r="B269" s="6">
        <v>3</v>
      </c>
      <c r="C269" s="19" t="s">
        <v>2892</v>
      </c>
      <c r="D269" s="11" t="s">
        <v>2756</v>
      </c>
      <c r="E269" s="11" t="s">
        <v>2229</v>
      </c>
      <c r="F269" s="6"/>
      <c r="G269" s="6" t="s">
        <v>14</v>
      </c>
      <c r="H269" s="11" t="s">
        <v>142</v>
      </c>
      <c r="I269" s="11" t="s">
        <v>2893</v>
      </c>
      <c r="J269" s="10"/>
      <c r="K269" s="10"/>
      <c r="L269" s="10"/>
    </row>
    <row r="270" spans="1:12" x14ac:dyDescent="0.25">
      <c r="A270" s="11" t="s">
        <v>2894</v>
      </c>
      <c r="B270" s="6">
        <v>3</v>
      </c>
      <c r="C270" s="19" t="s">
        <v>2895</v>
      </c>
      <c r="D270" s="11" t="s">
        <v>2756</v>
      </c>
      <c r="E270" s="11" t="s">
        <v>2119</v>
      </c>
      <c r="F270" s="6"/>
      <c r="G270" s="6" t="s">
        <v>13</v>
      </c>
      <c r="H270" s="11" t="s">
        <v>142</v>
      </c>
      <c r="I270" s="11" t="s">
        <v>2896</v>
      </c>
      <c r="J270" s="10"/>
      <c r="K270" s="10"/>
      <c r="L270" s="10"/>
    </row>
    <row r="271" spans="1:12" x14ac:dyDescent="0.25">
      <c r="A271" s="16" t="s">
        <v>2897</v>
      </c>
      <c r="B271" s="17">
        <v>2</v>
      </c>
      <c r="C271" s="18" t="s">
        <v>2898</v>
      </c>
      <c r="D271" s="16"/>
      <c r="E271" s="16"/>
      <c r="F271" s="17" t="str">
        <f>COUNTIFS($B$272:$B$275,3,$G$272:$G$275,"COMPLETED")&amp;" / "&amp;COUNTIF($B$272:$B$275,3)</f>
        <v>1 / 4</v>
      </c>
      <c r="G271" s="17" t="str">
        <f>IF(COUNTIFS($B$272:$B$275,3,$G$272:$G$275,"COMPLETED")=COUNTIF($B$272:$B$275,3),"COMPLETED",IF(COUNTIFS($B$272:$B$275,3,$G$272:$G$275,"BLOCKED")&gt;0,"BLOCKED",IF(COUNTIFS($B$272:$B$275,3,$G$272:$G$275,"YET TO START")=COUNTIF($B$272:$B$275,3),"YET TO START","IN PROGRESS")))</f>
        <v>IN PROGRESS</v>
      </c>
      <c r="H271" s="16"/>
      <c r="I271" s="16"/>
      <c r="J271" s="13"/>
      <c r="K271" s="10"/>
      <c r="L271" s="10"/>
    </row>
    <row r="272" spans="1:12" x14ac:dyDescent="0.25">
      <c r="A272" s="11" t="s">
        <v>2205</v>
      </c>
      <c r="B272" s="6">
        <v>3</v>
      </c>
      <c r="C272" s="19" t="s">
        <v>2203</v>
      </c>
      <c r="D272" s="11" t="s">
        <v>2221</v>
      </c>
      <c r="E272" s="11" t="s">
        <v>2202</v>
      </c>
      <c r="F272" s="6"/>
      <c r="G272" s="6" t="s">
        <v>11</v>
      </c>
      <c r="H272" s="11" t="s">
        <v>2207</v>
      </c>
      <c r="I272" s="11" t="s">
        <v>2899</v>
      </c>
      <c r="J272" s="10"/>
      <c r="K272" s="10"/>
      <c r="L272" s="10"/>
    </row>
    <row r="273" spans="1:12" x14ac:dyDescent="0.25">
      <c r="A273" s="11" t="s">
        <v>2213</v>
      </c>
      <c r="B273" s="6">
        <v>3</v>
      </c>
      <c r="C273" s="19" t="s">
        <v>2900</v>
      </c>
      <c r="D273" s="11" t="s">
        <v>2221</v>
      </c>
      <c r="E273" s="11" t="s">
        <v>2210</v>
      </c>
      <c r="F273" s="6"/>
      <c r="G273" s="6" t="s">
        <v>13</v>
      </c>
      <c r="H273" s="11" t="s">
        <v>142</v>
      </c>
      <c r="I273" s="11" t="s">
        <v>157</v>
      </c>
      <c r="J273" s="10"/>
      <c r="K273" s="10"/>
      <c r="L273" s="10"/>
    </row>
    <row r="274" spans="1:12" x14ac:dyDescent="0.25">
      <c r="A274" s="11" t="s">
        <v>2220</v>
      </c>
      <c r="B274" s="6">
        <v>3</v>
      </c>
      <c r="C274" s="19" t="s">
        <v>2901</v>
      </c>
      <c r="D274" s="11" t="s">
        <v>2221</v>
      </c>
      <c r="E274" s="11" t="s">
        <v>2217</v>
      </c>
      <c r="F274" s="6"/>
      <c r="G274" s="6" t="s">
        <v>13</v>
      </c>
      <c r="H274" s="11" t="s">
        <v>142</v>
      </c>
      <c r="I274" s="11" t="s">
        <v>2227</v>
      </c>
      <c r="J274" s="10"/>
      <c r="K274" s="10"/>
      <c r="L274" s="10"/>
    </row>
    <row r="275" spans="1:12" x14ac:dyDescent="0.25">
      <c r="A275" s="11" t="s">
        <v>2226</v>
      </c>
      <c r="B275" s="6">
        <v>3</v>
      </c>
      <c r="C275" s="19" t="s">
        <v>2902</v>
      </c>
      <c r="D275" s="11" t="s">
        <v>2221</v>
      </c>
      <c r="E275" s="11" t="s">
        <v>2223</v>
      </c>
      <c r="F275" s="6"/>
      <c r="G275" s="6" t="s">
        <v>13</v>
      </c>
      <c r="H275" s="11" t="s">
        <v>142</v>
      </c>
      <c r="I275" s="11" t="s">
        <v>2903</v>
      </c>
      <c r="J275" s="10"/>
      <c r="K275" s="10"/>
      <c r="L275" s="10"/>
    </row>
    <row r="276" spans="1:12" x14ac:dyDescent="0.25">
      <c r="A276" s="16" t="s">
        <v>2904</v>
      </c>
      <c r="B276" s="17">
        <v>2</v>
      </c>
      <c r="C276" s="18" t="s">
        <v>2905</v>
      </c>
      <c r="D276" s="16"/>
      <c r="E276" s="16"/>
      <c r="F276" s="17" t="str">
        <f>COUNTIFS($B$277:$B$280,3,$G$277:$G$280,"COMPLETED")&amp;" / "&amp;COUNTIF($B$277:$B$280,3)</f>
        <v>3 / 4</v>
      </c>
      <c r="G276" s="17" t="str">
        <f>IF(COUNTIFS($B$277:$B$280,3,$G$277:$G$280,"COMPLETED")=COUNTIF($B$277:$B$280,3),"COMPLETED",IF(COUNTIFS($B$277:$B$280,3,$G$277:$G$280,"BLOCKED")&gt;0,"BLOCKED",IF(COUNTIFS($B$277:$B$280,3,$G$277:$G$280,"YET TO START")=COUNTIF($B$277:$B$280,3),"YET TO START","IN PROGRESS")))</f>
        <v>IN PROGRESS</v>
      </c>
      <c r="H276" s="16"/>
      <c r="I276" s="16"/>
      <c r="J276" s="13"/>
      <c r="K276" s="10"/>
      <c r="L276" s="10"/>
    </row>
    <row r="277" spans="1:12" x14ac:dyDescent="0.25">
      <c r="A277" s="11" t="s">
        <v>2116</v>
      </c>
      <c r="B277" s="6">
        <v>3</v>
      </c>
      <c r="C277" s="19" t="s">
        <v>2114</v>
      </c>
      <c r="D277" s="11" t="s">
        <v>2886</v>
      </c>
      <c r="E277" s="11" t="s">
        <v>2113</v>
      </c>
      <c r="F277" s="6"/>
      <c r="G277" s="6" t="s">
        <v>11</v>
      </c>
      <c r="H277" s="11" t="s">
        <v>1767</v>
      </c>
      <c r="I277" s="11" t="s">
        <v>2906</v>
      </c>
      <c r="J277" s="10"/>
      <c r="K277" s="10"/>
      <c r="L277" s="10"/>
    </row>
    <row r="278" spans="1:12" x14ac:dyDescent="0.25">
      <c r="A278" s="11" t="s">
        <v>2199</v>
      </c>
      <c r="B278" s="6">
        <v>3</v>
      </c>
      <c r="C278" s="19" t="s">
        <v>2197</v>
      </c>
      <c r="D278" s="11" t="s">
        <v>2221</v>
      </c>
      <c r="E278" s="11" t="s">
        <v>2196</v>
      </c>
      <c r="F278" s="6"/>
      <c r="G278" s="6" t="s">
        <v>11</v>
      </c>
      <c r="H278" s="11" t="s">
        <v>1982</v>
      </c>
      <c r="I278" s="11" t="s">
        <v>2818</v>
      </c>
      <c r="J278" s="10"/>
      <c r="K278" s="10"/>
      <c r="L278" s="10"/>
    </row>
    <row r="279" spans="1:12" x14ac:dyDescent="0.25">
      <c r="A279" s="11" t="s">
        <v>2191</v>
      </c>
      <c r="B279" s="6">
        <v>3</v>
      </c>
      <c r="C279" s="19" t="s">
        <v>2907</v>
      </c>
      <c r="D279" s="11" t="s">
        <v>2221</v>
      </c>
      <c r="E279" s="11" t="s">
        <v>2188</v>
      </c>
      <c r="F279" s="6"/>
      <c r="G279" s="6" t="s">
        <v>11</v>
      </c>
      <c r="H279" s="11" t="s">
        <v>1989</v>
      </c>
      <c r="I279" s="11" t="s">
        <v>2809</v>
      </c>
      <c r="J279" s="10"/>
      <c r="K279" s="10"/>
      <c r="L279" s="10"/>
    </row>
    <row r="280" spans="1:12" x14ac:dyDescent="0.25">
      <c r="A280" s="11" t="s">
        <v>2908</v>
      </c>
      <c r="B280" s="6">
        <v>3</v>
      </c>
      <c r="C280" s="19" t="s">
        <v>2909</v>
      </c>
      <c r="D280" s="11" t="s">
        <v>2910</v>
      </c>
      <c r="E280" s="11" t="s">
        <v>2188</v>
      </c>
      <c r="F280" s="6"/>
      <c r="G280" s="6" t="s">
        <v>13</v>
      </c>
      <c r="H280" s="11" t="s">
        <v>142</v>
      </c>
      <c r="I280" s="11" t="s">
        <v>2911</v>
      </c>
      <c r="J280" s="10"/>
      <c r="K280" s="10"/>
      <c r="L280" s="10"/>
    </row>
  </sheetData>
  <autoFilter ref="A4:I217"/>
  <mergeCells count="1">
    <mergeCell ref="A2:I2"/>
  </mergeCells>
  <conditionalFormatting sqref="G5:G280">
    <cfRule type="cellIs" dxfId="20" priority="2" operator="equal">
      <formula>"COMPLETED"</formula>
    </cfRule>
    <cfRule type="cellIs" dxfId="21" priority="3" operator="equal">
      <formula>"IN PROGRESS"</formula>
    </cfRule>
    <cfRule type="cellIs" dxfId="22" priority="4" operator="equal">
      <formula>"YET TO START"</formula>
    </cfRule>
    <cfRule type="cellIs" dxfId="23" priority="5" operator="equal">
      <formula>"BLOCKED"</formula>
    </cfRule>
  </conditionalFormatting>
  <dataValidations count="57">
    <dataValidation type="list" errorStyle="stop" sqref="G100">
      <formula1>"COMPLETED,IN PROGRESS,YET TO START,BLOCKED"</formula1>
      <formula2>0</formula2>
    </dataValidation>
    <dataValidation type="list" errorStyle="stop" sqref="G102:G104">
      <formula1>"COMPLETED,IN PROGRESS,YET TO START,BLOCKED"</formula1>
      <formula2>0</formula2>
    </dataValidation>
    <dataValidation type="list" errorStyle="stop" sqref="G106:G108">
      <formula1>"COMPLETED,IN PROGRESS,YET TO START,BLOCKED"</formula1>
      <formula2>0</formula2>
    </dataValidation>
    <dataValidation type="list" errorStyle="stop" sqref="G11:G12">
      <formula1>"COMPLETED,IN PROGRESS,YET TO START,BLOCKED"</formula1>
      <formula2>0</formula2>
    </dataValidation>
    <dataValidation type="list" errorStyle="stop" sqref="G110">
      <formula1>"COMPLETED,IN PROGRESS,YET TO START,BLOCKED"</formula1>
      <formula2>0</formula2>
    </dataValidation>
    <dataValidation type="list" errorStyle="stop" sqref="G113">
      <formula1>"COMPLETED,IN PROGRESS,YET TO START,BLOCKED"</formula1>
      <formula2>0</formula2>
    </dataValidation>
    <dataValidation type="list" errorStyle="stop" sqref="G115">
      <formula1>"COMPLETED,IN PROGRESS,YET TO START,BLOCKED"</formula1>
      <formula2>0</formula2>
    </dataValidation>
    <dataValidation type="list" errorStyle="stop" sqref="G117:G119">
      <formula1>"COMPLETED,IN PROGRESS,YET TO START,BLOCKED"</formula1>
      <formula2>0</formula2>
    </dataValidation>
    <dataValidation type="list" errorStyle="stop" sqref="G122:G125">
      <formula1>"COMPLETED,IN PROGRESS,YET TO START,BLOCKED"</formula1>
      <formula2>0</formula2>
    </dataValidation>
    <dataValidation type="list" errorStyle="stop" sqref="G127:G133">
      <formula1>"COMPLETED,IN PROGRESS,YET TO START,BLOCKED"</formula1>
      <formula2>0</formula2>
    </dataValidation>
    <dataValidation type="list" errorStyle="stop" sqref="G135:G138">
      <formula1>"COMPLETED,IN PROGRESS,YET TO START,BLOCKED"</formula1>
      <formula2>0</formula2>
    </dataValidation>
    <dataValidation type="list" errorStyle="stop" sqref="G14:G17">
      <formula1>"COMPLETED,IN PROGRESS,YET TO START,BLOCKED"</formula1>
      <formula2>0</formula2>
    </dataValidation>
    <dataValidation type="list" errorStyle="stop" sqref="G140:G143">
      <formula1>"COMPLETED,IN PROGRESS,YET TO START,BLOCKED"</formula1>
      <formula2>0</formula2>
    </dataValidation>
    <dataValidation type="list" errorStyle="stop" sqref="G146:G149">
      <formula1>"COMPLETED,IN PROGRESS,YET TO START,BLOCKED"</formula1>
      <formula2>0</formula2>
    </dataValidation>
    <dataValidation type="list" errorStyle="stop" sqref="G151:G157">
      <formula1>"COMPLETED,IN PROGRESS,YET TO START,BLOCKED"</formula1>
      <formula2>0</formula2>
    </dataValidation>
    <dataValidation type="list" errorStyle="stop" sqref="G160:G162">
      <formula1>"COMPLETED,IN PROGRESS,YET TO START,BLOCKED"</formula1>
      <formula2>0</formula2>
    </dataValidation>
    <dataValidation type="list" errorStyle="stop" sqref="G164:G169">
      <formula1>"COMPLETED,IN PROGRESS,YET TO START,BLOCKED"</formula1>
      <formula2>0</formula2>
    </dataValidation>
    <dataValidation type="list" errorStyle="stop" sqref="G172:G173">
      <formula1>"COMPLETED,IN PROGRESS,YET TO START,BLOCKED"</formula1>
      <formula2>0</formula2>
    </dataValidation>
    <dataValidation type="list" errorStyle="stop" sqref="G175:G177">
      <formula1>"COMPLETED,IN PROGRESS,YET TO START,BLOCKED"</formula1>
      <formula2>0</formula2>
    </dataValidation>
    <dataValidation type="list" errorStyle="stop" sqref="G180:G183">
      <formula1>"COMPLETED,IN PROGRESS,YET TO START,BLOCKED"</formula1>
      <formula2>0</formula2>
    </dataValidation>
    <dataValidation type="list" errorStyle="stop" sqref="G185:G189">
      <formula1>"COMPLETED,IN PROGRESS,YET TO START,BLOCKED"</formula1>
      <formula2>0</formula2>
    </dataValidation>
    <dataValidation type="list" errorStyle="stop" sqref="G19:G21">
      <formula1>"COMPLETED,IN PROGRESS,YET TO START,BLOCKED"</formula1>
      <formula2>0</formula2>
    </dataValidation>
    <dataValidation type="list" errorStyle="stop" sqref="G192:G193">
      <formula1>"COMPLETED,IN PROGRESS,YET TO START,BLOCKED"</formula1>
      <formula2>0</formula2>
    </dataValidation>
    <dataValidation type="list" errorStyle="stop" sqref="G195">
      <formula1>"COMPLETED,IN PROGRESS,YET TO START,BLOCKED"</formula1>
      <formula2>0</formula2>
    </dataValidation>
    <dataValidation type="list" errorStyle="stop" sqref="G198:G203">
      <formula1>"COMPLETED,IN PROGRESS,YET TO START,BLOCKED"</formula1>
      <formula2>0</formula2>
    </dataValidation>
    <dataValidation type="list" errorStyle="stop" sqref="G205:G208">
      <formula1>"COMPLETED,IN PROGRESS,YET TO START,BLOCKED"</formula1>
      <formula2>0</formula2>
    </dataValidation>
    <dataValidation type="list" errorStyle="stop" sqref="G211:G214">
      <formula1>"COMPLETED,IN PROGRESS,YET TO START,BLOCKED"</formula1>
      <formula2>0</formula2>
    </dataValidation>
    <dataValidation type="list" errorStyle="stop" sqref="G216:G218">
      <formula1>"COMPLETED,IN PROGRESS,YET TO START,BLOCKED"</formula1>
      <formula2>0</formula2>
    </dataValidation>
    <dataValidation type="list" errorStyle="stop" sqref="G221:G226">
      <formula1>"COMPLETED,IN PROGRESS,YET TO START,BLOCKED"</formula1>
      <formula2>0</formula2>
    </dataValidation>
    <dataValidation type="list" errorStyle="stop" sqref="G228:G231">
      <formula1>"COMPLETED,IN PROGRESS,YET TO START,BLOCKED"</formula1>
      <formula2>0</formula2>
    </dataValidation>
    <dataValidation type="list" errorStyle="stop" sqref="G23:G27">
      <formula1>"COMPLETED,IN PROGRESS,YET TO START,BLOCKED"</formula1>
      <formula2>0</formula2>
    </dataValidation>
    <dataValidation type="list" errorStyle="stop" sqref="G233:G237">
      <formula1>"COMPLETED,IN PROGRESS,YET TO START,BLOCKED"</formula1>
      <formula2>0</formula2>
    </dataValidation>
    <dataValidation type="list" errorStyle="stop" sqref="G239:G241">
      <formula1>"COMPLETED,IN PROGRESS,YET TO START,BLOCKED"</formula1>
      <formula2>0</formula2>
    </dataValidation>
    <dataValidation type="list" errorStyle="stop" sqref="G243:G244">
      <formula1>"COMPLETED,IN PROGRESS,YET TO START,BLOCKED"</formula1>
      <formula2>0</formula2>
    </dataValidation>
    <dataValidation type="list" errorStyle="stop" sqref="G247:G251">
      <formula1>"COMPLETED,IN PROGRESS,YET TO START,BLOCKED"</formula1>
      <formula2>0</formula2>
    </dataValidation>
    <dataValidation type="list" errorStyle="stop" sqref="G253:G256">
      <formula1>"COMPLETED,IN PROGRESS,YET TO START,BLOCKED"</formula1>
      <formula2>0</formula2>
    </dataValidation>
    <dataValidation type="list" errorStyle="stop" sqref="G258:G260">
      <formula1>"COMPLETED,IN PROGRESS,YET TO START,BLOCKED"</formula1>
      <formula2>0</formula2>
    </dataValidation>
    <dataValidation type="list" errorStyle="stop" sqref="G262:G265">
      <formula1>"COMPLETED,IN PROGRESS,YET TO START,BLOCKED"</formula1>
      <formula2>0</formula2>
    </dataValidation>
    <dataValidation type="list" errorStyle="stop" sqref="G268:G270">
      <formula1>"COMPLETED,IN PROGRESS,YET TO START,BLOCKED"</formula1>
      <formula2>0</formula2>
    </dataValidation>
    <dataValidation type="list" errorStyle="stop" sqref="G272:G275">
      <formula1>"COMPLETED,IN PROGRESS,YET TO START,BLOCKED"</formula1>
      <formula2>0</formula2>
    </dataValidation>
    <dataValidation type="list" errorStyle="stop" sqref="G277:G280">
      <formula1>"COMPLETED,IN PROGRESS,YET TO START,BLOCKED"</formula1>
      <formula2>0</formula2>
    </dataValidation>
    <dataValidation type="list" errorStyle="stop" sqref="G29:G31">
      <formula1>"COMPLETED,IN PROGRESS,YET TO START,BLOCKED"</formula1>
      <formula2>0</formula2>
    </dataValidation>
    <dataValidation type="list" errorStyle="stop" sqref="G33:G35">
      <formula1>"COMPLETED,IN PROGRESS,YET TO START,BLOCKED"</formula1>
      <formula2>0</formula2>
    </dataValidation>
    <dataValidation type="list" errorStyle="stop" sqref="G37:G41">
      <formula1>"COMPLETED,IN PROGRESS,YET TO START,BLOCKED"</formula1>
      <formula2>0</formula2>
    </dataValidation>
    <dataValidation type="list" errorStyle="stop" sqref="G43:G48">
      <formula1>"COMPLETED,IN PROGRESS,YET TO START,BLOCKED"</formula1>
      <formula2>0</formula2>
    </dataValidation>
    <dataValidation type="list" errorStyle="stop" sqref="G51:G54">
      <formula1>"COMPLETED,IN PROGRESS,YET TO START,BLOCKED"</formula1>
      <formula2>0</formula2>
    </dataValidation>
    <dataValidation type="list" errorStyle="stop" sqref="G56:G60">
      <formula1>"COMPLETED,IN PROGRESS,YET TO START,BLOCKED"</formula1>
      <formula2>0</formula2>
    </dataValidation>
    <dataValidation type="list" errorStyle="stop" sqref="G63:G64">
      <formula1>"COMPLETED,IN PROGRESS,YET TO START,BLOCKED"</formula1>
      <formula2>0</formula2>
    </dataValidation>
    <dataValidation type="list" errorStyle="stop" sqref="G66:G68">
      <formula1>"COMPLETED,IN PROGRESS,YET TO START,BLOCKED"</formula1>
      <formula2>0</formula2>
    </dataValidation>
    <dataValidation type="list" errorStyle="stop" sqref="G7:G9">
      <formula1>"COMPLETED,IN PROGRESS,YET TO START,BLOCKED"</formula1>
      <formula2>0</formula2>
    </dataValidation>
    <dataValidation type="list" errorStyle="stop" sqref="G70:G71">
      <formula1>"COMPLETED,IN PROGRESS,YET TO START,BLOCKED"</formula1>
      <formula2>0</formula2>
    </dataValidation>
    <dataValidation type="list" errorStyle="stop" sqref="G74:G76">
      <formula1>"COMPLETED,IN PROGRESS,YET TO START,BLOCKED"</formula1>
      <formula2>0</formula2>
    </dataValidation>
    <dataValidation type="list" errorStyle="stop" sqref="G78:G84">
      <formula1>"COMPLETED,IN PROGRESS,YET TO START,BLOCKED"</formula1>
      <formula2>0</formula2>
    </dataValidation>
    <dataValidation type="list" errorStyle="stop" sqref="G87:G88">
      <formula1>"COMPLETED,IN PROGRESS,YET TO START,BLOCKED"</formula1>
      <formula2>0</formula2>
    </dataValidation>
    <dataValidation type="list" errorStyle="stop" sqref="G90:G92">
      <formula1>"COMPLETED,IN PROGRESS,YET TO START,BLOCKED"</formula1>
      <formula2>0</formula2>
    </dataValidation>
    <dataValidation type="list" errorStyle="stop" sqref="G94:G95">
      <formula1>"COMPLETED,IN PROGRESS,YET TO START,BLOCKED"</formula1>
      <formula2>0</formula2>
    </dataValidation>
    <dataValidation type="list" errorStyle="stop" sqref="G98:G100">
      <formula1>"COMPLETED,IN PROGRESS,YET TO START,BLOCKED"</formula1>
      <formula2>0</formula2>
    </dataValidation>
  </dataValidations>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D8"/>
    <pageSetUpPr fitToPage="1"/>
    <outlinePr summaryBelow="1" summaryRight="1"/>
  </sheetPr>
  <dimension ref="A1:L288"/>
  <sheetViews>
    <sheetView workbookViewId="0" zoomScale="90" zoomScaleNormal="90" view="normal">
      <pane xSplit="2" ySplit="1" topLeftCell="C2" activePane="bottomRight" state="frozen"/>
      <selection pane="bottomRight" activeCell="A1" sqref="A1"/>
    </sheetView>
  </sheetViews>
  <sheetFormatPr defaultRowHeight="15" outlineLevelRow="0" outlineLevelCol="0" x14ac:dyDescent="0" defaultColWidth="8.6796875"/>
  <cols>
    <col min="1" max="1" width="7" style="10" customWidth="1"/>
    <col min="2" max="2" width="52" style="10" customWidth="1"/>
    <col min="3" max="3" width="18" style="10" customWidth="1"/>
    <col min="4" max="4" width="36" style="10" customWidth="1"/>
    <col min="5" max="5" width="26" style="10" customWidth="1"/>
    <col min="6" max="6" width="15" style="10" customWidth="1"/>
    <col min="7" max="7" width="11" style="10" customWidth="1"/>
    <col min="8" max="8" width="13" style="10" customWidth="1"/>
    <col min="9" max="10" width="34" style="10" customWidth="1"/>
    <col min="11" max="11" width="24" style="10" customWidth="1"/>
    <col min="12" max="12" width="50" style="10" customWidth="1"/>
  </cols>
  <sheetData>
    <row r="1" ht="30" customHeight="1" spans="1:12" s="10" customFormat="1" x14ac:dyDescent="0.25">
      <c r="A1" s="4" t="s">
        <v>4173</v>
      </c>
      <c r="B1" s="4" t="s">
        <v>4174</v>
      </c>
      <c r="C1" s="4" t="s">
        <v>3525</v>
      </c>
      <c r="D1" s="4" t="s">
        <v>4175</v>
      </c>
      <c r="E1" s="4" t="s">
        <v>4176</v>
      </c>
      <c r="F1" s="4" t="s">
        <v>3728</v>
      </c>
      <c r="G1" s="4" t="s">
        <v>4177</v>
      </c>
      <c r="H1" s="4" t="s">
        <v>4178</v>
      </c>
      <c r="I1" s="4" t="s">
        <v>4179</v>
      </c>
      <c r="J1" s="4" t="s">
        <v>4180</v>
      </c>
      <c r="K1" s="4" t="s">
        <v>4181</v>
      </c>
      <c r="L1" s="4" t="s">
        <v>4182</v>
      </c>
    </row>
    <row r="2" ht="27" customHeight="1" spans="1:12" s="10" customFormat="1" x14ac:dyDescent="0.25">
      <c r="A2" s="26" t="s">
        <v>4183</v>
      </c>
      <c r="B2" s="11" t="s">
        <v>4184</v>
      </c>
      <c r="C2" s="11" t="s">
        <v>91</v>
      </c>
      <c r="D2" s="11" t="s">
        <v>4185</v>
      </c>
      <c r="E2" s="11" t="s">
        <v>4186</v>
      </c>
      <c r="F2" s="11" t="s">
        <v>83</v>
      </c>
      <c r="G2" s="11" t="s">
        <v>4187</v>
      </c>
      <c r="H2" s="11" t="s">
        <v>4188</v>
      </c>
      <c r="I2" s="11" t="s">
        <v>1452</v>
      </c>
      <c r="J2" s="11" t="s">
        <v>142</v>
      </c>
      <c r="K2" s="11" t="s">
        <v>142</v>
      </c>
      <c r="L2" s="11" t="s">
        <v>4189</v>
      </c>
    </row>
    <row r="3" ht="27" customHeight="1" spans="1:12" s="10" customFormat="1" x14ac:dyDescent="0.25">
      <c r="A3" s="26" t="s">
        <v>4190</v>
      </c>
      <c r="B3" s="11" t="s">
        <v>4191</v>
      </c>
      <c r="C3" s="11" t="s">
        <v>91</v>
      </c>
      <c r="D3" s="11" t="s">
        <v>4192</v>
      </c>
      <c r="E3" s="11" t="s">
        <v>4193</v>
      </c>
      <c r="F3" s="11" t="s">
        <v>83</v>
      </c>
      <c r="G3" s="11" t="s">
        <v>4187</v>
      </c>
      <c r="H3" s="11" t="s">
        <v>4188</v>
      </c>
      <c r="I3" s="11" t="s">
        <v>1461</v>
      </c>
      <c r="J3" s="11" t="s">
        <v>142</v>
      </c>
      <c r="K3" s="11" t="s">
        <v>142</v>
      </c>
      <c r="L3" s="11" t="s">
        <v>4194</v>
      </c>
    </row>
    <row r="4" ht="27" customHeight="1" spans="1:12" s="10" customFormat="1" x14ac:dyDescent="0.25">
      <c r="A4" s="26" t="s">
        <v>4195</v>
      </c>
      <c r="B4" s="11" t="s">
        <v>4196</v>
      </c>
      <c r="C4" s="11" t="s">
        <v>91</v>
      </c>
      <c r="D4" s="11" t="s">
        <v>4197</v>
      </c>
      <c r="E4" s="11" t="s">
        <v>4193</v>
      </c>
      <c r="F4" s="11" t="s">
        <v>83</v>
      </c>
      <c r="G4" s="11" t="s">
        <v>4187</v>
      </c>
      <c r="H4" s="11" t="s">
        <v>4188</v>
      </c>
      <c r="I4" s="11" t="s">
        <v>1471</v>
      </c>
      <c r="J4" s="11" t="s">
        <v>142</v>
      </c>
      <c r="K4" s="11" t="s">
        <v>142</v>
      </c>
      <c r="L4" s="11" t="s">
        <v>4194</v>
      </c>
    </row>
    <row r="5" ht="27" customHeight="1" spans="1:12" s="10" customFormat="1" x14ac:dyDescent="0.25">
      <c r="A5" s="26" t="s">
        <v>4198</v>
      </c>
      <c r="B5" s="11" t="s">
        <v>4199</v>
      </c>
      <c r="C5" s="11" t="s">
        <v>91</v>
      </c>
      <c r="D5" s="11" t="s">
        <v>4200</v>
      </c>
      <c r="E5" s="11" t="s">
        <v>4201</v>
      </c>
      <c r="F5" s="11" t="s">
        <v>84</v>
      </c>
      <c r="G5" s="11" t="s">
        <v>4187</v>
      </c>
      <c r="H5" s="11" t="s">
        <v>4187</v>
      </c>
      <c r="I5" s="11" t="s">
        <v>4202</v>
      </c>
      <c r="J5" s="11" t="s">
        <v>142</v>
      </c>
      <c r="K5" s="11" t="s">
        <v>1484</v>
      </c>
      <c r="L5" s="11" t="s">
        <v>4203</v>
      </c>
    </row>
    <row r="6" ht="27" customHeight="1" spans="1:12" s="10" customFormat="1" x14ac:dyDescent="0.25">
      <c r="A6" s="26" t="s">
        <v>4204</v>
      </c>
      <c r="B6" s="11" t="s">
        <v>4205</v>
      </c>
      <c r="C6" s="11" t="s">
        <v>91</v>
      </c>
      <c r="D6" s="11" t="s">
        <v>4206</v>
      </c>
      <c r="E6" s="11" t="s">
        <v>4201</v>
      </c>
      <c r="F6" s="11" t="s">
        <v>84</v>
      </c>
      <c r="G6" s="11" t="s">
        <v>4187</v>
      </c>
      <c r="H6" s="11" t="s">
        <v>4188</v>
      </c>
      <c r="I6" s="11" t="s">
        <v>1479</v>
      </c>
      <c r="J6" s="11" t="s">
        <v>142</v>
      </c>
      <c r="K6" s="11" t="s">
        <v>1484</v>
      </c>
      <c r="L6" s="11" t="s">
        <v>4203</v>
      </c>
    </row>
    <row r="7" ht="27" customHeight="1" spans="1:12" s="10" customFormat="1" x14ac:dyDescent="0.25">
      <c r="A7" s="26" t="s">
        <v>4207</v>
      </c>
      <c r="B7" s="11" t="s">
        <v>4208</v>
      </c>
      <c r="C7" s="11" t="s">
        <v>91</v>
      </c>
      <c r="D7" s="11" t="s">
        <v>4209</v>
      </c>
      <c r="E7" s="11" t="s">
        <v>4201</v>
      </c>
      <c r="F7" s="11" t="s">
        <v>84</v>
      </c>
      <c r="G7" s="11" t="s">
        <v>4188</v>
      </c>
      <c r="H7" s="11" t="s">
        <v>4188</v>
      </c>
      <c r="I7" s="11" t="s">
        <v>1479</v>
      </c>
      <c r="J7" s="11" t="s">
        <v>142</v>
      </c>
      <c r="K7" s="11" t="s">
        <v>1484</v>
      </c>
      <c r="L7" s="11" t="s">
        <v>4203</v>
      </c>
    </row>
    <row r="8" ht="27" customHeight="1" spans="1:12" s="10" customFormat="1" x14ac:dyDescent="0.25">
      <c r="A8" s="26" t="s">
        <v>4210</v>
      </c>
      <c r="B8" s="11" t="s">
        <v>4211</v>
      </c>
      <c r="C8" s="11" t="s">
        <v>88</v>
      </c>
      <c r="D8" s="11" t="s">
        <v>4212</v>
      </c>
      <c r="E8" s="11" t="s">
        <v>4201</v>
      </c>
      <c r="F8" s="11" t="s">
        <v>84</v>
      </c>
      <c r="G8" s="11" t="s">
        <v>4188</v>
      </c>
      <c r="H8" s="11" t="s">
        <v>4188</v>
      </c>
      <c r="I8" s="11" t="s">
        <v>1518</v>
      </c>
      <c r="J8" s="11" t="s">
        <v>142</v>
      </c>
      <c r="K8" s="11" t="s">
        <v>1484</v>
      </c>
      <c r="L8" s="11" t="s">
        <v>4203</v>
      </c>
    </row>
    <row r="9" ht="51" customHeight="1" spans="1:12" s="10" customFormat="1" x14ac:dyDescent="0.25">
      <c r="A9" s="26" t="s">
        <v>4213</v>
      </c>
      <c r="B9" s="11" t="s">
        <v>4214</v>
      </c>
      <c r="C9" s="11" t="s">
        <v>100</v>
      </c>
      <c r="D9" s="11" t="s">
        <v>4215</v>
      </c>
      <c r="E9" s="11" t="s">
        <v>4186</v>
      </c>
      <c r="F9" s="11" t="s">
        <v>84</v>
      </c>
      <c r="G9" s="11" t="s">
        <v>4188</v>
      </c>
      <c r="H9" s="11" t="s">
        <v>4188</v>
      </c>
      <c r="I9" s="11" t="s">
        <v>142</v>
      </c>
      <c r="J9" s="11" t="s">
        <v>4216</v>
      </c>
      <c r="K9" s="11" t="s">
        <v>4217</v>
      </c>
      <c r="L9" s="11"/>
    </row>
    <row r="10" ht="27" customHeight="1" spans="1:12" s="10" customFormat="1" x14ac:dyDescent="0.25">
      <c r="A10" s="26" t="s">
        <v>4218</v>
      </c>
      <c r="B10" s="11" t="s">
        <v>4219</v>
      </c>
      <c r="C10" s="11" t="s">
        <v>91</v>
      </c>
      <c r="D10" s="11" t="s">
        <v>4220</v>
      </c>
      <c r="E10" s="11" t="s">
        <v>4201</v>
      </c>
      <c r="F10" s="11" t="s">
        <v>84</v>
      </c>
      <c r="G10" s="11" t="s">
        <v>4188</v>
      </c>
      <c r="H10" s="11" t="s">
        <v>4188</v>
      </c>
      <c r="I10" s="11" t="s">
        <v>1486</v>
      </c>
      <c r="J10" s="11" t="s">
        <v>142</v>
      </c>
      <c r="K10" s="11" t="s">
        <v>1490</v>
      </c>
      <c r="L10" s="11" t="s">
        <v>4221</v>
      </c>
    </row>
    <row r="11" ht="111" customHeight="1" spans="1:12" s="10" customFormat="1" x14ac:dyDescent="0.25">
      <c r="A11" s="26" t="s">
        <v>4222</v>
      </c>
      <c r="B11" s="11" t="s">
        <v>4223</v>
      </c>
      <c r="C11" s="11" t="s">
        <v>91</v>
      </c>
      <c r="D11" s="11" t="s">
        <v>4224</v>
      </c>
      <c r="E11" s="11" t="s">
        <v>4201</v>
      </c>
      <c r="F11" s="11" t="s">
        <v>84</v>
      </c>
      <c r="G11" s="11" t="s">
        <v>4225</v>
      </c>
      <c r="H11" s="11" t="s">
        <v>4226</v>
      </c>
      <c r="I11" s="11" t="s">
        <v>4227</v>
      </c>
      <c r="J11" s="11" t="s">
        <v>142</v>
      </c>
      <c r="K11" s="11" t="s">
        <v>282</v>
      </c>
      <c r="L11" s="11" t="s">
        <v>4228</v>
      </c>
    </row>
    <row r="12" ht="75" customHeight="1" spans="1:12" s="10" customFormat="1" x14ac:dyDescent="0.25">
      <c r="A12" s="26" t="s">
        <v>4229</v>
      </c>
      <c r="B12" s="11" t="s">
        <v>4230</v>
      </c>
      <c r="C12" s="11" t="s">
        <v>91</v>
      </c>
      <c r="D12" s="11" t="s">
        <v>4231</v>
      </c>
      <c r="E12" s="11" t="s">
        <v>4201</v>
      </c>
      <c r="F12" s="11" t="s">
        <v>84</v>
      </c>
      <c r="G12" s="11" t="s">
        <v>4232</v>
      </c>
      <c r="H12" s="11" t="s">
        <v>4226</v>
      </c>
      <c r="I12" s="11" t="s">
        <v>4233</v>
      </c>
      <c r="J12" s="11" t="s">
        <v>142</v>
      </c>
      <c r="K12" s="11" t="s">
        <v>159</v>
      </c>
      <c r="L12" s="11"/>
    </row>
    <row r="13" ht="27" customHeight="1" spans="1:12" s="10" customFormat="1" x14ac:dyDescent="0.25">
      <c r="A13" s="26" t="s">
        <v>4234</v>
      </c>
      <c r="B13" s="11" t="s">
        <v>4235</v>
      </c>
      <c r="C13" s="11" t="s">
        <v>100</v>
      </c>
      <c r="D13" s="11" t="s">
        <v>4215</v>
      </c>
      <c r="E13" s="11" t="s">
        <v>4186</v>
      </c>
      <c r="F13" s="11" t="s">
        <v>84</v>
      </c>
      <c r="G13" s="11" t="s">
        <v>4232</v>
      </c>
      <c r="H13" s="11" t="s">
        <v>4226</v>
      </c>
      <c r="I13" s="11" t="s">
        <v>142</v>
      </c>
      <c r="J13" s="11" t="s">
        <v>1486</v>
      </c>
      <c r="K13" s="11" t="s">
        <v>4217</v>
      </c>
      <c r="L13" s="11" t="s">
        <v>4236</v>
      </c>
    </row>
    <row r="14" ht="27" customHeight="1" spans="1:12" s="10" customFormat="1" x14ac:dyDescent="0.25">
      <c r="A14" s="26" t="s">
        <v>4237</v>
      </c>
      <c r="B14" s="11" t="s">
        <v>4238</v>
      </c>
      <c r="C14" s="11" t="s">
        <v>93</v>
      </c>
      <c r="D14" s="11" t="s">
        <v>4239</v>
      </c>
      <c r="E14" s="11" t="s">
        <v>4201</v>
      </c>
      <c r="F14" s="11" t="s">
        <v>84</v>
      </c>
      <c r="G14" s="11" t="s">
        <v>4232</v>
      </c>
      <c r="H14" s="11" t="s">
        <v>4226</v>
      </c>
      <c r="I14" s="11" t="s">
        <v>1513</v>
      </c>
      <c r="J14" s="11" t="s">
        <v>142</v>
      </c>
      <c r="K14" s="11" t="s">
        <v>159</v>
      </c>
      <c r="L14" s="11"/>
    </row>
    <row r="15" ht="279" customHeight="1" spans="1:12" s="10" customFormat="1" x14ac:dyDescent="0.25">
      <c r="A15" s="26" t="s">
        <v>4240</v>
      </c>
      <c r="B15" s="11" t="s">
        <v>3008</v>
      </c>
      <c r="C15" s="11" t="s">
        <v>100</v>
      </c>
      <c r="D15" s="11" t="s">
        <v>4215</v>
      </c>
      <c r="E15" s="11" t="s">
        <v>4186</v>
      </c>
      <c r="F15" s="11" t="s">
        <v>84</v>
      </c>
      <c r="G15" s="11" t="s">
        <v>4226</v>
      </c>
      <c r="H15" s="11" t="s">
        <v>4226</v>
      </c>
      <c r="I15" s="11" t="s">
        <v>142</v>
      </c>
      <c r="J15" s="11" t="s">
        <v>4227</v>
      </c>
      <c r="K15" s="11" t="s">
        <v>4217</v>
      </c>
      <c r="L15" s="11" t="s">
        <v>4241</v>
      </c>
    </row>
    <row r="16" ht="27" customHeight="1" spans="1:12" s="10" customFormat="1" x14ac:dyDescent="0.25">
      <c r="A16" s="26" t="s">
        <v>4242</v>
      </c>
      <c r="B16" s="11" t="s">
        <v>4243</v>
      </c>
      <c r="C16" s="11" t="s">
        <v>103</v>
      </c>
      <c r="D16" s="11" t="s">
        <v>4244</v>
      </c>
      <c r="E16" s="11" t="s">
        <v>4201</v>
      </c>
      <c r="F16" s="11" t="s">
        <v>83</v>
      </c>
      <c r="G16" s="11" t="s">
        <v>4226</v>
      </c>
      <c r="H16" s="11" t="s">
        <v>4226</v>
      </c>
      <c r="I16" s="11" t="s">
        <v>1524</v>
      </c>
      <c r="J16" s="11" t="s">
        <v>142</v>
      </c>
      <c r="K16" s="11" t="s">
        <v>142</v>
      </c>
      <c r="L16" s="11" t="s">
        <v>4245</v>
      </c>
    </row>
    <row r="17" ht="27" customHeight="1" spans="1:12" s="10" customFormat="1" x14ac:dyDescent="0.25">
      <c r="A17" s="26" t="s">
        <v>4246</v>
      </c>
      <c r="B17" s="11" t="s">
        <v>4247</v>
      </c>
      <c r="C17" s="11" t="s">
        <v>103</v>
      </c>
      <c r="D17" s="11" t="s">
        <v>4248</v>
      </c>
      <c r="E17" s="11" t="s">
        <v>4186</v>
      </c>
      <c r="F17" s="11" t="s">
        <v>83</v>
      </c>
      <c r="G17" s="11" t="s">
        <v>4226</v>
      </c>
      <c r="H17" s="11" t="s">
        <v>4226</v>
      </c>
      <c r="I17" s="11" t="s">
        <v>4249</v>
      </c>
      <c r="J17" s="11" t="s">
        <v>142</v>
      </c>
      <c r="K17" s="11" t="s">
        <v>142</v>
      </c>
      <c r="L17" s="11" t="s">
        <v>4250</v>
      </c>
    </row>
    <row r="18" ht="27" customHeight="1" spans="1:12" s="10" customFormat="1" x14ac:dyDescent="0.25">
      <c r="A18" s="26" t="s">
        <v>4251</v>
      </c>
      <c r="B18" s="11" t="s">
        <v>4252</v>
      </c>
      <c r="C18" s="11" t="s">
        <v>93</v>
      </c>
      <c r="D18" s="11" t="s">
        <v>4253</v>
      </c>
      <c r="E18" s="11" t="s">
        <v>4201</v>
      </c>
      <c r="F18" s="11" t="s">
        <v>84</v>
      </c>
      <c r="G18" s="11" t="s">
        <v>4226</v>
      </c>
      <c r="H18" s="11" t="s">
        <v>4226</v>
      </c>
      <c r="I18" s="11" t="s">
        <v>1506</v>
      </c>
      <c r="J18" s="11" t="s">
        <v>142</v>
      </c>
      <c r="K18" s="11" t="s">
        <v>159</v>
      </c>
      <c r="L18" s="11" t="s">
        <v>4254</v>
      </c>
    </row>
    <row r="19" ht="75" customHeight="1" spans="1:12" s="10" customFormat="1" x14ac:dyDescent="0.25">
      <c r="A19" s="26" t="s">
        <v>4255</v>
      </c>
      <c r="B19" s="11" t="s">
        <v>4256</v>
      </c>
      <c r="C19" s="11" t="s">
        <v>91</v>
      </c>
      <c r="D19" s="11" t="s">
        <v>4257</v>
      </c>
      <c r="E19" s="11" t="s">
        <v>4201</v>
      </c>
      <c r="F19" s="11" t="s">
        <v>84</v>
      </c>
      <c r="G19" s="11" t="s">
        <v>4226</v>
      </c>
      <c r="H19" s="11" t="s">
        <v>4226</v>
      </c>
      <c r="I19" s="11" t="s">
        <v>4258</v>
      </c>
      <c r="J19" s="11" t="s">
        <v>142</v>
      </c>
      <c r="K19" s="11" t="s">
        <v>159</v>
      </c>
      <c r="L19" s="11"/>
    </row>
    <row r="20" ht="459" customHeight="1" spans="1:12" s="10" customFormat="1" x14ac:dyDescent="0.25">
      <c r="A20" s="26" t="s">
        <v>4259</v>
      </c>
      <c r="B20" s="11" t="s">
        <v>3008</v>
      </c>
      <c r="C20" s="11" t="s">
        <v>100</v>
      </c>
      <c r="D20" s="11" t="s">
        <v>4215</v>
      </c>
      <c r="E20" s="11" t="s">
        <v>4186</v>
      </c>
      <c r="F20" s="11" t="s">
        <v>84</v>
      </c>
      <c r="G20" s="11" t="s">
        <v>4226</v>
      </c>
      <c r="H20" s="11" t="s">
        <v>4260</v>
      </c>
      <c r="I20" s="11" t="s">
        <v>1524</v>
      </c>
      <c r="J20" s="11" t="s">
        <v>4261</v>
      </c>
      <c r="K20" s="11" t="s">
        <v>4217</v>
      </c>
      <c r="L20" s="11" t="s">
        <v>4262</v>
      </c>
    </row>
    <row r="21" ht="27" customHeight="1" spans="1:12" s="10" customFormat="1" x14ac:dyDescent="0.25">
      <c r="A21" s="26" t="s">
        <v>4263</v>
      </c>
      <c r="B21" s="11" t="s">
        <v>4264</v>
      </c>
      <c r="C21" s="11" t="s">
        <v>93</v>
      </c>
      <c r="D21" s="11" t="s">
        <v>4265</v>
      </c>
      <c r="E21" s="11" t="s">
        <v>4201</v>
      </c>
      <c r="F21" s="11" t="s">
        <v>84</v>
      </c>
      <c r="G21" s="11" t="s">
        <v>4226</v>
      </c>
      <c r="H21" s="11" t="s">
        <v>4226</v>
      </c>
      <c r="I21" s="11" t="s">
        <v>1506</v>
      </c>
      <c r="J21" s="11" t="s">
        <v>142</v>
      </c>
      <c r="K21" s="11" t="s">
        <v>159</v>
      </c>
      <c r="L21" s="11"/>
    </row>
    <row r="22" ht="39" customHeight="1" spans="1:12" s="10" customFormat="1" x14ac:dyDescent="0.25">
      <c r="A22" s="26" t="s">
        <v>4266</v>
      </c>
      <c r="B22" s="11" t="s">
        <v>4267</v>
      </c>
      <c r="C22" s="11" t="s">
        <v>91</v>
      </c>
      <c r="D22" s="11" t="s">
        <v>4268</v>
      </c>
      <c r="E22" s="11" t="s">
        <v>4201</v>
      </c>
      <c r="F22" s="11" t="s">
        <v>84</v>
      </c>
      <c r="G22" s="11" t="s">
        <v>4269</v>
      </c>
      <c r="H22" s="11" t="s">
        <v>4260</v>
      </c>
      <c r="I22" s="11" t="s">
        <v>4270</v>
      </c>
      <c r="J22" s="11" t="s">
        <v>142</v>
      </c>
      <c r="K22" s="11" t="s">
        <v>159</v>
      </c>
      <c r="L22" s="11" t="s">
        <v>4271</v>
      </c>
    </row>
    <row r="23" ht="27" customHeight="1" spans="1:12" s="10" customFormat="1" x14ac:dyDescent="0.25">
      <c r="A23" s="26" t="s">
        <v>4272</v>
      </c>
      <c r="B23" s="11" t="s">
        <v>4273</v>
      </c>
      <c r="C23" s="11" t="s">
        <v>91</v>
      </c>
      <c r="D23" s="11" t="s">
        <v>4274</v>
      </c>
      <c r="E23" s="11" t="s">
        <v>4201</v>
      </c>
      <c r="F23" s="11" t="s">
        <v>84</v>
      </c>
      <c r="G23" s="11" t="s">
        <v>4269</v>
      </c>
      <c r="H23" s="11" t="s">
        <v>4260</v>
      </c>
      <c r="I23" s="11" t="s">
        <v>4275</v>
      </c>
      <c r="J23" s="11" t="s">
        <v>142</v>
      </c>
      <c r="K23" s="11" t="s">
        <v>159</v>
      </c>
      <c r="L23" s="11" t="s">
        <v>4276</v>
      </c>
    </row>
    <row r="24" ht="255" customHeight="1" spans="1:12" s="10" customFormat="1" x14ac:dyDescent="0.25">
      <c r="A24" s="26" t="s">
        <v>4277</v>
      </c>
      <c r="B24" s="11" t="s">
        <v>4278</v>
      </c>
      <c r="C24" s="11" t="s">
        <v>101</v>
      </c>
      <c r="D24" s="11" t="s">
        <v>4215</v>
      </c>
      <c r="E24" s="11" t="s">
        <v>4186</v>
      </c>
      <c r="F24" s="11" t="s">
        <v>84</v>
      </c>
      <c r="G24" s="11" t="s">
        <v>4279</v>
      </c>
      <c r="H24" s="11" t="s">
        <v>4279</v>
      </c>
      <c r="I24" s="11" t="s">
        <v>4280</v>
      </c>
      <c r="J24" s="11" t="s">
        <v>4280</v>
      </c>
      <c r="K24" s="11" t="s">
        <v>4217</v>
      </c>
      <c r="L24" s="11" t="s">
        <v>4281</v>
      </c>
    </row>
    <row r="25" ht="39" customHeight="1" spans="1:12" s="10" customFormat="1" x14ac:dyDescent="0.25">
      <c r="A25" s="26" t="s">
        <v>4282</v>
      </c>
      <c r="B25" s="11" t="s">
        <v>4283</v>
      </c>
      <c r="C25" s="11" t="s">
        <v>91</v>
      </c>
      <c r="D25" s="11" t="s">
        <v>4215</v>
      </c>
      <c r="E25" s="11" t="s">
        <v>4186</v>
      </c>
      <c r="F25" s="11" t="s">
        <v>84</v>
      </c>
      <c r="G25" s="11" t="s">
        <v>4279</v>
      </c>
      <c r="H25" s="11" t="s">
        <v>4279</v>
      </c>
      <c r="I25" s="11" t="s">
        <v>4284</v>
      </c>
      <c r="J25" s="11" t="s">
        <v>4284</v>
      </c>
      <c r="K25" s="11" t="s">
        <v>4217</v>
      </c>
      <c r="L25" s="11" t="s">
        <v>4285</v>
      </c>
    </row>
    <row r="26" ht="27" customHeight="1" spans="1:12" s="10" customFormat="1" x14ac:dyDescent="0.25">
      <c r="A26" s="26" t="s">
        <v>4286</v>
      </c>
      <c r="B26" s="11" t="s">
        <v>4287</v>
      </c>
      <c r="C26" s="11" t="s">
        <v>88</v>
      </c>
      <c r="D26" s="11" t="s">
        <v>4288</v>
      </c>
      <c r="E26" s="11" t="s">
        <v>4201</v>
      </c>
      <c r="F26" s="11" t="s">
        <v>84</v>
      </c>
      <c r="G26" s="11" t="s">
        <v>4289</v>
      </c>
      <c r="H26" s="11" t="s">
        <v>4289</v>
      </c>
      <c r="I26" s="11" t="s">
        <v>1530</v>
      </c>
      <c r="J26" s="11" t="s">
        <v>142</v>
      </c>
      <c r="K26" s="11" t="s">
        <v>1053</v>
      </c>
      <c r="L26" s="11"/>
    </row>
    <row r="27" ht="27" customHeight="1" spans="1:12" s="10" customFormat="1" x14ac:dyDescent="0.25">
      <c r="A27" s="26" t="s">
        <v>4290</v>
      </c>
      <c r="B27" s="11" t="s">
        <v>4291</v>
      </c>
      <c r="C27" s="11" t="s">
        <v>95</v>
      </c>
      <c r="D27" s="11" t="s">
        <v>4292</v>
      </c>
      <c r="E27" s="11" t="s">
        <v>4186</v>
      </c>
      <c r="F27" s="11" t="s">
        <v>83</v>
      </c>
      <c r="G27" s="11" t="s">
        <v>4289</v>
      </c>
      <c r="H27" s="11" t="s">
        <v>4293</v>
      </c>
      <c r="I27" s="11" t="s">
        <v>142</v>
      </c>
      <c r="J27" s="11" t="s">
        <v>142</v>
      </c>
      <c r="K27" s="11" t="s">
        <v>142</v>
      </c>
      <c r="L27" s="11" t="s">
        <v>4294</v>
      </c>
    </row>
    <row r="28" ht="27" customHeight="1" spans="1:12" s="10" customFormat="1" x14ac:dyDescent="0.25">
      <c r="A28" s="26" t="s">
        <v>4295</v>
      </c>
      <c r="B28" s="11" t="s">
        <v>4296</v>
      </c>
      <c r="C28" s="11" t="s">
        <v>88</v>
      </c>
      <c r="D28" s="11" t="s">
        <v>4297</v>
      </c>
      <c r="E28" s="11" t="s">
        <v>4186</v>
      </c>
      <c r="F28" s="11" t="s">
        <v>83</v>
      </c>
      <c r="G28" s="11" t="s">
        <v>4289</v>
      </c>
      <c r="H28" s="11" t="s">
        <v>4298</v>
      </c>
      <c r="I28" s="11" t="s">
        <v>1530</v>
      </c>
      <c r="J28" s="11" t="s">
        <v>142</v>
      </c>
      <c r="K28" s="11" t="s">
        <v>142</v>
      </c>
      <c r="L28" s="11" t="s">
        <v>4299</v>
      </c>
    </row>
    <row r="29" ht="27" customHeight="1" spans="1:12" s="10" customFormat="1" x14ac:dyDescent="0.25">
      <c r="A29" s="26" t="s">
        <v>4300</v>
      </c>
      <c r="B29" s="11" t="s">
        <v>4301</v>
      </c>
      <c r="C29" s="11" t="s">
        <v>90</v>
      </c>
      <c r="D29" s="11" t="s">
        <v>4302</v>
      </c>
      <c r="E29" s="11" t="s">
        <v>4186</v>
      </c>
      <c r="F29" s="11" t="s">
        <v>84</v>
      </c>
      <c r="G29" s="11" t="s">
        <v>4289</v>
      </c>
      <c r="H29" s="11" t="s">
        <v>4289</v>
      </c>
      <c r="I29" s="11" t="s">
        <v>142</v>
      </c>
      <c r="J29" s="11" t="s">
        <v>142</v>
      </c>
      <c r="K29" s="11" t="s">
        <v>4217</v>
      </c>
      <c r="L29" s="11"/>
    </row>
    <row r="30" ht="51" customHeight="1" spans="1:12" s="10" customFormat="1" x14ac:dyDescent="0.25">
      <c r="A30" s="26" t="s">
        <v>4303</v>
      </c>
      <c r="B30" s="11" t="s">
        <v>4304</v>
      </c>
      <c r="C30" s="11" t="s">
        <v>91</v>
      </c>
      <c r="D30" s="11" t="s">
        <v>4302</v>
      </c>
      <c r="E30" s="11" t="s">
        <v>4186</v>
      </c>
      <c r="F30" s="11" t="s">
        <v>84</v>
      </c>
      <c r="G30" s="11" t="s">
        <v>4289</v>
      </c>
      <c r="H30" s="11" t="s">
        <v>4298</v>
      </c>
      <c r="I30" s="11" t="s">
        <v>4305</v>
      </c>
      <c r="J30" s="11" t="s">
        <v>4305</v>
      </c>
      <c r="K30" s="11" t="s">
        <v>4217</v>
      </c>
      <c r="L30" s="11"/>
    </row>
    <row r="31" ht="27" customHeight="1" spans="1:12" s="10" customFormat="1" x14ac:dyDescent="0.25">
      <c r="A31" s="26" t="s">
        <v>4306</v>
      </c>
      <c r="B31" s="11" t="s">
        <v>4307</v>
      </c>
      <c r="C31" s="11" t="s">
        <v>91</v>
      </c>
      <c r="D31" s="11" t="s">
        <v>4308</v>
      </c>
      <c r="E31" s="11" t="s">
        <v>4186</v>
      </c>
      <c r="F31" s="11" t="s">
        <v>84</v>
      </c>
      <c r="G31" s="11" t="s">
        <v>4289</v>
      </c>
      <c r="H31" s="11" t="s">
        <v>4298</v>
      </c>
      <c r="I31" s="11" t="s">
        <v>4309</v>
      </c>
      <c r="J31" s="11" t="s">
        <v>142</v>
      </c>
      <c r="K31" s="11" t="s">
        <v>1053</v>
      </c>
      <c r="L31" s="11" t="s">
        <v>4310</v>
      </c>
    </row>
    <row r="32" ht="27" customHeight="1" spans="1:12" s="10" customFormat="1" x14ac:dyDescent="0.25">
      <c r="A32" s="26" t="s">
        <v>4311</v>
      </c>
      <c r="B32" s="11" t="s">
        <v>4312</v>
      </c>
      <c r="C32" s="11" t="s">
        <v>91</v>
      </c>
      <c r="D32" s="11" t="s">
        <v>4313</v>
      </c>
      <c r="E32" s="11" t="s">
        <v>4201</v>
      </c>
      <c r="F32" s="11" t="s">
        <v>84</v>
      </c>
      <c r="G32" s="11" t="s">
        <v>4298</v>
      </c>
      <c r="H32" s="11" t="s">
        <v>4298</v>
      </c>
      <c r="I32" s="11" t="s">
        <v>4314</v>
      </c>
      <c r="J32" s="11" t="s">
        <v>142</v>
      </c>
      <c r="K32" s="11" t="s">
        <v>1046</v>
      </c>
      <c r="L32" s="11"/>
    </row>
    <row r="33" ht="39" customHeight="1" spans="1:12" s="10" customFormat="1" x14ac:dyDescent="0.25">
      <c r="A33" s="26" t="s">
        <v>4315</v>
      </c>
      <c r="B33" s="11" t="s">
        <v>4316</v>
      </c>
      <c r="C33" s="11" t="s">
        <v>100</v>
      </c>
      <c r="D33" s="11" t="s">
        <v>4215</v>
      </c>
      <c r="E33" s="11" t="s">
        <v>4186</v>
      </c>
      <c r="F33" s="11" t="s">
        <v>84</v>
      </c>
      <c r="G33" s="11" t="s">
        <v>4298</v>
      </c>
      <c r="H33" s="11" t="s">
        <v>4298</v>
      </c>
      <c r="I33" s="11" t="s">
        <v>142</v>
      </c>
      <c r="J33" s="11" t="s">
        <v>4317</v>
      </c>
      <c r="K33" s="11" t="s">
        <v>4217</v>
      </c>
      <c r="L33" s="11"/>
    </row>
    <row r="34" ht="27" customHeight="1" spans="1:12" s="10" customFormat="1" x14ac:dyDescent="0.25">
      <c r="A34" s="26" t="s">
        <v>4318</v>
      </c>
      <c r="B34" s="11" t="s">
        <v>4319</v>
      </c>
      <c r="C34" s="11" t="s">
        <v>88</v>
      </c>
      <c r="D34" s="11" t="s">
        <v>4288</v>
      </c>
      <c r="E34" s="11" t="s">
        <v>4201</v>
      </c>
      <c r="F34" s="11" t="s">
        <v>84</v>
      </c>
      <c r="G34" s="11" t="s">
        <v>4298</v>
      </c>
      <c r="H34" s="11" t="s">
        <v>4298</v>
      </c>
      <c r="I34" s="11" t="s">
        <v>1530</v>
      </c>
      <c r="J34" s="11" t="s">
        <v>142</v>
      </c>
      <c r="K34" s="11" t="s">
        <v>4320</v>
      </c>
      <c r="L34" s="11"/>
    </row>
    <row r="35" ht="27" customHeight="1" spans="1:12" s="10" customFormat="1" x14ac:dyDescent="0.25">
      <c r="A35" s="26" t="s">
        <v>4321</v>
      </c>
      <c r="B35" s="11" t="s">
        <v>4322</v>
      </c>
      <c r="C35" s="11" t="s">
        <v>91</v>
      </c>
      <c r="D35" s="11" t="s">
        <v>4302</v>
      </c>
      <c r="E35" s="11" t="s">
        <v>4186</v>
      </c>
      <c r="F35" s="11" t="s">
        <v>84</v>
      </c>
      <c r="G35" s="11" t="s">
        <v>4298</v>
      </c>
      <c r="H35" s="11" t="s">
        <v>4298</v>
      </c>
      <c r="I35" s="11" t="s">
        <v>4323</v>
      </c>
      <c r="J35" s="11" t="s">
        <v>4323</v>
      </c>
      <c r="K35" s="11" t="s">
        <v>4217</v>
      </c>
      <c r="L35" s="11"/>
    </row>
    <row r="36" ht="27" customHeight="1" spans="1:12" s="10" customFormat="1" x14ac:dyDescent="0.25">
      <c r="A36" s="26" t="s">
        <v>4324</v>
      </c>
      <c r="B36" s="11" t="s">
        <v>4325</v>
      </c>
      <c r="C36" s="11" t="s">
        <v>93</v>
      </c>
      <c r="D36" s="11" t="s">
        <v>4302</v>
      </c>
      <c r="E36" s="11" t="s">
        <v>4186</v>
      </c>
      <c r="F36" s="11" t="s">
        <v>84</v>
      </c>
      <c r="G36" s="11" t="s">
        <v>4298</v>
      </c>
      <c r="H36" s="11" t="s">
        <v>4298</v>
      </c>
      <c r="I36" s="11" t="s">
        <v>1506</v>
      </c>
      <c r="J36" s="11" t="s">
        <v>1506</v>
      </c>
      <c r="K36" s="11" t="s">
        <v>4217</v>
      </c>
      <c r="L36" s="11"/>
    </row>
    <row r="37" ht="27" customHeight="1" spans="1:12" s="10" customFormat="1" x14ac:dyDescent="0.25">
      <c r="A37" s="26" t="s">
        <v>4326</v>
      </c>
      <c r="B37" s="11" t="s">
        <v>4327</v>
      </c>
      <c r="C37" s="11" t="s">
        <v>100</v>
      </c>
      <c r="D37" s="11" t="s">
        <v>4215</v>
      </c>
      <c r="E37" s="11" t="s">
        <v>4186</v>
      </c>
      <c r="F37" s="11" t="s">
        <v>84</v>
      </c>
      <c r="G37" s="11" t="s">
        <v>4298</v>
      </c>
      <c r="H37" s="11" t="s">
        <v>4298</v>
      </c>
      <c r="I37" s="11" t="s">
        <v>142</v>
      </c>
      <c r="J37" s="11" t="s">
        <v>1530</v>
      </c>
      <c r="K37" s="11" t="s">
        <v>4217</v>
      </c>
      <c r="L37" s="11"/>
    </row>
    <row r="38" ht="27" customHeight="1" spans="1:12" s="10" customFormat="1" x14ac:dyDescent="0.25">
      <c r="A38" s="26" t="s">
        <v>4328</v>
      </c>
      <c r="B38" s="11" t="s">
        <v>4329</v>
      </c>
      <c r="C38" s="11" t="s">
        <v>90</v>
      </c>
      <c r="D38" s="11" t="s">
        <v>4302</v>
      </c>
      <c r="E38" s="11" t="s">
        <v>4186</v>
      </c>
      <c r="F38" s="11" t="s">
        <v>84</v>
      </c>
      <c r="G38" s="11" t="s">
        <v>4298</v>
      </c>
      <c r="H38" s="11" t="s">
        <v>4298</v>
      </c>
      <c r="I38" s="11" t="s">
        <v>1536</v>
      </c>
      <c r="J38" s="11" t="s">
        <v>1536</v>
      </c>
      <c r="K38" s="11" t="s">
        <v>4217</v>
      </c>
      <c r="L38" s="11"/>
    </row>
    <row r="39" ht="27" customHeight="1" spans="1:12" s="10" customFormat="1" x14ac:dyDescent="0.25">
      <c r="A39" s="26" t="s">
        <v>4330</v>
      </c>
      <c r="B39" s="11" t="s">
        <v>4331</v>
      </c>
      <c r="C39" s="11" t="s">
        <v>91</v>
      </c>
      <c r="D39" s="11" t="s">
        <v>4332</v>
      </c>
      <c r="E39" s="11" t="s">
        <v>4201</v>
      </c>
      <c r="F39" s="11" t="s">
        <v>84</v>
      </c>
      <c r="G39" s="11" t="s">
        <v>4298</v>
      </c>
      <c r="H39" s="11" t="s">
        <v>4298</v>
      </c>
      <c r="I39" s="11" t="s">
        <v>4333</v>
      </c>
      <c r="J39" s="11" t="s">
        <v>142</v>
      </c>
      <c r="K39" s="11" t="s">
        <v>1046</v>
      </c>
      <c r="L39" s="11"/>
    </row>
    <row r="40" ht="27" customHeight="1" spans="1:12" s="10" customFormat="1" x14ac:dyDescent="0.25">
      <c r="A40" s="26" t="s">
        <v>4334</v>
      </c>
      <c r="B40" s="11" t="s">
        <v>4335</v>
      </c>
      <c r="C40" s="11" t="s">
        <v>91</v>
      </c>
      <c r="D40" s="11" t="s">
        <v>4332</v>
      </c>
      <c r="E40" s="11" t="s">
        <v>4201</v>
      </c>
      <c r="F40" s="11" t="s">
        <v>84</v>
      </c>
      <c r="G40" s="11" t="s">
        <v>4298</v>
      </c>
      <c r="H40" s="11" t="s">
        <v>4298</v>
      </c>
      <c r="I40" s="11" t="s">
        <v>1041</v>
      </c>
      <c r="J40" s="11" t="s">
        <v>142</v>
      </c>
      <c r="K40" s="11" t="s">
        <v>1046</v>
      </c>
      <c r="L40" s="11"/>
    </row>
    <row r="41" ht="27" customHeight="1" spans="1:12" s="10" customFormat="1" x14ac:dyDescent="0.25">
      <c r="A41" s="26" t="s">
        <v>4336</v>
      </c>
      <c r="B41" s="11" t="s">
        <v>4337</v>
      </c>
      <c r="C41" s="11" t="s">
        <v>91</v>
      </c>
      <c r="D41" s="11" t="s">
        <v>4302</v>
      </c>
      <c r="E41" s="11" t="s">
        <v>4186</v>
      </c>
      <c r="F41" s="11" t="s">
        <v>84</v>
      </c>
      <c r="G41" s="11" t="s">
        <v>4298</v>
      </c>
      <c r="H41" s="11" t="s">
        <v>4298</v>
      </c>
      <c r="I41" s="11" t="s">
        <v>4338</v>
      </c>
      <c r="J41" s="11" t="s">
        <v>4338</v>
      </c>
      <c r="K41" s="11" t="s">
        <v>4217</v>
      </c>
      <c r="L41" s="11"/>
    </row>
    <row r="42" ht="27" customHeight="1" spans="1:12" s="10" customFormat="1" x14ac:dyDescent="0.25">
      <c r="A42" s="26" t="s">
        <v>4339</v>
      </c>
      <c r="B42" s="11" t="s">
        <v>4340</v>
      </c>
      <c r="C42" s="11" t="s">
        <v>88</v>
      </c>
      <c r="D42" s="11" t="s">
        <v>4332</v>
      </c>
      <c r="E42" s="11" t="s">
        <v>4201</v>
      </c>
      <c r="F42" s="11" t="s">
        <v>84</v>
      </c>
      <c r="G42" s="11" t="s">
        <v>4298</v>
      </c>
      <c r="H42" s="11" t="s">
        <v>4298</v>
      </c>
      <c r="I42" s="11" t="s">
        <v>1530</v>
      </c>
      <c r="J42" s="11" t="s">
        <v>142</v>
      </c>
      <c r="K42" s="11" t="s">
        <v>1046</v>
      </c>
      <c r="L42" s="11"/>
    </row>
    <row r="43" ht="27" customHeight="1" spans="1:12" s="10" customFormat="1" x14ac:dyDescent="0.25">
      <c r="A43" s="26" t="s">
        <v>4341</v>
      </c>
      <c r="B43" s="11" t="s">
        <v>4342</v>
      </c>
      <c r="C43" s="11" t="s">
        <v>90</v>
      </c>
      <c r="D43" s="11" t="s">
        <v>4343</v>
      </c>
      <c r="E43" s="11" t="s">
        <v>4201</v>
      </c>
      <c r="F43" s="11" t="s">
        <v>84</v>
      </c>
      <c r="G43" s="11" t="s">
        <v>4298</v>
      </c>
      <c r="H43" s="11" t="s">
        <v>4298</v>
      </c>
      <c r="I43" s="11" t="s">
        <v>142</v>
      </c>
      <c r="J43" s="11" t="s">
        <v>142</v>
      </c>
      <c r="K43" s="11" t="s">
        <v>1046</v>
      </c>
      <c r="L43" s="11"/>
    </row>
    <row r="44" ht="75" customHeight="1" spans="1:12" s="10" customFormat="1" x14ac:dyDescent="0.25">
      <c r="A44" s="26" t="s">
        <v>4344</v>
      </c>
      <c r="B44" s="11" t="s">
        <v>4345</v>
      </c>
      <c r="C44" s="11" t="s">
        <v>100</v>
      </c>
      <c r="D44" s="11" t="s">
        <v>4215</v>
      </c>
      <c r="E44" s="11" t="s">
        <v>4186</v>
      </c>
      <c r="F44" s="11" t="s">
        <v>84</v>
      </c>
      <c r="G44" s="11" t="s">
        <v>4298</v>
      </c>
      <c r="H44" s="11" t="s">
        <v>4298</v>
      </c>
      <c r="I44" s="11" t="s">
        <v>142</v>
      </c>
      <c r="J44" s="11" t="s">
        <v>4346</v>
      </c>
      <c r="K44" s="11" t="s">
        <v>4217</v>
      </c>
      <c r="L44" s="11"/>
    </row>
    <row r="45" ht="27" customHeight="1" spans="1:12" s="10" customFormat="1" x14ac:dyDescent="0.25">
      <c r="A45" s="26" t="s">
        <v>4347</v>
      </c>
      <c r="B45" s="11" t="s">
        <v>4348</v>
      </c>
      <c r="C45" s="11" t="s">
        <v>90</v>
      </c>
      <c r="D45" s="11" t="s">
        <v>4332</v>
      </c>
      <c r="E45" s="11" t="s">
        <v>4201</v>
      </c>
      <c r="F45" s="11" t="s">
        <v>83</v>
      </c>
      <c r="G45" s="11" t="s">
        <v>4298</v>
      </c>
      <c r="H45" s="11" t="s">
        <v>4298</v>
      </c>
      <c r="I45" s="11" t="s">
        <v>142</v>
      </c>
      <c r="J45" s="11" t="s">
        <v>142</v>
      </c>
      <c r="K45" s="11" t="s">
        <v>142</v>
      </c>
      <c r="L45" s="11" t="s">
        <v>4349</v>
      </c>
    </row>
    <row r="46" ht="27" customHeight="1" spans="1:12" s="10" customFormat="1" x14ac:dyDescent="0.25">
      <c r="A46" s="26" t="s">
        <v>4350</v>
      </c>
      <c r="B46" s="11" t="s">
        <v>4351</v>
      </c>
      <c r="C46" s="11" t="s">
        <v>91</v>
      </c>
      <c r="D46" s="11" t="s">
        <v>4352</v>
      </c>
      <c r="E46" s="11" t="s">
        <v>4201</v>
      </c>
      <c r="F46" s="11" t="s">
        <v>84</v>
      </c>
      <c r="G46" s="11" t="s">
        <v>4298</v>
      </c>
      <c r="H46" s="11" t="s">
        <v>4298</v>
      </c>
      <c r="I46" s="11" t="s">
        <v>4353</v>
      </c>
      <c r="J46" s="11" t="s">
        <v>142</v>
      </c>
      <c r="K46" s="11" t="s">
        <v>1059</v>
      </c>
      <c r="L46" s="11"/>
    </row>
    <row r="47" ht="27" customHeight="1" spans="1:12" s="10" customFormat="1" x14ac:dyDescent="0.25">
      <c r="A47" s="26" t="s">
        <v>4354</v>
      </c>
      <c r="B47" s="11" t="s">
        <v>4355</v>
      </c>
      <c r="C47" s="11" t="s">
        <v>90</v>
      </c>
      <c r="D47" s="11" t="s">
        <v>4356</v>
      </c>
      <c r="E47" s="11" t="s">
        <v>4186</v>
      </c>
      <c r="F47" s="11" t="s">
        <v>84</v>
      </c>
      <c r="G47" s="11" t="s">
        <v>4298</v>
      </c>
      <c r="H47" s="11" t="s">
        <v>4357</v>
      </c>
      <c r="I47" s="11" t="s">
        <v>142</v>
      </c>
      <c r="J47" s="11" t="s">
        <v>142</v>
      </c>
      <c r="K47" s="11" t="s">
        <v>4217</v>
      </c>
      <c r="L47" s="11"/>
    </row>
    <row r="48" ht="51" customHeight="1" spans="1:12" s="10" customFormat="1" x14ac:dyDescent="0.25">
      <c r="A48" s="26" t="s">
        <v>4358</v>
      </c>
      <c r="B48" s="11" t="s">
        <v>4359</v>
      </c>
      <c r="C48" s="11" t="s">
        <v>100</v>
      </c>
      <c r="D48" s="11" t="s">
        <v>4215</v>
      </c>
      <c r="E48" s="11" t="s">
        <v>4186</v>
      </c>
      <c r="F48" s="11" t="s">
        <v>84</v>
      </c>
      <c r="G48" s="11" t="s">
        <v>4298</v>
      </c>
      <c r="H48" s="11" t="s">
        <v>4298</v>
      </c>
      <c r="I48" s="11" t="s">
        <v>142</v>
      </c>
      <c r="J48" s="11" t="s">
        <v>4353</v>
      </c>
      <c r="K48" s="11" t="s">
        <v>4217</v>
      </c>
      <c r="L48" s="11"/>
    </row>
    <row r="49" ht="27" customHeight="1" spans="1:12" s="10" customFormat="1" x14ac:dyDescent="0.25">
      <c r="A49" s="26" t="s">
        <v>4360</v>
      </c>
      <c r="B49" s="11" t="s">
        <v>4361</v>
      </c>
      <c r="C49" s="11" t="s">
        <v>91</v>
      </c>
      <c r="D49" s="11" t="s">
        <v>4362</v>
      </c>
      <c r="E49" s="11" t="s">
        <v>4201</v>
      </c>
      <c r="F49" s="11" t="s">
        <v>84</v>
      </c>
      <c r="G49" s="11" t="s">
        <v>4298</v>
      </c>
      <c r="H49" s="11" t="s">
        <v>4293</v>
      </c>
      <c r="I49" s="11" t="s">
        <v>4363</v>
      </c>
      <c r="J49" s="11" t="s">
        <v>142</v>
      </c>
      <c r="K49" s="11" t="s">
        <v>4364</v>
      </c>
      <c r="L49" s="11"/>
    </row>
    <row r="50" ht="27" customHeight="1" spans="1:12" s="10" customFormat="1" x14ac:dyDescent="0.25">
      <c r="A50" s="26" t="s">
        <v>4365</v>
      </c>
      <c r="B50" s="11" t="s">
        <v>4366</v>
      </c>
      <c r="C50" s="11" t="s">
        <v>93</v>
      </c>
      <c r="D50" s="11" t="s">
        <v>4352</v>
      </c>
      <c r="E50" s="11" t="s">
        <v>4201</v>
      </c>
      <c r="F50" s="11" t="s">
        <v>84</v>
      </c>
      <c r="G50" s="11" t="s">
        <v>4298</v>
      </c>
      <c r="H50" s="11" t="s">
        <v>4367</v>
      </c>
      <c r="I50" s="11" t="s">
        <v>1452</v>
      </c>
      <c r="J50" s="11" t="s">
        <v>142</v>
      </c>
      <c r="K50" s="11" t="s">
        <v>4368</v>
      </c>
      <c r="L50" s="11"/>
    </row>
    <row r="51" ht="27" customHeight="1" spans="1:12" s="10" customFormat="1" x14ac:dyDescent="0.25">
      <c r="A51" s="26" t="s">
        <v>4369</v>
      </c>
      <c r="B51" s="11" t="s">
        <v>4370</v>
      </c>
      <c r="C51" s="11" t="s">
        <v>100</v>
      </c>
      <c r="D51" s="11" t="s">
        <v>4215</v>
      </c>
      <c r="E51" s="11" t="s">
        <v>4186</v>
      </c>
      <c r="F51" s="11" t="s">
        <v>84</v>
      </c>
      <c r="G51" s="11" t="s">
        <v>4367</v>
      </c>
      <c r="H51" s="11" t="s">
        <v>4367</v>
      </c>
      <c r="I51" s="11" t="s">
        <v>142</v>
      </c>
      <c r="J51" s="11" t="s">
        <v>1452</v>
      </c>
      <c r="K51" s="11" t="s">
        <v>4217</v>
      </c>
      <c r="L51" s="11"/>
    </row>
    <row r="52" ht="27" customHeight="1" spans="1:12" s="10" customFormat="1" x14ac:dyDescent="0.25">
      <c r="A52" s="26" t="s">
        <v>4371</v>
      </c>
      <c r="B52" s="11" t="s">
        <v>4372</v>
      </c>
      <c r="C52" s="11" t="s">
        <v>98</v>
      </c>
      <c r="D52" s="11" t="s">
        <v>4373</v>
      </c>
      <c r="E52" s="11" t="s">
        <v>4201</v>
      </c>
      <c r="F52" s="11" t="s">
        <v>84</v>
      </c>
      <c r="G52" s="11" t="s">
        <v>4367</v>
      </c>
      <c r="H52" s="11" t="s">
        <v>4293</v>
      </c>
      <c r="I52" s="11" t="s">
        <v>4374</v>
      </c>
      <c r="J52" s="11" t="s">
        <v>142</v>
      </c>
      <c r="K52" s="11" t="s">
        <v>1642</v>
      </c>
      <c r="L52" s="11"/>
    </row>
    <row r="53" ht="27" customHeight="1" spans="1:12" s="10" customFormat="1" x14ac:dyDescent="0.25">
      <c r="A53" s="26" t="s">
        <v>4375</v>
      </c>
      <c r="B53" s="11" t="s">
        <v>4376</v>
      </c>
      <c r="C53" s="11" t="s">
        <v>98</v>
      </c>
      <c r="D53" s="11" t="s">
        <v>4352</v>
      </c>
      <c r="E53" s="11" t="s">
        <v>4201</v>
      </c>
      <c r="F53" s="11" t="s">
        <v>84</v>
      </c>
      <c r="G53" s="11" t="s">
        <v>4367</v>
      </c>
      <c r="H53" s="11" t="s">
        <v>4367</v>
      </c>
      <c r="I53" s="11" t="s">
        <v>1629</v>
      </c>
      <c r="J53" s="11" t="s">
        <v>142</v>
      </c>
      <c r="K53" s="11" t="s">
        <v>4377</v>
      </c>
      <c r="L53" s="11"/>
    </row>
    <row r="54" ht="27" customHeight="1" spans="1:12" s="10" customFormat="1" x14ac:dyDescent="0.25">
      <c r="A54" s="26" t="s">
        <v>4378</v>
      </c>
      <c r="B54" s="11" t="s">
        <v>4379</v>
      </c>
      <c r="C54" s="11" t="s">
        <v>91</v>
      </c>
      <c r="D54" s="11" t="s">
        <v>4380</v>
      </c>
      <c r="E54" s="11" t="s">
        <v>4201</v>
      </c>
      <c r="F54" s="11" t="s">
        <v>84</v>
      </c>
      <c r="G54" s="11" t="s">
        <v>4357</v>
      </c>
      <c r="H54" s="11" t="s">
        <v>4357</v>
      </c>
      <c r="I54" s="11" t="s">
        <v>4381</v>
      </c>
      <c r="J54" s="11" t="s">
        <v>142</v>
      </c>
      <c r="K54" s="11" t="s">
        <v>4377</v>
      </c>
      <c r="L54" s="11"/>
    </row>
    <row r="55" ht="27" customHeight="1" spans="1:12" s="10" customFormat="1" x14ac:dyDescent="0.25">
      <c r="A55" s="26" t="s">
        <v>4382</v>
      </c>
      <c r="B55" s="11" t="s">
        <v>4383</v>
      </c>
      <c r="C55" s="11" t="s">
        <v>100</v>
      </c>
      <c r="D55" s="11" t="s">
        <v>4215</v>
      </c>
      <c r="E55" s="11" t="s">
        <v>4186</v>
      </c>
      <c r="F55" s="11" t="s">
        <v>84</v>
      </c>
      <c r="G55" s="11" t="s">
        <v>4357</v>
      </c>
      <c r="H55" s="11" t="s">
        <v>4357</v>
      </c>
      <c r="I55" s="11" t="s">
        <v>142</v>
      </c>
      <c r="J55" s="11" t="s">
        <v>4384</v>
      </c>
      <c r="K55" s="11" t="s">
        <v>4217</v>
      </c>
      <c r="L55" s="11"/>
    </row>
    <row r="56" ht="51" customHeight="1" spans="1:12" s="10" customFormat="1" x14ac:dyDescent="0.25">
      <c r="A56" s="26" t="s">
        <v>4385</v>
      </c>
      <c r="B56" s="11" t="s">
        <v>4386</v>
      </c>
      <c r="C56" s="11" t="s">
        <v>91</v>
      </c>
      <c r="D56" s="11" t="s">
        <v>4380</v>
      </c>
      <c r="E56" s="11" t="s">
        <v>4201</v>
      </c>
      <c r="F56" s="11" t="s">
        <v>84</v>
      </c>
      <c r="G56" s="11" t="s">
        <v>4357</v>
      </c>
      <c r="H56" s="11" t="s">
        <v>4357</v>
      </c>
      <c r="I56" s="11" t="s">
        <v>4387</v>
      </c>
      <c r="J56" s="11" t="s">
        <v>142</v>
      </c>
      <c r="K56" s="11" t="s">
        <v>4388</v>
      </c>
      <c r="L56" s="11"/>
    </row>
    <row r="57" ht="27" customHeight="1" spans="1:12" s="10" customFormat="1" x14ac:dyDescent="0.25">
      <c r="A57" s="26" t="s">
        <v>4389</v>
      </c>
      <c r="B57" s="11" t="s">
        <v>4390</v>
      </c>
      <c r="C57" s="11" t="s">
        <v>93</v>
      </c>
      <c r="D57" s="11" t="s">
        <v>4380</v>
      </c>
      <c r="E57" s="11" t="s">
        <v>4201</v>
      </c>
      <c r="F57" s="11" t="s">
        <v>84</v>
      </c>
      <c r="G57" s="11" t="s">
        <v>4391</v>
      </c>
      <c r="H57" s="11" t="s">
        <v>4391</v>
      </c>
      <c r="I57" s="11" t="s">
        <v>483</v>
      </c>
      <c r="J57" s="11" t="s">
        <v>142</v>
      </c>
      <c r="K57" s="11" t="s">
        <v>4388</v>
      </c>
      <c r="L57" s="11"/>
    </row>
    <row r="58" ht="111" customHeight="1" spans="1:12" s="10" customFormat="1" x14ac:dyDescent="0.25">
      <c r="A58" s="26" t="s">
        <v>4392</v>
      </c>
      <c r="B58" s="11" t="s">
        <v>4393</v>
      </c>
      <c r="C58" s="11" t="s">
        <v>100</v>
      </c>
      <c r="D58" s="11" t="s">
        <v>4215</v>
      </c>
      <c r="E58" s="11" t="s">
        <v>4186</v>
      </c>
      <c r="F58" s="11" t="s">
        <v>84</v>
      </c>
      <c r="G58" s="11" t="s">
        <v>4391</v>
      </c>
      <c r="H58" s="11" t="s">
        <v>4391</v>
      </c>
      <c r="I58" s="11" t="s">
        <v>142</v>
      </c>
      <c r="J58" s="11" t="s">
        <v>4387</v>
      </c>
      <c r="K58" s="11" t="s">
        <v>4217</v>
      </c>
      <c r="L58" s="11"/>
    </row>
    <row r="59" ht="39" customHeight="1" spans="1:12" s="10" customFormat="1" x14ac:dyDescent="0.25">
      <c r="A59" s="26" t="s">
        <v>4394</v>
      </c>
      <c r="B59" s="11" t="s">
        <v>4395</v>
      </c>
      <c r="C59" s="11" t="s">
        <v>91</v>
      </c>
      <c r="D59" s="11" t="s">
        <v>4396</v>
      </c>
      <c r="E59" s="11" t="s">
        <v>4201</v>
      </c>
      <c r="F59" s="11" t="s">
        <v>84</v>
      </c>
      <c r="G59" s="11" t="s">
        <v>4391</v>
      </c>
      <c r="H59" s="11" t="s">
        <v>4391</v>
      </c>
      <c r="I59" s="11" t="s">
        <v>4397</v>
      </c>
      <c r="J59" s="11" t="s">
        <v>142</v>
      </c>
      <c r="K59" s="11" t="s">
        <v>4398</v>
      </c>
      <c r="L59" s="11"/>
    </row>
    <row r="60" ht="27" customHeight="1" spans="1:12" s="10" customFormat="1" x14ac:dyDescent="0.25">
      <c r="A60" s="26" t="s">
        <v>4399</v>
      </c>
      <c r="B60" s="11" t="s">
        <v>4400</v>
      </c>
      <c r="C60" s="11" t="s">
        <v>87</v>
      </c>
      <c r="D60" s="11" t="s">
        <v>4401</v>
      </c>
      <c r="E60" s="11" t="s">
        <v>4201</v>
      </c>
      <c r="F60" s="11" t="s">
        <v>84</v>
      </c>
      <c r="G60" s="11" t="s">
        <v>4391</v>
      </c>
      <c r="H60" s="11" t="s">
        <v>4391</v>
      </c>
      <c r="I60" s="11" t="s">
        <v>1061</v>
      </c>
      <c r="J60" s="11" t="s">
        <v>142</v>
      </c>
      <c r="K60" s="11" t="s">
        <v>4402</v>
      </c>
      <c r="L60" s="11"/>
    </row>
    <row r="61" ht="27" customHeight="1" spans="1:12" s="10" customFormat="1" x14ac:dyDescent="0.25">
      <c r="A61" s="26" t="s">
        <v>4403</v>
      </c>
      <c r="B61" s="11" t="s">
        <v>4404</v>
      </c>
      <c r="C61" s="11" t="s">
        <v>87</v>
      </c>
      <c r="D61" s="11" t="s">
        <v>4405</v>
      </c>
      <c r="E61" s="11" t="s">
        <v>4186</v>
      </c>
      <c r="F61" s="11" t="s">
        <v>84</v>
      </c>
      <c r="G61" s="11" t="s">
        <v>4391</v>
      </c>
      <c r="H61" s="11" t="s">
        <v>4391</v>
      </c>
      <c r="I61" s="11" t="s">
        <v>1061</v>
      </c>
      <c r="J61" s="11" t="s">
        <v>1061</v>
      </c>
      <c r="K61" s="11" t="s">
        <v>4217</v>
      </c>
      <c r="L61" s="11"/>
    </row>
    <row r="62" ht="27" customHeight="1" spans="1:12" s="10" customFormat="1" x14ac:dyDescent="0.25">
      <c r="A62" s="26" t="s">
        <v>4406</v>
      </c>
      <c r="B62" s="11" t="s">
        <v>4407</v>
      </c>
      <c r="C62" s="11" t="s">
        <v>87</v>
      </c>
      <c r="D62" s="11" t="s">
        <v>4401</v>
      </c>
      <c r="E62" s="11" t="s">
        <v>4201</v>
      </c>
      <c r="F62" s="11" t="s">
        <v>84</v>
      </c>
      <c r="G62" s="11" t="s">
        <v>4391</v>
      </c>
      <c r="H62" s="11" t="s">
        <v>4391</v>
      </c>
      <c r="I62" s="11" t="s">
        <v>1061</v>
      </c>
      <c r="J62" s="11" t="s">
        <v>142</v>
      </c>
      <c r="K62" s="11" t="s">
        <v>4398</v>
      </c>
      <c r="L62" s="11"/>
    </row>
    <row r="63" ht="27" customHeight="1" spans="1:12" s="10" customFormat="1" x14ac:dyDescent="0.25">
      <c r="A63" s="26" t="s">
        <v>4408</v>
      </c>
      <c r="B63" s="11" t="s">
        <v>4409</v>
      </c>
      <c r="C63" s="11" t="s">
        <v>87</v>
      </c>
      <c r="D63" s="11" t="s">
        <v>4405</v>
      </c>
      <c r="E63" s="11" t="s">
        <v>4186</v>
      </c>
      <c r="F63" s="11" t="s">
        <v>84</v>
      </c>
      <c r="G63" s="11" t="s">
        <v>4391</v>
      </c>
      <c r="H63" s="11" t="s">
        <v>4391</v>
      </c>
      <c r="I63" s="11" t="s">
        <v>1061</v>
      </c>
      <c r="J63" s="11" t="s">
        <v>1061</v>
      </c>
      <c r="K63" s="11" t="s">
        <v>4217</v>
      </c>
      <c r="L63" s="11"/>
    </row>
    <row r="64" ht="27" customHeight="1" spans="1:12" s="10" customFormat="1" x14ac:dyDescent="0.25">
      <c r="A64" s="26" t="s">
        <v>4410</v>
      </c>
      <c r="B64" s="11" t="s">
        <v>4411</v>
      </c>
      <c r="C64" s="11" t="s">
        <v>87</v>
      </c>
      <c r="D64" s="11" t="s">
        <v>4401</v>
      </c>
      <c r="E64" s="11" t="s">
        <v>4201</v>
      </c>
      <c r="F64" s="11" t="s">
        <v>84</v>
      </c>
      <c r="G64" s="11" t="s">
        <v>4391</v>
      </c>
      <c r="H64" s="11" t="s">
        <v>4391</v>
      </c>
      <c r="I64" s="11" t="s">
        <v>1061</v>
      </c>
      <c r="J64" s="11" t="s">
        <v>142</v>
      </c>
      <c r="K64" s="11" t="s">
        <v>4412</v>
      </c>
      <c r="L64" s="11"/>
    </row>
    <row r="65" ht="27" customHeight="1" spans="1:12" s="10" customFormat="1" x14ac:dyDescent="0.25">
      <c r="A65" s="26" t="s">
        <v>4413</v>
      </c>
      <c r="B65" s="11" t="s">
        <v>4414</v>
      </c>
      <c r="C65" s="11" t="s">
        <v>93</v>
      </c>
      <c r="D65" s="11" t="s">
        <v>4415</v>
      </c>
      <c r="E65" s="11" t="s">
        <v>4201</v>
      </c>
      <c r="F65" s="11" t="s">
        <v>84</v>
      </c>
      <c r="G65" s="11" t="s">
        <v>4391</v>
      </c>
      <c r="H65" s="11" t="s">
        <v>4391</v>
      </c>
      <c r="I65" s="11" t="s">
        <v>142</v>
      </c>
      <c r="J65" s="11" t="s">
        <v>142</v>
      </c>
      <c r="K65" s="11" t="s">
        <v>4398</v>
      </c>
      <c r="L65" s="11"/>
    </row>
    <row r="66" ht="135" customHeight="1" spans="1:12" s="10" customFormat="1" x14ac:dyDescent="0.25">
      <c r="A66" s="26" t="s">
        <v>4416</v>
      </c>
      <c r="B66" s="11" t="s">
        <v>4417</v>
      </c>
      <c r="C66" s="11" t="s">
        <v>100</v>
      </c>
      <c r="D66" s="11" t="s">
        <v>4215</v>
      </c>
      <c r="E66" s="11" t="s">
        <v>4186</v>
      </c>
      <c r="F66" s="11" t="s">
        <v>84</v>
      </c>
      <c r="G66" s="11" t="s">
        <v>4391</v>
      </c>
      <c r="H66" s="11" t="s">
        <v>4391</v>
      </c>
      <c r="I66" s="11" t="s">
        <v>142</v>
      </c>
      <c r="J66" s="11" t="s">
        <v>4418</v>
      </c>
      <c r="K66" s="11" t="s">
        <v>4217</v>
      </c>
      <c r="L66" s="11"/>
    </row>
    <row r="67" ht="27" customHeight="1" spans="1:12" s="10" customFormat="1" x14ac:dyDescent="0.25">
      <c r="A67" s="26" t="s">
        <v>4419</v>
      </c>
      <c r="B67" s="11" t="s">
        <v>4420</v>
      </c>
      <c r="C67" s="11" t="s">
        <v>103</v>
      </c>
      <c r="D67" s="11" t="s">
        <v>4421</v>
      </c>
      <c r="E67" s="11" t="s">
        <v>4201</v>
      </c>
      <c r="F67" s="11" t="s">
        <v>84</v>
      </c>
      <c r="G67" s="11" t="s">
        <v>4391</v>
      </c>
      <c r="H67" s="11" t="s">
        <v>4391</v>
      </c>
      <c r="I67" s="11" t="s">
        <v>1524</v>
      </c>
      <c r="J67" s="11" t="s">
        <v>142</v>
      </c>
      <c r="K67" s="11" t="s">
        <v>4398</v>
      </c>
      <c r="L67" s="11"/>
    </row>
    <row r="68" ht="27" customHeight="1" spans="1:12" s="10" customFormat="1" x14ac:dyDescent="0.25">
      <c r="A68" s="26" t="s">
        <v>4422</v>
      </c>
      <c r="B68" s="11" t="s">
        <v>4423</v>
      </c>
      <c r="C68" s="11" t="s">
        <v>94</v>
      </c>
      <c r="D68" s="11" t="s">
        <v>4424</v>
      </c>
      <c r="E68" s="11" t="s">
        <v>4201</v>
      </c>
      <c r="F68" s="11" t="s">
        <v>84</v>
      </c>
      <c r="G68" s="11" t="s">
        <v>4391</v>
      </c>
      <c r="H68" s="11" t="s">
        <v>4391</v>
      </c>
      <c r="I68" s="11" t="s">
        <v>4425</v>
      </c>
      <c r="J68" s="11" t="s">
        <v>142</v>
      </c>
      <c r="K68" s="11" t="s">
        <v>4398</v>
      </c>
      <c r="L68" s="11"/>
    </row>
    <row r="69" ht="27" customHeight="1" spans="1:12" s="10" customFormat="1" x14ac:dyDescent="0.25">
      <c r="A69" s="26" t="s">
        <v>4426</v>
      </c>
      <c r="B69" s="11" t="s">
        <v>4427</v>
      </c>
      <c r="C69" s="11" t="s">
        <v>93</v>
      </c>
      <c r="D69" s="11" t="s">
        <v>4424</v>
      </c>
      <c r="E69" s="11" t="s">
        <v>4201</v>
      </c>
      <c r="F69" s="11" t="s">
        <v>84</v>
      </c>
      <c r="G69" s="11" t="s">
        <v>4391</v>
      </c>
      <c r="H69" s="11" t="s">
        <v>4293</v>
      </c>
      <c r="I69" s="11" t="s">
        <v>4428</v>
      </c>
      <c r="J69" s="11" t="s">
        <v>142</v>
      </c>
      <c r="K69" s="11" t="s">
        <v>4429</v>
      </c>
      <c r="L69" s="11"/>
    </row>
    <row r="70" ht="27" customHeight="1" spans="1:12" s="10" customFormat="1" x14ac:dyDescent="0.25">
      <c r="A70" s="26" t="s">
        <v>4430</v>
      </c>
      <c r="B70" s="11" t="s">
        <v>4431</v>
      </c>
      <c r="C70" s="11" t="s">
        <v>100</v>
      </c>
      <c r="D70" s="11" t="s">
        <v>4215</v>
      </c>
      <c r="E70" s="11" t="s">
        <v>4186</v>
      </c>
      <c r="F70" s="11" t="s">
        <v>84</v>
      </c>
      <c r="G70" s="11" t="s">
        <v>4293</v>
      </c>
      <c r="H70" s="11" t="s">
        <v>4293</v>
      </c>
      <c r="I70" s="11" t="s">
        <v>142</v>
      </c>
      <c r="J70" s="11" t="s">
        <v>4428</v>
      </c>
      <c r="K70" s="11" t="s">
        <v>4217</v>
      </c>
      <c r="L70" s="11"/>
    </row>
    <row r="71" ht="27" customHeight="1" spans="1:12" s="10" customFormat="1" x14ac:dyDescent="0.25">
      <c r="A71" s="26" t="s">
        <v>4432</v>
      </c>
      <c r="B71" s="11" t="s">
        <v>4433</v>
      </c>
      <c r="C71" s="11" t="s">
        <v>100</v>
      </c>
      <c r="D71" s="11" t="s">
        <v>4215</v>
      </c>
      <c r="E71" s="11" t="s">
        <v>4186</v>
      </c>
      <c r="F71" s="11" t="s">
        <v>84</v>
      </c>
      <c r="G71" s="11" t="s">
        <v>4293</v>
      </c>
      <c r="H71" s="11" t="s">
        <v>4293</v>
      </c>
      <c r="I71" s="11" t="s">
        <v>142</v>
      </c>
      <c r="J71" s="11" t="s">
        <v>4374</v>
      </c>
      <c r="K71" s="11" t="s">
        <v>4217</v>
      </c>
      <c r="L71" s="11"/>
    </row>
    <row r="72" ht="39" customHeight="1" spans="1:12" s="10" customFormat="1" x14ac:dyDescent="0.25">
      <c r="A72" s="26" t="s">
        <v>4434</v>
      </c>
      <c r="B72" s="11" t="s">
        <v>4435</v>
      </c>
      <c r="C72" s="11" t="s">
        <v>100</v>
      </c>
      <c r="D72" s="11" t="s">
        <v>4215</v>
      </c>
      <c r="E72" s="11" t="s">
        <v>4186</v>
      </c>
      <c r="F72" s="11" t="s">
        <v>84</v>
      </c>
      <c r="G72" s="11" t="s">
        <v>4293</v>
      </c>
      <c r="H72" s="11" t="s">
        <v>4293</v>
      </c>
      <c r="I72" s="11" t="s">
        <v>142</v>
      </c>
      <c r="J72" s="11" t="s">
        <v>4363</v>
      </c>
      <c r="K72" s="11" t="s">
        <v>4217</v>
      </c>
      <c r="L72" s="11"/>
    </row>
    <row r="73" ht="27" customHeight="1" spans="1:12" s="10" customFormat="1" x14ac:dyDescent="0.25">
      <c r="A73" s="26" t="s">
        <v>4436</v>
      </c>
      <c r="B73" s="11" t="s">
        <v>4437</v>
      </c>
      <c r="C73" s="11" t="s">
        <v>94</v>
      </c>
      <c r="D73" s="11" t="s">
        <v>4438</v>
      </c>
      <c r="E73" s="11" t="s">
        <v>4201</v>
      </c>
      <c r="F73" s="11" t="s">
        <v>84</v>
      </c>
      <c r="G73" s="11" t="s">
        <v>4293</v>
      </c>
      <c r="H73" s="11" t="s">
        <v>4293</v>
      </c>
      <c r="I73" s="11" t="s">
        <v>4439</v>
      </c>
      <c r="J73" s="11" t="s">
        <v>142</v>
      </c>
      <c r="K73" s="11" t="s">
        <v>1090</v>
      </c>
      <c r="L73" s="11"/>
    </row>
    <row r="74" ht="63" customHeight="1" spans="1:12" s="10" customFormat="1" x14ac:dyDescent="0.25">
      <c r="A74" s="26" t="s">
        <v>4440</v>
      </c>
      <c r="B74" s="11" t="s">
        <v>4441</v>
      </c>
      <c r="C74" s="11" t="s">
        <v>100</v>
      </c>
      <c r="D74" s="11" t="s">
        <v>4215</v>
      </c>
      <c r="E74" s="11" t="s">
        <v>4186</v>
      </c>
      <c r="F74" s="11" t="s">
        <v>84</v>
      </c>
      <c r="G74" s="11" t="s">
        <v>4293</v>
      </c>
      <c r="H74" s="11" t="s">
        <v>4293</v>
      </c>
      <c r="I74" s="11" t="s">
        <v>142</v>
      </c>
      <c r="J74" s="11" t="s">
        <v>4442</v>
      </c>
      <c r="K74" s="11" t="s">
        <v>4217</v>
      </c>
      <c r="L74" s="11"/>
    </row>
    <row r="75" ht="27" customHeight="1" spans="1:12" s="10" customFormat="1" x14ac:dyDescent="0.25">
      <c r="A75" s="26" t="s">
        <v>4443</v>
      </c>
      <c r="B75" s="11" t="s">
        <v>4444</v>
      </c>
      <c r="C75" s="11" t="s">
        <v>94</v>
      </c>
      <c r="D75" s="11" t="s">
        <v>4438</v>
      </c>
      <c r="E75" s="11" t="s">
        <v>4201</v>
      </c>
      <c r="F75" s="11" t="s">
        <v>84</v>
      </c>
      <c r="G75" s="11" t="s">
        <v>4293</v>
      </c>
      <c r="H75" s="11" t="s">
        <v>4293</v>
      </c>
      <c r="I75" s="11" t="s">
        <v>4445</v>
      </c>
      <c r="J75" s="11" t="s">
        <v>142</v>
      </c>
      <c r="K75" s="11" t="s">
        <v>1090</v>
      </c>
      <c r="L75" s="11"/>
    </row>
    <row r="76" ht="27" customHeight="1" spans="1:12" s="10" customFormat="1" x14ac:dyDescent="0.25">
      <c r="A76" s="26" t="s">
        <v>4446</v>
      </c>
      <c r="B76" s="11" t="s">
        <v>4447</v>
      </c>
      <c r="C76" s="11" t="s">
        <v>94</v>
      </c>
      <c r="D76" s="11" t="s">
        <v>4438</v>
      </c>
      <c r="E76" s="11" t="s">
        <v>4201</v>
      </c>
      <c r="F76" s="11" t="s">
        <v>84</v>
      </c>
      <c r="G76" s="11" t="s">
        <v>4293</v>
      </c>
      <c r="H76" s="11" t="s">
        <v>4293</v>
      </c>
      <c r="I76" s="11" t="s">
        <v>1092</v>
      </c>
      <c r="J76" s="11" t="s">
        <v>142</v>
      </c>
      <c r="K76" s="11" t="s">
        <v>4448</v>
      </c>
      <c r="L76" s="11"/>
    </row>
    <row r="77" ht="27" customHeight="1" spans="1:12" s="10" customFormat="1" x14ac:dyDescent="0.25">
      <c r="A77" s="26" t="s">
        <v>4449</v>
      </c>
      <c r="B77" s="11" t="s">
        <v>4450</v>
      </c>
      <c r="C77" s="11" t="s">
        <v>100</v>
      </c>
      <c r="D77" s="11" t="s">
        <v>4215</v>
      </c>
      <c r="E77" s="11" t="s">
        <v>4186</v>
      </c>
      <c r="F77" s="11" t="s">
        <v>84</v>
      </c>
      <c r="G77" s="11" t="s">
        <v>4293</v>
      </c>
      <c r="H77" s="11" t="s">
        <v>4293</v>
      </c>
      <c r="I77" s="11" t="s">
        <v>142</v>
      </c>
      <c r="J77" s="11" t="s">
        <v>1092</v>
      </c>
      <c r="K77" s="11" t="s">
        <v>4217</v>
      </c>
      <c r="L77" s="11"/>
    </row>
    <row r="78" ht="27" customHeight="1" spans="1:12" s="10" customFormat="1" x14ac:dyDescent="0.25">
      <c r="A78" s="26" t="s">
        <v>4451</v>
      </c>
      <c r="B78" s="11" t="s">
        <v>4452</v>
      </c>
      <c r="C78" s="11" t="s">
        <v>94</v>
      </c>
      <c r="D78" s="11" t="s">
        <v>4438</v>
      </c>
      <c r="E78" s="11" t="s">
        <v>4201</v>
      </c>
      <c r="F78" s="11" t="s">
        <v>84</v>
      </c>
      <c r="G78" s="11" t="s">
        <v>4293</v>
      </c>
      <c r="H78" s="11" t="s">
        <v>4293</v>
      </c>
      <c r="I78" s="11" t="s">
        <v>2665</v>
      </c>
      <c r="J78" s="11" t="s">
        <v>142</v>
      </c>
      <c r="K78" s="11" t="s">
        <v>4453</v>
      </c>
      <c r="L78" s="11"/>
    </row>
    <row r="79" ht="27" customHeight="1" spans="1:12" s="10" customFormat="1" x14ac:dyDescent="0.25">
      <c r="A79" s="26" t="s">
        <v>4454</v>
      </c>
      <c r="B79" s="11" t="s">
        <v>4455</v>
      </c>
      <c r="C79" s="11" t="s">
        <v>100</v>
      </c>
      <c r="D79" s="11" t="s">
        <v>4215</v>
      </c>
      <c r="E79" s="11" t="s">
        <v>4186</v>
      </c>
      <c r="F79" s="11" t="s">
        <v>84</v>
      </c>
      <c r="G79" s="11" t="s">
        <v>4293</v>
      </c>
      <c r="H79" s="11" t="s">
        <v>4293</v>
      </c>
      <c r="I79" s="11" t="s">
        <v>142</v>
      </c>
      <c r="J79" s="11" t="s">
        <v>2665</v>
      </c>
      <c r="K79" s="11" t="s">
        <v>4217</v>
      </c>
      <c r="L79" s="11"/>
    </row>
    <row r="80" ht="27" customHeight="1" spans="1:12" s="10" customFormat="1" x14ac:dyDescent="0.25">
      <c r="A80" s="26" t="s">
        <v>4456</v>
      </c>
      <c r="B80" s="11" t="s">
        <v>4457</v>
      </c>
      <c r="C80" s="11" t="s">
        <v>91</v>
      </c>
      <c r="D80" s="11" t="s">
        <v>4458</v>
      </c>
      <c r="E80" s="11" t="s">
        <v>4201</v>
      </c>
      <c r="F80" s="11" t="s">
        <v>84</v>
      </c>
      <c r="G80" s="11" t="s">
        <v>4293</v>
      </c>
      <c r="H80" s="11" t="s">
        <v>4293</v>
      </c>
      <c r="I80" s="11" t="s">
        <v>4459</v>
      </c>
      <c r="J80" s="11" t="s">
        <v>142</v>
      </c>
      <c r="K80" s="11" t="s">
        <v>1103</v>
      </c>
      <c r="L80" s="11"/>
    </row>
    <row r="81" ht="27" customHeight="1" spans="1:12" s="10" customFormat="1" x14ac:dyDescent="0.25">
      <c r="A81" s="26" t="s">
        <v>4460</v>
      </c>
      <c r="B81" s="11" t="s">
        <v>4461</v>
      </c>
      <c r="C81" s="11" t="s">
        <v>94</v>
      </c>
      <c r="D81" s="11" t="s">
        <v>4438</v>
      </c>
      <c r="E81" s="11" t="s">
        <v>4201</v>
      </c>
      <c r="F81" s="11" t="s">
        <v>84</v>
      </c>
      <c r="G81" s="11" t="s">
        <v>4293</v>
      </c>
      <c r="H81" s="11" t="s">
        <v>4293</v>
      </c>
      <c r="I81" s="11" t="s">
        <v>2267</v>
      </c>
      <c r="J81" s="11" t="s">
        <v>142</v>
      </c>
      <c r="K81" s="11" t="s">
        <v>1110</v>
      </c>
      <c r="L81" s="11"/>
    </row>
    <row r="82" ht="27" customHeight="1" spans="1:12" s="10" customFormat="1" x14ac:dyDescent="0.25">
      <c r="A82" s="26" t="s">
        <v>4462</v>
      </c>
      <c r="B82" s="11" t="s">
        <v>4463</v>
      </c>
      <c r="C82" s="11" t="s">
        <v>100</v>
      </c>
      <c r="D82" s="11" t="s">
        <v>4215</v>
      </c>
      <c r="E82" s="11" t="s">
        <v>4186</v>
      </c>
      <c r="F82" s="11" t="s">
        <v>84</v>
      </c>
      <c r="G82" s="11" t="s">
        <v>4293</v>
      </c>
      <c r="H82" s="11" t="s">
        <v>4293</v>
      </c>
      <c r="I82" s="11" t="s">
        <v>142</v>
      </c>
      <c r="J82" s="11" t="s">
        <v>2267</v>
      </c>
      <c r="K82" s="11" t="s">
        <v>4217</v>
      </c>
      <c r="L82" s="11"/>
    </row>
    <row r="83" ht="27" customHeight="1" spans="1:12" s="10" customFormat="1" x14ac:dyDescent="0.25">
      <c r="A83" s="26" t="s">
        <v>4464</v>
      </c>
      <c r="B83" s="11" t="s">
        <v>4465</v>
      </c>
      <c r="C83" s="11" t="s">
        <v>100</v>
      </c>
      <c r="D83" s="11" t="s">
        <v>4215</v>
      </c>
      <c r="E83" s="11" t="s">
        <v>4186</v>
      </c>
      <c r="F83" s="11" t="s">
        <v>84</v>
      </c>
      <c r="G83" s="11" t="s">
        <v>4293</v>
      </c>
      <c r="H83" s="11" t="s">
        <v>4293</v>
      </c>
      <c r="I83" s="11" t="s">
        <v>142</v>
      </c>
      <c r="J83" s="11" t="s">
        <v>4459</v>
      </c>
      <c r="K83" s="11" t="s">
        <v>4217</v>
      </c>
      <c r="L83" s="11"/>
    </row>
    <row r="84" ht="27" customHeight="1" spans="1:12" s="10" customFormat="1" x14ac:dyDescent="0.25">
      <c r="A84" s="26" t="s">
        <v>4466</v>
      </c>
      <c r="B84" s="11" t="s">
        <v>4467</v>
      </c>
      <c r="C84" s="11" t="s">
        <v>91</v>
      </c>
      <c r="D84" s="11" t="s">
        <v>4468</v>
      </c>
      <c r="E84" s="11" t="s">
        <v>4201</v>
      </c>
      <c r="F84" s="11" t="s">
        <v>84</v>
      </c>
      <c r="G84" s="11" t="s">
        <v>4293</v>
      </c>
      <c r="H84" s="11" t="s">
        <v>4293</v>
      </c>
      <c r="I84" s="11" t="s">
        <v>4469</v>
      </c>
      <c r="J84" s="11" t="s">
        <v>142</v>
      </c>
      <c r="K84" s="11" t="s">
        <v>1117</v>
      </c>
      <c r="L84" s="11"/>
    </row>
    <row r="85" ht="63" customHeight="1" spans="1:12" s="10" customFormat="1" x14ac:dyDescent="0.25">
      <c r="A85" s="26" t="s">
        <v>4470</v>
      </c>
      <c r="B85" s="11" t="s">
        <v>4471</v>
      </c>
      <c r="C85" s="11" t="s">
        <v>100</v>
      </c>
      <c r="D85" s="11" t="s">
        <v>4215</v>
      </c>
      <c r="E85" s="11" t="s">
        <v>4186</v>
      </c>
      <c r="F85" s="11" t="s">
        <v>84</v>
      </c>
      <c r="G85" s="11" t="s">
        <v>4293</v>
      </c>
      <c r="H85" s="11" t="s">
        <v>4293</v>
      </c>
      <c r="I85" s="11" t="s">
        <v>142</v>
      </c>
      <c r="J85" s="11" t="s">
        <v>4472</v>
      </c>
      <c r="K85" s="11" t="s">
        <v>4217</v>
      </c>
      <c r="L85" s="11"/>
    </row>
    <row r="86" ht="39" customHeight="1" spans="1:12" s="10" customFormat="1" x14ac:dyDescent="0.25">
      <c r="A86" s="26" t="s">
        <v>4473</v>
      </c>
      <c r="B86" s="11" t="s">
        <v>4474</v>
      </c>
      <c r="C86" s="11" t="s">
        <v>91</v>
      </c>
      <c r="D86" s="11" t="s">
        <v>4475</v>
      </c>
      <c r="E86" s="11" t="s">
        <v>4201</v>
      </c>
      <c r="F86" s="11" t="s">
        <v>84</v>
      </c>
      <c r="G86" s="11" t="s">
        <v>4293</v>
      </c>
      <c r="H86" s="11" t="s">
        <v>4476</v>
      </c>
      <c r="I86" s="11" t="s">
        <v>4477</v>
      </c>
      <c r="J86" s="11" t="s">
        <v>142</v>
      </c>
      <c r="K86" s="11" t="s">
        <v>4478</v>
      </c>
      <c r="L86" s="11" t="s">
        <v>4479</v>
      </c>
    </row>
    <row r="87" ht="75" customHeight="1" spans="1:12" s="10" customFormat="1" x14ac:dyDescent="0.25">
      <c r="A87" s="26" t="s">
        <v>4480</v>
      </c>
      <c r="B87" s="11" t="s">
        <v>4481</v>
      </c>
      <c r="C87" s="11" t="s">
        <v>100</v>
      </c>
      <c r="D87" s="11" t="s">
        <v>4215</v>
      </c>
      <c r="E87" s="11" t="s">
        <v>4186</v>
      </c>
      <c r="F87" s="11" t="s">
        <v>84</v>
      </c>
      <c r="G87" s="11" t="s">
        <v>4476</v>
      </c>
      <c r="H87" s="11" t="s">
        <v>4476</v>
      </c>
      <c r="I87" s="11" t="s">
        <v>142</v>
      </c>
      <c r="J87" s="11" t="s">
        <v>4482</v>
      </c>
      <c r="K87" s="11" t="s">
        <v>4217</v>
      </c>
      <c r="L87" s="11" t="s">
        <v>4483</v>
      </c>
    </row>
    <row r="88" ht="39" customHeight="1" spans="1:12" s="10" customFormat="1" x14ac:dyDescent="0.25">
      <c r="A88" s="26" t="s">
        <v>4484</v>
      </c>
      <c r="B88" s="11" t="s">
        <v>4485</v>
      </c>
      <c r="C88" s="11" t="s">
        <v>102</v>
      </c>
      <c r="D88" s="11" t="s">
        <v>4486</v>
      </c>
      <c r="E88" s="11" t="s">
        <v>4186</v>
      </c>
      <c r="F88" s="11" t="s">
        <v>84</v>
      </c>
      <c r="G88" s="11" t="s">
        <v>4476</v>
      </c>
      <c r="H88" s="11" t="s">
        <v>4476</v>
      </c>
      <c r="I88" s="11" t="s">
        <v>142</v>
      </c>
      <c r="J88" s="11" t="s">
        <v>142</v>
      </c>
      <c r="K88" s="11" t="s">
        <v>4217</v>
      </c>
      <c r="L88" s="11" t="s">
        <v>4487</v>
      </c>
    </row>
    <row r="89" ht="27" customHeight="1" spans="1:12" s="10" customFormat="1" x14ac:dyDescent="0.25">
      <c r="A89" s="26" t="s">
        <v>4488</v>
      </c>
      <c r="B89" s="11" t="s">
        <v>4489</v>
      </c>
      <c r="C89" s="11" t="s">
        <v>90</v>
      </c>
      <c r="D89" s="11" t="s">
        <v>4302</v>
      </c>
      <c r="E89" s="11" t="s">
        <v>4186</v>
      </c>
      <c r="F89" s="11" t="s">
        <v>84</v>
      </c>
      <c r="G89" s="11" t="s">
        <v>4476</v>
      </c>
      <c r="H89" s="11" t="s">
        <v>4476</v>
      </c>
      <c r="I89" s="11" t="s">
        <v>1536</v>
      </c>
      <c r="J89" s="11" t="s">
        <v>1536</v>
      </c>
      <c r="K89" s="11" t="s">
        <v>4217</v>
      </c>
      <c r="L89" s="11"/>
    </row>
    <row r="90" ht="27" customHeight="1" spans="1:12" s="10" customFormat="1" x14ac:dyDescent="0.25">
      <c r="A90" s="26" t="s">
        <v>4490</v>
      </c>
      <c r="B90" s="11" t="s">
        <v>4491</v>
      </c>
      <c r="C90" s="11" t="s">
        <v>91</v>
      </c>
      <c r="D90" s="11" t="s">
        <v>4492</v>
      </c>
      <c r="E90" s="11" t="s">
        <v>4201</v>
      </c>
      <c r="F90" s="11" t="s">
        <v>84</v>
      </c>
      <c r="G90" s="11" t="s">
        <v>4476</v>
      </c>
      <c r="H90" s="11" t="s">
        <v>4476</v>
      </c>
      <c r="I90" s="11" t="s">
        <v>4493</v>
      </c>
      <c r="J90" s="11" t="s">
        <v>142</v>
      </c>
      <c r="K90" s="11" t="s">
        <v>4494</v>
      </c>
      <c r="L90" s="11"/>
    </row>
    <row r="91" ht="27" customHeight="1" spans="1:12" s="10" customFormat="1" x14ac:dyDescent="0.25">
      <c r="A91" s="26" t="s">
        <v>4495</v>
      </c>
      <c r="B91" s="11" t="s">
        <v>4496</v>
      </c>
      <c r="C91" s="11" t="s">
        <v>88</v>
      </c>
      <c r="D91" s="11" t="s">
        <v>4492</v>
      </c>
      <c r="E91" s="11" t="s">
        <v>4201</v>
      </c>
      <c r="F91" s="11" t="s">
        <v>84</v>
      </c>
      <c r="G91" s="11" t="s">
        <v>4476</v>
      </c>
      <c r="H91" s="11" t="s">
        <v>4476</v>
      </c>
      <c r="I91" s="11" t="s">
        <v>4497</v>
      </c>
      <c r="J91" s="11" t="s">
        <v>142</v>
      </c>
      <c r="K91" s="11" t="s">
        <v>4494</v>
      </c>
      <c r="L91" s="11"/>
    </row>
    <row r="92" ht="27" customHeight="1" spans="1:12" s="10" customFormat="1" x14ac:dyDescent="0.25">
      <c r="A92" s="26" t="s">
        <v>4498</v>
      </c>
      <c r="B92" s="11" t="s">
        <v>4499</v>
      </c>
      <c r="C92" s="11" t="s">
        <v>91</v>
      </c>
      <c r="D92" s="11" t="s">
        <v>4500</v>
      </c>
      <c r="E92" s="11" t="s">
        <v>4201</v>
      </c>
      <c r="F92" s="11" t="s">
        <v>84</v>
      </c>
      <c r="G92" s="11" t="s">
        <v>4476</v>
      </c>
      <c r="H92" s="11" t="s">
        <v>4476</v>
      </c>
      <c r="I92" s="11" t="s">
        <v>4501</v>
      </c>
      <c r="J92" s="11" t="s">
        <v>142</v>
      </c>
      <c r="K92" s="11" t="s">
        <v>1165</v>
      </c>
      <c r="L92" s="11"/>
    </row>
    <row r="93" ht="27" customHeight="1" spans="1:12" s="10" customFormat="1" x14ac:dyDescent="0.25">
      <c r="A93" s="26" t="s">
        <v>4502</v>
      </c>
      <c r="B93" s="11" t="s">
        <v>4503</v>
      </c>
      <c r="C93" s="11" t="s">
        <v>91</v>
      </c>
      <c r="D93" s="11" t="s">
        <v>4504</v>
      </c>
      <c r="E93" s="11" t="s">
        <v>4201</v>
      </c>
      <c r="F93" s="11" t="s">
        <v>84</v>
      </c>
      <c r="G93" s="11" t="s">
        <v>4476</v>
      </c>
      <c r="H93" s="11" t="s">
        <v>4505</v>
      </c>
      <c r="I93" s="11" t="s">
        <v>3957</v>
      </c>
      <c r="J93" s="11" t="s">
        <v>3957</v>
      </c>
      <c r="K93" s="11" t="s">
        <v>1165</v>
      </c>
      <c r="L93" s="11" t="s">
        <v>4506</v>
      </c>
    </row>
    <row r="94" ht="27" customHeight="1" spans="1:12" s="10" customFormat="1" x14ac:dyDescent="0.25">
      <c r="A94" s="26" t="s">
        <v>4507</v>
      </c>
      <c r="B94" s="11" t="s">
        <v>4508</v>
      </c>
      <c r="C94" s="11" t="s">
        <v>88</v>
      </c>
      <c r="D94" s="11" t="s">
        <v>4492</v>
      </c>
      <c r="E94" s="11" t="s">
        <v>4201</v>
      </c>
      <c r="F94" s="11" t="s">
        <v>84</v>
      </c>
      <c r="G94" s="11" t="s">
        <v>4476</v>
      </c>
      <c r="H94" s="11" t="s">
        <v>4476</v>
      </c>
      <c r="I94" s="11" t="s">
        <v>1556</v>
      </c>
      <c r="J94" s="11" t="s">
        <v>142</v>
      </c>
      <c r="K94" s="11" t="s">
        <v>4509</v>
      </c>
      <c r="L94" s="11" t="s">
        <v>4510</v>
      </c>
    </row>
    <row r="95" ht="27" customHeight="1" spans="1:12" s="10" customFormat="1" x14ac:dyDescent="0.25">
      <c r="A95" s="26" t="s">
        <v>4511</v>
      </c>
      <c r="B95" s="11" t="s">
        <v>4512</v>
      </c>
      <c r="C95" s="11" t="s">
        <v>104</v>
      </c>
      <c r="D95" s="11" t="s">
        <v>4500</v>
      </c>
      <c r="E95" s="11" t="s">
        <v>4201</v>
      </c>
      <c r="F95" s="11" t="s">
        <v>84</v>
      </c>
      <c r="G95" s="11" t="s">
        <v>4476</v>
      </c>
      <c r="H95" s="11" t="s">
        <v>4476</v>
      </c>
      <c r="I95" s="11" t="s">
        <v>4513</v>
      </c>
      <c r="J95" s="11" t="s">
        <v>142</v>
      </c>
      <c r="K95" s="11" t="s">
        <v>4514</v>
      </c>
      <c r="L95" s="11"/>
    </row>
    <row r="96" ht="27" customHeight="1" spans="1:12" s="10" customFormat="1" x14ac:dyDescent="0.25">
      <c r="A96" s="26" t="s">
        <v>4515</v>
      </c>
      <c r="B96" s="11" t="s">
        <v>4516</v>
      </c>
      <c r="C96" s="11" t="s">
        <v>104</v>
      </c>
      <c r="D96" s="11" t="s">
        <v>4500</v>
      </c>
      <c r="E96" s="11" t="s">
        <v>4201</v>
      </c>
      <c r="F96" s="11" t="s">
        <v>84</v>
      </c>
      <c r="G96" s="11" t="s">
        <v>4476</v>
      </c>
      <c r="H96" s="11" t="s">
        <v>4476</v>
      </c>
      <c r="I96" s="11" t="s">
        <v>1547</v>
      </c>
      <c r="J96" s="11" t="s">
        <v>142</v>
      </c>
      <c r="K96" s="11" t="s">
        <v>4514</v>
      </c>
      <c r="L96" s="11"/>
    </row>
    <row r="97" ht="27" customHeight="1" spans="1:12" s="10" customFormat="1" x14ac:dyDescent="0.25">
      <c r="A97" s="26" t="s">
        <v>4517</v>
      </c>
      <c r="B97" s="11" t="s">
        <v>4518</v>
      </c>
      <c r="C97" s="11" t="s">
        <v>104</v>
      </c>
      <c r="D97" s="11" t="s">
        <v>4500</v>
      </c>
      <c r="E97" s="11" t="s">
        <v>4201</v>
      </c>
      <c r="F97" s="11" t="s">
        <v>84</v>
      </c>
      <c r="G97" s="11" t="s">
        <v>4476</v>
      </c>
      <c r="H97" s="11" t="s">
        <v>4476</v>
      </c>
      <c r="I97" s="11" t="s">
        <v>1547</v>
      </c>
      <c r="J97" s="11" t="s">
        <v>142</v>
      </c>
      <c r="K97" s="11" t="s">
        <v>4514</v>
      </c>
      <c r="L97" s="11"/>
    </row>
    <row r="98" ht="27" customHeight="1" spans="1:12" s="10" customFormat="1" x14ac:dyDescent="0.25">
      <c r="A98" s="26" t="s">
        <v>4519</v>
      </c>
      <c r="B98" s="11" t="s">
        <v>4520</v>
      </c>
      <c r="C98" s="11" t="s">
        <v>104</v>
      </c>
      <c r="D98" s="11" t="s">
        <v>4500</v>
      </c>
      <c r="E98" s="11" t="s">
        <v>4201</v>
      </c>
      <c r="F98" s="11" t="s">
        <v>84</v>
      </c>
      <c r="G98" s="11" t="s">
        <v>4476</v>
      </c>
      <c r="H98" s="11" t="s">
        <v>4476</v>
      </c>
      <c r="I98" s="11" t="s">
        <v>1547</v>
      </c>
      <c r="J98" s="11" t="s">
        <v>142</v>
      </c>
      <c r="K98" s="11" t="s">
        <v>4514</v>
      </c>
      <c r="L98" s="11"/>
    </row>
    <row r="99" ht="27" customHeight="1" spans="1:12" s="10" customFormat="1" x14ac:dyDescent="0.25">
      <c r="A99" s="26" t="s">
        <v>4521</v>
      </c>
      <c r="B99" s="11" t="s">
        <v>4522</v>
      </c>
      <c r="C99" s="11" t="s">
        <v>91</v>
      </c>
      <c r="D99" s="11" t="s">
        <v>4500</v>
      </c>
      <c r="E99" s="11" t="s">
        <v>4201</v>
      </c>
      <c r="F99" s="11" t="s">
        <v>84</v>
      </c>
      <c r="G99" s="11" t="s">
        <v>4476</v>
      </c>
      <c r="H99" s="11" t="s">
        <v>4476</v>
      </c>
      <c r="I99" s="11" t="s">
        <v>1201</v>
      </c>
      <c r="J99" s="11" t="s">
        <v>142</v>
      </c>
      <c r="K99" s="11" t="s">
        <v>1165</v>
      </c>
      <c r="L99" s="11"/>
    </row>
    <row r="100" ht="27" customHeight="1" spans="1:12" s="10" customFormat="1" x14ac:dyDescent="0.25">
      <c r="A100" s="26" t="s">
        <v>4523</v>
      </c>
      <c r="B100" s="11" t="s">
        <v>4524</v>
      </c>
      <c r="C100" s="11" t="s">
        <v>104</v>
      </c>
      <c r="D100" s="11" t="s">
        <v>4500</v>
      </c>
      <c r="E100" s="11" t="s">
        <v>4201</v>
      </c>
      <c r="F100" s="11" t="s">
        <v>84</v>
      </c>
      <c r="G100" s="11" t="s">
        <v>4476</v>
      </c>
      <c r="H100" s="11" t="s">
        <v>4476</v>
      </c>
      <c r="I100" s="11" t="s">
        <v>1547</v>
      </c>
      <c r="J100" s="11" t="s">
        <v>142</v>
      </c>
      <c r="K100" s="11" t="s">
        <v>4514</v>
      </c>
      <c r="L100" s="11" t="s">
        <v>4525</v>
      </c>
    </row>
    <row r="101" ht="39" customHeight="1" spans="1:12" s="10" customFormat="1" x14ac:dyDescent="0.25">
      <c r="A101" s="26" t="s">
        <v>4526</v>
      </c>
      <c r="B101" s="11" t="s">
        <v>4527</v>
      </c>
      <c r="C101" s="11" t="s">
        <v>91</v>
      </c>
      <c r="D101" s="11" t="s">
        <v>4528</v>
      </c>
      <c r="E101" s="11" t="s">
        <v>4186</v>
      </c>
      <c r="F101" s="11" t="s">
        <v>84</v>
      </c>
      <c r="G101" s="11" t="s">
        <v>4476</v>
      </c>
      <c r="H101" s="11" t="s">
        <v>4505</v>
      </c>
      <c r="I101" s="11" t="s">
        <v>4529</v>
      </c>
      <c r="J101" s="11" t="s">
        <v>4530</v>
      </c>
      <c r="K101" s="11" t="s">
        <v>4217</v>
      </c>
      <c r="L101" s="11" t="s">
        <v>4531</v>
      </c>
    </row>
    <row r="102" ht="27" customHeight="1" spans="1:12" s="10" customFormat="1" x14ac:dyDescent="0.25">
      <c r="A102" s="26" t="s">
        <v>4532</v>
      </c>
      <c r="B102" s="11" t="s">
        <v>4533</v>
      </c>
      <c r="C102" s="11" t="s">
        <v>90</v>
      </c>
      <c r="D102" s="11" t="s">
        <v>4534</v>
      </c>
      <c r="E102" s="11" t="s">
        <v>4186</v>
      </c>
      <c r="F102" s="11" t="s">
        <v>84</v>
      </c>
      <c r="G102" s="11" t="s">
        <v>4476</v>
      </c>
      <c r="H102" s="11" t="s">
        <v>4476</v>
      </c>
      <c r="I102" s="11" t="s">
        <v>142</v>
      </c>
      <c r="J102" s="11" t="s">
        <v>142</v>
      </c>
      <c r="K102" s="11" t="s">
        <v>4217</v>
      </c>
      <c r="L102" s="11" t="s">
        <v>4535</v>
      </c>
    </row>
    <row r="103" ht="51" customHeight="1" spans="1:12" s="10" customFormat="1" x14ac:dyDescent="0.25">
      <c r="A103" s="26" t="s">
        <v>4536</v>
      </c>
      <c r="B103" s="11" t="s">
        <v>4537</v>
      </c>
      <c r="C103" s="11" t="s">
        <v>91</v>
      </c>
      <c r="D103" s="11" t="s">
        <v>4538</v>
      </c>
      <c r="E103" s="11" t="s">
        <v>4201</v>
      </c>
      <c r="F103" s="11" t="s">
        <v>84</v>
      </c>
      <c r="G103" s="11" t="s">
        <v>4476</v>
      </c>
      <c r="H103" s="11" t="s">
        <v>4476</v>
      </c>
      <c r="I103" s="11" t="s">
        <v>4539</v>
      </c>
      <c r="J103" s="11" t="s">
        <v>4540</v>
      </c>
      <c r="K103" s="11" t="s">
        <v>1165</v>
      </c>
      <c r="L103" s="11" t="s">
        <v>4541</v>
      </c>
    </row>
    <row r="104" ht="51" customHeight="1" spans="1:12" s="10" customFormat="1" x14ac:dyDescent="0.25">
      <c r="A104" s="26" t="s">
        <v>4542</v>
      </c>
      <c r="B104" s="11" t="s">
        <v>4543</v>
      </c>
      <c r="C104" s="11" t="s">
        <v>93</v>
      </c>
      <c r="D104" s="11" t="s">
        <v>4538</v>
      </c>
      <c r="E104" s="11" t="s">
        <v>4201</v>
      </c>
      <c r="F104" s="11" t="s">
        <v>84</v>
      </c>
      <c r="G104" s="11" t="s">
        <v>4476</v>
      </c>
      <c r="H104" s="11" t="s">
        <v>4476</v>
      </c>
      <c r="I104" s="11" t="s">
        <v>4544</v>
      </c>
      <c r="J104" s="11" t="s">
        <v>4540</v>
      </c>
      <c r="K104" s="11" t="s">
        <v>1165</v>
      </c>
      <c r="L104" s="11" t="s">
        <v>4545</v>
      </c>
    </row>
    <row r="105" ht="39" customHeight="1" spans="1:12" s="10" customFormat="1" x14ac:dyDescent="0.25">
      <c r="A105" s="26" t="s">
        <v>4546</v>
      </c>
      <c r="B105" s="11" t="s">
        <v>4547</v>
      </c>
      <c r="C105" s="11" t="s">
        <v>90</v>
      </c>
      <c r="D105" s="11" t="s">
        <v>4538</v>
      </c>
      <c r="E105" s="11" t="s">
        <v>4201</v>
      </c>
      <c r="F105" s="11" t="s">
        <v>84</v>
      </c>
      <c r="G105" s="11" t="s">
        <v>4476</v>
      </c>
      <c r="H105" s="11" t="s">
        <v>4476</v>
      </c>
      <c r="I105" s="11" t="s">
        <v>4548</v>
      </c>
      <c r="J105" s="11" t="s">
        <v>142</v>
      </c>
      <c r="K105" s="11" t="s">
        <v>4494</v>
      </c>
      <c r="L105" s="11" t="s">
        <v>4549</v>
      </c>
    </row>
    <row r="106" ht="27" customHeight="1" spans="1:12" s="10" customFormat="1" x14ac:dyDescent="0.25">
      <c r="A106" s="26" t="s">
        <v>4550</v>
      </c>
      <c r="B106" s="11" t="s">
        <v>4551</v>
      </c>
      <c r="C106" s="11" t="s">
        <v>90</v>
      </c>
      <c r="D106" s="11" t="s">
        <v>4552</v>
      </c>
      <c r="E106" s="11" t="s">
        <v>4186</v>
      </c>
      <c r="F106" s="11" t="s">
        <v>84</v>
      </c>
      <c r="G106" s="11" t="s">
        <v>4505</v>
      </c>
      <c r="H106" s="11" t="s">
        <v>4505</v>
      </c>
      <c r="I106" s="11" t="s">
        <v>142</v>
      </c>
      <c r="J106" s="11" t="s">
        <v>142</v>
      </c>
      <c r="K106" s="11" t="s">
        <v>4217</v>
      </c>
      <c r="L106" s="11" t="s">
        <v>4553</v>
      </c>
    </row>
    <row r="107" ht="27" customHeight="1" spans="1:12" s="10" customFormat="1" x14ac:dyDescent="0.25">
      <c r="A107" s="26" t="s">
        <v>4554</v>
      </c>
      <c r="B107" s="11" t="s">
        <v>4555</v>
      </c>
      <c r="C107" s="11" t="s">
        <v>91</v>
      </c>
      <c r="D107" s="11" t="s">
        <v>4538</v>
      </c>
      <c r="E107" s="11" t="s">
        <v>4201</v>
      </c>
      <c r="F107" s="11" t="s">
        <v>84</v>
      </c>
      <c r="G107" s="11" t="s">
        <v>4505</v>
      </c>
      <c r="H107" s="11" t="s">
        <v>4505</v>
      </c>
      <c r="I107" s="11" t="s">
        <v>4556</v>
      </c>
      <c r="J107" s="11" t="s">
        <v>4557</v>
      </c>
      <c r="K107" s="11" t="s">
        <v>1165</v>
      </c>
      <c r="L107" s="11" t="s">
        <v>4558</v>
      </c>
    </row>
    <row r="108" ht="27" customHeight="1" spans="1:12" s="10" customFormat="1" x14ac:dyDescent="0.25">
      <c r="A108" s="26" t="s">
        <v>4559</v>
      </c>
      <c r="B108" s="11" t="s">
        <v>4560</v>
      </c>
      <c r="C108" s="11" t="s">
        <v>90</v>
      </c>
      <c r="D108" s="11" t="s">
        <v>4552</v>
      </c>
      <c r="E108" s="11" t="s">
        <v>4186</v>
      </c>
      <c r="F108" s="11" t="s">
        <v>84</v>
      </c>
      <c r="G108" s="11" t="s">
        <v>4505</v>
      </c>
      <c r="H108" s="11" t="s">
        <v>4505</v>
      </c>
      <c r="I108" s="11" t="s">
        <v>142</v>
      </c>
      <c r="J108" s="11" t="s">
        <v>142</v>
      </c>
      <c r="K108" s="11" t="s">
        <v>4217</v>
      </c>
      <c r="L108" s="11"/>
    </row>
    <row r="109" ht="27" customHeight="1" spans="1:12" s="10" customFormat="1" x14ac:dyDescent="0.25">
      <c r="A109" s="26" t="s">
        <v>4561</v>
      </c>
      <c r="B109" s="11" t="s">
        <v>4562</v>
      </c>
      <c r="C109" s="11" t="s">
        <v>90</v>
      </c>
      <c r="D109" s="11" t="s">
        <v>4538</v>
      </c>
      <c r="E109" s="11" t="s">
        <v>4201</v>
      </c>
      <c r="F109" s="11" t="s">
        <v>84</v>
      </c>
      <c r="G109" s="11" t="s">
        <v>4505</v>
      </c>
      <c r="H109" s="11" t="s">
        <v>4505</v>
      </c>
      <c r="I109" s="11" t="s">
        <v>1653</v>
      </c>
      <c r="J109" s="11" t="s">
        <v>142</v>
      </c>
      <c r="K109" s="11" t="s">
        <v>1165</v>
      </c>
      <c r="L109" s="11" t="s">
        <v>4563</v>
      </c>
    </row>
    <row r="110" ht="27" customHeight="1" spans="1:12" s="10" customFormat="1" x14ac:dyDescent="0.25">
      <c r="A110" s="26" t="s">
        <v>4564</v>
      </c>
      <c r="B110" s="11" t="s">
        <v>4565</v>
      </c>
      <c r="C110" s="11" t="s">
        <v>91</v>
      </c>
      <c r="D110" s="11" t="s">
        <v>4538</v>
      </c>
      <c r="E110" s="11" t="s">
        <v>4201</v>
      </c>
      <c r="F110" s="11" t="s">
        <v>84</v>
      </c>
      <c r="G110" s="11" t="s">
        <v>4505</v>
      </c>
      <c r="H110" s="11" t="s">
        <v>4505</v>
      </c>
      <c r="I110" s="11" t="s">
        <v>4566</v>
      </c>
      <c r="J110" s="11" t="s">
        <v>4567</v>
      </c>
      <c r="K110" s="11" t="s">
        <v>1165</v>
      </c>
      <c r="L110" s="11" t="s">
        <v>4568</v>
      </c>
    </row>
    <row r="111" ht="27" customHeight="1" spans="1:12" s="10" customFormat="1" x14ac:dyDescent="0.25">
      <c r="A111" s="26" t="s">
        <v>4569</v>
      </c>
      <c r="B111" s="11" t="s">
        <v>4570</v>
      </c>
      <c r="C111" s="11" t="s">
        <v>93</v>
      </c>
      <c r="D111" s="11" t="s">
        <v>4538</v>
      </c>
      <c r="E111" s="11" t="s">
        <v>4201</v>
      </c>
      <c r="F111" s="11" t="s">
        <v>84</v>
      </c>
      <c r="G111" s="11" t="s">
        <v>4505</v>
      </c>
      <c r="H111" s="11" t="s">
        <v>4505</v>
      </c>
      <c r="I111" s="11" t="s">
        <v>4566</v>
      </c>
      <c r="J111" s="11" t="s">
        <v>4567</v>
      </c>
      <c r="K111" s="11" t="s">
        <v>1165</v>
      </c>
      <c r="L111" s="11" t="s">
        <v>4571</v>
      </c>
    </row>
    <row r="112" ht="27" customHeight="1" spans="1:12" s="10" customFormat="1" x14ac:dyDescent="0.25">
      <c r="A112" s="26" t="s">
        <v>4572</v>
      </c>
      <c r="B112" s="11" t="s">
        <v>4573</v>
      </c>
      <c r="C112" s="11" t="s">
        <v>94</v>
      </c>
      <c r="D112" s="11" t="s">
        <v>4538</v>
      </c>
      <c r="E112" s="11" t="s">
        <v>4201</v>
      </c>
      <c r="F112" s="11" t="s">
        <v>84</v>
      </c>
      <c r="G112" s="11" t="s">
        <v>4505</v>
      </c>
      <c r="H112" s="11" t="s">
        <v>4505</v>
      </c>
      <c r="I112" s="11" t="s">
        <v>4574</v>
      </c>
      <c r="J112" s="11" t="s">
        <v>4575</v>
      </c>
      <c r="K112" s="11" t="s">
        <v>1165</v>
      </c>
      <c r="L112" s="11"/>
    </row>
    <row r="113" ht="27" customHeight="1" spans="1:12" s="10" customFormat="1" x14ac:dyDescent="0.25">
      <c r="A113" s="26" t="s">
        <v>4576</v>
      </c>
      <c r="B113" s="11" t="s">
        <v>4577</v>
      </c>
      <c r="C113" s="11" t="s">
        <v>91</v>
      </c>
      <c r="D113" s="11" t="s">
        <v>4578</v>
      </c>
      <c r="E113" s="11" t="s">
        <v>4201</v>
      </c>
      <c r="F113" s="11" t="s">
        <v>84</v>
      </c>
      <c r="G113" s="11" t="s">
        <v>4505</v>
      </c>
      <c r="H113" s="11" t="s">
        <v>4505</v>
      </c>
      <c r="I113" s="11" t="s">
        <v>4579</v>
      </c>
      <c r="J113" s="11" t="s">
        <v>4580</v>
      </c>
      <c r="K113" s="11" t="s">
        <v>1165</v>
      </c>
      <c r="L113" s="11" t="s">
        <v>4581</v>
      </c>
    </row>
    <row r="114" ht="27" customHeight="1" spans="1:12" s="10" customFormat="1" x14ac:dyDescent="0.25">
      <c r="A114" s="26" t="s">
        <v>4582</v>
      </c>
      <c r="B114" s="11" t="s">
        <v>4583</v>
      </c>
      <c r="C114" s="11" t="s">
        <v>90</v>
      </c>
      <c r="D114" s="11" t="s">
        <v>4538</v>
      </c>
      <c r="E114" s="11" t="s">
        <v>4201</v>
      </c>
      <c r="F114" s="11" t="s">
        <v>84</v>
      </c>
      <c r="G114" s="11" t="s">
        <v>4505</v>
      </c>
      <c r="H114" s="11" t="s">
        <v>4505</v>
      </c>
      <c r="I114" s="11" t="s">
        <v>142</v>
      </c>
      <c r="J114" s="11" t="s">
        <v>142</v>
      </c>
      <c r="K114" s="11" t="s">
        <v>1165</v>
      </c>
      <c r="L114" s="11" t="s">
        <v>4563</v>
      </c>
    </row>
    <row r="115" ht="27" customHeight="1" spans="1:12" s="10" customFormat="1" x14ac:dyDescent="0.25">
      <c r="A115" s="26" t="s">
        <v>4584</v>
      </c>
      <c r="B115" s="11" t="s">
        <v>4585</v>
      </c>
      <c r="C115" s="11" t="s">
        <v>94</v>
      </c>
      <c r="D115" s="11" t="s">
        <v>4578</v>
      </c>
      <c r="E115" s="11" t="s">
        <v>4201</v>
      </c>
      <c r="F115" s="11" t="s">
        <v>84</v>
      </c>
      <c r="G115" s="11" t="s">
        <v>4505</v>
      </c>
      <c r="H115" s="11" t="s">
        <v>4505</v>
      </c>
      <c r="I115" s="11" t="s">
        <v>1297</v>
      </c>
      <c r="J115" s="11" t="s">
        <v>1297</v>
      </c>
      <c r="K115" s="11" t="s">
        <v>1165</v>
      </c>
      <c r="L115" s="11" t="s">
        <v>4586</v>
      </c>
    </row>
    <row r="116" ht="27" customHeight="1" spans="1:12" s="10" customFormat="1" x14ac:dyDescent="0.25">
      <c r="A116" s="26" t="s">
        <v>4587</v>
      </c>
      <c r="B116" s="11" t="s">
        <v>4588</v>
      </c>
      <c r="C116" s="11" t="s">
        <v>91</v>
      </c>
      <c r="D116" s="11" t="s">
        <v>4538</v>
      </c>
      <c r="E116" s="11" t="s">
        <v>4201</v>
      </c>
      <c r="F116" s="11" t="s">
        <v>84</v>
      </c>
      <c r="G116" s="11" t="s">
        <v>4505</v>
      </c>
      <c r="H116" s="11" t="s">
        <v>4505</v>
      </c>
      <c r="I116" s="11" t="s">
        <v>1328</v>
      </c>
      <c r="J116" s="11" t="s">
        <v>4589</v>
      </c>
      <c r="K116" s="11" t="s">
        <v>1165</v>
      </c>
      <c r="L116" s="11" t="s">
        <v>4590</v>
      </c>
    </row>
    <row r="117" ht="51" customHeight="1" spans="1:12" s="10" customFormat="1" x14ac:dyDescent="0.25">
      <c r="A117" s="26" t="s">
        <v>4591</v>
      </c>
      <c r="B117" s="11" t="s">
        <v>4592</v>
      </c>
      <c r="C117" s="11" t="s">
        <v>88</v>
      </c>
      <c r="D117" s="11" t="s">
        <v>4578</v>
      </c>
      <c r="E117" s="11" t="s">
        <v>4201</v>
      </c>
      <c r="F117" s="11" t="s">
        <v>84</v>
      </c>
      <c r="G117" s="11" t="s">
        <v>4505</v>
      </c>
      <c r="H117" s="11" t="s">
        <v>4505</v>
      </c>
      <c r="I117" s="11" t="s">
        <v>4593</v>
      </c>
      <c r="J117" s="11" t="s">
        <v>142</v>
      </c>
      <c r="K117" s="11" t="s">
        <v>1165</v>
      </c>
      <c r="L117" s="11" t="s">
        <v>4594</v>
      </c>
    </row>
    <row r="118" ht="27" customHeight="1" spans="1:12" s="10" customFormat="1" x14ac:dyDescent="0.25">
      <c r="A118" s="26" t="s">
        <v>4595</v>
      </c>
      <c r="B118" s="11" t="s">
        <v>4596</v>
      </c>
      <c r="C118" s="11" t="s">
        <v>93</v>
      </c>
      <c r="D118" s="11" t="s">
        <v>4538</v>
      </c>
      <c r="E118" s="11" t="s">
        <v>4201</v>
      </c>
      <c r="F118" s="11" t="s">
        <v>84</v>
      </c>
      <c r="G118" s="11" t="s">
        <v>4505</v>
      </c>
      <c r="H118" s="11" t="s">
        <v>4505</v>
      </c>
      <c r="I118" s="11" t="s">
        <v>1328</v>
      </c>
      <c r="J118" s="11" t="s">
        <v>4589</v>
      </c>
      <c r="K118" s="11" t="s">
        <v>1165</v>
      </c>
      <c r="L118" s="11"/>
    </row>
    <row r="119" ht="27" customHeight="1" spans="1:12" s="10" customFormat="1" x14ac:dyDescent="0.25">
      <c r="A119" s="26" t="s">
        <v>4597</v>
      </c>
      <c r="B119" s="11" t="s">
        <v>4598</v>
      </c>
      <c r="C119" s="11" t="s">
        <v>88</v>
      </c>
      <c r="D119" s="11" t="s">
        <v>4599</v>
      </c>
      <c r="E119" s="11" t="s">
        <v>4186</v>
      </c>
      <c r="F119" s="11" t="s">
        <v>84</v>
      </c>
      <c r="G119" s="11" t="s">
        <v>4505</v>
      </c>
      <c r="H119" s="11" t="s">
        <v>4505</v>
      </c>
      <c r="I119" s="11" t="s">
        <v>1556</v>
      </c>
      <c r="J119" s="11" t="s">
        <v>1556</v>
      </c>
      <c r="K119" s="11" t="s">
        <v>4217</v>
      </c>
      <c r="L119" s="11" t="s">
        <v>4600</v>
      </c>
    </row>
    <row r="120" ht="27" customHeight="1" spans="1:12" s="10" customFormat="1" x14ac:dyDescent="0.25">
      <c r="A120" s="26" t="s">
        <v>4601</v>
      </c>
      <c r="B120" s="11" t="s">
        <v>4602</v>
      </c>
      <c r="C120" s="11" t="s">
        <v>88</v>
      </c>
      <c r="D120" s="11" t="s">
        <v>4603</v>
      </c>
      <c r="E120" s="11" t="s">
        <v>4186</v>
      </c>
      <c r="F120" s="11" t="s">
        <v>83</v>
      </c>
      <c r="G120" s="11" t="s">
        <v>4505</v>
      </c>
      <c r="H120" s="11" t="s">
        <v>4505</v>
      </c>
      <c r="I120" s="11" t="s">
        <v>1556</v>
      </c>
      <c r="J120" s="11" t="s">
        <v>142</v>
      </c>
      <c r="K120" s="11" t="s">
        <v>142</v>
      </c>
      <c r="L120" s="11" t="s">
        <v>4604</v>
      </c>
    </row>
    <row r="121" ht="39" customHeight="1" spans="1:12" s="10" customFormat="1" x14ac:dyDescent="0.25">
      <c r="A121" s="26" t="s">
        <v>4605</v>
      </c>
      <c r="B121" s="11" t="s">
        <v>4606</v>
      </c>
      <c r="C121" s="11" t="s">
        <v>100</v>
      </c>
      <c r="D121" s="11" t="s">
        <v>4215</v>
      </c>
      <c r="E121" s="11" t="s">
        <v>4186</v>
      </c>
      <c r="F121" s="11" t="s">
        <v>84</v>
      </c>
      <c r="G121" s="11" t="s">
        <v>4505</v>
      </c>
      <c r="H121" s="11" t="s">
        <v>4505</v>
      </c>
      <c r="I121" s="11" t="s">
        <v>142</v>
      </c>
      <c r="J121" s="11" t="s">
        <v>4607</v>
      </c>
      <c r="K121" s="11" t="s">
        <v>4217</v>
      </c>
      <c r="L121" s="11" t="s">
        <v>4608</v>
      </c>
    </row>
    <row r="122" ht="27" customHeight="1" spans="1:12" s="10" customFormat="1" x14ac:dyDescent="0.25">
      <c r="A122" s="26" t="s">
        <v>4609</v>
      </c>
      <c r="B122" s="11" t="s">
        <v>4610</v>
      </c>
      <c r="C122" s="11" t="s">
        <v>94</v>
      </c>
      <c r="D122" s="11" t="s">
        <v>4578</v>
      </c>
      <c r="E122" s="11" t="s">
        <v>4201</v>
      </c>
      <c r="F122" s="11" t="s">
        <v>84</v>
      </c>
      <c r="G122" s="11" t="s">
        <v>4505</v>
      </c>
      <c r="H122" s="11" t="s">
        <v>4505</v>
      </c>
      <c r="I122" s="11" t="s">
        <v>4611</v>
      </c>
      <c r="J122" s="11" t="s">
        <v>1365</v>
      </c>
      <c r="K122" s="11" t="s">
        <v>1340</v>
      </c>
      <c r="L122" s="11" t="s">
        <v>4612</v>
      </c>
    </row>
    <row r="123" ht="39" customHeight="1" spans="1:12" s="10" customFormat="1" x14ac:dyDescent="0.25">
      <c r="A123" s="26" t="s">
        <v>4613</v>
      </c>
      <c r="B123" s="11" t="s">
        <v>4614</v>
      </c>
      <c r="C123" s="11" t="s">
        <v>91</v>
      </c>
      <c r="D123" s="11" t="s">
        <v>4615</v>
      </c>
      <c r="E123" s="11" t="s">
        <v>4201</v>
      </c>
      <c r="F123" s="11" t="s">
        <v>84</v>
      </c>
      <c r="G123" s="11" t="s">
        <v>4505</v>
      </c>
      <c r="H123" s="11" t="s">
        <v>4505</v>
      </c>
      <c r="I123" s="11" t="s">
        <v>4616</v>
      </c>
      <c r="J123" s="11" t="s">
        <v>4617</v>
      </c>
      <c r="K123" s="11" t="s">
        <v>1340</v>
      </c>
      <c r="L123" s="11" t="s">
        <v>4618</v>
      </c>
    </row>
    <row r="124" ht="27" customHeight="1" spans="1:12" s="10" customFormat="1" x14ac:dyDescent="0.25">
      <c r="A124" s="26" t="s">
        <v>4619</v>
      </c>
      <c r="B124" s="11" t="s">
        <v>4620</v>
      </c>
      <c r="C124" s="11" t="s">
        <v>100</v>
      </c>
      <c r="D124" s="11" t="s">
        <v>4215</v>
      </c>
      <c r="E124" s="11" t="s">
        <v>4186</v>
      </c>
      <c r="F124" s="11" t="s">
        <v>84</v>
      </c>
      <c r="G124" s="11" t="s">
        <v>4505</v>
      </c>
      <c r="H124" s="11" t="s">
        <v>4505</v>
      </c>
      <c r="I124" s="11" t="s">
        <v>142</v>
      </c>
      <c r="J124" s="11" t="s">
        <v>4621</v>
      </c>
      <c r="K124" s="11" t="s">
        <v>4217</v>
      </c>
      <c r="L124" s="11" t="s">
        <v>4622</v>
      </c>
    </row>
    <row r="125" ht="51" customHeight="1" spans="1:12" s="10" customFormat="1" x14ac:dyDescent="0.25">
      <c r="A125" s="26" t="s">
        <v>4623</v>
      </c>
      <c r="B125" s="11" t="s">
        <v>4624</v>
      </c>
      <c r="C125" s="11" t="s">
        <v>94</v>
      </c>
      <c r="D125" s="11" t="s">
        <v>4615</v>
      </c>
      <c r="E125" s="11" t="s">
        <v>4201</v>
      </c>
      <c r="F125" s="11" t="s">
        <v>84</v>
      </c>
      <c r="G125" s="11" t="s">
        <v>4505</v>
      </c>
      <c r="H125" s="11" t="s">
        <v>4505</v>
      </c>
      <c r="I125" s="11" t="s">
        <v>4625</v>
      </c>
      <c r="J125" s="11" t="s">
        <v>4617</v>
      </c>
      <c r="K125" s="11" t="s">
        <v>1580</v>
      </c>
      <c r="L125" s="11" t="s">
        <v>4626</v>
      </c>
    </row>
    <row r="126" ht="27" customHeight="1" spans="1:12" s="10" customFormat="1" x14ac:dyDescent="0.25">
      <c r="A126" s="26" t="s">
        <v>4627</v>
      </c>
      <c r="B126" s="11" t="s">
        <v>4628</v>
      </c>
      <c r="C126" s="11" t="s">
        <v>93</v>
      </c>
      <c r="D126" s="11" t="s">
        <v>4629</v>
      </c>
      <c r="E126" s="11" t="s">
        <v>4201</v>
      </c>
      <c r="F126" s="11" t="s">
        <v>84</v>
      </c>
      <c r="G126" s="11" t="s">
        <v>4505</v>
      </c>
      <c r="H126" s="11" t="s">
        <v>4630</v>
      </c>
      <c r="I126" s="11" t="s">
        <v>1452</v>
      </c>
      <c r="J126" s="11" t="s">
        <v>4631</v>
      </c>
      <c r="K126" s="11" t="s">
        <v>4632</v>
      </c>
      <c r="L126" s="11" t="s">
        <v>4633</v>
      </c>
    </row>
    <row r="127" ht="39" customHeight="1" spans="1:12" s="10" customFormat="1" x14ac:dyDescent="0.25">
      <c r="A127" s="26" t="s">
        <v>4634</v>
      </c>
      <c r="B127" s="11" t="s">
        <v>4635</v>
      </c>
      <c r="C127" s="11" t="s">
        <v>100</v>
      </c>
      <c r="D127" s="11" t="s">
        <v>4215</v>
      </c>
      <c r="E127" s="11" t="s">
        <v>4186</v>
      </c>
      <c r="F127" s="11" t="s">
        <v>84</v>
      </c>
      <c r="G127" s="11" t="s">
        <v>4505</v>
      </c>
      <c r="H127" s="11" t="s">
        <v>4505</v>
      </c>
      <c r="I127" s="11" t="s">
        <v>142</v>
      </c>
      <c r="J127" s="11" t="s">
        <v>4636</v>
      </c>
      <c r="K127" s="11" t="s">
        <v>4217</v>
      </c>
      <c r="L127" s="11" t="s">
        <v>4637</v>
      </c>
    </row>
    <row r="128" ht="27" customHeight="1" spans="1:12" s="10" customFormat="1" x14ac:dyDescent="0.25">
      <c r="A128" s="26" t="s">
        <v>4638</v>
      </c>
      <c r="B128" s="11" t="s">
        <v>4639</v>
      </c>
      <c r="C128" s="11" t="s">
        <v>93</v>
      </c>
      <c r="D128" s="11" t="s">
        <v>4615</v>
      </c>
      <c r="E128" s="11" t="s">
        <v>4201</v>
      </c>
      <c r="F128" s="11" t="s">
        <v>84</v>
      </c>
      <c r="G128" s="11" t="s">
        <v>4505</v>
      </c>
      <c r="H128" s="11" t="s">
        <v>4505</v>
      </c>
      <c r="I128" s="11" t="s">
        <v>1589</v>
      </c>
      <c r="J128" s="11" t="s">
        <v>1589</v>
      </c>
      <c r="K128" s="11" t="s">
        <v>4640</v>
      </c>
      <c r="L128" s="11" t="s">
        <v>4641</v>
      </c>
    </row>
    <row r="129" ht="27" customHeight="1" spans="1:12" s="10" customFormat="1" x14ac:dyDescent="0.25">
      <c r="A129" s="26" t="s">
        <v>4642</v>
      </c>
      <c r="B129" s="11" t="s">
        <v>4643</v>
      </c>
      <c r="C129" s="11" t="s">
        <v>98</v>
      </c>
      <c r="D129" s="11" t="s">
        <v>4615</v>
      </c>
      <c r="E129" s="11" t="s">
        <v>4201</v>
      </c>
      <c r="F129" s="11" t="s">
        <v>84</v>
      </c>
      <c r="G129" s="11" t="s">
        <v>4505</v>
      </c>
      <c r="H129" s="11" t="s">
        <v>4630</v>
      </c>
      <c r="I129" s="11" t="s">
        <v>1660</v>
      </c>
      <c r="J129" s="11" t="s">
        <v>4644</v>
      </c>
      <c r="K129" s="11" t="s">
        <v>4640</v>
      </c>
      <c r="L129" s="11" t="s">
        <v>4563</v>
      </c>
    </row>
    <row r="130" ht="27" customHeight="1" spans="1:12" s="10" customFormat="1" x14ac:dyDescent="0.25">
      <c r="A130" s="26" t="s">
        <v>4645</v>
      </c>
      <c r="B130" s="11" t="s">
        <v>4646</v>
      </c>
      <c r="C130" s="11" t="s">
        <v>100</v>
      </c>
      <c r="D130" s="11" t="s">
        <v>4215</v>
      </c>
      <c r="E130" s="11" t="s">
        <v>4186</v>
      </c>
      <c r="F130" s="11" t="s">
        <v>84</v>
      </c>
      <c r="G130" s="11" t="s">
        <v>4630</v>
      </c>
      <c r="H130" s="11" t="s">
        <v>4630</v>
      </c>
      <c r="I130" s="11" t="s">
        <v>142</v>
      </c>
      <c r="J130" s="11" t="s">
        <v>4647</v>
      </c>
      <c r="K130" s="11" t="s">
        <v>4217</v>
      </c>
      <c r="L130" s="11" t="s">
        <v>4648</v>
      </c>
    </row>
    <row r="131" ht="27" customHeight="1" spans="1:12" s="10" customFormat="1" x14ac:dyDescent="0.25">
      <c r="A131" s="26" t="s">
        <v>4649</v>
      </c>
      <c r="B131" s="11" t="s">
        <v>4650</v>
      </c>
      <c r="C131" s="11" t="s">
        <v>93</v>
      </c>
      <c r="D131" s="11" t="s">
        <v>4651</v>
      </c>
      <c r="E131" s="11" t="s">
        <v>4201</v>
      </c>
      <c r="F131" s="11" t="s">
        <v>84</v>
      </c>
      <c r="G131" s="11" t="s">
        <v>4630</v>
      </c>
      <c r="H131" s="11" t="s">
        <v>4630</v>
      </c>
      <c r="I131" s="11" t="s">
        <v>1589</v>
      </c>
      <c r="J131" s="11" t="s">
        <v>1589</v>
      </c>
      <c r="K131" s="11" t="s">
        <v>4632</v>
      </c>
      <c r="L131" s="11" t="s">
        <v>4652</v>
      </c>
    </row>
    <row r="132" ht="27" customHeight="1" spans="1:12" s="10" customFormat="1" x14ac:dyDescent="0.25">
      <c r="A132" s="26" t="s">
        <v>4653</v>
      </c>
      <c r="B132" s="11" t="s">
        <v>4654</v>
      </c>
      <c r="C132" s="11" t="s">
        <v>100</v>
      </c>
      <c r="D132" s="11" t="s">
        <v>4215</v>
      </c>
      <c r="E132" s="11" t="s">
        <v>4186</v>
      </c>
      <c r="F132" s="11" t="s">
        <v>84</v>
      </c>
      <c r="G132" s="11" t="s">
        <v>4630</v>
      </c>
      <c r="H132" s="11" t="s">
        <v>4630</v>
      </c>
      <c r="I132" s="11" t="s">
        <v>142</v>
      </c>
      <c r="J132" s="11" t="s">
        <v>4655</v>
      </c>
      <c r="K132" s="11" t="s">
        <v>4217</v>
      </c>
      <c r="L132" s="11" t="s">
        <v>4656</v>
      </c>
    </row>
    <row r="133" ht="27" customHeight="1" spans="1:12" s="10" customFormat="1" x14ac:dyDescent="0.25">
      <c r="A133" s="26" t="s">
        <v>4657</v>
      </c>
      <c r="B133" s="11" t="s">
        <v>4658</v>
      </c>
      <c r="C133" s="11" t="s">
        <v>90</v>
      </c>
      <c r="D133" s="11" t="s">
        <v>4659</v>
      </c>
      <c r="E133" s="11" t="s">
        <v>4201</v>
      </c>
      <c r="F133" s="11" t="s">
        <v>84</v>
      </c>
      <c r="G133" s="11" t="s">
        <v>4630</v>
      </c>
      <c r="H133" s="11" t="s">
        <v>4630</v>
      </c>
      <c r="I133" s="11" t="s">
        <v>142</v>
      </c>
      <c r="J133" s="11" t="s">
        <v>142</v>
      </c>
      <c r="K133" s="11" t="s">
        <v>4660</v>
      </c>
      <c r="L133" s="11"/>
    </row>
    <row r="134" ht="27" customHeight="1" spans="1:12" s="10" customFormat="1" x14ac:dyDescent="0.25">
      <c r="A134" s="26" t="s">
        <v>4661</v>
      </c>
      <c r="B134" s="11" t="s">
        <v>4662</v>
      </c>
      <c r="C134" s="11" t="s">
        <v>91</v>
      </c>
      <c r="D134" s="11" t="s">
        <v>4663</v>
      </c>
      <c r="E134" s="11" t="s">
        <v>4201</v>
      </c>
      <c r="F134" s="11" t="s">
        <v>84</v>
      </c>
      <c r="G134" s="11" t="s">
        <v>4630</v>
      </c>
      <c r="H134" s="11" t="s">
        <v>4630</v>
      </c>
      <c r="I134" s="11" t="s">
        <v>4664</v>
      </c>
      <c r="J134" s="11" t="s">
        <v>142</v>
      </c>
      <c r="K134" s="11" t="s">
        <v>1376</v>
      </c>
      <c r="L134" s="11" t="s">
        <v>4665</v>
      </c>
    </row>
    <row r="135" ht="27" customHeight="1" spans="1:12" s="10" customFormat="1" x14ac:dyDescent="0.25">
      <c r="A135" s="26" t="s">
        <v>4666</v>
      </c>
      <c r="B135" s="11" t="s">
        <v>4667</v>
      </c>
      <c r="C135" s="11" t="s">
        <v>88</v>
      </c>
      <c r="D135" s="11" t="s">
        <v>4668</v>
      </c>
      <c r="E135" s="11" t="s">
        <v>4201</v>
      </c>
      <c r="F135" s="11" t="s">
        <v>84</v>
      </c>
      <c r="G135" s="11" t="s">
        <v>4630</v>
      </c>
      <c r="H135" s="11" t="s">
        <v>4630</v>
      </c>
      <c r="I135" s="11" t="s">
        <v>1604</v>
      </c>
      <c r="J135" s="11" t="s">
        <v>142</v>
      </c>
      <c r="K135" s="11" t="s">
        <v>1376</v>
      </c>
      <c r="L135" s="11"/>
    </row>
    <row r="136" ht="39" customHeight="1" spans="1:12" s="10" customFormat="1" x14ac:dyDescent="0.25">
      <c r="A136" s="26" t="s">
        <v>4669</v>
      </c>
      <c r="B136" s="11" t="s">
        <v>4670</v>
      </c>
      <c r="C136" s="11" t="s">
        <v>100</v>
      </c>
      <c r="D136" s="11" t="s">
        <v>4215</v>
      </c>
      <c r="E136" s="11" t="s">
        <v>4186</v>
      </c>
      <c r="F136" s="11" t="s">
        <v>84</v>
      </c>
      <c r="G136" s="11" t="s">
        <v>4630</v>
      </c>
      <c r="H136" s="11" t="s">
        <v>4630</v>
      </c>
      <c r="I136" s="11" t="s">
        <v>142</v>
      </c>
      <c r="J136" s="11" t="s">
        <v>4671</v>
      </c>
      <c r="K136" s="11" t="s">
        <v>4217</v>
      </c>
      <c r="L136" s="11" t="s">
        <v>4672</v>
      </c>
    </row>
    <row r="137" ht="27" customHeight="1" spans="1:12" s="10" customFormat="1" x14ac:dyDescent="0.25">
      <c r="A137" s="26" t="s">
        <v>4673</v>
      </c>
      <c r="B137" s="11" t="s">
        <v>4674</v>
      </c>
      <c r="C137" s="11" t="s">
        <v>94</v>
      </c>
      <c r="D137" s="11" t="s">
        <v>4663</v>
      </c>
      <c r="E137" s="11" t="s">
        <v>4201</v>
      </c>
      <c r="F137" s="11" t="s">
        <v>84</v>
      </c>
      <c r="G137" s="11" t="s">
        <v>4630</v>
      </c>
      <c r="H137" s="11" t="s">
        <v>4630</v>
      </c>
      <c r="I137" s="11" t="s">
        <v>4675</v>
      </c>
      <c r="J137" s="11" t="s">
        <v>142</v>
      </c>
      <c r="K137" s="11" t="s">
        <v>1376</v>
      </c>
      <c r="L137" s="11"/>
    </row>
    <row r="138" ht="27" customHeight="1" spans="1:12" s="10" customFormat="1" x14ac:dyDescent="0.25">
      <c r="A138" s="26" t="s">
        <v>4676</v>
      </c>
      <c r="B138" s="11" t="s">
        <v>4677</v>
      </c>
      <c r="C138" s="11" t="s">
        <v>90</v>
      </c>
      <c r="D138" s="11" t="s">
        <v>4663</v>
      </c>
      <c r="E138" s="11" t="s">
        <v>4201</v>
      </c>
      <c r="F138" s="11" t="s">
        <v>84</v>
      </c>
      <c r="G138" s="11" t="s">
        <v>4630</v>
      </c>
      <c r="H138" s="11" t="s">
        <v>4630</v>
      </c>
      <c r="I138" s="11" t="s">
        <v>1666</v>
      </c>
      <c r="J138" s="11" t="s">
        <v>142</v>
      </c>
      <c r="K138" s="11" t="s">
        <v>4660</v>
      </c>
      <c r="L138" s="11"/>
    </row>
    <row r="139" ht="27" customHeight="1" spans="1:12" s="10" customFormat="1" x14ac:dyDescent="0.25">
      <c r="A139" s="26" t="s">
        <v>4678</v>
      </c>
      <c r="B139" s="11" t="s">
        <v>4679</v>
      </c>
      <c r="C139" s="11" t="s">
        <v>93</v>
      </c>
      <c r="D139" s="11" t="s">
        <v>4663</v>
      </c>
      <c r="E139" s="11" t="s">
        <v>4201</v>
      </c>
      <c r="F139" s="11" t="s">
        <v>84</v>
      </c>
      <c r="G139" s="11" t="s">
        <v>4680</v>
      </c>
      <c r="H139" s="11" t="s">
        <v>4680</v>
      </c>
      <c r="I139" s="11" t="s">
        <v>1426</v>
      </c>
      <c r="J139" s="11" t="s">
        <v>142</v>
      </c>
      <c r="K139" s="11" t="s">
        <v>1430</v>
      </c>
      <c r="L139" s="11"/>
    </row>
    <row r="140" ht="27" customHeight="1" spans="1:12" s="10" customFormat="1" x14ac:dyDescent="0.25">
      <c r="A140" s="26" t="s">
        <v>4681</v>
      </c>
      <c r="B140" s="11" t="s">
        <v>4682</v>
      </c>
      <c r="C140" s="11" t="s">
        <v>100</v>
      </c>
      <c r="D140" s="11" t="s">
        <v>4215</v>
      </c>
      <c r="E140" s="11" t="s">
        <v>4186</v>
      </c>
      <c r="F140" s="11" t="s">
        <v>84</v>
      </c>
      <c r="G140" s="11" t="s">
        <v>4680</v>
      </c>
      <c r="H140" s="11" t="s">
        <v>4680</v>
      </c>
      <c r="I140" s="11" t="s">
        <v>142</v>
      </c>
      <c r="J140" s="11" t="s">
        <v>1426</v>
      </c>
      <c r="K140" s="11" t="s">
        <v>4217</v>
      </c>
      <c r="L140" s="11"/>
    </row>
    <row r="141" ht="27" customHeight="1" spans="1:12" s="10" customFormat="1" x14ac:dyDescent="0.25">
      <c r="A141" s="26" t="s">
        <v>4683</v>
      </c>
      <c r="B141" s="11" t="s">
        <v>4684</v>
      </c>
      <c r="C141" s="11" t="s">
        <v>88</v>
      </c>
      <c r="D141" s="11" t="s">
        <v>4663</v>
      </c>
      <c r="E141" s="11" t="s">
        <v>4201</v>
      </c>
      <c r="F141" s="11" t="s">
        <v>84</v>
      </c>
      <c r="G141" s="11" t="s">
        <v>4680</v>
      </c>
      <c r="H141" s="11" t="s">
        <v>4680</v>
      </c>
      <c r="I141" s="11" t="s">
        <v>1619</v>
      </c>
      <c r="J141" s="11" t="s">
        <v>142</v>
      </c>
      <c r="K141" s="11" t="s">
        <v>4685</v>
      </c>
      <c r="L141" s="11"/>
    </row>
    <row r="142" ht="27" customHeight="1" spans="1:12" s="10" customFormat="1" x14ac:dyDescent="0.25">
      <c r="A142" s="26" t="s">
        <v>4686</v>
      </c>
      <c r="B142" s="11" t="s">
        <v>4687</v>
      </c>
      <c r="C142" s="11" t="s">
        <v>100</v>
      </c>
      <c r="D142" s="11" t="s">
        <v>4215</v>
      </c>
      <c r="E142" s="11" t="s">
        <v>4186</v>
      </c>
      <c r="F142" s="11" t="s">
        <v>84</v>
      </c>
      <c r="G142" s="11" t="s">
        <v>4680</v>
      </c>
      <c r="H142" s="11" t="s">
        <v>4680</v>
      </c>
      <c r="I142" s="11" t="s">
        <v>142</v>
      </c>
      <c r="J142" s="11" t="s">
        <v>1619</v>
      </c>
      <c r="K142" s="11" t="s">
        <v>4217</v>
      </c>
      <c r="L142" s="11"/>
    </row>
    <row r="143" ht="27" customHeight="1" spans="1:12" s="10" customFormat="1" x14ac:dyDescent="0.25">
      <c r="A143" s="26" t="s">
        <v>4688</v>
      </c>
      <c r="B143" s="11" t="s">
        <v>4689</v>
      </c>
      <c r="C143" s="11" t="s">
        <v>91</v>
      </c>
      <c r="D143" s="11" t="s">
        <v>4690</v>
      </c>
      <c r="E143" s="11" t="s">
        <v>4201</v>
      </c>
      <c r="F143" s="11" t="s">
        <v>84</v>
      </c>
      <c r="G143" s="11" t="s">
        <v>4691</v>
      </c>
      <c r="H143" s="11" t="s">
        <v>4691</v>
      </c>
      <c r="I143" s="11" t="s">
        <v>1393</v>
      </c>
      <c r="J143" s="11" t="s">
        <v>142</v>
      </c>
      <c r="K143" s="11" t="s">
        <v>1398</v>
      </c>
      <c r="L143" s="11"/>
    </row>
    <row r="144" ht="27" customHeight="1" spans="1:12" s="10" customFormat="1" x14ac:dyDescent="0.25">
      <c r="A144" s="26" t="s">
        <v>4692</v>
      </c>
      <c r="B144" s="11" t="s">
        <v>4693</v>
      </c>
      <c r="C144" s="11" t="s">
        <v>100</v>
      </c>
      <c r="D144" s="11" t="s">
        <v>4215</v>
      </c>
      <c r="E144" s="11" t="s">
        <v>4186</v>
      </c>
      <c r="F144" s="11" t="s">
        <v>84</v>
      </c>
      <c r="G144" s="11" t="s">
        <v>4691</v>
      </c>
      <c r="H144" s="11" t="s">
        <v>4691</v>
      </c>
      <c r="I144" s="11" t="s">
        <v>142</v>
      </c>
      <c r="J144" s="11" t="s">
        <v>1393</v>
      </c>
      <c r="K144" s="11" t="s">
        <v>4217</v>
      </c>
      <c r="L144" s="11"/>
    </row>
    <row r="145" ht="27" customHeight="1" spans="1:12" s="10" customFormat="1" x14ac:dyDescent="0.25">
      <c r="A145" s="26" t="s">
        <v>4694</v>
      </c>
      <c r="B145" s="11" t="s">
        <v>4695</v>
      </c>
      <c r="C145" s="11" t="s">
        <v>88</v>
      </c>
      <c r="D145" s="11" t="s">
        <v>4663</v>
      </c>
      <c r="E145" s="11" t="s">
        <v>4201</v>
      </c>
      <c r="F145" s="11" t="s">
        <v>84</v>
      </c>
      <c r="G145" s="11" t="s">
        <v>4691</v>
      </c>
      <c r="H145" s="11" t="s">
        <v>4691</v>
      </c>
      <c r="I145" s="11" t="s">
        <v>1619</v>
      </c>
      <c r="J145" s="11" t="s">
        <v>142</v>
      </c>
      <c r="K145" s="11" t="s">
        <v>4696</v>
      </c>
      <c r="L145" s="11" t="s">
        <v>4697</v>
      </c>
    </row>
    <row r="146" ht="27" customHeight="1" spans="1:12" s="10" customFormat="1" x14ac:dyDescent="0.25">
      <c r="A146" s="26" t="s">
        <v>4698</v>
      </c>
      <c r="B146" s="11" t="s">
        <v>4699</v>
      </c>
      <c r="C146" s="11" t="s">
        <v>100</v>
      </c>
      <c r="D146" s="11" t="s">
        <v>4215</v>
      </c>
      <c r="E146" s="11" t="s">
        <v>4186</v>
      </c>
      <c r="F146" s="11" t="s">
        <v>84</v>
      </c>
      <c r="G146" s="11" t="s">
        <v>4691</v>
      </c>
      <c r="H146" s="11" t="s">
        <v>4691</v>
      </c>
      <c r="I146" s="11" t="s">
        <v>142</v>
      </c>
      <c r="J146" s="11" t="s">
        <v>1619</v>
      </c>
      <c r="K146" s="11" t="s">
        <v>4217</v>
      </c>
      <c r="L146" s="11"/>
    </row>
    <row r="147" ht="27" customHeight="1" spans="1:12" s="10" customFormat="1" x14ac:dyDescent="0.25">
      <c r="A147" s="26" t="s">
        <v>4700</v>
      </c>
      <c r="B147" s="11" t="s">
        <v>4701</v>
      </c>
      <c r="C147" s="11" t="s">
        <v>91</v>
      </c>
      <c r="D147" s="11" t="s">
        <v>4702</v>
      </c>
      <c r="E147" s="11" t="s">
        <v>4201</v>
      </c>
      <c r="F147" s="11" t="s">
        <v>84</v>
      </c>
      <c r="G147" s="11" t="s">
        <v>4703</v>
      </c>
      <c r="H147" s="11" t="s">
        <v>4703</v>
      </c>
      <c r="I147" s="11" t="s">
        <v>4704</v>
      </c>
      <c r="J147" s="11" t="s">
        <v>142</v>
      </c>
      <c r="K147" s="11" t="s">
        <v>1417</v>
      </c>
      <c r="L147" s="11"/>
    </row>
    <row r="148" ht="27" customHeight="1" spans="1:12" s="10" customFormat="1" x14ac:dyDescent="0.25">
      <c r="A148" s="26" t="s">
        <v>4705</v>
      </c>
      <c r="B148" s="11" t="s">
        <v>4706</v>
      </c>
      <c r="C148" s="11" t="s">
        <v>93</v>
      </c>
      <c r="D148" s="11" t="s">
        <v>4702</v>
      </c>
      <c r="E148" s="11" t="s">
        <v>4201</v>
      </c>
      <c r="F148" s="11" t="s">
        <v>84</v>
      </c>
      <c r="G148" s="11" t="s">
        <v>4703</v>
      </c>
      <c r="H148" s="11" t="s">
        <v>4703</v>
      </c>
      <c r="I148" s="11" t="s">
        <v>4707</v>
      </c>
      <c r="J148" s="11" t="s">
        <v>142</v>
      </c>
      <c r="K148" s="11" t="s">
        <v>1417</v>
      </c>
      <c r="L148" s="11" t="s">
        <v>4708</v>
      </c>
    </row>
    <row r="149" ht="27" customHeight="1" spans="1:12" s="10" customFormat="1" x14ac:dyDescent="0.25">
      <c r="A149" s="26" t="s">
        <v>4709</v>
      </c>
      <c r="B149" s="11" t="s">
        <v>4710</v>
      </c>
      <c r="C149" s="11" t="s">
        <v>93</v>
      </c>
      <c r="D149" s="11" t="s">
        <v>4702</v>
      </c>
      <c r="E149" s="11" t="s">
        <v>4201</v>
      </c>
      <c r="F149" s="11" t="s">
        <v>84</v>
      </c>
      <c r="G149" s="11" t="s">
        <v>4703</v>
      </c>
      <c r="H149" s="11" t="s">
        <v>4703</v>
      </c>
      <c r="I149" s="11" t="s">
        <v>1402</v>
      </c>
      <c r="J149" s="11" t="s">
        <v>142</v>
      </c>
      <c r="K149" s="11" t="s">
        <v>1417</v>
      </c>
      <c r="L149" s="11" t="s">
        <v>4711</v>
      </c>
    </row>
    <row r="150" ht="39" customHeight="1" spans="1:12" s="10" customFormat="1" x14ac:dyDescent="0.25">
      <c r="A150" s="26" t="s">
        <v>4712</v>
      </c>
      <c r="B150" s="11" t="s">
        <v>4713</v>
      </c>
      <c r="C150" s="11" t="s">
        <v>100</v>
      </c>
      <c r="D150" s="11" t="s">
        <v>4215</v>
      </c>
      <c r="E150" s="11" t="s">
        <v>4186</v>
      </c>
      <c r="F150" s="11" t="s">
        <v>84</v>
      </c>
      <c r="G150" s="11" t="s">
        <v>4703</v>
      </c>
      <c r="H150" s="11" t="s">
        <v>4703</v>
      </c>
      <c r="I150" s="11" t="s">
        <v>142</v>
      </c>
      <c r="J150" s="11" t="s">
        <v>4714</v>
      </c>
      <c r="K150" s="11" t="s">
        <v>4217</v>
      </c>
      <c r="L150" s="11" t="s">
        <v>4715</v>
      </c>
    </row>
    <row r="151" ht="27" customHeight="1" spans="1:12" s="10" customFormat="1" x14ac:dyDescent="0.25">
      <c r="A151" s="26" t="s">
        <v>4716</v>
      </c>
      <c r="B151" s="11" t="s">
        <v>4717</v>
      </c>
      <c r="C151" s="11" t="s">
        <v>93</v>
      </c>
      <c r="D151" s="11" t="s">
        <v>4702</v>
      </c>
      <c r="E151" s="11" t="s">
        <v>4201</v>
      </c>
      <c r="F151" s="11" t="s">
        <v>84</v>
      </c>
      <c r="G151" s="11" t="s">
        <v>4703</v>
      </c>
      <c r="H151" s="11" t="s">
        <v>4703</v>
      </c>
      <c r="I151" s="11" t="s">
        <v>4718</v>
      </c>
      <c r="J151" s="11" t="s">
        <v>142</v>
      </c>
      <c r="K151" s="11" t="s">
        <v>4719</v>
      </c>
      <c r="L151" s="11"/>
    </row>
    <row r="152" ht="27" customHeight="1" spans="1:12" s="10" customFormat="1" x14ac:dyDescent="0.25">
      <c r="A152" s="26" t="s">
        <v>4720</v>
      </c>
      <c r="B152" s="11" t="s">
        <v>4721</v>
      </c>
      <c r="C152" s="11" t="s">
        <v>100</v>
      </c>
      <c r="D152" s="11" t="s">
        <v>4215</v>
      </c>
      <c r="E152" s="11" t="s">
        <v>4186</v>
      </c>
      <c r="F152" s="11" t="s">
        <v>84</v>
      </c>
      <c r="G152" s="11" t="s">
        <v>4703</v>
      </c>
      <c r="H152" s="11" t="s">
        <v>4703</v>
      </c>
      <c r="I152" s="11" t="s">
        <v>142</v>
      </c>
      <c r="J152" s="11" t="s">
        <v>1419</v>
      </c>
      <c r="K152" s="11" t="s">
        <v>4217</v>
      </c>
      <c r="L152" s="11"/>
    </row>
    <row r="153" ht="27" customHeight="1" spans="1:12" s="10" customFormat="1" x14ac:dyDescent="0.25">
      <c r="A153" s="26" t="s">
        <v>4722</v>
      </c>
      <c r="B153" s="11" t="s">
        <v>4723</v>
      </c>
      <c r="C153" s="11" t="s">
        <v>93</v>
      </c>
      <c r="D153" s="11" t="s">
        <v>4702</v>
      </c>
      <c r="E153" s="11" t="s">
        <v>4201</v>
      </c>
      <c r="F153" s="11" t="s">
        <v>84</v>
      </c>
      <c r="G153" s="11" t="s">
        <v>4703</v>
      </c>
      <c r="H153" s="11" t="s">
        <v>4703</v>
      </c>
      <c r="I153" s="11" t="s">
        <v>1595</v>
      </c>
      <c r="J153" s="11" t="s">
        <v>142</v>
      </c>
      <c r="K153" s="11" t="s">
        <v>1615</v>
      </c>
      <c r="L153" s="11"/>
    </row>
    <row r="154" ht="27" customHeight="1" spans="1:12" s="10" customFormat="1" x14ac:dyDescent="0.25">
      <c r="A154" s="26" t="s">
        <v>4724</v>
      </c>
      <c r="B154" s="11" t="s">
        <v>4725</v>
      </c>
      <c r="C154" s="11" t="s">
        <v>87</v>
      </c>
      <c r="D154" s="11" t="s">
        <v>4690</v>
      </c>
      <c r="E154" s="11" t="s">
        <v>4201</v>
      </c>
      <c r="F154" s="11" t="s">
        <v>84</v>
      </c>
      <c r="G154" s="11" t="s">
        <v>4703</v>
      </c>
      <c r="H154" s="11" t="s">
        <v>4703</v>
      </c>
      <c r="I154" s="11" t="s">
        <v>4726</v>
      </c>
      <c r="J154" s="11" t="s">
        <v>142</v>
      </c>
      <c r="K154" s="11" t="s">
        <v>1615</v>
      </c>
      <c r="L154" s="11"/>
    </row>
    <row r="155" ht="27" customHeight="1" spans="1:12" s="10" customFormat="1" x14ac:dyDescent="0.25">
      <c r="A155" s="26" t="s">
        <v>4727</v>
      </c>
      <c r="B155" s="11" t="s">
        <v>4728</v>
      </c>
      <c r="C155" s="11" t="s">
        <v>90</v>
      </c>
      <c r="D155" s="11" t="s">
        <v>4702</v>
      </c>
      <c r="E155" s="11" t="s">
        <v>4201</v>
      </c>
      <c r="F155" s="11" t="s">
        <v>84</v>
      </c>
      <c r="G155" s="11" t="s">
        <v>4703</v>
      </c>
      <c r="H155" s="11" t="s">
        <v>4703</v>
      </c>
      <c r="I155" s="11" t="s">
        <v>4729</v>
      </c>
      <c r="J155" s="11" t="s">
        <v>142</v>
      </c>
      <c r="K155" s="11" t="s">
        <v>1615</v>
      </c>
      <c r="L155" s="11"/>
    </row>
    <row r="156" ht="27" customHeight="1" spans="1:12" s="10" customFormat="1" x14ac:dyDescent="0.25">
      <c r="A156" s="26" t="s">
        <v>4730</v>
      </c>
      <c r="B156" s="11" t="s">
        <v>4731</v>
      </c>
      <c r="C156" s="11" t="s">
        <v>100</v>
      </c>
      <c r="D156" s="11" t="s">
        <v>4215</v>
      </c>
      <c r="E156" s="11" t="s">
        <v>4186</v>
      </c>
      <c r="F156" s="11" t="s">
        <v>83</v>
      </c>
      <c r="G156" s="11" t="s">
        <v>4703</v>
      </c>
      <c r="H156" s="11" t="s">
        <v>4703</v>
      </c>
      <c r="I156" s="11" t="s">
        <v>142</v>
      </c>
      <c r="J156" s="11" t="s">
        <v>142</v>
      </c>
      <c r="K156" s="11" t="s">
        <v>142</v>
      </c>
      <c r="L156" s="11" t="s">
        <v>4732</v>
      </c>
    </row>
    <row r="157" ht="27" customHeight="1" spans="1:12" s="10" customFormat="1" x14ac:dyDescent="0.25">
      <c r="A157" s="26" t="s">
        <v>4733</v>
      </c>
      <c r="B157" s="11" t="s">
        <v>4734</v>
      </c>
      <c r="C157" s="11" t="s">
        <v>90</v>
      </c>
      <c r="D157" s="11" t="s">
        <v>4663</v>
      </c>
      <c r="E157" s="11" t="s">
        <v>4201</v>
      </c>
      <c r="F157" s="11" t="s">
        <v>84</v>
      </c>
      <c r="G157" s="11" t="s">
        <v>4703</v>
      </c>
      <c r="H157" s="11" t="s">
        <v>4703</v>
      </c>
      <c r="I157" s="11" t="s">
        <v>1619</v>
      </c>
      <c r="J157" s="11" t="s">
        <v>142</v>
      </c>
      <c r="K157" s="11" t="s">
        <v>1615</v>
      </c>
      <c r="L157" s="11"/>
    </row>
    <row r="158" ht="39" customHeight="1" spans="1:12" s="10" customFormat="1" x14ac:dyDescent="0.25">
      <c r="A158" s="26" t="s">
        <v>4735</v>
      </c>
      <c r="B158" s="11" t="s">
        <v>4736</v>
      </c>
      <c r="C158" s="11" t="s">
        <v>100</v>
      </c>
      <c r="D158" s="11" t="s">
        <v>4215</v>
      </c>
      <c r="E158" s="11" t="s">
        <v>4186</v>
      </c>
      <c r="F158" s="11" t="s">
        <v>84</v>
      </c>
      <c r="G158" s="11" t="s">
        <v>4703</v>
      </c>
      <c r="H158" s="11" t="s">
        <v>4703</v>
      </c>
      <c r="I158" s="11" t="s">
        <v>142</v>
      </c>
      <c r="J158" s="11" t="s">
        <v>4737</v>
      </c>
      <c r="K158" s="11" t="s">
        <v>4217</v>
      </c>
      <c r="L158" s="11"/>
    </row>
    <row r="159" ht="27" customHeight="1" spans="1:12" s="10" customFormat="1" x14ac:dyDescent="0.25">
      <c r="A159" s="26" t="s">
        <v>4738</v>
      </c>
      <c r="B159" s="11" t="s">
        <v>4739</v>
      </c>
      <c r="C159" s="11" t="s">
        <v>93</v>
      </c>
      <c r="D159" s="11" t="s">
        <v>4702</v>
      </c>
      <c r="E159" s="11" t="s">
        <v>4201</v>
      </c>
      <c r="F159" s="11" t="s">
        <v>84</v>
      </c>
      <c r="G159" s="11" t="s">
        <v>4703</v>
      </c>
      <c r="H159" s="11" t="s">
        <v>4703</v>
      </c>
      <c r="I159" s="11" t="s">
        <v>1595</v>
      </c>
      <c r="J159" s="11" t="s">
        <v>142</v>
      </c>
      <c r="K159" s="11" t="s">
        <v>4740</v>
      </c>
      <c r="L159" s="11"/>
    </row>
    <row r="160" ht="27" customHeight="1" spans="1:12" s="10" customFormat="1" x14ac:dyDescent="0.25">
      <c r="A160" s="26" t="s">
        <v>4741</v>
      </c>
      <c r="B160" s="11" t="s">
        <v>4742</v>
      </c>
      <c r="C160" s="11" t="s">
        <v>100</v>
      </c>
      <c r="D160" s="11" t="s">
        <v>4215</v>
      </c>
      <c r="E160" s="11" t="s">
        <v>4186</v>
      </c>
      <c r="F160" s="11" t="s">
        <v>84</v>
      </c>
      <c r="G160" s="11" t="s">
        <v>4703</v>
      </c>
      <c r="H160" s="11" t="s">
        <v>4703</v>
      </c>
      <c r="I160" s="11" t="s">
        <v>142</v>
      </c>
      <c r="J160" s="11" t="s">
        <v>1595</v>
      </c>
      <c r="K160" s="11" t="s">
        <v>4217</v>
      </c>
      <c r="L160" s="11"/>
    </row>
    <row r="161" ht="27" customHeight="1" spans="1:12" s="10" customFormat="1" x14ac:dyDescent="0.25">
      <c r="A161" s="26" t="s">
        <v>4743</v>
      </c>
      <c r="B161" s="11" t="s">
        <v>4744</v>
      </c>
      <c r="C161" s="11" t="s">
        <v>94</v>
      </c>
      <c r="D161" s="11" t="s">
        <v>4702</v>
      </c>
      <c r="E161" s="11" t="s">
        <v>4201</v>
      </c>
      <c r="F161" s="11" t="s">
        <v>84</v>
      </c>
      <c r="G161" s="11" t="s">
        <v>4703</v>
      </c>
      <c r="H161" s="11" t="s">
        <v>4703</v>
      </c>
      <c r="I161" s="11" t="s">
        <v>1595</v>
      </c>
      <c r="J161" s="11" t="s">
        <v>142</v>
      </c>
      <c r="K161" s="11" t="s">
        <v>4745</v>
      </c>
      <c r="L161" s="11"/>
    </row>
    <row r="162" ht="27" customHeight="1" spans="1:12" s="10" customFormat="1" x14ac:dyDescent="0.25">
      <c r="A162" s="26" t="s">
        <v>4746</v>
      </c>
      <c r="B162" s="11" t="s">
        <v>4747</v>
      </c>
      <c r="C162" s="11" t="s">
        <v>100</v>
      </c>
      <c r="D162" s="11" t="s">
        <v>4215</v>
      </c>
      <c r="E162" s="11" t="s">
        <v>4186</v>
      </c>
      <c r="F162" s="11" t="s">
        <v>84</v>
      </c>
      <c r="G162" s="11" t="s">
        <v>4703</v>
      </c>
      <c r="H162" s="11" t="s">
        <v>4703</v>
      </c>
      <c r="I162" s="11" t="s">
        <v>142</v>
      </c>
      <c r="J162" s="11" t="s">
        <v>1595</v>
      </c>
      <c r="K162" s="11" t="s">
        <v>4217</v>
      </c>
      <c r="L162" s="11"/>
    </row>
    <row r="163" ht="27" customHeight="1" spans="1:12" s="10" customFormat="1" x14ac:dyDescent="0.25">
      <c r="A163" s="26" t="s">
        <v>4748</v>
      </c>
      <c r="B163" s="11" t="s">
        <v>4749</v>
      </c>
      <c r="C163" s="11" t="s">
        <v>94</v>
      </c>
      <c r="D163" s="11" t="s">
        <v>4702</v>
      </c>
      <c r="E163" s="11" t="s">
        <v>4201</v>
      </c>
      <c r="F163" s="11" t="s">
        <v>84</v>
      </c>
      <c r="G163" s="11" t="s">
        <v>4750</v>
      </c>
      <c r="H163" s="11" t="s">
        <v>4750</v>
      </c>
      <c r="I163" s="11" t="s">
        <v>1595</v>
      </c>
      <c r="J163" s="11" t="s">
        <v>142</v>
      </c>
      <c r="K163" s="11" t="s">
        <v>4751</v>
      </c>
      <c r="L163" s="11"/>
    </row>
    <row r="164" ht="27" customHeight="1" spans="1:12" s="10" customFormat="1" x14ac:dyDescent="0.25">
      <c r="A164" s="26" t="s">
        <v>4752</v>
      </c>
      <c r="B164" s="11" t="s">
        <v>4753</v>
      </c>
      <c r="C164" s="11" t="s">
        <v>100</v>
      </c>
      <c r="D164" s="11" t="s">
        <v>4215</v>
      </c>
      <c r="E164" s="11" t="s">
        <v>4186</v>
      </c>
      <c r="F164" s="11" t="s">
        <v>84</v>
      </c>
      <c r="G164" s="11" t="s">
        <v>4750</v>
      </c>
      <c r="H164" s="11" t="s">
        <v>4750</v>
      </c>
      <c r="I164" s="11" t="s">
        <v>142</v>
      </c>
      <c r="J164" s="11" t="s">
        <v>1595</v>
      </c>
      <c r="K164" s="11" t="s">
        <v>4217</v>
      </c>
      <c r="L164" s="11"/>
    </row>
    <row r="165" ht="27" customHeight="1" spans="1:12" s="10" customFormat="1" x14ac:dyDescent="0.25">
      <c r="A165" s="26" t="s">
        <v>4754</v>
      </c>
      <c r="B165" s="11" t="s">
        <v>4755</v>
      </c>
      <c r="C165" s="11" t="s">
        <v>90</v>
      </c>
      <c r="D165" s="11" t="s">
        <v>4702</v>
      </c>
      <c r="E165" s="11" t="s">
        <v>4201</v>
      </c>
      <c r="F165" s="11" t="s">
        <v>84</v>
      </c>
      <c r="G165" s="11" t="s">
        <v>4750</v>
      </c>
      <c r="H165" s="11" t="s">
        <v>4750</v>
      </c>
      <c r="I165" s="11" t="s">
        <v>1595</v>
      </c>
      <c r="J165" s="11" t="s">
        <v>142</v>
      </c>
      <c r="K165" s="11" t="s">
        <v>4756</v>
      </c>
      <c r="L165" s="11"/>
    </row>
    <row r="166" ht="27" customHeight="1" spans="1:12" s="10" customFormat="1" x14ac:dyDescent="0.25">
      <c r="A166" s="26" t="s">
        <v>4757</v>
      </c>
      <c r="B166" s="11" t="s">
        <v>4758</v>
      </c>
      <c r="C166" s="11" t="s">
        <v>100</v>
      </c>
      <c r="D166" s="11" t="s">
        <v>4215</v>
      </c>
      <c r="E166" s="11" t="s">
        <v>4186</v>
      </c>
      <c r="F166" s="11" t="s">
        <v>84</v>
      </c>
      <c r="G166" s="11" t="s">
        <v>4750</v>
      </c>
      <c r="H166" s="11" t="s">
        <v>4750</v>
      </c>
      <c r="I166" s="11" t="s">
        <v>142</v>
      </c>
      <c r="J166" s="11" t="s">
        <v>1595</v>
      </c>
      <c r="K166" s="11" t="s">
        <v>4217</v>
      </c>
      <c r="L166" s="11" t="s">
        <v>4759</v>
      </c>
    </row>
    <row r="167" ht="27" customHeight="1" spans="1:12" s="10" customFormat="1" x14ac:dyDescent="0.25">
      <c r="A167" s="26" t="s">
        <v>4760</v>
      </c>
      <c r="B167" s="11" t="s">
        <v>4761</v>
      </c>
      <c r="C167" s="11" t="s">
        <v>90</v>
      </c>
      <c r="D167" s="11" t="s">
        <v>4552</v>
      </c>
      <c r="E167" s="11" t="s">
        <v>4186</v>
      </c>
      <c r="F167" s="11" t="s">
        <v>84</v>
      </c>
      <c r="G167" s="11" t="s">
        <v>4750</v>
      </c>
      <c r="H167" s="11" t="s">
        <v>4750</v>
      </c>
      <c r="I167" s="11" t="s">
        <v>142</v>
      </c>
      <c r="J167" s="11" t="s">
        <v>142</v>
      </c>
      <c r="K167" s="11" t="s">
        <v>4660</v>
      </c>
      <c r="L167" s="11"/>
    </row>
    <row r="168" ht="27" customHeight="1" spans="1:12" s="10" customFormat="1" x14ac:dyDescent="0.25">
      <c r="A168" s="26" t="s">
        <v>4762</v>
      </c>
      <c r="B168" s="11" t="s">
        <v>4763</v>
      </c>
      <c r="C168" s="11" t="s">
        <v>90</v>
      </c>
      <c r="D168" s="11" t="s">
        <v>4552</v>
      </c>
      <c r="E168" s="11" t="s">
        <v>4186</v>
      </c>
      <c r="F168" s="11" t="s">
        <v>84</v>
      </c>
      <c r="G168" s="11" t="s">
        <v>4750</v>
      </c>
      <c r="H168" s="11" t="s">
        <v>4750</v>
      </c>
      <c r="I168" s="11" t="s">
        <v>142</v>
      </c>
      <c r="J168" s="11" t="s">
        <v>142</v>
      </c>
      <c r="K168" s="11" t="s">
        <v>4660</v>
      </c>
      <c r="L168" s="11"/>
    </row>
    <row r="169" ht="27" customHeight="1" spans="1:12" s="10" customFormat="1" x14ac:dyDescent="0.25">
      <c r="A169" s="26" t="s">
        <v>4764</v>
      </c>
      <c r="B169" s="11" t="s">
        <v>4765</v>
      </c>
      <c r="C169" s="11" t="s">
        <v>93</v>
      </c>
      <c r="D169" s="11" t="s">
        <v>4766</v>
      </c>
      <c r="E169" s="11" t="s">
        <v>4201</v>
      </c>
      <c r="F169" s="11" t="s">
        <v>84</v>
      </c>
      <c r="G169" s="11" t="s">
        <v>4750</v>
      </c>
      <c r="H169" s="11" t="s">
        <v>4750</v>
      </c>
      <c r="I169" s="11" t="s">
        <v>4767</v>
      </c>
      <c r="J169" s="11" t="s">
        <v>142</v>
      </c>
      <c r="K169" s="11" t="s">
        <v>4494</v>
      </c>
      <c r="L169" s="11" t="s">
        <v>4768</v>
      </c>
    </row>
    <row r="170" ht="27" customHeight="1" spans="1:12" s="10" customFormat="1" x14ac:dyDescent="0.25">
      <c r="A170" s="26" t="s">
        <v>4769</v>
      </c>
      <c r="B170" s="11" t="s">
        <v>4770</v>
      </c>
      <c r="C170" s="11" t="s">
        <v>93</v>
      </c>
      <c r="D170" s="11" t="s">
        <v>4771</v>
      </c>
      <c r="E170" s="11" t="s">
        <v>4201</v>
      </c>
      <c r="F170" s="11" t="s">
        <v>84</v>
      </c>
      <c r="G170" s="11" t="s">
        <v>4750</v>
      </c>
      <c r="H170" s="11" t="s">
        <v>4750</v>
      </c>
      <c r="I170" s="11" t="s">
        <v>1402</v>
      </c>
      <c r="J170" s="11" t="s">
        <v>1402</v>
      </c>
      <c r="K170" s="11" t="s">
        <v>4772</v>
      </c>
      <c r="L170" s="11" t="s">
        <v>4773</v>
      </c>
    </row>
    <row r="171" ht="27" customHeight="1" spans="1:12" s="10" customFormat="1" x14ac:dyDescent="0.25">
      <c r="A171" s="26" t="s">
        <v>4774</v>
      </c>
      <c r="B171" s="11" t="s">
        <v>4775</v>
      </c>
      <c r="C171" s="11" t="s">
        <v>90</v>
      </c>
      <c r="D171" s="11" t="s">
        <v>4552</v>
      </c>
      <c r="E171" s="11" t="s">
        <v>4186</v>
      </c>
      <c r="F171" s="11" t="s">
        <v>84</v>
      </c>
      <c r="G171" s="11" t="s">
        <v>4750</v>
      </c>
      <c r="H171" s="11" t="s">
        <v>4776</v>
      </c>
      <c r="I171" s="11" t="s">
        <v>1678</v>
      </c>
      <c r="J171" s="11" t="s">
        <v>142</v>
      </c>
      <c r="K171" s="11" t="s">
        <v>4660</v>
      </c>
      <c r="L171" s="11" t="s">
        <v>4777</v>
      </c>
    </row>
    <row r="172" ht="27" customHeight="1" spans="1:12" s="10" customFormat="1" x14ac:dyDescent="0.25">
      <c r="A172" s="26" t="s">
        <v>4778</v>
      </c>
      <c r="B172" s="11" t="s">
        <v>4779</v>
      </c>
      <c r="C172" s="11" t="s">
        <v>91</v>
      </c>
      <c r="D172" s="11" t="s">
        <v>4780</v>
      </c>
      <c r="E172" s="11" t="s">
        <v>4201</v>
      </c>
      <c r="F172" s="11" t="s">
        <v>84</v>
      </c>
      <c r="G172" s="11" t="s">
        <v>4776</v>
      </c>
      <c r="H172" s="11" t="s">
        <v>4776</v>
      </c>
      <c r="I172" s="11" t="s">
        <v>1442</v>
      </c>
      <c r="J172" s="11" t="s">
        <v>1442</v>
      </c>
      <c r="K172" s="11" t="s">
        <v>4781</v>
      </c>
      <c r="L172" s="11" t="s">
        <v>4782</v>
      </c>
    </row>
    <row r="173" ht="39" customHeight="1" spans="1:12" s="12" customFormat="1" x14ac:dyDescent="0.25">
      <c r="A173" s="26" t="s">
        <v>4783</v>
      </c>
      <c r="B173" s="11" t="s">
        <v>4784</v>
      </c>
      <c r="C173" s="11" t="s">
        <v>93</v>
      </c>
      <c r="D173" s="11" t="s">
        <v>4780</v>
      </c>
      <c r="E173" s="11" t="s">
        <v>4201</v>
      </c>
      <c r="F173" s="11" t="s">
        <v>84</v>
      </c>
      <c r="G173" s="11" t="s">
        <v>4776</v>
      </c>
      <c r="H173" s="11" t="s">
        <v>4776</v>
      </c>
      <c r="I173" s="11" t="s">
        <v>1442</v>
      </c>
      <c r="J173" s="11" t="s">
        <v>1442</v>
      </c>
      <c r="K173" s="11" t="s">
        <v>4781</v>
      </c>
      <c r="L173" s="11" t="s">
        <v>4785</v>
      </c>
    </row>
    <row r="174" ht="27" customHeight="1" spans="1:12" s="12" customFormat="1" x14ac:dyDescent="0.25">
      <c r="A174" s="26" t="s">
        <v>4786</v>
      </c>
      <c r="B174" s="11" t="s">
        <v>4787</v>
      </c>
      <c r="C174" s="11" t="s">
        <v>91</v>
      </c>
      <c r="D174" s="11" t="s">
        <v>4788</v>
      </c>
      <c r="E174" s="11" t="s">
        <v>4201</v>
      </c>
      <c r="F174" s="11" t="s">
        <v>84</v>
      </c>
      <c r="G174" s="11" t="s">
        <v>4776</v>
      </c>
      <c r="H174" s="11" t="s">
        <v>4776</v>
      </c>
      <c r="I174" s="11" t="s">
        <v>225</v>
      </c>
      <c r="J174" s="11" t="s">
        <v>142</v>
      </c>
      <c r="K174" s="11" t="s">
        <v>4789</v>
      </c>
      <c r="L174" s="11" t="s">
        <v>4790</v>
      </c>
    </row>
    <row r="175" ht="27" customHeight="1" spans="1:12" s="12" customFormat="1" x14ac:dyDescent="0.25">
      <c r="A175" s="26" t="s">
        <v>4791</v>
      </c>
      <c r="B175" s="11" t="s">
        <v>4792</v>
      </c>
      <c r="C175" s="11" t="s">
        <v>98</v>
      </c>
      <c r="D175" s="11" t="s">
        <v>4788</v>
      </c>
      <c r="E175" s="11" t="s">
        <v>4201</v>
      </c>
      <c r="F175" s="11" t="s">
        <v>84</v>
      </c>
      <c r="G175" s="11" t="s">
        <v>4776</v>
      </c>
      <c r="H175" s="11" t="s">
        <v>4776</v>
      </c>
      <c r="I175" s="11" t="s">
        <v>225</v>
      </c>
      <c r="J175" s="11" t="s">
        <v>142</v>
      </c>
      <c r="K175" s="11" t="s">
        <v>4789</v>
      </c>
      <c r="L175" s="11"/>
    </row>
    <row r="176" ht="27" customHeight="1" spans="1:12" s="12" customFormat="1" x14ac:dyDescent="0.25">
      <c r="A176" s="26" t="s">
        <v>4793</v>
      </c>
      <c r="B176" s="11" t="s">
        <v>4794</v>
      </c>
      <c r="C176" s="11" t="s">
        <v>100</v>
      </c>
      <c r="D176" s="11" t="s">
        <v>4552</v>
      </c>
      <c r="E176" s="11" t="s">
        <v>4186</v>
      </c>
      <c r="F176" s="11" t="s">
        <v>84</v>
      </c>
      <c r="G176" s="11" t="s">
        <v>4776</v>
      </c>
      <c r="H176" s="11" t="s">
        <v>4776</v>
      </c>
      <c r="I176" s="11" t="s">
        <v>142</v>
      </c>
      <c r="J176" s="11" t="s">
        <v>4795</v>
      </c>
      <c r="K176" s="11" t="s">
        <v>4217</v>
      </c>
      <c r="L176" s="11" t="s">
        <v>4796</v>
      </c>
    </row>
    <row r="177" ht="39" customHeight="1" spans="1:12" s="12" customFormat="1" x14ac:dyDescent="0.25">
      <c r="A177" s="26" t="s">
        <v>4797</v>
      </c>
      <c r="B177" s="11" t="s">
        <v>4798</v>
      </c>
      <c r="C177" s="11" t="s">
        <v>100</v>
      </c>
      <c r="D177" s="11" t="s">
        <v>4215</v>
      </c>
      <c r="E177" s="11" t="s">
        <v>4186</v>
      </c>
      <c r="F177" s="11" t="s">
        <v>83</v>
      </c>
      <c r="G177" s="11" t="s">
        <v>4776</v>
      </c>
      <c r="H177" s="11" t="s">
        <v>4776</v>
      </c>
      <c r="I177" s="11" t="s">
        <v>142</v>
      </c>
      <c r="J177" s="11" t="s">
        <v>142</v>
      </c>
      <c r="K177" s="11" t="s">
        <v>142</v>
      </c>
      <c r="L177" s="11" t="s">
        <v>4799</v>
      </c>
    </row>
    <row r="178" ht="27" customHeight="1" spans="1:12" s="12" customFormat="1" x14ac:dyDescent="0.25">
      <c r="A178" s="26" t="s">
        <v>4800</v>
      </c>
      <c r="B178" s="11" t="s">
        <v>4798</v>
      </c>
      <c r="C178" s="11" t="s">
        <v>100</v>
      </c>
      <c r="D178" s="11" t="s">
        <v>4801</v>
      </c>
      <c r="E178" s="11" t="s">
        <v>4186</v>
      </c>
      <c r="F178" s="11" t="s">
        <v>84</v>
      </c>
      <c r="G178" s="11" t="s">
        <v>4776</v>
      </c>
      <c r="H178" s="11" t="s">
        <v>4776</v>
      </c>
      <c r="I178" s="11" t="s">
        <v>142</v>
      </c>
      <c r="J178" s="11" t="s">
        <v>1402</v>
      </c>
      <c r="K178" s="11" t="s">
        <v>4217</v>
      </c>
      <c r="L178" s="11" t="s">
        <v>4802</v>
      </c>
    </row>
    <row r="179" ht="27" customHeight="1" spans="1:12" s="12" customFormat="1" x14ac:dyDescent="0.25">
      <c r="A179" s="26" t="s">
        <v>4803</v>
      </c>
      <c r="B179" s="11" t="s">
        <v>4804</v>
      </c>
      <c r="C179" s="11" t="s">
        <v>90</v>
      </c>
      <c r="D179" s="11" t="s">
        <v>4801</v>
      </c>
      <c r="E179" s="11" t="s">
        <v>4186</v>
      </c>
      <c r="F179" s="11" t="s">
        <v>84</v>
      </c>
      <c r="G179" s="11" t="s">
        <v>4776</v>
      </c>
      <c r="H179" s="11" t="s">
        <v>4776</v>
      </c>
      <c r="I179" s="11" t="s">
        <v>1402</v>
      </c>
      <c r="J179" s="11" t="s">
        <v>142</v>
      </c>
      <c r="K179" s="11" t="s">
        <v>4660</v>
      </c>
      <c r="L179" s="11" t="s">
        <v>4805</v>
      </c>
    </row>
    <row r="180" ht="27" customHeight="1" spans="1:12" s="12" customFormat="1" x14ac:dyDescent="0.25">
      <c r="A180" s="26" t="s">
        <v>4806</v>
      </c>
      <c r="B180" s="11" t="s">
        <v>4807</v>
      </c>
      <c r="C180" s="11" t="s">
        <v>100</v>
      </c>
      <c r="D180" s="11" t="s">
        <v>4808</v>
      </c>
      <c r="E180" s="11" t="s">
        <v>4186</v>
      </c>
      <c r="F180" s="11" t="s">
        <v>84</v>
      </c>
      <c r="G180" s="11" t="s">
        <v>4776</v>
      </c>
      <c r="H180" s="11" t="s">
        <v>4776</v>
      </c>
      <c r="I180" s="11" t="s">
        <v>142</v>
      </c>
      <c r="J180" s="11" t="s">
        <v>4809</v>
      </c>
      <c r="K180" s="11" t="s">
        <v>4217</v>
      </c>
      <c r="L180" s="11" t="s">
        <v>4810</v>
      </c>
    </row>
    <row r="181" ht="39" customHeight="1" spans="1:12" s="12" customFormat="1" x14ac:dyDescent="0.25">
      <c r="A181" s="26" t="s">
        <v>4811</v>
      </c>
      <c r="B181" s="11" t="s">
        <v>4812</v>
      </c>
      <c r="C181" s="11" t="s">
        <v>100</v>
      </c>
      <c r="D181" s="11" t="s">
        <v>4813</v>
      </c>
      <c r="E181" s="11" t="s">
        <v>4186</v>
      </c>
      <c r="F181" s="11" t="s">
        <v>83</v>
      </c>
      <c r="G181" s="11" t="s">
        <v>4776</v>
      </c>
      <c r="H181" s="11" t="s">
        <v>4776</v>
      </c>
      <c r="I181" s="11" t="s">
        <v>142</v>
      </c>
      <c r="J181" s="11" t="s">
        <v>142</v>
      </c>
      <c r="K181" s="11" t="s">
        <v>4814</v>
      </c>
      <c r="L181" s="11" t="s">
        <v>4815</v>
      </c>
    </row>
    <row r="182" ht="27" customHeight="1" spans="1:12" s="12" customFormat="1" x14ac:dyDescent="0.25">
      <c r="A182" s="26" t="s">
        <v>4816</v>
      </c>
      <c r="B182" s="11" t="s">
        <v>4817</v>
      </c>
      <c r="C182" s="11" t="s">
        <v>90</v>
      </c>
      <c r="D182" s="11" t="s">
        <v>4788</v>
      </c>
      <c r="E182" s="11" t="s">
        <v>4201</v>
      </c>
      <c r="F182" s="11" t="s">
        <v>84</v>
      </c>
      <c r="G182" s="11" t="s">
        <v>4776</v>
      </c>
      <c r="H182" s="11" t="s">
        <v>4776</v>
      </c>
      <c r="I182" s="11" t="s">
        <v>225</v>
      </c>
      <c r="J182" s="11" t="s">
        <v>142</v>
      </c>
      <c r="K182" s="11" t="s">
        <v>4660</v>
      </c>
      <c r="L182" s="11"/>
    </row>
    <row r="183" ht="27" customHeight="1" spans="1:12" s="12" customFormat="1" x14ac:dyDescent="0.25">
      <c r="A183" s="26" t="s">
        <v>4818</v>
      </c>
      <c r="B183" s="11" t="s">
        <v>4819</v>
      </c>
      <c r="C183" s="11" t="s">
        <v>90</v>
      </c>
      <c r="D183" s="11" t="s">
        <v>4780</v>
      </c>
      <c r="E183" s="11" t="s">
        <v>4201</v>
      </c>
      <c r="F183" s="11" t="s">
        <v>84</v>
      </c>
      <c r="G183" s="11" t="s">
        <v>4776</v>
      </c>
      <c r="H183" s="11" t="s">
        <v>4776</v>
      </c>
      <c r="I183" s="11" t="s">
        <v>1442</v>
      </c>
      <c r="J183" s="11" t="s">
        <v>142</v>
      </c>
      <c r="K183" s="11" t="s">
        <v>4660</v>
      </c>
      <c r="L183" s="11"/>
    </row>
    <row r="184" ht="27" customHeight="1" spans="1:12" s="12" customFormat="1" x14ac:dyDescent="0.25">
      <c r="A184" s="26" t="s">
        <v>4820</v>
      </c>
      <c r="B184" s="11" t="s">
        <v>4821</v>
      </c>
      <c r="C184" s="11" t="s">
        <v>90</v>
      </c>
      <c r="D184" s="11" t="s">
        <v>4552</v>
      </c>
      <c r="E184" s="11" t="s">
        <v>4186</v>
      </c>
      <c r="F184" s="11" t="s">
        <v>84</v>
      </c>
      <c r="G184" s="11" t="s">
        <v>4776</v>
      </c>
      <c r="H184" s="11" t="s">
        <v>4822</v>
      </c>
      <c r="I184" s="11" t="s">
        <v>4795</v>
      </c>
      <c r="J184" s="11" t="s">
        <v>142</v>
      </c>
      <c r="K184" s="11" t="s">
        <v>4660</v>
      </c>
      <c r="L184" s="11" t="s">
        <v>4823</v>
      </c>
    </row>
    <row r="185" ht="27" customHeight="1" spans="1:12" s="12" customFormat="1" x14ac:dyDescent="0.25">
      <c r="A185" s="26" t="s">
        <v>4824</v>
      </c>
      <c r="B185" s="11" t="s">
        <v>4825</v>
      </c>
      <c r="C185" s="11" t="s">
        <v>93</v>
      </c>
      <c r="D185" s="11" t="s">
        <v>4788</v>
      </c>
      <c r="E185" s="11" t="s">
        <v>4201</v>
      </c>
      <c r="F185" s="11" t="s">
        <v>84</v>
      </c>
      <c r="G185" s="11" t="s">
        <v>4776</v>
      </c>
      <c r="H185" s="11" t="s">
        <v>4826</v>
      </c>
      <c r="I185" s="11" t="s">
        <v>4827</v>
      </c>
      <c r="J185" s="11" t="s">
        <v>1471</v>
      </c>
      <c r="K185" s="11" t="s">
        <v>4828</v>
      </c>
      <c r="L185" s="11" t="s">
        <v>4829</v>
      </c>
    </row>
    <row r="186" ht="27" customHeight="1" spans="1:12" s="12" customFormat="1" x14ac:dyDescent="0.25">
      <c r="A186" s="26" t="s">
        <v>4830</v>
      </c>
      <c r="B186" s="11" t="s">
        <v>4831</v>
      </c>
      <c r="C186" s="11" t="s">
        <v>100</v>
      </c>
      <c r="D186" s="11" t="s">
        <v>4215</v>
      </c>
      <c r="E186" s="11" t="s">
        <v>4186</v>
      </c>
      <c r="F186" s="11" t="s">
        <v>84</v>
      </c>
      <c r="G186" s="11" t="s">
        <v>4826</v>
      </c>
      <c r="H186" s="11" t="s">
        <v>4826</v>
      </c>
      <c r="I186" s="11" t="s">
        <v>142</v>
      </c>
      <c r="J186" s="11" t="s">
        <v>1471</v>
      </c>
      <c r="K186" s="11" t="s">
        <v>4217</v>
      </c>
      <c r="L186" s="11" t="s">
        <v>4832</v>
      </c>
    </row>
    <row r="187" ht="27" customHeight="1" spans="1:12" s="12" customFormat="1" x14ac:dyDescent="0.25">
      <c r="A187" s="26" t="s">
        <v>4833</v>
      </c>
      <c r="B187" s="11" t="s">
        <v>4834</v>
      </c>
      <c r="C187" s="11" t="s">
        <v>90</v>
      </c>
      <c r="D187" s="11" t="s">
        <v>4771</v>
      </c>
      <c r="E187" s="11" t="s">
        <v>4201</v>
      </c>
      <c r="F187" s="11" t="s">
        <v>84</v>
      </c>
      <c r="G187" s="11" t="s">
        <v>4826</v>
      </c>
      <c r="H187" s="11" t="s">
        <v>4826</v>
      </c>
      <c r="I187" s="11" t="s">
        <v>1402</v>
      </c>
      <c r="J187" s="11" t="s">
        <v>142</v>
      </c>
      <c r="K187" s="11" t="s">
        <v>4660</v>
      </c>
      <c r="L187" s="11"/>
    </row>
    <row r="188" ht="27" customHeight="1" spans="1:12" s="12" customFormat="1" x14ac:dyDescent="0.25">
      <c r="A188" s="26" t="s">
        <v>4835</v>
      </c>
      <c r="B188" s="11" t="s">
        <v>4836</v>
      </c>
      <c r="C188" s="11" t="s">
        <v>88</v>
      </c>
      <c r="D188" s="11" t="s">
        <v>4837</v>
      </c>
      <c r="E188" s="11" t="s">
        <v>4201</v>
      </c>
      <c r="F188" s="11" t="s">
        <v>84</v>
      </c>
      <c r="G188" s="11" t="s">
        <v>4826</v>
      </c>
      <c r="H188" s="11" t="s">
        <v>4826</v>
      </c>
      <c r="I188" s="11" t="s">
        <v>142</v>
      </c>
      <c r="J188" s="11" t="s">
        <v>142</v>
      </c>
      <c r="K188" s="11" t="s">
        <v>4838</v>
      </c>
      <c r="L188" s="11" t="s">
        <v>4839</v>
      </c>
    </row>
    <row r="189" ht="27" customHeight="1" spans="1:12" s="12" customFormat="1" x14ac:dyDescent="0.25">
      <c r="A189" s="26" t="s">
        <v>4840</v>
      </c>
      <c r="B189" s="11" t="s">
        <v>4841</v>
      </c>
      <c r="C189" s="11" t="s">
        <v>90</v>
      </c>
      <c r="D189" s="11" t="s">
        <v>4842</v>
      </c>
      <c r="E189" s="11" t="s">
        <v>4186</v>
      </c>
      <c r="F189" s="11" t="s">
        <v>84</v>
      </c>
      <c r="G189" s="11" t="s">
        <v>4843</v>
      </c>
      <c r="H189" s="11" t="s">
        <v>4822</v>
      </c>
      <c r="I189" s="11" t="s">
        <v>142</v>
      </c>
      <c r="J189" s="11" t="s">
        <v>142</v>
      </c>
      <c r="K189" s="11" t="s">
        <v>4660</v>
      </c>
      <c r="L189" s="11" t="s">
        <v>4844</v>
      </c>
    </row>
    <row r="190" ht="27" customHeight="1" spans="1:12" s="12" customFormat="1" x14ac:dyDescent="0.25">
      <c r="A190" s="26" t="s">
        <v>4845</v>
      </c>
      <c r="B190" s="11" t="s">
        <v>4846</v>
      </c>
      <c r="C190" s="11" t="s">
        <v>90</v>
      </c>
      <c r="D190" s="11" t="s">
        <v>4847</v>
      </c>
      <c r="E190" s="11" t="s">
        <v>4186</v>
      </c>
      <c r="F190" s="11" t="s">
        <v>85</v>
      </c>
      <c r="G190" s="11" t="s">
        <v>4843</v>
      </c>
      <c r="H190" s="11" t="s">
        <v>142</v>
      </c>
      <c r="I190" s="11" t="s">
        <v>142</v>
      </c>
      <c r="J190" s="11" t="s">
        <v>142</v>
      </c>
      <c r="K190" s="11" t="s">
        <v>4660</v>
      </c>
      <c r="L190" s="11" t="s">
        <v>4848</v>
      </c>
    </row>
    <row r="191" ht="63" customHeight="1" spans="1:12" s="12" customFormat="1" x14ac:dyDescent="0.25">
      <c r="A191" s="26" t="s">
        <v>4849</v>
      </c>
      <c r="B191" s="11" t="s">
        <v>4850</v>
      </c>
      <c r="C191" s="11" t="s">
        <v>91</v>
      </c>
      <c r="D191" s="11" t="s">
        <v>4851</v>
      </c>
      <c r="E191" s="11" t="s">
        <v>4201</v>
      </c>
      <c r="F191" s="11" t="s">
        <v>84</v>
      </c>
      <c r="G191" s="11" t="s">
        <v>4843</v>
      </c>
      <c r="H191" s="11" t="s">
        <v>4843</v>
      </c>
      <c r="I191" s="11" t="s">
        <v>4852</v>
      </c>
      <c r="J191" s="11" t="s">
        <v>142</v>
      </c>
      <c r="K191" s="11" t="s">
        <v>1498</v>
      </c>
      <c r="L191" s="11" t="s">
        <v>4853</v>
      </c>
    </row>
    <row r="192" ht="27" customHeight="1" spans="1:12" s="12" customFormat="1" x14ac:dyDescent="0.25">
      <c r="A192" s="26" t="s">
        <v>4854</v>
      </c>
      <c r="B192" s="11" t="s">
        <v>4855</v>
      </c>
      <c r="C192" s="11" t="s">
        <v>98</v>
      </c>
      <c r="D192" s="11" t="s">
        <v>4788</v>
      </c>
      <c r="E192" s="11" t="s">
        <v>4201</v>
      </c>
      <c r="F192" s="11" t="s">
        <v>84</v>
      </c>
      <c r="G192" s="11" t="s">
        <v>4843</v>
      </c>
      <c r="H192" s="11" t="s">
        <v>4822</v>
      </c>
      <c r="I192" s="11" t="s">
        <v>225</v>
      </c>
      <c r="J192" s="11" t="s">
        <v>142</v>
      </c>
      <c r="K192" s="11" t="s">
        <v>4856</v>
      </c>
      <c r="L192" s="11" t="s">
        <v>4857</v>
      </c>
    </row>
    <row r="193" ht="27" customHeight="1" spans="1:12" s="12" customFormat="1" x14ac:dyDescent="0.25">
      <c r="A193" s="26" t="s">
        <v>4858</v>
      </c>
      <c r="B193" s="11" t="s">
        <v>4859</v>
      </c>
      <c r="C193" s="11" t="s">
        <v>93</v>
      </c>
      <c r="D193" s="11" t="s">
        <v>4851</v>
      </c>
      <c r="E193" s="11" t="s">
        <v>4201</v>
      </c>
      <c r="F193" s="11" t="s">
        <v>84</v>
      </c>
      <c r="G193" s="11" t="s">
        <v>4843</v>
      </c>
      <c r="H193" s="11" t="s">
        <v>4843</v>
      </c>
      <c r="I193" s="11" t="s">
        <v>4860</v>
      </c>
      <c r="J193" s="11" t="s">
        <v>142</v>
      </c>
      <c r="K193" s="11" t="s">
        <v>1498</v>
      </c>
      <c r="L193" s="11"/>
    </row>
    <row r="194" ht="27" customHeight="1" spans="1:12" s="12" customFormat="1" x14ac:dyDescent="0.25">
      <c r="A194" s="26" t="s">
        <v>4861</v>
      </c>
      <c r="B194" s="11" t="s">
        <v>4862</v>
      </c>
      <c r="C194" s="11" t="s">
        <v>93</v>
      </c>
      <c r="D194" s="11" t="s">
        <v>4851</v>
      </c>
      <c r="E194" s="11" t="s">
        <v>4201</v>
      </c>
      <c r="F194" s="11" t="s">
        <v>84</v>
      </c>
      <c r="G194" s="11" t="s">
        <v>4843</v>
      </c>
      <c r="H194" s="11" t="s">
        <v>4843</v>
      </c>
      <c r="I194" s="11" t="s">
        <v>3941</v>
      </c>
      <c r="J194" s="11" t="s">
        <v>142</v>
      </c>
      <c r="K194" s="11" t="s">
        <v>1498</v>
      </c>
      <c r="L194" s="11"/>
    </row>
    <row r="195" ht="147" customHeight="1" spans="1:12" s="12" customFormat="1" x14ac:dyDescent="0.25">
      <c r="A195" s="26" t="s">
        <v>4863</v>
      </c>
      <c r="B195" s="11" t="s">
        <v>4864</v>
      </c>
      <c r="C195" s="11" t="s">
        <v>100</v>
      </c>
      <c r="D195" s="11" t="s">
        <v>4215</v>
      </c>
      <c r="E195" s="11" t="s">
        <v>4186</v>
      </c>
      <c r="F195" s="11" t="s">
        <v>84</v>
      </c>
      <c r="G195" s="11" t="s">
        <v>4843</v>
      </c>
      <c r="H195" s="11" t="s">
        <v>4843</v>
      </c>
      <c r="I195" s="11" t="s">
        <v>142</v>
      </c>
      <c r="J195" s="11" t="s">
        <v>4865</v>
      </c>
      <c r="K195" s="11" t="s">
        <v>4217</v>
      </c>
      <c r="L195" s="11" t="s">
        <v>4866</v>
      </c>
    </row>
    <row r="196" ht="27" customHeight="1" spans="1:12" s="12" customFormat="1" x14ac:dyDescent="0.25">
      <c r="A196" s="26" t="s">
        <v>4867</v>
      </c>
      <c r="B196" s="11" t="s">
        <v>4868</v>
      </c>
      <c r="C196" s="11" t="s">
        <v>90</v>
      </c>
      <c r="D196" s="11" t="s">
        <v>4851</v>
      </c>
      <c r="E196" s="11" t="s">
        <v>4201</v>
      </c>
      <c r="F196" s="11" t="s">
        <v>84</v>
      </c>
      <c r="G196" s="11" t="s">
        <v>4843</v>
      </c>
      <c r="H196" s="11" t="s">
        <v>4843</v>
      </c>
      <c r="I196" s="11" t="s">
        <v>1644</v>
      </c>
      <c r="J196" s="11" t="s">
        <v>142</v>
      </c>
      <c r="K196" s="11" t="s">
        <v>4869</v>
      </c>
      <c r="L196" s="11" t="s">
        <v>4870</v>
      </c>
    </row>
    <row r="197" ht="27" customHeight="1" spans="1:12" s="12" customFormat="1" x14ac:dyDescent="0.25">
      <c r="A197" s="26" t="s">
        <v>4871</v>
      </c>
      <c r="B197" s="11" t="s">
        <v>4872</v>
      </c>
      <c r="C197" s="11" t="s">
        <v>100</v>
      </c>
      <c r="D197" s="11" t="s">
        <v>4215</v>
      </c>
      <c r="E197" s="11" t="s">
        <v>4186</v>
      </c>
      <c r="F197" s="11" t="s">
        <v>84</v>
      </c>
      <c r="G197" s="11" t="s">
        <v>4843</v>
      </c>
      <c r="H197" s="11" t="s">
        <v>4843</v>
      </c>
      <c r="I197" s="11" t="s">
        <v>142</v>
      </c>
      <c r="J197" s="11" t="s">
        <v>142</v>
      </c>
      <c r="K197" s="11" t="s">
        <v>4217</v>
      </c>
      <c r="L197" s="11" t="s">
        <v>4563</v>
      </c>
    </row>
    <row r="198" ht="27" customHeight="1" spans="1:12" s="12" customFormat="1" x14ac:dyDescent="0.25">
      <c r="A198" s="26" t="s">
        <v>4873</v>
      </c>
      <c r="B198" s="11" t="s">
        <v>4874</v>
      </c>
      <c r="C198" s="11" t="s">
        <v>90</v>
      </c>
      <c r="D198" s="11" t="s">
        <v>4851</v>
      </c>
      <c r="E198" s="11" t="s">
        <v>4201</v>
      </c>
      <c r="F198" s="11" t="s">
        <v>84</v>
      </c>
      <c r="G198" s="11" t="s">
        <v>4822</v>
      </c>
      <c r="H198" s="11" t="s">
        <v>4822</v>
      </c>
      <c r="I198" s="11" t="s">
        <v>1556</v>
      </c>
      <c r="J198" s="11" t="s">
        <v>142</v>
      </c>
      <c r="K198" s="11" t="s">
        <v>4856</v>
      </c>
      <c r="L198" s="11" t="s">
        <v>4875</v>
      </c>
    </row>
    <row r="199" ht="27" customHeight="1" spans="1:12" s="12" customFormat="1" x14ac:dyDescent="0.25">
      <c r="A199" s="26" t="s">
        <v>4876</v>
      </c>
      <c r="B199" s="11" t="s">
        <v>4877</v>
      </c>
      <c r="C199" s="11" t="s">
        <v>100</v>
      </c>
      <c r="D199" s="11" t="s">
        <v>4215</v>
      </c>
      <c r="E199" s="11" t="s">
        <v>4186</v>
      </c>
      <c r="F199" s="11" t="s">
        <v>84</v>
      </c>
      <c r="G199" s="11" t="s">
        <v>4822</v>
      </c>
      <c r="H199" s="11" t="s">
        <v>4822</v>
      </c>
      <c r="I199" s="11" t="s">
        <v>142</v>
      </c>
      <c r="J199" s="11" t="s">
        <v>142</v>
      </c>
      <c r="K199" s="11" t="s">
        <v>4217</v>
      </c>
      <c r="L199" s="11" t="s">
        <v>4878</v>
      </c>
    </row>
    <row r="200" ht="27" customHeight="1" spans="1:12" s="12" customFormat="1" x14ac:dyDescent="0.25">
      <c r="A200" s="26" t="s">
        <v>4879</v>
      </c>
      <c r="B200" s="11" t="s">
        <v>4880</v>
      </c>
      <c r="C200" s="11" t="s">
        <v>98</v>
      </c>
      <c r="D200" s="11" t="s">
        <v>4788</v>
      </c>
      <c r="E200" s="11" t="s">
        <v>4201</v>
      </c>
      <c r="F200" s="11" t="s">
        <v>84</v>
      </c>
      <c r="G200" s="11" t="s">
        <v>4822</v>
      </c>
      <c r="H200" s="11" t="s">
        <v>4822</v>
      </c>
      <c r="I200" s="11" t="s">
        <v>225</v>
      </c>
      <c r="J200" s="11" t="s">
        <v>142</v>
      </c>
      <c r="K200" s="11" t="s">
        <v>4856</v>
      </c>
      <c r="L200" s="11"/>
    </row>
    <row r="201" ht="27" customHeight="1" spans="1:12" s="12" customFormat="1" x14ac:dyDescent="0.25">
      <c r="A201" s="26" t="s">
        <v>4881</v>
      </c>
      <c r="B201" s="11" t="s">
        <v>4882</v>
      </c>
      <c r="C201" s="11" t="s">
        <v>91</v>
      </c>
      <c r="D201" s="11" t="s">
        <v>4766</v>
      </c>
      <c r="E201" s="11" t="s">
        <v>4201</v>
      </c>
      <c r="F201" s="11" t="s">
        <v>84</v>
      </c>
      <c r="G201" s="11" t="s">
        <v>4822</v>
      </c>
      <c r="H201" s="11" t="s">
        <v>4822</v>
      </c>
      <c r="I201" s="11" t="s">
        <v>4883</v>
      </c>
      <c r="J201" s="11" t="s">
        <v>142</v>
      </c>
      <c r="K201" s="11" t="s">
        <v>4884</v>
      </c>
      <c r="L201" s="11" t="s">
        <v>4885</v>
      </c>
    </row>
    <row r="202" ht="27" customHeight="1" spans="1:12" s="12" customFormat="1" x14ac:dyDescent="0.25">
      <c r="A202" s="26" t="s">
        <v>4886</v>
      </c>
      <c r="B202" s="11" t="s">
        <v>4887</v>
      </c>
      <c r="C202" s="11" t="s">
        <v>88</v>
      </c>
      <c r="D202" s="11" t="s">
        <v>4788</v>
      </c>
      <c r="E202" s="11" t="s">
        <v>4201</v>
      </c>
      <c r="F202" s="11" t="s">
        <v>84</v>
      </c>
      <c r="G202" s="11" t="s">
        <v>4822</v>
      </c>
      <c r="H202" s="11" t="s">
        <v>4822</v>
      </c>
      <c r="I202" s="11" t="s">
        <v>142</v>
      </c>
      <c r="J202" s="11" t="s">
        <v>142</v>
      </c>
      <c r="K202" s="11" t="s">
        <v>4838</v>
      </c>
      <c r="L202" s="11"/>
    </row>
    <row r="203" ht="27" customHeight="1" spans="1:12" s="12" customFormat="1" x14ac:dyDescent="0.25">
      <c r="A203" s="26" t="s">
        <v>4888</v>
      </c>
      <c r="B203" s="11" t="s">
        <v>4889</v>
      </c>
      <c r="C203" s="11" t="s">
        <v>98</v>
      </c>
      <c r="D203" s="11" t="s">
        <v>4788</v>
      </c>
      <c r="E203" s="11" t="s">
        <v>4201</v>
      </c>
      <c r="F203" s="11" t="s">
        <v>84</v>
      </c>
      <c r="G203" s="11" t="s">
        <v>4822</v>
      </c>
      <c r="H203" s="11" t="s">
        <v>4822</v>
      </c>
      <c r="I203" s="11" t="s">
        <v>1644</v>
      </c>
      <c r="J203" s="11" t="s">
        <v>142</v>
      </c>
      <c r="K203" s="11" t="s">
        <v>4890</v>
      </c>
      <c r="L203" s="11" t="s">
        <v>4891</v>
      </c>
    </row>
    <row r="204" ht="27" customHeight="1" spans="1:12" s="12" customFormat="1" x14ac:dyDescent="0.25">
      <c r="A204" s="26" t="s">
        <v>4892</v>
      </c>
      <c r="B204" s="11" t="s">
        <v>4893</v>
      </c>
      <c r="C204" s="11" t="s">
        <v>98</v>
      </c>
      <c r="D204" s="11" t="s">
        <v>4788</v>
      </c>
      <c r="E204" s="11" t="s">
        <v>4201</v>
      </c>
      <c r="F204" s="11" t="s">
        <v>84</v>
      </c>
      <c r="G204" s="11" t="s">
        <v>4822</v>
      </c>
      <c r="H204" s="11" t="s">
        <v>4822</v>
      </c>
      <c r="I204" s="11" t="s">
        <v>1644</v>
      </c>
      <c r="J204" s="11" t="s">
        <v>142</v>
      </c>
      <c r="K204" s="11" t="s">
        <v>4894</v>
      </c>
      <c r="L204" s="11"/>
    </row>
    <row r="205" ht="27" customHeight="1" spans="1:12" s="12" customFormat="1" x14ac:dyDescent="0.25">
      <c r="A205" s="26" t="s">
        <v>4895</v>
      </c>
      <c r="B205" s="11" t="s">
        <v>4896</v>
      </c>
      <c r="C205" s="11" t="s">
        <v>91</v>
      </c>
      <c r="D205" s="11" t="s">
        <v>4851</v>
      </c>
      <c r="E205" s="11" t="s">
        <v>4201</v>
      </c>
      <c r="F205" s="11" t="s">
        <v>84</v>
      </c>
      <c r="G205" s="11" t="s">
        <v>4822</v>
      </c>
      <c r="H205" s="11" t="s">
        <v>4822</v>
      </c>
      <c r="I205" s="11" t="s">
        <v>1595</v>
      </c>
      <c r="J205" s="11" t="s">
        <v>142</v>
      </c>
      <c r="K205" s="11" t="s">
        <v>4897</v>
      </c>
      <c r="L205" s="11" t="s">
        <v>4898</v>
      </c>
    </row>
    <row r="206" ht="27" customHeight="1" spans="1:12" s="12" customFormat="1" x14ac:dyDescent="0.25">
      <c r="A206" s="26" t="s">
        <v>4899</v>
      </c>
      <c r="B206" s="11" t="s">
        <v>4900</v>
      </c>
      <c r="C206" s="11" t="s">
        <v>100</v>
      </c>
      <c r="D206" s="11" t="s">
        <v>4215</v>
      </c>
      <c r="E206" s="11" t="s">
        <v>4186</v>
      </c>
      <c r="F206" s="11" t="s">
        <v>84</v>
      </c>
      <c r="G206" s="11" t="s">
        <v>4822</v>
      </c>
      <c r="H206" s="11" t="s">
        <v>4822</v>
      </c>
      <c r="I206" s="11" t="s">
        <v>142</v>
      </c>
      <c r="J206" s="11" t="s">
        <v>1644</v>
      </c>
      <c r="K206" s="11" t="s">
        <v>4217</v>
      </c>
      <c r="L206" s="11" t="s">
        <v>4901</v>
      </c>
    </row>
    <row r="207" ht="27" customHeight="1" spans="1:12" s="12" customFormat="1" x14ac:dyDescent="0.25">
      <c r="A207" s="26" t="s">
        <v>4902</v>
      </c>
      <c r="B207" s="11" t="s">
        <v>4903</v>
      </c>
      <c r="C207" s="11" t="s">
        <v>88</v>
      </c>
      <c r="D207" s="11" t="s">
        <v>4788</v>
      </c>
      <c r="E207" s="11" t="s">
        <v>4201</v>
      </c>
      <c r="F207" s="11" t="s">
        <v>84</v>
      </c>
      <c r="G207" s="11" t="s">
        <v>4822</v>
      </c>
      <c r="H207" s="11" t="s">
        <v>4822</v>
      </c>
      <c r="I207" s="11" t="s">
        <v>142</v>
      </c>
      <c r="J207" s="11" t="s">
        <v>142</v>
      </c>
      <c r="K207" s="11" t="s">
        <v>4838</v>
      </c>
      <c r="L207" s="11"/>
    </row>
    <row r="208" ht="27" customHeight="1" spans="1:12" s="12" customFormat="1" x14ac:dyDescent="0.25">
      <c r="A208" s="26" t="s">
        <v>4904</v>
      </c>
      <c r="B208" s="11" t="s">
        <v>4905</v>
      </c>
      <c r="C208" s="11" t="s">
        <v>100</v>
      </c>
      <c r="D208" s="11" t="s">
        <v>4552</v>
      </c>
      <c r="E208" s="11" t="s">
        <v>4186</v>
      </c>
      <c r="F208" s="11" t="s">
        <v>84</v>
      </c>
      <c r="G208" s="11" t="s">
        <v>4822</v>
      </c>
      <c r="H208" s="11" t="s">
        <v>4822</v>
      </c>
      <c r="I208" s="11" t="s">
        <v>142</v>
      </c>
      <c r="J208" s="11" t="s">
        <v>4883</v>
      </c>
      <c r="K208" s="11" t="s">
        <v>4217</v>
      </c>
      <c r="L208" s="11" t="s">
        <v>4906</v>
      </c>
    </row>
    <row r="209" ht="27" customHeight="1" spans="1:12" s="12" customFormat="1" x14ac:dyDescent="0.25">
      <c r="A209" s="26" t="s">
        <v>4907</v>
      </c>
      <c r="B209" s="11" t="s">
        <v>4908</v>
      </c>
      <c r="C209" s="11" t="s">
        <v>94</v>
      </c>
      <c r="D209" s="11" t="s">
        <v>4851</v>
      </c>
      <c r="E209" s="11" t="s">
        <v>4201</v>
      </c>
      <c r="F209" s="11" t="s">
        <v>84</v>
      </c>
      <c r="G209" s="11" t="s">
        <v>4822</v>
      </c>
      <c r="H209" s="11" t="s">
        <v>4822</v>
      </c>
      <c r="I209" s="11" t="s">
        <v>1595</v>
      </c>
      <c r="J209" s="11" t="s">
        <v>142</v>
      </c>
      <c r="K209" s="11" t="s">
        <v>4897</v>
      </c>
      <c r="L209" s="11"/>
    </row>
    <row r="210" ht="27" customHeight="1" spans="1:12" s="12" customFormat="1" x14ac:dyDescent="0.25">
      <c r="A210" s="26" t="s">
        <v>4909</v>
      </c>
      <c r="B210" s="11" t="s">
        <v>4910</v>
      </c>
      <c r="C210" s="11" t="s">
        <v>93</v>
      </c>
      <c r="D210" s="11" t="s">
        <v>4911</v>
      </c>
      <c r="E210" s="11" t="s">
        <v>4201</v>
      </c>
      <c r="F210" s="11" t="s">
        <v>84</v>
      </c>
      <c r="G210" s="11" t="s">
        <v>4822</v>
      </c>
      <c r="H210" s="11" t="s">
        <v>4822</v>
      </c>
      <c r="I210" s="11" t="s">
        <v>1836</v>
      </c>
      <c r="J210" s="11" t="s">
        <v>142</v>
      </c>
      <c r="K210" s="11" t="s">
        <v>4897</v>
      </c>
      <c r="L210" s="11" t="s">
        <v>4912</v>
      </c>
    </row>
    <row r="211" ht="27" customHeight="1" spans="1:12" s="12" customFormat="1" x14ac:dyDescent="0.25">
      <c r="A211" s="26" t="s">
        <v>4913</v>
      </c>
      <c r="B211" s="11" t="s">
        <v>4914</v>
      </c>
      <c r="C211" s="11" t="s">
        <v>100</v>
      </c>
      <c r="D211" s="11" t="s">
        <v>4215</v>
      </c>
      <c r="E211" s="11" t="s">
        <v>4186</v>
      </c>
      <c r="F211" s="11" t="s">
        <v>84</v>
      </c>
      <c r="G211" s="11" t="s">
        <v>4822</v>
      </c>
      <c r="H211" s="11" t="s">
        <v>4822</v>
      </c>
      <c r="I211" s="11" t="s">
        <v>142</v>
      </c>
      <c r="J211" s="11" t="s">
        <v>4915</v>
      </c>
      <c r="K211" s="11" t="s">
        <v>4217</v>
      </c>
      <c r="L211" s="11" t="s">
        <v>4916</v>
      </c>
    </row>
    <row r="212" ht="27" customHeight="1" spans="1:12" s="12" customFormat="1" x14ac:dyDescent="0.25">
      <c r="A212" s="26" t="s">
        <v>4917</v>
      </c>
      <c r="B212" s="11" t="s">
        <v>4918</v>
      </c>
      <c r="C212" s="11" t="s">
        <v>93</v>
      </c>
      <c r="D212" s="11" t="s">
        <v>4851</v>
      </c>
      <c r="E212" s="11" t="s">
        <v>4201</v>
      </c>
      <c r="F212" s="11" t="s">
        <v>84</v>
      </c>
      <c r="G212" s="11" t="s">
        <v>4822</v>
      </c>
      <c r="H212" s="11" t="s">
        <v>4822</v>
      </c>
      <c r="I212" s="11" t="s">
        <v>1595</v>
      </c>
      <c r="J212" s="11" t="s">
        <v>142</v>
      </c>
      <c r="K212" s="11" t="s">
        <v>4919</v>
      </c>
      <c r="L212" s="11"/>
    </row>
    <row r="213" ht="27" customHeight="1" spans="1:12" s="12" customFormat="1" x14ac:dyDescent="0.25">
      <c r="A213" s="26" t="s">
        <v>4920</v>
      </c>
      <c r="B213" s="11" t="s">
        <v>4921</v>
      </c>
      <c r="C213" s="11" t="s">
        <v>93</v>
      </c>
      <c r="D213" s="11" t="s">
        <v>4911</v>
      </c>
      <c r="E213" s="11" t="s">
        <v>4201</v>
      </c>
      <c r="F213" s="11" t="s">
        <v>83</v>
      </c>
      <c r="G213" s="11" t="s">
        <v>4822</v>
      </c>
      <c r="H213" s="11" t="s">
        <v>4822</v>
      </c>
      <c r="I213" s="11" t="s">
        <v>1595</v>
      </c>
      <c r="J213" s="11" t="s">
        <v>142</v>
      </c>
      <c r="K213" s="11" t="s">
        <v>142</v>
      </c>
      <c r="L213" s="11" t="s">
        <v>4922</v>
      </c>
    </row>
    <row r="214" ht="27" customHeight="1" spans="1:12" s="12" customFormat="1" x14ac:dyDescent="0.25">
      <c r="A214" s="26" t="s">
        <v>4923</v>
      </c>
      <c r="B214" s="11" t="s">
        <v>4924</v>
      </c>
      <c r="C214" s="11" t="s">
        <v>93</v>
      </c>
      <c r="D214" s="11" t="s">
        <v>4851</v>
      </c>
      <c r="E214" s="11" t="s">
        <v>4201</v>
      </c>
      <c r="F214" s="11" t="s">
        <v>84</v>
      </c>
      <c r="G214" s="11" t="s">
        <v>4822</v>
      </c>
      <c r="H214" s="11" t="s">
        <v>4822</v>
      </c>
      <c r="I214" s="11" t="s">
        <v>1595</v>
      </c>
      <c r="J214" s="11" t="s">
        <v>142</v>
      </c>
      <c r="K214" s="11" t="s">
        <v>4919</v>
      </c>
      <c r="L214" s="11"/>
    </row>
    <row r="215" ht="39" customHeight="1" spans="1:12" s="12" customFormat="1" x14ac:dyDescent="0.25">
      <c r="A215" s="26" t="s">
        <v>4925</v>
      </c>
      <c r="B215" s="11" t="s">
        <v>4926</v>
      </c>
      <c r="C215" s="11" t="s">
        <v>91</v>
      </c>
      <c r="D215" s="11" t="s">
        <v>4927</v>
      </c>
      <c r="E215" s="11" t="s">
        <v>4201</v>
      </c>
      <c r="F215" s="11" t="s">
        <v>84</v>
      </c>
      <c r="G215" s="11" t="s">
        <v>4822</v>
      </c>
      <c r="H215" s="11" t="s">
        <v>4822</v>
      </c>
      <c r="I215" s="11" t="s">
        <v>4928</v>
      </c>
      <c r="J215" s="11" t="s">
        <v>142</v>
      </c>
      <c r="K215" s="11" t="s">
        <v>4929</v>
      </c>
      <c r="L215" s="11" t="s">
        <v>4930</v>
      </c>
    </row>
    <row r="216" ht="27" customHeight="1" spans="1:12" s="12" customFormat="1" x14ac:dyDescent="0.25">
      <c r="A216" s="26" t="s">
        <v>4931</v>
      </c>
      <c r="B216" s="11" t="s">
        <v>4932</v>
      </c>
      <c r="C216" s="11" t="s">
        <v>93</v>
      </c>
      <c r="D216" s="11" t="s">
        <v>4927</v>
      </c>
      <c r="E216" s="11" t="s">
        <v>4201</v>
      </c>
      <c r="F216" s="11" t="s">
        <v>84</v>
      </c>
      <c r="G216" s="11" t="s">
        <v>4822</v>
      </c>
      <c r="H216" s="11" t="s">
        <v>4822</v>
      </c>
      <c r="I216" s="11" t="s">
        <v>4933</v>
      </c>
      <c r="J216" s="11" t="s">
        <v>142</v>
      </c>
      <c r="K216" s="11" t="s">
        <v>4919</v>
      </c>
      <c r="L216" s="11"/>
    </row>
    <row r="217" ht="27" customHeight="1" spans="1:12" s="12" customFormat="1" x14ac:dyDescent="0.25">
      <c r="A217" s="26" t="s">
        <v>4934</v>
      </c>
      <c r="B217" s="11" t="s">
        <v>4935</v>
      </c>
      <c r="C217" s="11" t="s">
        <v>100</v>
      </c>
      <c r="D217" s="11" t="s">
        <v>4936</v>
      </c>
      <c r="E217" s="11" t="s">
        <v>4186</v>
      </c>
      <c r="F217" s="11" t="s">
        <v>84</v>
      </c>
      <c r="G217" s="11" t="s">
        <v>4822</v>
      </c>
      <c r="H217" s="11" t="s">
        <v>4937</v>
      </c>
      <c r="I217" s="11" t="s">
        <v>142</v>
      </c>
      <c r="J217" s="11" t="s">
        <v>4915</v>
      </c>
      <c r="K217" s="11" t="s">
        <v>4217</v>
      </c>
      <c r="L217" s="11" t="s">
        <v>4938</v>
      </c>
    </row>
    <row r="218" ht="27" customHeight="1" spans="1:12" s="12" customFormat="1" x14ac:dyDescent="0.25">
      <c r="A218" s="26" t="s">
        <v>4939</v>
      </c>
      <c r="B218" s="11" t="s">
        <v>4940</v>
      </c>
      <c r="C218" s="11" t="s">
        <v>90</v>
      </c>
      <c r="D218" s="11" t="s">
        <v>4927</v>
      </c>
      <c r="E218" s="11" t="s">
        <v>4201</v>
      </c>
      <c r="F218" s="11" t="s">
        <v>84</v>
      </c>
      <c r="G218" s="11" t="s">
        <v>4937</v>
      </c>
      <c r="H218" s="11" t="s">
        <v>4941</v>
      </c>
      <c r="I218" s="11" t="s">
        <v>1821</v>
      </c>
      <c r="J218" s="11" t="s">
        <v>142</v>
      </c>
      <c r="K218" s="11" t="s">
        <v>4942</v>
      </c>
      <c r="L218" s="11" t="s">
        <v>4943</v>
      </c>
    </row>
    <row r="219" ht="27" customHeight="1" spans="1:12" s="12" customFormat="1" x14ac:dyDescent="0.25">
      <c r="A219" s="26" t="s">
        <v>4944</v>
      </c>
      <c r="B219" s="11" t="s">
        <v>4945</v>
      </c>
      <c r="C219" s="11" t="s">
        <v>93</v>
      </c>
      <c r="D219" s="11" t="s">
        <v>4851</v>
      </c>
      <c r="E219" s="11" t="s">
        <v>4201</v>
      </c>
      <c r="F219" s="11" t="s">
        <v>84</v>
      </c>
      <c r="G219" s="11" t="s">
        <v>4937</v>
      </c>
      <c r="H219" s="11" t="s">
        <v>4937</v>
      </c>
      <c r="I219" s="11" t="s">
        <v>4915</v>
      </c>
      <c r="J219" s="11" t="s">
        <v>142</v>
      </c>
      <c r="K219" s="11" t="s">
        <v>4929</v>
      </c>
      <c r="L219" s="11" t="s">
        <v>4946</v>
      </c>
    </row>
    <row r="220" ht="39" customHeight="1" spans="1:12" s="12" customFormat="1" x14ac:dyDescent="0.25">
      <c r="A220" s="26" t="s">
        <v>4947</v>
      </c>
      <c r="B220" s="11" t="s">
        <v>4948</v>
      </c>
      <c r="C220" s="11" t="s">
        <v>100</v>
      </c>
      <c r="D220" s="11" t="s">
        <v>4215</v>
      </c>
      <c r="E220" s="11" t="s">
        <v>4186</v>
      </c>
      <c r="F220" s="11" t="s">
        <v>84</v>
      </c>
      <c r="G220" s="11" t="s">
        <v>4937</v>
      </c>
      <c r="H220" s="11" t="s">
        <v>4937</v>
      </c>
      <c r="I220" s="11" t="s">
        <v>142</v>
      </c>
      <c r="J220" s="11" t="s">
        <v>4949</v>
      </c>
      <c r="K220" s="11" t="s">
        <v>4217</v>
      </c>
      <c r="L220" s="11" t="s">
        <v>4950</v>
      </c>
    </row>
    <row r="221" ht="27" customHeight="1" spans="1:12" s="12" customFormat="1" x14ac:dyDescent="0.25">
      <c r="A221" s="26" t="s">
        <v>4951</v>
      </c>
      <c r="B221" s="11" t="s">
        <v>4952</v>
      </c>
      <c r="C221" s="11" t="s">
        <v>98</v>
      </c>
      <c r="D221" s="11" t="s">
        <v>4851</v>
      </c>
      <c r="E221" s="11" t="s">
        <v>4201</v>
      </c>
      <c r="F221" s="11" t="s">
        <v>84</v>
      </c>
      <c r="G221" s="11" t="s">
        <v>4937</v>
      </c>
      <c r="H221" s="11" t="s">
        <v>4937</v>
      </c>
      <c r="I221" s="11" t="s">
        <v>1821</v>
      </c>
      <c r="J221" s="11" t="s">
        <v>142</v>
      </c>
      <c r="K221" s="11" t="s">
        <v>4953</v>
      </c>
      <c r="L221" s="11"/>
    </row>
    <row r="222" ht="27" customHeight="1" spans="1:12" s="12" customFormat="1" x14ac:dyDescent="0.25">
      <c r="A222" s="26" t="s">
        <v>4954</v>
      </c>
      <c r="B222" s="11" t="s">
        <v>4955</v>
      </c>
      <c r="C222" s="11" t="s">
        <v>100</v>
      </c>
      <c r="D222" s="11" t="s">
        <v>4215</v>
      </c>
      <c r="E222" s="11" t="s">
        <v>4186</v>
      </c>
      <c r="F222" s="11" t="s">
        <v>84</v>
      </c>
      <c r="G222" s="11" t="s">
        <v>4937</v>
      </c>
      <c r="H222" s="11" t="s">
        <v>4937</v>
      </c>
      <c r="I222" s="11" t="s">
        <v>142</v>
      </c>
      <c r="J222" s="11" t="s">
        <v>1821</v>
      </c>
      <c r="K222" s="11" t="s">
        <v>4217</v>
      </c>
      <c r="L222" s="11" t="s">
        <v>4956</v>
      </c>
    </row>
    <row r="223" ht="27" customHeight="1" spans="1:12" s="12" customFormat="1" x14ac:dyDescent="0.25">
      <c r="A223" s="26" t="s">
        <v>4957</v>
      </c>
      <c r="B223" s="11" t="s">
        <v>4958</v>
      </c>
      <c r="C223" s="11" t="s">
        <v>98</v>
      </c>
      <c r="D223" s="11" t="s">
        <v>4851</v>
      </c>
      <c r="E223" s="11" t="s">
        <v>4201</v>
      </c>
      <c r="F223" s="11" t="s">
        <v>84</v>
      </c>
      <c r="G223" s="11" t="s">
        <v>4937</v>
      </c>
      <c r="H223" s="11" t="s">
        <v>4959</v>
      </c>
      <c r="I223" s="11" t="s">
        <v>1821</v>
      </c>
      <c r="J223" s="11" t="s">
        <v>142</v>
      </c>
      <c r="K223" s="11" t="s">
        <v>4960</v>
      </c>
      <c r="L223" s="11" t="s">
        <v>4961</v>
      </c>
    </row>
    <row r="224" ht="27" customHeight="1" spans="1:12" s="12" customFormat="1" x14ac:dyDescent="0.25">
      <c r="A224" s="26" t="s">
        <v>4962</v>
      </c>
      <c r="B224" s="11" t="s">
        <v>4963</v>
      </c>
      <c r="C224" s="11" t="s">
        <v>90</v>
      </c>
      <c r="D224" s="11" t="s">
        <v>4552</v>
      </c>
      <c r="E224" s="11" t="s">
        <v>4186</v>
      </c>
      <c r="F224" s="11" t="s">
        <v>84</v>
      </c>
      <c r="G224" s="11" t="s">
        <v>4959</v>
      </c>
      <c r="H224" s="11" t="s">
        <v>4964</v>
      </c>
      <c r="I224" s="11" t="s">
        <v>142</v>
      </c>
      <c r="J224" s="11" t="s">
        <v>142</v>
      </c>
      <c r="K224" s="11" t="s">
        <v>4660</v>
      </c>
      <c r="L224" s="11" t="s">
        <v>4965</v>
      </c>
    </row>
    <row r="225" ht="27" customHeight="1" spans="1:12" s="12" customFormat="1" x14ac:dyDescent="0.25">
      <c r="A225" s="26" t="s">
        <v>4966</v>
      </c>
      <c r="B225" s="11" t="s">
        <v>1831</v>
      </c>
      <c r="C225" s="11" t="s">
        <v>93</v>
      </c>
      <c r="D225" s="11" t="s">
        <v>4967</v>
      </c>
      <c r="E225" s="11" t="s">
        <v>4201</v>
      </c>
      <c r="F225" s="11" t="s">
        <v>84</v>
      </c>
      <c r="G225" s="11" t="s">
        <v>4959</v>
      </c>
      <c r="H225" s="11" t="s">
        <v>4964</v>
      </c>
      <c r="I225" s="11" t="s">
        <v>1830</v>
      </c>
      <c r="J225" s="11" t="s">
        <v>142</v>
      </c>
      <c r="K225" s="11" t="s">
        <v>1767</v>
      </c>
      <c r="L225" s="11" t="s">
        <v>4968</v>
      </c>
    </row>
    <row r="226" spans="1:12" x14ac:dyDescent="0.25">
      <c r="A226" s="26">
        <v>225</v>
      </c>
      <c r="B226" s="11" t="s">
        <v>4969</v>
      </c>
      <c r="C226" s="11" t="s">
        <v>91</v>
      </c>
      <c r="D226" s="11" t="s">
        <v>4970</v>
      </c>
      <c r="E226" s="11" t="s">
        <v>4201</v>
      </c>
      <c r="F226" s="11" t="s">
        <v>84</v>
      </c>
      <c r="G226" s="11" t="s">
        <v>4941</v>
      </c>
      <c r="H226" s="11" t="s">
        <v>4941</v>
      </c>
      <c r="I226" s="11" t="s">
        <v>1843</v>
      </c>
      <c r="J226" s="11" t="s">
        <v>1843</v>
      </c>
      <c r="K226" s="11" t="s">
        <v>1847</v>
      </c>
      <c r="L226" s="11" t="s">
        <v>142</v>
      </c>
    </row>
    <row r="227" spans="1:12" x14ac:dyDescent="0.25">
      <c r="A227" s="26">
        <v>226</v>
      </c>
      <c r="B227" s="11" t="s">
        <v>4971</v>
      </c>
      <c r="C227" s="11" t="s">
        <v>91</v>
      </c>
      <c r="D227" s="11" t="s">
        <v>4970</v>
      </c>
      <c r="E227" s="11" t="s">
        <v>4201</v>
      </c>
      <c r="F227" s="11" t="s">
        <v>84</v>
      </c>
      <c r="G227" s="11" t="s">
        <v>4941</v>
      </c>
      <c r="H227" s="11" t="s">
        <v>4941</v>
      </c>
      <c r="I227" s="11" t="s">
        <v>1843</v>
      </c>
      <c r="J227" s="11" t="s">
        <v>1843</v>
      </c>
      <c r="K227" s="11" t="s">
        <v>1847</v>
      </c>
      <c r="L227" s="11" t="s">
        <v>142</v>
      </c>
    </row>
    <row r="228" spans="1:12" x14ac:dyDescent="0.25">
      <c r="A228" s="26">
        <v>227</v>
      </c>
      <c r="B228" s="11" t="s">
        <v>4972</v>
      </c>
      <c r="C228" s="11" t="s">
        <v>99</v>
      </c>
      <c r="D228" s="11" t="s">
        <v>4215</v>
      </c>
      <c r="E228" s="11" t="s">
        <v>4186</v>
      </c>
      <c r="F228" s="11" t="s">
        <v>84</v>
      </c>
      <c r="G228" s="11" t="s">
        <v>4941</v>
      </c>
      <c r="H228" s="11" t="s">
        <v>4941</v>
      </c>
      <c r="I228" s="11" t="s">
        <v>142</v>
      </c>
      <c r="J228" s="11" t="s">
        <v>1843</v>
      </c>
      <c r="K228" s="11" t="s">
        <v>142</v>
      </c>
      <c r="L228" s="11" t="s">
        <v>142</v>
      </c>
    </row>
    <row r="229" spans="1:12" x14ac:dyDescent="0.25">
      <c r="A229" s="26">
        <v>228</v>
      </c>
      <c r="B229" s="11" t="s">
        <v>4973</v>
      </c>
      <c r="C229" s="11" t="s">
        <v>98</v>
      </c>
      <c r="D229" s="11" t="s">
        <v>4974</v>
      </c>
      <c r="E229" s="11" t="s">
        <v>4201</v>
      </c>
      <c r="F229" s="11" t="s">
        <v>84</v>
      </c>
      <c r="G229" s="11" t="s">
        <v>4941</v>
      </c>
      <c r="H229" s="11" t="s">
        <v>4941</v>
      </c>
      <c r="I229" s="11" t="s">
        <v>1878</v>
      </c>
      <c r="J229" s="11" t="s">
        <v>1878</v>
      </c>
      <c r="K229" s="11" t="s">
        <v>1648</v>
      </c>
      <c r="L229" s="11" t="s">
        <v>4975</v>
      </c>
    </row>
    <row r="230" spans="1:12" x14ac:dyDescent="0.25">
      <c r="A230" s="26">
        <v>229</v>
      </c>
      <c r="B230" s="11" t="s">
        <v>4976</v>
      </c>
      <c r="C230" s="11" t="s">
        <v>89</v>
      </c>
      <c r="D230" s="11" t="s">
        <v>4970</v>
      </c>
      <c r="E230" s="11" t="s">
        <v>4201</v>
      </c>
      <c r="F230" s="11" t="s">
        <v>84</v>
      </c>
      <c r="G230" s="11" t="s">
        <v>4941</v>
      </c>
      <c r="H230" s="11" t="s">
        <v>4941</v>
      </c>
      <c r="I230" s="11" t="s">
        <v>1849</v>
      </c>
      <c r="J230" s="11" t="s">
        <v>1849</v>
      </c>
      <c r="K230" s="11" t="s">
        <v>4977</v>
      </c>
      <c r="L230" s="11" t="s">
        <v>142</v>
      </c>
    </row>
    <row r="231" spans="1:12" x14ac:dyDescent="0.25">
      <c r="A231" s="26">
        <v>230</v>
      </c>
      <c r="B231" s="11" t="s">
        <v>4978</v>
      </c>
      <c r="C231" s="11" t="s">
        <v>89</v>
      </c>
      <c r="D231" s="11" t="s">
        <v>4979</v>
      </c>
      <c r="E231" s="11" t="s">
        <v>4201</v>
      </c>
      <c r="F231" s="11" t="s">
        <v>84</v>
      </c>
      <c r="G231" s="11" t="s">
        <v>4941</v>
      </c>
      <c r="H231" s="11" t="s">
        <v>4941</v>
      </c>
      <c r="I231" s="11" t="s">
        <v>1849</v>
      </c>
      <c r="J231" s="11" t="s">
        <v>1849</v>
      </c>
      <c r="K231" s="11" t="s">
        <v>4980</v>
      </c>
      <c r="L231" s="11" t="s">
        <v>142</v>
      </c>
    </row>
    <row r="232" spans="1:12" x14ac:dyDescent="0.25">
      <c r="A232" s="26">
        <v>231</v>
      </c>
      <c r="B232" s="11" t="s">
        <v>4981</v>
      </c>
      <c r="C232" s="11" t="s">
        <v>91</v>
      </c>
      <c r="D232" s="11" t="s">
        <v>4982</v>
      </c>
      <c r="E232" s="11" t="s">
        <v>4201</v>
      </c>
      <c r="F232" s="11" t="s">
        <v>84</v>
      </c>
      <c r="G232" s="11" t="s">
        <v>4941</v>
      </c>
      <c r="H232" s="11" t="s">
        <v>4941</v>
      </c>
      <c r="I232" s="11" t="s">
        <v>1856</v>
      </c>
      <c r="J232" s="11" t="s">
        <v>1856</v>
      </c>
      <c r="K232" s="11" t="s">
        <v>1861</v>
      </c>
      <c r="L232" s="11" t="s">
        <v>4983</v>
      </c>
    </row>
    <row r="233" spans="1:12" x14ac:dyDescent="0.25">
      <c r="A233" s="26">
        <v>232</v>
      </c>
      <c r="B233" s="11" t="s">
        <v>4984</v>
      </c>
      <c r="C233" s="11" t="s">
        <v>97</v>
      </c>
      <c r="D233" s="11" t="s">
        <v>4974</v>
      </c>
      <c r="E233" s="11" t="s">
        <v>4201</v>
      </c>
      <c r="F233" s="11" t="s">
        <v>84</v>
      </c>
      <c r="G233" s="11" t="s">
        <v>4941</v>
      </c>
      <c r="H233" s="11" t="s">
        <v>4941</v>
      </c>
      <c r="I233" s="11" t="s">
        <v>1878</v>
      </c>
      <c r="J233" s="11" t="s">
        <v>1878</v>
      </c>
      <c r="K233" s="11" t="s">
        <v>1648</v>
      </c>
      <c r="L233" s="11" t="s">
        <v>4985</v>
      </c>
    </row>
    <row r="234" spans="1:12" x14ac:dyDescent="0.25">
      <c r="A234" s="26">
        <v>233</v>
      </c>
      <c r="B234" s="11" t="s">
        <v>4986</v>
      </c>
      <c r="C234" s="11" t="s">
        <v>99</v>
      </c>
      <c r="D234" s="11" t="s">
        <v>4987</v>
      </c>
      <c r="E234" s="11" t="s">
        <v>4186</v>
      </c>
      <c r="F234" s="11" t="s">
        <v>84</v>
      </c>
      <c r="G234" s="11" t="s">
        <v>4941</v>
      </c>
      <c r="H234" s="11" t="s">
        <v>4941</v>
      </c>
      <c r="I234" s="11" t="s">
        <v>142</v>
      </c>
      <c r="J234" s="11" t="s">
        <v>1849</v>
      </c>
      <c r="K234" s="11" t="s">
        <v>142</v>
      </c>
      <c r="L234" s="11" t="s">
        <v>142</v>
      </c>
    </row>
    <row r="235" spans="1:12" x14ac:dyDescent="0.25">
      <c r="A235" s="26">
        <v>234</v>
      </c>
      <c r="B235" s="11" t="s">
        <v>4988</v>
      </c>
      <c r="C235" s="11" t="s">
        <v>92</v>
      </c>
      <c r="D235" s="11" t="s">
        <v>4974</v>
      </c>
      <c r="E235" s="11" t="s">
        <v>4201</v>
      </c>
      <c r="F235" s="11" t="s">
        <v>84</v>
      </c>
      <c r="G235" s="11" t="s">
        <v>4941</v>
      </c>
      <c r="H235" s="11" t="s">
        <v>4941</v>
      </c>
      <c r="I235" s="11" t="s">
        <v>1878</v>
      </c>
      <c r="J235" s="11" t="s">
        <v>1878</v>
      </c>
      <c r="K235" s="11" t="s">
        <v>1648</v>
      </c>
      <c r="L235" s="11" t="s">
        <v>4989</v>
      </c>
    </row>
    <row r="236" spans="1:12" x14ac:dyDescent="0.25">
      <c r="A236" s="26">
        <v>235</v>
      </c>
      <c r="B236" s="11" t="s">
        <v>4990</v>
      </c>
      <c r="C236" s="11" t="s">
        <v>99</v>
      </c>
      <c r="D236" s="11" t="s">
        <v>4987</v>
      </c>
      <c r="E236" s="11" t="s">
        <v>4186</v>
      </c>
      <c r="F236" s="11" t="s">
        <v>84</v>
      </c>
      <c r="G236" s="11" t="s">
        <v>4941</v>
      </c>
      <c r="H236" s="11" t="s">
        <v>4941</v>
      </c>
      <c r="I236" s="11" t="s">
        <v>142</v>
      </c>
      <c r="J236" s="11" t="s">
        <v>1849</v>
      </c>
      <c r="K236" s="11" t="s">
        <v>142</v>
      </c>
      <c r="L236" s="11" t="s">
        <v>142</v>
      </c>
    </row>
    <row r="237" spans="1:12" x14ac:dyDescent="0.25">
      <c r="A237" s="26">
        <v>236</v>
      </c>
      <c r="B237" s="11" t="s">
        <v>4991</v>
      </c>
      <c r="C237" s="11" t="s">
        <v>91</v>
      </c>
      <c r="D237" s="11" t="s">
        <v>4979</v>
      </c>
      <c r="E237" s="11" t="s">
        <v>4201</v>
      </c>
      <c r="F237" s="11" t="s">
        <v>84</v>
      </c>
      <c r="G237" s="11" t="s">
        <v>4941</v>
      </c>
      <c r="H237" s="11" t="s">
        <v>4941</v>
      </c>
      <c r="I237" s="11" t="s">
        <v>1849</v>
      </c>
      <c r="J237" s="11" t="s">
        <v>1849</v>
      </c>
      <c r="K237" s="11" t="s">
        <v>1648</v>
      </c>
      <c r="L237" s="11" t="s">
        <v>4992</v>
      </c>
    </row>
    <row r="238" spans="1:12" x14ac:dyDescent="0.25">
      <c r="A238" s="26">
        <v>237</v>
      </c>
      <c r="B238" s="11" t="s">
        <v>4993</v>
      </c>
      <c r="C238" s="11" t="s">
        <v>99</v>
      </c>
      <c r="D238" s="11" t="s">
        <v>4994</v>
      </c>
      <c r="E238" s="11" t="s">
        <v>4186</v>
      </c>
      <c r="F238" s="11" t="s">
        <v>84</v>
      </c>
      <c r="G238" s="11" t="s">
        <v>4941</v>
      </c>
      <c r="H238" s="11" t="s">
        <v>4941</v>
      </c>
      <c r="I238" s="11" t="s">
        <v>142</v>
      </c>
      <c r="J238" s="11" t="s">
        <v>1856</v>
      </c>
      <c r="K238" s="11" t="s">
        <v>142</v>
      </c>
      <c r="L238" s="11" t="s">
        <v>142</v>
      </c>
    </row>
    <row r="239" spans="1:12" x14ac:dyDescent="0.25">
      <c r="A239" s="26">
        <v>238</v>
      </c>
      <c r="B239" s="11" t="s">
        <v>4995</v>
      </c>
      <c r="C239" s="11" t="s">
        <v>98</v>
      </c>
      <c r="D239" s="11" t="s">
        <v>4974</v>
      </c>
      <c r="E239" s="11" t="s">
        <v>4201</v>
      </c>
      <c r="F239" s="11" t="s">
        <v>84</v>
      </c>
      <c r="G239" s="11" t="s">
        <v>4941</v>
      </c>
      <c r="H239" s="11" t="s">
        <v>4941</v>
      </c>
      <c r="I239" s="11" t="s">
        <v>1878</v>
      </c>
      <c r="J239" s="11" t="s">
        <v>1878</v>
      </c>
      <c r="K239" s="11" t="s">
        <v>1648</v>
      </c>
      <c r="L239" s="11" t="s">
        <v>4996</v>
      </c>
    </row>
    <row r="240" spans="1:12" x14ac:dyDescent="0.25">
      <c r="A240" s="26">
        <v>239</v>
      </c>
      <c r="B240" s="11" t="s">
        <v>4997</v>
      </c>
      <c r="C240" s="11" t="s">
        <v>96</v>
      </c>
      <c r="D240" s="11" t="s">
        <v>4998</v>
      </c>
      <c r="E240" s="11" t="s">
        <v>4201</v>
      </c>
      <c r="F240" s="11" t="s">
        <v>84</v>
      </c>
      <c r="G240" s="11" t="s">
        <v>4941</v>
      </c>
      <c r="H240" s="11" t="s">
        <v>4941</v>
      </c>
      <c r="I240" s="11" t="s">
        <v>1856</v>
      </c>
      <c r="J240" s="11" t="s">
        <v>1856</v>
      </c>
      <c r="K240" s="11" t="s">
        <v>1648</v>
      </c>
      <c r="L240" s="11" t="s">
        <v>4999</v>
      </c>
    </row>
    <row r="241" spans="1:12" x14ac:dyDescent="0.25">
      <c r="A241" s="26">
        <v>240</v>
      </c>
      <c r="B241" s="11" t="s">
        <v>5000</v>
      </c>
      <c r="C241" s="11" t="s">
        <v>92</v>
      </c>
      <c r="D241" s="11" t="s">
        <v>5001</v>
      </c>
      <c r="E241" s="11" t="s">
        <v>4201</v>
      </c>
      <c r="F241" s="11" t="s">
        <v>83</v>
      </c>
      <c r="G241" s="11" t="s">
        <v>4941</v>
      </c>
      <c r="H241" s="11" t="s">
        <v>4941</v>
      </c>
      <c r="I241" s="11" t="s">
        <v>142</v>
      </c>
      <c r="J241" s="11" t="s">
        <v>142</v>
      </c>
      <c r="K241" s="11" t="s">
        <v>142</v>
      </c>
      <c r="L241" s="11" t="s">
        <v>5002</v>
      </c>
    </row>
    <row r="242" spans="1:12" x14ac:dyDescent="0.25">
      <c r="A242" s="26">
        <v>241</v>
      </c>
      <c r="B242" s="11" t="s">
        <v>5003</v>
      </c>
      <c r="C242" s="11" t="s">
        <v>92</v>
      </c>
      <c r="D242" s="11" t="s">
        <v>5004</v>
      </c>
      <c r="E242" s="11" t="s">
        <v>4201</v>
      </c>
      <c r="F242" s="11" t="s">
        <v>84</v>
      </c>
      <c r="G242" s="11" t="s">
        <v>4941</v>
      </c>
      <c r="H242" s="11" t="s">
        <v>4941</v>
      </c>
      <c r="I242" s="11" t="s">
        <v>1871</v>
      </c>
      <c r="J242" s="11" t="s">
        <v>1871</v>
      </c>
      <c r="K242" s="11" t="s">
        <v>1648</v>
      </c>
      <c r="L242" s="11" t="s">
        <v>5005</v>
      </c>
    </row>
    <row r="243" spans="1:12" x14ac:dyDescent="0.25">
      <c r="A243" s="26">
        <v>242</v>
      </c>
      <c r="B243" s="11" t="s">
        <v>5006</v>
      </c>
      <c r="C243" s="11" t="s">
        <v>99</v>
      </c>
      <c r="D243" s="11" t="s">
        <v>5007</v>
      </c>
      <c r="E243" s="11" t="s">
        <v>4186</v>
      </c>
      <c r="F243" s="11" t="s">
        <v>84</v>
      </c>
      <c r="G243" s="11" t="s">
        <v>4941</v>
      </c>
      <c r="H243" s="11" t="s">
        <v>4941</v>
      </c>
      <c r="I243" s="11" t="s">
        <v>142</v>
      </c>
      <c r="J243" s="11" t="s">
        <v>5008</v>
      </c>
      <c r="K243" s="11" t="s">
        <v>142</v>
      </c>
      <c r="L243" s="11" t="s">
        <v>5009</v>
      </c>
    </row>
    <row r="244" spans="1:12" x14ac:dyDescent="0.25">
      <c r="A244" s="26">
        <v>243</v>
      </c>
      <c r="B244" s="11" t="s">
        <v>5010</v>
      </c>
      <c r="C244" s="11" t="s">
        <v>92</v>
      </c>
      <c r="D244" s="11" t="s">
        <v>5011</v>
      </c>
      <c r="E244" s="11" t="s">
        <v>4201</v>
      </c>
      <c r="F244" s="11" t="s">
        <v>84</v>
      </c>
      <c r="G244" s="11" t="s">
        <v>4941</v>
      </c>
      <c r="H244" s="11" t="s">
        <v>4941</v>
      </c>
      <c r="I244" s="11" t="s">
        <v>1871</v>
      </c>
      <c r="J244" s="11" t="s">
        <v>1871</v>
      </c>
      <c r="K244" s="11" t="s">
        <v>1648</v>
      </c>
      <c r="L244" s="11" t="s">
        <v>5012</v>
      </c>
    </row>
    <row r="245" spans="1:12" x14ac:dyDescent="0.25">
      <c r="A245" s="26">
        <v>244</v>
      </c>
      <c r="B245" s="11" t="s">
        <v>5013</v>
      </c>
      <c r="C245" s="11" t="s">
        <v>92</v>
      </c>
      <c r="D245" s="11" t="s">
        <v>4974</v>
      </c>
      <c r="E245" s="11" t="s">
        <v>4201</v>
      </c>
      <c r="F245" s="11" t="s">
        <v>84</v>
      </c>
      <c r="G245" s="11" t="s">
        <v>4941</v>
      </c>
      <c r="H245" s="11" t="s">
        <v>4941</v>
      </c>
      <c r="I245" s="11" t="s">
        <v>5014</v>
      </c>
      <c r="J245" s="11" t="s">
        <v>1452</v>
      </c>
      <c r="K245" s="11" t="s">
        <v>1648</v>
      </c>
      <c r="L245" s="11" t="s">
        <v>5015</v>
      </c>
    </row>
    <row r="246" spans="1:12" x14ac:dyDescent="0.25">
      <c r="A246" s="26">
        <v>245</v>
      </c>
      <c r="B246" s="11" t="s">
        <v>5016</v>
      </c>
      <c r="C246" s="11" t="s">
        <v>99</v>
      </c>
      <c r="D246" s="11" t="s">
        <v>4215</v>
      </c>
      <c r="E246" s="11" t="s">
        <v>4186</v>
      </c>
      <c r="F246" s="11" t="s">
        <v>83</v>
      </c>
      <c r="G246" s="11" t="s">
        <v>4941</v>
      </c>
      <c r="H246" s="11" t="s">
        <v>4941</v>
      </c>
      <c r="I246" s="11" t="s">
        <v>142</v>
      </c>
      <c r="J246" s="11" t="s">
        <v>142</v>
      </c>
      <c r="K246" s="11" t="s">
        <v>142</v>
      </c>
      <c r="L246" s="11" t="s">
        <v>5017</v>
      </c>
    </row>
    <row r="247" spans="1:12" x14ac:dyDescent="0.25">
      <c r="A247" s="26">
        <v>246</v>
      </c>
      <c r="B247" s="11" t="s">
        <v>5018</v>
      </c>
      <c r="C247" s="11" t="s">
        <v>91</v>
      </c>
      <c r="D247" s="11" t="s">
        <v>4974</v>
      </c>
      <c r="E247" s="11" t="s">
        <v>4201</v>
      </c>
      <c r="F247" s="11" t="s">
        <v>84</v>
      </c>
      <c r="G247" s="11" t="s">
        <v>4941</v>
      </c>
      <c r="H247" s="11" t="s">
        <v>4941</v>
      </c>
      <c r="I247" s="11" t="s">
        <v>1865</v>
      </c>
      <c r="J247" s="11" t="s">
        <v>1865</v>
      </c>
      <c r="K247" s="11" t="s">
        <v>1648</v>
      </c>
      <c r="L247" s="11" t="s">
        <v>5019</v>
      </c>
    </row>
    <row r="248" spans="1:12" x14ac:dyDescent="0.25">
      <c r="A248" s="26">
        <v>247</v>
      </c>
      <c r="B248" s="11" t="s">
        <v>5020</v>
      </c>
      <c r="C248" s="11" t="s">
        <v>92</v>
      </c>
      <c r="D248" s="11" t="s">
        <v>4974</v>
      </c>
      <c r="E248" s="11" t="s">
        <v>4201</v>
      </c>
      <c r="F248" s="11" t="s">
        <v>84</v>
      </c>
      <c r="G248" s="11" t="s">
        <v>4941</v>
      </c>
      <c r="H248" s="11" t="s">
        <v>4964</v>
      </c>
      <c r="I248" s="11" t="s">
        <v>1878</v>
      </c>
      <c r="J248" s="11" t="s">
        <v>142</v>
      </c>
      <c r="K248" s="11" t="s">
        <v>142</v>
      </c>
      <c r="L248" s="11" t="s">
        <v>5021</v>
      </c>
    </row>
    <row r="249" spans="1:12" x14ac:dyDescent="0.25">
      <c r="A249" s="26" t="s">
        <v>5022</v>
      </c>
      <c r="B249" s="11" t="s">
        <v>5023</v>
      </c>
      <c r="C249" s="11" t="s">
        <v>100</v>
      </c>
      <c r="D249" s="11" t="s">
        <v>5007</v>
      </c>
      <c r="E249" s="11" t="s">
        <v>4186</v>
      </c>
      <c r="F249" s="11" t="s">
        <v>84</v>
      </c>
      <c r="G249" s="11" t="s">
        <v>4964</v>
      </c>
      <c r="H249" s="11" t="s">
        <v>4964</v>
      </c>
      <c r="I249" s="11" t="s">
        <v>142</v>
      </c>
      <c r="J249" s="11" t="s">
        <v>142</v>
      </c>
      <c r="K249" s="11" t="s">
        <v>5024</v>
      </c>
      <c r="L249" s="11" t="s">
        <v>142</v>
      </c>
    </row>
    <row r="250" spans="1:12" x14ac:dyDescent="0.25">
      <c r="A250" s="26" t="s">
        <v>5025</v>
      </c>
      <c r="B250" s="11" t="s">
        <v>5026</v>
      </c>
      <c r="C250" s="11" t="s">
        <v>93</v>
      </c>
      <c r="D250" s="11" t="s">
        <v>4766</v>
      </c>
      <c r="E250" s="11" t="s">
        <v>4201</v>
      </c>
      <c r="F250" s="11" t="s">
        <v>84</v>
      </c>
      <c r="G250" s="11" t="s">
        <v>4964</v>
      </c>
      <c r="H250" s="11" t="s">
        <v>4964</v>
      </c>
      <c r="I250" s="11" t="s">
        <v>5027</v>
      </c>
      <c r="J250" s="11" t="s">
        <v>142</v>
      </c>
      <c r="K250" s="11" t="s">
        <v>1767</v>
      </c>
      <c r="L250" s="11" t="s">
        <v>142</v>
      </c>
    </row>
    <row r="251" spans="1:12" x14ac:dyDescent="0.25">
      <c r="A251" s="26" t="s">
        <v>5028</v>
      </c>
      <c r="B251" s="11" t="s">
        <v>5029</v>
      </c>
      <c r="C251" s="11" t="s">
        <v>93</v>
      </c>
      <c r="D251" s="11" t="s">
        <v>5030</v>
      </c>
      <c r="E251" s="11" t="s">
        <v>4201</v>
      </c>
      <c r="F251" s="11" t="s">
        <v>84</v>
      </c>
      <c r="G251" s="11" t="s">
        <v>4964</v>
      </c>
      <c r="H251" s="11" t="s">
        <v>4964</v>
      </c>
      <c r="I251" s="11" t="s">
        <v>5031</v>
      </c>
      <c r="J251" s="11" t="s">
        <v>142</v>
      </c>
      <c r="K251" s="11" t="s">
        <v>1767</v>
      </c>
      <c r="L251" s="11" t="s">
        <v>142</v>
      </c>
    </row>
    <row r="252" spans="1:12" x14ac:dyDescent="0.25">
      <c r="A252" s="26" t="s">
        <v>5032</v>
      </c>
      <c r="B252" s="11" t="s">
        <v>5033</v>
      </c>
      <c r="C252" s="11" t="s">
        <v>98</v>
      </c>
      <c r="D252" s="11" t="s">
        <v>5034</v>
      </c>
      <c r="E252" s="11" t="s">
        <v>4201</v>
      </c>
      <c r="F252" s="11" t="s">
        <v>84</v>
      </c>
      <c r="G252" s="11" t="s">
        <v>4964</v>
      </c>
      <c r="H252" s="11" t="s">
        <v>4964</v>
      </c>
      <c r="I252" s="11" t="s">
        <v>142</v>
      </c>
      <c r="J252" s="11" t="s">
        <v>142</v>
      </c>
      <c r="K252" s="11" t="s">
        <v>142</v>
      </c>
      <c r="L252" s="11" t="s">
        <v>142</v>
      </c>
    </row>
    <row r="253" spans="1:12" x14ac:dyDescent="0.25">
      <c r="A253" s="26" t="s">
        <v>5035</v>
      </c>
      <c r="B253" s="11" t="s">
        <v>5036</v>
      </c>
      <c r="C253" s="11" t="s">
        <v>98</v>
      </c>
      <c r="D253" s="11" t="s">
        <v>4974</v>
      </c>
      <c r="E253" s="11" t="s">
        <v>4201</v>
      </c>
      <c r="F253" s="11" t="s">
        <v>84</v>
      </c>
      <c r="G253" s="11" t="s">
        <v>4964</v>
      </c>
      <c r="H253" s="11" t="s">
        <v>4964</v>
      </c>
      <c r="I253" s="11" t="s">
        <v>142</v>
      </c>
      <c r="J253" s="11" t="s">
        <v>142</v>
      </c>
      <c r="K253" s="11" t="s">
        <v>142</v>
      </c>
      <c r="L253" s="11" t="s">
        <v>142</v>
      </c>
    </row>
    <row r="254" spans="1:12" x14ac:dyDescent="0.25">
      <c r="A254" s="26" t="s">
        <v>5037</v>
      </c>
      <c r="B254" s="11" t="s">
        <v>5038</v>
      </c>
      <c r="C254" s="11" t="s">
        <v>91</v>
      </c>
      <c r="D254" s="11" t="s">
        <v>4766</v>
      </c>
      <c r="E254" s="11" t="s">
        <v>4201</v>
      </c>
      <c r="F254" s="11" t="s">
        <v>84</v>
      </c>
      <c r="G254" s="11" t="s">
        <v>4964</v>
      </c>
      <c r="H254" s="11" t="s">
        <v>4964</v>
      </c>
      <c r="I254" s="11" t="s">
        <v>2097</v>
      </c>
      <c r="J254" s="11" t="s">
        <v>142</v>
      </c>
      <c r="K254" s="11" t="s">
        <v>1767</v>
      </c>
      <c r="L254" s="11" t="s">
        <v>142</v>
      </c>
    </row>
    <row r="255" spans="1:12" x14ac:dyDescent="0.25">
      <c r="A255" s="26" t="s">
        <v>5039</v>
      </c>
      <c r="B255" s="11" t="s">
        <v>5040</v>
      </c>
      <c r="C255" s="11" t="s">
        <v>90</v>
      </c>
      <c r="D255" s="11" t="s">
        <v>5030</v>
      </c>
      <c r="E255" s="11" t="s">
        <v>4201</v>
      </c>
      <c r="F255" s="11" t="s">
        <v>84</v>
      </c>
      <c r="G255" s="11" t="s">
        <v>4964</v>
      </c>
      <c r="H255" s="11" t="s">
        <v>4964</v>
      </c>
      <c r="I255" s="11" t="s">
        <v>142</v>
      </c>
      <c r="J255" s="11" t="s">
        <v>142</v>
      </c>
      <c r="K255" s="11" t="s">
        <v>142</v>
      </c>
      <c r="L255" s="11" t="s">
        <v>142</v>
      </c>
    </row>
    <row r="256" spans="1:12" x14ac:dyDescent="0.25">
      <c r="A256" s="26" t="s">
        <v>5041</v>
      </c>
      <c r="B256" s="11" t="s">
        <v>5042</v>
      </c>
      <c r="C256" s="11" t="s">
        <v>93</v>
      </c>
      <c r="D256" s="11" t="s">
        <v>5030</v>
      </c>
      <c r="E256" s="11" t="s">
        <v>4201</v>
      </c>
      <c r="F256" s="11" t="s">
        <v>84</v>
      </c>
      <c r="G256" s="11" t="s">
        <v>4964</v>
      </c>
      <c r="H256" s="11" t="s">
        <v>4964</v>
      </c>
      <c r="I256" s="11" t="s">
        <v>2103</v>
      </c>
      <c r="J256" s="11" t="s">
        <v>142</v>
      </c>
      <c r="K256" s="11" t="s">
        <v>1767</v>
      </c>
      <c r="L256" s="11" t="s">
        <v>142</v>
      </c>
    </row>
    <row r="257" spans="1:12" x14ac:dyDescent="0.25">
      <c r="A257" s="26" t="s">
        <v>5043</v>
      </c>
      <c r="B257" s="11" t="s">
        <v>5044</v>
      </c>
      <c r="C257" s="11" t="s">
        <v>90</v>
      </c>
      <c r="D257" s="11" t="s">
        <v>5045</v>
      </c>
      <c r="E257" s="11" t="s">
        <v>4201</v>
      </c>
      <c r="F257" s="11" t="s">
        <v>84</v>
      </c>
      <c r="G257" s="11" t="s">
        <v>4959</v>
      </c>
      <c r="H257" s="11" t="s">
        <v>4964</v>
      </c>
      <c r="I257" s="11" t="s">
        <v>142</v>
      </c>
      <c r="J257" s="11" t="s">
        <v>142</v>
      </c>
      <c r="K257" s="11" t="s">
        <v>142</v>
      </c>
      <c r="L257" s="11" t="s">
        <v>142</v>
      </c>
    </row>
    <row r="258" spans="1:12" x14ac:dyDescent="0.25">
      <c r="A258" s="26" t="s">
        <v>5046</v>
      </c>
      <c r="B258" s="11" t="s">
        <v>5047</v>
      </c>
      <c r="C258" s="11" t="s">
        <v>93</v>
      </c>
      <c r="D258" s="11" t="s">
        <v>5045</v>
      </c>
      <c r="E258" s="11" t="s">
        <v>4201</v>
      </c>
      <c r="F258" s="11" t="s">
        <v>84</v>
      </c>
      <c r="G258" s="11" t="s">
        <v>4964</v>
      </c>
      <c r="H258" s="11" t="s">
        <v>4964</v>
      </c>
      <c r="I258" s="11" t="s">
        <v>5048</v>
      </c>
      <c r="J258" s="11" t="s">
        <v>142</v>
      </c>
      <c r="K258" s="11" t="s">
        <v>1767</v>
      </c>
      <c r="L258" s="11" t="s">
        <v>142</v>
      </c>
    </row>
    <row r="259" spans="1:12" x14ac:dyDescent="0.25">
      <c r="A259" s="26" t="s">
        <v>5049</v>
      </c>
      <c r="B259" s="11" t="s">
        <v>5050</v>
      </c>
      <c r="C259" s="11" t="s">
        <v>88</v>
      </c>
      <c r="D259" s="11" t="s">
        <v>4974</v>
      </c>
      <c r="E259" s="11" t="s">
        <v>4201</v>
      </c>
      <c r="F259" s="11" t="s">
        <v>84</v>
      </c>
      <c r="G259" s="11" t="s">
        <v>4964</v>
      </c>
      <c r="H259" s="11" t="s">
        <v>4964</v>
      </c>
      <c r="I259" s="11" t="s">
        <v>2113</v>
      </c>
      <c r="J259" s="11" t="s">
        <v>142</v>
      </c>
      <c r="K259" s="11" t="s">
        <v>1767</v>
      </c>
      <c r="L259" s="11" t="s">
        <v>142</v>
      </c>
    </row>
    <row r="260" spans="1:12" x14ac:dyDescent="0.25">
      <c r="A260" s="26" t="s">
        <v>5051</v>
      </c>
      <c r="B260" s="11" t="s">
        <v>5052</v>
      </c>
      <c r="C260" s="11" t="s">
        <v>100</v>
      </c>
      <c r="D260" s="11" t="s">
        <v>4552</v>
      </c>
      <c r="E260" s="11" t="s">
        <v>4186</v>
      </c>
      <c r="F260" s="11" t="s">
        <v>84</v>
      </c>
      <c r="G260" s="11" t="s">
        <v>4964</v>
      </c>
      <c r="H260" s="11" t="s">
        <v>4964</v>
      </c>
      <c r="I260" s="11" t="s">
        <v>142</v>
      </c>
      <c r="J260" s="11" t="s">
        <v>142</v>
      </c>
      <c r="K260" s="11" t="s">
        <v>5024</v>
      </c>
      <c r="L260" s="11" t="s">
        <v>142</v>
      </c>
    </row>
    <row r="261" spans="1:12" x14ac:dyDescent="0.25">
      <c r="A261" s="26" t="s">
        <v>5053</v>
      </c>
      <c r="B261" s="11" t="s">
        <v>5054</v>
      </c>
      <c r="C261" s="11" t="s">
        <v>102</v>
      </c>
      <c r="D261" s="11" t="s">
        <v>4552</v>
      </c>
      <c r="E261" s="11" t="s">
        <v>4186</v>
      </c>
      <c r="F261" s="11" t="s">
        <v>84</v>
      </c>
      <c r="G261" s="11" t="s">
        <v>4964</v>
      </c>
      <c r="H261" s="11" t="s">
        <v>4964</v>
      </c>
      <c r="I261" s="11" t="s">
        <v>142</v>
      </c>
      <c r="J261" s="11" t="s">
        <v>142</v>
      </c>
      <c r="K261" s="11" t="s">
        <v>5024</v>
      </c>
      <c r="L261" s="11" t="s">
        <v>5055</v>
      </c>
    </row>
    <row r="262" spans="1:12" x14ac:dyDescent="0.25">
      <c r="A262" s="26" t="s">
        <v>5056</v>
      </c>
      <c r="B262" s="11" t="s">
        <v>5057</v>
      </c>
      <c r="C262" s="11" t="s">
        <v>98</v>
      </c>
      <c r="D262" s="11" t="s">
        <v>5001</v>
      </c>
      <c r="E262" s="11" t="s">
        <v>4201</v>
      </c>
      <c r="F262" s="11" t="s">
        <v>84</v>
      </c>
      <c r="G262" s="11" t="s">
        <v>5058</v>
      </c>
      <c r="H262" s="11" t="s">
        <v>5059</v>
      </c>
      <c r="I262" s="11" t="s">
        <v>142</v>
      </c>
      <c r="J262" s="11" t="s">
        <v>142</v>
      </c>
      <c r="K262" s="11" t="s">
        <v>142</v>
      </c>
      <c r="L262" s="11" t="s">
        <v>142</v>
      </c>
    </row>
    <row r="263" spans="1:12" x14ac:dyDescent="0.25">
      <c r="A263" s="26" t="s">
        <v>5060</v>
      </c>
      <c r="B263" s="11" t="s">
        <v>5061</v>
      </c>
      <c r="C263" s="11" t="s">
        <v>90</v>
      </c>
      <c r="D263" s="11" t="s">
        <v>4766</v>
      </c>
      <c r="E263" s="11" t="s">
        <v>4201</v>
      </c>
      <c r="F263" s="11" t="s">
        <v>84</v>
      </c>
      <c r="G263" s="11" t="s">
        <v>5058</v>
      </c>
      <c r="H263" s="11" t="s">
        <v>5059</v>
      </c>
      <c r="I263" s="11" t="s">
        <v>142</v>
      </c>
      <c r="J263" s="11" t="s">
        <v>142</v>
      </c>
      <c r="K263" s="11" t="s">
        <v>142</v>
      </c>
      <c r="L263" s="11" t="s">
        <v>142</v>
      </c>
    </row>
    <row r="264" spans="1:12" x14ac:dyDescent="0.25">
      <c r="A264" s="26" t="s">
        <v>5062</v>
      </c>
      <c r="B264" s="11" t="s">
        <v>5063</v>
      </c>
      <c r="C264" s="11" t="s">
        <v>91</v>
      </c>
      <c r="D264" s="11" t="s">
        <v>5064</v>
      </c>
      <c r="E264" s="11" t="s">
        <v>4201</v>
      </c>
      <c r="F264" s="11" t="s">
        <v>84</v>
      </c>
      <c r="G264" s="11" t="s">
        <v>5065</v>
      </c>
      <c r="H264" s="11" t="s">
        <v>5059</v>
      </c>
      <c r="I264" s="11" t="s">
        <v>5066</v>
      </c>
      <c r="J264" s="11" t="s">
        <v>142</v>
      </c>
      <c r="K264" s="11" t="s">
        <v>1894</v>
      </c>
      <c r="L264" s="11" t="s">
        <v>142</v>
      </c>
    </row>
    <row r="265" spans="1:12" x14ac:dyDescent="0.25">
      <c r="A265" s="26" t="s">
        <v>5067</v>
      </c>
      <c r="B265" s="11" t="s">
        <v>3724</v>
      </c>
      <c r="C265" s="11" t="s">
        <v>100</v>
      </c>
      <c r="D265" s="11" t="s">
        <v>4215</v>
      </c>
      <c r="E265" s="11" t="s">
        <v>4186</v>
      </c>
      <c r="F265" s="11" t="s">
        <v>84</v>
      </c>
      <c r="G265" s="11" t="s">
        <v>4964</v>
      </c>
      <c r="H265" s="11" t="s">
        <v>5065</v>
      </c>
      <c r="I265" s="11" t="s">
        <v>5068</v>
      </c>
      <c r="J265" s="11" t="s">
        <v>5068</v>
      </c>
      <c r="K265" s="11" t="s">
        <v>5024</v>
      </c>
      <c r="L265" s="11" t="s">
        <v>142</v>
      </c>
    </row>
    <row r="266" spans="1:12" x14ac:dyDescent="0.25">
      <c r="A266" s="26" t="s">
        <v>5069</v>
      </c>
      <c r="B266" s="11" t="s">
        <v>5070</v>
      </c>
      <c r="C266" s="11" t="s">
        <v>91</v>
      </c>
      <c r="D266" s="11" t="s">
        <v>5071</v>
      </c>
      <c r="E266" s="11" t="s">
        <v>4201</v>
      </c>
      <c r="F266" s="11" t="s">
        <v>84</v>
      </c>
      <c r="G266" s="11" t="s">
        <v>5059</v>
      </c>
      <c r="H266" s="11" t="s">
        <v>5059</v>
      </c>
      <c r="I266" s="11" t="s">
        <v>2152</v>
      </c>
      <c r="J266" s="11" t="s">
        <v>142</v>
      </c>
      <c r="K266" s="11" t="s">
        <v>1894</v>
      </c>
      <c r="L266" s="11" t="s">
        <v>142</v>
      </c>
    </row>
    <row r="267" spans="1:12" x14ac:dyDescent="0.25">
      <c r="A267" s="26" t="s">
        <v>5072</v>
      </c>
      <c r="B267" s="11" t="s">
        <v>3721</v>
      </c>
      <c r="C267" s="11" t="s">
        <v>100</v>
      </c>
      <c r="D267" s="11" t="s">
        <v>5073</v>
      </c>
      <c r="E267" s="11" t="s">
        <v>4186</v>
      </c>
      <c r="F267" s="11" t="s">
        <v>84</v>
      </c>
      <c r="G267" s="11" t="s">
        <v>5065</v>
      </c>
      <c r="H267" s="11" t="s">
        <v>5059</v>
      </c>
      <c r="I267" s="11" t="s">
        <v>5074</v>
      </c>
      <c r="J267" s="11" t="s">
        <v>5074</v>
      </c>
      <c r="K267" s="11" t="s">
        <v>5024</v>
      </c>
      <c r="L267" s="11" t="s">
        <v>142</v>
      </c>
    </row>
    <row r="268" spans="1:12" x14ac:dyDescent="0.25">
      <c r="A268" s="26" t="s">
        <v>5075</v>
      </c>
      <c r="B268" s="11" t="s">
        <v>5076</v>
      </c>
      <c r="C268" s="11" t="s">
        <v>91</v>
      </c>
      <c r="D268" s="11" t="s">
        <v>5077</v>
      </c>
      <c r="E268" s="11" t="s">
        <v>4201</v>
      </c>
      <c r="F268" s="11" t="s">
        <v>84</v>
      </c>
      <c r="G268" s="11" t="s">
        <v>5059</v>
      </c>
      <c r="H268" s="11" t="s">
        <v>5059</v>
      </c>
      <c r="I268" s="11" t="s">
        <v>2145</v>
      </c>
      <c r="J268" s="11" t="s">
        <v>142</v>
      </c>
      <c r="K268" s="11" t="s">
        <v>2150</v>
      </c>
      <c r="L268" s="11" t="s">
        <v>142</v>
      </c>
    </row>
    <row r="269" spans="1:12" x14ac:dyDescent="0.25">
      <c r="A269" s="26" t="s">
        <v>5078</v>
      </c>
      <c r="B269" s="11" t="s">
        <v>5079</v>
      </c>
      <c r="C269" s="11" t="s">
        <v>91</v>
      </c>
      <c r="D269" s="11" t="s">
        <v>5080</v>
      </c>
      <c r="E269" s="11" t="s">
        <v>4201</v>
      </c>
      <c r="F269" s="11" t="s">
        <v>84</v>
      </c>
      <c r="G269" s="11" t="s">
        <v>5059</v>
      </c>
      <c r="H269" s="11" t="s">
        <v>5081</v>
      </c>
      <c r="I269" s="11" t="s">
        <v>2159</v>
      </c>
      <c r="J269" s="11" t="s">
        <v>142</v>
      </c>
      <c r="K269" s="11" t="s">
        <v>2150</v>
      </c>
      <c r="L269" s="11" t="s">
        <v>142</v>
      </c>
    </row>
    <row r="270" spans="1:12" x14ac:dyDescent="0.25">
      <c r="A270" s="26" t="s">
        <v>5082</v>
      </c>
      <c r="B270" s="11" t="s">
        <v>5083</v>
      </c>
      <c r="C270" s="11" t="s">
        <v>91</v>
      </c>
      <c r="D270" s="11" t="s">
        <v>5084</v>
      </c>
      <c r="E270" s="11" t="s">
        <v>4201</v>
      </c>
      <c r="F270" s="11" t="s">
        <v>84</v>
      </c>
      <c r="G270" s="11" t="s">
        <v>5081</v>
      </c>
      <c r="H270" s="11" t="s">
        <v>5081</v>
      </c>
      <c r="I270" s="11" t="s">
        <v>1977</v>
      </c>
      <c r="J270" s="11" t="s">
        <v>142</v>
      </c>
      <c r="K270" s="11" t="s">
        <v>1982</v>
      </c>
      <c r="L270" s="11" t="s">
        <v>142</v>
      </c>
    </row>
    <row r="271" spans="1:12" x14ac:dyDescent="0.25">
      <c r="A271" s="26" t="s">
        <v>5085</v>
      </c>
      <c r="B271" s="11" t="s">
        <v>3714</v>
      </c>
      <c r="C271" s="11" t="s">
        <v>100</v>
      </c>
      <c r="D271" s="11" t="s">
        <v>5086</v>
      </c>
      <c r="E271" s="11" t="s">
        <v>4186</v>
      </c>
      <c r="F271" s="11" t="s">
        <v>84</v>
      </c>
      <c r="G271" s="11" t="s">
        <v>5058</v>
      </c>
      <c r="H271" s="11" t="s">
        <v>5081</v>
      </c>
      <c r="I271" s="11" t="s">
        <v>142</v>
      </c>
      <c r="J271" s="11" t="s">
        <v>142</v>
      </c>
      <c r="K271" s="11" t="s">
        <v>5024</v>
      </c>
      <c r="L271" s="11" t="s">
        <v>142</v>
      </c>
    </row>
    <row r="272" spans="1:12" x14ac:dyDescent="0.25">
      <c r="A272" s="26" t="s">
        <v>5087</v>
      </c>
      <c r="B272" s="11" t="s">
        <v>5088</v>
      </c>
      <c r="C272" s="11" t="s">
        <v>91</v>
      </c>
      <c r="D272" s="11" t="s">
        <v>4766</v>
      </c>
      <c r="E272" s="11" t="s">
        <v>4201</v>
      </c>
      <c r="F272" s="11" t="s">
        <v>84</v>
      </c>
      <c r="G272" s="11" t="s">
        <v>5081</v>
      </c>
      <c r="H272" s="11" t="s">
        <v>5081</v>
      </c>
      <c r="I272" s="11" t="s">
        <v>2174</v>
      </c>
      <c r="J272" s="11" t="s">
        <v>142</v>
      </c>
      <c r="K272" s="11" t="s">
        <v>2042</v>
      </c>
      <c r="L272" s="11" t="s">
        <v>142</v>
      </c>
    </row>
    <row r="273" spans="1:12" x14ac:dyDescent="0.25">
      <c r="A273" s="26" t="s">
        <v>5089</v>
      </c>
      <c r="B273" s="11" t="s">
        <v>5090</v>
      </c>
      <c r="C273" s="11" t="s">
        <v>93</v>
      </c>
      <c r="D273" s="11" t="s">
        <v>5091</v>
      </c>
      <c r="E273" s="11" t="s">
        <v>4201</v>
      </c>
      <c r="F273" s="11" t="s">
        <v>84</v>
      </c>
      <c r="G273" s="11" t="s">
        <v>5081</v>
      </c>
      <c r="H273" s="11" t="s">
        <v>5081</v>
      </c>
      <c r="I273" s="11" t="s">
        <v>2166</v>
      </c>
      <c r="J273" s="11" t="s">
        <v>142</v>
      </c>
      <c r="K273" s="11" t="s">
        <v>2042</v>
      </c>
      <c r="L273" s="11" t="s">
        <v>142</v>
      </c>
    </row>
    <row r="274" spans="1:12" x14ac:dyDescent="0.25">
      <c r="A274" s="26" t="s">
        <v>5092</v>
      </c>
      <c r="B274" s="11" t="s">
        <v>3711</v>
      </c>
      <c r="C274" s="11" t="s">
        <v>100</v>
      </c>
      <c r="D274" s="11" t="s">
        <v>5093</v>
      </c>
      <c r="E274" s="11" t="s">
        <v>4186</v>
      </c>
      <c r="F274" s="11" t="s">
        <v>84</v>
      </c>
      <c r="G274" s="11" t="s">
        <v>5081</v>
      </c>
      <c r="H274" s="11" t="s">
        <v>5081</v>
      </c>
      <c r="I274" s="11" t="s">
        <v>142</v>
      </c>
      <c r="J274" s="11" t="s">
        <v>142</v>
      </c>
      <c r="K274" s="11" t="s">
        <v>5024</v>
      </c>
      <c r="L274" s="11" t="s">
        <v>142</v>
      </c>
    </row>
    <row r="275" spans="1:12" x14ac:dyDescent="0.25">
      <c r="A275" s="26" t="s">
        <v>5094</v>
      </c>
      <c r="B275" s="11" t="s">
        <v>5095</v>
      </c>
      <c r="C275" s="11" t="s">
        <v>88</v>
      </c>
      <c r="D275" s="11" t="s">
        <v>5096</v>
      </c>
      <c r="E275" s="11" t="s">
        <v>4201</v>
      </c>
      <c r="F275" s="11" t="s">
        <v>84</v>
      </c>
      <c r="G275" s="11" t="s">
        <v>5081</v>
      </c>
      <c r="H275" s="11" t="s">
        <v>5081</v>
      </c>
      <c r="I275" s="11" t="s">
        <v>2196</v>
      </c>
      <c r="J275" s="11" t="s">
        <v>142</v>
      </c>
      <c r="K275" s="11" t="s">
        <v>1982</v>
      </c>
      <c r="L275" s="11" t="s">
        <v>142</v>
      </c>
    </row>
    <row r="276" spans="1:12" x14ac:dyDescent="0.25">
      <c r="A276" s="26" t="s">
        <v>5097</v>
      </c>
      <c r="B276" s="11" t="s">
        <v>3708</v>
      </c>
      <c r="C276" s="11" t="s">
        <v>100</v>
      </c>
      <c r="D276" s="11" t="s">
        <v>5098</v>
      </c>
      <c r="E276" s="11" t="s">
        <v>4186</v>
      </c>
      <c r="F276" s="11" t="s">
        <v>84</v>
      </c>
      <c r="G276" s="11" t="s">
        <v>142</v>
      </c>
      <c r="H276" s="11" t="s">
        <v>5081</v>
      </c>
      <c r="I276" s="11" t="s">
        <v>142</v>
      </c>
      <c r="J276" s="11" t="s">
        <v>142</v>
      </c>
      <c r="K276" s="11" t="s">
        <v>5024</v>
      </c>
      <c r="L276" s="11" t="s">
        <v>142</v>
      </c>
    </row>
    <row r="277" spans="1:12" x14ac:dyDescent="0.25">
      <c r="A277" s="26" t="s">
        <v>5099</v>
      </c>
      <c r="B277" s="11" t="s">
        <v>5100</v>
      </c>
      <c r="C277" s="11" t="s">
        <v>98</v>
      </c>
      <c r="D277" s="11" t="s">
        <v>5034</v>
      </c>
      <c r="E277" s="11" t="s">
        <v>4201</v>
      </c>
      <c r="F277" s="11" t="s">
        <v>84</v>
      </c>
      <c r="G277" s="11" t="s">
        <v>4964</v>
      </c>
      <c r="H277" s="11" t="s">
        <v>5081</v>
      </c>
      <c r="I277" s="11" t="s">
        <v>2174</v>
      </c>
      <c r="J277" s="11" t="s">
        <v>142</v>
      </c>
      <c r="K277" s="11" t="s">
        <v>3694</v>
      </c>
      <c r="L277" s="11" t="s">
        <v>142</v>
      </c>
    </row>
    <row r="278" spans="1:12" x14ac:dyDescent="0.25">
      <c r="A278" s="26" t="s">
        <v>5101</v>
      </c>
      <c r="B278" s="11" t="s">
        <v>5102</v>
      </c>
      <c r="C278" s="11" t="s">
        <v>94</v>
      </c>
      <c r="D278" s="11" t="s">
        <v>5103</v>
      </c>
      <c r="E278" s="11" t="s">
        <v>4201</v>
      </c>
      <c r="F278" s="11" t="s">
        <v>84</v>
      </c>
      <c r="G278" s="11" t="s">
        <v>5081</v>
      </c>
      <c r="H278" s="11" t="s">
        <v>5081</v>
      </c>
      <c r="I278" s="11" t="s">
        <v>2202</v>
      </c>
      <c r="J278" s="11" t="s">
        <v>142</v>
      </c>
      <c r="K278" s="11" t="s">
        <v>2207</v>
      </c>
      <c r="L278" s="11" t="s">
        <v>142</v>
      </c>
    </row>
    <row r="279" spans="1:12" x14ac:dyDescent="0.25">
      <c r="A279" s="26" t="s">
        <v>5104</v>
      </c>
      <c r="B279" s="11" t="s">
        <v>5105</v>
      </c>
      <c r="C279" s="11" t="s">
        <v>91</v>
      </c>
      <c r="D279" s="11" t="s">
        <v>5034</v>
      </c>
      <c r="E279" s="11" t="s">
        <v>4201</v>
      </c>
      <c r="F279" s="11" t="s">
        <v>84</v>
      </c>
      <c r="G279" s="11" t="s">
        <v>5081</v>
      </c>
      <c r="H279" s="11" t="s">
        <v>5081</v>
      </c>
      <c r="I279" s="11" t="s">
        <v>1984</v>
      </c>
      <c r="J279" s="11" t="s">
        <v>142</v>
      </c>
      <c r="K279" s="11" t="s">
        <v>1989</v>
      </c>
      <c r="L279" s="11" t="s">
        <v>142</v>
      </c>
    </row>
    <row r="280" spans="1:12" x14ac:dyDescent="0.25">
      <c r="A280" s="26" t="s">
        <v>5106</v>
      </c>
      <c r="B280" s="11" t="s">
        <v>3705</v>
      </c>
      <c r="C280" s="11" t="s">
        <v>100</v>
      </c>
      <c r="D280" s="11" t="s">
        <v>4215</v>
      </c>
      <c r="E280" s="11" t="s">
        <v>4186</v>
      </c>
      <c r="F280" s="11" t="s">
        <v>84</v>
      </c>
      <c r="G280" s="11" t="s">
        <v>5081</v>
      </c>
      <c r="H280" s="11" t="s">
        <v>5081</v>
      </c>
      <c r="I280" s="11" t="s">
        <v>142</v>
      </c>
      <c r="J280" s="11" t="s">
        <v>142</v>
      </c>
      <c r="K280" s="11" t="s">
        <v>5024</v>
      </c>
      <c r="L280" s="11" t="s">
        <v>142</v>
      </c>
    </row>
    <row r="281" spans="1:12" x14ac:dyDescent="0.25">
      <c r="A281" s="26" t="s">
        <v>5107</v>
      </c>
      <c r="B281" s="11" t="s">
        <v>3702</v>
      </c>
      <c r="C281" s="11" t="s">
        <v>100</v>
      </c>
      <c r="D281" s="11" t="s">
        <v>5108</v>
      </c>
      <c r="E281" s="11" t="s">
        <v>4186</v>
      </c>
      <c r="F281" s="11" t="s">
        <v>84</v>
      </c>
      <c r="G281" s="11" t="s">
        <v>5081</v>
      </c>
      <c r="H281" s="11" t="s">
        <v>5081</v>
      </c>
      <c r="I281" s="11" t="s">
        <v>142</v>
      </c>
      <c r="J281" s="11" t="s">
        <v>142</v>
      </c>
      <c r="K281" s="11" t="s">
        <v>5024</v>
      </c>
      <c r="L281" s="11" t="s">
        <v>142</v>
      </c>
    </row>
    <row r="282" spans="1:12" x14ac:dyDescent="0.25">
      <c r="A282" s="26" t="s">
        <v>5109</v>
      </c>
      <c r="B282" s="11" t="s">
        <v>5110</v>
      </c>
      <c r="C282" s="11" t="s">
        <v>98</v>
      </c>
      <c r="D282" s="11" t="s">
        <v>5111</v>
      </c>
      <c r="E282" s="11" t="s">
        <v>4201</v>
      </c>
      <c r="F282" s="11" t="s">
        <v>84</v>
      </c>
      <c r="G282" s="11" t="s">
        <v>5081</v>
      </c>
      <c r="H282" s="11" t="s">
        <v>5081</v>
      </c>
      <c r="I282" s="11" t="s">
        <v>2247</v>
      </c>
      <c r="J282" s="11" t="s">
        <v>142</v>
      </c>
      <c r="K282" s="11" t="s">
        <v>1989</v>
      </c>
      <c r="L282" s="11" t="s">
        <v>142</v>
      </c>
    </row>
    <row r="283" spans="1:12" x14ac:dyDescent="0.25">
      <c r="A283" s="26" t="s">
        <v>5112</v>
      </c>
      <c r="B283" s="11" t="s">
        <v>5113</v>
      </c>
      <c r="C283" s="11" t="s">
        <v>100</v>
      </c>
      <c r="D283" s="11" t="s">
        <v>4842</v>
      </c>
      <c r="E283" s="11" t="s">
        <v>4186</v>
      </c>
      <c r="F283" s="11" t="s">
        <v>83</v>
      </c>
      <c r="G283" s="11" t="s">
        <v>142</v>
      </c>
      <c r="H283" s="11" t="s">
        <v>5081</v>
      </c>
      <c r="I283" s="11" t="s">
        <v>142</v>
      </c>
      <c r="J283" s="11" t="s">
        <v>142</v>
      </c>
      <c r="K283" s="11" t="s">
        <v>5024</v>
      </c>
      <c r="L283" s="11" t="s">
        <v>5114</v>
      </c>
    </row>
    <row r="284" spans="1:12" x14ac:dyDescent="0.25">
      <c r="A284" s="26" t="s">
        <v>5115</v>
      </c>
      <c r="B284" s="11" t="s">
        <v>3699</v>
      </c>
      <c r="C284" s="11" t="s">
        <v>100</v>
      </c>
      <c r="D284" s="11" t="s">
        <v>5116</v>
      </c>
      <c r="E284" s="11" t="s">
        <v>4186</v>
      </c>
      <c r="F284" s="11" t="s">
        <v>84</v>
      </c>
      <c r="G284" s="11" t="s">
        <v>5081</v>
      </c>
      <c r="H284" s="11" t="s">
        <v>5081</v>
      </c>
      <c r="I284" s="11" t="s">
        <v>142</v>
      </c>
      <c r="J284" s="11" t="s">
        <v>142</v>
      </c>
      <c r="K284" s="11" t="s">
        <v>5024</v>
      </c>
      <c r="L284" s="11" t="s">
        <v>142</v>
      </c>
    </row>
    <row r="285" spans="1:12" x14ac:dyDescent="0.25">
      <c r="A285" s="26" t="s">
        <v>5117</v>
      </c>
      <c r="B285" s="11" t="s">
        <v>5118</v>
      </c>
      <c r="C285" s="11" t="s">
        <v>93</v>
      </c>
      <c r="D285" s="11" t="s">
        <v>5034</v>
      </c>
      <c r="E285" s="11" t="s">
        <v>4201</v>
      </c>
      <c r="F285" s="11" t="s">
        <v>84</v>
      </c>
      <c r="G285" s="11" t="s">
        <v>5081</v>
      </c>
      <c r="H285" s="11" t="s">
        <v>5081</v>
      </c>
      <c r="I285" s="11" t="s">
        <v>2174</v>
      </c>
      <c r="J285" s="11" t="s">
        <v>142</v>
      </c>
      <c r="K285" s="11" t="s">
        <v>3694</v>
      </c>
      <c r="L285" s="11" t="s">
        <v>142</v>
      </c>
    </row>
    <row r="286" spans="1:12" x14ac:dyDescent="0.25">
      <c r="A286" s="26" t="s">
        <v>5119</v>
      </c>
      <c r="B286" s="11" t="s">
        <v>3696</v>
      </c>
      <c r="C286" s="11" t="s">
        <v>100</v>
      </c>
      <c r="D286" s="11" t="s">
        <v>5120</v>
      </c>
      <c r="E286" s="11" t="s">
        <v>4186</v>
      </c>
      <c r="F286" s="11" t="s">
        <v>84</v>
      </c>
      <c r="G286" s="11" t="s">
        <v>5081</v>
      </c>
      <c r="H286" s="11" t="s">
        <v>5081</v>
      </c>
      <c r="I286" s="11" t="s">
        <v>142</v>
      </c>
      <c r="J286" s="11" t="s">
        <v>142</v>
      </c>
      <c r="K286" s="11" t="s">
        <v>5024</v>
      </c>
      <c r="L286" s="11" t="s">
        <v>142</v>
      </c>
    </row>
    <row r="287" spans="1:12" x14ac:dyDescent="0.25">
      <c r="A287" s="26" t="s">
        <v>5121</v>
      </c>
      <c r="B287" s="11" t="s">
        <v>5122</v>
      </c>
      <c r="C287" s="11" t="s">
        <v>90</v>
      </c>
      <c r="D287" s="11" t="s">
        <v>5034</v>
      </c>
      <c r="E287" s="11" t="s">
        <v>4201</v>
      </c>
      <c r="F287" s="11" t="s">
        <v>84</v>
      </c>
      <c r="G287" s="11" t="s">
        <v>5081</v>
      </c>
      <c r="H287" s="11" t="s">
        <v>5081</v>
      </c>
      <c r="I287" s="11" t="s">
        <v>142</v>
      </c>
      <c r="J287" s="11" t="s">
        <v>142</v>
      </c>
      <c r="K287" s="11" t="s">
        <v>5123</v>
      </c>
      <c r="L287" s="11" t="s">
        <v>142</v>
      </c>
    </row>
    <row r="288" spans="1:12" x14ac:dyDescent="0.25">
      <c r="A288" s="26" t="s">
        <v>5124</v>
      </c>
      <c r="B288" s="11" t="s">
        <v>5125</v>
      </c>
      <c r="C288" s="11" t="s">
        <v>90</v>
      </c>
      <c r="D288" s="11" t="s">
        <v>5126</v>
      </c>
      <c r="E288" s="11" t="s">
        <v>4201</v>
      </c>
      <c r="F288" s="11" t="s">
        <v>84</v>
      </c>
      <c r="G288" s="11" t="s">
        <v>5081</v>
      </c>
      <c r="H288" s="11" t="s">
        <v>5081</v>
      </c>
      <c r="I288" s="11" t="s">
        <v>142</v>
      </c>
      <c r="J288" s="11" t="s">
        <v>142</v>
      </c>
      <c r="K288" s="11" t="s">
        <v>5123</v>
      </c>
      <c r="L288" s="11" t="s">
        <v>142</v>
      </c>
    </row>
  </sheetData>
  <autoFilter ref="A1:L248"/>
  <conditionalFormatting sqref="F2:F288">
    <cfRule type="cellIs" dxfId="33" priority="2" operator="equal">
      <formula>"Merged"</formula>
    </cfRule>
    <cfRule type="cellIs" dxfId="34" priority="3" operator="equal">
      <formula>"Open (draft)"</formula>
    </cfRule>
    <cfRule type="cellIs" dxfId="35" priority="4" operator="equal">
      <formula>"Open"</formula>
    </cfRule>
    <cfRule type="cellIs" dxfId="36" priority="5" operator="equal">
      <formula>"Closed - not merged"</formula>
    </cfRule>
  </conditionalFormatting>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49" r:id="rId225"/>
    <hyperlink ref="A250" r:id="rId226"/>
    <hyperlink ref="A251" r:id="rId227"/>
    <hyperlink ref="A252" r:id="rId228"/>
    <hyperlink ref="A253" r:id="rId229"/>
    <hyperlink ref="A254" r:id="rId230"/>
    <hyperlink ref="A255" r:id="rId231"/>
    <hyperlink ref="A256" r:id="rId232"/>
    <hyperlink ref="A257" r:id="rId233"/>
    <hyperlink ref="A258" r:id="rId234"/>
    <hyperlink ref="A259" r:id="rId235"/>
    <hyperlink ref="A260" r:id="rId236"/>
    <hyperlink ref="A261" r:id="rId237"/>
    <hyperlink ref="A262" r:id="rId238"/>
    <hyperlink ref="A263" r:id="rId239"/>
    <hyperlink ref="A264" r:id="rId240"/>
    <hyperlink ref="A265" r:id="rId241"/>
    <hyperlink ref="A266" r:id="rId242"/>
    <hyperlink ref="A267" r:id="rId243"/>
    <hyperlink ref="A268" r:id="rId244"/>
    <hyperlink ref="A269" r:id="rId245"/>
    <hyperlink ref="A270" r:id="rId246"/>
    <hyperlink ref="A271" r:id="rId247"/>
    <hyperlink ref="A272" r:id="rId248"/>
    <hyperlink ref="A273" r:id="rId249"/>
    <hyperlink ref="A274" r:id="rId250"/>
    <hyperlink ref="A275" r:id="rId251"/>
    <hyperlink ref="A276" r:id="rId252"/>
    <hyperlink ref="A277" r:id="rId253"/>
    <hyperlink ref="A278" r:id="rId254"/>
    <hyperlink ref="A279" r:id="rId255"/>
    <hyperlink ref="A280" r:id="rId256"/>
    <hyperlink ref="A281" r:id="rId257"/>
    <hyperlink ref="A282" r:id="rId258"/>
    <hyperlink ref="A283" r:id="rId259"/>
    <hyperlink ref="A284" r:id="rId260"/>
    <hyperlink ref="A285" r:id="rId261"/>
    <hyperlink ref="A286" r:id="rId262"/>
    <hyperlink ref="A287" r:id="rId263"/>
    <hyperlink ref="A288" r:id="rId264"/>
  </hyperlinks>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1B1B"/>
    <pageSetUpPr fitToPage="1"/>
    <outlinePr summaryBelow="1" summaryRight="1"/>
  </sheetPr>
  <dimension ref="A1:H83"/>
  <sheetViews>
    <sheetView workbookViewId="0" zoomScale="90" zoomScaleNormal="90" view="normal">
      <pane xSplit="3" ySplit="1" topLeftCell="D2" activePane="bottomRight" state="frozen"/>
      <selection pane="bottomRight" activeCell="A1" sqref="A1"/>
    </sheetView>
  </sheetViews>
  <sheetFormatPr defaultRowHeight="15" outlineLevelRow="0" outlineLevelCol="0" x14ac:dyDescent="0" defaultColWidth="8.6796875"/>
  <cols>
    <col min="1" max="1" width="5" style="10" customWidth="1"/>
    <col min="2" max="2" width="16" style="10" customWidth="1"/>
    <col min="3" max="3" width="36" style="10" customWidth="1"/>
    <col min="4" max="4" width="60" style="10" customWidth="1"/>
    <col min="5" max="5" width="34" style="10" customWidth="1"/>
    <col min="6" max="6" width="14" style="10" customWidth="1"/>
    <col min="7" max="7" width="12" style="10" customWidth="1"/>
    <col min="8" max="8" width="34" style="10" customWidth="1"/>
  </cols>
  <sheetData>
    <row r="1" ht="30" customHeight="1" spans="1:8" s="10" customFormat="1" x14ac:dyDescent="0.25">
      <c r="A1" s="4" t="s">
        <v>118</v>
      </c>
      <c r="B1" s="4" t="s">
        <v>3525</v>
      </c>
      <c r="C1" s="4" t="s">
        <v>3726</v>
      </c>
      <c r="D1" s="4" t="s">
        <v>3857</v>
      </c>
      <c r="E1" s="4" t="s">
        <v>3858</v>
      </c>
      <c r="F1" s="4" t="s">
        <v>3844</v>
      </c>
      <c r="G1" s="4" t="s">
        <v>6</v>
      </c>
      <c r="H1" s="4" t="s">
        <v>3859</v>
      </c>
    </row>
    <row r="2" ht="39" customHeight="1" spans="1:8" s="10" customFormat="1" x14ac:dyDescent="0.25">
      <c r="A2" s="6">
        <v>1</v>
      </c>
      <c r="B2" s="11" t="s">
        <v>3860</v>
      </c>
      <c r="C2" s="11" t="s">
        <v>3861</v>
      </c>
      <c r="D2" s="11" t="s">
        <v>3862</v>
      </c>
      <c r="E2" s="11" t="s">
        <v>3863</v>
      </c>
      <c r="F2" s="11" t="s">
        <v>2756</v>
      </c>
      <c r="G2" s="11" t="s">
        <v>3864</v>
      </c>
      <c r="H2" s="11" t="s">
        <v>3865</v>
      </c>
    </row>
    <row r="3" ht="27" customHeight="1" spans="1:8" s="10" customFormat="1" x14ac:dyDescent="0.25">
      <c r="A3" s="6">
        <v>2</v>
      </c>
      <c r="B3" s="11" t="s">
        <v>3860</v>
      </c>
      <c r="C3" s="11" t="s">
        <v>3866</v>
      </c>
      <c r="D3" s="11" t="s">
        <v>3867</v>
      </c>
      <c r="E3" s="11" t="s">
        <v>3868</v>
      </c>
      <c r="F3" s="11" t="s">
        <v>3869</v>
      </c>
      <c r="G3" s="11" t="s">
        <v>3864</v>
      </c>
      <c r="H3" s="11" t="s">
        <v>3870</v>
      </c>
    </row>
    <row r="4" ht="63" customHeight="1" spans="1:8" s="10" customFormat="1" x14ac:dyDescent="0.25">
      <c r="A4" s="6">
        <v>3</v>
      </c>
      <c r="B4" s="11" t="s">
        <v>3871</v>
      </c>
      <c r="C4" s="11" t="s">
        <v>3872</v>
      </c>
      <c r="D4" s="11" t="s">
        <v>3873</v>
      </c>
      <c r="E4" s="11" t="s">
        <v>3874</v>
      </c>
      <c r="F4" s="11" t="s">
        <v>3875</v>
      </c>
      <c r="G4" s="11" t="s">
        <v>3876</v>
      </c>
      <c r="H4" s="11" t="s">
        <v>3877</v>
      </c>
    </row>
    <row r="5" ht="63" customHeight="1" spans="1:8" s="10" customFormat="1" x14ac:dyDescent="0.25">
      <c r="A5" s="6">
        <v>4</v>
      </c>
      <c r="B5" s="11" t="s">
        <v>3871</v>
      </c>
      <c r="C5" s="11" t="s">
        <v>3878</v>
      </c>
      <c r="D5" s="11" t="s">
        <v>3879</v>
      </c>
      <c r="E5" s="11" t="s">
        <v>3880</v>
      </c>
      <c r="F5" s="11" t="s">
        <v>2756</v>
      </c>
      <c r="G5" s="11" t="s">
        <v>3881</v>
      </c>
      <c r="H5" s="11" t="s">
        <v>3882</v>
      </c>
    </row>
    <row r="6" ht="27" customHeight="1" spans="1:8" s="10" customFormat="1" x14ac:dyDescent="0.25">
      <c r="A6" s="6">
        <v>5</v>
      </c>
      <c r="B6" s="11" t="s">
        <v>3883</v>
      </c>
      <c r="C6" s="11" t="s">
        <v>3884</v>
      </c>
      <c r="D6" s="11" t="s">
        <v>3885</v>
      </c>
      <c r="E6" s="11" t="s">
        <v>3886</v>
      </c>
      <c r="F6" s="11" t="s">
        <v>2756</v>
      </c>
      <c r="G6" s="11" t="s">
        <v>3864</v>
      </c>
      <c r="H6" s="11" t="s">
        <v>3887</v>
      </c>
    </row>
    <row r="7" ht="27" customHeight="1" spans="1:8" s="10" customFormat="1" x14ac:dyDescent="0.25">
      <c r="A7" s="6">
        <v>6</v>
      </c>
      <c r="B7" s="11" t="s">
        <v>3888</v>
      </c>
      <c r="C7" s="11" t="s">
        <v>3889</v>
      </c>
      <c r="D7" s="11" t="s">
        <v>3890</v>
      </c>
      <c r="E7" s="11" t="s">
        <v>3891</v>
      </c>
      <c r="F7" s="11" t="s">
        <v>2756</v>
      </c>
      <c r="G7" s="11" t="s">
        <v>3864</v>
      </c>
      <c r="H7" s="11" t="s">
        <v>3892</v>
      </c>
    </row>
    <row r="8" ht="27" customHeight="1" spans="1:8" s="10" customFormat="1" x14ac:dyDescent="0.25">
      <c r="A8" s="6">
        <v>7</v>
      </c>
      <c r="B8" s="11" t="s">
        <v>3883</v>
      </c>
      <c r="C8" s="11" t="s">
        <v>3893</v>
      </c>
      <c r="D8" s="11" t="s">
        <v>3894</v>
      </c>
      <c r="E8" s="11" t="s">
        <v>291</v>
      </c>
      <c r="F8" s="11" t="s">
        <v>2756</v>
      </c>
      <c r="G8" s="11" t="s">
        <v>3864</v>
      </c>
      <c r="H8" s="11" t="s">
        <v>3887</v>
      </c>
    </row>
    <row r="9" ht="27" customHeight="1" spans="1:8" s="10" customFormat="1" x14ac:dyDescent="0.25">
      <c r="A9" s="6">
        <v>8</v>
      </c>
      <c r="B9" s="11" t="s">
        <v>3883</v>
      </c>
      <c r="C9" s="11" t="s">
        <v>3895</v>
      </c>
      <c r="D9" s="11" t="s">
        <v>3896</v>
      </c>
      <c r="E9" s="11" t="s">
        <v>3897</v>
      </c>
      <c r="F9" s="11" t="s">
        <v>2756</v>
      </c>
      <c r="G9" s="11" t="s">
        <v>3864</v>
      </c>
      <c r="H9" s="11" t="s">
        <v>3898</v>
      </c>
    </row>
    <row r="10" ht="27" customHeight="1" spans="1:8" s="10" customFormat="1" x14ac:dyDescent="0.25">
      <c r="A10" s="6">
        <v>9</v>
      </c>
      <c r="B10" s="11" t="s">
        <v>3883</v>
      </c>
      <c r="C10" s="11" t="s">
        <v>3899</v>
      </c>
      <c r="D10" s="11" t="s">
        <v>3900</v>
      </c>
      <c r="E10" s="11" t="s">
        <v>1727</v>
      </c>
      <c r="F10" s="11" t="s">
        <v>3901</v>
      </c>
      <c r="G10" s="11" t="s">
        <v>3864</v>
      </c>
      <c r="H10" s="11" t="s">
        <v>3902</v>
      </c>
    </row>
    <row r="11" ht="27" customHeight="1" spans="1:8" s="10" customFormat="1" x14ac:dyDescent="0.25">
      <c r="A11" s="6">
        <v>10</v>
      </c>
      <c r="B11" s="11" t="s">
        <v>3883</v>
      </c>
      <c r="C11" s="11" t="s">
        <v>3903</v>
      </c>
      <c r="D11" s="11" t="s">
        <v>3904</v>
      </c>
      <c r="E11" s="11" t="s">
        <v>693</v>
      </c>
      <c r="F11" s="11" t="s">
        <v>2756</v>
      </c>
      <c r="G11" s="11" t="s">
        <v>3864</v>
      </c>
      <c r="H11" s="11" t="s">
        <v>3887</v>
      </c>
    </row>
    <row r="12" ht="27" customHeight="1" spans="1:8" s="10" customFormat="1" x14ac:dyDescent="0.25">
      <c r="A12" s="6">
        <v>11</v>
      </c>
      <c r="B12" s="11" t="s">
        <v>3883</v>
      </c>
      <c r="C12" s="11" t="s">
        <v>3905</v>
      </c>
      <c r="D12" s="11" t="s">
        <v>3906</v>
      </c>
      <c r="E12" s="11" t="s">
        <v>781</v>
      </c>
      <c r="F12" s="11" t="s">
        <v>2756</v>
      </c>
      <c r="G12" s="11" t="s">
        <v>3864</v>
      </c>
      <c r="H12" s="11" t="s">
        <v>3907</v>
      </c>
    </row>
    <row r="13" ht="63" customHeight="1" spans="1:8" s="10" customFormat="1" x14ac:dyDescent="0.25">
      <c r="A13" s="6">
        <v>12</v>
      </c>
      <c r="B13" s="11" t="s">
        <v>3883</v>
      </c>
      <c r="C13" s="11" t="s">
        <v>3908</v>
      </c>
      <c r="D13" s="11" t="s">
        <v>3909</v>
      </c>
      <c r="E13" s="11" t="s">
        <v>3910</v>
      </c>
      <c r="F13" s="11" t="s">
        <v>2756</v>
      </c>
      <c r="G13" s="11" t="s">
        <v>3911</v>
      </c>
      <c r="H13" s="11" t="s">
        <v>3887</v>
      </c>
    </row>
    <row r="14" ht="39" customHeight="1" spans="1:8" s="10" customFormat="1" x14ac:dyDescent="0.25">
      <c r="A14" s="6">
        <v>13</v>
      </c>
      <c r="B14" s="11" t="s">
        <v>3883</v>
      </c>
      <c r="C14" s="11" t="s">
        <v>3912</v>
      </c>
      <c r="D14" s="11" t="s">
        <v>3913</v>
      </c>
      <c r="E14" s="11" t="s">
        <v>3914</v>
      </c>
      <c r="F14" s="11" t="s">
        <v>2756</v>
      </c>
      <c r="G14" s="11" t="s">
        <v>3915</v>
      </c>
      <c r="H14" s="11" t="s">
        <v>3916</v>
      </c>
    </row>
    <row r="15" ht="39" customHeight="1" spans="1:8" s="10" customFormat="1" x14ac:dyDescent="0.25">
      <c r="A15" s="6">
        <v>14</v>
      </c>
      <c r="B15" s="11" t="s">
        <v>3888</v>
      </c>
      <c r="C15" s="11" t="s">
        <v>3917</v>
      </c>
      <c r="D15" s="11" t="s">
        <v>3918</v>
      </c>
      <c r="E15" s="11" t="s">
        <v>3919</v>
      </c>
      <c r="F15" s="11" t="s">
        <v>2756</v>
      </c>
      <c r="G15" s="11" t="s">
        <v>3911</v>
      </c>
      <c r="H15" s="11" t="s">
        <v>3920</v>
      </c>
    </row>
    <row r="16" ht="63" customHeight="1" spans="1:8" s="10" customFormat="1" x14ac:dyDescent="0.25">
      <c r="A16" s="6">
        <v>15</v>
      </c>
      <c r="B16" s="11" t="s">
        <v>3921</v>
      </c>
      <c r="C16" s="11" t="s">
        <v>3922</v>
      </c>
      <c r="D16" s="11" t="s">
        <v>3923</v>
      </c>
      <c r="E16" s="11" t="s">
        <v>3924</v>
      </c>
      <c r="F16" s="11" t="s">
        <v>3901</v>
      </c>
      <c r="G16" s="11" t="s">
        <v>3911</v>
      </c>
      <c r="H16" s="11" t="s">
        <v>3907</v>
      </c>
    </row>
    <row r="17" ht="27" customHeight="1" spans="1:8" s="10" customFormat="1" x14ac:dyDescent="0.25">
      <c r="A17" s="6">
        <v>16</v>
      </c>
      <c r="B17" s="11" t="s">
        <v>1850</v>
      </c>
      <c r="C17" s="11" t="s">
        <v>3925</v>
      </c>
      <c r="D17" s="11" t="s">
        <v>3926</v>
      </c>
      <c r="E17" s="11" t="s">
        <v>3927</v>
      </c>
      <c r="F17" s="11" t="s">
        <v>3928</v>
      </c>
      <c r="G17" s="11" t="s">
        <v>3911</v>
      </c>
      <c r="H17" s="11" t="s">
        <v>3929</v>
      </c>
    </row>
    <row r="18" ht="27" customHeight="1" spans="1:8" s="10" customFormat="1" x14ac:dyDescent="0.25">
      <c r="A18" s="6">
        <v>17</v>
      </c>
      <c r="B18" s="11" t="s">
        <v>1850</v>
      </c>
      <c r="C18" s="11" t="s">
        <v>3930</v>
      </c>
      <c r="D18" s="11" t="s">
        <v>3931</v>
      </c>
      <c r="E18" s="11" t="s">
        <v>2636</v>
      </c>
      <c r="F18" s="11" t="s">
        <v>3928</v>
      </c>
      <c r="G18" s="11" t="s">
        <v>3911</v>
      </c>
      <c r="H18" s="11" t="s">
        <v>3932</v>
      </c>
    </row>
    <row r="19" ht="39" customHeight="1" spans="1:8" s="10" customFormat="1" x14ac:dyDescent="0.25">
      <c r="A19" s="6">
        <v>18</v>
      </c>
      <c r="B19" s="11" t="s">
        <v>3933</v>
      </c>
      <c r="C19" s="11" t="s">
        <v>3934</v>
      </c>
      <c r="D19" s="11" t="s">
        <v>3935</v>
      </c>
      <c r="E19" s="11" t="s">
        <v>3936</v>
      </c>
      <c r="F19" s="11" t="s">
        <v>2756</v>
      </c>
      <c r="G19" s="11" t="s">
        <v>3911</v>
      </c>
      <c r="H19" s="11" t="s">
        <v>3937</v>
      </c>
    </row>
    <row r="20" ht="27" customHeight="1" spans="1:8" s="10" customFormat="1" x14ac:dyDescent="0.25">
      <c r="A20" s="6">
        <v>19</v>
      </c>
      <c r="B20" s="11" t="s">
        <v>3938</v>
      </c>
      <c r="C20" s="11" t="s">
        <v>3939</v>
      </c>
      <c r="D20" s="11" t="s">
        <v>3940</v>
      </c>
      <c r="E20" s="11" t="s">
        <v>3941</v>
      </c>
      <c r="F20" s="11" t="s">
        <v>2756</v>
      </c>
      <c r="G20" s="11" t="s">
        <v>3911</v>
      </c>
      <c r="H20" s="11" t="s">
        <v>1500</v>
      </c>
    </row>
    <row r="21" ht="27" customHeight="1" spans="1:8" s="10" customFormat="1" x14ac:dyDescent="0.25">
      <c r="A21" s="6">
        <v>20</v>
      </c>
      <c r="B21" s="11" t="s">
        <v>3942</v>
      </c>
      <c r="C21" s="11" t="s">
        <v>3943</v>
      </c>
      <c r="D21" s="11" t="s">
        <v>3944</v>
      </c>
      <c r="E21" s="11" t="s">
        <v>1214</v>
      </c>
      <c r="F21" s="11" t="s">
        <v>2221</v>
      </c>
      <c r="G21" s="11" t="s">
        <v>3864</v>
      </c>
      <c r="H21" s="11" t="s">
        <v>3945</v>
      </c>
    </row>
    <row r="22" ht="27" customHeight="1" spans="1:8" s="10" customFormat="1" x14ac:dyDescent="0.25">
      <c r="A22" s="6">
        <v>21</v>
      </c>
      <c r="B22" s="11" t="s">
        <v>3942</v>
      </c>
      <c r="C22" s="11" t="s">
        <v>3946</v>
      </c>
      <c r="D22" s="11" t="s">
        <v>3947</v>
      </c>
      <c r="E22" s="11" t="s">
        <v>3948</v>
      </c>
      <c r="F22" s="11" t="s">
        <v>2756</v>
      </c>
      <c r="G22" s="11" t="s">
        <v>3864</v>
      </c>
      <c r="H22" s="11" t="s">
        <v>3949</v>
      </c>
    </row>
    <row r="23" ht="27" customHeight="1" spans="1:8" s="10" customFormat="1" x14ac:dyDescent="0.25">
      <c r="A23" s="6">
        <v>22</v>
      </c>
      <c r="B23" s="11" t="s">
        <v>3950</v>
      </c>
      <c r="C23" s="11" t="s">
        <v>3951</v>
      </c>
      <c r="D23" s="11" t="s">
        <v>3952</v>
      </c>
      <c r="E23" s="11" t="s">
        <v>1156</v>
      </c>
      <c r="F23" s="11" t="s">
        <v>2756</v>
      </c>
      <c r="G23" s="11" t="s">
        <v>3953</v>
      </c>
      <c r="H23" s="11" t="s">
        <v>3954</v>
      </c>
    </row>
    <row r="24" ht="27" customHeight="1" spans="1:8" s="10" customFormat="1" x14ac:dyDescent="0.25">
      <c r="A24" s="6">
        <v>23</v>
      </c>
      <c r="B24" s="11" t="s">
        <v>3942</v>
      </c>
      <c r="C24" s="11" t="s">
        <v>3955</v>
      </c>
      <c r="D24" s="11" t="s">
        <v>3956</v>
      </c>
      <c r="E24" s="11" t="s">
        <v>3957</v>
      </c>
      <c r="F24" s="11" t="s">
        <v>2756</v>
      </c>
      <c r="G24" s="11" t="s">
        <v>3864</v>
      </c>
      <c r="H24" s="11" t="s">
        <v>3958</v>
      </c>
    </row>
    <row r="25" ht="39" customHeight="1" spans="1:8" s="10" customFormat="1" x14ac:dyDescent="0.25">
      <c r="A25" s="6">
        <v>24</v>
      </c>
      <c r="B25" s="11" t="s">
        <v>3888</v>
      </c>
      <c r="C25" s="11" t="s">
        <v>3959</v>
      </c>
      <c r="D25" s="11" t="s">
        <v>3960</v>
      </c>
      <c r="E25" s="11" t="s">
        <v>1255</v>
      </c>
      <c r="F25" s="11" t="s">
        <v>2756</v>
      </c>
      <c r="G25" s="11" t="s">
        <v>3911</v>
      </c>
      <c r="H25" s="11" t="s">
        <v>3961</v>
      </c>
    </row>
    <row r="26" ht="39" customHeight="1" spans="1:8" s="10" customFormat="1" x14ac:dyDescent="0.25">
      <c r="A26" s="6">
        <v>25</v>
      </c>
      <c r="B26" s="11" t="s">
        <v>3871</v>
      </c>
      <c r="C26" s="11" t="s">
        <v>3962</v>
      </c>
      <c r="D26" s="11" t="s">
        <v>3963</v>
      </c>
      <c r="E26" s="11" t="s">
        <v>3964</v>
      </c>
      <c r="F26" s="11" t="s">
        <v>2756</v>
      </c>
      <c r="G26" s="11" t="s">
        <v>3881</v>
      </c>
      <c r="H26" s="11" t="s">
        <v>3965</v>
      </c>
    </row>
    <row r="27" ht="39" customHeight="1" spans="1:8" s="10" customFormat="1" x14ac:dyDescent="0.25">
      <c r="A27" s="6">
        <v>26</v>
      </c>
      <c r="B27" s="11" t="s">
        <v>3933</v>
      </c>
      <c r="C27" s="11" t="s">
        <v>3966</v>
      </c>
      <c r="D27" s="11" t="s">
        <v>3967</v>
      </c>
      <c r="E27" s="11" t="s">
        <v>1264</v>
      </c>
      <c r="F27" s="11" t="s">
        <v>2756</v>
      </c>
      <c r="G27" s="11" t="s">
        <v>3911</v>
      </c>
      <c r="H27" s="11" t="s">
        <v>3968</v>
      </c>
    </row>
    <row r="28" ht="27" customHeight="1" spans="1:8" s="10" customFormat="1" x14ac:dyDescent="0.25">
      <c r="A28" s="6">
        <v>27</v>
      </c>
      <c r="B28" s="11" t="s">
        <v>3883</v>
      </c>
      <c r="C28" s="11" t="s">
        <v>3969</v>
      </c>
      <c r="D28" s="11" t="s">
        <v>3970</v>
      </c>
      <c r="E28" s="11" t="s">
        <v>3971</v>
      </c>
      <c r="F28" s="11" t="s">
        <v>2756</v>
      </c>
      <c r="G28" s="11" t="s">
        <v>3864</v>
      </c>
      <c r="H28" s="11" t="s">
        <v>3972</v>
      </c>
    </row>
    <row r="29" ht="27" customHeight="1" spans="1:8" s="10" customFormat="1" x14ac:dyDescent="0.25">
      <c r="A29" s="6">
        <v>28</v>
      </c>
      <c r="B29" s="11" t="s">
        <v>3950</v>
      </c>
      <c r="C29" s="11" t="s">
        <v>3973</v>
      </c>
      <c r="D29" s="11" t="s">
        <v>3974</v>
      </c>
      <c r="E29" s="11" t="s">
        <v>1246</v>
      </c>
      <c r="F29" s="11" t="s">
        <v>2756</v>
      </c>
      <c r="G29" s="11" t="s">
        <v>3953</v>
      </c>
      <c r="H29" s="11" t="s">
        <v>3975</v>
      </c>
    </row>
    <row r="30" ht="99" customHeight="1" spans="1:8" s="10" customFormat="1" x14ac:dyDescent="0.25">
      <c r="A30" s="6">
        <v>29</v>
      </c>
      <c r="B30" s="11" t="s">
        <v>3976</v>
      </c>
      <c r="C30" s="11" t="s">
        <v>3977</v>
      </c>
      <c r="D30" s="11" t="s">
        <v>3978</v>
      </c>
      <c r="E30" s="11" t="s">
        <v>3979</v>
      </c>
      <c r="F30" s="11" t="s">
        <v>2756</v>
      </c>
      <c r="G30" s="11" t="s">
        <v>3980</v>
      </c>
      <c r="H30" s="11" t="s">
        <v>3981</v>
      </c>
    </row>
    <row r="31" ht="75" customHeight="1" spans="1:8" s="10" customFormat="1" x14ac:dyDescent="0.25">
      <c r="A31" s="6">
        <v>30</v>
      </c>
      <c r="B31" s="11" t="s">
        <v>3982</v>
      </c>
      <c r="C31" s="11" t="s">
        <v>3983</v>
      </c>
      <c r="D31" s="11" t="s">
        <v>3984</v>
      </c>
      <c r="E31" s="11" t="s">
        <v>1518</v>
      </c>
      <c r="F31" s="11" t="s">
        <v>2221</v>
      </c>
      <c r="G31" s="11" t="s">
        <v>3864</v>
      </c>
      <c r="H31" s="11" t="s">
        <v>3985</v>
      </c>
    </row>
    <row r="32" ht="39" customHeight="1" spans="1:8" s="10" customFormat="1" x14ac:dyDescent="0.25">
      <c r="A32" s="6">
        <v>31</v>
      </c>
      <c r="B32" s="11" t="s">
        <v>3986</v>
      </c>
      <c r="C32" s="11" t="s">
        <v>3987</v>
      </c>
      <c r="D32" s="11" t="s">
        <v>3988</v>
      </c>
      <c r="E32" s="11" t="s">
        <v>1741</v>
      </c>
      <c r="F32" s="11" t="s">
        <v>2756</v>
      </c>
      <c r="G32" s="11" t="s">
        <v>3864</v>
      </c>
      <c r="H32" s="11" t="s">
        <v>3989</v>
      </c>
    </row>
    <row r="33" ht="27" customHeight="1" spans="1:8" s="10" customFormat="1" x14ac:dyDescent="0.25">
      <c r="A33" s="6">
        <v>32</v>
      </c>
      <c r="B33" s="11" t="s">
        <v>3990</v>
      </c>
      <c r="C33" s="11" t="s">
        <v>3991</v>
      </c>
      <c r="D33" s="11" t="s">
        <v>3992</v>
      </c>
      <c r="E33" s="11" t="s">
        <v>1556</v>
      </c>
      <c r="F33" s="11" t="s">
        <v>2756</v>
      </c>
      <c r="G33" s="11" t="s">
        <v>3864</v>
      </c>
      <c r="H33" s="11" t="s">
        <v>3993</v>
      </c>
    </row>
    <row r="34" ht="51" customHeight="1" spans="1:8" s="10" customFormat="1" x14ac:dyDescent="0.25">
      <c r="A34" s="6">
        <v>33</v>
      </c>
      <c r="B34" s="11" t="s">
        <v>582</v>
      </c>
      <c r="C34" s="11" t="s">
        <v>3994</v>
      </c>
      <c r="D34" s="11" t="s">
        <v>3995</v>
      </c>
      <c r="E34" s="11" t="s">
        <v>3996</v>
      </c>
      <c r="F34" s="11" t="s">
        <v>2756</v>
      </c>
      <c r="G34" s="11" t="s">
        <v>3881</v>
      </c>
      <c r="H34" s="11" t="s">
        <v>3997</v>
      </c>
    </row>
    <row r="35" ht="39" customHeight="1" spans="1:8" s="10" customFormat="1" x14ac:dyDescent="0.25">
      <c r="A35" s="6">
        <v>34</v>
      </c>
      <c r="B35" s="11" t="s">
        <v>3883</v>
      </c>
      <c r="C35" s="11" t="s">
        <v>3998</v>
      </c>
      <c r="D35" s="11" t="s">
        <v>3999</v>
      </c>
      <c r="E35" s="11" t="s">
        <v>1297</v>
      </c>
      <c r="F35" s="11" t="s">
        <v>2756</v>
      </c>
      <c r="G35" s="11" t="s">
        <v>3911</v>
      </c>
      <c r="H35" s="11" t="s">
        <v>4000</v>
      </c>
    </row>
    <row r="36" ht="51" customHeight="1" spans="1:8" s="10" customFormat="1" x14ac:dyDescent="0.25">
      <c r="A36" s="6">
        <v>35</v>
      </c>
      <c r="B36" s="11" t="s">
        <v>4001</v>
      </c>
      <c r="C36" s="11" t="s">
        <v>4002</v>
      </c>
      <c r="D36" s="11" t="s">
        <v>4003</v>
      </c>
      <c r="E36" s="11" t="s">
        <v>4004</v>
      </c>
      <c r="F36" s="11" t="s">
        <v>2756</v>
      </c>
      <c r="G36" s="11" t="s">
        <v>4005</v>
      </c>
      <c r="H36" s="11" t="s">
        <v>1762</v>
      </c>
    </row>
    <row r="37" ht="27" customHeight="1" spans="1:8" s="10" customFormat="1" x14ac:dyDescent="0.25">
      <c r="A37" s="6">
        <v>36</v>
      </c>
      <c r="B37" s="11" t="s">
        <v>3950</v>
      </c>
      <c r="C37" s="11" t="s">
        <v>4006</v>
      </c>
      <c r="D37" s="11" t="s">
        <v>4007</v>
      </c>
      <c r="E37" s="11" t="s">
        <v>1582</v>
      </c>
      <c r="F37" s="11" t="s">
        <v>2756</v>
      </c>
      <c r="G37" s="11" t="s">
        <v>3911</v>
      </c>
      <c r="H37" s="11" t="s">
        <v>4008</v>
      </c>
    </row>
    <row r="38" ht="39" customHeight="1" spans="1:8" s="10" customFormat="1" x14ac:dyDescent="0.25">
      <c r="A38" s="6">
        <v>37</v>
      </c>
      <c r="B38" s="11" t="s">
        <v>4009</v>
      </c>
      <c r="C38" s="11" t="s">
        <v>4010</v>
      </c>
      <c r="D38" s="11" t="s">
        <v>4011</v>
      </c>
      <c r="E38" s="11" t="s">
        <v>4012</v>
      </c>
      <c r="F38" s="11" t="s">
        <v>3869</v>
      </c>
      <c r="G38" s="11" t="s">
        <v>3864</v>
      </c>
      <c r="H38" s="11" t="s">
        <v>4013</v>
      </c>
    </row>
    <row r="39" ht="39" customHeight="1" spans="1:8" s="10" customFormat="1" x14ac:dyDescent="0.25">
      <c r="A39" s="6">
        <v>38</v>
      </c>
      <c r="B39" s="11" t="s">
        <v>3883</v>
      </c>
      <c r="C39" s="11" t="s">
        <v>4014</v>
      </c>
      <c r="D39" s="11" t="s">
        <v>4015</v>
      </c>
      <c r="E39" s="11" t="s">
        <v>4016</v>
      </c>
      <c r="F39" s="11" t="s">
        <v>2756</v>
      </c>
      <c r="G39" s="11" t="s">
        <v>3911</v>
      </c>
      <c r="H39" s="11" t="s">
        <v>1791</v>
      </c>
    </row>
    <row r="40" ht="27" customHeight="1" spans="1:8" s="10" customFormat="1" x14ac:dyDescent="0.25">
      <c r="A40" s="6">
        <v>39</v>
      </c>
      <c r="B40" s="11" t="s">
        <v>582</v>
      </c>
      <c r="C40" s="11" t="s">
        <v>4017</v>
      </c>
      <c r="D40" s="11" t="s">
        <v>4018</v>
      </c>
      <c r="E40" s="11" t="s">
        <v>1619</v>
      </c>
      <c r="F40" s="11" t="s">
        <v>2756</v>
      </c>
      <c r="G40" s="11" t="s">
        <v>3881</v>
      </c>
      <c r="H40" s="11" t="s">
        <v>4019</v>
      </c>
    </row>
    <row r="41" ht="39" customHeight="1" spans="1:8" s="10" customFormat="1" x14ac:dyDescent="0.25">
      <c r="A41" s="6">
        <v>40</v>
      </c>
      <c r="B41" s="11" t="s">
        <v>3933</v>
      </c>
      <c r="C41" s="11" t="s">
        <v>4020</v>
      </c>
      <c r="D41" s="11" t="s">
        <v>4021</v>
      </c>
      <c r="E41" s="11" t="s">
        <v>4022</v>
      </c>
      <c r="F41" s="11" t="s">
        <v>2756</v>
      </c>
      <c r="G41" s="11" t="s">
        <v>3911</v>
      </c>
      <c r="H41" s="11" t="s">
        <v>4023</v>
      </c>
    </row>
    <row r="42" ht="51" customHeight="1" spans="1:8" s="10" customFormat="1" x14ac:dyDescent="0.25">
      <c r="A42" s="6">
        <v>41</v>
      </c>
      <c r="B42" s="11" t="s">
        <v>3883</v>
      </c>
      <c r="C42" s="11" t="s">
        <v>4024</v>
      </c>
      <c r="D42" s="11" t="s">
        <v>4025</v>
      </c>
      <c r="E42" s="11" t="s">
        <v>1402</v>
      </c>
      <c r="F42" s="11" t="s">
        <v>142</v>
      </c>
      <c r="G42" s="11" t="s">
        <v>3864</v>
      </c>
      <c r="H42" s="11" t="s">
        <v>4026</v>
      </c>
    </row>
    <row r="43" ht="75" customHeight="1" spans="1:8" s="10" customFormat="1" x14ac:dyDescent="0.25">
      <c r="A43" s="6">
        <v>42</v>
      </c>
      <c r="B43" s="11" t="s">
        <v>3950</v>
      </c>
      <c r="C43" s="11" t="s">
        <v>4027</v>
      </c>
      <c r="D43" s="11" t="s">
        <v>4028</v>
      </c>
      <c r="E43" s="11" t="s">
        <v>1595</v>
      </c>
      <c r="F43" s="11" t="s">
        <v>3869</v>
      </c>
      <c r="G43" s="11" t="s">
        <v>3864</v>
      </c>
      <c r="H43" s="11" t="s">
        <v>4029</v>
      </c>
    </row>
    <row r="44" ht="63" customHeight="1" spans="1:8" s="10" customFormat="1" x14ac:dyDescent="0.25">
      <c r="A44" s="6">
        <v>43</v>
      </c>
      <c r="B44" s="11" t="s">
        <v>1630</v>
      </c>
      <c r="C44" s="11" t="s">
        <v>4030</v>
      </c>
      <c r="D44" s="11" t="s">
        <v>4031</v>
      </c>
      <c r="E44" s="11" t="s">
        <v>4032</v>
      </c>
      <c r="F44" s="11" t="s">
        <v>4033</v>
      </c>
      <c r="G44" s="11" t="s">
        <v>3881</v>
      </c>
      <c r="H44" s="11" t="s">
        <v>4034</v>
      </c>
    </row>
    <row r="45" ht="63" customHeight="1" spans="1:8" s="10" customFormat="1" x14ac:dyDescent="0.25">
      <c r="A45" s="6">
        <v>44</v>
      </c>
      <c r="B45" s="11" t="s">
        <v>3933</v>
      </c>
      <c r="C45" s="11" t="s">
        <v>4035</v>
      </c>
      <c r="D45" s="11" t="s">
        <v>4036</v>
      </c>
      <c r="E45" s="11" t="s">
        <v>1684</v>
      </c>
      <c r="F45" s="11" t="s">
        <v>2756</v>
      </c>
      <c r="G45" s="11" t="s">
        <v>3911</v>
      </c>
      <c r="H45" s="11" t="s">
        <v>1804</v>
      </c>
    </row>
    <row r="46" ht="39" customHeight="1" spans="1:8" s="10" customFormat="1" x14ac:dyDescent="0.25">
      <c r="A46" s="6">
        <v>45</v>
      </c>
      <c r="B46" s="11" t="s">
        <v>3950</v>
      </c>
      <c r="C46" s="11" t="s">
        <v>4037</v>
      </c>
      <c r="D46" s="11" t="s">
        <v>4038</v>
      </c>
      <c r="E46" s="11" t="s">
        <v>1442</v>
      </c>
      <c r="F46" s="11" t="s">
        <v>4039</v>
      </c>
      <c r="G46" s="11" t="s">
        <v>2928</v>
      </c>
      <c r="H46" s="11" t="s">
        <v>4040</v>
      </c>
    </row>
    <row r="47" ht="27" customHeight="1" spans="1:8" s="10" customFormat="1" x14ac:dyDescent="0.25">
      <c r="A47" s="6">
        <v>46</v>
      </c>
      <c r="B47" s="11" t="s">
        <v>3950</v>
      </c>
      <c r="C47" s="11" t="s">
        <v>4041</v>
      </c>
      <c r="D47" s="11" t="s">
        <v>4042</v>
      </c>
      <c r="E47" s="11" t="s">
        <v>4043</v>
      </c>
      <c r="F47" s="11" t="s">
        <v>3869</v>
      </c>
      <c r="G47" s="11" t="s">
        <v>2928</v>
      </c>
      <c r="H47" s="11" t="s">
        <v>4044</v>
      </c>
    </row>
    <row r="48" ht="27" customHeight="1" spans="1:8" s="12" customFormat="1" x14ac:dyDescent="0.25">
      <c r="A48" s="6">
        <v>47</v>
      </c>
      <c r="B48" s="11" t="s">
        <v>3860</v>
      </c>
      <c r="C48" s="11" t="s">
        <v>4045</v>
      </c>
      <c r="D48" s="11" t="s">
        <v>4046</v>
      </c>
      <c r="E48" s="11" t="s">
        <v>4047</v>
      </c>
      <c r="F48" s="11" t="s">
        <v>2756</v>
      </c>
      <c r="G48" s="11" t="s">
        <v>3864</v>
      </c>
      <c r="H48" s="11" t="s">
        <v>4048</v>
      </c>
    </row>
    <row r="49" ht="27" customHeight="1" spans="1:8" s="12" customFormat="1" x14ac:dyDescent="0.25">
      <c r="A49" s="6">
        <v>48</v>
      </c>
      <c r="B49" s="11" t="s">
        <v>3883</v>
      </c>
      <c r="C49" s="11" t="s">
        <v>4049</v>
      </c>
      <c r="D49" s="11" t="s">
        <v>4050</v>
      </c>
      <c r="E49" s="11" t="s">
        <v>4051</v>
      </c>
      <c r="F49" s="11" t="s">
        <v>4052</v>
      </c>
      <c r="G49" s="11" t="s">
        <v>4053</v>
      </c>
      <c r="H49" s="11" t="s">
        <v>4048</v>
      </c>
    </row>
    <row r="50" ht="27" customHeight="1" spans="1:8" s="12" customFormat="1" x14ac:dyDescent="0.25">
      <c r="A50" s="6">
        <v>49</v>
      </c>
      <c r="B50" s="11" t="s">
        <v>3883</v>
      </c>
      <c r="C50" s="11" t="s">
        <v>4054</v>
      </c>
      <c r="D50" s="11" t="s">
        <v>4055</v>
      </c>
      <c r="E50" s="11" t="s">
        <v>4056</v>
      </c>
      <c r="F50" s="11" t="s">
        <v>4052</v>
      </c>
      <c r="G50" s="11" t="s">
        <v>4053</v>
      </c>
      <c r="H50" s="11" t="s">
        <v>4048</v>
      </c>
    </row>
    <row r="51" ht="27" customHeight="1" spans="1:8" s="12" customFormat="1" x14ac:dyDescent="0.25">
      <c r="A51" s="6">
        <v>50</v>
      </c>
      <c r="B51" s="11" t="s">
        <v>3871</v>
      </c>
      <c r="C51" s="11" t="s">
        <v>4057</v>
      </c>
      <c r="D51" s="11" t="s">
        <v>4058</v>
      </c>
      <c r="E51" s="11" t="s">
        <v>4059</v>
      </c>
      <c r="F51" s="11" t="s">
        <v>2756</v>
      </c>
      <c r="G51" s="11" t="s">
        <v>3881</v>
      </c>
      <c r="H51" s="11" t="s">
        <v>4048</v>
      </c>
    </row>
    <row r="52" ht="51" customHeight="1" spans="1:8" s="12" customFormat="1" x14ac:dyDescent="0.25">
      <c r="A52" s="6">
        <v>51</v>
      </c>
      <c r="B52" s="11" t="s">
        <v>4060</v>
      </c>
      <c r="C52" s="11" t="s">
        <v>4061</v>
      </c>
      <c r="D52" s="11" t="s">
        <v>4062</v>
      </c>
      <c r="E52" s="11" t="s">
        <v>4063</v>
      </c>
      <c r="F52" s="11" t="s">
        <v>2756</v>
      </c>
      <c r="G52" s="11" t="s">
        <v>3881</v>
      </c>
      <c r="H52" s="11" t="s">
        <v>4064</v>
      </c>
    </row>
    <row r="53" ht="39" customHeight="1" spans="1:8" s="12" customFormat="1" x14ac:dyDescent="0.25">
      <c r="A53" s="6">
        <v>52</v>
      </c>
      <c r="B53" s="11" t="s">
        <v>4065</v>
      </c>
      <c r="C53" s="11" t="s">
        <v>4066</v>
      </c>
      <c r="D53" s="11" t="s">
        <v>4067</v>
      </c>
      <c r="E53" s="11" t="s">
        <v>4068</v>
      </c>
      <c r="F53" s="11" t="s">
        <v>2756</v>
      </c>
      <c r="G53" s="11" t="s">
        <v>3881</v>
      </c>
      <c r="H53" s="11" t="s">
        <v>4064</v>
      </c>
    </row>
    <row r="54" ht="39" customHeight="1" spans="1:8" s="12" customFormat="1" x14ac:dyDescent="0.25">
      <c r="A54" s="6">
        <v>53</v>
      </c>
      <c r="B54" s="11" t="s">
        <v>3883</v>
      </c>
      <c r="C54" s="11" t="s">
        <v>4069</v>
      </c>
      <c r="D54" s="11" t="s">
        <v>4070</v>
      </c>
      <c r="E54" s="11" t="s">
        <v>4071</v>
      </c>
      <c r="F54" s="11" t="s">
        <v>2756</v>
      </c>
      <c r="G54" s="11" t="s">
        <v>3881</v>
      </c>
      <c r="H54" s="11" t="s">
        <v>4064</v>
      </c>
    </row>
    <row r="55" ht="27" customHeight="1" spans="1:8" s="12" customFormat="1" x14ac:dyDescent="0.25">
      <c r="A55" s="6">
        <v>54</v>
      </c>
      <c r="B55" s="11" t="s">
        <v>4060</v>
      </c>
      <c r="C55" s="11" t="s">
        <v>4072</v>
      </c>
      <c r="D55" s="11" t="s">
        <v>4073</v>
      </c>
      <c r="E55" s="11" t="s">
        <v>4074</v>
      </c>
      <c r="F55" s="11" t="s">
        <v>2756</v>
      </c>
      <c r="G55" s="11" t="s">
        <v>3881</v>
      </c>
      <c r="H55" s="11" t="s">
        <v>4064</v>
      </c>
    </row>
    <row r="56" ht="39" customHeight="1" spans="1:8" s="12" customFormat="1" x14ac:dyDescent="0.25">
      <c r="A56" s="6">
        <v>55</v>
      </c>
      <c r="B56" s="11" t="s">
        <v>3888</v>
      </c>
      <c r="C56" s="11" t="s">
        <v>4075</v>
      </c>
      <c r="D56" s="11" t="s">
        <v>4076</v>
      </c>
      <c r="E56" s="11" t="s">
        <v>4077</v>
      </c>
      <c r="F56" s="11" t="s">
        <v>2756</v>
      </c>
      <c r="G56" s="11" t="s">
        <v>3881</v>
      </c>
      <c r="H56" s="11" t="s">
        <v>4064</v>
      </c>
    </row>
    <row r="57" ht="39" customHeight="1" spans="1:8" s="12" customFormat="1" x14ac:dyDescent="0.25">
      <c r="A57" s="6">
        <v>56</v>
      </c>
      <c r="B57" s="11" t="s">
        <v>2221</v>
      </c>
      <c r="C57" s="11" t="s">
        <v>4078</v>
      </c>
      <c r="D57" s="11" t="s">
        <v>4079</v>
      </c>
      <c r="E57" s="11" t="s">
        <v>1452</v>
      </c>
      <c r="F57" s="11" t="s">
        <v>2221</v>
      </c>
      <c r="G57" s="11" t="s">
        <v>3864</v>
      </c>
      <c r="H57" s="11" t="s">
        <v>4064</v>
      </c>
    </row>
    <row r="58" ht="27" customHeight="1" spans="1:8" s="12" customFormat="1" x14ac:dyDescent="0.25">
      <c r="A58" s="6">
        <v>57</v>
      </c>
      <c r="B58" s="11" t="s">
        <v>3933</v>
      </c>
      <c r="C58" s="11" t="s">
        <v>4080</v>
      </c>
      <c r="D58" s="11" t="s">
        <v>4081</v>
      </c>
      <c r="E58" s="11" t="s">
        <v>4082</v>
      </c>
      <c r="F58" s="11" t="s">
        <v>2756</v>
      </c>
      <c r="G58" s="11" t="s">
        <v>3911</v>
      </c>
      <c r="H58" s="11" t="s">
        <v>4083</v>
      </c>
    </row>
    <row r="59" ht="27" customHeight="1" spans="1:8" s="12" customFormat="1" x14ac:dyDescent="0.25">
      <c r="A59" s="6">
        <v>58</v>
      </c>
      <c r="B59" s="11" t="s">
        <v>3933</v>
      </c>
      <c r="C59" s="11" t="s">
        <v>4084</v>
      </c>
      <c r="D59" s="11" t="s">
        <v>4085</v>
      </c>
      <c r="E59" s="11" t="s">
        <v>1719</v>
      </c>
      <c r="F59" s="11" t="s">
        <v>2756</v>
      </c>
      <c r="G59" s="11" t="s">
        <v>3911</v>
      </c>
      <c r="H59" s="11" t="s">
        <v>4086</v>
      </c>
    </row>
    <row r="60" ht="27" customHeight="1" spans="1:8" s="12" customFormat="1" x14ac:dyDescent="0.25">
      <c r="A60" s="6">
        <v>59</v>
      </c>
      <c r="B60" s="11" t="s">
        <v>3933</v>
      </c>
      <c r="C60" s="11" t="s">
        <v>4087</v>
      </c>
      <c r="D60" s="11" t="s">
        <v>4088</v>
      </c>
      <c r="E60" s="11" t="s">
        <v>1727</v>
      </c>
      <c r="F60" s="11" t="s">
        <v>2756</v>
      </c>
      <c r="G60" s="11" t="s">
        <v>3911</v>
      </c>
      <c r="H60" s="11" t="s">
        <v>4089</v>
      </c>
    </row>
    <row r="61" ht="27" customHeight="1" spans="1:8" s="12" customFormat="1" x14ac:dyDescent="0.25">
      <c r="A61" s="6">
        <v>60</v>
      </c>
      <c r="B61" s="11" t="s">
        <v>3921</v>
      </c>
      <c r="C61" s="11" t="s">
        <v>4090</v>
      </c>
      <c r="D61" s="11" t="s">
        <v>4091</v>
      </c>
      <c r="E61" s="11" t="s">
        <v>4092</v>
      </c>
      <c r="F61" s="11" t="s">
        <v>3901</v>
      </c>
      <c r="G61" s="11" t="s">
        <v>3911</v>
      </c>
      <c r="H61" s="11" t="s">
        <v>4093</v>
      </c>
    </row>
    <row r="62" ht="27" customHeight="1" spans="1:8" s="12" customFormat="1" x14ac:dyDescent="0.25">
      <c r="A62" s="6">
        <v>61</v>
      </c>
      <c r="B62" s="11" t="s">
        <v>3933</v>
      </c>
      <c r="C62" s="11" t="s">
        <v>4094</v>
      </c>
      <c r="D62" s="11" t="s">
        <v>4095</v>
      </c>
      <c r="E62" s="11" t="s">
        <v>781</v>
      </c>
      <c r="F62" s="11" t="s">
        <v>2756</v>
      </c>
      <c r="G62" s="11" t="s">
        <v>3911</v>
      </c>
      <c r="H62" s="11" t="s">
        <v>4096</v>
      </c>
    </row>
    <row r="63" ht="27" customHeight="1" spans="1:8" s="12" customFormat="1" x14ac:dyDescent="0.25">
      <c r="A63" s="6">
        <v>62</v>
      </c>
      <c r="B63" s="11" t="s">
        <v>3933</v>
      </c>
      <c r="C63" s="11" t="s">
        <v>4097</v>
      </c>
      <c r="D63" s="11" t="s">
        <v>4098</v>
      </c>
      <c r="E63" s="11" t="s">
        <v>1284</v>
      </c>
      <c r="F63" s="11" t="s">
        <v>2756</v>
      </c>
      <c r="G63" s="11" t="s">
        <v>3911</v>
      </c>
      <c r="H63" s="11" t="s">
        <v>4099</v>
      </c>
    </row>
    <row r="64" ht="27" customHeight="1" spans="1:8" s="12" customFormat="1" x14ac:dyDescent="0.25">
      <c r="A64" s="6">
        <v>63</v>
      </c>
      <c r="B64" s="11" t="s">
        <v>3933</v>
      </c>
      <c r="C64" s="11" t="s">
        <v>4100</v>
      </c>
      <c r="D64" s="11" t="s">
        <v>4101</v>
      </c>
      <c r="E64" s="11" t="s">
        <v>4102</v>
      </c>
      <c r="F64" s="11" t="s">
        <v>2756</v>
      </c>
      <c r="G64" s="11" t="s">
        <v>3911</v>
      </c>
      <c r="H64" s="11" t="s">
        <v>4103</v>
      </c>
    </row>
    <row r="65" ht="39" customHeight="1" spans="1:8" s="12" customFormat="1" x14ac:dyDescent="0.25">
      <c r="A65" s="6">
        <v>64</v>
      </c>
      <c r="B65" s="11" t="s">
        <v>4104</v>
      </c>
      <c r="C65" s="11" t="s">
        <v>4105</v>
      </c>
      <c r="D65" s="11" t="s">
        <v>4106</v>
      </c>
      <c r="E65" s="11" t="s">
        <v>4107</v>
      </c>
      <c r="F65" s="11" t="s">
        <v>2756</v>
      </c>
      <c r="G65" s="11" t="s">
        <v>3911</v>
      </c>
      <c r="H65" s="11" t="s">
        <v>4108</v>
      </c>
    </row>
    <row r="66" ht="27" customHeight="1" spans="1:8" s="12" customFormat="1" x14ac:dyDescent="0.25">
      <c r="A66" s="6">
        <v>65</v>
      </c>
      <c r="B66" s="11" t="s">
        <v>3933</v>
      </c>
      <c r="C66" s="11" t="s">
        <v>4109</v>
      </c>
      <c r="D66" s="11" t="s">
        <v>4110</v>
      </c>
      <c r="E66" s="11" t="s">
        <v>4111</v>
      </c>
      <c r="F66" s="11" t="s">
        <v>2756</v>
      </c>
      <c r="G66" s="11" t="s">
        <v>3911</v>
      </c>
      <c r="H66" s="11" t="s">
        <v>4112</v>
      </c>
    </row>
    <row r="67" ht="51" customHeight="1" spans="1:8" s="12" customFormat="1" x14ac:dyDescent="0.25">
      <c r="A67" s="6">
        <v>66</v>
      </c>
      <c r="B67" s="11" t="s">
        <v>3860</v>
      </c>
      <c r="C67" s="11" t="s">
        <v>4113</v>
      </c>
      <c r="D67" s="11" t="s">
        <v>4114</v>
      </c>
      <c r="E67" s="11" t="s">
        <v>4115</v>
      </c>
      <c r="F67" s="11" t="s">
        <v>3869</v>
      </c>
      <c r="G67" s="11" t="s">
        <v>3864</v>
      </c>
      <c r="H67" s="11" t="s">
        <v>4116</v>
      </c>
    </row>
    <row r="68" ht="27" customHeight="1" spans="1:8" s="12" customFormat="1" x14ac:dyDescent="0.25">
      <c r="A68" s="6">
        <v>67</v>
      </c>
      <c r="B68" s="11" t="s">
        <v>3933</v>
      </c>
      <c r="C68" s="11" t="s">
        <v>4117</v>
      </c>
      <c r="D68" s="11" t="s">
        <v>4118</v>
      </c>
      <c r="E68" s="11" t="s">
        <v>4119</v>
      </c>
      <c r="F68" s="11" t="s">
        <v>2756</v>
      </c>
      <c r="G68" s="11" t="s">
        <v>3881</v>
      </c>
      <c r="H68" s="11" t="s">
        <v>4120</v>
      </c>
    </row>
    <row r="69" ht="39" customHeight="1" spans="1:8" s="12" customFormat="1" x14ac:dyDescent="0.25">
      <c r="A69" s="6">
        <v>68</v>
      </c>
      <c r="B69" s="11" t="s">
        <v>3883</v>
      </c>
      <c r="C69" s="11" t="s">
        <v>4121</v>
      </c>
      <c r="D69" s="11" t="s">
        <v>4122</v>
      </c>
      <c r="E69" s="11" t="s">
        <v>4123</v>
      </c>
      <c r="F69" s="11" t="s">
        <v>2756</v>
      </c>
      <c r="G69" s="11" t="s">
        <v>3864</v>
      </c>
      <c r="H69" s="11" t="s">
        <v>4124</v>
      </c>
    </row>
    <row r="70" ht="27" customHeight="1" spans="1:8" s="12" customFormat="1" x14ac:dyDescent="0.25">
      <c r="A70" s="6">
        <v>69</v>
      </c>
      <c r="B70" s="11" t="s">
        <v>3921</v>
      </c>
      <c r="C70" s="11" t="s">
        <v>4125</v>
      </c>
      <c r="D70" s="11" t="s">
        <v>4126</v>
      </c>
      <c r="E70" s="11" t="s">
        <v>4127</v>
      </c>
      <c r="F70" s="11" t="s">
        <v>3901</v>
      </c>
      <c r="G70" s="11" t="s">
        <v>3911</v>
      </c>
      <c r="H70" s="11" t="s">
        <v>4128</v>
      </c>
    </row>
    <row r="71" spans="1:8" x14ac:dyDescent="0.25">
      <c r="A71" s="6">
        <v>70</v>
      </c>
      <c r="B71" s="11" t="s">
        <v>3883</v>
      </c>
      <c r="C71" s="11" t="s">
        <v>4129</v>
      </c>
      <c r="D71" s="11" t="s">
        <v>4130</v>
      </c>
      <c r="E71" s="11" t="s">
        <v>1644</v>
      </c>
      <c r="F71" s="11" t="s">
        <v>2756</v>
      </c>
      <c r="G71" s="11" t="s">
        <v>3881</v>
      </c>
      <c r="H71" s="11" t="s">
        <v>4131</v>
      </c>
    </row>
    <row r="72" spans="1:8" x14ac:dyDescent="0.25">
      <c r="A72" s="6">
        <v>71</v>
      </c>
      <c r="B72" s="11" t="s">
        <v>1507</v>
      </c>
      <c r="C72" s="11" t="s">
        <v>4132</v>
      </c>
      <c r="D72" s="11" t="s">
        <v>4133</v>
      </c>
      <c r="E72" s="11" t="s">
        <v>4134</v>
      </c>
      <c r="F72" s="11" t="s">
        <v>3869</v>
      </c>
      <c r="G72" s="11" t="s">
        <v>3864</v>
      </c>
      <c r="H72" s="11" t="s">
        <v>4135</v>
      </c>
    </row>
    <row r="73" spans="1:8" x14ac:dyDescent="0.25">
      <c r="A73" s="6">
        <v>72</v>
      </c>
      <c r="B73" s="11" t="s">
        <v>4136</v>
      </c>
      <c r="C73" s="11" t="s">
        <v>4137</v>
      </c>
      <c r="D73" s="11" t="s">
        <v>4138</v>
      </c>
      <c r="E73" s="11" t="s">
        <v>4139</v>
      </c>
      <c r="F73" s="11" t="s">
        <v>2756</v>
      </c>
      <c r="G73" s="11" t="s">
        <v>3911</v>
      </c>
      <c r="H73" s="11" t="s">
        <v>2235</v>
      </c>
    </row>
    <row r="74" spans="1:8" x14ac:dyDescent="0.25">
      <c r="A74" s="6">
        <v>73</v>
      </c>
      <c r="B74" s="11" t="s">
        <v>4060</v>
      </c>
      <c r="C74" s="11" t="s">
        <v>3846</v>
      </c>
      <c r="D74" s="11" t="s">
        <v>4140</v>
      </c>
      <c r="E74" s="11" t="s">
        <v>2119</v>
      </c>
      <c r="F74" s="11" t="s">
        <v>4141</v>
      </c>
      <c r="G74" s="11" t="s">
        <v>3881</v>
      </c>
      <c r="H74" s="11" t="s">
        <v>4142</v>
      </c>
    </row>
    <row r="75" spans="1:8" x14ac:dyDescent="0.25">
      <c r="A75" s="6">
        <v>74</v>
      </c>
      <c r="B75" s="11" t="s">
        <v>4060</v>
      </c>
      <c r="C75" s="11" t="s">
        <v>4143</v>
      </c>
      <c r="D75" s="11" t="s">
        <v>4144</v>
      </c>
      <c r="E75" s="11" t="s">
        <v>2119</v>
      </c>
      <c r="F75" s="11" t="s">
        <v>2756</v>
      </c>
      <c r="G75" s="11" t="s">
        <v>4145</v>
      </c>
      <c r="H75" s="11" t="s">
        <v>4146</v>
      </c>
    </row>
    <row r="76" spans="1:8" x14ac:dyDescent="0.25">
      <c r="A76" s="6">
        <v>75</v>
      </c>
      <c r="B76" s="11" t="s">
        <v>4060</v>
      </c>
      <c r="C76" s="11" t="s">
        <v>4147</v>
      </c>
      <c r="D76" s="11" t="s">
        <v>4148</v>
      </c>
      <c r="E76" s="11" t="s">
        <v>2119</v>
      </c>
      <c r="F76" s="11" t="s">
        <v>3854</v>
      </c>
      <c r="G76" s="11" t="s">
        <v>4149</v>
      </c>
      <c r="H76" s="11" t="s">
        <v>4150</v>
      </c>
    </row>
    <row r="77" spans="1:8" x14ac:dyDescent="0.25">
      <c r="A77" s="6">
        <v>76</v>
      </c>
      <c r="B77" s="11" t="s">
        <v>3883</v>
      </c>
      <c r="C77" s="11" t="s">
        <v>4151</v>
      </c>
      <c r="D77" s="11" t="s">
        <v>4152</v>
      </c>
      <c r="E77" s="11" t="s">
        <v>4153</v>
      </c>
      <c r="F77" s="11" t="s">
        <v>2756</v>
      </c>
      <c r="G77" s="11" t="s">
        <v>3911</v>
      </c>
      <c r="H77" s="11" t="s">
        <v>4154</v>
      </c>
    </row>
    <row r="78" spans="1:8" x14ac:dyDescent="0.25">
      <c r="A78" s="6">
        <v>77</v>
      </c>
      <c r="B78" s="11" t="s">
        <v>3883</v>
      </c>
      <c r="C78" s="11" t="s">
        <v>4155</v>
      </c>
      <c r="D78" s="11" t="s">
        <v>4156</v>
      </c>
      <c r="E78" s="11" t="s">
        <v>2182</v>
      </c>
      <c r="F78" s="11" t="s">
        <v>2756</v>
      </c>
      <c r="G78" s="11" t="s">
        <v>3911</v>
      </c>
      <c r="H78" s="11" t="s">
        <v>4157</v>
      </c>
    </row>
    <row r="79" spans="1:8" x14ac:dyDescent="0.25">
      <c r="A79" s="6">
        <v>78</v>
      </c>
      <c r="B79" s="11" t="s">
        <v>4158</v>
      </c>
      <c r="C79" s="11" t="s">
        <v>4159</v>
      </c>
      <c r="D79" s="11" t="s">
        <v>4160</v>
      </c>
      <c r="E79" s="11" t="s">
        <v>1644</v>
      </c>
      <c r="F79" s="11" t="s">
        <v>2756</v>
      </c>
      <c r="G79" s="11" t="s">
        <v>3864</v>
      </c>
      <c r="H79" s="11" t="s">
        <v>4161</v>
      </c>
    </row>
    <row r="80" spans="1:8" x14ac:dyDescent="0.25">
      <c r="A80" s="6">
        <v>79</v>
      </c>
      <c r="B80" s="11" t="s">
        <v>4162</v>
      </c>
      <c r="C80" s="11" t="s">
        <v>4163</v>
      </c>
      <c r="D80" s="11" t="s">
        <v>4164</v>
      </c>
      <c r="E80" s="11" t="s">
        <v>2236</v>
      </c>
      <c r="F80" s="11" t="s">
        <v>2756</v>
      </c>
      <c r="G80" s="11" t="s">
        <v>3881</v>
      </c>
      <c r="H80" s="11" t="s">
        <v>2240</v>
      </c>
    </row>
    <row r="81" spans="1:8" x14ac:dyDescent="0.25">
      <c r="A81" s="6">
        <v>80</v>
      </c>
      <c r="B81" s="11" t="s">
        <v>3883</v>
      </c>
      <c r="C81" s="11" t="s">
        <v>4165</v>
      </c>
      <c r="D81" s="11" t="s">
        <v>4166</v>
      </c>
      <c r="E81" s="11" t="s">
        <v>2241</v>
      </c>
      <c r="F81" s="11" t="s">
        <v>2756</v>
      </c>
      <c r="G81" s="11" t="s">
        <v>3911</v>
      </c>
      <c r="H81" s="11" t="s">
        <v>2246</v>
      </c>
    </row>
    <row r="82" spans="1:8" x14ac:dyDescent="0.25">
      <c r="A82" s="6">
        <v>81</v>
      </c>
      <c r="B82" s="11" t="s">
        <v>582</v>
      </c>
      <c r="C82" s="11" t="s">
        <v>4167</v>
      </c>
      <c r="D82" s="11" t="s">
        <v>4168</v>
      </c>
      <c r="E82" s="11" t="s">
        <v>2119</v>
      </c>
      <c r="F82" s="11" t="s">
        <v>2756</v>
      </c>
      <c r="G82" s="11" t="s">
        <v>3881</v>
      </c>
      <c r="H82" s="11" t="s">
        <v>2127</v>
      </c>
    </row>
    <row r="83" spans="1:8" x14ac:dyDescent="0.25">
      <c r="A83" s="6">
        <v>82</v>
      </c>
      <c r="B83" s="11" t="s">
        <v>3950</v>
      </c>
      <c r="C83" s="11" t="s">
        <v>4169</v>
      </c>
      <c r="D83" s="11" t="s">
        <v>4170</v>
      </c>
      <c r="E83" s="11" t="s">
        <v>4171</v>
      </c>
      <c r="F83" s="11" t="s">
        <v>3869</v>
      </c>
      <c r="G83" s="11" t="s">
        <v>4145</v>
      </c>
      <c r="H83" s="11" t="s">
        <v>4172</v>
      </c>
    </row>
  </sheetData>
  <autoFilter ref="A1:H72"/>
  <conditionalFormatting sqref="G2:G83">
    <cfRule type="cellIs" dxfId="28" priority="2" operator="equal">
      <formula>"Open"</formula>
    </cfRule>
    <cfRule type="cellIs" dxfId="29" priority="3" operator="equal">
      <formula>"Pending"</formula>
    </cfRule>
    <cfRule type="cellIs" dxfId="30" priority="4" operator="equal">
      <formula>"Pending confirmation"</formula>
    </cfRule>
    <cfRule type="cellIs" dxfId="31" priority="5" operator="equal">
      <formula>"At release"</formula>
    </cfRule>
    <cfRule type="cellIs" dxfId="32" priority="6" operator="equal">
      <formula>"Resolved"</formula>
    </cfRule>
  </conditionalFormatting>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28" customWidth="1"/>
    <col min="3" max="3" width="60" customWidth="1"/>
    <col min="4" max="5" width="8" customWidth="1"/>
    <col min="6" max="6" width="14" customWidth="1"/>
    <col min="7" max="7" width="22" customWidth="1"/>
    <col min="8" max="8" width="8" customWidth="1"/>
    <col min="9" max="9" width="18" customWidth="1"/>
    <col min="10" max="10" width="30" customWidth="1"/>
    <col min="11" max="11" width="50" customWidth="1"/>
  </cols>
  <sheetData>
    <row r="1" spans="1:1" x14ac:dyDescent="0.25">
      <c r="A1" s="1" t="s">
        <v>2912</v>
      </c>
    </row>
    <row r="2" spans="1:1" x14ac:dyDescent="0.25">
      <c r="A2" s="2" t="s">
        <v>2913</v>
      </c>
    </row>
    <row r="3" spans="1:11" x14ac:dyDescent="0.25">
      <c r="A3" s="4" t="s">
        <v>2914</v>
      </c>
      <c r="B3" s="4" t="s">
        <v>2915</v>
      </c>
      <c r="C3" s="4" t="s">
        <v>2916</v>
      </c>
      <c r="D3" s="4" t="s">
        <v>123</v>
      </c>
      <c r="E3" s="4" t="s">
        <v>2917</v>
      </c>
      <c r="F3" s="4" t="s">
        <v>2918</v>
      </c>
      <c r="G3" s="4" t="s">
        <v>2919</v>
      </c>
      <c r="H3" s="4" t="s">
        <v>2920</v>
      </c>
      <c r="I3" s="4" t="s">
        <v>2921</v>
      </c>
      <c r="J3" s="4" t="s">
        <v>2922</v>
      </c>
      <c r="K3" s="4" t="s">
        <v>2923</v>
      </c>
    </row>
    <row r="4" spans="1:11" x14ac:dyDescent="0.25">
      <c r="A4" s="11" t="s">
        <v>2924</v>
      </c>
      <c r="B4" s="11" t="s">
        <v>1889</v>
      </c>
      <c r="C4" s="11" t="s">
        <v>2925</v>
      </c>
      <c r="D4" s="11" t="s">
        <v>137</v>
      </c>
      <c r="E4" s="11">
        <v>1</v>
      </c>
      <c r="F4" s="11" t="s">
        <v>2926</v>
      </c>
      <c r="G4" s="11" t="s">
        <v>2927</v>
      </c>
      <c r="H4" s="11" t="s">
        <v>2928</v>
      </c>
      <c r="I4" s="11" t="s">
        <v>2929</v>
      </c>
      <c r="J4" s="11" t="s">
        <v>2929</v>
      </c>
      <c r="K4" s="11" t="s">
        <v>2930</v>
      </c>
    </row>
    <row r="5" spans="1:11" x14ac:dyDescent="0.25">
      <c r="A5" s="11" t="s">
        <v>2931</v>
      </c>
      <c r="B5" s="11" t="s">
        <v>1900</v>
      </c>
      <c r="C5" s="11" t="s">
        <v>2932</v>
      </c>
      <c r="D5" s="11" t="s">
        <v>137</v>
      </c>
      <c r="E5" s="11">
        <v>1</v>
      </c>
      <c r="F5" s="11" t="s">
        <v>2933</v>
      </c>
      <c r="G5" s="11" t="s">
        <v>2934</v>
      </c>
      <c r="H5" s="11" t="s">
        <v>2928</v>
      </c>
      <c r="I5" s="11" t="s">
        <v>2929</v>
      </c>
      <c r="J5" s="11" t="s">
        <v>2929</v>
      </c>
      <c r="K5" s="11" t="s">
        <v>2930</v>
      </c>
    </row>
    <row r="6" spans="1:11" x14ac:dyDescent="0.25">
      <c r="A6" s="11" t="s">
        <v>1905</v>
      </c>
      <c r="B6" s="11" t="s">
        <v>1906</v>
      </c>
      <c r="C6" s="11" t="s">
        <v>2935</v>
      </c>
      <c r="D6" s="11" t="s">
        <v>137</v>
      </c>
      <c r="E6" s="11">
        <v>2</v>
      </c>
      <c r="F6" s="11" t="s">
        <v>2936</v>
      </c>
      <c r="G6" s="11" t="s">
        <v>2937</v>
      </c>
      <c r="H6" s="11" t="s">
        <v>2928</v>
      </c>
      <c r="I6" s="11" t="s">
        <v>2929</v>
      </c>
      <c r="J6" s="11" t="s">
        <v>2929</v>
      </c>
      <c r="K6" s="11" t="s">
        <v>2930</v>
      </c>
    </row>
    <row r="7" spans="1:11" x14ac:dyDescent="0.25">
      <c r="A7" s="11" t="s">
        <v>1911</v>
      </c>
      <c r="B7" s="11" t="s">
        <v>1912</v>
      </c>
      <c r="C7" s="11" t="s">
        <v>1913</v>
      </c>
      <c r="D7" s="11" t="s">
        <v>137</v>
      </c>
      <c r="E7" s="11">
        <v>2</v>
      </c>
      <c r="F7" s="11" t="s">
        <v>2936</v>
      </c>
      <c r="G7" s="11" t="s">
        <v>2937</v>
      </c>
      <c r="H7" s="11" t="s">
        <v>2928</v>
      </c>
      <c r="I7" s="11" t="s">
        <v>2929</v>
      </c>
      <c r="J7" s="11" t="s">
        <v>2929</v>
      </c>
      <c r="K7" s="11" t="s">
        <v>2930</v>
      </c>
    </row>
    <row r="8" spans="1:11" x14ac:dyDescent="0.25">
      <c r="A8" s="11" t="s">
        <v>1917</v>
      </c>
      <c r="B8" s="11" t="s">
        <v>1918</v>
      </c>
      <c r="C8" s="11" t="s">
        <v>2938</v>
      </c>
      <c r="D8" s="11" t="s">
        <v>137</v>
      </c>
      <c r="E8" s="11">
        <v>2</v>
      </c>
      <c r="F8" s="11" t="s">
        <v>2936</v>
      </c>
      <c r="G8" s="11" t="s">
        <v>2937</v>
      </c>
      <c r="H8" s="11" t="s">
        <v>2928</v>
      </c>
      <c r="I8" s="11" t="s">
        <v>2929</v>
      </c>
      <c r="J8" s="11" t="s">
        <v>2929</v>
      </c>
      <c r="K8" s="11" t="s">
        <v>2930</v>
      </c>
    </row>
    <row r="9" spans="1:11" x14ac:dyDescent="0.25">
      <c r="A9" s="11" t="s">
        <v>1923</v>
      </c>
      <c r="B9" s="11" t="s">
        <v>2939</v>
      </c>
      <c r="C9" s="11" t="s">
        <v>1925</v>
      </c>
      <c r="D9" s="11" t="s">
        <v>137</v>
      </c>
      <c r="E9" s="11">
        <v>2</v>
      </c>
      <c r="F9" s="11" t="s">
        <v>2936</v>
      </c>
      <c r="G9" s="11" t="s">
        <v>2937</v>
      </c>
      <c r="H9" s="11" t="s">
        <v>2928</v>
      </c>
      <c r="I9" s="11" t="s">
        <v>2929</v>
      </c>
      <c r="J9" s="11" t="s">
        <v>2929</v>
      </c>
      <c r="K9" s="11" t="s">
        <v>2930</v>
      </c>
    </row>
    <row r="10" spans="1:11" x14ac:dyDescent="0.25">
      <c r="A10" s="11" t="s">
        <v>1928</v>
      </c>
      <c r="B10" s="11" t="s">
        <v>1929</v>
      </c>
      <c r="C10" s="11" t="s">
        <v>2940</v>
      </c>
      <c r="D10" s="11" t="s">
        <v>137</v>
      </c>
      <c r="E10" s="11">
        <v>3</v>
      </c>
      <c r="F10" s="11" t="s">
        <v>2941</v>
      </c>
      <c r="G10" s="11" t="s">
        <v>2942</v>
      </c>
      <c r="H10" s="11" t="s">
        <v>2928</v>
      </c>
      <c r="I10" s="11" t="s">
        <v>2929</v>
      </c>
      <c r="J10" s="11" t="s">
        <v>2929</v>
      </c>
      <c r="K10" s="11" t="s">
        <v>2930</v>
      </c>
    </row>
    <row r="11" spans="1:11" x14ac:dyDescent="0.25">
      <c r="A11" s="11" t="s">
        <v>1934</v>
      </c>
      <c r="B11" s="11" t="s">
        <v>1935</v>
      </c>
      <c r="C11" s="11" t="s">
        <v>2943</v>
      </c>
      <c r="D11" s="11" t="s">
        <v>137</v>
      </c>
      <c r="E11" s="11">
        <v>3</v>
      </c>
      <c r="F11" s="11" t="s">
        <v>2941</v>
      </c>
      <c r="G11" s="11" t="s">
        <v>2942</v>
      </c>
      <c r="H11" s="11" t="s">
        <v>2928</v>
      </c>
      <c r="I11" s="11" t="s">
        <v>2929</v>
      </c>
      <c r="J11" s="11" t="s">
        <v>2929</v>
      </c>
      <c r="K11" s="11" t="s">
        <v>2930</v>
      </c>
    </row>
    <row r="12" spans="1:11" x14ac:dyDescent="0.25">
      <c r="A12" s="11" t="s">
        <v>1940</v>
      </c>
      <c r="B12" s="11" t="s">
        <v>2944</v>
      </c>
      <c r="C12" s="11" t="s">
        <v>2945</v>
      </c>
      <c r="D12" s="11" t="s">
        <v>137</v>
      </c>
      <c r="E12" s="11">
        <v>3</v>
      </c>
      <c r="F12" s="11" t="s">
        <v>2941</v>
      </c>
      <c r="G12" s="11" t="s">
        <v>2942</v>
      </c>
      <c r="H12" s="11" t="s">
        <v>2928</v>
      </c>
      <c r="I12" s="11" t="s">
        <v>2929</v>
      </c>
      <c r="J12" s="11" t="s">
        <v>2929</v>
      </c>
      <c r="K12" s="11" t="s">
        <v>2930</v>
      </c>
    </row>
    <row r="13" spans="1:11" x14ac:dyDescent="0.25">
      <c r="A13" s="11" t="s">
        <v>1946</v>
      </c>
      <c r="B13" s="11" t="s">
        <v>2946</v>
      </c>
      <c r="C13" s="11" t="s">
        <v>1948</v>
      </c>
      <c r="D13" s="11" t="s">
        <v>137</v>
      </c>
      <c r="E13" s="11">
        <v>3</v>
      </c>
      <c r="F13" s="11" t="s">
        <v>2941</v>
      </c>
      <c r="G13" s="11" t="s">
        <v>2942</v>
      </c>
      <c r="H13" s="11" t="s">
        <v>2928</v>
      </c>
      <c r="I13" s="11" t="s">
        <v>2929</v>
      </c>
      <c r="J13" s="11" t="s">
        <v>2929</v>
      </c>
      <c r="K13" s="11" t="s">
        <v>2930</v>
      </c>
    </row>
    <row r="14" spans="1:11" x14ac:dyDescent="0.25">
      <c r="A14" s="11" t="s">
        <v>1951</v>
      </c>
      <c r="B14" s="11" t="s">
        <v>1952</v>
      </c>
      <c r="C14" s="11" t="s">
        <v>2947</v>
      </c>
      <c r="D14" s="11" t="s">
        <v>137</v>
      </c>
      <c r="E14" s="11">
        <v>4</v>
      </c>
      <c r="F14" s="11" t="s">
        <v>2948</v>
      </c>
      <c r="G14" s="11" t="s">
        <v>2949</v>
      </c>
      <c r="H14" s="11" t="s">
        <v>2928</v>
      </c>
      <c r="I14" s="11" t="s">
        <v>2929</v>
      </c>
      <c r="J14" s="11" t="s">
        <v>2929</v>
      </c>
      <c r="K14" s="11" t="s">
        <v>2930</v>
      </c>
    </row>
    <row r="15" spans="1:11" x14ac:dyDescent="0.25">
      <c r="A15" s="11" t="s">
        <v>1959</v>
      </c>
      <c r="B15" s="11" t="s">
        <v>1960</v>
      </c>
      <c r="C15" s="11" t="s">
        <v>2950</v>
      </c>
      <c r="D15" s="11" t="s">
        <v>137</v>
      </c>
      <c r="E15" s="11">
        <v>5</v>
      </c>
      <c r="F15" s="11" t="s">
        <v>2951</v>
      </c>
      <c r="G15" s="11" t="s">
        <v>2952</v>
      </c>
      <c r="H15" s="11" t="s">
        <v>2928</v>
      </c>
      <c r="I15" s="11" t="s">
        <v>2929</v>
      </c>
      <c r="J15" s="11" t="s">
        <v>2929</v>
      </c>
      <c r="K15" s="11" t="s">
        <v>2930</v>
      </c>
    </row>
    <row r="16" spans="1:11" x14ac:dyDescent="0.25">
      <c r="A16" s="11" t="s">
        <v>1965</v>
      </c>
      <c r="B16" s="11" t="s">
        <v>2953</v>
      </c>
      <c r="C16" s="11" t="s">
        <v>2954</v>
      </c>
      <c r="D16" s="11" t="s">
        <v>137</v>
      </c>
      <c r="E16" s="11">
        <v>5</v>
      </c>
      <c r="F16" s="11" t="s">
        <v>2951</v>
      </c>
      <c r="G16" s="11" t="s">
        <v>2955</v>
      </c>
      <c r="H16" s="11" t="s">
        <v>2928</v>
      </c>
      <c r="I16" s="11" t="s">
        <v>2929</v>
      </c>
      <c r="J16" s="11" t="s">
        <v>2929</v>
      </c>
      <c r="K16" s="11" t="s">
        <v>2930</v>
      </c>
    </row>
    <row r="17" spans="1:11" x14ac:dyDescent="0.25">
      <c r="A17" s="11" t="s">
        <v>1971</v>
      </c>
      <c r="B17" s="11" t="s">
        <v>2956</v>
      </c>
      <c r="C17" s="11" t="s">
        <v>2957</v>
      </c>
      <c r="D17" s="11" t="s">
        <v>137</v>
      </c>
      <c r="E17" s="11">
        <v>5</v>
      </c>
      <c r="F17" s="11" t="s">
        <v>2951</v>
      </c>
      <c r="G17" s="11" t="s">
        <v>2952</v>
      </c>
      <c r="H17" s="11" t="s">
        <v>2928</v>
      </c>
      <c r="I17" s="11" t="s">
        <v>2929</v>
      </c>
      <c r="J17" s="11" t="s">
        <v>2929</v>
      </c>
      <c r="K17" s="11" t="s">
        <v>2930</v>
      </c>
    </row>
    <row r="18" spans="1:11" x14ac:dyDescent="0.25">
      <c r="A18" s="11" t="s">
        <v>1996</v>
      </c>
      <c r="B18" s="11" t="s">
        <v>1997</v>
      </c>
      <c r="C18" s="11" t="s">
        <v>2958</v>
      </c>
      <c r="D18" s="11" t="s">
        <v>137</v>
      </c>
      <c r="E18" s="11">
        <v>6</v>
      </c>
      <c r="F18" s="11" t="s">
        <v>2933</v>
      </c>
      <c r="G18" s="11" t="s">
        <v>2959</v>
      </c>
      <c r="H18" s="11" t="s">
        <v>2928</v>
      </c>
      <c r="I18" s="11" t="s">
        <v>2929</v>
      </c>
      <c r="J18" s="11" t="s">
        <v>2929</v>
      </c>
      <c r="K18" s="11" t="s">
        <v>2930</v>
      </c>
    </row>
    <row r="19" spans="1:11" x14ac:dyDescent="0.25">
      <c r="A19" s="11" t="s">
        <v>2002</v>
      </c>
      <c r="B19" s="11" t="s">
        <v>2960</v>
      </c>
      <c r="C19" s="11" t="s">
        <v>2961</v>
      </c>
      <c r="D19" s="11" t="s">
        <v>137</v>
      </c>
      <c r="E19" s="11">
        <v>7</v>
      </c>
      <c r="F19" s="11" t="s">
        <v>2962</v>
      </c>
      <c r="G19" s="11" t="s">
        <v>2963</v>
      </c>
      <c r="H19" s="11" t="s">
        <v>2928</v>
      </c>
      <c r="I19" s="11" t="s">
        <v>2929</v>
      </c>
      <c r="J19" s="11" t="s">
        <v>2929</v>
      </c>
      <c r="K19" s="11" t="s">
        <v>2930</v>
      </c>
    </row>
    <row r="20" spans="1:11" x14ac:dyDescent="0.25">
      <c r="A20" s="11" t="s">
        <v>2009</v>
      </c>
      <c r="B20" s="11" t="s">
        <v>2010</v>
      </c>
      <c r="C20" s="11" t="s">
        <v>2964</v>
      </c>
      <c r="D20" s="11" t="s">
        <v>157</v>
      </c>
      <c r="E20" s="11">
        <v>8</v>
      </c>
      <c r="F20" s="11" t="s">
        <v>2965</v>
      </c>
      <c r="G20" s="11" t="s">
        <v>2966</v>
      </c>
      <c r="H20" s="11" t="s">
        <v>2928</v>
      </c>
      <c r="I20" s="11" t="s">
        <v>2929</v>
      </c>
      <c r="J20" s="11" t="s">
        <v>2929</v>
      </c>
      <c r="K20" s="11" t="s">
        <v>2930</v>
      </c>
    </row>
    <row r="21" spans="1:11" x14ac:dyDescent="0.25">
      <c r="A21" s="11" t="s">
        <v>2015</v>
      </c>
      <c r="B21" s="11" t="s">
        <v>2967</v>
      </c>
      <c r="C21" s="11" t="s">
        <v>2968</v>
      </c>
      <c r="D21" s="11" t="s">
        <v>157</v>
      </c>
      <c r="E21" s="11">
        <v>8</v>
      </c>
      <c r="F21" s="11" t="s">
        <v>2933</v>
      </c>
      <c r="G21" s="11" t="s">
        <v>2966</v>
      </c>
      <c r="H21" s="11" t="s">
        <v>2928</v>
      </c>
      <c r="I21" s="11" t="s">
        <v>2929</v>
      </c>
      <c r="J21" s="11" t="s">
        <v>2929</v>
      </c>
      <c r="K21" s="11" t="s">
        <v>2930</v>
      </c>
    </row>
    <row r="22" spans="1:11" x14ac:dyDescent="0.25">
      <c r="A22" s="11" t="s">
        <v>2021</v>
      </c>
      <c r="B22" s="11" t="s">
        <v>2022</v>
      </c>
      <c r="C22" s="11" t="s">
        <v>2969</v>
      </c>
      <c r="D22" s="11" t="s">
        <v>157</v>
      </c>
      <c r="E22" s="11">
        <v>8</v>
      </c>
      <c r="F22" s="11" t="s">
        <v>2933</v>
      </c>
      <c r="G22" s="11" t="s">
        <v>2966</v>
      </c>
      <c r="H22" s="11" t="s">
        <v>2928</v>
      </c>
      <c r="I22" s="11" t="s">
        <v>2929</v>
      </c>
      <c r="J22" s="11" t="s">
        <v>2929</v>
      </c>
      <c r="K22" s="11" t="s">
        <v>2930</v>
      </c>
    </row>
    <row r="23" spans="1:11" x14ac:dyDescent="0.25">
      <c r="A23" s="11" t="s">
        <v>2970</v>
      </c>
      <c r="B23" s="11" t="s">
        <v>2971</v>
      </c>
      <c r="C23" s="11" t="s">
        <v>2972</v>
      </c>
      <c r="D23" s="11" t="s">
        <v>137</v>
      </c>
      <c r="E23" s="11">
        <v>9</v>
      </c>
      <c r="F23" s="11" t="s">
        <v>2933</v>
      </c>
      <c r="G23" s="11" t="s">
        <v>2973</v>
      </c>
      <c r="H23" s="11" t="s">
        <v>2928</v>
      </c>
      <c r="I23" s="11" t="s">
        <v>2929</v>
      </c>
      <c r="J23" s="11" t="s">
        <v>2929</v>
      </c>
      <c r="K23" s="11" t="s">
        <v>2930</v>
      </c>
    </row>
    <row r="24" spans="1:11" x14ac:dyDescent="0.25">
      <c r="A24" s="11" t="s">
        <v>2974</v>
      </c>
      <c r="B24" s="11" t="s">
        <v>2975</v>
      </c>
      <c r="C24" s="11" t="s">
        <v>2976</v>
      </c>
      <c r="D24" s="11" t="s">
        <v>137</v>
      </c>
      <c r="E24" s="11">
        <v>10</v>
      </c>
      <c r="F24" s="11" t="s">
        <v>2933</v>
      </c>
      <c r="G24" s="11" t="s">
        <v>2977</v>
      </c>
      <c r="H24" s="11" t="s">
        <v>2928</v>
      </c>
      <c r="I24" s="11" t="s">
        <v>2929</v>
      </c>
      <c r="J24" s="11" t="s">
        <v>2929</v>
      </c>
      <c r="K24" s="11" t="s">
        <v>2930</v>
      </c>
    </row>
    <row r="25" spans="1:11" x14ac:dyDescent="0.25">
      <c r="A25" s="11" t="s">
        <v>2037</v>
      </c>
      <c r="B25" s="11" t="s">
        <v>2038</v>
      </c>
      <c r="C25" s="11" t="s">
        <v>2978</v>
      </c>
      <c r="D25" s="11" t="s">
        <v>137</v>
      </c>
      <c r="E25" s="11">
        <v>11</v>
      </c>
      <c r="F25" s="11" t="s">
        <v>2979</v>
      </c>
      <c r="G25" s="11" t="s">
        <v>2980</v>
      </c>
      <c r="H25" s="11" t="s">
        <v>2928</v>
      </c>
      <c r="I25" s="11" t="s">
        <v>2929</v>
      </c>
      <c r="J25" s="11" t="s">
        <v>2981</v>
      </c>
      <c r="K25" s="11" t="s">
        <v>2930</v>
      </c>
    </row>
    <row r="26" spans="1:11" x14ac:dyDescent="0.25">
      <c r="A26" s="11" t="s">
        <v>2044</v>
      </c>
      <c r="B26" s="11" t="s">
        <v>2045</v>
      </c>
      <c r="C26" s="11" t="s">
        <v>2982</v>
      </c>
      <c r="D26" s="11" t="s">
        <v>137</v>
      </c>
      <c r="E26" s="11">
        <v>11</v>
      </c>
      <c r="F26" s="11" t="s">
        <v>2979</v>
      </c>
      <c r="G26" s="11" t="s">
        <v>2983</v>
      </c>
      <c r="H26" s="11" t="s">
        <v>2928</v>
      </c>
      <c r="I26" s="11" t="s">
        <v>2929</v>
      </c>
      <c r="J26" s="11" t="s">
        <v>2984</v>
      </c>
      <c r="K26" s="11" t="s">
        <v>2930</v>
      </c>
    </row>
    <row r="27" spans="1:11" x14ac:dyDescent="0.25">
      <c r="A27" s="11" t="s">
        <v>2049</v>
      </c>
      <c r="B27" s="11" t="s">
        <v>2050</v>
      </c>
      <c r="C27" s="11" t="s">
        <v>2985</v>
      </c>
      <c r="D27" s="11" t="s">
        <v>137</v>
      </c>
      <c r="E27" s="11">
        <v>11</v>
      </c>
      <c r="F27" s="11" t="s">
        <v>2933</v>
      </c>
      <c r="G27" s="11" t="s">
        <v>2983</v>
      </c>
      <c r="H27" s="11" t="s">
        <v>2928</v>
      </c>
      <c r="I27" s="11" t="s">
        <v>2929</v>
      </c>
      <c r="J27" s="11" t="s">
        <v>2984</v>
      </c>
      <c r="K27" s="11" t="s">
        <v>2930</v>
      </c>
    </row>
    <row r="28" spans="1:11" x14ac:dyDescent="0.25">
      <c r="A28" s="11" t="s">
        <v>2986</v>
      </c>
      <c r="B28" s="11" t="s">
        <v>2055</v>
      </c>
      <c r="C28" s="11" t="s">
        <v>2987</v>
      </c>
      <c r="D28" s="11" t="s">
        <v>137</v>
      </c>
      <c r="E28" s="11">
        <v>11</v>
      </c>
      <c r="F28" s="11" t="s">
        <v>2933</v>
      </c>
      <c r="G28" s="11" t="s">
        <v>2988</v>
      </c>
      <c r="H28" s="11" t="s">
        <v>2928</v>
      </c>
      <c r="I28" s="11" t="s">
        <v>2929</v>
      </c>
      <c r="J28" s="11" t="s">
        <v>2989</v>
      </c>
      <c r="K28" s="11" t="s">
        <v>2930</v>
      </c>
    </row>
    <row r="29" spans="1:11" x14ac:dyDescent="0.25">
      <c r="A29" s="11" t="s">
        <v>1977</v>
      </c>
      <c r="B29" s="11" t="s">
        <v>1978</v>
      </c>
      <c r="C29" s="11" t="s">
        <v>2990</v>
      </c>
      <c r="D29" s="11" t="s">
        <v>137</v>
      </c>
      <c r="E29" s="11">
        <v>12</v>
      </c>
      <c r="F29" s="11" t="s">
        <v>2991</v>
      </c>
      <c r="G29" s="11" t="s">
        <v>2992</v>
      </c>
      <c r="H29" s="11" t="s">
        <v>2928</v>
      </c>
      <c r="I29" s="11" t="s">
        <v>2929</v>
      </c>
      <c r="J29" s="11" t="s">
        <v>2993</v>
      </c>
      <c r="K29" s="11" t="s">
        <v>2994</v>
      </c>
    </row>
    <row r="30" spans="1:11" x14ac:dyDescent="0.25">
      <c r="A30" s="11" t="s">
        <v>1984</v>
      </c>
      <c r="B30" s="11" t="s">
        <v>2995</v>
      </c>
      <c r="C30" s="11" t="s">
        <v>2996</v>
      </c>
      <c r="D30" s="11" t="s">
        <v>137</v>
      </c>
      <c r="E30" s="11">
        <v>12</v>
      </c>
      <c r="F30" s="11" t="s">
        <v>2997</v>
      </c>
      <c r="G30" s="11" t="s">
        <v>2998</v>
      </c>
      <c r="H30" s="11" t="s">
        <v>2928</v>
      </c>
      <c r="I30" s="11" t="s">
        <v>2999</v>
      </c>
      <c r="J30" s="11" t="s">
        <v>3000</v>
      </c>
      <c r="K30" s="11" t="s">
        <v>3001</v>
      </c>
    </row>
    <row r="31" spans="1:11" x14ac:dyDescent="0.25">
      <c r="A31" s="11" t="s">
        <v>1991</v>
      </c>
      <c r="B31" s="11" t="s">
        <v>1992</v>
      </c>
      <c r="C31" s="11" t="s">
        <v>3002</v>
      </c>
      <c r="D31" s="11" t="s">
        <v>137</v>
      </c>
      <c r="E31" s="11">
        <v>12</v>
      </c>
      <c r="F31" s="11" t="s">
        <v>142</v>
      </c>
      <c r="G31" s="11" t="s">
        <v>3003</v>
      </c>
      <c r="H31" s="11" t="s">
        <v>2928</v>
      </c>
      <c r="I31" s="11" t="s">
        <v>2929</v>
      </c>
      <c r="J31" s="11" t="s">
        <v>142</v>
      </c>
      <c r="K31" s="11" t="s">
        <v>3004</v>
      </c>
    </row>
    <row r="33" spans="1:1" x14ac:dyDescent="0.25">
      <c r="A33" s="3" t="s">
        <v>3005</v>
      </c>
    </row>
    <row r="34" spans="1:4" x14ac:dyDescent="0.25">
      <c r="A34" s="4" t="s">
        <v>3006</v>
      </c>
      <c r="B34" s="4" t="s">
        <v>3007</v>
      </c>
      <c r="C34" s="4" t="s">
        <v>3008</v>
      </c>
      <c r="D34" s="4" t="s">
        <v>2923</v>
      </c>
    </row>
    <row r="35" spans="1:4" x14ac:dyDescent="0.25">
      <c r="A35" s="11" t="s">
        <v>3009</v>
      </c>
      <c r="B35" s="11" t="s">
        <v>3010</v>
      </c>
      <c r="C35" s="11" t="s">
        <v>3011</v>
      </c>
      <c r="D35" s="11" t="s">
        <v>3012</v>
      </c>
    </row>
    <row r="36" spans="1:4" x14ac:dyDescent="0.25">
      <c r="A36" s="11" t="s">
        <v>3013</v>
      </c>
      <c r="B36" s="11" t="s">
        <v>3014</v>
      </c>
      <c r="C36" s="11" t="s">
        <v>3015</v>
      </c>
      <c r="D36" s="11" t="s">
        <v>3012</v>
      </c>
    </row>
    <row r="37" spans="1:4" x14ac:dyDescent="0.25">
      <c r="A37" s="11" t="s">
        <v>3016</v>
      </c>
      <c r="B37" s="11" t="s">
        <v>3017</v>
      </c>
      <c r="C37" s="11" t="s">
        <v>3015</v>
      </c>
      <c r="D37" s="11" t="s">
        <v>3012</v>
      </c>
    </row>
    <row r="38" spans="1:4" x14ac:dyDescent="0.25">
      <c r="A38" s="11" t="s">
        <v>3018</v>
      </c>
      <c r="B38" s="11" t="s">
        <v>3019</v>
      </c>
      <c r="C38" s="11" t="s">
        <v>3015</v>
      </c>
      <c r="D38" s="11" t="s">
        <v>3012</v>
      </c>
    </row>
    <row r="39" spans="1:4" x14ac:dyDescent="0.25">
      <c r="A39" s="11" t="s">
        <v>3020</v>
      </c>
      <c r="B39" s="11" t="s">
        <v>3021</v>
      </c>
      <c r="C39" s="11" t="s">
        <v>3022</v>
      </c>
      <c r="D39" s="11" t="s">
        <v>3012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2"/>
  <sheetViews>
    <sheetView workbookViewId="0">
      <pane ySplit="3" topLeftCell="A4" activePane="bottomLeft" state="frozen"/>
      <selection pane="bottomLeft"/>
    </sheetView>
  </sheetViews>
  <sheetFormatPr defaultRowHeight="15" outlineLevelRow="0" outlineLevelCol="0" x14ac:dyDescent="55"/>
  <cols>
    <col min="1" max="1" width="5" customWidth="1"/>
    <col min="2" max="2" width="20" customWidth="1"/>
    <col min="3" max="3" width="44" customWidth="1"/>
    <col min="4" max="4" width="32" customWidth="1"/>
    <col min="5" max="5" width="80" customWidth="1"/>
    <col min="6" max="6" width="22" customWidth="1"/>
    <col min="7" max="7" width="60" customWidth="1"/>
    <col min="8" max="8" width="22" customWidth="1"/>
  </cols>
  <sheetData>
    <row r="1" spans="1:1" x14ac:dyDescent="0.25">
      <c r="A1" s="1" t="s">
        <v>3023</v>
      </c>
    </row>
    <row r="2" spans="1:1" x14ac:dyDescent="0.25">
      <c r="A2" s="2" t="s">
        <v>3024</v>
      </c>
    </row>
    <row r="3" spans="1:8" x14ac:dyDescent="0.25">
      <c r="A3" s="4" t="s">
        <v>118</v>
      </c>
      <c r="B3" s="4" t="s">
        <v>3025</v>
      </c>
      <c r="C3" s="4" t="s">
        <v>3026</v>
      </c>
      <c r="D3" s="4" t="s">
        <v>3027</v>
      </c>
      <c r="E3" s="4" t="s">
        <v>3028</v>
      </c>
      <c r="F3" s="4" t="s">
        <v>119</v>
      </c>
      <c r="G3" s="4" t="s">
        <v>3029</v>
      </c>
      <c r="H3" s="4" t="s">
        <v>3030</v>
      </c>
    </row>
    <row r="4" spans="1:8" x14ac:dyDescent="0.25">
      <c r="A4" s="11">
        <v>1</v>
      </c>
      <c r="B4" s="11" t="s">
        <v>3031</v>
      </c>
      <c r="C4" s="11" t="s">
        <v>3032</v>
      </c>
      <c r="D4" s="11" t="s">
        <v>3033</v>
      </c>
      <c r="E4" s="11" t="s">
        <v>3034</v>
      </c>
      <c r="F4" s="11" t="s">
        <v>2002</v>
      </c>
      <c r="G4" s="11" t="s">
        <v>3035</v>
      </c>
      <c r="H4" s="11" t="s">
        <v>3036</v>
      </c>
    </row>
    <row r="5" spans="1:8" x14ac:dyDescent="0.25">
      <c r="A5" s="11">
        <v>2</v>
      </c>
      <c r="B5" s="11" t="s">
        <v>3037</v>
      </c>
      <c r="C5" s="11" t="s">
        <v>2133</v>
      </c>
      <c r="D5" s="11" t="s">
        <v>3038</v>
      </c>
      <c r="E5" s="11" t="s">
        <v>3039</v>
      </c>
      <c r="F5" s="11" t="s">
        <v>2128</v>
      </c>
      <c r="G5" s="11" t="s">
        <v>3040</v>
      </c>
      <c r="H5" s="11" t="s">
        <v>3036</v>
      </c>
    </row>
    <row r="6" spans="1:8" x14ac:dyDescent="0.25">
      <c r="A6" s="11">
        <v>3</v>
      </c>
      <c r="B6" s="11" t="s">
        <v>3041</v>
      </c>
      <c r="C6" s="11" t="s">
        <v>2195</v>
      </c>
      <c r="D6" s="11" t="s">
        <v>3042</v>
      </c>
      <c r="E6" s="11" t="s">
        <v>142</v>
      </c>
      <c r="F6" s="11" t="s">
        <v>2188</v>
      </c>
      <c r="G6" s="11" t="s">
        <v>3043</v>
      </c>
      <c r="H6" s="11" t="s">
        <v>3036</v>
      </c>
    </row>
    <row r="7" spans="1:8" x14ac:dyDescent="0.25">
      <c r="A7" s="11">
        <v>4</v>
      </c>
      <c r="B7" s="11" t="s">
        <v>3044</v>
      </c>
      <c r="C7" s="11" t="s">
        <v>3045</v>
      </c>
      <c r="D7" s="11" t="s">
        <v>3046</v>
      </c>
      <c r="E7" s="11" t="s">
        <v>3047</v>
      </c>
      <c r="F7" s="11" t="s">
        <v>2075</v>
      </c>
      <c r="G7" s="11" t="s">
        <v>3048</v>
      </c>
      <c r="H7" s="11" t="s">
        <v>3036</v>
      </c>
    </row>
    <row r="8" spans="1:8" x14ac:dyDescent="0.25">
      <c r="A8" s="11">
        <v>5</v>
      </c>
      <c r="B8" s="11" t="s">
        <v>3049</v>
      </c>
      <c r="C8" s="11" t="s">
        <v>2024</v>
      </c>
      <c r="D8" s="11" t="s">
        <v>3050</v>
      </c>
      <c r="E8" s="11" t="s">
        <v>3051</v>
      </c>
      <c r="F8" s="11" t="s">
        <v>3052</v>
      </c>
      <c r="G8" s="11" t="s">
        <v>3053</v>
      </c>
      <c r="H8" s="11" t="s">
        <v>3036</v>
      </c>
    </row>
    <row r="9" spans="1:8" x14ac:dyDescent="0.25">
      <c r="A9" s="11">
        <v>6</v>
      </c>
      <c r="B9" s="11" t="s">
        <v>3049</v>
      </c>
      <c r="C9" s="11" t="s">
        <v>2024</v>
      </c>
      <c r="D9" s="11" t="s">
        <v>3054</v>
      </c>
      <c r="E9" s="11" t="s">
        <v>3055</v>
      </c>
      <c r="F9" s="11" t="s">
        <v>3052</v>
      </c>
      <c r="G9" s="11" t="s">
        <v>3053</v>
      </c>
      <c r="H9" s="11" t="s">
        <v>3036</v>
      </c>
    </row>
    <row r="10" spans="1:8" x14ac:dyDescent="0.25">
      <c r="A10" s="11">
        <v>7</v>
      </c>
      <c r="B10" s="11" t="s">
        <v>3049</v>
      </c>
      <c r="C10" s="11" t="s">
        <v>2024</v>
      </c>
      <c r="D10" s="11" t="s">
        <v>3056</v>
      </c>
      <c r="E10" s="11" t="s">
        <v>3057</v>
      </c>
      <c r="F10" s="11" t="s">
        <v>3052</v>
      </c>
      <c r="G10" s="11" t="s">
        <v>3053</v>
      </c>
      <c r="H10" s="11" t="s">
        <v>3036</v>
      </c>
    </row>
    <row r="11" spans="1:8" x14ac:dyDescent="0.25">
      <c r="A11" s="11">
        <v>8</v>
      </c>
      <c r="B11" s="11" t="s">
        <v>3049</v>
      </c>
      <c r="C11" s="11" t="s">
        <v>2024</v>
      </c>
      <c r="D11" s="11" t="s">
        <v>3058</v>
      </c>
      <c r="E11" s="11" t="s">
        <v>3059</v>
      </c>
      <c r="F11" s="11" t="s">
        <v>3052</v>
      </c>
      <c r="G11" s="11" t="s">
        <v>3053</v>
      </c>
      <c r="H11" s="11" t="s">
        <v>3036</v>
      </c>
    </row>
    <row r="12" spans="1:8" x14ac:dyDescent="0.25">
      <c r="A12" s="11">
        <v>9</v>
      </c>
      <c r="B12" s="11" t="s">
        <v>3049</v>
      </c>
      <c r="C12" s="11" t="s">
        <v>1939</v>
      </c>
      <c r="D12" s="11" t="s">
        <v>3060</v>
      </c>
      <c r="E12" s="11" t="s">
        <v>3061</v>
      </c>
      <c r="F12" s="11" t="s">
        <v>1934</v>
      </c>
      <c r="G12" s="11" t="s">
        <v>3062</v>
      </c>
      <c r="H12" s="11" t="s">
        <v>3036</v>
      </c>
    </row>
    <row r="13" spans="1:8" x14ac:dyDescent="0.25">
      <c r="A13" s="11">
        <v>10</v>
      </c>
      <c r="B13" s="11" t="s">
        <v>3049</v>
      </c>
      <c r="C13" s="11" t="s">
        <v>1939</v>
      </c>
      <c r="D13" s="11" t="s">
        <v>3063</v>
      </c>
      <c r="E13" s="11" t="s">
        <v>3064</v>
      </c>
      <c r="F13" s="11" t="s">
        <v>1934</v>
      </c>
      <c r="G13" s="11" t="s">
        <v>3062</v>
      </c>
      <c r="H13" s="11" t="s">
        <v>3036</v>
      </c>
    </row>
    <row r="14" spans="1:8" x14ac:dyDescent="0.25">
      <c r="A14" s="11">
        <v>11</v>
      </c>
      <c r="B14" s="11" t="s">
        <v>3049</v>
      </c>
      <c r="C14" s="11" t="s">
        <v>1939</v>
      </c>
      <c r="D14" s="11" t="s">
        <v>3065</v>
      </c>
      <c r="E14" s="11" t="s">
        <v>3066</v>
      </c>
      <c r="F14" s="11" t="s">
        <v>1934</v>
      </c>
      <c r="G14" s="11" t="s">
        <v>3062</v>
      </c>
      <c r="H14" s="11" t="s">
        <v>3036</v>
      </c>
    </row>
    <row r="15" spans="1:8" x14ac:dyDescent="0.25">
      <c r="A15" s="11">
        <v>12</v>
      </c>
      <c r="B15" s="11" t="s">
        <v>3049</v>
      </c>
      <c r="C15" s="11" t="s">
        <v>1939</v>
      </c>
      <c r="D15" s="11" t="s">
        <v>3067</v>
      </c>
      <c r="E15" s="11" t="s">
        <v>142</v>
      </c>
      <c r="F15" s="11" t="s">
        <v>1934</v>
      </c>
      <c r="G15" s="11" t="s">
        <v>3062</v>
      </c>
      <c r="H15" s="11" t="s">
        <v>3036</v>
      </c>
    </row>
    <row r="16" spans="1:8" x14ac:dyDescent="0.25">
      <c r="A16" s="11">
        <v>13</v>
      </c>
      <c r="B16" s="11" t="s">
        <v>3049</v>
      </c>
      <c r="C16" s="11" t="s">
        <v>1933</v>
      </c>
      <c r="D16" s="11" t="s">
        <v>3068</v>
      </c>
      <c r="E16" s="11" t="s">
        <v>3069</v>
      </c>
      <c r="F16" s="11" t="s">
        <v>3070</v>
      </c>
      <c r="G16" s="11" t="s">
        <v>3062</v>
      </c>
      <c r="H16" s="11" t="s">
        <v>3036</v>
      </c>
    </row>
    <row r="17" spans="1:8" x14ac:dyDescent="0.25">
      <c r="A17" s="11">
        <v>14</v>
      </c>
      <c r="B17" s="11" t="s">
        <v>3049</v>
      </c>
      <c r="C17" s="11" t="s">
        <v>1933</v>
      </c>
      <c r="D17" s="11" t="s">
        <v>3071</v>
      </c>
      <c r="E17" s="11" t="s">
        <v>3072</v>
      </c>
      <c r="F17" s="11" t="s">
        <v>3070</v>
      </c>
      <c r="G17" s="11" t="s">
        <v>3062</v>
      </c>
      <c r="H17" s="11" t="s">
        <v>3036</v>
      </c>
    </row>
    <row r="18" spans="1:8" x14ac:dyDescent="0.25">
      <c r="A18" s="11">
        <v>15</v>
      </c>
      <c r="B18" s="11" t="s">
        <v>3049</v>
      </c>
      <c r="C18" s="11" t="s">
        <v>1933</v>
      </c>
      <c r="D18" s="11" t="s">
        <v>3073</v>
      </c>
      <c r="E18" s="11" t="s">
        <v>3074</v>
      </c>
      <c r="F18" s="11" t="s">
        <v>3070</v>
      </c>
      <c r="G18" s="11" t="s">
        <v>3062</v>
      </c>
      <c r="H18" s="11" t="s">
        <v>3036</v>
      </c>
    </row>
    <row r="19" spans="1:8" x14ac:dyDescent="0.25">
      <c r="A19" s="11">
        <v>16</v>
      </c>
      <c r="B19" s="11" t="s">
        <v>3049</v>
      </c>
      <c r="C19" s="11" t="s">
        <v>1933</v>
      </c>
      <c r="D19" s="11" t="s">
        <v>3075</v>
      </c>
      <c r="E19" s="11" t="s">
        <v>3076</v>
      </c>
      <c r="F19" s="11" t="s">
        <v>3070</v>
      </c>
      <c r="G19" s="11" t="s">
        <v>3062</v>
      </c>
      <c r="H19" s="11" t="s">
        <v>3036</v>
      </c>
    </row>
    <row r="20" spans="1:8" x14ac:dyDescent="0.25">
      <c r="A20" s="11">
        <v>17</v>
      </c>
      <c r="B20" s="11" t="s">
        <v>3049</v>
      </c>
      <c r="C20" s="11" t="s">
        <v>1933</v>
      </c>
      <c r="D20" s="11" t="s">
        <v>3077</v>
      </c>
      <c r="E20" s="11" t="s">
        <v>3078</v>
      </c>
      <c r="F20" s="11" t="s">
        <v>3070</v>
      </c>
      <c r="G20" s="11" t="s">
        <v>3062</v>
      </c>
      <c r="H20" s="11" t="s">
        <v>3036</v>
      </c>
    </row>
    <row r="21" spans="1:8" x14ac:dyDescent="0.25">
      <c r="A21" s="11">
        <v>18</v>
      </c>
      <c r="B21" s="11" t="s">
        <v>3049</v>
      </c>
      <c r="C21" s="11" t="s">
        <v>1933</v>
      </c>
      <c r="D21" s="11" t="s">
        <v>3079</v>
      </c>
      <c r="E21" s="11" t="s">
        <v>3080</v>
      </c>
      <c r="F21" s="11" t="s">
        <v>3070</v>
      </c>
      <c r="G21" s="11" t="s">
        <v>3062</v>
      </c>
      <c r="H21" s="11" t="s">
        <v>3036</v>
      </c>
    </row>
    <row r="22" spans="1:8" x14ac:dyDescent="0.25">
      <c r="A22" s="11">
        <v>19</v>
      </c>
      <c r="B22" s="11" t="s">
        <v>3049</v>
      </c>
      <c r="C22" s="11" t="s">
        <v>1922</v>
      </c>
      <c r="D22" s="11" t="s">
        <v>3081</v>
      </c>
      <c r="E22" s="11" t="s">
        <v>142</v>
      </c>
      <c r="F22" s="11" t="s">
        <v>1917</v>
      </c>
      <c r="G22" s="11" t="s">
        <v>3082</v>
      </c>
      <c r="H22" s="11" t="s">
        <v>3036</v>
      </c>
    </row>
    <row r="23" spans="1:8" x14ac:dyDescent="0.25">
      <c r="A23" s="11">
        <v>20</v>
      </c>
      <c r="B23" s="11" t="s">
        <v>3049</v>
      </c>
      <c r="C23" s="11" t="s">
        <v>1922</v>
      </c>
      <c r="D23" s="11" t="s">
        <v>3083</v>
      </c>
      <c r="E23" s="11" t="s">
        <v>3084</v>
      </c>
      <c r="F23" s="11" t="s">
        <v>1917</v>
      </c>
      <c r="G23" s="11" t="s">
        <v>3082</v>
      </c>
      <c r="H23" s="11" t="s">
        <v>3036</v>
      </c>
    </row>
    <row r="24" spans="1:8" x14ac:dyDescent="0.25">
      <c r="A24" s="11">
        <v>21</v>
      </c>
      <c r="B24" s="11" t="s">
        <v>3049</v>
      </c>
      <c r="C24" s="11" t="s">
        <v>1922</v>
      </c>
      <c r="D24" s="11" t="s">
        <v>3085</v>
      </c>
      <c r="E24" s="11" t="s">
        <v>142</v>
      </c>
      <c r="F24" s="11" t="s">
        <v>1917</v>
      </c>
      <c r="G24" s="11" t="s">
        <v>3082</v>
      </c>
      <c r="H24" s="11" t="s">
        <v>3036</v>
      </c>
    </row>
    <row r="25" spans="1:8" x14ac:dyDescent="0.25">
      <c r="A25" s="11">
        <v>22</v>
      </c>
      <c r="B25" s="11" t="s">
        <v>3049</v>
      </c>
      <c r="C25" s="11" t="s">
        <v>1922</v>
      </c>
      <c r="D25" s="11" t="s">
        <v>3086</v>
      </c>
      <c r="E25" s="11" t="s">
        <v>3087</v>
      </c>
      <c r="F25" s="11" t="s">
        <v>1917</v>
      </c>
      <c r="G25" s="11" t="s">
        <v>3082</v>
      </c>
      <c r="H25" s="11" t="s">
        <v>3036</v>
      </c>
    </row>
    <row r="26" spans="1:8" x14ac:dyDescent="0.25">
      <c r="A26" s="11">
        <v>23</v>
      </c>
      <c r="B26" s="11" t="s">
        <v>3049</v>
      </c>
      <c r="C26" s="11" t="s">
        <v>1922</v>
      </c>
      <c r="D26" s="11" t="s">
        <v>3088</v>
      </c>
      <c r="E26" s="11" t="s">
        <v>3089</v>
      </c>
      <c r="F26" s="11" t="s">
        <v>1917</v>
      </c>
      <c r="G26" s="11" t="s">
        <v>3082</v>
      </c>
      <c r="H26" s="11" t="s">
        <v>3036</v>
      </c>
    </row>
    <row r="27" spans="1:8" x14ac:dyDescent="0.25">
      <c r="A27" s="11">
        <v>24</v>
      </c>
      <c r="B27" s="11" t="s">
        <v>3049</v>
      </c>
      <c r="C27" s="11" t="s">
        <v>1922</v>
      </c>
      <c r="D27" s="11" t="s">
        <v>3090</v>
      </c>
      <c r="E27" s="11" t="s">
        <v>3091</v>
      </c>
      <c r="F27" s="11" t="s">
        <v>1917</v>
      </c>
      <c r="G27" s="11" t="s">
        <v>3082</v>
      </c>
      <c r="H27" s="11" t="s">
        <v>3036</v>
      </c>
    </row>
    <row r="28" spans="1:8" x14ac:dyDescent="0.25">
      <c r="A28" s="11">
        <v>25</v>
      </c>
      <c r="B28" s="11" t="s">
        <v>3049</v>
      </c>
      <c r="C28" s="11" t="s">
        <v>1922</v>
      </c>
      <c r="D28" s="11" t="s">
        <v>3092</v>
      </c>
      <c r="E28" s="11" t="s">
        <v>3093</v>
      </c>
      <c r="F28" s="11" t="s">
        <v>1917</v>
      </c>
      <c r="G28" s="11" t="s">
        <v>3082</v>
      </c>
      <c r="H28" s="11" t="s">
        <v>3036</v>
      </c>
    </row>
    <row r="29" spans="1:8" x14ac:dyDescent="0.25">
      <c r="A29" s="11">
        <v>26</v>
      </c>
      <c r="B29" s="11" t="s">
        <v>3049</v>
      </c>
      <c r="C29" s="11" t="s">
        <v>1922</v>
      </c>
      <c r="D29" s="11" t="s">
        <v>3094</v>
      </c>
      <c r="E29" s="11" t="s">
        <v>3095</v>
      </c>
      <c r="F29" s="11" t="s">
        <v>1917</v>
      </c>
      <c r="G29" s="11" t="s">
        <v>3082</v>
      </c>
      <c r="H29" s="11" t="s">
        <v>3036</v>
      </c>
    </row>
    <row r="30" spans="1:8" x14ac:dyDescent="0.25">
      <c r="A30" s="11">
        <v>27</v>
      </c>
      <c r="B30" s="11" t="s">
        <v>3049</v>
      </c>
      <c r="C30" s="11" t="s">
        <v>1922</v>
      </c>
      <c r="D30" s="11" t="s">
        <v>3096</v>
      </c>
      <c r="E30" s="11" t="s">
        <v>3097</v>
      </c>
      <c r="F30" s="11" t="s">
        <v>1917</v>
      </c>
      <c r="G30" s="11" t="s">
        <v>3082</v>
      </c>
      <c r="H30" s="11" t="s">
        <v>3036</v>
      </c>
    </row>
    <row r="31" spans="1:8" x14ac:dyDescent="0.25">
      <c r="A31" s="11">
        <v>28</v>
      </c>
      <c r="B31" s="11" t="s">
        <v>3049</v>
      </c>
      <c r="C31" s="11" t="s">
        <v>1922</v>
      </c>
      <c r="D31" s="11" t="s">
        <v>3098</v>
      </c>
      <c r="E31" s="11" t="s">
        <v>3099</v>
      </c>
      <c r="F31" s="11" t="s">
        <v>1917</v>
      </c>
      <c r="G31" s="11" t="s">
        <v>3082</v>
      </c>
      <c r="H31" s="11" t="s">
        <v>3036</v>
      </c>
    </row>
    <row r="32" spans="1:8" x14ac:dyDescent="0.25">
      <c r="A32" s="11">
        <v>29</v>
      </c>
      <c r="B32" s="11" t="s">
        <v>3049</v>
      </c>
      <c r="C32" s="11" t="s">
        <v>1922</v>
      </c>
      <c r="D32" s="11" t="s">
        <v>3100</v>
      </c>
      <c r="E32" s="11" t="s">
        <v>142</v>
      </c>
      <c r="F32" s="11" t="s">
        <v>1917</v>
      </c>
      <c r="G32" s="11" t="s">
        <v>3082</v>
      </c>
      <c r="H32" s="11" t="s">
        <v>3036</v>
      </c>
    </row>
    <row r="33" spans="1:8" x14ac:dyDescent="0.25">
      <c r="A33" s="11">
        <v>30</v>
      </c>
      <c r="B33" s="11" t="s">
        <v>3049</v>
      </c>
      <c r="C33" s="11" t="s">
        <v>1964</v>
      </c>
      <c r="D33" s="11" t="s">
        <v>3101</v>
      </c>
      <c r="E33" s="11" t="s">
        <v>142</v>
      </c>
      <c r="F33" s="11" t="s">
        <v>3102</v>
      </c>
      <c r="G33" s="11" t="s">
        <v>3103</v>
      </c>
      <c r="H33" s="11" t="s">
        <v>3036</v>
      </c>
    </row>
    <row r="34" spans="1:8" x14ac:dyDescent="0.25">
      <c r="A34" s="11">
        <v>31</v>
      </c>
      <c r="B34" s="11" t="s">
        <v>3049</v>
      </c>
      <c r="C34" s="11" t="s">
        <v>1964</v>
      </c>
      <c r="D34" s="11" t="s">
        <v>3104</v>
      </c>
      <c r="E34" s="11" t="s">
        <v>142</v>
      </c>
      <c r="F34" s="11" t="s">
        <v>3102</v>
      </c>
      <c r="G34" s="11" t="s">
        <v>3103</v>
      </c>
      <c r="H34" s="11" t="s">
        <v>3036</v>
      </c>
    </row>
    <row r="35" spans="1:8" x14ac:dyDescent="0.25">
      <c r="A35" s="11">
        <v>32</v>
      </c>
      <c r="B35" s="11" t="s">
        <v>3049</v>
      </c>
      <c r="C35" s="11" t="s">
        <v>1964</v>
      </c>
      <c r="D35" s="11" t="s">
        <v>3105</v>
      </c>
      <c r="E35" s="11" t="s">
        <v>3106</v>
      </c>
      <c r="F35" s="11" t="s">
        <v>3102</v>
      </c>
      <c r="G35" s="11" t="s">
        <v>3103</v>
      </c>
      <c r="H35" s="11" t="s">
        <v>3036</v>
      </c>
    </row>
    <row r="36" spans="1:8" x14ac:dyDescent="0.25">
      <c r="A36" s="11">
        <v>33</v>
      </c>
      <c r="B36" s="11" t="s">
        <v>3049</v>
      </c>
      <c r="C36" s="11" t="s">
        <v>1964</v>
      </c>
      <c r="D36" s="11" t="s">
        <v>3107</v>
      </c>
      <c r="E36" s="11" t="s">
        <v>3108</v>
      </c>
      <c r="F36" s="11" t="s">
        <v>3102</v>
      </c>
      <c r="G36" s="11" t="s">
        <v>3103</v>
      </c>
      <c r="H36" s="11" t="s">
        <v>3036</v>
      </c>
    </row>
    <row r="37" spans="1:8" x14ac:dyDescent="0.25">
      <c r="A37" s="11">
        <v>34</v>
      </c>
      <c r="B37" s="11" t="s">
        <v>3049</v>
      </c>
      <c r="C37" s="11" t="s">
        <v>1964</v>
      </c>
      <c r="D37" s="11" t="s">
        <v>3109</v>
      </c>
      <c r="E37" s="11" t="s">
        <v>3110</v>
      </c>
      <c r="F37" s="11" t="s">
        <v>3102</v>
      </c>
      <c r="G37" s="11" t="s">
        <v>3103</v>
      </c>
      <c r="H37" s="11" t="s">
        <v>3036</v>
      </c>
    </row>
    <row r="38" spans="1:8" x14ac:dyDescent="0.25">
      <c r="A38" s="11">
        <v>35</v>
      </c>
      <c r="B38" s="11" t="s">
        <v>3049</v>
      </c>
      <c r="C38" s="11" t="s">
        <v>1964</v>
      </c>
      <c r="D38" s="11" t="s">
        <v>3111</v>
      </c>
      <c r="E38" s="11" t="s">
        <v>142</v>
      </c>
      <c r="F38" s="11" t="s">
        <v>3102</v>
      </c>
      <c r="G38" s="11" t="s">
        <v>3103</v>
      </c>
      <c r="H38" s="11" t="s">
        <v>3036</v>
      </c>
    </row>
    <row r="39" spans="1:8" x14ac:dyDescent="0.25">
      <c r="A39" s="11">
        <v>36</v>
      </c>
      <c r="B39" s="11" t="s">
        <v>3049</v>
      </c>
      <c r="C39" s="11" t="s">
        <v>1964</v>
      </c>
      <c r="D39" s="11" t="s">
        <v>3112</v>
      </c>
      <c r="E39" s="11" t="s">
        <v>3113</v>
      </c>
      <c r="F39" s="11" t="s">
        <v>3102</v>
      </c>
      <c r="G39" s="11" t="s">
        <v>3114</v>
      </c>
      <c r="H39" s="11" t="s">
        <v>3036</v>
      </c>
    </row>
    <row r="40" spans="1:8" x14ac:dyDescent="0.25">
      <c r="A40" s="11">
        <v>37</v>
      </c>
      <c r="B40" s="11" t="s">
        <v>3049</v>
      </c>
      <c r="C40" s="11" t="s">
        <v>1964</v>
      </c>
      <c r="D40" s="11" t="s">
        <v>3115</v>
      </c>
      <c r="E40" s="11" t="s">
        <v>3116</v>
      </c>
      <c r="F40" s="11" t="s">
        <v>3102</v>
      </c>
      <c r="G40" s="11" t="s">
        <v>3103</v>
      </c>
      <c r="H40" s="11" t="s">
        <v>3036</v>
      </c>
    </row>
    <row r="41" spans="1:8" x14ac:dyDescent="0.25">
      <c r="A41" s="11">
        <v>38</v>
      </c>
      <c r="B41" s="11" t="s">
        <v>3049</v>
      </c>
      <c r="C41" s="11" t="s">
        <v>1964</v>
      </c>
      <c r="D41" s="11" t="s">
        <v>3117</v>
      </c>
      <c r="E41" s="11" t="s">
        <v>3118</v>
      </c>
      <c r="F41" s="11" t="s">
        <v>3102</v>
      </c>
      <c r="G41" s="11" t="s">
        <v>3103</v>
      </c>
      <c r="H41" s="11" t="s">
        <v>3036</v>
      </c>
    </row>
    <row r="42" spans="1:8" x14ac:dyDescent="0.25">
      <c r="A42" s="11">
        <v>39</v>
      </c>
      <c r="B42" s="11" t="s">
        <v>3049</v>
      </c>
      <c r="C42" s="11" t="s">
        <v>1964</v>
      </c>
      <c r="D42" s="11" t="s">
        <v>3119</v>
      </c>
      <c r="E42" s="11" t="s">
        <v>3120</v>
      </c>
      <c r="F42" s="11" t="s">
        <v>3102</v>
      </c>
      <c r="G42" s="11" t="s">
        <v>3121</v>
      </c>
      <c r="H42" s="11" t="s">
        <v>3036</v>
      </c>
    </row>
    <row r="43" spans="1:8" x14ac:dyDescent="0.25">
      <c r="A43" s="11">
        <v>40</v>
      </c>
      <c r="B43" s="11" t="s">
        <v>3049</v>
      </c>
      <c r="C43" s="11" t="s">
        <v>1964</v>
      </c>
      <c r="D43" s="11" t="s">
        <v>3122</v>
      </c>
      <c r="E43" s="11" t="s">
        <v>3123</v>
      </c>
      <c r="F43" s="11" t="s">
        <v>3102</v>
      </c>
      <c r="G43" s="11" t="s">
        <v>3121</v>
      </c>
      <c r="H43" s="11" t="s">
        <v>3036</v>
      </c>
    </row>
    <row r="44" spans="1:8" x14ac:dyDescent="0.25">
      <c r="A44" s="11">
        <v>41</v>
      </c>
      <c r="B44" s="11" t="s">
        <v>3049</v>
      </c>
      <c r="C44" s="11" t="s">
        <v>1964</v>
      </c>
      <c r="D44" s="11" t="s">
        <v>3124</v>
      </c>
      <c r="E44" s="11" t="s">
        <v>3125</v>
      </c>
      <c r="F44" s="11" t="s">
        <v>3102</v>
      </c>
      <c r="G44" s="11" t="s">
        <v>3121</v>
      </c>
      <c r="H44" s="11" t="s">
        <v>3036</v>
      </c>
    </row>
    <row r="45" spans="1:8" x14ac:dyDescent="0.25">
      <c r="A45" s="11">
        <v>42</v>
      </c>
      <c r="B45" s="11" t="s">
        <v>3049</v>
      </c>
      <c r="C45" s="11" t="s">
        <v>1964</v>
      </c>
      <c r="D45" s="11" t="s">
        <v>3126</v>
      </c>
      <c r="E45" s="11" t="s">
        <v>3127</v>
      </c>
      <c r="F45" s="11" t="s">
        <v>3102</v>
      </c>
      <c r="G45" s="11" t="s">
        <v>3121</v>
      </c>
      <c r="H45" s="11" t="s">
        <v>3036</v>
      </c>
    </row>
    <row r="46" spans="1:8" x14ac:dyDescent="0.25">
      <c r="A46" s="11">
        <v>43</v>
      </c>
      <c r="B46" s="11" t="s">
        <v>3049</v>
      </c>
      <c r="C46" s="11" t="s">
        <v>1964</v>
      </c>
      <c r="D46" s="11" t="s">
        <v>3128</v>
      </c>
      <c r="E46" s="11" t="s">
        <v>3129</v>
      </c>
      <c r="F46" s="11" t="s">
        <v>3102</v>
      </c>
      <c r="G46" s="11" t="s">
        <v>3121</v>
      </c>
      <c r="H46" s="11" t="s">
        <v>3036</v>
      </c>
    </row>
    <row r="47" spans="1:8" x14ac:dyDescent="0.25">
      <c r="A47" s="11">
        <v>44</v>
      </c>
      <c r="B47" s="11" t="s">
        <v>3049</v>
      </c>
      <c r="C47" s="11" t="s">
        <v>1964</v>
      </c>
      <c r="D47" s="11" t="s">
        <v>3130</v>
      </c>
      <c r="E47" s="11" t="s">
        <v>3131</v>
      </c>
      <c r="F47" s="11" t="s">
        <v>3102</v>
      </c>
      <c r="G47" s="11" t="s">
        <v>3103</v>
      </c>
      <c r="H47" s="11" t="s">
        <v>3036</v>
      </c>
    </row>
    <row r="48" spans="1:8" x14ac:dyDescent="0.25">
      <c r="A48" s="11">
        <v>45</v>
      </c>
      <c r="B48" s="11" t="s">
        <v>3049</v>
      </c>
      <c r="C48" s="11" t="s">
        <v>1964</v>
      </c>
      <c r="D48" s="11" t="s">
        <v>3132</v>
      </c>
      <c r="E48" s="11" t="s">
        <v>3133</v>
      </c>
      <c r="F48" s="11" t="s">
        <v>3102</v>
      </c>
      <c r="G48" s="11" t="s">
        <v>3103</v>
      </c>
      <c r="H48" s="11" t="s">
        <v>3036</v>
      </c>
    </row>
    <row r="49" spans="1:8" x14ac:dyDescent="0.25">
      <c r="A49" s="11">
        <v>46</v>
      </c>
      <c r="B49" s="11" t="s">
        <v>3049</v>
      </c>
      <c r="C49" s="11" t="s">
        <v>1964</v>
      </c>
      <c r="D49" s="11" t="s">
        <v>3134</v>
      </c>
      <c r="E49" s="11" t="s">
        <v>3135</v>
      </c>
      <c r="F49" s="11" t="s">
        <v>3102</v>
      </c>
      <c r="G49" s="11" t="s">
        <v>3103</v>
      </c>
      <c r="H49" s="11" t="s">
        <v>3036</v>
      </c>
    </row>
    <row r="50" spans="1:8" x14ac:dyDescent="0.25">
      <c r="A50" s="11">
        <v>47</v>
      </c>
      <c r="B50" s="11" t="s">
        <v>3049</v>
      </c>
      <c r="C50" s="11" t="s">
        <v>1964</v>
      </c>
      <c r="D50" s="11" t="s">
        <v>3136</v>
      </c>
      <c r="E50" s="11" t="s">
        <v>3137</v>
      </c>
      <c r="F50" s="11" t="s">
        <v>3102</v>
      </c>
      <c r="G50" s="11" t="s">
        <v>3103</v>
      </c>
      <c r="H50" s="11" t="s">
        <v>3036</v>
      </c>
    </row>
    <row r="51" spans="1:8" x14ac:dyDescent="0.25">
      <c r="A51" s="11">
        <v>48</v>
      </c>
      <c r="B51" s="11" t="s">
        <v>3049</v>
      </c>
      <c r="C51" s="11" t="s">
        <v>1964</v>
      </c>
      <c r="D51" s="11" t="s">
        <v>3138</v>
      </c>
      <c r="E51" s="11" t="s">
        <v>142</v>
      </c>
      <c r="F51" s="11" t="s">
        <v>3102</v>
      </c>
      <c r="G51" s="11" t="s">
        <v>3103</v>
      </c>
      <c r="H51" s="11" t="s">
        <v>3036</v>
      </c>
    </row>
    <row r="52" spans="1:8" x14ac:dyDescent="0.25">
      <c r="A52" s="11">
        <v>49</v>
      </c>
      <c r="B52" s="11" t="s">
        <v>3049</v>
      </c>
      <c r="C52" s="11" t="s">
        <v>1964</v>
      </c>
      <c r="D52" s="11" t="s">
        <v>3139</v>
      </c>
      <c r="E52" s="11" t="s">
        <v>3140</v>
      </c>
      <c r="F52" s="11" t="s">
        <v>3102</v>
      </c>
      <c r="G52" s="11" t="s">
        <v>3114</v>
      </c>
      <c r="H52" s="11" t="s">
        <v>3036</v>
      </c>
    </row>
    <row r="53" spans="1:8" x14ac:dyDescent="0.25">
      <c r="A53" s="11">
        <v>50</v>
      </c>
      <c r="B53" s="11" t="s">
        <v>3049</v>
      </c>
      <c r="C53" s="11" t="s">
        <v>1964</v>
      </c>
      <c r="D53" s="11" t="s">
        <v>3141</v>
      </c>
      <c r="E53" s="11" t="s">
        <v>3142</v>
      </c>
      <c r="F53" s="11" t="s">
        <v>3102</v>
      </c>
      <c r="G53" s="11" t="s">
        <v>3103</v>
      </c>
      <c r="H53" s="11" t="s">
        <v>3036</v>
      </c>
    </row>
    <row r="54" spans="1:8" x14ac:dyDescent="0.25">
      <c r="A54" s="11">
        <v>51</v>
      </c>
      <c r="B54" s="11" t="s">
        <v>3049</v>
      </c>
      <c r="C54" s="11" t="s">
        <v>1964</v>
      </c>
      <c r="D54" s="11" t="s">
        <v>3143</v>
      </c>
      <c r="E54" s="11" t="s">
        <v>3144</v>
      </c>
      <c r="F54" s="11" t="s">
        <v>3102</v>
      </c>
      <c r="G54" s="11" t="s">
        <v>3103</v>
      </c>
      <c r="H54" s="11" t="s">
        <v>3036</v>
      </c>
    </row>
    <row r="55" spans="1:8" x14ac:dyDescent="0.25">
      <c r="A55" s="11">
        <v>52</v>
      </c>
      <c r="B55" s="11" t="s">
        <v>3049</v>
      </c>
      <c r="C55" s="11" t="s">
        <v>1964</v>
      </c>
      <c r="D55" s="11" t="s">
        <v>3145</v>
      </c>
      <c r="E55" s="11" t="s">
        <v>3146</v>
      </c>
      <c r="F55" s="11" t="s">
        <v>3102</v>
      </c>
      <c r="G55" s="11" t="s">
        <v>3103</v>
      </c>
      <c r="H55" s="11" t="s">
        <v>3036</v>
      </c>
    </row>
    <row r="56" spans="1:8" x14ac:dyDescent="0.25">
      <c r="A56" s="11">
        <v>53</v>
      </c>
      <c r="B56" s="11" t="s">
        <v>3049</v>
      </c>
      <c r="C56" s="11" t="s">
        <v>1964</v>
      </c>
      <c r="D56" s="11" t="s">
        <v>3147</v>
      </c>
      <c r="E56" s="11" t="s">
        <v>3148</v>
      </c>
      <c r="F56" s="11" t="s">
        <v>3102</v>
      </c>
      <c r="G56" s="11" t="s">
        <v>3103</v>
      </c>
      <c r="H56" s="11" t="s">
        <v>3036</v>
      </c>
    </row>
    <row r="57" spans="1:8" x14ac:dyDescent="0.25">
      <c r="A57" s="11">
        <v>54</v>
      </c>
      <c r="B57" s="11" t="s">
        <v>3049</v>
      </c>
      <c r="C57" s="11" t="s">
        <v>1964</v>
      </c>
      <c r="D57" s="11" t="s">
        <v>3149</v>
      </c>
      <c r="E57" s="11" t="s">
        <v>3150</v>
      </c>
      <c r="F57" s="11" t="s">
        <v>3102</v>
      </c>
      <c r="G57" s="11" t="s">
        <v>3103</v>
      </c>
      <c r="H57" s="11" t="s">
        <v>3036</v>
      </c>
    </row>
    <row r="58" spans="1:8" x14ac:dyDescent="0.25">
      <c r="A58" s="11">
        <v>55</v>
      </c>
      <c r="B58" s="11" t="s">
        <v>3049</v>
      </c>
      <c r="C58" s="11" t="s">
        <v>1964</v>
      </c>
      <c r="D58" s="11" t="s">
        <v>3151</v>
      </c>
      <c r="E58" s="11" t="s">
        <v>3152</v>
      </c>
      <c r="F58" s="11" t="s">
        <v>3102</v>
      </c>
      <c r="G58" s="11" t="s">
        <v>3103</v>
      </c>
      <c r="H58" s="11" t="s">
        <v>3036</v>
      </c>
    </row>
    <row r="59" spans="1:8" x14ac:dyDescent="0.25">
      <c r="A59" s="11">
        <v>56</v>
      </c>
      <c r="B59" s="11" t="s">
        <v>3049</v>
      </c>
      <c r="C59" s="11" t="s">
        <v>1964</v>
      </c>
      <c r="D59" s="11" t="s">
        <v>3153</v>
      </c>
      <c r="E59" s="11" t="s">
        <v>3154</v>
      </c>
      <c r="F59" s="11" t="s">
        <v>3102</v>
      </c>
      <c r="G59" s="11" t="s">
        <v>3103</v>
      </c>
      <c r="H59" s="11" t="s">
        <v>3036</v>
      </c>
    </row>
    <row r="60" spans="1:8" x14ac:dyDescent="0.25">
      <c r="A60" s="11">
        <v>57</v>
      </c>
      <c r="B60" s="11" t="s">
        <v>3049</v>
      </c>
      <c r="C60" s="11" t="s">
        <v>1964</v>
      </c>
      <c r="D60" s="11" t="s">
        <v>3155</v>
      </c>
      <c r="E60" s="11" t="s">
        <v>142</v>
      </c>
      <c r="F60" s="11" t="s">
        <v>3102</v>
      </c>
      <c r="G60" s="11" t="s">
        <v>3103</v>
      </c>
      <c r="H60" s="11" t="s">
        <v>3036</v>
      </c>
    </row>
    <row r="61" spans="1:8" x14ac:dyDescent="0.25">
      <c r="A61" s="11">
        <v>58</v>
      </c>
      <c r="B61" s="11" t="s">
        <v>3049</v>
      </c>
      <c r="C61" s="11" t="s">
        <v>1964</v>
      </c>
      <c r="D61" s="11" t="s">
        <v>3156</v>
      </c>
      <c r="E61" s="11" t="s">
        <v>3157</v>
      </c>
      <c r="F61" s="11" t="s">
        <v>3102</v>
      </c>
      <c r="G61" s="11" t="s">
        <v>3103</v>
      </c>
      <c r="H61" s="11" t="s">
        <v>3036</v>
      </c>
    </row>
    <row r="62" spans="1:8" x14ac:dyDescent="0.25">
      <c r="A62" s="11">
        <v>59</v>
      </c>
      <c r="B62" s="11" t="s">
        <v>3049</v>
      </c>
      <c r="C62" s="11" t="s">
        <v>1964</v>
      </c>
      <c r="D62" s="11" t="s">
        <v>3158</v>
      </c>
      <c r="E62" s="11" t="s">
        <v>142</v>
      </c>
      <c r="F62" s="11" t="s">
        <v>3102</v>
      </c>
      <c r="G62" s="11" t="s">
        <v>3103</v>
      </c>
      <c r="H62" s="11" t="s">
        <v>3036</v>
      </c>
    </row>
    <row r="63" spans="1:8" x14ac:dyDescent="0.25">
      <c r="A63" s="11">
        <v>60</v>
      </c>
      <c r="B63" s="11" t="s">
        <v>3049</v>
      </c>
      <c r="C63" s="11" t="s">
        <v>1964</v>
      </c>
      <c r="D63" s="11" t="s">
        <v>3159</v>
      </c>
      <c r="E63" s="11" t="s">
        <v>3160</v>
      </c>
      <c r="F63" s="11" t="s">
        <v>3102</v>
      </c>
      <c r="G63" s="11" t="s">
        <v>3103</v>
      </c>
      <c r="H63" s="11" t="s">
        <v>3036</v>
      </c>
    </row>
    <row r="64" spans="1:8" x14ac:dyDescent="0.25">
      <c r="A64" s="11">
        <v>61</v>
      </c>
      <c r="B64" s="11" t="s">
        <v>3049</v>
      </c>
      <c r="C64" s="11" t="s">
        <v>1964</v>
      </c>
      <c r="D64" s="11" t="s">
        <v>3161</v>
      </c>
      <c r="E64" s="11" t="s">
        <v>142</v>
      </c>
      <c r="F64" s="11" t="s">
        <v>3102</v>
      </c>
      <c r="G64" s="11" t="s">
        <v>3103</v>
      </c>
      <c r="H64" s="11" t="s">
        <v>3036</v>
      </c>
    </row>
    <row r="65" spans="1:8" x14ac:dyDescent="0.25">
      <c r="A65" s="11">
        <v>62</v>
      </c>
      <c r="B65" s="11" t="s">
        <v>3049</v>
      </c>
      <c r="C65" s="11" t="s">
        <v>1964</v>
      </c>
      <c r="D65" s="11" t="s">
        <v>3162</v>
      </c>
      <c r="E65" s="11" t="s">
        <v>3163</v>
      </c>
      <c r="F65" s="11" t="s">
        <v>3102</v>
      </c>
      <c r="G65" s="11" t="s">
        <v>3103</v>
      </c>
      <c r="H65" s="11" t="s">
        <v>3036</v>
      </c>
    </row>
    <row r="66" spans="1:8" x14ac:dyDescent="0.25">
      <c r="A66" s="11">
        <v>63</v>
      </c>
      <c r="B66" s="11" t="s">
        <v>3049</v>
      </c>
      <c r="C66" s="11" t="s">
        <v>1964</v>
      </c>
      <c r="D66" s="11" t="s">
        <v>3164</v>
      </c>
      <c r="E66" s="11" t="s">
        <v>3165</v>
      </c>
      <c r="F66" s="11" t="s">
        <v>3102</v>
      </c>
      <c r="G66" s="11" t="s">
        <v>3103</v>
      </c>
      <c r="H66" s="11" t="s">
        <v>3036</v>
      </c>
    </row>
    <row r="67" spans="1:8" x14ac:dyDescent="0.25">
      <c r="A67" s="11">
        <v>64</v>
      </c>
      <c r="B67" s="11" t="s">
        <v>3049</v>
      </c>
      <c r="C67" s="11" t="s">
        <v>1964</v>
      </c>
      <c r="D67" s="11" t="s">
        <v>3166</v>
      </c>
      <c r="E67" s="11" t="s">
        <v>3167</v>
      </c>
      <c r="F67" s="11" t="s">
        <v>3102</v>
      </c>
      <c r="G67" s="11" t="s">
        <v>3103</v>
      </c>
      <c r="H67" s="11" t="s">
        <v>3036</v>
      </c>
    </row>
    <row r="68" spans="1:8" x14ac:dyDescent="0.25">
      <c r="A68" s="11">
        <v>65</v>
      </c>
      <c r="B68" s="11" t="s">
        <v>3049</v>
      </c>
      <c r="C68" s="11" t="s">
        <v>1964</v>
      </c>
      <c r="D68" s="11" t="s">
        <v>3168</v>
      </c>
      <c r="E68" s="11" t="s">
        <v>3169</v>
      </c>
      <c r="F68" s="11" t="s">
        <v>3102</v>
      </c>
      <c r="G68" s="11" t="s">
        <v>3103</v>
      </c>
      <c r="H68" s="11" t="s">
        <v>3036</v>
      </c>
    </row>
    <row r="69" spans="1:8" x14ac:dyDescent="0.25">
      <c r="A69" s="11">
        <v>66</v>
      </c>
      <c r="B69" s="11" t="s">
        <v>3049</v>
      </c>
      <c r="C69" s="11" t="s">
        <v>1964</v>
      </c>
      <c r="D69" s="11" t="s">
        <v>3170</v>
      </c>
      <c r="E69" s="11" t="s">
        <v>3171</v>
      </c>
      <c r="F69" s="11" t="s">
        <v>3102</v>
      </c>
      <c r="G69" s="11" t="s">
        <v>3103</v>
      </c>
      <c r="H69" s="11" t="s">
        <v>3036</v>
      </c>
    </row>
    <row r="70" spans="1:8" x14ac:dyDescent="0.25">
      <c r="A70" s="11">
        <v>67</v>
      </c>
      <c r="B70" s="11" t="s">
        <v>3049</v>
      </c>
      <c r="C70" s="11" t="s">
        <v>1964</v>
      </c>
      <c r="D70" s="11" t="s">
        <v>3172</v>
      </c>
      <c r="E70" s="11" t="s">
        <v>3173</v>
      </c>
      <c r="F70" s="11" t="s">
        <v>3102</v>
      </c>
      <c r="G70" s="11" t="s">
        <v>3103</v>
      </c>
      <c r="H70" s="11" t="s">
        <v>3036</v>
      </c>
    </row>
    <row r="71" spans="1:8" x14ac:dyDescent="0.25">
      <c r="A71" s="11">
        <v>68</v>
      </c>
      <c r="B71" s="11" t="s">
        <v>3049</v>
      </c>
      <c r="C71" s="11" t="s">
        <v>1964</v>
      </c>
      <c r="D71" s="11" t="s">
        <v>3174</v>
      </c>
      <c r="E71" s="11" t="s">
        <v>142</v>
      </c>
      <c r="F71" s="11" t="s">
        <v>3102</v>
      </c>
      <c r="G71" s="11" t="s">
        <v>3103</v>
      </c>
      <c r="H71" s="11" t="s">
        <v>3036</v>
      </c>
    </row>
    <row r="72" spans="1:8" x14ac:dyDescent="0.25">
      <c r="A72" s="11">
        <v>69</v>
      </c>
      <c r="B72" s="11" t="s">
        <v>3049</v>
      </c>
      <c r="C72" s="11" t="s">
        <v>1964</v>
      </c>
      <c r="D72" s="11" t="s">
        <v>3175</v>
      </c>
      <c r="E72" s="11" t="s">
        <v>3176</v>
      </c>
      <c r="F72" s="11" t="s">
        <v>3102</v>
      </c>
      <c r="G72" s="11" t="s">
        <v>3103</v>
      </c>
      <c r="H72" s="11" t="s">
        <v>3036</v>
      </c>
    </row>
    <row r="73" spans="1:8" x14ac:dyDescent="0.25">
      <c r="A73" s="11">
        <v>70</v>
      </c>
      <c r="B73" s="11" t="s">
        <v>3049</v>
      </c>
      <c r="C73" s="11" t="s">
        <v>3177</v>
      </c>
      <c r="D73" s="11" t="s">
        <v>3178</v>
      </c>
      <c r="E73" s="11" t="s">
        <v>142</v>
      </c>
      <c r="F73" s="11" t="s">
        <v>1946</v>
      </c>
      <c r="G73" s="11" t="s">
        <v>3062</v>
      </c>
      <c r="H73" s="11" t="s">
        <v>3036</v>
      </c>
    </row>
    <row r="74" spans="1:8" x14ac:dyDescent="0.25">
      <c r="A74" s="11">
        <v>71</v>
      </c>
      <c r="B74" s="11" t="s">
        <v>3049</v>
      </c>
      <c r="C74" s="11" t="s">
        <v>3177</v>
      </c>
      <c r="D74" s="11" t="s">
        <v>3179</v>
      </c>
      <c r="E74" s="11" t="s">
        <v>3180</v>
      </c>
      <c r="F74" s="11" t="s">
        <v>1946</v>
      </c>
      <c r="G74" s="11" t="s">
        <v>3062</v>
      </c>
      <c r="H74" s="11" t="s">
        <v>3036</v>
      </c>
    </row>
    <row r="75" spans="1:8" x14ac:dyDescent="0.25">
      <c r="A75" s="11">
        <v>72</v>
      </c>
      <c r="B75" s="11" t="s">
        <v>3049</v>
      </c>
      <c r="C75" s="11" t="s">
        <v>3177</v>
      </c>
      <c r="D75" s="11" t="s">
        <v>3181</v>
      </c>
      <c r="E75" s="11" t="s">
        <v>3182</v>
      </c>
      <c r="F75" s="11" t="s">
        <v>1946</v>
      </c>
      <c r="G75" s="11" t="s">
        <v>3062</v>
      </c>
      <c r="H75" s="11" t="s">
        <v>3036</v>
      </c>
    </row>
    <row r="76" spans="1:8" x14ac:dyDescent="0.25">
      <c r="A76" s="11">
        <v>73</v>
      </c>
      <c r="B76" s="11" t="s">
        <v>3049</v>
      </c>
      <c r="C76" s="11" t="s">
        <v>3177</v>
      </c>
      <c r="D76" s="11" t="s">
        <v>3183</v>
      </c>
      <c r="E76" s="11" t="s">
        <v>3184</v>
      </c>
      <c r="F76" s="11" t="s">
        <v>1946</v>
      </c>
      <c r="G76" s="11" t="s">
        <v>3062</v>
      </c>
      <c r="H76" s="11" t="s">
        <v>3036</v>
      </c>
    </row>
    <row r="77" spans="1:8" x14ac:dyDescent="0.25">
      <c r="A77" s="11">
        <v>74</v>
      </c>
      <c r="B77" s="11" t="s">
        <v>3049</v>
      </c>
      <c r="C77" s="11" t="s">
        <v>3185</v>
      </c>
      <c r="D77" s="11" t="s">
        <v>3186</v>
      </c>
      <c r="E77" s="11" t="s">
        <v>3187</v>
      </c>
      <c r="F77" s="11" t="s">
        <v>1887</v>
      </c>
      <c r="G77" s="11" t="s">
        <v>3082</v>
      </c>
      <c r="H77" s="11" t="s">
        <v>3036</v>
      </c>
    </row>
    <row r="78" spans="1:8" x14ac:dyDescent="0.25">
      <c r="A78" s="11">
        <v>75</v>
      </c>
      <c r="B78" s="11" t="s">
        <v>3049</v>
      </c>
      <c r="C78" s="11" t="s">
        <v>3185</v>
      </c>
      <c r="D78" s="11" t="s">
        <v>3188</v>
      </c>
      <c r="E78" s="11" t="s">
        <v>3189</v>
      </c>
      <c r="F78" s="11" t="s">
        <v>1887</v>
      </c>
      <c r="G78" s="11" t="s">
        <v>3082</v>
      </c>
      <c r="H78" s="11" t="s">
        <v>3036</v>
      </c>
    </row>
    <row r="79" spans="1:8" x14ac:dyDescent="0.25">
      <c r="A79" s="11">
        <v>76</v>
      </c>
      <c r="B79" s="11" t="s">
        <v>3049</v>
      </c>
      <c r="C79" s="11" t="s">
        <v>3185</v>
      </c>
      <c r="D79" s="11" t="s">
        <v>3190</v>
      </c>
      <c r="E79" s="11" t="s">
        <v>3191</v>
      </c>
      <c r="F79" s="11" t="s">
        <v>1887</v>
      </c>
      <c r="G79" s="11" t="s">
        <v>3082</v>
      </c>
      <c r="H79" s="11" t="s">
        <v>3036</v>
      </c>
    </row>
    <row r="80" spans="1:8" x14ac:dyDescent="0.25">
      <c r="A80" s="11">
        <v>77</v>
      </c>
      <c r="B80" s="11" t="s">
        <v>3049</v>
      </c>
      <c r="C80" s="11" t="s">
        <v>3185</v>
      </c>
      <c r="D80" s="11" t="s">
        <v>3192</v>
      </c>
      <c r="E80" s="11" t="s">
        <v>142</v>
      </c>
      <c r="F80" s="11" t="s">
        <v>1887</v>
      </c>
      <c r="G80" s="11" t="s">
        <v>3082</v>
      </c>
      <c r="H80" s="11" t="s">
        <v>3036</v>
      </c>
    </row>
    <row r="81" spans="1:8" x14ac:dyDescent="0.25">
      <c r="A81" s="11">
        <v>78</v>
      </c>
      <c r="B81" s="11" t="s">
        <v>3049</v>
      </c>
      <c r="C81" s="11" t="s">
        <v>3193</v>
      </c>
      <c r="D81" s="11" t="s">
        <v>3194</v>
      </c>
      <c r="E81" s="11" t="s">
        <v>142</v>
      </c>
      <c r="F81" s="11" t="s">
        <v>1946</v>
      </c>
      <c r="G81" s="11" t="s">
        <v>3062</v>
      </c>
      <c r="H81" s="11" t="s">
        <v>3036</v>
      </c>
    </row>
    <row r="82" spans="1:8" x14ac:dyDescent="0.25">
      <c r="A82" s="11">
        <v>79</v>
      </c>
      <c r="B82" s="11" t="s">
        <v>3049</v>
      </c>
      <c r="C82" s="11" t="s">
        <v>3193</v>
      </c>
      <c r="D82" s="11" t="s">
        <v>3195</v>
      </c>
      <c r="E82" s="11" t="s">
        <v>142</v>
      </c>
      <c r="F82" s="11" t="s">
        <v>1946</v>
      </c>
      <c r="G82" s="11" t="s">
        <v>3062</v>
      </c>
      <c r="H82" s="11" t="s">
        <v>3036</v>
      </c>
    </row>
    <row r="83" spans="1:8" x14ac:dyDescent="0.25">
      <c r="A83" s="11">
        <v>80</v>
      </c>
      <c r="B83" s="11" t="s">
        <v>3049</v>
      </c>
      <c r="C83" s="11" t="s">
        <v>3193</v>
      </c>
      <c r="D83" s="11" t="s">
        <v>3196</v>
      </c>
      <c r="E83" s="11" t="s">
        <v>3197</v>
      </c>
      <c r="F83" s="11" t="s">
        <v>1946</v>
      </c>
      <c r="G83" s="11" t="s">
        <v>3062</v>
      </c>
      <c r="H83" s="11" t="s">
        <v>3036</v>
      </c>
    </row>
    <row r="84" spans="1:8" x14ac:dyDescent="0.25">
      <c r="A84" s="11">
        <v>81</v>
      </c>
      <c r="B84" s="11" t="s">
        <v>3049</v>
      </c>
      <c r="C84" s="11" t="s">
        <v>1983</v>
      </c>
      <c r="D84" s="11" t="s">
        <v>3198</v>
      </c>
      <c r="E84" s="11" t="s">
        <v>3199</v>
      </c>
      <c r="F84" s="11" t="s">
        <v>1977</v>
      </c>
      <c r="G84" s="11" t="s">
        <v>3200</v>
      </c>
      <c r="H84" s="11" t="s">
        <v>3036</v>
      </c>
    </row>
    <row r="85" spans="1:8" x14ac:dyDescent="0.25">
      <c r="A85" s="11">
        <v>82</v>
      </c>
      <c r="B85" s="11" t="s">
        <v>3049</v>
      </c>
      <c r="C85" s="11" t="s">
        <v>1983</v>
      </c>
      <c r="D85" s="11" t="s">
        <v>3201</v>
      </c>
      <c r="E85" s="11" t="s">
        <v>3202</v>
      </c>
      <c r="F85" s="11" t="s">
        <v>1977</v>
      </c>
      <c r="G85" s="11" t="s">
        <v>3200</v>
      </c>
      <c r="H85" s="11" t="s">
        <v>3036</v>
      </c>
    </row>
    <row r="86" spans="1:8" x14ac:dyDescent="0.25">
      <c r="A86" s="11">
        <v>83</v>
      </c>
      <c r="B86" s="11" t="s">
        <v>3049</v>
      </c>
      <c r="C86" s="11" t="s">
        <v>1983</v>
      </c>
      <c r="D86" s="11" t="s">
        <v>3203</v>
      </c>
      <c r="E86" s="11" t="s">
        <v>3204</v>
      </c>
      <c r="F86" s="11" t="s">
        <v>1977</v>
      </c>
      <c r="G86" s="11" t="s">
        <v>3200</v>
      </c>
      <c r="H86" s="11" t="s">
        <v>3036</v>
      </c>
    </row>
    <row r="87" spans="1:8" x14ac:dyDescent="0.25">
      <c r="A87" s="11">
        <v>84</v>
      </c>
      <c r="B87" s="11" t="s">
        <v>3049</v>
      </c>
      <c r="C87" s="11" t="s">
        <v>1983</v>
      </c>
      <c r="D87" s="11" t="s">
        <v>3205</v>
      </c>
      <c r="E87" s="11" t="s">
        <v>3206</v>
      </c>
      <c r="F87" s="11" t="s">
        <v>1977</v>
      </c>
      <c r="G87" s="11" t="s">
        <v>3200</v>
      </c>
      <c r="H87" s="11" t="s">
        <v>3036</v>
      </c>
    </row>
    <row r="88" spans="1:8" x14ac:dyDescent="0.25">
      <c r="A88" s="11">
        <v>85</v>
      </c>
      <c r="B88" s="11" t="s">
        <v>3049</v>
      </c>
      <c r="C88" s="11" t="s">
        <v>1983</v>
      </c>
      <c r="D88" s="11" t="s">
        <v>3207</v>
      </c>
      <c r="E88" s="11" t="s">
        <v>3208</v>
      </c>
      <c r="F88" s="11" t="s">
        <v>1977</v>
      </c>
      <c r="G88" s="11" t="s">
        <v>3200</v>
      </c>
      <c r="H88" s="11" t="s">
        <v>3036</v>
      </c>
    </row>
    <row r="89" spans="1:8" x14ac:dyDescent="0.25">
      <c r="A89" s="11">
        <v>86</v>
      </c>
      <c r="B89" s="11" t="s">
        <v>3049</v>
      </c>
      <c r="C89" s="11" t="s">
        <v>1983</v>
      </c>
      <c r="D89" s="11" t="s">
        <v>3209</v>
      </c>
      <c r="E89" s="11" t="s">
        <v>3210</v>
      </c>
      <c r="F89" s="11" t="s">
        <v>1977</v>
      </c>
      <c r="G89" s="11" t="s">
        <v>3200</v>
      </c>
      <c r="H89" s="11" t="s">
        <v>3036</v>
      </c>
    </row>
    <row r="90" spans="1:8" x14ac:dyDescent="0.25">
      <c r="A90" s="11">
        <v>87</v>
      </c>
      <c r="B90" s="11" t="s">
        <v>3049</v>
      </c>
      <c r="C90" s="11" t="s">
        <v>1983</v>
      </c>
      <c r="D90" s="11" t="s">
        <v>3211</v>
      </c>
      <c r="E90" s="11" t="s">
        <v>3212</v>
      </c>
      <c r="F90" s="11" t="s">
        <v>1977</v>
      </c>
      <c r="G90" s="11" t="s">
        <v>3200</v>
      </c>
      <c r="H90" s="11" t="s">
        <v>3036</v>
      </c>
    </row>
    <row r="91" spans="1:8" x14ac:dyDescent="0.25">
      <c r="A91" s="11">
        <v>88</v>
      </c>
      <c r="B91" s="11" t="s">
        <v>3049</v>
      </c>
      <c r="C91" s="11" t="s">
        <v>1983</v>
      </c>
      <c r="D91" s="11" t="s">
        <v>3213</v>
      </c>
      <c r="E91" s="11" t="s">
        <v>142</v>
      </c>
      <c r="F91" s="11" t="s">
        <v>1977</v>
      </c>
      <c r="G91" s="11" t="s">
        <v>3200</v>
      </c>
      <c r="H91" s="11" t="s">
        <v>3036</v>
      </c>
    </row>
    <row r="92" spans="1:8" x14ac:dyDescent="0.25">
      <c r="A92" s="11">
        <v>89</v>
      </c>
      <c r="B92" s="11" t="s">
        <v>3049</v>
      </c>
      <c r="C92" s="11" t="s">
        <v>1983</v>
      </c>
      <c r="D92" s="11" t="s">
        <v>3214</v>
      </c>
      <c r="E92" s="11" t="s">
        <v>3215</v>
      </c>
      <c r="F92" s="11" t="s">
        <v>1977</v>
      </c>
      <c r="G92" s="11" t="s">
        <v>3200</v>
      </c>
      <c r="H92" s="11" t="s">
        <v>3036</v>
      </c>
    </row>
    <row r="93" spans="1:8" x14ac:dyDescent="0.25">
      <c r="A93" s="11">
        <v>90</v>
      </c>
      <c r="B93" s="11" t="s">
        <v>3049</v>
      </c>
      <c r="C93" s="11" t="s">
        <v>2020</v>
      </c>
      <c r="D93" s="11" t="s">
        <v>3216</v>
      </c>
      <c r="E93" s="11" t="s">
        <v>142</v>
      </c>
      <c r="F93" s="11" t="s">
        <v>2015</v>
      </c>
      <c r="G93" s="11" t="s">
        <v>3217</v>
      </c>
      <c r="H93" s="11" t="s">
        <v>3036</v>
      </c>
    </row>
    <row r="94" spans="1:8" x14ac:dyDescent="0.25">
      <c r="A94" s="11">
        <v>91</v>
      </c>
      <c r="B94" s="11" t="s">
        <v>3049</v>
      </c>
      <c r="C94" s="11" t="s">
        <v>2020</v>
      </c>
      <c r="D94" s="11" t="s">
        <v>3218</v>
      </c>
      <c r="E94" s="11" t="s">
        <v>3219</v>
      </c>
      <c r="F94" s="11" t="s">
        <v>2015</v>
      </c>
      <c r="G94" s="11" t="s">
        <v>3217</v>
      </c>
      <c r="H94" s="11" t="s">
        <v>3036</v>
      </c>
    </row>
    <row r="95" spans="1:8" x14ac:dyDescent="0.25">
      <c r="A95" s="11">
        <v>92</v>
      </c>
      <c r="B95" s="11" t="s">
        <v>3049</v>
      </c>
      <c r="C95" s="11" t="s">
        <v>3220</v>
      </c>
      <c r="D95" s="11" t="s">
        <v>3221</v>
      </c>
      <c r="E95" s="11" t="s">
        <v>142</v>
      </c>
      <c r="F95" s="11" t="s">
        <v>3222</v>
      </c>
      <c r="G95" s="11" t="s">
        <v>3082</v>
      </c>
      <c r="H95" s="11" t="s">
        <v>3036</v>
      </c>
    </row>
    <row r="96" spans="1:8" x14ac:dyDescent="0.25">
      <c r="A96" s="11">
        <v>93</v>
      </c>
      <c r="B96" s="11" t="s">
        <v>3049</v>
      </c>
      <c r="C96" s="11" t="s">
        <v>3220</v>
      </c>
      <c r="D96" s="11" t="s">
        <v>3223</v>
      </c>
      <c r="E96" s="11" t="s">
        <v>142</v>
      </c>
      <c r="F96" s="11" t="s">
        <v>3222</v>
      </c>
      <c r="G96" s="11" t="s">
        <v>3082</v>
      </c>
      <c r="H96" s="11" t="s">
        <v>3036</v>
      </c>
    </row>
    <row r="97" spans="1:8" x14ac:dyDescent="0.25">
      <c r="A97" s="11">
        <v>94</v>
      </c>
      <c r="B97" s="11" t="s">
        <v>3049</v>
      </c>
      <c r="C97" s="11" t="s">
        <v>3220</v>
      </c>
      <c r="D97" s="11" t="s">
        <v>3224</v>
      </c>
      <c r="E97" s="11" t="s">
        <v>142</v>
      </c>
      <c r="F97" s="11" t="s">
        <v>3222</v>
      </c>
      <c r="G97" s="11" t="s">
        <v>3082</v>
      </c>
      <c r="H97" s="11" t="s">
        <v>3036</v>
      </c>
    </row>
    <row r="98" spans="1:8" x14ac:dyDescent="0.25">
      <c r="A98" s="11">
        <v>95</v>
      </c>
      <c r="B98" s="11" t="s">
        <v>3049</v>
      </c>
      <c r="C98" s="11" t="s">
        <v>3220</v>
      </c>
      <c r="D98" s="11" t="s">
        <v>3225</v>
      </c>
      <c r="E98" s="11" t="s">
        <v>142</v>
      </c>
      <c r="F98" s="11" t="s">
        <v>3222</v>
      </c>
      <c r="G98" s="11" t="s">
        <v>3082</v>
      </c>
      <c r="H98" s="11" t="s">
        <v>3036</v>
      </c>
    </row>
    <row r="99" spans="1:8" x14ac:dyDescent="0.25">
      <c r="A99" s="11">
        <v>96</v>
      </c>
      <c r="B99" s="11" t="s">
        <v>3049</v>
      </c>
      <c r="C99" s="11" t="s">
        <v>3220</v>
      </c>
      <c r="D99" s="11" t="s">
        <v>3226</v>
      </c>
      <c r="E99" s="11" t="s">
        <v>3227</v>
      </c>
      <c r="F99" s="11" t="s">
        <v>3222</v>
      </c>
      <c r="G99" s="11" t="s">
        <v>3082</v>
      </c>
      <c r="H99" s="11" t="s">
        <v>3036</v>
      </c>
    </row>
    <row r="100" spans="1:8" x14ac:dyDescent="0.25">
      <c r="A100" s="11">
        <v>97</v>
      </c>
      <c r="B100" s="11" t="s">
        <v>3049</v>
      </c>
      <c r="C100" s="11" t="s">
        <v>3220</v>
      </c>
      <c r="D100" s="11" t="s">
        <v>3228</v>
      </c>
      <c r="E100" s="11" t="s">
        <v>142</v>
      </c>
      <c r="F100" s="11" t="s">
        <v>3222</v>
      </c>
      <c r="G100" s="11" t="s">
        <v>3082</v>
      </c>
      <c r="H100" s="11" t="s">
        <v>3036</v>
      </c>
    </row>
    <row r="101" spans="1:8" x14ac:dyDescent="0.25">
      <c r="A101" s="11">
        <v>98</v>
      </c>
      <c r="B101" s="11" t="s">
        <v>3049</v>
      </c>
      <c r="C101" s="11" t="s">
        <v>3220</v>
      </c>
      <c r="D101" s="11" t="s">
        <v>3229</v>
      </c>
      <c r="E101" s="11" t="s">
        <v>3230</v>
      </c>
      <c r="F101" s="11" t="s">
        <v>3222</v>
      </c>
      <c r="G101" s="11" t="s">
        <v>3082</v>
      </c>
      <c r="H101" s="11" t="s">
        <v>3036</v>
      </c>
    </row>
    <row r="102" spans="1:8" x14ac:dyDescent="0.25">
      <c r="A102" s="11">
        <v>99</v>
      </c>
      <c r="B102" s="11" t="s">
        <v>3049</v>
      </c>
      <c r="C102" s="11" t="s">
        <v>3220</v>
      </c>
      <c r="D102" s="11" t="s">
        <v>3231</v>
      </c>
      <c r="E102" s="11" t="s">
        <v>3232</v>
      </c>
      <c r="F102" s="11" t="s">
        <v>3222</v>
      </c>
      <c r="G102" s="11" t="s">
        <v>3082</v>
      </c>
      <c r="H102" s="11" t="s">
        <v>3036</v>
      </c>
    </row>
    <row r="103" spans="1:8" x14ac:dyDescent="0.25">
      <c r="A103" s="11">
        <v>100</v>
      </c>
      <c r="B103" s="11" t="s">
        <v>3049</v>
      </c>
      <c r="C103" s="11" t="s">
        <v>3220</v>
      </c>
      <c r="D103" s="11" t="s">
        <v>3233</v>
      </c>
      <c r="E103" s="11" t="s">
        <v>3234</v>
      </c>
      <c r="F103" s="11" t="s">
        <v>3222</v>
      </c>
      <c r="G103" s="11" t="s">
        <v>3082</v>
      </c>
      <c r="H103" s="11" t="s">
        <v>3036</v>
      </c>
    </row>
    <row r="104" spans="1:8" x14ac:dyDescent="0.25">
      <c r="A104" s="11">
        <v>101</v>
      </c>
      <c r="B104" s="11" t="s">
        <v>3049</v>
      </c>
      <c r="C104" s="11" t="s">
        <v>3220</v>
      </c>
      <c r="D104" s="11" t="s">
        <v>3235</v>
      </c>
      <c r="E104" s="11" t="s">
        <v>142</v>
      </c>
      <c r="F104" s="11" t="s">
        <v>3222</v>
      </c>
      <c r="G104" s="11" t="s">
        <v>3082</v>
      </c>
      <c r="H104" s="11" t="s">
        <v>3036</v>
      </c>
    </row>
    <row r="105" spans="1:8" x14ac:dyDescent="0.25">
      <c r="A105" s="11">
        <v>102</v>
      </c>
      <c r="B105" s="11" t="s">
        <v>3049</v>
      </c>
      <c r="C105" s="11" t="s">
        <v>3220</v>
      </c>
      <c r="D105" s="11" t="s">
        <v>3236</v>
      </c>
      <c r="E105" s="11" t="s">
        <v>142</v>
      </c>
      <c r="F105" s="11" t="s">
        <v>3222</v>
      </c>
      <c r="G105" s="11" t="s">
        <v>3082</v>
      </c>
      <c r="H105" s="11" t="s">
        <v>3036</v>
      </c>
    </row>
    <row r="106" spans="1:8" x14ac:dyDescent="0.25">
      <c r="A106" s="11">
        <v>103</v>
      </c>
      <c r="B106" s="11" t="s">
        <v>3049</v>
      </c>
      <c r="C106" s="11" t="s">
        <v>3220</v>
      </c>
      <c r="D106" s="11" t="s">
        <v>3237</v>
      </c>
      <c r="E106" s="11" t="s">
        <v>3238</v>
      </c>
      <c r="F106" s="11" t="s">
        <v>3222</v>
      </c>
      <c r="G106" s="11" t="s">
        <v>3082</v>
      </c>
      <c r="H106" s="11" t="s">
        <v>3036</v>
      </c>
    </row>
    <row r="107" spans="1:8" x14ac:dyDescent="0.25">
      <c r="A107" s="11">
        <v>104</v>
      </c>
      <c r="B107" s="11" t="s">
        <v>3049</v>
      </c>
      <c r="C107" s="11" t="s">
        <v>3220</v>
      </c>
      <c r="D107" s="11" t="s">
        <v>3239</v>
      </c>
      <c r="E107" s="11" t="s">
        <v>3240</v>
      </c>
      <c r="F107" s="11" t="s">
        <v>3222</v>
      </c>
      <c r="G107" s="11" t="s">
        <v>3082</v>
      </c>
      <c r="H107" s="11" t="s">
        <v>3036</v>
      </c>
    </row>
    <row r="108" spans="1:8" x14ac:dyDescent="0.25">
      <c r="A108" s="11">
        <v>105</v>
      </c>
      <c r="B108" s="11" t="s">
        <v>3049</v>
      </c>
      <c r="C108" s="11" t="s">
        <v>3220</v>
      </c>
      <c r="D108" s="11" t="s">
        <v>3241</v>
      </c>
      <c r="E108" s="11" t="s">
        <v>3242</v>
      </c>
      <c r="F108" s="11" t="s">
        <v>3222</v>
      </c>
      <c r="G108" s="11" t="s">
        <v>3082</v>
      </c>
      <c r="H108" s="11" t="s">
        <v>3036</v>
      </c>
    </row>
    <row r="109" spans="1:8" x14ac:dyDescent="0.25">
      <c r="A109" s="11">
        <v>106</v>
      </c>
      <c r="B109" s="11" t="s">
        <v>3049</v>
      </c>
      <c r="C109" s="11" t="s">
        <v>3220</v>
      </c>
      <c r="D109" s="11" t="s">
        <v>3243</v>
      </c>
      <c r="E109" s="11" t="s">
        <v>142</v>
      </c>
      <c r="F109" s="11" t="s">
        <v>3222</v>
      </c>
      <c r="G109" s="11" t="s">
        <v>3082</v>
      </c>
      <c r="H109" s="11" t="s">
        <v>3036</v>
      </c>
    </row>
    <row r="110" spans="1:8" x14ac:dyDescent="0.25">
      <c r="A110" s="11">
        <v>107</v>
      </c>
      <c r="B110" s="11" t="s">
        <v>3049</v>
      </c>
      <c r="C110" s="11" t="s">
        <v>3220</v>
      </c>
      <c r="D110" s="11" t="s">
        <v>3244</v>
      </c>
      <c r="E110" s="11" t="s">
        <v>3245</v>
      </c>
      <c r="F110" s="11" t="s">
        <v>3222</v>
      </c>
      <c r="G110" s="11" t="s">
        <v>3082</v>
      </c>
      <c r="H110" s="11" t="s">
        <v>3036</v>
      </c>
    </row>
    <row r="111" spans="1:8" x14ac:dyDescent="0.25">
      <c r="A111" s="11">
        <v>108</v>
      </c>
      <c r="B111" s="11" t="s">
        <v>3049</v>
      </c>
      <c r="C111" s="11" t="s">
        <v>3220</v>
      </c>
      <c r="D111" s="11" t="s">
        <v>3246</v>
      </c>
      <c r="E111" s="11" t="s">
        <v>3247</v>
      </c>
      <c r="F111" s="11" t="s">
        <v>3222</v>
      </c>
      <c r="G111" s="11" t="s">
        <v>3082</v>
      </c>
      <c r="H111" s="11" t="s">
        <v>3036</v>
      </c>
    </row>
    <row r="112" spans="1:8" x14ac:dyDescent="0.25">
      <c r="A112" s="11">
        <v>109</v>
      </c>
      <c r="B112" s="11" t="s">
        <v>3049</v>
      </c>
      <c r="C112" s="11" t="s">
        <v>3220</v>
      </c>
      <c r="D112" s="11" t="s">
        <v>3248</v>
      </c>
      <c r="E112" s="11" t="s">
        <v>3249</v>
      </c>
      <c r="F112" s="11" t="s">
        <v>3222</v>
      </c>
      <c r="G112" s="11" t="s">
        <v>3082</v>
      </c>
      <c r="H112" s="11" t="s">
        <v>3036</v>
      </c>
    </row>
    <row r="113" spans="1:8" x14ac:dyDescent="0.25">
      <c r="A113" s="11">
        <v>110</v>
      </c>
      <c r="B113" s="11" t="s">
        <v>3049</v>
      </c>
      <c r="C113" s="11" t="s">
        <v>3220</v>
      </c>
      <c r="D113" s="11" t="s">
        <v>3250</v>
      </c>
      <c r="E113" s="11" t="s">
        <v>3251</v>
      </c>
      <c r="F113" s="11" t="s">
        <v>3222</v>
      </c>
      <c r="G113" s="11" t="s">
        <v>3082</v>
      </c>
      <c r="H113" s="11" t="s">
        <v>3036</v>
      </c>
    </row>
    <row r="114" spans="1:8" x14ac:dyDescent="0.25">
      <c r="A114" s="11">
        <v>111</v>
      </c>
      <c r="B114" s="11" t="s">
        <v>3049</v>
      </c>
      <c r="C114" s="11" t="s">
        <v>3220</v>
      </c>
      <c r="D114" s="11" t="s">
        <v>3252</v>
      </c>
      <c r="E114" s="11" t="s">
        <v>3253</v>
      </c>
      <c r="F114" s="11" t="s">
        <v>3222</v>
      </c>
      <c r="G114" s="11" t="s">
        <v>3254</v>
      </c>
      <c r="H114" s="11" t="s">
        <v>3036</v>
      </c>
    </row>
    <row r="115" spans="1:8" x14ac:dyDescent="0.25">
      <c r="A115" s="11">
        <v>112</v>
      </c>
      <c r="B115" s="11" t="s">
        <v>3049</v>
      </c>
      <c r="C115" s="11" t="s">
        <v>3220</v>
      </c>
      <c r="D115" s="11" t="s">
        <v>3255</v>
      </c>
      <c r="E115" s="11" t="s">
        <v>142</v>
      </c>
      <c r="F115" s="11" t="s">
        <v>3222</v>
      </c>
      <c r="G115" s="11" t="s">
        <v>3082</v>
      </c>
      <c r="H115" s="11" t="s">
        <v>3036</v>
      </c>
    </row>
    <row r="116" spans="1:8" x14ac:dyDescent="0.25">
      <c r="A116" s="11">
        <v>113</v>
      </c>
      <c r="B116" s="11" t="s">
        <v>3049</v>
      </c>
      <c r="C116" s="11" t="s">
        <v>3220</v>
      </c>
      <c r="D116" s="11" t="s">
        <v>3256</v>
      </c>
      <c r="E116" s="11" t="s">
        <v>142</v>
      </c>
      <c r="F116" s="11" t="s">
        <v>3222</v>
      </c>
      <c r="G116" s="11" t="s">
        <v>3082</v>
      </c>
      <c r="H116" s="11" t="s">
        <v>3036</v>
      </c>
    </row>
    <row r="117" spans="1:8" x14ac:dyDescent="0.25">
      <c r="A117" s="11">
        <v>114</v>
      </c>
      <c r="B117" s="11" t="s">
        <v>3049</v>
      </c>
      <c r="C117" s="11" t="s">
        <v>3220</v>
      </c>
      <c r="D117" s="11" t="s">
        <v>3257</v>
      </c>
      <c r="E117" s="11" t="s">
        <v>3258</v>
      </c>
      <c r="F117" s="11" t="s">
        <v>3222</v>
      </c>
      <c r="G117" s="11" t="s">
        <v>3082</v>
      </c>
      <c r="H117" s="11" t="s">
        <v>3036</v>
      </c>
    </row>
    <row r="118" spans="1:8" x14ac:dyDescent="0.25">
      <c r="A118" s="11">
        <v>115</v>
      </c>
      <c r="B118" s="11" t="s">
        <v>3049</v>
      </c>
      <c r="C118" s="11" t="s">
        <v>3220</v>
      </c>
      <c r="D118" s="11" t="s">
        <v>3259</v>
      </c>
      <c r="E118" s="11" t="s">
        <v>3260</v>
      </c>
      <c r="F118" s="11" t="s">
        <v>3222</v>
      </c>
      <c r="G118" s="11" t="s">
        <v>3082</v>
      </c>
      <c r="H118" s="11" t="s">
        <v>3036</v>
      </c>
    </row>
    <row r="119" spans="1:8" x14ac:dyDescent="0.25">
      <c r="A119" s="11">
        <v>116</v>
      </c>
      <c r="B119" s="11" t="s">
        <v>3049</v>
      </c>
      <c r="C119" s="11" t="s">
        <v>3220</v>
      </c>
      <c r="D119" s="11" t="s">
        <v>3261</v>
      </c>
      <c r="E119" s="11" t="s">
        <v>3262</v>
      </c>
      <c r="F119" s="11" t="s">
        <v>3222</v>
      </c>
      <c r="G119" s="11" t="s">
        <v>3082</v>
      </c>
      <c r="H119" s="11" t="s">
        <v>3036</v>
      </c>
    </row>
    <row r="120" spans="1:8" x14ac:dyDescent="0.25">
      <c r="A120" s="11">
        <v>117</v>
      </c>
      <c r="B120" s="11" t="s">
        <v>3049</v>
      </c>
      <c r="C120" s="11" t="s">
        <v>3220</v>
      </c>
      <c r="D120" s="11" t="s">
        <v>3263</v>
      </c>
      <c r="E120" s="11" t="s">
        <v>3264</v>
      </c>
      <c r="F120" s="11" t="s">
        <v>3222</v>
      </c>
      <c r="G120" s="11" t="s">
        <v>3082</v>
      </c>
      <c r="H120" s="11" t="s">
        <v>3036</v>
      </c>
    </row>
    <row r="121" spans="1:8" x14ac:dyDescent="0.25">
      <c r="A121" s="11">
        <v>118</v>
      </c>
      <c r="B121" s="11" t="s">
        <v>3265</v>
      </c>
      <c r="C121" s="11" t="s">
        <v>3266</v>
      </c>
      <c r="D121" s="11" t="s">
        <v>3267</v>
      </c>
      <c r="E121" s="11" t="s">
        <v>3268</v>
      </c>
      <c r="F121" s="11" t="s">
        <v>142</v>
      </c>
      <c r="G121" s="11" t="s">
        <v>3269</v>
      </c>
      <c r="H121" s="11" t="s">
        <v>3036</v>
      </c>
    </row>
    <row r="122" spans="1:8" x14ac:dyDescent="0.25">
      <c r="A122" s="11">
        <v>119</v>
      </c>
      <c r="B122" s="11" t="s">
        <v>3270</v>
      </c>
      <c r="C122" s="11" t="s">
        <v>3271</v>
      </c>
      <c r="D122" s="11" t="s">
        <v>3272</v>
      </c>
      <c r="E122" s="11" t="s">
        <v>142</v>
      </c>
      <c r="F122" s="11" t="s">
        <v>1905</v>
      </c>
      <c r="G122" s="11" t="s">
        <v>142</v>
      </c>
      <c r="H122" s="11" t="s">
        <v>3036</v>
      </c>
    </row>
    <row r="123" spans="1:8" x14ac:dyDescent="0.25">
      <c r="A123" s="11">
        <v>120</v>
      </c>
      <c r="B123" s="11" t="s">
        <v>3273</v>
      </c>
      <c r="C123" s="11" t="s">
        <v>3274</v>
      </c>
      <c r="D123" s="11" t="s">
        <v>3275</v>
      </c>
      <c r="E123" s="11" t="s">
        <v>3276</v>
      </c>
      <c r="F123" s="11" t="s">
        <v>2069</v>
      </c>
      <c r="G123" s="11" t="s">
        <v>3277</v>
      </c>
      <c r="H123" s="11" t="s">
        <v>3036</v>
      </c>
    </row>
    <row r="124" spans="1:8" x14ac:dyDescent="0.25">
      <c r="A124" s="11">
        <v>121</v>
      </c>
      <c r="B124" s="11" t="s">
        <v>3273</v>
      </c>
      <c r="C124" s="11" t="s">
        <v>3278</v>
      </c>
      <c r="D124" s="11" t="s">
        <v>3279</v>
      </c>
      <c r="E124" s="11" t="s">
        <v>3280</v>
      </c>
      <c r="F124" s="11" t="s">
        <v>2108</v>
      </c>
      <c r="G124" s="11" t="s">
        <v>142</v>
      </c>
      <c r="H124" s="11" t="s">
        <v>3036</v>
      </c>
    </row>
    <row r="125" spans="1:8" x14ac:dyDescent="0.25">
      <c r="A125" s="11">
        <v>122</v>
      </c>
      <c r="B125" s="11" t="s">
        <v>3273</v>
      </c>
      <c r="C125" s="11" t="s">
        <v>3278</v>
      </c>
      <c r="D125" s="11" t="s">
        <v>3281</v>
      </c>
      <c r="E125" s="11" t="s">
        <v>3282</v>
      </c>
      <c r="F125" s="11" t="s">
        <v>2108</v>
      </c>
      <c r="G125" s="11" t="s">
        <v>3283</v>
      </c>
      <c r="H125" s="11" t="s">
        <v>3036</v>
      </c>
    </row>
    <row r="126" spans="1:8" x14ac:dyDescent="0.25">
      <c r="A126" s="11">
        <v>123</v>
      </c>
      <c r="B126" s="11" t="s">
        <v>3273</v>
      </c>
      <c r="C126" s="11" t="s">
        <v>2052</v>
      </c>
      <c r="D126" s="11" t="s">
        <v>3284</v>
      </c>
      <c r="E126" s="11" t="s">
        <v>3285</v>
      </c>
      <c r="F126" s="11" t="s">
        <v>3286</v>
      </c>
      <c r="G126" s="11" t="s">
        <v>3287</v>
      </c>
      <c r="H126" s="11" t="s">
        <v>3036</v>
      </c>
    </row>
    <row r="127" spans="1:8" x14ac:dyDescent="0.25">
      <c r="A127" s="11">
        <v>124</v>
      </c>
      <c r="B127" s="11" t="s">
        <v>3273</v>
      </c>
      <c r="C127" s="11" t="s">
        <v>2052</v>
      </c>
      <c r="D127" s="11" t="s">
        <v>3288</v>
      </c>
      <c r="E127" s="11" t="s">
        <v>142</v>
      </c>
      <c r="F127" s="11" t="s">
        <v>3286</v>
      </c>
      <c r="G127" s="11" t="s">
        <v>3287</v>
      </c>
      <c r="H127" s="11" t="s">
        <v>3036</v>
      </c>
    </row>
    <row r="128" spans="1:8" x14ac:dyDescent="0.25">
      <c r="A128" s="11">
        <v>125</v>
      </c>
      <c r="B128" s="11" t="s">
        <v>3273</v>
      </c>
      <c r="C128" s="11" t="s">
        <v>2052</v>
      </c>
      <c r="D128" s="11" t="s">
        <v>3289</v>
      </c>
      <c r="E128" s="11" t="s">
        <v>3290</v>
      </c>
      <c r="F128" s="11" t="s">
        <v>3286</v>
      </c>
      <c r="G128" s="11" t="s">
        <v>3082</v>
      </c>
      <c r="H128" s="11" t="s">
        <v>3036</v>
      </c>
    </row>
    <row r="129" spans="1:8" x14ac:dyDescent="0.25">
      <c r="A129" s="11">
        <v>126</v>
      </c>
      <c r="B129" s="11" t="s">
        <v>3273</v>
      </c>
      <c r="C129" s="11" t="s">
        <v>2052</v>
      </c>
      <c r="D129" s="11" t="s">
        <v>3291</v>
      </c>
      <c r="E129" s="11" t="s">
        <v>3292</v>
      </c>
      <c r="F129" s="11" t="s">
        <v>3286</v>
      </c>
      <c r="G129" s="11" t="s">
        <v>3287</v>
      </c>
      <c r="H129" s="11" t="s">
        <v>3036</v>
      </c>
    </row>
    <row r="130" spans="1:8" x14ac:dyDescent="0.25">
      <c r="A130" s="11">
        <v>127</v>
      </c>
      <c r="B130" s="11" t="s">
        <v>3273</v>
      </c>
      <c r="C130" s="11" t="s">
        <v>2052</v>
      </c>
      <c r="D130" s="11" t="s">
        <v>3293</v>
      </c>
      <c r="E130" s="11" t="s">
        <v>3294</v>
      </c>
      <c r="F130" s="11" t="s">
        <v>3286</v>
      </c>
      <c r="G130" s="11" t="s">
        <v>3287</v>
      </c>
      <c r="H130" s="11" t="s">
        <v>3036</v>
      </c>
    </row>
    <row r="131" spans="1:8" x14ac:dyDescent="0.25">
      <c r="A131" s="11">
        <v>128</v>
      </c>
      <c r="B131" s="11" t="s">
        <v>3273</v>
      </c>
      <c r="C131" s="11" t="s">
        <v>2052</v>
      </c>
      <c r="D131" s="11" t="s">
        <v>3295</v>
      </c>
      <c r="E131" s="11" t="s">
        <v>3296</v>
      </c>
      <c r="F131" s="11" t="s">
        <v>3286</v>
      </c>
      <c r="G131" s="11" t="s">
        <v>3287</v>
      </c>
      <c r="H131" s="11" t="s">
        <v>3036</v>
      </c>
    </row>
    <row r="132" spans="1:8" x14ac:dyDescent="0.25">
      <c r="A132" s="11">
        <v>129</v>
      </c>
      <c r="B132" s="11" t="s">
        <v>3273</v>
      </c>
      <c r="C132" s="11" t="s">
        <v>2052</v>
      </c>
      <c r="D132" s="11" t="s">
        <v>3297</v>
      </c>
      <c r="E132" s="11" t="s">
        <v>3298</v>
      </c>
      <c r="F132" s="11" t="s">
        <v>3286</v>
      </c>
      <c r="G132" s="11" t="s">
        <v>3287</v>
      </c>
      <c r="H132" s="11" t="s">
        <v>3036</v>
      </c>
    </row>
    <row r="133" spans="1:8" x14ac:dyDescent="0.25">
      <c r="A133" s="11">
        <v>130</v>
      </c>
      <c r="B133" s="11" t="s">
        <v>3273</v>
      </c>
      <c r="C133" s="11" t="s">
        <v>2052</v>
      </c>
      <c r="D133" s="11" t="s">
        <v>3299</v>
      </c>
      <c r="E133" s="11" t="s">
        <v>3300</v>
      </c>
      <c r="F133" s="11" t="s">
        <v>3286</v>
      </c>
      <c r="G133" s="11" t="s">
        <v>3287</v>
      </c>
      <c r="H133" s="11" t="s">
        <v>3036</v>
      </c>
    </row>
    <row r="134" spans="1:8" x14ac:dyDescent="0.25">
      <c r="A134" s="11">
        <v>131</v>
      </c>
      <c r="B134" s="11" t="s">
        <v>3273</v>
      </c>
      <c r="C134" s="11" t="s">
        <v>2052</v>
      </c>
      <c r="D134" s="11" t="s">
        <v>3301</v>
      </c>
      <c r="E134" s="11" t="s">
        <v>3302</v>
      </c>
      <c r="F134" s="11" t="s">
        <v>3286</v>
      </c>
      <c r="G134" s="11" t="s">
        <v>3287</v>
      </c>
      <c r="H134" s="11" t="s">
        <v>3036</v>
      </c>
    </row>
    <row r="135" spans="1:8" x14ac:dyDescent="0.25">
      <c r="A135" s="11">
        <v>132</v>
      </c>
      <c r="B135" s="11" t="s">
        <v>3273</v>
      </c>
      <c r="C135" s="11" t="s">
        <v>2014</v>
      </c>
      <c r="D135" s="11" t="s">
        <v>3303</v>
      </c>
      <c r="E135" s="11" t="s">
        <v>142</v>
      </c>
      <c r="F135" s="11" t="s">
        <v>3304</v>
      </c>
      <c r="G135" s="11" t="s">
        <v>3287</v>
      </c>
      <c r="H135" s="11" t="s">
        <v>3036</v>
      </c>
    </row>
    <row r="136" spans="1:8" x14ac:dyDescent="0.25">
      <c r="A136" s="11">
        <v>133</v>
      </c>
      <c r="B136" s="11" t="s">
        <v>3273</v>
      </c>
      <c r="C136" s="11" t="s">
        <v>2014</v>
      </c>
      <c r="D136" s="11" t="s">
        <v>3305</v>
      </c>
      <c r="E136" s="11" t="s">
        <v>3306</v>
      </c>
      <c r="F136" s="11" t="s">
        <v>3304</v>
      </c>
      <c r="G136" s="11" t="s">
        <v>3254</v>
      </c>
      <c r="H136" s="11" t="s">
        <v>3036</v>
      </c>
    </row>
    <row r="137" spans="1:8" x14ac:dyDescent="0.25">
      <c r="A137" s="11">
        <v>134</v>
      </c>
      <c r="B137" s="11" t="s">
        <v>3273</v>
      </c>
      <c r="C137" s="11" t="s">
        <v>2014</v>
      </c>
      <c r="D137" s="11" t="s">
        <v>3307</v>
      </c>
      <c r="E137" s="11" t="s">
        <v>3308</v>
      </c>
      <c r="F137" s="11" t="s">
        <v>3304</v>
      </c>
      <c r="G137" s="11" t="s">
        <v>3254</v>
      </c>
      <c r="H137" s="11" t="s">
        <v>3036</v>
      </c>
    </row>
    <row r="138" spans="1:8" x14ac:dyDescent="0.25">
      <c r="A138" s="11">
        <v>135</v>
      </c>
      <c r="B138" s="11" t="s">
        <v>3273</v>
      </c>
      <c r="C138" s="11" t="s">
        <v>2014</v>
      </c>
      <c r="D138" s="11" t="s">
        <v>3309</v>
      </c>
      <c r="E138" s="11" t="s">
        <v>3310</v>
      </c>
      <c r="F138" s="11" t="s">
        <v>3304</v>
      </c>
      <c r="G138" s="11" t="s">
        <v>3254</v>
      </c>
      <c r="H138" s="11" t="s">
        <v>3036</v>
      </c>
    </row>
    <row r="139" spans="1:8" x14ac:dyDescent="0.25">
      <c r="A139" s="11">
        <v>136</v>
      </c>
      <c r="B139" s="11" t="s">
        <v>3273</v>
      </c>
      <c r="C139" s="11" t="s">
        <v>2014</v>
      </c>
      <c r="D139" s="11" t="s">
        <v>3311</v>
      </c>
      <c r="E139" s="11" t="s">
        <v>142</v>
      </c>
      <c r="F139" s="11" t="s">
        <v>3304</v>
      </c>
      <c r="G139" s="11" t="s">
        <v>3287</v>
      </c>
      <c r="H139" s="11" t="s">
        <v>3036</v>
      </c>
    </row>
    <row r="140" spans="1:8" x14ac:dyDescent="0.25">
      <c r="A140" s="11">
        <v>137</v>
      </c>
      <c r="B140" s="11" t="s">
        <v>3273</v>
      </c>
      <c r="C140" s="11" t="s">
        <v>2014</v>
      </c>
      <c r="D140" s="11" t="s">
        <v>3312</v>
      </c>
      <c r="E140" s="11" t="s">
        <v>142</v>
      </c>
      <c r="F140" s="11" t="s">
        <v>3304</v>
      </c>
      <c r="G140" s="11" t="s">
        <v>3287</v>
      </c>
      <c r="H140" s="11" t="s">
        <v>3036</v>
      </c>
    </row>
    <row r="141" spans="1:8" x14ac:dyDescent="0.25">
      <c r="A141" s="11">
        <v>138</v>
      </c>
      <c r="B141" s="11" t="s">
        <v>3273</v>
      </c>
      <c r="C141" s="11" t="s">
        <v>2014</v>
      </c>
      <c r="D141" s="11" t="s">
        <v>3313</v>
      </c>
      <c r="E141" s="11" t="s">
        <v>3314</v>
      </c>
      <c r="F141" s="11" t="s">
        <v>3304</v>
      </c>
      <c r="G141" s="11" t="s">
        <v>3287</v>
      </c>
      <c r="H141" s="11" t="s">
        <v>3036</v>
      </c>
    </row>
    <row r="142" spans="1:8" x14ac:dyDescent="0.25">
      <c r="A142" s="11">
        <v>139</v>
      </c>
      <c r="B142" s="11" t="s">
        <v>3273</v>
      </c>
      <c r="C142" s="11" t="s">
        <v>2014</v>
      </c>
      <c r="D142" s="11" t="s">
        <v>3315</v>
      </c>
      <c r="E142" s="11" t="s">
        <v>3316</v>
      </c>
      <c r="F142" s="11" t="s">
        <v>3304</v>
      </c>
      <c r="G142" s="11" t="s">
        <v>3287</v>
      </c>
      <c r="H142" s="11" t="s">
        <v>3036</v>
      </c>
    </row>
    <row r="143" spans="1:8" x14ac:dyDescent="0.25">
      <c r="A143" s="11">
        <v>140</v>
      </c>
      <c r="B143" s="11" t="s">
        <v>3273</v>
      </c>
      <c r="C143" s="11" t="s">
        <v>2014</v>
      </c>
      <c r="D143" s="11" t="s">
        <v>3317</v>
      </c>
      <c r="E143" s="11" t="s">
        <v>3318</v>
      </c>
      <c r="F143" s="11" t="s">
        <v>3304</v>
      </c>
      <c r="G143" s="11" t="s">
        <v>3287</v>
      </c>
      <c r="H143" s="11" t="s">
        <v>3036</v>
      </c>
    </row>
    <row r="144" spans="1:8" x14ac:dyDescent="0.25">
      <c r="A144" s="11">
        <v>141</v>
      </c>
      <c r="B144" s="11" t="s">
        <v>3273</v>
      </c>
      <c r="C144" s="11" t="s">
        <v>2014</v>
      </c>
      <c r="D144" s="11" t="s">
        <v>3319</v>
      </c>
      <c r="E144" s="11" t="s">
        <v>3320</v>
      </c>
      <c r="F144" s="11" t="s">
        <v>3304</v>
      </c>
      <c r="G144" s="11" t="s">
        <v>3287</v>
      </c>
      <c r="H144" s="11" t="s">
        <v>3036</v>
      </c>
    </row>
    <row r="145" spans="1:8" x14ac:dyDescent="0.25">
      <c r="A145" s="11">
        <v>142</v>
      </c>
      <c r="B145" s="11" t="s">
        <v>3273</v>
      </c>
      <c r="C145" s="11" t="s">
        <v>2014</v>
      </c>
      <c r="D145" s="11" t="s">
        <v>3321</v>
      </c>
      <c r="E145" s="11" t="s">
        <v>3322</v>
      </c>
      <c r="F145" s="11" t="s">
        <v>3304</v>
      </c>
      <c r="G145" s="11" t="s">
        <v>3254</v>
      </c>
      <c r="H145" s="11" t="s">
        <v>3036</v>
      </c>
    </row>
    <row r="146" spans="1:8" x14ac:dyDescent="0.25">
      <c r="A146" s="11">
        <v>143</v>
      </c>
      <c r="B146" s="11" t="s">
        <v>3273</v>
      </c>
      <c r="C146" s="11" t="s">
        <v>1958</v>
      </c>
      <c r="D146" s="11" t="s">
        <v>3323</v>
      </c>
      <c r="E146" s="11" t="s">
        <v>3324</v>
      </c>
      <c r="F146" s="11" t="s">
        <v>1951</v>
      </c>
      <c r="G146" s="11" t="s">
        <v>3325</v>
      </c>
      <c r="H146" s="11" t="s">
        <v>3036</v>
      </c>
    </row>
    <row r="147" spans="1:8" x14ac:dyDescent="0.25">
      <c r="A147" s="11">
        <v>144</v>
      </c>
      <c r="B147" s="11" t="s">
        <v>3273</v>
      </c>
      <c r="C147" s="11" t="s">
        <v>1958</v>
      </c>
      <c r="D147" s="11" t="s">
        <v>3326</v>
      </c>
      <c r="E147" s="11" t="s">
        <v>3327</v>
      </c>
      <c r="F147" s="11" t="s">
        <v>1951</v>
      </c>
      <c r="G147" s="11" t="s">
        <v>3328</v>
      </c>
      <c r="H147" s="11" t="s">
        <v>3036</v>
      </c>
    </row>
    <row r="148" spans="1:8" x14ac:dyDescent="0.25">
      <c r="A148" s="11">
        <v>145</v>
      </c>
      <c r="B148" s="11" t="s">
        <v>3273</v>
      </c>
      <c r="C148" s="11" t="s">
        <v>1958</v>
      </c>
      <c r="D148" s="11" t="s">
        <v>3329</v>
      </c>
      <c r="E148" s="11" t="s">
        <v>3330</v>
      </c>
      <c r="F148" s="11" t="s">
        <v>1951</v>
      </c>
      <c r="G148" s="11" t="s">
        <v>3325</v>
      </c>
      <c r="H148" s="11" t="s">
        <v>3036</v>
      </c>
    </row>
    <row r="149" spans="1:8" x14ac:dyDescent="0.25">
      <c r="A149" s="11">
        <v>146</v>
      </c>
      <c r="B149" s="11" t="s">
        <v>3273</v>
      </c>
      <c r="C149" s="11" t="s">
        <v>1958</v>
      </c>
      <c r="D149" s="11" t="s">
        <v>3331</v>
      </c>
      <c r="E149" s="11" t="s">
        <v>3332</v>
      </c>
      <c r="F149" s="11" t="s">
        <v>1951</v>
      </c>
      <c r="G149" s="11" t="s">
        <v>3325</v>
      </c>
      <c r="H149" s="11" t="s">
        <v>3036</v>
      </c>
    </row>
    <row r="150" spans="1:8" x14ac:dyDescent="0.25">
      <c r="A150" s="11">
        <v>147</v>
      </c>
      <c r="B150" s="11" t="s">
        <v>3273</v>
      </c>
      <c r="C150" s="11" t="s">
        <v>1958</v>
      </c>
      <c r="D150" s="11" t="s">
        <v>3333</v>
      </c>
      <c r="E150" s="11" t="s">
        <v>3334</v>
      </c>
      <c r="F150" s="11" t="s">
        <v>1951</v>
      </c>
      <c r="G150" s="11" t="s">
        <v>3325</v>
      </c>
      <c r="H150" s="11" t="s">
        <v>3036</v>
      </c>
    </row>
    <row r="151" spans="1:8" x14ac:dyDescent="0.25">
      <c r="A151" s="11">
        <v>148</v>
      </c>
      <c r="B151" s="11" t="s">
        <v>3273</v>
      </c>
      <c r="C151" s="11" t="s">
        <v>2151</v>
      </c>
      <c r="D151" s="11" t="s">
        <v>3335</v>
      </c>
      <c r="E151" s="11" t="s">
        <v>3336</v>
      </c>
      <c r="F151" s="11" t="s">
        <v>2145</v>
      </c>
      <c r="G151" s="11" t="s">
        <v>3337</v>
      </c>
      <c r="H151" s="11" t="s">
        <v>3036</v>
      </c>
    </row>
    <row r="152" spans="1:8" x14ac:dyDescent="0.25">
      <c r="A152" s="11">
        <v>149</v>
      </c>
      <c r="B152" s="11" t="s">
        <v>3273</v>
      </c>
      <c r="C152" s="11" t="s">
        <v>3338</v>
      </c>
      <c r="D152" s="11" t="s">
        <v>3339</v>
      </c>
      <c r="E152" s="11" t="s">
        <v>3340</v>
      </c>
      <c r="F152" s="11" t="s">
        <v>3341</v>
      </c>
      <c r="G152" s="11" t="s">
        <v>142</v>
      </c>
      <c r="H152" s="11" t="s">
        <v>3036</v>
      </c>
    </row>
    <row r="153" spans="1:8" x14ac:dyDescent="0.25">
      <c r="A153" s="11">
        <v>150</v>
      </c>
      <c r="B153" s="11" t="s">
        <v>3273</v>
      </c>
      <c r="C153" s="11" t="s">
        <v>3338</v>
      </c>
      <c r="D153" s="11" t="s">
        <v>3342</v>
      </c>
      <c r="E153" s="11" t="s">
        <v>3343</v>
      </c>
      <c r="F153" s="11" t="s">
        <v>3341</v>
      </c>
      <c r="G153" s="11" t="s">
        <v>142</v>
      </c>
      <c r="H153" s="11" t="s">
        <v>3036</v>
      </c>
    </row>
    <row r="154" spans="1:8" x14ac:dyDescent="0.25">
      <c r="A154" s="11">
        <v>151</v>
      </c>
      <c r="B154" s="11" t="s">
        <v>3273</v>
      </c>
      <c r="C154" s="11" t="s">
        <v>3344</v>
      </c>
      <c r="D154" s="11" t="s">
        <v>3345</v>
      </c>
      <c r="E154" s="11" t="s">
        <v>142</v>
      </c>
      <c r="F154" s="11" t="s">
        <v>2062</v>
      </c>
      <c r="G154" s="11" t="s">
        <v>3346</v>
      </c>
      <c r="H154" s="11" t="s">
        <v>3036</v>
      </c>
    </row>
    <row r="155" spans="1:8" x14ac:dyDescent="0.25">
      <c r="A155" s="11">
        <v>152</v>
      </c>
      <c r="B155" s="11" t="s">
        <v>3273</v>
      </c>
      <c r="C155" s="11" t="s">
        <v>3344</v>
      </c>
      <c r="D155" s="11" t="s">
        <v>3347</v>
      </c>
      <c r="E155" s="11" t="s">
        <v>3348</v>
      </c>
      <c r="F155" s="11" t="s">
        <v>2062</v>
      </c>
      <c r="G155" s="11" t="s">
        <v>3346</v>
      </c>
      <c r="H155" s="11" t="s">
        <v>3036</v>
      </c>
    </row>
    <row r="156" spans="1:8" x14ac:dyDescent="0.25">
      <c r="A156" s="11">
        <v>153</v>
      </c>
      <c r="B156" s="11" t="s">
        <v>3273</v>
      </c>
      <c r="C156" s="11" t="s">
        <v>3344</v>
      </c>
      <c r="D156" s="11" t="s">
        <v>3349</v>
      </c>
      <c r="E156" s="11" t="s">
        <v>3350</v>
      </c>
      <c r="F156" s="11" t="s">
        <v>2062</v>
      </c>
      <c r="G156" s="11" t="s">
        <v>3346</v>
      </c>
      <c r="H156" s="11" t="s">
        <v>3036</v>
      </c>
    </row>
    <row r="157" spans="1:8" x14ac:dyDescent="0.25">
      <c r="A157" s="11">
        <v>154</v>
      </c>
      <c r="B157" s="11" t="s">
        <v>3273</v>
      </c>
      <c r="C157" s="11" t="s">
        <v>3344</v>
      </c>
      <c r="D157" s="11" t="s">
        <v>3351</v>
      </c>
      <c r="E157" s="11" t="s">
        <v>3352</v>
      </c>
      <c r="F157" s="11" t="s">
        <v>2062</v>
      </c>
      <c r="G157" s="11" t="s">
        <v>3346</v>
      </c>
      <c r="H157" s="11" t="s">
        <v>3036</v>
      </c>
    </row>
    <row r="158" spans="1:8" x14ac:dyDescent="0.25">
      <c r="A158" s="11">
        <v>155</v>
      </c>
      <c r="B158" s="11" t="s">
        <v>3273</v>
      </c>
      <c r="C158" s="11" t="s">
        <v>3344</v>
      </c>
      <c r="D158" s="11" t="s">
        <v>3353</v>
      </c>
      <c r="E158" s="11" t="s">
        <v>3354</v>
      </c>
      <c r="F158" s="11" t="s">
        <v>2062</v>
      </c>
      <c r="G158" s="11" t="s">
        <v>3346</v>
      </c>
      <c r="H158" s="11" t="s">
        <v>3036</v>
      </c>
    </row>
    <row r="159" spans="1:8" x14ac:dyDescent="0.25">
      <c r="A159" s="11">
        <v>156</v>
      </c>
      <c r="B159" s="11" t="s">
        <v>3273</v>
      </c>
      <c r="C159" s="11" t="s">
        <v>3344</v>
      </c>
      <c r="D159" s="11" t="s">
        <v>3355</v>
      </c>
      <c r="E159" s="11" t="s">
        <v>142</v>
      </c>
      <c r="F159" s="11" t="s">
        <v>2062</v>
      </c>
      <c r="G159" s="11" t="s">
        <v>3346</v>
      </c>
      <c r="H159" s="11" t="s">
        <v>3036</v>
      </c>
    </row>
    <row r="160" spans="1:8" x14ac:dyDescent="0.25">
      <c r="A160" s="11">
        <v>157</v>
      </c>
      <c r="B160" s="11" t="s">
        <v>3273</v>
      </c>
      <c r="C160" s="11" t="s">
        <v>3344</v>
      </c>
      <c r="D160" s="11" t="s">
        <v>3356</v>
      </c>
      <c r="E160" s="11" t="s">
        <v>142</v>
      </c>
      <c r="F160" s="11" t="s">
        <v>2062</v>
      </c>
      <c r="G160" s="11" t="s">
        <v>3346</v>
      </c>
      <c r="H160" s="11" t="s">
        <v>3036</v>
      </c>
    </row>
    <row r="161" spans="1:8" x14ac:dyDescent="0.25">
      <c r="A161" s="11">
        <v>158</v>
      </c>
      <c r="B161" s="11" t="s">
        <v>3273</v>
      </c>
      <c r="C161" s="11" t="s">
        <v>3357</v>
      </c>
      <c r="D161" s="11" t="s">
        <v>3358</v>
      </c>
      <c r="E161" s="11" t="s">
        <v>3359</v>
      </c>
      <c r="F161" s="11" t="s">
        <v>3360</v>
      </c>
      <c r="G161" s="11" t="s">
        <v>3361</v>
      </c>
      <c r="H161" s="11" t="s">
        <v>3036</v>
      </c>
    </row>
    <row r="162" spans="1:8" x14ac:dyDescent="0.25">
      <c r="A162" s="11">
        <v>159</v>
      </c>
      <c r="B162" s="11" t="s">
        <v>3273</v>
      </c>
      <c r="C162" s="11" t="s">
        <v>3357</v>
      </c>
      <c r="D162" s="11" t="s">
        <v>3362</v>
      </c>
      <c r="E162" s="11" t="s">
        <v>3363</v>
      </c>
      <c r="F162" s="11" t="s">
        <v>3360</v>
      </c>
      <c r="G162" s="11" t="s">
        <v>3361</v>
      </c>
      <c r="H162" s="11" t="s">
        <v>3036</v>
      </c>
    </row>
    <row r="163" spans="1:8" x14ac:dyDescent="0.25">
      <c r="A163" s="11">
        <v>160</v>
      </c>
      <c r="B163" s="11" t="s">
        <v>3273</v>
      </c>
      <c r="C163" s="11" t="s">
        <v>3357</v>
      </c>
      <c r="D163" s="11" t="s">
        <v>3364</v>
      </c>
      <c r="E163" s="11" t="s">
        <v>3365</v>
      </c>
      <c r="F163" s="11" t="s">
        <v>3360</v>
      </c>
      <c r="G163" s="11" t="s">
        <v>3361</v>
      </c>
      <c r="H163" s="11" t="s">
        <v>3036</v>
      </c>
    </row>
    <row r="164" spans="1:8" x14ac:dyDescent="0.25">
      <c r="A164" s="11">
        <v>161</v>
      </c>
      <c r="B164" s="11" t="s">
        <v>3273</v>
      </c>
      <c r="C164" s="11" t="s">
        <v>3357</v>
      </c>
      <c r="D164" s="11" t="s">
        <v>3366</v>
      </c>
      <c r="E164" s="11" t="s">
        <v>3367</v>
      </c>
      <c r="F164" s="11" t="s">
        <v>3360</v>
      </c>
      <c r="G164" s="11" t="s">
        <v>3361</v>
      </c>
      <c r="H164" s="11" t="s">
        <v>3036</v>
      </c>
    </row>
    <row r="165" spans="1:8" x14ac:dyDescent="0.25">
      <c r="A165" s="11">
        <v>162</v>
      </c>
      <c r="B165" s="11" t="s">
        <v>3273</v>
      </c>
      <c r="C165" s="11" t="s">
        <v>3357</v>
      </c>
      <c r="D165" s="11" t="s">
        <v>3368</v>
      </c>
      <c r="E165" s="11" t="s">
        <v>3369</v>
      </c>
      <c r="F165" s="11" t="s">
        <v>3360</v>
      </c>
      <c r="G165" s="11" t="s">
        <v>3361</v>
      </c>
      <c r="H165" s="11" t="s">
        <v>3036</v>
      </c>
    </row>
    <row r="166" spans="1:8" x14ac:dyDescent="0.25">
      <c r="A166" s="11">
        <v>163</v>
      </c>
      <c r="B166" s="11" t="s">
        <v>3273</v>
      </c>
      <c r="C166" s="11" t="s">
        <v>2061</v>
      </c>
      <c r="D166" s="11" t="s">
        <v>3370</v>
      </c>
      <c r="E166" s="11" t="s">
        <v>3371</v>
      </c>
      <c r="F166" s="11" t="s">
        <v>2859</v>
      </c>
      <c r="G166" s="11" t="s">
        <v>142</v>
      </c>
      <c r="H166" s="11" t="s">
        <v>3036</v>
      </c>
    </row>
    <row r="167" spans="1:8" x14ac:dyDescent="0.25">
      <c r="A167" s="11">
        <v>164</v>
      </c>
      <c r="B167" s="11" t="s">
        <v>3273</v>
      </c>
      <c r="C167" s="11" t="s">
        <v>2061</v>
      </c>
      <c r="D167" s="11" t="s">
        <v>3372</v>
      </c>
      <c r="E167" s="11" t="s">
        <v>3373</v>
      </c>
      <c r="F167" s="11" t="s">
        <v>2859</v>
      </c>
      <c r="G167" s="11" t="s">
        <v>3328</v>
      </c>
      <c r="H167" s="11" t="s">
        <v>3036</v>
      </c>
    </row>
    <row r="168" spans="1:8" x14ac:dyDescent="0.25">
      <c r="A168" s="11">
        <v>165</v>
      </c>
      <c r="B168" s="11" t="s">
        <v>3273</v>
      </c>
      <c r="C168" s="11" t="s">
        <v>2061</v>
      </c>
      <c r="D168" s="11" t="s">
        <v>3374</v>
      </c>
      <c r="E168" s="11" t="s">
        <v>3375</v>
      </c>
      <c r="F168" s="11" t="s">
        <v>2859</v>
      </c>
      <c r="G168" s="11" t="s">
        <v>3328</v>
      </c>
      <c r="H168" s="11" t="s">
        <v>3036</v>
      </c>
    </row>
    <row r="169" spans="1:8" x14ac:dyDescent="0.25">
      <c r="A169" s="11">
        <v>166</v>
      </c>
      <c r="B169" s="11" t="s">
        <v>3273</v>
      </c>
      <c r="C169" s="11" t="s">
        <v>2061</v>
      </c>
      <c r="D169" s="11" t="s">
        <v>3376</v>
      </c>
      <c r="E169" s="11" t="s">
        <v>3377</v>
      </c>
      <c r="F169" s="11" t="s">
        <v>2859</v>
      </c>
      <c r="G169" s="11" t="s">
        <v>3378</v>
      </c>
      <c r="H169" s="11" t="s">
        <v>3036</v>
      </c>
    </row>
    <row r="170" spans="1:8" x14ac:dyDescent="0.25">
      <c r="A170" s="11">
        <v>167</v>
      </c>
      <c r="B170" s="11" t="s">
        <v>3273</v>
      </c>
      <c r="C170" s="11" t="s">
        <v>3379</v>
      </c>
      <c r="D170" s="11" t="s">
        <v>3380</v>
      </c>
      <c r="E170" s="11" t="s">
        <v>142</v>
      </c>
      <c r="F170" s="11" t="s">
        <v>142</v>
      </c>
      <c r="G170" s="11" t="s">
        <v>3381</v>
      </c>
      <c r="H170" s="11" t="s">
        <v>3036</v>
      </c>
    </row>
    <row r="171" spans="1:8" x14ac:dyDescent="0.25">
      <c r="A171" s="11">
        <v>168</v>
      </c>
      <c r="B171" s="11" t="s">
        <v>3273</v>
      </c>
      <c r="C171" s="11" t="s">
        <v>3382</v>
      </c>
      <c r="D171" s="11" t="s">
        <v>3383</v>
      </c>
      <c r="E171" s="11" t="s">
        <v>3384</v>
      </c>
      <c r="F171" s="11" t="s">
        <v>2174</v>
      </c>
      <c r="G171" s="11" t="s">
        <v>3385</v>
      </c>
      <c r="H171" s="11" t="s">
        <v>3036</v>
      </c>
    </row>
    <row r="172" spans="1:8" x14ac:dyDescent="0.25">
      <c r="A172" s="11">
        <v>169</v>
      </c>
      <c r="B172" s="11" t="s">
        <v>3273</v>
      </c>
      <c r="C172" s="11" t="s">
        <v>3382</v>
      </c>
      <c r="D172" s="11" t="s">
        <v>3386</v>
      </c>
      <c r="E172" s="11" t="s">
        <v>3387</v>
      </c>
      <c r="F172" s="11" t="s">
        <v>2174</v>
      </c>
      <c r="G172" s="11" t="s">
        <v>3385</v>
      </c>
      <c r="H172" s="11" t="s">
        <v>3036</v>
      </c>
    </row>
    <row r="173" spans="1:8" x14ac:dyDescent="0.25">
      <c r="A173" s="11">
        <v>170</v>
      </c>
      <c r="B173" s="11" t="s">
        <v>3273</v>
      </c>
      <c r="C173" s="11" t="s">
        <v>3382</v>
      </c>
      <c r="D173" s="11" t="s">
        <v>3388</v>
      </c>
      <c r="E173" s="11" t="s">
        <v>142</v>
      </c>
      <c r="F173" s="11" t="s">
        <v>2174</v>
      </c>
      <c r="G173" s="11" t="s">
        <v>3385</v>
      </c>
      <c r="H173" s="11" t="s">
        <v>3036</v>
      </c>
    </row>
    <row r="174" spans="1:8" x14ac:dyDescent="0.25">
      <c r="A174" s="11">
        <v>171</v>
      </c>
      <c r="B174" s="11" t="s">
        <v>3273</v>
      </c>
      <c r="C174" s="11" t="s">
        <v>3382</v>
      </c>
      <c r="D174" s="11" t="s">
        <v>3389</v>
      </c>
      <c r="E174" s="11" t="s">
        <v>3390</v>
      </c>
      <c r="F174" s="11" t="s">
        <v>2174</v>
      </c>
      <c r="G174" s="11" t="s">
        <v>3378</v>
      </c>
      <c r="H174" s="11" t="s">
        <v>3036</v>
      </c>
    </row>
    <row r="175" spans="1:8" x14ac:dyDescent="0.25">
      <c r="A175" s="11">
        <v>172</v>
      </c>
      <c r="B175" s="11" t="s">
        <v>3273</v>
      </c>
      <c r="C175" s="11" t="s">
        <v>3391</v>
      </c>
      <c r="D175" s="11" t="s">
        <v>3392</v>
      </c>
      <c r="E175" s="11" t="s">
        <v>3393</v>
      </c>
      <c r="F175" s="11" t="s">
        <v>2174</v>
      </c>
      <c r="G175" s="11" t="s">
        <v>3385</v>
      </c>
      <c r="H175" s="11" t="s">
        <v>3036</v>
      </c>
    </row>
    <row r="176" spans="1:8" x14ac:dyDescent="0.25">
      <c r="A176" s="11">
        <v>173</v>
      </c>
      <c r="B176" s="11" t="s">
        <v>3273</v>
      </c>
      <c r="C176" s="11" t="s">
        <v>3391</v>
      </c>
      <c r="D176" s="11" t="s">
        <v>3394</v>
      </c>
      <c r="E176" s="11" t="s">
        <v>142</v>
      </c>
      <c r="F176" s="11" t="s">
        <v>2174</v>
      </c>
      <c r="G176" s="11" t="s">
        <v>3395</v>
      </c>
      <c r="H176" s="11" t="s">
        <v>3036</v>
      </c>
    </row>
    <row r="177" spans="1:8" x14ac:dyDescent="0.25">
      <c r="A177" s="11">
        <v>174</v>
      </c>
      <c r="B177" s="11" t="s">
        <v>3273</v>
      </c>
      <c r="C177" s="11" t="s">
        <v>3391</v>
      </c>
      <c r="D177" s="11" t="s">
        <v>3396</v>
      </c>
      <c r="E177" s="11" t="s">
        <v>3397</v>
      </c>
      <c r="F177" s="11" t="s">
        <v>2174</v>
      </c>
      <c r="G177" s="11" t="s">
        <v>3395</v>
      </c>
      <c r="H177" s="11" t="s">
        <v>3036</v>
      </c>
    </row>
    <row r="178" spans="1:8" x14ac:dyDescent="0.25">
      <c r="A178" s="11">
        <v>175</v>
      </c>
      <c r="B178" s="11" t="s">
        <v>3273</v>
      </c>
      <c r="C178" s="11" t="s">
        <v>3391</v>
      </c>
      <c r="D178" s="11" t="s">
        <v>3398</v>
      </c>
      <c r="E178" s="11" t="s">
        <v>3399</v>
      </c>
      <c r="F178" s="11" t="s">
        <v>2174</v>
      </c>
      <c r="G178" s="11" t="s">
        <v>3395</v>
      </c>
      <c r="H178" s="11" t="s">
        <v>3036</v>
      </c>
    </row>
    <row r="179" spans="1:8" x14ac:dyDescent="0.25">
      <c r="A179" s="11">
        <v>176</v>
      </c>
      <c r="B179" s="11" t="s">
        <v>3273</v>
      </c>
      <c r="C179" s="11" t="s">
        <v>3391</v>
      </c>
      <c r="D179" s="11" t="s">
        <v>3400</v>
      </c>
      <c r="E179" s="11" t="s">
        <v>3401</v>
      </c>
      <c r="F179" s="11" t="s">
        <v>2174</v>
      </c>
      <c r="G179" s="11" t="s">
        <v>3395</v>
      </c>
      <c r="H179" s="11" t="s">
        <v>3036</v>
      </c>
    </row>
    <row r="180" spans="1:8" x14ac:dyDescent="0.25">
      <c r="A180" s="11">
        <v>177</v>
      </c>
      <c r="B180" s="11" t="s">
        <v>3273</v>
      </c>
      <c r="C180" s="11" t="s">
        <v>3391</v>
      </c>
      <c r="D180" s="11" t="s">
        <v>3402</v>
      </c>
      <c r="E180" s="11" t="s">
        <v>3403</v>
      </c>
      <c r="F180" s="11" t="s">
        <v>2174</v>
      </c>
      <c r="G180" s="11" t="s">
        <v>3395</v>
      </c>
      <c r="H180" s="11" t="s">
        <v>3036</v>
      </c>
    </row>
    <row r="181" spans="1:8" x14ac:dyDescent="0.25">
      <c r="A181" s="11">
        <v>178</v>
      </c>
      <c r="B181" s="11" t="s">
        <v>3273</v>
      </c>
      <c r="C181" s="11" t="s">
        <v>1945</v>
      </c>
      <c r="D181" s="11" t="s">
        <v>3404</v>
      </c>
      <c r="E181" s="11" t="s">
        <v>3405</v>
      </c>
      <c r="F181" s="11" t="s">
        <v>1940</v>
      </c>
      <c r="G181" s="11" t="s">
        <v>3378</v>
      </c>
      <c r="H181" s="11" t="s">
        <v>3036</v>
      </c>
    </row>
    <row r="182" spans="1:8" x14ac:dyDescent="0.25">
      <c r="A182" s="11">
        <v>179</v>
      </c>
      <c r="B182" s="11" t="s">
        <v>3273</v>
      </c>
      <c r="C182" s="11" t="s">
        <v>1945</v>
      </c>
      <c r="D182" s="11" t="s">
        <v>3406</v>
      </c>
      <c r="E182" s="11" t="s">
        <v>3407</v>
      </c>
      <c r="F182" s="11" t="s">
        <v>1940</v>
      </c>
      <c r="G182" s="11" t="s">
        <v>3378</v>
      </c>
      <c r="H182" s="11" t="s">
        <v>3036</v>
      </c>
    </row>
    <row r="183" spans="1:8" x14ac:dyDescent="0.25">
      <c r="A183" s="11">
        <v>180</v>
      </c>
      <c r="B183" s="11" t="s">
        <v>3273</v>
      </c>
      <c r="C183" s="11" t="s">
        <v>1945</v>
      </c>
      <c r="D183" s="11" t="s">
        <v>3408</v>
      </c>
      <c r="E183" s="11" t="s">
        <v>3409</v>
      </c>
      <c r="F183" s="11" t="s">
        <v>1940</v>
      </c>
      <c r="G183" s="11" t="s">
        <v>3378</v>
      </c>
      <c r="H183" s="11" t="s">
        <v>3036</v>
      </c>
    </row>
    <row r="184" spans="1:8" x14ac:dyDescent="0.25">
      <c r="A184" s="11">
        <v>181</v>
      </c>
      <c r="B184" s="11" t="s">
        <v>3273</v>
      </c>
      <c r="C184" s="11" t="s">
        <v>1945</v>
      </c>
      <c r="D184" s="11" t="s">
        <v>3410</v>
      </c>
      <c r="E184" s="11" t="s">
        <v>3411</v>
      </c>
      <c r="F184" s="11" t="s">
        <v>1940</v>
      </c>
      <c r="G184" s="11" t="s">
        <v>3378</v>
      </c>
      <c r="H184" s="11" t="s">
        <v>3036</v>
      </c>
    </row>
    <row r="185" spans="1:8" x14ac:dyDescent="0.25">
      <c r="A185" s="11">
        <v>182</v>
      </c>
      <c r="B185" s="11" t="s">
        <v>3273</v>
      </c>
      <c r="C185" s="11" t="s">
        <v>3412</v>
      </c>
      <c r="D185" s="11" t="s">
        <v>3413</v>
      </c>
      <c r="E185" s="11" t="s">
        <v>3414</v>
      </c>
      <c r="F185" s="11" t="s">
        <v>142</v>
      </c>
      <c r="G185" s="11" t="s">
        <v>3381</v>
      </c>
      <c r="H185" s="11" t="s">
        <v>3036</v>
      </c>
    </row>
    <row r="186" spans="1:8" x14ac:dyDescent="0.25">
      <c r="A186" s="11">
        <v>183</v>
      </c>
      <c r="B186" s="11" t="s">
        <v>3273</v>
      </c>
      <c r="C186" s="11" t="s">
        <v>3412</v>
      </c>
      <c r="D186" s="11" t="s">
        <v>3415</v>
      </c>
      <c r="E186" s="11" t="s">
        <v>3416</v>
      </c>
      <c r="F186" s="11" t="s">
        <v>142</v>
      </c>
      <c r="G186" s="11" t="s">
        <v>3381</v>
      </c>
      <c r="H186" s="11" t="s">
        <v>3036</v>
      </c>
    </row>
    <row r="187" spans="1:8" x14ac:dyDescent="0.25">
      <c r="A187" s="11">
        <v>184</v>
      </c>
      <c r="B187" s="11" t="s">
        <v>3273</v>
      </c>
      <c r="C187" s="11" t="s">
        <v>3412</v>
      </c>
      <c r="D187" s="11" t="s">
        <v>3417</v>
      </c>
      <c r="E187" s="11" t="s">
        <v>3418</v>
      </c>
      <c r="F187" s="11" t="s">
        <v>142</v>
      </c>
      <c r="G187" s="11" t="s">
        <v>3381</v>
      </c>
      <c r="H187" s="11" t="s">
        <v>3036</v>
      </c>
    </row>
    <row r="188" spans="1:8" x14ac:dyDescent="0.25">
      <c r="A188" s="11">
        <v>185</v>
      </c>
      <c r="B188" s="11" t="s">
        <v>3273</v>
      </c>
      <c r="C188" s="11" t="s">
        <v>3412</v>
      </c>
      <c r="D188" s="11" t="s">
        <v>3419</v>
      </c>
      <c r="E188" s="11" t="s">
        <v>142</v>
      </c>
      <c r="F188" s="11" t="s">
        <v>142</v>
      </c>
      <c r="G188" s="11" t="s">
        <v>3381</v>
      </c>
      <c r="H188" s="11" t="s">
        <v>3036</v>
      </c>
    </row>
    <row r="189" spans="1:8" x14ac:dyDescent="0.25">
      <c r="A189" s="11">
        <v>186</v>
      </c>
      <c r="B189" s="11" t="s">
        <v>3273</v>
      </c>
      <c r="C189" s="11" t="s">
        <v>3412</v>
      </c>
      <c r="D189" s="11" t="s">
        <v>3420</v>
      </c>
      <c r="E189" s="11" t="s">
        <v>3421</v>
      </c>
      <c r="F189" s="11" t="s">
        <v>142</v>
      </c>
      <c r="G189" s="11" t="s">
        <v>3381</v>
      </c>
      <c r="H189" s="11" t="s">
        <v>3036</v>
      </c>
    </row>
    <row r="190" spans="1:8" x14ac:dyDescent="0.25">
      <c r="A190" s="11">
        <v>187</v>
      </c>
      <c r="B190" s="11" t="s">
        <v>3273</v>
      </c>
      <c r="C190" s="11" t="s">
        <v>3412</v>
      </c>
      <c r="D190" s="11" t="s">
        <v>3422</v>
      </c>
      <c r="E190" s="11" t="s">
        <v>3423</v>
      </c>
      <c r="F190" s="11" t="s">
        <v>142</v>
      </c>
      <c r="G190" s="11" t="s">
        <v>3381</v>
      </c>
      <c r="H190" s="11" t="s">
        <v>3036</v>
      </c>
    </row>
    <row r="191" spans="1:8" x14ac:dyDescent="0.25">
      <c r="A191" s="11">
        <v>188</v>
      </c>
      <c r="B191" s="11" t="s">
        <v>3273</v>
      </c>
      <c r="C191" s="11" t="s">
        <v>3424</v>
      </c>
      <c r="D191" s="11" t="s">
        <v>3425</v>
      </c>
      <c r="E191" s="11" t="s">
        <v>3426</v>
      </c>
      <c r="F191" s="11" t="s">
        <v>2139</v>
      </c>
      <c r="G191" s="11" t="s">
        <v>142</v>
      </c>
      <c r="H191" s="11" t="s">
        <v>3036</v>
      </c>
    </row>
    <row r="192" spans="1:8" x14ac:dyDescent="0.25">
      <c r="A192" s="11">
        <v>189</v>
      </c>
      <c r="B192" s="11" t="s">
        <v>3273</v>
      </c>
      <c r="C192" s="11" t="s">
        <v>3424</v>
      </c>
      <c r="D192" s="11" t="s">
        <v>3427</v>
      </c>
      <c r="E192" s="11" t="s">
        <v>3428</v>
      </c>
      <c r="F192" s="11" t="s">
        <v>2139</v>
      </c>
      <c r="G192" s="11" t="s">
        <v>3328</v>
      </c>
      <c r="H192" s="11" t="s">
        <v>3036</v>
      </c>
    </row>
    <row r="193" spans="1:8" x14ac:dyDescent="0.25">
      <c r="A193" s="11">
        <v>190</v>
      </c>
      <c r="B193" s="11" t="s">
        <v>3273</v>
      </c>
      <c r="C193" s="11" t="s">
        <v>3424</v>
      </c>
      <c r="D193" s="11" t="s">
        <v>3429</v>
      </c>
      <c r="E193" s="11" t="s">
        <v>3430</v>
      </c>
      <c r="F193" s="11" t="s">
        <v>2139</v>
      </c>
      <c r="G193" s="11" t="s">
        <v>3431</v>
      </c>
      <c r="H193" s="11" t="s">
        <v>3036</v>
      </c>
    </row>
    <row r="194" spans="1:8" x14ac:dyDescent="0.25">
      <c r="A194" s="11">
        <v>191</v>
      </c>
      <c r="B194" s="11" t="s">
        <v>3273</v>
      </c>
      <c r="C194" s="11" t="s">
        <v>3432</v>
      </c>
      <c r="D194" s="11" t="s">
        <v>3433</v>
      </c>
      <c r="E194" s="11" t="s">
        <v>3434</v>
      </c>
      <c r="F194" s="11" t="s">
        <v>2139</v>
      </c>
      <c r="G194" s="11" t="s">
        <v>3435</v>
      </c>
      <c r="H194" s="11" t="s">
        <v>3036</v>
      </c>
    </row>
    <row r="195" spans="1:8" x14ac:dyDescent="0.25">
      <c r="A195" s="11">
        <v>192</v>
      </c>
      <c r="B195" s="11" t="s">
        <v>3273</v>
      </c>
      <c r="C195" s="11" t="s">
        <v>3436</v>
      </c>
      <c r="D195" s="11" t="s">
        <v>3437</v>
      </c>
      <c r="E195" s="11" t="s">
        <v>142</v>
      </c>
      <c r="F195" s="11" t="s">
        <v>1951</v>
      </c>
      <c r="G195" s="11" t="s">
        <v>3325</v>
      </c>
      <c r="H195" s="11" t="s">
        <v>3036</v>
      </c>
    </row>
    <row r="196" spans="1:8" x14ac:dyDescent="0.25">
      <c r="A196" s="11">
        <v>193</v>
      </c>
      <c r="B196" s="11" t="s">
        <v>3273</v>
      </c>
      <c r="C196" s="11" t="s">
        <v>2158</v>
      </c>
      <c r="D196" s="11" t="s">
        <v>3438</v>
      </c>
      <c r="E196" s="11" t="s">
        <v>142</v>
      </c>
      <c r="F196" s="11" t="s">
        <v>2152</v>
      </c>
      <c r="G196" s="11" t="s">
        <v>3439</v>
      </c>
      <c r="H196" s="11" t="s">
        <v>3036</v>
      </c>
    </row>
    <row r="197" spans="1:8" x14ac:dyDescent="0.25">
      <c r="A197" s="11">
        <v>194</v>
      </c>
      <c r="B197" s="11" t="s">
        <v>3273</v>
      </c>
      <c r="C197" s="11" t="s">
        <v>2158</v>
      </c>
      <c r="D197" s="11" t="s">
        <v>3440</v>
      </c>
      <c r="E197" s="11" t="s">
        <v>142</v>
      </c>
      <c r="F197" s="11" t="s">
        <v>2152</v>
      </c>
      <c r="G197" s="11" t="s">
        <v>3439</v>
      </c>
      <c r="H197" s="11" t="s">
        <v>3036</v>
      </c>
    </row>
    <row r="198" spans="1:8" x14ac:dyDescent="0.25">
      <c r="A198" s="11">
        <v>195</v>
      </c>
      <c r="B198" s="11" t="s">
        <v>3273</v>
      </c>
      <c r="C198" s="11" t="s">
        <v>2158</v>
      </c>
      <c r="D198" s="11" t="s">
        <v>3441</v>
      </c>
      <c r="E198" s="11" t="s">
        <v>142</v>
      </c>
      <c r="F198" s="11" t="s">
        <v>2152</v>
      </c>
      <c r="G198" s="11" t="s">
        <v>3439</v>
      </c>
      <c r="H198" s="11" t="s">
        <v>3036</v>
      </c>
    </row>
    <row r="199" spans="1:8" x14ac:dyDescent="0.25">
      <c r="A199" s="11">
        <v>196</v>
      </c>
      <c r="B199" s="11" t="s">
        <v>3273</v>
      </c>
      <c r="C199" s="11" t="s">
        <v>2158</v>
      </c>
      <c r="D199" s="11" t="s">
        <v>3442</v>
      </c>
      <c r="E199" s="11" t="s">
        <v>142</v>
      </c>
      <c r="F199" s="11" t="s">
        <v>2152</v>
      </c>
      <c r="G199" s="11" t="s">
        <v>3439</v>
      </c>
      <c r="H199" s="11" t="s">
        <v>3036</v>
      </c>
    </row>
    <row r="200" spans="1:8" x14ac:dyDescent="0.25">
      <c r="A200" s="11">
        <v>197</v>
      </c>
      <c r="B200" s="11" t="s">
        <v>3273</v>
      </c>
      <c r="C200" s="11" t="s">
        <v>2158</v>
      </c>
      <c r="D200" s="11" t="s">
        <v>3443</v>
      </c>
      <c r="E200" s="11" t="s">
        <v>3444</v>
      </c>
      <c r="F200" s="11" t="s">
        <v>2152</v>
      </c>
      <c r="G200" s="11" t="s">
        <v>3439</v>
      </c>
      <c r="H200" s="11" t="s">
        <v>3036</v>
      </c>
    </row>
    <row r="201" spans="1:8" x14ac:dyDescent="0.25">
      <c r="A201" s="11">
        <v>198</v>
      </c>
      <c r="B201" s="11" t="s">
        <v>3273</v>
      </c>
      <c r="C201" s="11" t="s">
        <v>2158</v>
      </c>
      <c r="D201" s="11" t="s">
        <v>3445</v>
      </c>
      <c r="E201" s="11" t="s">
        <v>3446</v>
      </c>
      <c r="F201" s="11" t="s">
        <v>2152</v>
      </c>
      <c r="G201" s="11" t="s">
        <v>3439</v>
      </c>
      <c r="H201" s="11" t="s">
        <v>3036</v>
      </c>
    </row>
    <row r="202" spans="1:8" x14ac:dyDescent="0.25">
      <c r="A202" s="11">
        <v>199</v>
      </c>
      <c r="B202" s="11" t="s">
        <v>3273</v>
      </c>
      <c r="C202" s="11" t="s">
        <v>2158</v>
      </c>
      <c r="D202" s="11" t="s">
        <v>3447</v>
      </c>
      <c r="E202" s="11" t="s">
        <v>3448</v>
      </c>
      <c r="F202" s="11" t="s">
        <v>2152</v>
      </c>
      <c r="G202" s="11" t="s">
        <v>3439</v>
      </c>
      <c r="H202" s="11" t="s">
        <v>3036</v>
      </c>
    </row>
    <row r="203" spans="1:8" x14ac:dyDescent="0.25">
      <c r="A203" s="11">
        <v>200</v>
      </c>
      <c r="B203" s="11" t="s">
        <v>3273</v>
      </c>
      <c r="C203" s="11" t="s">
        <v>2158</v>
      </c>
      <c r="D203" s="11" t="s">
        <v>3449</v>
      </c>
      <c r="E203" s="11" t="s">
        <v>3450</v>
      </c>
      <c r="F203" s="11" t="s">
        <v>2152</v>
      </c>
      <c r="G203" s="11" t="s">
        <v>3439</v>
      </c>
      <c r="H203" s="11" t="s">
        <v>3036</v>
      </c>
    </row>
    <row r="204" spans="1:8" x14ac:dyDescent="0.25">
      <c r="A204" s="11">
        <v>201</v>
      </c>
      <c r="B204" s="11" t="s">
        <v>3273</v>
      </c>
      <c r="C204" s="11" t="s">
        <v>2158</v>
      </c>
      <c r="D204" s="11" t="s">
        <v>3451</v>
      </c>
      <c r="E204" s="11" t="s">
        <v>3452</v>
      </c>
      <c r="F204" s="11" t="s">
        <v>2152</v>
      </c>
      <c r="G204" s="11" t="s">
        <v>3439</v>
      </c>
      <c r="H204" s="11" t="s">
        <v>3036</v>
      </c>
    </row>
    <row r="205" spans="1:8" x14ac:dyDescent="0.25">
      <c r="A205" s="11">
        <v>202</v>
      </c>
      <c r="B205" s="11" t="s">
        <v>3273</v>
      </c>
      <c r="C205" s="11" t="s">
        <v>2165</v>
      </c>
      <c r="D205" s="11" t="s">
        <v>3453</v>
      </c>
      <c r="E205" s="11" t="s">
        <v>3454</v>
      </c>
      <c r="F205" s="11" t="s">
        <v>2159</v>
      </c>
      <c r="G205" s="11" t="s">
        <v>3455</v>
      </c>
      <c r="H205" s="11" t="s">
        <v>3036</v>
      </c>
    </row>
    <row r="206" spans="1:8" x14ac:dyDescent="0.25">
      <c r="A206" s="11">
        <v>203</v>
      </c>
      <c r="B206" s="11" t="s">
        <v>3273</v>
      </c>
      <c r="C206" s="11" t="s">
        <v>2165</v>
      </c>
      <c r="D206" s="11" t="s">
        <v>3456</v>
      </c>
      <c r="E206" s="11" t="s">
        <v>3457</v>
      </c>
      <c r="F206" s="11" t="s">
        <v>2159</v>
      </c>
      <c r="G206" s="11" t="s">
        <v>3455</v>
      </c>
      <c r="H206" s="11" t="s">
        <v>3036</v>
      </c>
    </row>
    <row r="207" spans="1:8" x14ac:dyDescent="0.25">
      <c r="A207" s="11">
        <v>204</v>
      </c>
      <c r="B207" s="11" t="s">
        <v>3273</v>
      </c>
      <c r="C207" s="11" t="s">
        <v>2165</v>
      </c>
      <c r="D207" s="11" t="s">
        <v>3458</v>
      </c>
      <c r="E207" s="11" t="s">
        <v>3459</v>
      </c>
      <c r="F207" s="11" t="s">
        <v>2159</v>
      </c>
      <c r="G207" s="11" t="s">
        <v>3455</v>
      </c>
      <c r="H207" s="11" t="s">
        <v>3036</v>
      </c>
    </row>
    <row r="208" spans="1:8" x14ac:dyDescent="0.25">
      <c r="A208" s="11">
        <v>205</v>
      </c>
      <c r="B208" s="11" t="s">
        <v>3273</v>
      </c>
      <c r="C208" s="11" t="s">
        <v>2165</v>
      </c>
      <c r="D208" s="11" t="s">
        <v>3460</v>
      </c>
      <c r="E208" s="11" t="s">
        <v>142</v>
      </c>
      <c r="F208" s="11" t="s">
        <v>2159</v>
      </c>
      <c r="G208" s="11" t="s">
        <v>3328</v>
      </c>
      <c r="H208" s="11" t="s">
        <v>3036</v>
      </c>
    </row>
    <row r="209" spans="1:8" x14ac:dyDescent="0.25">
      <c r="A209" s="11">
        <v>206</v>
      </c>
      <c r="B209" s="11" t="s">
        <v>3273</v>
      </c>
      <c r="C209" s="11" t="s">
        <v>2165</v>
      </c>
      <c r="D209" s="11" t="s">
        <v>3461</v>
      </c>
      <c r="E209" s="11" t="s">
        <v>3462</v>
      </c>
      <c r="F209" s="11" t="s">
        <v>2159</v>
      </c>
      <c r="G209" s="11" t="s">
        <v>3328</v>
      </c>
      <c r="H209" s="11" t="s">
        <v>3036</v>
      </c>
    </row>
    <row r="210" spans="1:8" x14ac:dyDescent="0.25">
      <c r="A210" s="11">
        <v>207</v>
      </c>
      <c r="B210" s="11" t="s">
        <v>3273</v>
      </c>
      <c r="C210" s="11" t="s">
        <v>2165</v>
      </c>
      <c r="D210" s="11" t="s">
        <v>3463</v>
      </c>
      <c r="E210" s="11" t="s">
        <v>142</v>
      </c>
      <c r="F210" s="11" t="s">
        <v>2159</v>
      </c>
      <c r="G210" s="11" t="s">
        <v>3328</v>
      </c>
      <c r="H210" s="11" t="s">
        <v>3036</v>
      </c>
    </row>
    <row r="211" spans="1:8" x14ac:dyDescent="0.25">
      <c r="A211" s="11">
        <v>208</v>
      </c>
      <c r="B211" s="11" t="s">
        <v>3273</v>
      </c>
      <c r="C211" s="11" t="s">
        <v>2165</v>
      </c>
      <c r="D211" s="11" t="s">
        <v>3464</v>
      </c>
      <c r="E211" s="11" t="s">
        <v>3465</v>
      </c>
      <c r="F211" s="11" t="s">
        <v>2159</v>
      </c>
      <c r="G211" s="11" t="s">
        <v>3328</v>
      </c>
      <c r="H211" s="11" t="s">
        <v>3036</v>
      </c>
    </row>
    <row r="212" spans="1:8" x14ac:dyDescent="0.25">
      <c r="A212" s="11">
        <v>209</v>
      </c>
      <c r="B212" s="11" t="s">
        <v>3273</v>
      </c>
      <c r="C212" s="11" t="s">
        <v>2165</v>
      </c>
      <c r="D212" s="11" t="s">
        <v>3466</v>
      </c>
      <c r="E212" s="11" t="s">
        <v>3467</v>
      </c>
      <c r="F212" s="11" t="s">
        <v>2159</v>
      </c>
      <c r="G212" s="11" t="s">
        <v>3328</v>
      </c>
      <c r="H212" s="11" t="s">
        <v>3036</v>
      </c>
    </row>
    <row r="213" spans="1:8" x14ac:dyDescent="0.25">
      <c r="A213" s="11">
        <v>210</v>
      </c>
      <c r="B213" s="11" t="s">
        <v>3273</v>
      </c>
      <c r="C213" s="11" t="s">
        <v>2165</v>
      </c>
      <c r="D213" s="11" t="s">
        <v>3468</v>
      </c>
      <c r="E213" s="11" t="s">
        <v>142</v>
      </c>
      <c r="F213" s="11" t="s">
        <v>2159</v>
      </c>
      <c r="G213" s="11" t="s">
        <v>3328</v>
      </c>
      <c r="H213" s="11" t="s">
        <v>3036</v>
      </c>
    </row>
    <row r="214" spans="1:8" x14ac:dyDescent="0.25">
      <c r="A214" s="11">
        <v>211</v>
      </c>
      <c r="B214" s="11" t="s">
        <v>3273</v>
      </c>
      <c r="C214" s="11" t="s">
        <v>2165</v>
      </c>
      <c r="D214" s="11" t="s">
        <v>3469</v>
      </c>
      <c r="E214" s="11" t="s">
        <v>3470</v>
      </c>
      <c r="F214" s="11" t="s">
        <v>2159</v>
      </c>
      <c r="G214" s="11" t="s">
        <v>3328</v>
      </c>
      <c r="H214" s="11" t="s">
        <v>3036</v>
      </c>
    </row>
    <row r="215" spans="1:8" x14ac:dyDescent="0.25">
      <c r="A215" s="11">
        <v>212</v>
      </c>
      <c r="B215" s="11" t="s">
        <v>3273</v>
      </c>
      <c r="C215" s="11" t="s">
        <v>3471</v>
      </c>
      <c r="D215" s="11" t="s">
        <v>3472</v>
      </c>
      <c r="E215" s="11" t="s">
        <v>3473</v>
      </c>
      <c r="F215" s="11" t="s">
        <v>2075</v>
      </c>
      <c r="G215" s="11" t="s">
        <v>3048</v>
      </c>
      <c r="H215" s="11" t="s">
        <v>3036</v>
      </c>
    </row>
    <row r="216" spans="1:8" x14ac:dyDescent="0.25">
      <c r="A216" s="11">
        <v>213</v>
      </c>
      <c r="B216" s="11" t="s">
        <v>3273</v>
      </c>
      <c r="C216" s="11" t="s">
        <v>3471</v>
      </c>
      <c r="D216" s="11" t="s">
        <v>3474</v>
      </c>
      <c r="E216" s="11" t="s">
        <v>3475</v>
      </c>
      <c r="F216" s="11" t="s">
        <v>2075</v>
      </c>
      <c r="G216" s="11" t="s">
        <v>3048</v>
      </c>
      <c r="H216" s="11" t="s">
        <v>3036</v>
      </c>
    </row>
    <row r="217" spans="1:8" x14ac:dyDescent="0.25">
      <c r="A217" s="11">
        <v>214</v>
      </c>
      <c r="B217" s="11" t="s">
        <v>3273</v>
      </c>
      <c r="C217" s="11" t="s">
        <v>3471</v>
      </c>
      <c r="D217" s="11" t="s">
        <v>3476</v>
      </c>
      <c r="E217" s="11" t="s">
        <v>3477</v>
      </c>
      <c r="F217" s="11" t="s">
        <v>2075</v>
      </c>
      <c r="G217" s="11" t="s">
        <v>3048</v>
      </c>
      <c r="H217" s="11" t="s">
        <v>3036</v>
      </c>
    </row>
    <row r="218" spans="1:8" x14ac:dyDescent="0.25">
      <c r="A218" s="11">
        <v>215</v>
      </c>
      <c r="B218" s="11" t="s">
        <v>3273</v>
      </c>
      <c r="C218" s="11" t="s">
        <v>3471</v>
      </c>
      <c r="D218" s="11" t="s">
        <v>3478</v>
      </c>
      <c r="E218" s="11" t="s">
        <v>3479</v>
      </c>
      <c r="F218" s="11" t="s">
        <v>2075</v>
      </c>
      <c r="G218" s="11" t="s">
        <v>3048</v>
      </c>
      <c r="H218" s="11" t="s">
        <v>3036</v>
      </c>
    </row>
    <row r="219" spans="1:8" x14ac:dyDescent="0.25">
      <c r="A219" s="11">
        <v>216</v>
      </c>
      <c r="B219" s="11" t="s">
        <v>3273</v>
      </c>
      <c r="C219" s="11" t="s">
        <v>3471</v>
      </c>
      <c r="D219" s="11" t="s">
        <v>3480</v>
      </c>
      <c r="E219" s="11" t="s">
        <v>142</v>
      </c>
      <c r="F219" s="11" t="s">
        <v>2075</v>
      </c>
      <c r="G219" s="11" t="s">
        <v>3048</v>
      </c>
      <c r="H219" s="11" t="s">
        <v>3036</v>
      </c>
    </row>
    <row r="220" spans="1:8" x14ac:dyDescent="0.25">
      <c r="A220" s="11">
        <v>217</v>
      </c>
      <c r="B220" s="11" t="s">
        <v>3273</v>
      </c>
      <c r="C220" s="11" t="s">
        <v>3471</v>
      </c>
      <c r="D220" s="11" t="s">
        <v>3481</v>
      </c>
      <c r="E220" s="11" t="s">
        <v>3482</v>
      </c>
      <c r="F220" s="11" t="s">
        <v>2075</v>
      </c>
      <c r="G220" s="11" t="s">
        <v>3048</v>
      </c>
      <c r="H220" s="11" t="s">
        <v>3036</v>
      </c>
    </row>
    <row r="221" spans="1:8" x14ac:dyDescent="0.25">
      <c r="A221" s="11">
        <v>218</v>
      </c>
      <c r="B221" s="11" t="s">
        <v>3273</v>
      </c>
      <c r="C221" s="11" t="s">
        <v>3471</v>
      </c>
      <c r="D221" s="11" t="s">
        <v>3483</v>
      </c>
      <c r="E221" s="11" t="s">
        <v>3484</v>
      </c>
      <c r="F221" s="11" t="s">
        <v>2075</v>
      </c>
      <c r="G221" s="11" t="s">
        <v>3048</v>
      </c>
      <c r="H221" s="11" t="s">
        <v>3036</v>
      </c>
    </row>
    <row r="222" spans="1:8" x14ac:dyDescent="0.25">
      <c r="A222" s="11">
        <v>219</v>
      </c>
      <c r="B222" s="11" t="s">
        <v>3273</v>
      </c>
      <c r="C222" s="11" t="s">
        <v>3485</v>
      </c>
      <c r="D222" s="11" t="s">
        <v>3486</v>
      </c>
      <c r="E222" s="11" t="s">
        <v>3487</v>
      </c>
      <c r="F222" s="11" t="s">
        <v>2174</v>
      </c>
      <c r="G222" s="11" t="s">
        <v>3431</v>
      </c>
      <c r="H222" s="11" t="s">
        <v>3036</v>
      </c>
    </row>
    <row r="223" spans="1:8" x14ac:dyDescent="0.25">
      <c r="A223" s="11">
        <v>220</v>
      </c>
      <c r="B223" s="11" t="s">
        <v>3273</v>
      </c>
      <c r="C223" s="11" t="s">
        <v>2008</v>
      </c>
      <c r="D223" s="11" t="s">
        <v>3488</v>
      </c>
      <c r="E223" s="11" t="s">
        <v>142</v>
      </c>
      <c r="F223" s="11" t="s">
        <v>2002</v>
      </c>
      <c r="G223" s="11" t="s">
        <v>3035</v>
      </c>
      <c r="H223" s="11" t="s">
        <v>3036</v>
      </c>
    </row>
    <row r="224" spans="1:8" x14ac:dyDescent="0.25">
      <c r="A224" s="11">
        <v>221</v>
      </c>
      <c r="B224" s="11" t="s">
        <v>3273</v>
      </c>
      <c r="C224" s="11" t="s">
        <v>2008</v>
      </c>
      <c r="D224" s="11" t="s">
        <v>3489</v>
      </c>
      <c r="E224" s="11" t="s">
        <v>3490</v>
      </c>
      <c r="F224" s="11" t="s">
        <v>2002</v>
      </c>
      <c r="G224" s="11" t="s">
        <v>3035</v>
      </c>
      <c r="H224" s="11" t="s">
        <v>3036</v>
      </c>
    </row>
    <row r="225" spans="1:8" x14ac:dyDescent="0.25">
      <c r="A225" s="11">
        <v>222</v>
      </c>
      <c r="B225" s="11" t="s">
        <v>3273</v>
      </c>
      <c r="C225" s="11" t="s">
        <v>2008</v>
      </c>
      <c r="D225" s="11" t="s">
        <v>3491</v>
      </c>
      <c r="E225" s="11" t="s">
        <v>142</v>
      </c>
      <c r="F225" s="11" t="s">
        <v>2002</v>
      </c>
      <c r="G225" s="11" t="s">
        <v>3035</v>
      </c>
      <c r="H225" s="11" t="s">
        <v>3036</v>
      </c>
    </row>
    <row r="226" spans="1:8" x14ac:dyDescent="0.25">
      <c r="A226" s="11">
        <v>223</v>
      </c>
      <c r="B226" s="11" t="s">
        <v>3273</v>
      </c>
      <c r="C226" s="11" t="s">
        <v>2008</v>
      </c>
      <c r="D226" s="11" t="s">
        <v>3492</v>
      </c>
      <c r="E226" s="11" t="s">
        <v>3493</v>
      </c>
      <c r="F226" s="11" t="s">
        <v>2002</v>
      </c>
      <c r="G226" s="11" t="s">
        <v>3035</v>
      </c>
      <c r="H226" s="11" t="s">
        <v>3036</v>
      </c>
    </row>
    <row r="227" spans="1:8" x14ac:dyDescent="0.25">
      <c r="A227" s="11">
        <v>224</v>
      </c>
      <c r="B227" s="11" t="s">
        <v>3273</v>
      </c>
      <c r="C227" s="11" t="s">
        <v>2008</v>
      </c>
      <c r="D227" s="11" t="s">
        <v>3494</v>
      </c>
      <c r="E227" s="11" t="s">
        <v>3495</v>
      </c>
      <c r="F227" s="11" t="s">
        <v>2002</v>
      </c>
      <c r="G227" s="11" t="s">
        <v>3035</v>
      </c>
      <c r="H227" s="11" t="s">
        <v>3036</v>
      </c>
    </row>
    <row r="228" spans="1:8" x14ac:dyDescent="0.25">
      <c r="A228" s="11">
        <v>225</v>
      </c>
      <c r="B228" s="11" t="s">
        <v>3273</v>
      </c>
      <c r="C228" s="11" t="s">
        <v>2008</v>
      </c>
      <c r="D228" s="11" t="s">
        <v>3496</v>
      </c>
      <c r="E228" s="11" t="s">
        <v>3497</v>
      </c>
      <c r="F228" s="11" t="s">
        <v>2002</v>
      </c>
      <c r="G228" s="11" t="s">
        <v>3035</v>
      </c>
      <c r="H228" s="11" t="s">
        <v>3036</v>
      </c>
    </row>
    <row r="229" spans="1:8" x14ac:dyDescent="0.25">
      <c r="A229" s="11">
        <v>226</v>
      </c>
      <c r="B229" s="11" t="s">
        <v>3273</v>
      </c>
      <c r="C229" s="11" t="s">
        <v>2008</v>
      </c>
      <c r="D229" s="11" t="s">
        <v>3498</v>
      </c>
      <c r="E229" s="11" t="s">
        <v>3499</v>
      </c>
      <c r="F229" s="11" t="s">
        <v>2002</v>
      </c>
      <c r="G229" s="11" t="s">
        <v>3035</v>
      </c>
      <c r="H229" s="11" t="s">
        <v>3036</v>
      </c>
    </row>
    <row r="230" spans="1:8" x14ac:dyDescent="0.25">
      <c r="A230" s="11">
        <v>227</v>
      </c>
      <c r="B230" s="11" t="s">
        <v>3273</v>
      </c>
      <c r="C230" s="11" t="s">
        <v>2008</v>
      </c>
      <c r="D230" s="11" t="s">
        <v>3500</v>
      </c>
      <c r="E230" s="11" t="s">
        <v>3501</v>
      </c>
      <c r="F230" s="11" t="s">
        <v>2002</v>
      </c>
      <c r="G230" s="11" t="s">
        <v>3035</v>
      </c>
      <c r="H230" s="11" t="s">
        <v>3036</v>
      </c>
    </row>
    <row r="231" spans="1:8" x14ac:dyDescent="0.25">
      <c r="A231" s="11">
        <v>228</v>
      </c>
      <c r="B231" s="11" t="s">
        <v>3273</v>
      </c>
      <c r="C231" s="11" t="s">
        <v>2008</v>
      </c>
      <c r="D231" s="11" t="s">
        <v>3502</v>
      </c>
      <c r="E231" s="11" t="s">
        <v>142</v>
      </c>
      <c r="F231" s="11" t="s">
        <v>2002</v>
      </c>
      <c r="G231" s="11" t="s">
        <v>3035</v>
      </c>
      <c r="H231" s="11" t="s">
        <v>3036</v>
      </c>
    </row>
    <row r="232" spans="1:8" x14ac:dyDescent="0.25">
      <c r="A232" s="11">
        <v>229</v>
      </c>
      <c r="B232" s="11" t="s">
        <v>3273</v>
      </c>
      <c r="C232" s="11" t="s">
        <v>2008</v>
      </c>
      <c r="D232" s="11" t="s">
        <v>3503</v>
      </c>
      <c r="E232" s="11" t="s">
        <v>3504</v>
      </c>
      <c r="F232" s="11" t="s">
        <v>2002</v>
      </c>
      <c r="G232" s="11" t="s">
        <v>3035</v>
      </c>
      <c r="H232" s="11" t="s">
        <v>3036</v>
      </c>
    </row>
    <row r="233" spans="1:8" x14ac:dyDescent="0.25">
      <c r="A233" s="11">
        <v>230</v>
      </c>
      <c r="B233" s="11" t="s">
        <v>3273</v>
      </c>
      <c r="C233" s="11" t="s">
        <v>2008</v>
      </c>
      <c r="D233" s="11" t="s">
        <v>3505</v>
      </c>
      <c r="E233" s="11" t="s">
        <v>3506</v>
      </c>
      <c r="F233" s="11" t="s">
        <v>2002</v>
      </c>
      <c r="G233" s="11" t="s">
        <v>3035</v>
      </c>
      <c r="H233" s="11" t="s">
        <v>3036</v>
      </c>
    </row>
    <row r="234" spans="1:8" x14ac:dyDescent="0.25">
      <c r="A234" s="11">
        <v>231</v>
      </c>
      <c r="B234" s="11" t="s">
        <v>3273</v>
      </c>
      <c r="C234" s="11" t="s">
        <v>2008</v>
      </c>
      <c r="D234" s="11" t="s">
        <v>3507</v>
      </c>
      <c r="E234" s="11" t="s">
        <v>3508</v>
      </c>
      <c r="F234" s="11" t="s">
        <v>2002</v>
      </c>
      <c r="G234" s="11" t="s">
        <v>3035</v>
      </c>
      <c r="H234" s="11" t="s">
        <v>3036</v>
      </c>
    </row>
    <row r="235" spans="1:8" x14ac:dyDescent="0.25">
      <c r="A235" s="11">
        <v>232</v>
      </c>
      <c r="B235" s="11" t="s">
        <v>3273</v>
      </c>
      <c r="C235" s="11" t="s">
        <v>2008</v>
      </c>
      <c r="D235" s="11" t="s">
        <v>3509</v>
      </c>
      <c r="E235" s="11" t="s">
        <v>3510</v>
      </c>
      <c r="F235" s="11" t="s">
        <v>2002</v>
      </c>
      <c r="G235" s="11" t="s">
        <v>3035</v>
      </c>
      <c r="H235" s="11" t="s">
        <v>3036</v>
      </c>
    </row>
    <row r="236" spans="1:8" x14ac:dyDescent="0.25">
      <c r="A236" s="11">
        <v>233</v>
      </c>
      <c r="B236" s="11" t="s">
        <v>3273</v>
      </c>
      <c r="C236" s="11" t="s">
        <v>2008</v>
      </c>
      <c r="D236" s="11" t="s">
        <v>3511</v>
      </c>
      <c r="E236" s="11" t="s">
        <v>3512</v>
      </c>
      <c r="F236" s="11" t="s">
        <v>2002</v>
      </c>
      <c r="G236" s="11" t="s">
        <v>3035</v>
      </c>
      <c r="H236" s="11" t="s">
        <v>3036</v>
      </c>
    </row>
    <row r="237" spans="1:8" x14ac:dyDescent="0.25">
      <c r="A237" s="11">
        <v>234</v>
      </c>
      <c r="B237" s="11" t="s">
        <v>3273</v>
      </c>
      <c r="C237" s="11" t="s">
        <v>2008</v>
      </c>
      <c r="D237" s="11" t="s">
        <v>3513</v>
      </c>
      <c r="E237" s="11" t="s">
        <v>3514</v>
      </c>
      <c r="F237" s="11" t="s">
        <v>2002</v>
      </c>
      <c r="G237" s="11" t="s">
        <v>3035</v>
      </c>
      <c r="H237" s="11" t="s">
        <v>3036</v>
      </c>
    </row>
    <row r="238" spans="1:8" x14ac:dyDescent="0.25">
      <c r="A238" s="11">
        <v>235</v>
      </c>
      <c r="B238" s="11" t="s">
        <v>3273</v>
      </c>
      <c r="C238" s="11" t="s">
        <v>2008</v>
      </c>
      <c r="D238" s="11" t="s">
        <v>3515</v>
      </c>
      <c r="E238" s="11" t="s">
        <v>142</v>
      </c>
      <c r="F238" s="11" t="s">
        <v>2002</v>
      </c>
      <c r="G238" s="11" t="s">
        <v>3035</v>
      </c>
      <c r="H238" s="11" t="s">
        <v>3036</v>
      </c>
    </row>
    <row r="239" spans="1:8" x14ac:dyDescent="0.25">
      <c r="A239" s="11">
        <v>236</v>
      </c>
      <c r="B239" s="11" t="s">
        <v>3273</v>
      </c>
      <c r="C239" s="11" t="s">
        <v>2008</v>
      </c>
      <c r="D239" s="11" t="s">
        <v>3516</v>
      </c>
      <c r="E239" s="11" t="s">
        <v>142</v>
      </c>
      <c r="F239" s="11" t="s">
        <v>2002</v>
      </c>
      <c r="G239" s="11" t="s">
        <v>3035</v>
      </c>
      <c r="H239" s="11" t="s">
        <v>3036</v>
      </c>
    </row>
    <row r="240" spans="1:8" x14ac:dyDescent="0.25">
      <c r="A240" s="11">
        <v>237</v>
      </c>
      <c r="B240" s="11" t="s">
        <v>3273</v>
      </c>
      <c r="C240" s="11" t="s">
        <v>2008</v>
      </c>
      <c r="D240" s="11" t="s">
        <v>3517</v>
      </c>
      <c r="E240" s="11" t="s">
        <v>3518</v>
      </c>
      <c r="F240" s="11" t="s">
        <v>2002</v>
      </c>
      <c r="G240" s="11" t="s">
        <v>3035</v>
      </c>
      <c r="H240" s="11" t="s">
        <v>3036</v>
      </c>
    </row>
    <row r="241" spans="1:8" x14ac:dyDescent="0.25">
      <c r="A241" s="11">
        <v>238</v>
      </c>
      <c r="B241" s="11" t="s">
        <v>3273</v>
      </c>
      <c r="C241" s="11" t="s">
        <v>2008</v>
      </c>
      <c r="D241" s="11" t="s">
        <v>3519</v>
      </c>
      <c r="E241" s="11" t="s">
        <v>3520</v>
      </c>
      <c r="F241" s="11" t="s">
        <v>2002</v>
      </c>
      <c r="G241" s="11" t="s">
        <v>3035</v>
      </c>
      <c r="H241" s="11" t="s">
        <v>3036</v>
      </c>
    </row>
    <row r="242" spans="1:8" x14ac:dyDescent="0.25">
      <c r="A242" s="11">
        <v>239</v>
      </c>
      <c r="B242" s="11" t="s">
        <v>3273</v>
      </c>
      <c r="C242" s="11" t="s">
        <v>2008</v>
      </c>
      <c r="D242" s="11" t="s">
        <v>3521</v>
      </c>
      <c r="E242" s="11" t="s">
        <v>3522</v>
      </c>
      <c r="F242" s="11" t="s">
        <v>2002</v>
      </c>
      <c r="G242" s="11" t="s">
        <v>3035</v>
      </c>
      <c r="H242" s="11" t="s">
        <v>3036</v>
      </c>
    </row>
  </sheetData>
  <autoFilter ref="A3:H242"/>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workbookViewId="0">
      <pane ySplit="3" topLeftCell="A4" activePane="bottomLeft" state="frozen"/>
      <selection pane="bottomLeft"/>
    </sheetView>
  </sheetViews>
  <sheetFormatPr defaultRowHeight="15" outlineLevelRow="0" outlineLevelCol="0" x14ac:dyDescent="55"/>
  <cols>
    <col min="1" max="1" width="5" customWidth="1"/>
    <col min="2" max="2" width="7" customWidth="1"/>
    <col min="3" max="3" width="52" customWidth="1"/>
    <col min="4" max="4" width="20" customWidth="1"/>
    <col min="5" max="5" width="18" customWidth="1"/>
    <col min="6" max="6" width="24" customWidth="1"/>
    <col min="7" max="7" width="70" customWidth="1"/>
  </cols>
  <sheetData>
    <row r="1" spans="1:1" x14ac:dyDescent="0.25">
      <c r="A1" s="1" t="s">
        <v>3523</v>
      </c>
    </row>
    <row r="2" spans="1:1" x14ac:dyDescent="0.25">
      <c r="A2" s="2" t="s">
        <v>3524</v>
      </c>
    </row>
    <row r="3" spans="1:7" x14ac:dyDescent="0.25">
      <c r="A3" s="4" t="s">
        <v>118</v>
      </c>
      <c r="B3" s="4" t="s">
        <v>3525</v>
      </c>
      <c r="C3" s="4" t="s">
        <v>3526</v>
      </c>
      <c r="D3" s="4" t="s">
        <v>3527</v>
      </c>
      <c r="E3" s="4" t="s">
        <v>3528</v>
      </c>
      <c r="F3" s="4" t="s">
        <v>119</v>
      </c>
      <c r="G3" s="4" t="s">
        <v>3026</v>
      </c>
    </row>
    <row r="4" spans="1:7" x14ac:dyDescent="0.25">
      <c r="A4" s="11">
        <v>1</v>
      </c>
      <c r="B4" s="11" t="s">
        <v>3529</v>
      </c>
      <c r="C4" s="11" t="s">
        <v>3530</v>
      </c>
      <c r="D4" s="11" t="s">
        <v>3531</v>
      </c>
      <c r="E4" s="11" t="s">
        <v>3532</v>
      </c>
      <c r="F4" s="11" t="s">
        <v>1888</v>
      </c>
      <c r="G4" s="11" t="s">
        <v>3533</v>
      </c>
    </row>
    <row r="5" spans="1:7" x14ac:dyDescent="0.25">
      <c r="A5" s="11">
        <v>2</v>
      </c>
      <c r="B5" s="11" t="s">
        <v>3529</v>
      </c>
      <c r="C5" s="11" t="s">
        <v>3534</v>
      </c>
      <c r="D5" s="11" t="s">
        <v>3531</v>
      </c>
      <c r="E5" s="11" t="s">
        <v>3532</v>
      </c>
      <c r="F5" s="11" t="s">
        <v>2824</v>
      </c>
      <c r="G5" s="11" t="s">
        <v>3535</v>
      </c>
    </row>
    <row r="6" spans="1:7" x14ac:dyDescent="0.25">
      <c r="A6" s="11">
        <v>3</v>
      </c>
      <c r="B6" s="11" t="s">
        <v>3529</v>
      </c>
      <c r="C6" s="11" t="s">
        <v>3536</v>
      </c>
      <c r="D6" s="11" t="s">
        <v>3531</v>
      </c>
      <c r="E6" s="11" t="s">
        <v>3532</v>
      </c>
      <c r="F6" s="11" t="s">
        <v>1946</v>
      </c>
      <c r="G6" s="11" t="s">
        <v>3537</v>
      </c>
    </row>
    <row r="7" spans="1:7" x14ac:dyDescent="0.25">
      <c r="A7" s="11">
        <v>4</v>
      </c>
      <c r="B7" s="11" t="s">
        <v>3529</v>
      </c>
      <c r="C7" s="11" t="s">
        <v>3538</v>
      </c>
      <c r="D7" s="11" t="s">
        <v>3531</v>
      </c>
      <c r="E7" s="11" t="s">
        <v>3532</v>
      </c>
      <c r="F7" s="11" t="s">
        <v>1888</v>
      </c>
      <c r="G7" s="11" t="s">
        <v>3539</v>
      </c>
    </row>
    <row r="8" spans="1:7" x14ac:dyDescent="0.25">
      <c r="A8" s="11">
        <v>5</v>
      </c>
      <c r="B8" s="11" t="s">
        <v>3529</v>
      </c>
      <c r="C8" s="11" t="s">
        <v>3540</v>
      </c>
      <c r="D8" s="11" t="s">
        <v>3531</v>
      </c>
      <c r="E8" s="11" t="s">
        <v>3532</v>
      </c>
      <c r="F8" s="11" t="s">
        <v>1888</v>
      </c>
      <c r="G8" s="11" t="s">
        <v>3541</v>
      </c>
    </row>
    <row r="9" spans="1:7" x14ac:dyDescent="0.25">
      <c r="A9" s="11">
        <v>6</v>
      </c>
      <c r="B9" s="11" t="s">
        <v>3529</v>
      </c>
      <c r="C9" s="11" t="s">
        <v>3542</v>
      </c>
      <c r="D9" s="11" t="s">
        <v>3531</v>
      </c>
      <c r="E9" s="11" t="s">
        <v>3532</v>
      </c>
      <c r="F9" s="11" t="s">
        <v>1887</v>
      </c>
      <c r="G9" s="11" t="s">
        <v>3543</v>
      </c>
    </row>
    <row r="10" spans="1:7" x14ac:dyDescent="0.25">
      <c r="A10" s="11">
        <v>7</v>
      </c>
      <c r="B10" s="11" t="s">
        <v>3529</v>
      </c>
      <c r="C10" s="11" t="s">
        <v>3544</v>
      </c>
      <c r="D10" s="11" t="s">
        <v>3531</v>
      </c>
      <c r="E10" s="11" t="s">
        <v>3532</v>
      </c>
      <c r="F10" s="11" t="s">
        <v>2075</v>
      </c>
      <c r="G10" s="11" t="s">
        <v>3545</v>
      </c>
    </row>
    <row r="11" spans="1:7" x14ac:dyDescent="0.25">
      <c r="A11" s="11">
        <v>8</v>
      </c>
      <c r="B11" s="11" t="s">
        <v>3529</v>
      </c>
      <c r="C11" s="11" t="s">
        <v>3546</v>
      </c>
      <c r="D11" s="11" t="s">
        <v>3531</v>
      </c>
      <c r="E11" s="11" t="s">
        <v>3532</v>
      </c>
      <c r="F11" s="11" t="s">
        <v>1951</v>
      </c>
      <c r="G11" s="11" t="s">
        <v>3547</v>
      </c>
    </row>
    <row r="12" spans="1:7" x14ac:dyDescent="0.25">
      <c r="A12" s="11">
        <v>9</v>
      </c>
      <c r="B12" s="11" t="s">
        <v>3529</v>
      </c>
      <c r="C12" s="11" t="s">
        <v>3548</v>
      </c>
      <c r="D12" s="11" t="s">
        <v>3531</v>
      </c>
      <c r="E12" s="11" t="s">
        <v>3532</v>
      </c>
      <c r="F12" s="11" t="s">
        <v>2139</v>
      </c>
      <c r="G12" s="11" t="s">
        <v>3549</v>
      </c>
    </row>
    <row r="13" spans="1:7" x14ac:dyDescent="0.25">
      <c r="A13" s="11">
        <v>10</v>
      </c>
      <c r="B13" s="11" t="s">
        <v>3529</v>
      </c>
      <c r="C13" s="11" t="s">
        <v>3550</v>
      </c>
      <c r="D13" s="11" t="s">
        <v>3531</v>
      </c>
      <c r="E13" s="11" t="s">
        <v>3532</v>
      </c>
      <c r="F13" s="11" t="s">
        <v>2002</v>
      </c>
      <c r="G13" s="11" t="s">
        <v>3551</v>
      </c>
    </row>
    <row r="14" spans="1:7" x14ac:dyDescent="0.25">
      <c r="A14" s="11">
        <v>11</v>
      </c>
      <c r="B14" s="11" t="s">
        <v>3552</v>
      </c>
      <c r="C14" s="11" t="s">
        <v>3553</v>
      </c>
      <c r="D14" s="11" t="s">
        <v>3554</v>
      </c>
      <c r="E14" s="11" t="s">
        <v>3532</v>
      </c>
      <c r="F14" s="11" t="s">
        <v>3555</v>
      </c>
      <c r="G14" s="11" t="s">
        <v>3556</v>
      </c>
    </row>
    <row r="15" spans="1:7" x14ac:dyDescent="0.25">
      <c r="A15" s="11">
        <v>12</v>
      </c>
      <c r="B15" s="11" t="s">
        <v>3552</v>
      </c>
      <c r="C15" s="11" t="s">
        <v>3557</v>
      </c>
      <c r="D15" s="11" t="s">
        <v>3558</v>
      </c>
      <c r="E15" s="11" t="s">
        <v>3532</v>
      </c>
      <c r="F15" s="11" t="s">
        <v>2824</v>
      </c>
      <c r="G15" s="11" t="s">
        <v>3559</v>
      </c>
    </row>
    <row r="16" spans="1:7" x14ac:dyDescent="0.25">
      <c r="A16" s="11">
        <v>13</v>
      </c>
      <c r="B16" s="11" t="s">
        <v>3552</v>
      </c>
      <c r="C16" s="11" t="s">
        <v>3560</v>
      </c>
      <c r="D16" s="11" t="s">
        <v>3558</v>
      </c>
      <c r="E16" s="11" t="s">
        <v>3532</v>
      </c>
      <c r="F16" s="11" t="s">
        <v>3561</v>
      </c>
      <c r="G16" s="11" t="s">
        <v>3562</v>
      </c>
    </row>
    <row r="17" spans="1:7" x14ac:dyDescent="0.25">
      <c r="A17" s="11">
        <v>14</v>
      </c>
      <c r="B17" s="11" t="s">
        <v>3552</v>
      </c>
      <c r="C17" s="11" t="s">
        <v>3563</v>
      </c>
      <c r="D17" s="11" t="s">
        <v>3554</v>
      </c>
      <c r="E17" s="11" t="s">
        <v>3532</v>
      </c>
      <c r="F17" s="11" t="s">
        <v>1946</v>
      </c>
      <c r="G17" s="11" t="s">
        <v>3564</v>
      </c>
    </row>
    <row r="18" spans="1:7" x14ac:dyDescent="0.25">
      <c r="A18" s="11">
        <v>15</v>
      </c>
      <c r="B18" s="11" t="s">
        <v>3552</v>
      </c>
      <c r="C18" s="11" t="s">
        <v>3565</v>
      </c>
      <c r="D18" s="11" t="s">
        <v>3566</v>
      </c>
      <c r="E18" s="11" t="s">
        <v>3532</v>
      </c>
      <c r="F18" s="11" t="s">
        <v>1946</v>
      </c>
      <c r="G18" s="11" t="s">
        <v>3567</v>
      </c>
    </row>
    <row r="19" spans="1:7" x14ac:dyDescent="0.25">
      <c r="A19" s="11">
        <v>16</v>
      </c>
      <c r="B19" s="11" t="s">
        <v>3552</v>
      </c>
      <c r="C19" s="11" t="s">
        <v>3568</v>
      </c>
      <c r="D19" s="11" t="s">
        <v>3569</v>
      </c>
      <c r="E19" s="11" t="s">
        <v>3532</v>
      </c>
      <c r="F19" s="11" t="s">
        <v>1911</v>
      </c>
      <c r="G19" s="11" t="s">
        <v>3570</v>
      </c>
    </row>
    <row r="20" spans="1:7" x14ac:dyDescent="0.25">
      <c r="A20" s="11">
        <v>17</v>
      </c>
      <c r="B20" s="11" t="s">
        <v>3552</v>
      </c>
      <c r="C20" s="11" t="s">
        <v>3571</v>
      </c>
      <c r="D20" s="11" t="s">
        <v>3554</v>
      </c>
      <c r="E20" s="11" t="s">
        <v>3532</v>
      </c>
      <c r="F20" s="11" t="s">
        <v>1905</v>
      </c>
      <c r="G20" s="11" t="s">
        <v>3572</v>
      </c>
    </row>
    <row r="21" spans="1:7" x14ac:dyDescent="0.25">
      <c r="A21" s="11">
        <v>18</v>
      </c>
      <c r="B21" s="11" t="s">
        <v>3552</v>
      </c>
      <c r="C21" s="11" t="s">
        <v>3573</v>
      </c>
      <c r="D21" s="11" t="s">
        <v>3554</v>
      </c>
      <c r="E21" s="11" t="s">
        <v>3532</v>
      </c>
      <c r="F21" s="11" t="s">
        <v>1917</v>
      </c>
      <c r="G21" s="11" t="s">
        <v>3574</v>
      </c>
    </row>
    <row r="22" spans="1:7" x14ac:dyDescent="0.25">
      <c r="A22" s="11">
        <v>19</v>
      </c>
      <c r="B22" s="11" t="s">
        <v>3552</v>
      </c>
      <c r="C22" s="11" t="s">
        <v>3575</v>
      </c>
      <c r="D22" s="11" t="s">
        <v>3554</v>
      </c>
      <c r="E22" s="11" t="s">
        <v>3532</v>
      </c>
      <c r="F22" s="11" t="s">
        <v>1911</v>
      </c>
      <c r="G22" s="11" t="s">
        <v>3576</v>
      </c>
    </row>
    <row r="23" spans="1:7" x14ac:dyDescent="0.25">
      <c r="A23" s="11">
        <v>20</v>
      </c>
      <c r="B23" s="11" t="s">
        <v>3552</v>
      </c>
      <c r="C23" s="11" t="s">
        <v>3577</v>
      </c>
      <c r="D23" s="11" t="s">
        <v>3554</v>
      </c>
      <c r="E23" s="11" t="s">
        <v>3532</v>
      </c>
      <c r="F23" s="11" t="s">
        <v>1911</v>
      </c>
      <c r="G23" s="11" t="s">
        <v>3578</v>
      </c>
    </row>
    <row r="24" spans="1:7" x14ac:dyDescent="0.25">
      <c r="A24" s="11">
        <v>21</v>
      </c>
      <c r="B24" s="11" t="s">
        <v>3552</v>
      </c>
      <c r="C24" s="11" t="s">
        <v>3579</v>
      </c>
      <c r="D24" s="11" t="s">
        <v>3558</v>
      </c>
      <c r="E24" s="11" t="s">
        <v>3532</v>
      </c>
      <c r="F24" s="11" t="s">
        <v>1911</v>
      </c>
      <c r="G24" s="11" t="s">
        <v>3580</v>
      </c>
    </row>
    <row r="25" spans="1:7" x14ac:dyDescent="0.25">
      <c r="A25" s="11">
        <v>22</v>
      </c>
      <c r="B25" s="11" t="s">
        <v>3552</v>
      </c>
      <c r="C25" s="11" t="s">
        <v>3581</v>
      </c>
      <c r="D25" s="11" t="s">
        <v>3554</v>
      </c>
      <c r="E25" s="11" t="s">
        <v>3532</v>
      </c>
      <c r="F25" s="11" t="s">
        <v>1911</v>
      </c>
      <c r="G25" s="11" t="s">
        <v>3582</v>
      </c>
    </row>
    <row r="26" spans="1:7" x14ac:dyDescent="0.25">
      <c r="A26" s="11">
        <v>23</v>
      </c>
      <c r="B26" s="11" t="s">
        <v>3552</v>
      </c>
      <c r="C26" s="11" t="s">
        <v>3583</v>
      </c>
      <c r="D26" s="11" t="s">
        <v>3566</v>
      </c>
      <c r="E26" s="11" t="s">
        <v>3532</v>
      </c>
      <c r="F26" s="11" t="s">
        <v>1888</v>
      </c>
      <c r="G26" s="11" t="s">
        <v>3584</v>
      </c>
    </row>
    <row r="27" spans="1:7" x14ac:dyDescent="0.25">
      <c r="A27" s="11">
        <v>24</v>
      </c>
      <c r="B27" s="11" t="s">
        <v>3552</v>
      </c>
      <c r="C27" s="11" t="s">
        <v>3585</v>
      </c>
      <c r="D27" s="11" t="s">
        <v>3586</v>
      </c>
      <c r="E27" s="11" t="s">
        <v>3532</v>
      </c>
      <c r="F27" s="11" t="s">
        <v>1923</v>
      </c>
      <c r="G27" s="11" t="s">
        <v>3587</v>
      </c>
    </row>
    <row r="28" spans="1:7" x14ac:dyDescent="0.25">
      <c r="A28" s="11">
        <v>25</v>
      </c>
      <c r="B28" s="11" t="s">
        <v>3552</v>
      </c>
      <c r="C28" s="11" t="s">
        <v>3588</v>
      </c>
      <c r="D28" s="11" t="s">
        <v>3558</v>
      </c>
      <c r="E28" s="11" t="s">
        <v>3532</v>
      </c>
      <c r="F28" s="11" t="s">
        <v>1888</v>
      </c>
      <c r="G28" s="11" t="s">
        <v>3589</v>
      </c>
    </row>
    <row r="29" spans="1:7" x14ac:dyDescent="0.25">
      <c r="A29" s="11">
        <v>26</v>
      </c>
      <c r="B29" s="11" t="s">
        <v>3552</v>
      </c>
      <c r="C29" s="11" t="s">
        <v>3590</v>
      </c>
      <c r="D29" s="11" t="s">
        <v>3554</v>
      </c>
      <c r="E29" s="11" t="s">
        <v>3532</v>
      </c>
      <c r="F29" s="11" t="s">
        <v>2108</v>
      </c>
      <c r="G29" s="11" t="s">
        <v>3591</v>
      </c>
    </row>
    <row r="30" spans="1:7" x14ac:dyDescent="0.25">
      <c r="A30" s="11">
        <v>27</v>
      </c>
      <c r="B30" s="11" t="s">
        <v>3552</v>
      </c>
      <c r="C30" s="11" t="s">
        <v>3592</v>
      </c>
      <c r="D30" s="11" t="s">
        <v>3569</v>
      </c>
      <c r="E30" s="11" t="s">
        <v>3532</v>
      </c>
      <c r="F30" s="11" t="s">
        <v>1887</v>
      </c>
      <c r="G30" s="11" t="s">
        <v>3593</v>
      </c>
    </row>
    <row r="31" spans="1:7" x14ac:dyDescent="0.25">
      <c r="A31" s="11">
        <v>28</v>
      </c>
      <c r="B31" s="11" t="s">
        <v>3552</v>
      </c>
      <c r="C31" s="11" t="s">
        <v>3594</v>
      </c>
      <c r="D31" s="11" t="s">
        <v>3595</v>
      </c>
      <c r="E31" s="11" t="s">
        <v>3532</v>
      </c>
      <c r="F31" s="11" t="s">
        <v>2062</v>
      </c>
      <c r="G31" s="11" t="s">
        <v>3596</v>
      </c>
    </row>
    <row r="32" spans="1:7" x14ac:dyDescent="0.25">
      <c r="A32" s="11">
        <v>29</v>
      </c>
      <c r="B32" s="11" t="s">
        <v>3552</v>
      </c>
      <c r="C32" s="11" t="s">
        <v>3597</v>
      </c>
      <c r="D32" s="11" t="s">
        <v>3558</v>
      </c>
      <c r="E32" s="11" t="s">
        <v>3532</v>
      </c>
      <c r="F32" s="11" t="s">
        <v>2062</v>
      </c>
      <c r="G32" s="11" t="s">
        <v>3598</v>
      </c>
    </row>
    <row r="33" spans="1:7" x14ac:dyDescent="0.25">
      <c r="A33" s="11">
        <v>30</v>
      </c>
      <c r="B33" s="11" t="s">
        <v>3552</v>
      </c>
      <c r="C33" s="11" t="s">
        <v>3599</v>
      </c>
      <c r="D33" s="11" t="s">
        <v>3558</v>
      </c>
      <c r="E33" s="11" t="s">
        <v>3532</v>
      </c>
      <c r="F33" s="11" t="s">
        <v>2002</v>
      </c>
      <c r="G33" s="11" t="s">
        <v>3600</v>
      </c>
    </row>
    <row r="34" spans="1:7" x14ac:dyDescent="0.25">
      <c r="A34" s="11">
        <v>31</v>
      </c>
      <c r="B34" s="11" t="s">
        <v>3552</v>
      </c>
      <c r="C34" s="11" t="s">
        <v>3601</v>
      </c>
      <c r="D34" s="11" t="s">
        <v>3554</v>
      </c>
      <c r="E34" s="11" t="s">
        <v>2780</v>
      </c>
      <c r="F34" s="11" t="s">
        <v>1905</v>
      </c>
      <c r="G34" s="11" t="s">
        <v>3602</v>
      </c>
    </row>
    <row r="35" spans="1:7" x14ac:dyDescent="0.25">
      <c r="A35" s="11">
        <v>32</v>
      </c>
      <c r="B35" s="11" t="s">
        <v>3552</v>
      </c>
      <c r="C35" s="11" t="s">
        <v>3603</v>
      </c>
      <c r="D35" s="11" t="s">
        <v>3554</v>
      </c>
      <c r="E35" s="11" t="s">
        <v>2780</v>
      </c>
      <c r="F35" s="11" t="s">
        <v>1905</v>
      </c>
      <c r="G35" s="11" t="s">
        <v>3604</v>
      </c>
    </row>
    <row r="36" spans="1:7" x14ac:dyDescent="0.25">
      <c r="A36" s="11">
        <v>33</v>
      </c>
      <c r="B36" s="11" t="s">
        <v>3552</v>
      </c>
      <c r="C36" s="11" t="s">
        <v>3605</v>
      </c>
      <c r="D36" s="11" t="s">
        <v>3569</v>
      </c>
      <c r="E36" s="11" t="s">
        <v>2780</v>
      </c>
      <c r="F36" s="11" t="s">
        <v>1905</v>
      </c>
      <c r="G36" s="11" t="s">
        <v>3606</v>
      </c>
    </row>
    <row r="37" spans="1:7" x14ac:dyDescent="0.25">
      <c r="A37" s="11">
        <v>34</v>
      </c>
      <c r="B37" s="11" t="s">
        <v>3552</v>
      </c>
      <c r="C37" s="11" t="s">
        <v>3607</v>
      </c>
      <c r="D37" s="11" t="s">
        <v>3554</v>
      </c>
      <c r="E37" s="11" t="s">
        <v>2780</v>
      </c>
      <c r="F37" s="11" t="s">
        <v>1905</v>
      </c>
      <c r="G37" s="11" t="s">
        <v>3608</v>
      </c>
    </row>
    <row r="38" spans="1:7" x14ac:dyDescent="0.25">
      <c r="A38" s="11">
        <v>35</v>
      </c>
      <c r="B38" s="11" t="s">
        <v>3552</v>
      </c>
      <c r="C38" s="11" t="s">
        <v>3609</v>
      </c>
      <c r="D38" s="11" t="s">
        <v>3554</v>
      </c>
      <c r="E38" s="11" t="s">
        <v>2780</v>
      </c>
      <c r="F38" s="11" t="s">
        <v>1934</v>
      </c>
      <c r="G38" s="11" t="s">
        <v>3610</v>
      </c>
    </row>
    <row r="39" spans="1:7" x14ac:dyDescent="0.25">
      <c r="A39" s="11">
        <v>36</v>
      </c>
      <c r="B39" s="11" t="s">
        <v>3552</v>
      </c>
      <c r="C39" s="11" t="s">
        <v>3611</v>
      </c>
      <c r="D39" s="11" t="s">
        <v>3554</v>
      </c>
      <c r="E39" s="11" t="s">
        <v>2780</v>
      </c>
      <c r="F39" s="11" t="s">
        <v>1934</v>
      </c>
      <c r="G39" s="11" t="s">
        <v>3612</v>
      </c>
    </row>
    <row r="40" spans="1:7" x14ac:dyDescent="0.25">
      <c r="A40" s="11">
        <v>37</v>
      </c>
      <c r="B40" s="11" t="s">
        <v>3552</v>
      </c>
      <c r="C40" s="11" t="s">
        <v>3613</v>
      </c>
      <c r="D40" s="11" t="s">
        <v>3558</v>
      </c>
      <c r="E40" s="11" t="s">
        <v>2780</v>
      </c>
      <c r="F40" s="11" t="s">
        <v>1934</v>
      </c>
      <c r="G40" s="11" t="s">
        <v>3614</v>
      </c>
    </row>
    <row r="41" spans="1:7" x14ac:dyDescent="0.25">
      <c r="A41" s="11">
        <v>38</v>
      </c>
      <c r="B41" s="11" t="s">
        <v>3552</v>
      </c>
      <c r="C41" s="11" t="s">
        <v>3615</v>
      </c>
      <c r="D41" s="11" t="s">
        <v>3566</v>
      </c>
      <c r="E41" s="11" t="s">
        <v>2780</v>
      </c>
      <c r="F41" s="11" t="s">
        <v>1917</v>
      </c>
      <c r="G41" s="11" t="s">
        <v>3616</v>
      </c>
    </row>
    <row r="42" spans="1:7" x14ac:dyDescent="0.25">
      <c r="A42" s="11">
        <v>39</v>
      </c>
      <c r="B42" s="11" t="s">
        <v>3552</v>
      </c>
      <c r="C42" s="11" t="s">
        <v>3617</v>
      </c>
      <c r="D42" s="11" t="s">
        <v>3566</v>
      </c>
      <c r="E42" s="11" t="s">
        <v>2780</v>
      </c>
      <c r="F42" s="11" t="s">
        <v>3561</v>
      </c>
      <c r="G42" s="11" t="s">
        <v>3618</v>
      </c>
    </row>
    <row r="43" spans="1:7" x14ac:dyDescent="0.25">
      <c r="A43" s="11">
        <v>40</v>
      </c>
      <c r="B43" s="11" t="s">
        <v>3552</v>
      </c>
      <c r="C43" s="11" t="s">
        <v>3619</v>
      </c>
      <c r="D43" s="11" t="s">
        <v>3566</v>
      </c>
      <c r="E43" s="11" t="s">
        <v>2780</v>
      </c>
      <c r="F43" s="11" t="s">
        <v>3561</v>
      </c>
      <c r="G43" s="11" t="s">
        <v>3620</v>
      </c>
    </row>
    <row r="44" spans="1:7" x14ac:dyDescent="0.25">
      <c r="A44" s="11">
        <v>41</v>
      </c>
      <c r="B44" s="11" t="s">
        <v>3552</v>
      </c>
      <c r="C44" s="11" t="s">
        <v>3621</v>
      </c>
      <c r="D44" s="11" t="s">
        <v>3558</v>
      </c>
      <c r="E44" s="11" t="s">
        <v>2780</v>
      </c>
      <c r="F44" s="11" t="s">
        <v>1946</v>
      </c>
      <c r="G44" s="11" t="s">
        <v>3622</v>
      </c>
    </row>
    <row r="45" spans="1:7" x14ac:dyDescent="0.25">
      <c r="A45" s="11">
        <v>42</v>
      </c>
      <c r="B45" s="11" t="s">
        <v>3552</v>
      </c>
      <c r="C45" s="11" t="s">
        <v>3623</v>
      </c>
      <c r="D45" s="11" t="s">
        <v>3566</v>
      </c>
      <c r="E45" s="11" t="s">
        <v>2780</v>
      </c>
      <c r="F45" s="11" t="s">
        <v>1911</v>
      </c>
      <c r="G45" s="11" t="s">
        <v>3624</v>
      </c>
    </row>
    <row r="46" spans="1:7" x14ac:dyDescent="0.25">
      <c r="A46" s="11">
        <v>43</v>
      </c>
      <c r="B46" s="11" t="s">
        <v>3552</v>
      </c>
      <c r="C46" s="11" t="s">
        <v>3625</v>
      </c>
      <c r="D46" s="11" t="s">
        <v>3586</v>
      </c>
      <c r="E46" s="11" t="s">
        <v>2780</v>
      </c>
      <c r="F46" s="11" t="s">
        <v>1946</v>
      </c>
      <c r="G46" s="11" t="s">
        <v>3626</v>
      </c>
    </row>
    <row r="47" spans="1:7" x14ac:dyDescent="0.25">
      <c r="A47" s="11">
        <v>44</v>
      </c>
      <c r="B47" s="11" t="s">
        <v>3552</v>
      </c>
      <c r="C47" s="11" t="s">
        <v>3627</v>
      </c>
      <c r="D47" s="11" t="s">
        <v>3558</v>
      </c>
      <c r="E47" s="11" t="s">
        <v>2780</v>
      </c>
      <c r="F47" s="11" t="s">
        <v>1946</v>
      </c>
      <c r="G47" s="11" t="s">
        <v>3628</v>
      </c>
    </row>
    <row r="48" spans="1:7" x14ac:dyDescent="0.25">
      <c r="A48" s="11">
        <v>45</v>
      </c>
      <c r="B48" s="11" t="s">
        <v>3552</v>
      </c>
      <c r="C48" s="11" t="s">
        <v>3629</v>
      </c>
      <c r="D48" s="11" t="s">
        <v>3586</v>
      </c>
      <c r="E48" s="11" t="s">
        <v>2780</v>
      </c>
      <c r="F48" s="11" t="s">
        <v>1923</v>
      </c>
      <c r="G48" s="11" t="s">
        <v>3630</v>
      </c>
    </row>
    <row r="49" spans="1:7" x14ac:dyDescent="0.25">
      <c r="A49" s="11">
        <v>46</v>
      </c>
      <c r="B49" s="11" t="s">
        <v>3552</v>
      </c>
      <c r="C49" s="11" t="s">
        <v>3631</v>
      </c>
      <c r="D49" s="11" t="s">
        <v>3558</v>
      </c>
      <c r="E49" s="11" t="s">
        <v>2780</v>
      </c>
      <c r="F49" s="11" t="s">
        <v>1923</v>
      </c>
      <c r="G49" s="11" t="s">
        <v>3632</v>
      </c>
    </row>
    <row r="50" spans="1:7" x14ac:dyDescent="0.25">
      <c r="A50" s="11">
        <v>47</v>
      </c>
      <c r="B50" s="11" t="s">
        <v>3552</v>
      </c>
      <c r="C50" s="11" t="s">
        <v>3633</v>
      </c>
      <c r="D50" s="11" t="s">
        <v>3566</v>
      </c>
      <c r="E50" s="11" t="s">
        <v>2780</v>
      </c>
      <c r="F50" s="11" t="s">
        <v>1888</v>
      </c>
      <c r="G50" s="11" t="s">
        <v>3634</v>
      </c>
    </row>
    <row r="51" spans="1:7" x14ac:dyDescent="0.25">
      <c r="A51" s="11">
        <v>48</v>
      </c>
      <c r="B51" s="11" t="s">
        <v>3552</v>
      </c>
      <c r="C51" s="11" t="s">
        <v>3635</v>
      </c>
      <c r="D51" s="11" t="s">
        <v>3558</v>
      </c>
      <c r="E51" s="11" t="s">
        <v>3636</v>
      </c>
      <c r="F51" s="11" t="s">
        <v>2009</v>
      </c>
      <c r="G51" s="11" t="s">
        <v>3637</v>
      </c>
    </row>
    <row r="52" spans="1:7" x14ac:dyDescent="0.25">
      <c r="A52" s="11">
        <v>49</v>
      </c>
      <c r="B52" s="11" t="s">
        <v>3552</v>
      </c>
      <c r="C52" s="11" t="s">
        <v>3638</v>
      </c>
      <c r="D52" s="11" t="s">
        <v>3586</v>
      </c>
      <c r="E52" s="11" t="s">
        <v>2382</v>
      </c>
      <c r="F52" s="11" t="s">
        <v>2075</v>
      </c>
      <c r="G52" s="11" t="s">
        <v>3639</v>
      </c>
    </row>
    <row r="53" spans="1:7" x14ac:dyDescent="0.25">
      <c r="A53" s="11">
        <v>50</v>
      </c>
      <c r="B53" s="11" t="s">
        <v>3552</v>
      </c>
      <c r="C53" s="11" t="s">
        <v>3640</v>
      </c>
      <c r="D53" s="11" t="s">
        <v>3558</v>
      </c>
      <c r="E53" s="11" t="s">
        <v>2382</v>
      </c>
      <c r="F53" s="11" t="s">
        <v>2075</v>
      </c>
      <c r="G53" s="11" t="s">
        <v>3641</v>
      </c>
    </row>
    <row r="54" spans="1:7" x14ac:dyDescent="0.25">
      <c r="A54" s="11">
        <v>51</v>
      </c>
      <c r="B54" s="11" t="s">
        <v>3552</v>
      </c>
      <c r="C54" s="11" t="s">
        <v>3642</v>
      </c>
      <c r="D54" s="11" t="s">
        <v>3554</v>
      </c>
      <c r="E54" s="11" t="s">
        <v>2382</v>
      </c>
      <c r="F54" s="11" t="s">
        <v>3643</v>
      </c>
      <c r="G54" s="11" t="s">
        <v>3644</v>
      </c>
    </row>
    <row r="55" spans="1:7" x14ac:dyDescent="0.25">
      <c r="A55" s="11">
        <v>52</v>
      </c>
      <c r="B55" s="11" t="s">
        <v>3552</v>
      </c>
      <c r="C55" s="11" t="s">
        <v>3645</v>
      </c>
      <c r="D55" s="11" t="s">
        <v>3554</v>
      </c>
      <c r="E55" s="11" t="s">
        <v>2382</v>
      </c>
      <c r="F55" s="11" t="s">
        <v>2174</v>
      </c>
      <c r="G55" s="11" t="s">
        <v>3646</v>
      </c>
    </row>
    <row r="56" spans="1:7" x14ac:dyDescent="0.25">
      <c r="A56" s="11">
        <v>53</v>
      </c>
      <c r="B56" s="11" t="s">
        <v>3552</v>
      </c>
      <c r="C56" s="11" t="s">
        <v>3647</v>
      </c>
      <c r="D56" s="11" t="s">
        <v>3554</v>
      </c>
      <c r="E56" s="11" t="s">
        <v>2382</v>
      </c>
      <c r="F56" s="11" t="s">
        <v>2062</v>
      </c>
      <c r="G56" s="11" t="s">
        <v>3648</v>
      </c>
    </row>
    <row r="57" spans="1:7" x14ac:dyDescent="0.25">
      <c r="A57" s="11">
        <v>54</v>
      </c>
      <c r="B57" s="11" t="s">
        <v>3552</v>
      </c>
      <c r="C57" s="11" t="s">
        <v>3649</v>
      </c>
      <c r="D57" s="11" t="s">
        <v>3554</v>
      </c>
      <c r="E57" s="11" t="s">
        <v>2382</v>
      </c>
      <c r="F57" s="11" t="s">
        <v>2174</v>
      </c>
      <c r="G57" s="11" t="s">
        <v>3650</v>
      </c>
    </row>
    <row r="58" spans="1:7" x14ac:dyDescent="0.25">
      <c r="A58" s="11">
        <v>55</v>
      </c>
      <c r="B58" s="11" t="s">
        <v>3552</v>
      </c>
      <c r="C58" s="11" t="s">
        <v>3651</v>
      </c>
      <c r="D58" s="11" t="s">
        <v>3554</v>
      </c>
      <c r="E58" s="11" t="s">
        <v>2382</v>
      </c>
      <c r="F58" s="11" t="s">
        <v>2139</v>
      </c>
      <c r="G58" s="11" t="s">
        <v>3652</v>
      </c>
    </row>
    <row r="59" spans="1:7" x14ac:dyDescent="0.25">
      <c r="A59" s="11">
        <v>56</v>
      </c>
      <c r="B59" s="11" t="s">
        <v>3552</v>
      </c>
      <c r="C59" s="11" t="s">
        <v>3653</v>
      </c>
      <c r="D59" s="11" t="s">
        <v>3554</v>
      </c>
      <c r="E59" s="11" t="s">
        <v>2382</v>
      </c>
      <c r="F59" s="11" t="s">
        <v>3654</v>
      </c>
      <c r="G59" s="11" t="s">
        <v>3655</v>
      </c>
    </row>
    <row r="60" spans="1:7" x14ac:dyDescent="0.25">
      <c r="A60" s="11">
        <v>57</v>
      </c>
      <c r="B60" s="11" t="s">
        <v>3552</v>
      </c>
      <c r="C60" s="11" t="s">
        <v>3656</v>
      </c>
      <c r="D60" s="11" t="s">
        <v>3554</v>
      </c>
      <c r="E60" s="11" t="s">
        <v>2382</v>
      </c>
      <c r="F60" s="11" t="s">
        <v>3654</v>
      </c>
      <c r="G60" s="11" t="s">
        <v>3657</v>
      </c>
    </row>
    <row r="61" spans="1:7" x14ac:dyDescent="0.25">
      <c r="A61" s="11">
        <v>58</v>
      </c>
      <c r="B61" s="11" t="s">
        <v>3552</v>
      </c>
      <c r="C61" s="11" t="s">
        <v>3658</v>
      </c>
      <c r="D61" s="11" t="s">
        <v>3554</v>
      </c>
      <c r="E61" s="11" t="s">
        <v>2382</v>
      </c>
      <c r="F61" s="11" t="s">
        <v>3654</v>
      </c>
      <c r="G61" s="11" t="s">
        <v>3659</v>
      </c>
    </row>
    <row r="62" spans="1:7" x14ac:dyDescent="0.25">
      <c r="A62" s="11">
        <v>59</v>
      </c>
      <c r="B62" s="11" t="s">
        <v>3552</v>
      </c>
      <c r="C62" s="11" t="s">
        <v>3660</v>
      </c>
      <c r="D62" s="11" t="s">
        <v>3554</v>
      </c>
      <c r="E62" s="11" t="s">
        <v>2382</v>
      </c>
      <c r="F62" s="11" t="s">
        <v>3654</v>
      </c>
      <c r="G62" s="11" t="s">
        <v>3661</v>
      </c>
    </row>
    <row r="63" spans="1:7" x14ac:dyDescent="0.25">
      <c r="A63" s="11">
        <v>60</v>
      </c>
      <c r="B63" s="11" t="s">
        <v>3552</v>
      </c>
      <c r="C63" s="11" t="s">
        <v>3662</v>
      </c>
      <c r="D63" s="11" t="s">
        <v>3554</v>
      </c>
      <c r="E63" s="11" t="s">
        <v>2382</v>
      </c>
      <c r="F63" s="11" t="s">
        <v>3654</v>
      </c>
      <c r="G63" s="11" t="s">
        <v>3663</v>
      </c>
    </row>
    <row r="64" spans="1:7" x14ac:dyDescent="0.25">
      <c r="A64" s="11">
        <v>61</v>
      </c>
      <c r="B64" s="11" t="s">
        <v>3552</v>
      </c>
      <c r="C64" s="11" t="s">
        <v>3664</v>
      </c>
      <c r="D64" s="11" t="s">
        <v>3566</v>
      </c>
      <c r="E64" s="11" t="s">
        <v>2382</v>
      </c>
      <c r="F64" s="11" t="s">
        <v>3654</v>
      </c>
      <c r="G64" s="11" t="s">
        <v>3665</v>
      </c>
    </row>
    <row r="65" spans="1:7" x14ac:dyDescent="0.25">
      <c r="A65" s="11">
        <v>62</v>
      </c>
      <c r="B65" s="11" t="s">
        <v>3552</v>
      </c>
      <c r="C65" s="11" t="s">
        <v>3666</v>
      </c>
      <c r="D65" s="11" t="s">
        <v>3554</v>
      </c>
      <c r="E65" s="11" t="s">
        <v>2382</v>
      </c>
      <c r="F65" s="11" t="s">
        <v>3654</v>
      </c>
      <c r="G65" s="11" t="s">
        <v>3667</v>
      </c>
    </row>
    <row r="66" spans="1:7" x14ac:dyDescent="0.25">
      <c r="A66" s="11">
        <v>63</v>
      </c>
      <c r="B66" s="11" t="s">
        <v>3552</v>
      </c>
      <c r="C66" s="11" t="s">
        <v>3668</v>
      </c>
      <c r="D66" s="11" t="s">
        <v>3566</v>
      </c>
      <c r="E66" s="11" t="s">
        <v>2382</v>
      </c>
      <c r="F66" s="11" t="s">
        <v>2062</v>
      </c>
      <c r="G66" s="11" t="s">
        <v>3669</v>
      </c>
    </row>
    <row r="67" spans="1:7" x14ac:dyDescent="0.25">
      <c r="A67" s="11">
        <v>64</v>
      </c>
      <c r="B67" s="11" t="s">
        <v>3552</v>
      </c>
      <c r="C67" s="11" t="s">
        <v>3670</v>
      </c>
      <c r="D67" s="11" t="s">
        <v>3554</v>
      </c>
      <c r="E67" s="11" t="s">
        <v>3636</v>
      </c>
      <c r="F67" s="11" t="s">
        <v>2002</v>
      </c>
      <c r="G67" s="11" t="s">
        <v>3671</v>
      </c>
    </row>
    <row r="68" spans="1:7" x14ac:dyDescent="0.25">
      <c r="A68" s="11">
        <v>65</v>
      </c>
      <c r="B68" s="11" t="s">
        <v>3552</v>
      </c>
      <c r="C68" s="11" t="s">
        <v>3672</v>
      </c>
      <c r="D68" s="11" t="s">
        <v>3554</v>
      </c>
      <c r="E68" s="11" t="s">
        <v>3636</v>
      </c>
      <c r="F68" s="11" t="s">
        <v>2002</v>
      </c>
      <c r="G68" s="11" t="s">
        <v>3673</v>
      </c>
    </row>
    <row r="69" spans="1:7" x14ac:dyDescent="0.25">
      <c r="A69" s="11">
        <v>66</v>
      </c>
      <c r="B69" s="11" t="s">
        <v>3552</v>
      </c>
      <c r="C69" s="11" t="s">
        <v>3674</v>
      </c>
      <c r="D69" s="11" t="s">
        <v>3566</v>
      </c>
      <c r="E69" s="11" t="s">
        <v>3636</v>
      </c>
      <c r="F69" s="11" t="s">
        <v>2002</v>
      </c>
      <c r="G69" s="11" t="s">
        <v>3675</v>
      </c>
    </row>
    <row r="70" spans="1:7" x14ac:dyDescent="0.25">
      <c r="A70" s="11">
        <v>67</v>
      </c>
      <c r="B70" s="11" t="s">
        <v>3552</v>
      </c>
      <c r="C70" s="11" t="s">
        <v>3676</v>
      </c>
      <c r="D70" s="11" t="s">
        <v>3558</v>
      </c>
      <c r="E70" s="11" t="s">
        <v>3636</v>
      </c>
      <c r="F70" s="11" t="s">
        <v>2002</v>
      </c>
      <c r="G70" s="11" t="s">
        <v>3677</v>
      </c>
    </row>
    <row r="71" spans="1:7" x14ac:dyDescent="0.25">
      <c r="A71" s="11">
        <v>68</v>
      </c>
      <c r="B71" s="11" t="s">
        <v>3529</v>
      </c>
      <c r="C71" s="11" t="s">
        <v>3678</v>
      </c>
      <c r="D71" s="11" t="s">
        <v>3531</v>
      </c>
      <c r="E71" s="11" t="s">
        <v>2780</v>
      </c>
      <c r="F71" s="11" t="s">
        <v>1888</v>
      </c>
      <c r="G71" s="11" t="s">
        <v>3679</v>
      </c>
    </row>
    <row r="72" spans="1:7" x14ac:dyDescent="0.25">
      <c r="A72" s="11">
        <v>69</v>
      </c>
      <c r="B72" s="11" t="s">
        <v>3529</v>
      </c>
      <c r="C72" s="11" t="s">
        <v>3680</v>
      </c>
      <c r="D72" s="11" t="s">
        <v>3531</v>
      </c>
      <c r="E72" s="11" t="s">
        <v>2780</v>
      </c>
      <c r="F72" s="11" t="s">
        <v>1888</v>
      </c>
      <c r="G72" s="11" t="s">
        <v>3681</v>
      </c>
    </row>
    <row r="73" spans="1:7" x14ac:dyDescent="0.25">
      <c r="A73" s="11">
        <v>70</v>
      </c>
      <c r="B73" s="11" t="s">
        <v>3529</v>
      </c>
      <c r="C73" s="11" t="s">
        <v>3682</v>
      </c>
      <c r="D73" s="11" t="s">
        <v>3531</v>
      </c>
      <c r="E73" s="11" t="s">
        <v>2382</v>
      </c>
      <c r="F73" s="11" t="s">
        <v>2062</v>
      </c>
      <c r="G73" s="11" t="s">
        <v>3683</v>
      </c>
    </row>
    <row r="74" spans="1:7" x14ac:dyDescent="0.25">
      <c r="A74" s="11">
        <v>71</v>
      </c>
      <c r="B74" s="11" t="s">
        <v>3529</v>
      </c>
      <c r="C74" s="11" t="s">
        <v>3684</v>
      </c>
      <c r="D74" s="11" t="s">
        <v>3531</v>
      </c>
      <c r="E74" s="11" t="s">
        <v>2382</v>
      </c>
      <c r="F74" s="11" t="s">
        <v>2002</v>
      </c>
      <c r="G74" s="11" t="s">
        <v>3685</v>
      </c>
    </row>
  </sheetData>
  <autoFilter ref="A3:G74"/>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FormatPr defaultRowHeight="15" outlineLevelRow="0" outlineLevelCol="0" x14ac:dyDescent="55"/>
  <cols>
    <col min="1" max="1" width="16" customWidth="1"/>
    <col min="2" max="2" width="14" customWidth="1"/>
    <col min="3" max="3" width="12" customWidth="1"/>
    <col min="4" max="4" width="120" customWidth="1"/>
  </cols>
  <sheetData>
    <row r="1" spans="1:1" x14ac:dyDescent="0.25">
      <c r="A1" s="1" t="s">
        <v>3686</v>
      </c>
    </row>
    <row r="2" spans="1:1" x14ac:dyDescent="0.25">
      <c r="A2" s="2" t="s">
        <v>3687</v>
      </c>
    </row>
    <row r="4" spans="1:1" x14ac:dyDescent="0.25">
      <c r="A4" s="3" t="s">
        <v>3688</v>
      </c>
    </row>
    <row r="5" spans="1:4" x14ac:dyDescent="0.25">
      <c r="A5" s="4" t="s">
        <v>3689</v>
      </c>
      <c r="B5" s="4" t="s">
        <v>3690</v>
      </c>
      <c r="C5" s="4" t="s">
        <v>3691</v>
      </c>
      <c r="D5" s="4" t="s">
        <v>3692</v>
      </c>
    </row>
    <row r="6" spans="1:4" x14ac:dyDescent="0.25">
      <c r="A6" s="11" t="s">
        <v>3693</v>
      </c>
      <c r="B6" s="11" t="s">
        <v>3694</v>
      </c>
      <c r="C6" s="11" t="s">
        <v>3695</v>
      </c>
      <c r="D6" s="11" t="s">
        <v>3696</v>
      </c>
    </row>
    <row r="7" spans="1:4" x14ac:dyDescent="0.25">
      <c r="A7" s="11" t="s">
        <v>3697</v>
      </c>
      <c r="B7" s="11" t="s">
        <v>1989</v>
      </c>
      <c r="C7" s="11" t="s">
        <v>3698</v>
      </c>
      <c r="D7" s="11" t="s">
        <v>3699</v>
      </c>
    </row>
    <row r="8" spans="1:4" x14ac:dyDescent="0.25">
      <c r="A8" s="11" t="s">
        <v>3700</v>
      </c>
      <c r="B8" s="11" t="s">
        <v>2207</v>
      </c>
      <c r="C8" s="11" t="s">
        <v>3701</v>
      </c>
      <c r="D8" s="11" t="s">
        <v>3702</v>
      </c>
    </row>
    <row r="9" spans="1:4" x14ac:dyDescent="0.25">
      <c r="A9" s="11" t="s">
        <v>3703</v>
      </c>
      <c r="B9" s="11" t="s">
        <v>1982</v>
      </c>
      <c r="C9" s="11" t="s">
        <v>3704</v>
      </c>
      <c r="D9" s="11" t="s">
        <v>3705</v>
      </c>
    </row>
    <row r="10" spans="1:4" x14ac:dyDescent="0.25">
      <c r="A10" s="11" t="s">
        <v>3706</v>
      </c>
      <c r="B10" s="11" t="s">
        <v>2042</v>
      </c>
      <c r="C10" s="11" t="s">
        <v>3707</v>
      </c>
      <c r="D10" s="11" t="s">
        <v>3708</v>
      </c>
    </row>
    <row r="11" spans="1:4" x14ac:dyDescent="0.25">
      <c r="A11" s="11" t="s">
        <v>3709</v>
      </c>
      <c r="B11" s="11" t="s">
        <v>1995</v>
      </c>
      <c r="C11" s="11" t="s">
        <v>3710</v>
      </c>
      <c r="D11" s="11" t="s">
        <v>3711</v>
      </c>
    </row>
    <row r="12" spans="1:4" x14ac:dyDescent="0.25">
      <c r="A12" s="11" t="s">
        <v>3712</v>
      </c>
      <c r="B12" s="11" t="s">
        <v>2150</v>
      </c>
      <c r="C12" s="11" t="s">
        <v>3713</v>
      </c>
      <c r="D12" s="11" t="s">
        <v>3714</v>
      </c>
    </row>
    <row r="13" spans="1:4" x14ac:dyDescent="0.25">
      <c r="A13" s="11" t="s">
        <v>3715</v>
      </c>
      <c r="B13" s="11" t="s">
        <v>3716</v>
      </c>
      <c r="C13" s="11" t="s">
        <v>3717</v>
      </c>
      <c r="D13" s="11" t="s">
        <v>3718</v>
      </c>
    </row>
    <row r="14" spans="1:4" x14ac:dyDescent="0.25">
      <c r="A14" s="11" t="s">
        <v>3719</v>
      </c>
      <c r="B14" s="11" t="s">
        <v>1894</v>
      </c>
      <c r="C14" s="11" t="s">
        <v>3720</v>
      </c>
      <c r="D14" s="11" t="s">
        <v>3721</v>
      </c>
    </row>
    <row r="15" spans="1:4" x14ac:dyDescent="0.25">
      <c r="A15" s="11" t="s">
        <v>3722</v>
      </c>
      <c r="B15" s="11" t="s">
        <v>1767</v>
      </c>
      <c r="C15" s="11" t="s">
        <v>3723</v>
      </c>
      <c r="D15" s="11" t="s">
        <v>3724</v>
      </c>
    </row>
    <row r="17" spans="1:1" x14ac:dyDescent="0.25">
      <c r="A17" s="3" t="s">
        <v>3725</v>
      </c>
    </row>
    <row r="18" spans="1:3" x14ac:dyDescent="0.25">
      <c r="A18" s="4" t="s">
        <v>3726</v>
      </c>
      <c r="B18" s="4" t="s">
        <v>3727</v>
      </c>
      <c r="C18" s="4" t="s">
        <v>3728</v>
      </c>
    </row>
    <row r="19" spans="1:3" x14ac:dyDescent="0.25">
      <c r="A19" s="11" t="s">
        <v>3729</v>
      </c>
      <c r="B19" s="11" t="s">
        <v>3730</v>
      </c>
      <c r="C19" s="11" t="s">
        <v>3731</v>
      </c>
    </row>
    <row r="21" spans="1:1" x14ac:dyDescent="0.25">
      <c r="A21" s="3" t="s">
        <v>3732</v>
      </c>
    </row>
    <row r="22" spans="1:4" x14ac:dyDescent="0.25">
      <c r="A22" s="4" t="s">
        <v>118</v>
      </c>
      <c r="B22" s="4" t="s">
        <v>3692</v>
      </c>
      <c r="C22" s="4" t="s">
        <v>3733</v>
      </c>
      <c r="D22" s="4" t="s">
        <v>3734</v>
      </c>
    </row>
    <row r="23" spans="1:4" x14ac:dyDescent="0.25">
      <c r="A23" s="11" t="s">
        <v>3735</v>
      </c>
      <c r="B23" s="11" t="s">
        <v>3736</v>
      </c>
      <c r="C23" s="11" t="s">
        <v>3737</v>
      </c>
      <c r="D23" s="11" t="s">
        <v>3738</v>
      </c>
    </row>
    <row r="24" spans="1:4" x14ac:dyDescent="0.25">
      <c r="A24" s="11" t="s">
        <v>3739</v>
      </c>
      <c r="B24" s="11" t="s">
        <v>3740</v>
      </c>
      <c r="C24" s="11" t="s">
        <v>142</v>
      </c>
      <c r="D24" s="11" t="s">
        <v>3741</v>
      </c>
    </row>
    <row r="25" spans="1:4" x14ac:dyDescent="0.25">
      <c r="A25" s="11" t="s">
        <v>3742</v>
      </c>
      <c r="B25" s="11" t="s">
        <v>3743</v>
      </c>
      <c r="C25" s="11" t="s">
        <v>142</v>
      </c>
      <c r="D25" s="11" t="s">
        <v>3744</v>
      </c>
    </row>
    <row r="26" spans="1:4" x14ac:dyDescent="0.25">
      <c r="A26" s="11" t="s">
        <v>3745</v>
      </c>
      <c r="B26" s="11" t="s">
        <v>3746</v>
      </c>
      <c r="C26" s="11" t="s">
        <v>3747</v>
      </c>
      <c r="D26" s="11" t="s">
        <v>3748</v>
      </c>
    </row>
    <row r="27" spans="1:4" x14ac:dyDescent="0.25">
      <c r="A27" s="11" t="s">
        <v>142</v>
      </c>
      <c r="B27" s="11" t="s">
        <v>3749</v>
      </c>
      <c r="C27" s="11" t="s">
        <v>3750</v>
      </c>
      <c r="D27" s="11" t="s">
        <v>3751</v>
      </c>
    </row>
    <row r="29" spans="1:1" x14ac:dyDescent="0.25">
      <c r="A29" s="3" t="s">
        <v>3752</v>
      </c>
    </row>
    <row r="30" spans="1:2" x14ac:dyDescent="0.25">
      <c r="A30" s="4" t="s">
        <v>3006</v>
      </c>
      <c r="B30" s="4" t="s">
        <v>3007</v>
      </c>
    </row>
    <row r="31" spans="1:2" x14ac:dyDescent="0.25">
      <c r="A31" s="11" t="s">
        <v>3009</v>
      </c>
      <c r="B31" s="11" t="s">
        <v>3753</v>
      </c>
    </row>
    <row r="32" spans="1:2" x14ac:dyDescent="0.25">
      <c r="A32" s="11" t="s">
        <v>3013</v>
      </c>
      <c r="B32" s="11" t="s">
        <v>3754</v>
      </c>
    </row>
    <row r="33" spans="1:2" x14ac:dyDescent="0.25">
      <c r="A33" s="11" t="s">
        <v>3016</v>
      </c>
      <c r="B33" s="11" t="s">
        <v>3755</v>
      </c>
    </row>
    <row r="34" spans="1:2" x14ac:dyDescent="0.25">
      <c r="A34" s="11" t="s">
        <v>3018</v>
      </c>
      <c r="B34" s="11" t="s">
        <v>3756</v>
      </c>
    </row>
    <row r="35" spans="1:2" x14ac:dyDescent="0.25">
      <c r="A35" s="11" t="s">
        <v>3020</v>
      </c>
      <c r="B35" s="11" t="s">
        <v>3757</v>
      </c>
    </row>
    <row r="37" spans="1:1" x14ac:dyDescent="0.25">
      <c r="A37" s="3" t="s">
        <v>3758</v>
      </c>
    </row>
    <row r="38" spans="1:2" x14ac:dyDescent="0.25">
      <c r="A38" s="4" t="s">
        <v>3759</v>
      </c>
      <c r="B38" s="4" t="s">
        <v>3760</v>
      </c>
    </row>
    <row r="39" spans="1:2" x14ac:dyDescent="0.25">
      <c r="A39" s="11" t="s">
        <v>3761</v>
      </c>
      <c r="B39" s="11" t="s">
        <v>3762</v>
      </c>
    </row>
    <row r="40" spans="1:2" x14ac:dyDescent="0.25">
      <c r="A40" s="11" t="s">
        <v>3763</v>
      </c>
      <c r="B40" s="11" t="s">
        <v>3764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FormatPr defaultRowHeight="15" outlineLevelRow="0" outlineLevelCol="0" x14ac:dyDescent="55"/>
  <cols>
    <col min="1" max="1" width="34" customWidth="1"/>
    <col min="2" max="2" width="26" customWidth="1"/>
    <col min="3" max="3" width="24" customWidth="1"/>
    <col min="4" max="4" width="30" customWidth="1"/>
    <col min="5" max="5" width="34" customWidth="1"/>
  </cols>
  <sheetData>
    <row r="1" spans="1:1" x14ac:dyDescent="0.25">
      <c r="A1" s="1" t="s">
        <v>3765</v>
      </c>
    </row>
    <row r="3" spans="1:1" x14ac:dyDescent="0.25">
      <c r="A3" s="3" t="s">
        <v>3766</v>
      </c>
    </row>
    <row r="4" spans="1:5" x14ac:dyDescent="0.25">
      <c r="A4" s="4" t="s">
        <v>3529</v>
      </c>
      <c r="B4" s="4" t="s">
        <v>3767</v>
      </c>
      <c r="C4" s="4" t="s">
        <v>3768</v>
      </c>
      <c r="D4" s="4" t="s">
        <v>3769</v>
      </c>
      <c r="E4" s="4" t="s">
        <v>3770</v>
      </c>
    </row>
    <row r="5" spans="1:5" x14ac:dyDescent="0.25">
      <c r="A5" s="11" t="s">
        <v>3771</v>
      </c>
      <c r="B5" s="11" t="s">
        <v>3772</v>
      </c>
      <c r="C5" s="11" t="s">
        <v>3773</v>
      </c>
      <c r="D5" s="11" t="s">
        <v>3774</v>
      </c>
      <c r="E5" s="11" t="s">
        <v>3775</v>
      </c>
    </row>
    <row r="6" spans="1:5" x14ac:dyDescent="0.25">
      <c r="A6" s="11" t="s">
        <v>3776</v>
      </c>
      <c r="B6" s="11" t="s">
        <v>142</v>
      </c>
      <c r="C6" s="11" t="s">
        <v>3777</v>
      </c>
      <c r="D6" s="11" t="s">
        <v>3778</v>
      </c>
      <c r="E6" s="11" t="s">
        <v>3779</v>
      </c>
    </row>
    <row r="7" spans="1:5" x14ac:dyDescent="0.25">
      <c r="A7" s="11" t="s">
        <v>3780</v>
      </c>
      <c r="B7" s="11" t="s">
        <v>142</v>
      </c>
      <c r="C7" s="11" t="s">
        <v>3781</v>
      </c>
      <c r="D7" s="11" t="s">
        <v>3778</v>
      </c>
      <c r="E7" s="11" t="s">
        <v>3779</v>
      </c>
    </row>
    <row r="8" spans="1:5" x14ac:dyDescent="0.25">
      <c r="A8" s="11" t="s">
        <v>3782</v>
      </c>
      <c r="B8" s="11" t="s">
        <v>142</v>
      </c>
      <c r="C8" s="11" t="s">
        <v>3783</v>
      </c>
      <c r="D8" s="11" t="s">
        <v>142</v>
      </c>
      <c r="E8" s="11" t="s">
        <v>142</v>
      </c>
    </row>
    <row r="9" spans="1:5" x14ac:dyDescent="0.25">
      <c r="A9" s="11" t="s">
        <v>3784</v>
      </c>
      <c r="B9" s="11" t="s">
        <v>142</v>
      </c>
      <c r="C9" s="11" t="s">
        <v>3785</v>
      </c>
      <c r="D9" s="11" t="s">
        <v>142</v>
      </c>
      <c r="E9" s="11" t="s">
        <v>3786</v>
      </c>
    </row>
    <row r="10" spans="1:5" x14ac:dyDescent="0.25">
      <c r="A10" s="11" t="s">
        <v>3787</v>
      </c>
      <c r="B10" s="11" t="s">
        <v>3788</v>
      </c>
      <c r="C10" s="11" t="s">
        <v>3789</v>
      </c>
      <c r="D10" s="11" t="s">
        <v>3789</v>
      </c>
      <c r="E10" s="11" t="s">
        <v>3790</v>
      </c>
    </row>
    <row r="11" spans="1:5" x14ac:dyDescent="0.25">
      <c r="A11" s="11" t="s">
        <v>3791</v>
      </c>
      <c r="B11" s="11" t="s">
        <v>3792</v>
      </c>
      <c r="C11" s="11" t="s">
        <v>3793</v>
      </c>
      <c r="D11" s="11" t="s">
        <v>3794</v>
      </c>
      <c r="E11" s="11" t="s">
        <v>142</v>
      </c>
    </row>
    <row r="13" spans="1:1" x14ac:dyDescent="0.25">
      <c r="A13" s="3" t="s">
        <v>3795</v>
      </c>
    </row>
    <row r="14" spans="1:5" x14ac:dyDescent="0.25">
      <c r="A14" s="4" t="s">
        <v>118</v>
      </c>
      <c r="B14" s="4" t="s">
        <v>3796</v>
      </c>
      <c r="C14" s="4" t="s">
        <v>6</v>
      </c>
      <c r="D14" s="4" t="s">
        <v>119</v>
      </c>
      <c r="E14" s="4" t="s">
        <v>3797</v>
      </c>
    </row>
    <row r="15" spans="1:5" x14ac:dyDescent="0.25">
      <c r="A15" s="11" t="s">
        <v>3798</v>
      </c>
      <c r="B15" s="11" t="s">
        <v>3799</v>
      </c>
      <c r="C15" s="11" t="s">
        <v>11</v>
      </c>
      <c r="D15" s="11" t="s">
        <v>2202</v>
      </c>
      <c r="E15" s="11" t="s">
        <v>3800</v>
      </c>
    </row>
    <row r="16" spans="1:5" x14ac:dyDescent="0.25">
      <c r="A16" s="11" t="s">
        <v>3801</v>
      </c>
      <c r="B16" s="11" t="s">
        <v>3802</v>
      </c>
      <c r="C16" s="11" t="s">
        <v>13</v>
      </c>
      <c r="D16" s="11" t="s">
        <v>2210</v>
      </c>
      <c r="E16" s="11" t="s">
        <v>142</v>
      </c>
    </row>
    <row r="17" spans="1:5" x14ac:dyDescent="0.25">
      <c r="A17" s="11" t="s">
        <v>2227</v>
      </c>
      <c r="B17" s="11" t="s">
        <v>3803</v>
      </c>
      <c r="C17" s="11" t="s">
        <v>13</v>
      </c>
      <c r="D17" s="11" t="s">
        <v>2217</v>
      </c>
      <c r="E17" s="11" t="s">
        <v>3804</v>
      </c>
    </row>
    <row r="18" spans="1:5" x14ac:dyDescent="0.25">
      <c r="A18" s="11" t="s">
        <v>3805</v>
      </c>
      <c r="B18" s="11" t="s">
        <v>3806</v>
      </c>
      <c r="C18" s="11" t="s">
        <v>11</v>
      </c>
      <c r="D18" s="11" t="s">
        <v>2202</v>
      </c>
      <c r="E18" s="11" t="s">
        <v>3807</v>
      </c>
    </row>
    <row r="19" spans="1:5" x14ac:dyDescent="0.25">
      <c r="A19" s="11" t="s">
        <v>2903</v>
      </c>
      <c r="B19" s="11" t="s">
        <v>3808</v>
      </c>
      <c r="C19" s="11" t="s">
        <v>13</v>
      </c>
      <c r="D19" s="11" t="s">
        <v>2223</v>
      </c>
      <c r="E19" s="11" t="s">
        <v>3809</v>
      </c>
    </row>
    <row r="20" spans="1:5" x14ac:dyDescent="0.25">
      <c r="A20" s="11" t="s">
        <v>3810</v>
      </c>
      <c r="B20" s="11" t="s">
        <v>3811</v>
      </c>
      <c r="C20" s="11" t="s">
        <v>14</v>
      </c>
      <c r="D20" s="11" t="s">
        <v>2229</v>
      </c>
      <c r="E20" s="11" t="s">
        <v>3812</v>
      </c>
    </row>
    <row r="21" spans="1:5" x14ac:dyDescent="0.25">
      <c r="A21" s="11" t="s">
        <v>3813</v>
      </c>
      <c r="B21" s="11" t="s">
        <v>3814</v>
      </c>
      <c r="C21" s="11" t="s">
        <v>13</v>
      </c>
      <c r="D21" s="11" t="s">
        <v>2236</v>
      </c>
      <c r="E21" s="11" t="s">
        <v>142</v>
      </c>
    </row>
    <row r="22" spans="1:5" x14ac:dyDescent="0.25">
      <c r="A22" s="11" t="s">
        <v>3815</v>
      </c>
      <c r="B22" s="11" t="s">
        <v>3816</v>
      </c>
      <c r="C22" s="11" t="s">
        <v>14</v>
      </c>
      <c r="D22" s="11" t="s">
        <v>2241</v>
      </c>
      <c r="E22" s="11" t="s">
        <v>3817</v>
      </c>
    </row>
    <row r="23" spans="1:5" x14ac:dyDescent="0.25">
      <c r="A23" s="11" t="s">
        <v>3818</v>
      </c>
      <c r="B23" s="11" t="s">
        <v>3819</v>
      </c>
      <c r="C23" s="11" t="s">
        <v>11</v>
      </c>
      <c r="D23" s="11" t="s">
        <v>2128</v>
      </c>
      <c r="E23" s="11" t="s">
        <v>3820</v>
      </c>
    </row>
    <row r="24" spans="1:5" x14ac:dyDescent="0.25">
      <c r="A24" s="11" t="s">
        <v>3821</v>
      </c>
      <c r="B24" s="11" t="s">
        <v>3822</v>
      </c>
      <c r="C24" s="11" t="s">
        <v>11</v>
      </c>
      <c r="D24" s="11" t="s">
        <v>2119</v>
      </c>
      <c r="E24" s="11" t="s">
        <v>3823</v>
      </c>
    </row>
    <row r="26" spans="1:1" x14ac:dyDescent="0.25">
      <c r="A26" s="3" t="s">
        <v>3824</v>
      </c>
    </row>
    <row r="27" spans="1:6" x14ac:dyDescent="0.25">
      <c r="A27" s="4" t="s">
        <v>3825</v>
      </c>
      <c r="B27" s="4" t="s">
        <v>3826</v>
      </c>
      <c r="C27" s="4" t="s">
        <v>3827</v>
      </c>
      <c r="D27" s="4" t="s">
        <v>3828</v>
      </c>
      <c r="E27" s="4" t="s">
        <v>3829</v>
      </c>
      <c r="F27" s="4" t="s">
        <v>3830</v>
      </c>
    </row>
    <row r="28" spans="1:6" x14ac:dyDescent="0.25">
      <c r="A28" s="11" t="s">
        <v>3831</v>
      </c>
      <c r="B28" s="11" t="s">
        <v>3832</v>
      </c>
      <c r="C28" s="11" t="s">
        <v>3833</v>
      </c>
      <c r="D28" s="11" t="s">
        <v>3834</v>
      </c>
      <c r="E28" s="11" t="s">
        <v>3835</v>
      </c>
      <c r="F28" s="11" t="s">
        <v>3836</v>
      </c>
    </row>
    <row r="29" spans="1:6" x14ac:dyDescent="0.25">
      <c r="A29" s="11" t="s">
        <v>3837</v>
      </c>
      <c r="B29" s="11" t="s">
        <v>3838</v>
      </c>
      <c r="C29" s="11" t="s">
        <v>3839</v>
      </c>
      <c r="D29" s="11" t="s">
        <v>3840</v>
      </c>
      <c r="E29" s="11" t="s">
        <v>3841</v>
      </c>
      <c r="F29" s="11" t="s">
        <v>3842</v>
      </c>
    </row>
    <row r="31" spans="1:1" x14ac:dyDescent="0.25">
      <c r="A31" s="3" t="s">
        <v>3843</v>
      </c>
    </row>
    <row r="32" spans="1:4" x14ac:dyDescent="0.25">
      <c r="A32" s="4" t="s">
        <v>118</v>
      </c>
      <c r="B32" s="4" t="s">
        <v>3726</v>
      </c>
      <c r="C32" s="4" t="s">
        <v>3844</v>
      </c>
      <c r="D32" s="4" t="s">
        <v>3845</v>
      </c>
    </row>
    <row r="33" spans="1:4" x14ac:dyDescent="0.25">
      <c r="A33" s="11">
        <v>1</v>
      </c>
      <c r="B33" s="11" t="s">
        <v>3846</v>
      </c>
      <c r="C33" s="11" t="s">
        <v>2756</v>
      </c>
      <c r="D33" s="11" t="s">
        <v>1090</v>
      </c>
    </row>
    <row r="34" spans="1:4" x14ac:dyDescent="0.25">
      <c r="A34" s="11">
        <v>2</v>
      </c>
      <c r="B34" s="11" t="s">
        <v>3847</v>
      </c>
      <c r="C34" s="11" t="s">
        <v>3848</v>
      </c>
      <c r="D34" s="11" t="s">
        <v>3849</v>
      </c>
    </row>
    <row r="35" spans="1:4" x14ac:dyDescent="0.25">
      <c r="A35" s="11">
        <v>3</v>
      </c>
      <c r="B35" s="11" t="s">
        <v>3850</v>
      </c>
      <c r="C35" s="11" t="s">
        <v>3851</v>
      </c>
      <c r="D35" s="11" t="s">
        <v>3852</v>
      </c>
    </row>
    <row r="36" spans="1:4" x14ac:dyDescent="0.25">
      <c r="A36" s="11">
        <v>4</v>
      </c>
      <c r="B36" s="11" t="s">
        <v>3853</v>
      </c>
      <c r="C36" s="11" t="s">
        <v>3854</v>
      </c>
      <c r="D36" s="11" t="s">
        <v>3855</v>
      </c>
    </row>
    <row r="37" spans="1:4" x14ac:dyDescent="0.25">
      <c r="A37" s="11">
        <v>5</v>
      </c>
      <c r="B37" s="11" t="s">
        <v>3856</v>
      </c>
      <c r="C37" s="11" t="s">
        <v>2756</v>
      </c>
      <c r="D37" s="11" t="s">
        <v>1110</v>
      </c>
    </row>
  </sheetData>
  <conditionalFormatting sqref="C15:C24">
    <cfRule type="cellIs" dxfId="24" priority="2" operator="equal">
      <formula>"COMPLETED"</formula>
    </cfRule>
    <cfRule type="cellIs" dxfId="25" priority="3" operator="equal">
      <formula>"IN PROGRESS"</formula>
    </cfRule>
    <cfRule type="cellIs" dxfId="26" priority="4" operator="equal">
      <formula>"YET TO START"</formula>
    </cfRule>
    <cfRule type="cellIs" dxfId="27" priority="5" operator="equal">
      <formula>"BLOCKED"</formula>
    </cfRule>
  </conditionalFormatting>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70" customWidth="1"/>
    <col min="2" max="2" width="110" customWidth="1"/>
  </cols>
  <sheetData>
    <row r="1" spans="1:1" x14ac:dyDescent="0.25">
      <c r="A1" s="1" t="s">
        <v>5396</v>
      </c>
    </row>
    <row r="3" spans="1:2" x14ac:dyDescent="0.25">
      <c r="A3" s="4" t="s">
        <v>3026</v>
      </c>
      <c r="B3" s="4" t="s">
        <v>5397</v>
      </c>
    </row>
    <row r="4" spans="1:2" x14ac:dyDescent="0.25">
      <c r="A4" s="11" t="s">
        <v>5398</v>
      </c>
      <c r="B4" s="11" t="s">
        <v>5399</v>
      </c>
    </row>
    <row r="5" spans="1:2" x14ac:dyDescent="0.25">
      <c r="A5" s="11" t="s">
        <v>5400</v>
      </c>
      <c r="B5" s="11" t="s">
        <v>5401</v>
      </c>
    </row>
    <row r="6" spans="1:2" x14ac:dyDescent="0.25">
      <c r="A6" s="11" t="s">
        <v>5402</v>
      </c>
      <c r="B6" s="11" t="s">
        <v>5403</v>
      </c>
    </row>
    <row r="7" spans="1:2" x14ac:dyDescent="0.25">
      <c r="A7" s="11" t="s">
        <v>5404</v>
      </c>
      <c r="B7" s="11" t="s">
        <v>5405</v>
      </c>
    </row>
    <row r="8" spans="1:2" x14ac:dyDescent="0.25">
      <c r="A8" s="11" t="s">
        <v>5406</v>
      </c>
      <c r="B8" s="11" t="s">
        <v>5407</v>
      </c>
    </row>
    <row r="9" spans="1:2" x14ac:dyDescent="0.25">
      <c r="A9" s="11" t="s">
        <v>5408</v>
      </c>
      <c r="B9" s="11" t="s">
        <v>5409</v>
      </c>
    </row>
    <row r="10" spans="1:2" x14ac:dyDescent="0.25">
      <c r="A10" s="11" t="s">
        <v>2127</v>
      </c>
      <c r="B10" s="11" t="s">
        <v>5410</v>
      </c>
    </row>
    <row r="11" spans="1:2" x14ac:dyDescent="0.25">
      <c r="A11" s="11" t="s">
        <v>5411</v>
      </c>
      <c r="B11" s="11" t="s">
        <v>5412</v>
      </c>
    </row>
    <row r="12" spans="1:2" x14ac:dyDescent="0.25">
      <c r="A12" s="11" t="s">
        <v>5413</v>
      </c>
      <c r="B12" s="11" t="s">
        <v>5414</v>
      </c>
    </row>
    <row r="13" spans="1:2" x14ac:dyDescent="0.25">
      <c r="A13" s="11" t="s">
        <v>5415</v>
      </c>
      <c r="B13" s="11" t="s">
        <v>5416</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FormatPr defaultRowHeight="15" outlineLevelRow="0" outlineLevelCol="0" x14ac:dyDescent="55"/>
  <cols>
    <col min="1" max="1" width="14" customWidth="1"/>
  </cols>
  <sheetData>
    <row r="1" spans="1:1" x14ac:dyDescent="0.25">
      <c r="A1" s="1" t="s">
        <v>113</v>
      </c>
    </row>
    <row r="2" spans="1:1" x14ac:dyDescent="0.25">
      <c r="A2" s="2" t="s">
        <v>114</v>
      </c>
    </row>
    <row r="4" spans="1:1" x14ac:dyDescent="0.25">
      <c r="A4" s="3" t="s">
        <v>115</v>
      </c>
    </row>
    <row r="29" spans="1:1" x14ac:dyDescent="0.25">
      <c r="A29" s="3" t="s">
        <v>116</v>
      </c>
    </row>
    <row r="53" spans="1:1" x14ac:dyDescent="0.25">
      <c r="A53" s="3" t="s">
        <v>117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Flow Diagram</vt:lpstr>
      <vt:lpstr>Feature Register</vt:lpstr>
      <vt:lpstr>Process Flow Tree</vt:lpstr>
      <vt:lpstr>Dealer Programme</vt:lpstr>
      <vt:lpstr>New Functions</vt:lpstr>
      <vt:lpstr>New Routes &amp; Pages</vt:lpstr>
      <vt:lpstr>Pending for Production</vt:lpstr>
      <vt:lpstr>Performance &amp; DB</vt:lpstr>
      <vt:lpstr>Blockers &amp; Decisions</vt:lpstr>
      <vt:lpstr>PR Register</vt:lpstr>
      <vt:lpstr>Batch 2026-10</vt:lpstr>
      <vt:lpstr>Bulk Product Upload</vt:lpstr>
      <vt:lpstr>Inventory &amp; Accounting</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language>en-US</dc:language>
  <cp:lastModifiedBy>Unknown</cp:lastModifiedBy>
  <dcterms:created xsi:type="dcterms:W3CDTF">2026-10-08T18:11:33Z</dcterms:created>
  <dcterms:modified xsi:type="dcterms:W3CDTF">2026-10-29T14:22:10Z</dcterms:modified>
</cp:coreProperties>
</file>