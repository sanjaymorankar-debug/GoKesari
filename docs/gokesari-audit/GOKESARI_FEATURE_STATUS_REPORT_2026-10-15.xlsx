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Feature Register" sheetId="3" state="visible" r:id="rId3"/>
    <sheet xmlns:r="http://schemas.openxmlformats.org/officeDocument/2006/relationships" name="Process Flow Tree" sheetId="4" state="visible" r:id="rId4"/>
    <sheet xmlns:r="http://schemas.openxmlformats.org/officeDocument/2006/relationships" name="PR Register" sheetId="5" state="visible" r:id="rId5"/>
    <sheet xmlns:r="http://schemas.openxmlformats.org/officeDocument/2006/relationships" name="Blockers &amp; Decisions" sheetId="6" state="visible" r:id="rId6"/>
  </sheets>
  <definedNames>
    <definedName name="_xlnm._FilterDatabase" localSheetId="2" hidden="1">'Feature Register'!$A$1:$R$268</definedName>
    <definedName name="_xlnm.Print_Titles" localSheetId="2">'Feature Register'!$1:$1</definedName>
    <definedName name="_xlnm._FilterDatabase" localSheetId="3" hidden="1">'Process Flow Tree'!$A$4:$I$217</definedName>
    <definedName name="_xlnm.Print_Titles" localSheetId="3">'Process Flow Tree'!$4:$4</definedName>
    <definedName name="_xlnm._FilterDatabase" localSheetId="4" hidden="1">'PR Register'!$A$1:$L$172</definedName>
    <definedName name="_xlnm.Print_Titles" localSheetId="4">'PR Register'!$1:$1</definedName>
    <definedName name="_xlnm._FilterDatabase" localSheetId="5" hidden="1">'Blockers &amp; Decisions'!$A$1:$H$47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
      <b val="1"/>
      <sz val="13"/>
    </font>
    <font>
      <b val="1"/>
      <color rgb="00FFFFFF"/>
    </font>
  </fonts>
  <fills count="8">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
      <patternFill patternType="solid">
        <fgColor rgb="00C2410C"/>
      </patternFill>
    </fill>
    <fill>
      <patternFill patternType="solid">
        <fgColor rgb="00FEF3C7"/>
      </patternFill>
    </fill>
    <fill>
      <patternFill patternType="solid">
        <fgColor rgb="00FECACA"/>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12" fillId="0" borderId="0" pivotButton="0" quotePrefix="0" xfId="0"/>
    <xf numFmtId="0" fontId="13" fillId="5"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s>
</file>

<file path=xl/worksheets/sheet1.xml><?xml version="1.0" encoding="utf-8"?>
<worksheet xmlns="http://schemas.openxmlformats.org/spreadsheetml/2006/main">
  <sheetPr filterMode="0">
    <tabColor rgb="FF065F46"/>
    <outlinePr summaryBelow="1" summaryRight="1"/>
    <pageSetUpPr fitToPage="1"/>
  </sheetPr>
  <dimension ref="A1:G89"/>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06:45 UTC. Production = main @78e7e06 (gokesari.com, migrations to 0075; no code change since 14 Oct). Test site = staging @a3ae8dd (migrations to 0076) - ahead of production by #168, #169 and #171. Open PR: #170 (docs). Bulk Product Upload (#173/#174): see sheet "Bulk Product Upload". Updated 15 Oct: #169 (browser document reading) released to gokesari.com via #175 / #177 and verified on test and production.</t>
        </is>
      </c>
    </row>
    <row r="3" ht="24" customHeight="1" s="24">
      <c r="A3" s="26" t="inlineStr">
        <is>
          <t>Baseline = the 14 Oct status report (262 features), plus PRs #164-#171 (one docs-only release to gokesari.com, #165).</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14 Oct' is unchanged for comparison.</t>
        </is>
      </c>
    </row>
    <row r="6"/>
    <row r="7" ht="15" customHeight="1" s="24">
      <c r="A7" s="27" t="inlineStr">
        <is>
          <t>1. Features by status</t>
        </is>
      </c>
    </row>
    <row r="8" ht="15" customHeight="1" s="24">
      <c r="A8" s="28" t="inlineStr">
        <is>
          <t>Status</t>
        </is>
      </c>
      <c r="B8" s="28" t="inlineStr">
        <is>
          <t>Features</t>
        </is>
      </c>
      <c r="C8" s="28" t="inlineStr">
        <is>
          <t>% of total</t>
        </is>
      </c>
      <c r="D8" s="28" t="inlineStr">
        <is>
          <t>Status 14 Oct</t>
        </is>
      </c>
      <c r="E8" s="28" t="inlineStr">
        <is>
          <t>Meaning</t>
        </is>
      </c>
      <c r="F8" s="29" t="n"/>
      <c r="G8" s="30" t="n"/>
    </row>
    <row r="9" ht="24" customHeight="1" s="24">
      <c r="A9" s="31" t="inlineStr">
        <is>
          <t>COMPLETED</t>
        </is>
      </c>
      <c r="B9" s="32">
        <f>COUNTIF('Feature Register'!$I$2:$I$268,A9)</f>
        <v/>
      </c>
      <c r="C9" s="33">
        <f>IF($B$13=0,0,B9/$B$13)</f>
        <v/>
      </c>
      <c r="D9" s="32">
        <f>COUNTIF('Feature Register'!$P$2:$P$268,A9)</f>
        <v/>
      </c>
      <c r="E9" s="34" t="inlineStr">
        <is>
          <t>Built, merged and live on gokesari.com (incl. built but switched off by default), or finished tooling / test runs</t>
        </is>
      </c>
      <c r="F9" s="29" t="n"/>
      <c r="G9" s="30" t="n"/>
    </row>
    <row r="10" ht="24" customHeight="1" s="24">
      <c r="A10" s="31" t="inlineStr">
        <is>
          <t>IN PROGRESS</t>
        </is>
      </c>
      <c r="B10" s="32">
        <f>COUNTIF('Feature Register'!$I$2:$I$268,A10)</f>
        <v/>
      </c>
      <c r="C10" s="33">
        <f>IF($B$13=0,0,B10/$B$13)</f>
        <v/>
      </c>
      <c r="D10" s="32">
        <f>COUNTIF('Feature Register'!$P$2:$P$268,A10)</f>
        <v/>
      </c>
      <c r="E10" s="34" t="inlineStr">
        <is>
          <t>Started: partly working, being run, or built and on the test site but not yet released</t>
        </is>
      </c>
      <c r="F10" s="29" t="n"/>
      <c r="G10" s="30" t="n"/>
    </row>
    <row r="11" ht="24" customHeight="1" s="24">
      <c r="A11" s="31" t="inlineStr">
        <is>
          <t>YET TO START</t>
        </is>
      </c>
      <c r="B11" s="32">
        <f>COUNTIF('Feature Register'!$I$2:$I$268,A11)</f>
        <v/>
      </c>
      <c r="C11" s="33">
        <f>IF($B$13=0,0,B11/$B$13)</f>
        <v/>
      </c>
      <c r="D11" s="32">
        <f>COUNTIF('Feature Register'!$P$2:$P$268,A11)</f>
        <v/>
      </c>
      <c r="E11" s="34" t="inlineStr">
        <is>
          <t>Not built yet (designed, planned or a known gap)</t>
        </is>
      </c>
      <c r="F11" s="29" t="n"/>
      <c r="G11" s="30" t="n"/>
    </row>
    <row r="12" ht="24" customHeight="1" s="24">
      <c r="A12" s="31" t="inlineStr">
        <is>
          <t>BLOCKED</t>
        </is>
      </c>
      <c r="B12" s="32">
        <f>COUNTIF('Feature Register'!$I$2:$I$268,A12)</f>
        <v/>
      </c>
      <c r="C12" s="33">
        <f>IF($B$13=0,0,B12/$B$13)</f>
        <v/>
      </c>
      <c r="D12" s="32">
        <f>COUNTIF('Feature Register'!$P$2:$P$268,A12)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14 Oct counts only rows that were in the 14 Oct report (262).</t>
        </is>
      </c>
      <c r="F13" s="29" t="n"/>
      <c r="G13" s="30" t="n"/>
    </row>
    <row r="14"/>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Register'!$B$2:$B$268,$A17,'Feature Register'!$I$2:$I$268,B$16)</f>
        <v/>
      </c>
      <c r="C17" s="32">
        <f>COUNTIFS('Feature Register'!$B$2:$B$268,$A17,'Feature Register'!$I$2:$I$268,C$16)</f>
        <v/>
      </c>
      <c r="D17" s="32">
        <f>COUNTIFS('Feature Register'!$B$2:$B$268,$A17,'Feature Register'!$I$2:$I$268,D$16)</f>
        <v/>
      </c>
      <c r="E17" s="32">
        <f>COUNTIFS('Feature Register'!$B$2:$B$268,$A17,'Feature Register'!$I$2:$I$268,E$16)</f>
        <v/>
      </c>
      <c r="F17" s="32">
        <f>SUM(B17:E17)</f>
        <v/>
      </c>
      <c r="G17" s="37">
        <f>IF(F17=0,0,B17/F17)</f>
        <v/>
      </c>
    </row>
    <row r="18" ht="15" customHeight="1" s="24">
      <c r="A18" s="31" t="inlineStr">
        <is>
          <t>Workflow Master</t>
        </is>
      </c>
      <c r="B18" s="32">
        <f>COUNTIFS('Feature Register'!$B$2:$B$268,$A18,'Feature Register'!$I$2:$I$268,B$16)</f>
        <v/>
      </c>
      <c r="C18" s="32">
        <f>COUNTIFS('Feature Register'!$B$2:$B$268,$A18,'Feature Register'!$I$2:$I$268,C$16)</f>
        <v/>
      </c>
      <c r="D18" s="32">
        <f>COUNTIFS('Feature Register'!$B$2:$B$268,$A18,'Feature Register'!$I$2:$I$268,D$16)</f>
        <v/>
      </c>
      <c r="E18" s="32">
        <f>COUNTIFS('Feature Register'!$B$2:$B$268,$A18,'Feature Register'!$I$2:$I$268,E$16)</f>
        <v/>
      </c>
      <c r="F18" s="32">
        <f>SUM(B18:E18)</f>
        <v/>
      </c>
      <c r="G18" s="37">
        <f>IF(F18=0,0,B18/F18)</f>
        <v/>
      </c>
    </row>
    <row r="19" ht="15" customHeight="1" s="24">
      <c r="A19" s="31" t="inlineStr">
        <is>
          <t>RBAC Matrix</t>
        </is>
      </c>
      <c r="B19" s="32">
        <f>COUNTIFS('Feature Register'!$B$2:$B$268,$A19,'Feature Register'!$I$2:$I$268,B$16)</f>
        <v/>
      </c>
      <c r="C19" s="32">
        <f>COUNTIFS('Feature Register'!$B$2:$B$268,$A19,'Feature Register'!$I$2:$I$268,C$16)</f>
        <v/>
      </c>
      <c r="D19" s="32">
        <f>COUNTIFS('Feature Register'!$B$2:$B$268,$A19,'Feature Register'!$I$2:$I$268,D$16)</f>
        <v/>
      </c>
      <c r="E19" s="32">
        <f>COUNTIFS('Feature Register'!$B$2:$B$268,$A19,'Feature Register'!$I$2:$I$268,E$16)</f>
        <v/>
      </c>
      <c r="F19" s="32">
        <f>SUM(B19:E19)</f>
        <v/>
      </c>
      <c r="G19" s="37">
        <f>IF(F19=0,0,B19/F19)</f>
        <v/>
      </c>
    </row>
    <row r="20" ht="15" customHeight="1" s="24">
      <c r="A20" s="31" t="inlineStr">
        <is>
          <t>State Machines</t>
        </is>
      </c>
      <c r="B20" s="32">
        <f>COUNTIFS('Feature Register'!$B$2:$B$268,$A20,'Feature Register'!$I$2:$I$268,B$16)</f>
        <v/>
      </c>
      <c r="C20" s="32">
        <f>COUNTIFS('Feature Register'!$B$2:$B$268,$A20,'Feature Register'!$I$2:$I$268,C$16)</f>
        <v/>
      </c>
      <c r="D20" s="32">
        <f>COUNTIFS('Feature Register'!$B$2:$B$268,$A20,'Feature Register'!$I$2:$I$268,D$16)</f>
        <v/>
      </c>
      <c r="E20" s="32">
        <f>COUNTIFS('Feature Register'!$B$2:$B$268,$A20,'Feature Register'!$I$2:$I$268,E$16)</f>
        <v/>
      </c>
      <c r="F20" s="32">
        <f>SUM(B20:E20)</f>
        <v/>
      </c>
      <c r="G20" s="37">
        <f>IF(F20=0,0,B20/F20)</f>
        <v/>
      </c>
    </row>
    <row r="21" ht="15" customHeight="1" s="24">
      <c r="A21" s="31" t="inlineStr">
        <is>
          <t>Gig Assignment Rules</t>
        </is>
      </c>
      <c r="B21" s="32">
        <f>COUNTIFS('Feature Register'!$B$2:$B$268,$A21,'Feature Register'!$I$2:$I$268,B$16)</f>
        <v/>
      </c>
      <c r="C21" s="32">
        <f>COUNTIFS('Feature Register'!$B$2:$B$268,$A21,'Feature Register'!$I$2:$I$268,C$16)</f>
        <v/>
      </c>
      <c r="D21" s="32">
        <f>COUNTIFS('Feature Register'!$B$2:$B$268,$A21,'Feature Register'!$I$2:$I$268,D$16)</f>
        <v/>
      </c>
      <c r="E21" s="32">
        <f>COUNTIFS('Feature Register'!$B$2:$B$268,$A21,'Feature Register'!$I$2:$I$268,E$16)</f>
        <v/>
      </c>
      <c r="F21" s="32">
        <f>SUM(B21:E21)</f>
        <v/>
      </c>
      <c r="G21" s="37">
        <f>IF(F21=0,0,B21/F21)</f>
        <v/>
      </c>
    </row>
    <row r="22" ht="15" customHeight="1" s="24">
      <c r="A22" s="31" t="inlineStr">
        <is>
          <t>Navigation</t>
        </is>
      </c>
      <c r="B22" s="32">
        <f>COUNTIFS('Feature Register'!$B$2:$B$268,$A22,'Feature Register'!$I$2:$I$268,B$16)</f>
        <v/>
      </c>
      <c r="C22" s="32">
        <f>COUNTIFS('Feature Register'!$B$2:$B$268,$A22,'Feature Register'!$I$2:$I$268,C$16)</f>
        <v/>
      </c>
      <c r="D22" s="32">
        <f>COUNTIFS('Feature Register'!$B$2:$B$268,$A22,'Feature Register'!$I$2:$I$268,D$16)</f>
        <v/>
      </c>
      <c r="E22" s="32">
        <f>COUNTIFS('Feature Register'!$B$2:$B$268,$A22,'Feature Register'!$I$2:$I$268,E$16)</f>
        <v/>
      </c>
      <c r="F22" s="32">
        <f>SUM(B22:E22)</f>
        <v/>
      </c>
      <c r="G22" s="37">
        <f>IF(F22=0,0,B22/F22)</f>
        <v/>
      </c>
    </row>
    <row r="23" ht="15" customHeight="1" s="24">
      <c r="A23" s="31" t="inlineStr">
        <is>
          <t>KPIs</t>
        </is>
      </c>
      <c r="B23" s="32">
        <f>COUNTIFS('Feature Register'!$B$2:$B$268,$A23,'Feature Register'!$I$2:$I$268,B$16)</f>
        <v/>
      </c>
      <c r="C23" s="32">
        <f>COUNTIFS('Feature Register'!$B$2:$B$268,$A23,'Feature Register'!$I$2:$I$268,C$16)</f>
        <v/>
      </c>
      <c r="D23" s="32">
        <f>COUNTIFS('Feature Register'!$B$2:$B$268,$A23,'Feature Register'!$I$2:$I$268,D$16)</f>
        <v/>
      </c>
      <c r="E23" s="32">
        <f>COUNTIFS('Feature Register'!$B$2:$B$268,$A23,'Feature Register'!$I$2:$I$268,E$16)</f>
        <v/>
      </c>
      <c r="F23" s="32">
        <f>SUM(B23:E23)</f>
        <v/>
      </c>
      <c r="G23" s="37">
        <f>IF(F23=0,0,B23/F23)</f>
        <v/>
      </c>
    </row>
    <row r="24" ht="15" customHeight="1" s="24">
      <c r="A24" s="31" t="inlineStr">
        <is>
          <t>Added features (to 6 Oct)</t>
        </is>
      </c>
      <c r="B24" s="32">
        <f>COUNTIFS('Feature Register'!$B$2:$B$268,$A24,'Feature Register'!$I$2:$I$268,B$16)</f>
        <v/>
      </c>
      <c r="C24" s="32">
        <f>COUNTIFS('Feature Register'!$B$2:$B$268,$A24,'Feature Register'!$I$2:$I$268,C$16)</f>
        <v/>
      </c>
      <c r="D24" s="32">
        <f>COUNTIFS('Feature Register'!$B$2:$B$268,$A24,'Feature Register'!$I$2:$I$268,D$16)</f>
        <v/>
      </c>
      <c r="E24" s="32">
        <f>COUNTIFS('Feature Register'!$B$2:$B$268,$A24,'Feature Register'!$I$2:$I$268,E$16)</f>
        <v/>
      </c>
      <c r="F24" s="32">
        <f>SUM(B24:E24)</f>
        <v/>
      </c>
      <c r="G24" s="37">
        <f>IF(F24=0,0,B24/F24)</f>
        <v/>
      </c>
    </row>
    <row r="25" ht="15" customHeight="1" s="24">
      <c r="A25" s="31" t="inlineStr">
        <is>
          <t>Delivered or started since 6 Oct</t>
        </is>
      </c>
      <c r="B25" s="32">
        <f>COUNTIFS('Feature Register'!$B$2:$B$268,$A25,'Feature Register'!$I$2:$I$268,B$16)</f>
        <v/>
      </c>
      <c r="C25" s="32">
        <f>COUNTIFS('Feature Register'!$B$2:$B$268,$A25,'Feature Register'!$I$2:$I$268,C$16)</f>
        <v/>
      </c>
      <c r="D25" s="32">
        <f>COUNTIFS('Feature Register'!$B$2:$B$268,$A25,'Feature Register'!$I$2:$I$268,D$16)</f>
        <v/>
      </c>
      <c r="E25" s="32">
        <f>COUNTIFS('Feature Register'!$B$2:$B$268,$A25,'Feature Register'!$I$2:$I$268,E$16)</f>
        <v/>
      </c>
      <c r="F25" s="32">
        <f>SUM(B25:E25)</f>
        <v/>
      </c>
      <c r="G25" s="37">
        <f>IF(F25=0,0,B25/F25)</f>
        <v/>
      </c>
    </row>
    <row r="26" ht="15" customHeight="1" s="24">
      <c r="A26" s="31" t="inlineStr">
        <is>
          <t>Delivered or started since 8 Oct</t>
        </is>
      </c>
      <c r="B26" s="32">
        <f>COUNTIFS('Feature Register'!$B$2:$B$268,$A26,'Feature Register'!$I$2:$I$268,B$16)</f>
        <v/>
      </c>
      <c r="C26" s="32">
        <f>COUNTIFS('Feature Register'!$B$2:$B$268,$A26,'Feature Register'!$I$2:$I$268,C$16)</f>
        <v/>
      </c>
      <c r="D26" s="32">
        <f>COUNTIFS('Feature Register'!$B$2:$B$268,$A26,'Feature Register'!$I$2:$I$268,D$16)</f>
        <v/>
      </c>
      <c r="E26" s="32">
        <f>COUNTIFS('Feature Register'!$B$2:$B$268,$A26,'Feature Register'!$I$2:$I$268,E$16)</f>
        <v/>
      </c>
      <c r="F26" s="32">
        <f>SUM(B26:E26)</f>
        <v/>
      </c>
      <c r="G26" s="37">
        <f>IF(F26=0,0,B26/F26)</f>
        <v/>
      </c>
    </row>
    <row r="27" ht="15" customHeight="1" s="24">
      <c r="A27" s="31" t="inlineStr">
        <is>
          <t>Delivered or started since 9 Oct</t>
        </is>
      </c>
      <c r="B27" s="32">
        <f>COUNTIFS('Feature Register'!$B$2:$B$268,$A27,'Feature Register'!$I$2:$I$268,B$16)</f>
        <v/>
      </c>
      <c r="C27" s="32">
        <f>COUNTIFS('Feature Register'!$B$2:$B$268,$A27,'Feature Register'!$I$2:$I$268,C$16)</f>
        <v/>
      </c>
      <c r="D27" s="32">
        <f>COUNTIFS('Feature Register'!$B$2:$B$268,$A27,'Feature Register'!$I$2:$I$268,D$16)</f>
        <v/>
      </c>
      <c r="E27" s="32">
        <f>COUNTIFS('Feature Register'!$B$2:$B$268,$A27,'Feature Register'!$I$2:$I$268,E$16)</f>
        <v/>
      </c>
      <c r="F27" s="32">
        <f>SUM(B27:E27)</f>
        <v/>
      </c>
      <c r="G27" s="37">
        <f>IF(F27=0,0,B27/F27)</f>
        <v/>
      </c>
    </row>
    <row r="28" ht="15" customHeight="1" s="24">
      <c r="A28" s="31" t="inlineStr">
        <is>
          <t>Delivered or started since 10 Oct</t>
        </is>
      </c>
      <c r="B28" s="32">
        <f>COUNTIFS('Feature Register'!$B$2:$B$268,$A28,'Feature Register'!$I$2:$I$268,B$16)</f>
        <v/>
      </c>
      <c r="C28" s="32">
        <f>COUNTIFS('Feature Register'!$B$2:$B$268,$A28,'Feature Register'!$I$2:$I$268,C$16)</f>
        <v/>
      </c>
      <c r="D28" s="32">
        <f>COUNTIFS('Feature Register'!$B$2:$B$268,$A28,'Feature Register'!$I$2:$I$268,D$16)</f>
        <v/>
      </c>
      <c r="E28" s="32">
        <f>COUNTIFS('Feature Register'!$B$2:$B$268,$A28,'Feature Register'!$I$2:$I$268,E$16)</f>
        <v/>
      </c>
      <c r="F28" s="32">
        <f>SUM(B28:E28)</f>
        <v/>
      </c>
      <c r="G28" s="37">
        <f>IF(F28=0,0,B28/F28)</f>
        <v/>
      </c>
    </row>
    <row r="29" ht="15" customHeight="1" s="24">
      <c r="A29" s="31" t="inlineStr">
        <is>
          <t>Delivered or started since 14 Oct</t>
        </is>
      </c>
      <c r="B29" s="32">
        <f>COUNTIFS('Feature Register'!$B$2:$B$268,$A29,'Feature Register'!$I$2:$I$268,B$16)</f>
        <v/>
      </c>
      <c r="C29" s="32">
        <f>COUNTIFS('Feature Register'!$B$2:$B$268,$A29,'Feature Register'!$I$2:$I$268,C$16)</f>
        <v/>
      </c>
      <c r="D29" s="32">
        <f>COUNTIFS('Feature Register'!$B$2:$B$268,$A29,'Feature Register'!$I$2:$I$268,D$16)</f>
        <v/>
      </c>
      <c r="E29" s="32">
        <f>COUNTIFS('Feature Register'!$B$2:$B$268,$A29,'Feature Register'!$I$2:$I$268,E$16)</f>
        <v/>
      </c>
      <c r="F29" s="32">
        <f>SUM(B29:E29)</f>
        <v/>
      </c>
      <c r="G29" s="37">
        <f>IF(F29=0,0,B29/F29)</f>
        <v/>
      </c>
    </row>
    <row r="30" ht="15" customHeight="1" s="24">
      <c r="A30" s="31" t="inlineStr">
        <is>
          <t>Product Master Data Platform</t>
        </is>
      </c>
      <c r="B30" s="32">
        <f>COUNTIFS('Feature Register'!$B$2:$B$268,$A30,'Feature Register'!$I$2:$I$268,B$16)</f>
        <v/>
      </c>
      <c r="C30" s="32">
        <f>COUNTIFS('Feature Register'!$B$2:$B$268,$A30,'Feature Register'!$I$2:$I$268,C$16)</f>
        <v/>
      </c>
      <c r="D30" s="32">
        <f>COUNTIFS('Feature Register'!$B$2:$B$268,$A30,'Feature Register'!$I$2:$I$268,D$16)</f>
        <v/>
      </c>
      <c r="E30" s="32">
        <f>COUNTIFS('Feature Register'!$B$2:$B$268,$A30,'Feature Register'!$I$2:$I$268,E$16)</f>
        <v/>
      </c>
      <c r="F30" s="32">
        <f>SUM(B30:E30)</f>
        <v/>
      </c>
      <c r="G30" s="37">
        <f>IF(F30=0,0,B30/F30)</f>
        <v/>
      </c>
    </row>
    <row r="31" ht="15" customHeight="1" s="24">
      <c r="A31" s="31" t="inlineStr">
        <is>
          <t>Platform &amp; DevOps</t>
        </is>
      </c>
      <c r="B31" s="32">
        <f>COUNTIFS('Feature Register'!$B$2:$B$268,$A31,'Feature Register'!$I$2:$I$268,B$16)</f>
        <v/>
      </c>
      <c r="C31" s="32">
        <f>COUNTIFS('Feature Register'!$B$2:$B$268,$A31,'Feature Register'!$I$2:$I$268,C$16)</f>
        <v/>
      </c>
      <c r="D31" s="32">
        <f>COUNTIFS('Feature Register'!$B$2:$B$268,$A31,'Feature Register'!$I$2:$I$268,D$16)</f>
        <v/>
      </c>
      <c r="E31" s="32">
        <f>COUNTIFS('Feature Register'!$B$2:$B$268,$A31,'Feature Register'!$I$2:$I$268,E$16)</f>
        <v/>
      </c>
      <c r="F31" s="32">
        <f>SUM(B31:E31)</f>
        <v/>
      </c>
      <c r="G31" s="37">
        <f>IF(F31=0,0,B31/F31)</f>
        <v/>
      </c>
    </row>
    <row r="32" ht="15" customHeight="1" s="24">
      <c r="A32" s="31" t="inlineStr">
        <is>
          <t>QA &amp; Testing</t>
        </is>
      </c>
      <c r="B32" s="32">
        <f>COUNTIFS('Feature Register'!$B$2:$B$268,$A32,'Feature Register'!$I$2:$I$268,B$16)</f>
        <v/>
      </c>
      <c r="C32" s="32">
        <f>COUNTIFS('Feature Register'!$B$2:$B$268,$A32,'Feature Register'!$I$2:$I$268,C$16)</f>
        <v/>
      </c>
      <c r="D32" s="32">
        <f>COUNTIFS('Feature Register'!$B$2:$B$268,$A32,'Feature Register'!$I$2:$I$268,D$16)</f>
        <v/>
      </c>
      <c r="E32" s="32">
        <f>COUNTIFS('Feature Register'!$B$2:$B$268,$A32,'Feature Register'!$I$2:$I$268,E$16)</f>
        <v/>
      </c>
      <c r="F32" s="32">
        <f>SUM(B32:E32)</f>
        <v/>
      </c>
      <c r="G32" s="37">
        <f>IF(F32=0,0,B32/F32)</f>
        <v/>
      </c>
    </row>
    <row r="33" ht="15" customHeight="1" s="24">
      <c r="A33" s="31" t="inlineStr">
        <is>
          <t>Known gaps (not started)</t>
        </is>
      </c>
      <c r="B33" s="32">
        <f>COUNTIFS('Feature Register'!$B$2:$B$268,$A33,'Feature Register'!$I$2:$I$268,B$16)</f>
        <v/>
      </c>
      <c r="C33" s="32">
        <f>COUNTIFS('Feature Register'!$B$2:$B$268,$A33,'Feature Register'!$I$2:$I$268,C$16)</f>
        <v/>
      </c>
      <c r="D33" s="32">
        <f>COUNTIFS('Feature Register'!$B$2:$B$268,$A33,'Feature Register'!$I$2:$I$268,D$16)</f>
        <v/>
      </c>
      <c r="E33" s="32">
        <f>COUNTIFS('Feature Register'!$B$2:$B$268,$A33,'Feature Register'!$I$2:$I$268,E$16)</f>
        <v/>
      </c>
      <c r="F33" s="32">
        <f>SUM(B33:E33)</f>
        <v/>
      </c>
      <c r="G33" s="37">
        <f>IF(F33=0,0,B33/F33)</f>
        <v/>
      </c>
    </row>
    <row r="34" ht="15" customHeight="1" s="24">
      <c r="A34" s="31" t="inlineStr">
        <is>
          <t>Total</t>
        </is>
      </c>
      <c r="B34" s="35">
        <f>SUM(B17:B33)</f>
        <v/>
      </c>
      <c r="C34" s="35">
        <f>SUM(C17:C33)</f>
        <v/>
      </c>
      <c r="D34" s="35">
        <f>SUM(D17:D33)</f>
        <v/>
      </c>
      <c r="E34" s="35">
        <f>SUM(E17:E33)</f>
        <v/>
      </c>
      <c r="F34" s="35">
        <f>SUM(F17:F33)</f>
        <v/>
      </c>
      <c r="G34" s="38">
        <f>IF(F34=0,0,B34/F34)</f>
        <v/>
      </c>
    </row>
    <row r="35" ht="15" customHeight="1" s="24"/>
    <row r="36" ht="15" customHeight="1" s="24">
      <c r="A36" s="27" t="inlineStr">
        <is>
          <t>3. Where features run</t>
        </is>
      </c>
    </row>
    <row r="37" ht="15" customHeight="1" s="24">
      <c r="A37" s="28" t="inlineStr">
        <is>
          <t>Where it runs</t>
        </is>
      </c>
      <c r="B37" s="28" t="inlineStr">
        <is>
          <t>Features</t>
        </is>
      </c>
    </row>
    <row r="38" ht="15" customHeight="1" s="24">
      <c r="A38" s="31" t="inlineStr">
        <is>
          <t>Production (gokesari.com)</t>
        </is>
      </c>
      <c r="B38" s="32">
        <f>COUNTIF('Feature Register'!$J$2:$J$268,A38)</f>
        <v/>
      </c>
    </row>
    <row r="39" ht="15" customHeight="1" s="24">
      <c r="A39" s="31" t="inlineStr">
        <is>
          <t>Production - built, switched off by default</t>
        </is>
      </c>
      <c r="B39" s="32">
        <f>COUNTIF('Feature Register'!$J$2:$J$268,A39)</f>
        <v/>
      </c>
    </row>
    <row r="40" ht="15" customHeight="1" s="24">
      <c r="A40" s="31" t="inlineStr">
        <is>
          <t>Production - partly live</t>
        </is>
      </c>
      <c r="B40" s="32">
        <f>COUNTIF('Feature Register'!$J$2:$J$268,A40)</f>
        <v/>
      </c>
    </row>
    <row r="41" ht="15" customHeight="1" s="24">
      <c r="A41" s="31" t="inlineStr">
        <is>
          <t>Test site only (test.gokesari.com)</t>
        </is>
      </c>
      <c r="B41" s="32">
        <f>COUNTIF('Feature Register'!$J$2:$J$268,A41)</f>
        <v/>
      </c>
    </row>
    <row r="42" ht="15" customHeight="1" s="24">
      <c r="A42" s="31" t="inlineStr">
        <is>
          <t>Test site only - production release reverted (#87)</t>
        </is>
      </c>
      <c r="B42" s="32">
        <f>COUNTIF('Feature Register'!$J$2:$J$268,A42)</f>
        <v/>
      </c>
    </row>
    <row r="43" ht="15" customHeight="1" s="24">
      <c r="A43" s="31" t="inlineStr">
        <is>
          <t>Open PR - not merged</t>
        </is>
      </c>
      <c r="B43" s="32">
        <f>COUNTIF('Feature Register'!$J$2:$J$268,A43)</f>
        <v/>
      </c>
    </row>
    <row r="44" ht="15" customHeight="1" s="24">
      <c r="A44" s="31" t="inlineStr">
        <is>
          <t>Mobile app - Android test builds only (not in stores)</t>
        </is>
      </c>
      <c r="B44" s="32">
        <f>COUNTIF('Feature Register'!$J$2:$J$268,A44)</f>
        <v/>
      </c>
    </row>
    <row r="45" ht="15" customHeight="1" s="24">
      <c r="A45" s="31" t="inlineStr">
        <is>
          <t>GitHub Actions (runs from main)</t>
        </is>
      </c>
      <c r="B45" s="32">
        <f>COUNTIF('Feature Register'!$J$2:$J$268,A45)</f>
        <v/>
      </c>
    </row>
    <row r="46" ht="15" customHeight="1" s="24">
      <c r="A46" s="31" t="inlineStr">
        <is>
          <t>GitHub Actions (runs from staging)</t>
        </is>
      </c>
      <c r="B46" s="32">
        <f>COUNTIF('Feature Register'!$J$2:$J$268,A46)</f>
        <v/>
      </c>
    </row>
    <row r="47" ht="15" customHeight="1" s="24">
      <c r="A47" s="31" t="inlineStr">
        <is>
          <t>On staging only - not yet runnable</t>
        </is>
      </c>
      <c r="B47" s="32">
        <f>COUNTIF('Feature Register'!$J$2:$J$268,A47)</f>
        <v/>
      </c>
    </row>
    <row r="48" ht="15" customHeight="1" s="24">
      <c r="A48" s="31" t="inlineStr">
        <is>
          <t>Not started</t>
        </is>
      </c>
      <c r="B48" s="32">
        <f>COUNTIF('Feature Register'!$J$2:$J$268,A48)</f>
        <v/>
      </c>
    </row>
    <row r="49" ht="15" customHeight="1" s="24">
      <c r="A49" s="31" t="inlineStr">
        <is>
          <t>Total</t>
        </is>
      </c>
      <c r="B49" s="35">
        <f>SUM(B38:B48)</f>
        <v/>
      </c>
    </row>
    <row r="50" ht="15" customHeight="1" s="24"/>
    <row r="51" ht="15" customHeight="1" s="24">
      <c r="A51" s="27" t="inlineStr">
        <is>
          <t>4. Process flow steps by status</t>
        </is>
      </c>
    </row>
    <row r="52" ht="15" customHeight="1" s="24">
      <c r="A52" s="28" t="inlineStr">
        <is>
          <t>Status</t>
        </is>
      </c>
      <c r="B52" s="28" t="inlineStr">
        <is>
          <t>Steps (level 3)</t>
        </is>
      </c>
      <c r="C52" s="28" t="inlineStr">
        <is>
          <t>Stages (level 2)</t>
        </is>
      </c>
      <c r="D52" s="28" t="inlineStr">
        <is>
          <t>Flows (level 1)</t>
        </is>
      </c>
    </row>
    <row r="53" ht="15" customHeight="1" s="24">
      <c r="A53" s="31" t="inlineStr">
        <is>
          <t>COMPLETED</t>
        </is>
      </c>
      <c r="B53" s="32">
        <f>COUNTIFS('Process Flow Tree'!$B$5:$B$217,3,'Process Flow Tree'!$G$5:$G$217,$A53)</f>
        <v/>
      </c>
      <c r="C53" s="32">
        <f>COUNTIFS('Process Flow Tree'!$B$5:$B$217,2,'Process Flow Tree'!$G$5:$G$217,$A53)</f>
        <v/>
      </c>
      <c r="D53" s="32">
        <f>COUNTIFS('Process Flow Tree'!$B$5:$B$217,1,'Process Flow Tree'!$G$5:$G$217,$A53)</f>
        <v/>
      </c>
    </row>
    <row r="54" ht="15" customHeight="1" s="24">
      <c r="A54" s="31" t="inlineStr">
        <is>
          <t>IN PROGRESS</t>
        </is>
      </c>
      <c r="B54" s="32">
        <f>COUNTIFS('Process Flow Tree'!$B$5:$B$217,3,'Process Flow Tree'!$G$5:$G$217,$A54)</f>
        <v/>
      </c>
      <c r="C54" s="32">
        <f>COUNTIFS('Process Flow Tree'!$B$5:$B$217,2,'Process Flow Tree'!$G$5:$G$217,$A54)</f>
        <v/>
      </c>
      <c r="D54" s="32">
        <f>COUNTIFS('Process Flow Tree'!$B$5:$B$217,1,'Process Flow Tree'!$G$5:$G$217,$A54)</f>
        <v/>
      </c>
    </row>
    <row r="55" ht="15" customHeight="1" s="24">
      <c r="A55" s="31" t="inlineStr">
        <is>
          <t>YET TO START</t>
        </is>
      </c>
      <c r="B55" s="32">
        <f>COUNTIFS('Process Flow Tree'!$B$5:$B$217,3,'Process Flow Tree'!$G$5:$G$217,$A55)</f>
        <v/>
      </c>
      <c r="C55" s="32">
        <f>COUNTIFS('Process Flow Tree'!$B$5:$B$217,2,'Process Flow Tree'!$G$5:$G$217,$A55)</f>
        <v/>
      </c>
      <c r="D55" s="32">
        <f>COUNTIFS('Process Flow Tree'!$B$5:$B$217,1,'Process Flow Tree'!$G$5:$G$217,$A55)</f>
        <v/>
      </c>
    </row>
    <row r="56" ht="15" customHeight="1" s="24">
      <c r="A56" s="31" t="inlineStr">
        <is>
          <t>BLOCKED</t>
        </is>
      </c>
      <c r="B56" s="32">
        <f>COUNTIFS('Process Flow Tree'!$B$5:$B$217,3,'Process Flow Tree'!$G$5:$G$217,$A56)</f>
        <v/>
      </c>
      <c r="C56" s="32">
        <f>COUNTIFS('Process Flow Tree'!$B$5:$B$217,2,'Process Flow Tree'!$G$5:$G$217,$A56)</f>
        <v/>
      </c>
      <c r="D56" s="32">
        <f>COUNTIFS('Process Flow Tree'!$B$5:$B$217,1,'Process Flow Tree'!$G$5:$G$217,$A56)</f>
        <v/>
      </c>
    </row>
    <row r="57" ht="15" customHeight="1" s="24">
      <c r="A57" s="31" t="inlineStr">
        <is>
          <t>Total</t>
        </is>
      </c>
      <c r="B57" s="35">
        <f>SUM(B53:B56)</f>
        <v/>
      </c>
      <c r="C57" s="35">
        <f>SUM(C53:C56)</f>
        <v/>
      </c>
      <c r="D57" s="35">
        <f>SUM(D53:D56)</f>
        <v/>
      </c>
    </row>
    <row r="58" ht="15" customHeight="1" s="24"/>
    <row r="59" ht="15" customHeight="1" s="24">
      <c r="A59" s="27" t="inlineStr">
        <is>
          <t>5. Pull requests</t>
        </is>
      </c>
    </row>
    <row r="60" ht="15" customHeight="1" s="24">
      <c r="A60" s="28" t="inlineStr">
        <is>
          <t>PR state</t>
        </is>
      </c>
      <c r="B60" s="28" t="inlineStr">
        <is>
          <t>PRs</t>
        </is>
      </c>
    </row>
    <row r="61" ht="15" customHeight="1" s="24">
      <c r="A61" s="31" t="inlineStr">
        <is>
          <t>Merged</t>
        </is>
      </c>
      <c r="B61" s="32">
        <f>COUNTIF('PR Register'!$F$2:$F$172,A61)</f>
        <v/>
      </c>
    </row>
    <row r="62" ht="15" customHeight="1" s="24">
      <c r="A62" s="31" t="inlineStr">
        <is>
          <t>Open</t>
        </is>
      </c>
      <c r="B62" s="32">
        <f>COUNTIF('PR Register'!$F$2:$F$172,A62)</f>
        <v/>
      </c>
    </row>
    <row r="63" ht="15" customHeight="1" s="24">
      <c r="A63" s="31" t="inlineStr">
        <is>
          <t>Open (draft)</t>
        </is>
      </c>
      <c r="B63" s="32">
        <f>COUNTIF('PR Register'!$F$2:$F$172,A63)</f>
        <v/>
      </c>
    </row>
    <row r="64" ht="15" customHeight="1" s="24">
      <c r="A64" s="31" t="inlineStr">
        <is>
          <t>Closed - not merged</t>
        </is>
      </c>
      <c r="B64" s="32">
        <f>COUNTIF('PR Register'!$F$2:$F$172,A64)</f>
        <v/>
      </c>
    </row>
    <row r="65" ht="15" customHeight="1" s="24">
      <c r="A65" s="31" t="inlineStr">
        <is>
          <t>Total</t>
        </is>
      </c>
      <c r="B65" s="35">
        <f>SUM(B61:B64)</f>
        <v/>
      </c>
    </row>
    <row r="66" ht="15" customHeight="1" s="24">
      <c r="A66" s="28" t="inlineStr">
        <is>
          <t>PR type</t>
        </is>
      </c>
      <c r="B66" s="28" t="inlineStr">
        <is>
          <t>PRs</t>
        </is>
      </c>
    </row>
    <row r="67" ht="15" customHeight="1" s="24">
      <c r="A67" s="31" t="inlineStr">
        <is>
          <t>Branding</t>
        </is>
      </c>
      <c r="B67" s="32">
        <f>COUNTIF('PR Register'!$C$2:$C$172,A67)</f>
        <v/>
      </c>
    </row>
    <row r="68" ht="15" customHeight="1" s="24">
      <c r="A68" s="31" t="inlineStr">
        <is>
          <t>DevOps / repo</t>
        </is>
      </c>
      <c r="B68" s="32">
        <f>COUNTIF('PR Register'!$C$2:$C$172,A68)</f>
        <v/>
      </c>
    </row>
    <row r="69" ht="15" customHeight="1" s="24">
      <c r="A69" s="31" t="inlineStr">
        <is>
          <t>Docs / reports</t>
        </is>
      </c>
      <c r="B69" s="32">
        <f>COUNTIF('PR Register'!$C$2:$C$172,A69)</f>
        <v/>
      </c>
    </row>
    <row r="70" ht="15" customHeight="1" s="24">
      <c r="A70" s="31" t="inlineStr">
        <is>
          <t>Feature</t>
        </is>
      </c>
      <c r="B70" s="32">
        <f>COUNTIF('PR Register'!$C$2:$C$172,A70)</f>
        <v/>
      </c>
    </row>
    <row r="71" ht="15" customHeight="1" s="24">
      <c r="A71" s="31" t="inlineStr">
        <is>
          <t>Fix / hotfix</t>
        </is>
      </c>
      <c r="B71" s="32">
        <f>COUNTIF('PR Register'!$C$2:$C$172,A71)</f>
        <v/>
      </c>
    </row>
    <row r="72" ht="15" customHeight="1" s="24">
      <c r="A72" s="31" t="inlineStr">
        <is>
          <t>Improvement</t>
        </is>
      </c>
      <c r="B72" s="32">
        <f>COUNTIF('PR Register'!$C$2:$C$172,A72)</f>
        <v/>
      </c>
    </row>
    <row r="73" ht="15" customHeight="1" s="24">
      <c r="A73" s="31" t="inlineStr">
        <is>
          <t>Platform port</t>
        </is>
      </c>
      <c r="B73" s="32">
        <f>COUNTIF('PR Register'!$C$2:$C$172,A73)</f>
        <v/>
      </c>
    </row>
    <row r="74" ht="15" customHeight="1" s="24">
      <c r="A74" s="31" t="inlineStr">
        <is>
          <t>QA / tests</t>
        </is>
      </c>
      <c r="B74" s="32">
        <f>COUNTIF('PR Register'!$C$2:$C$172,A74)</f>
        <v/>
      </c>
    </row>
    <row r="75" ht="15" customHeight="1" s="24">
      <c r="A75" s="31" t="inlineStr">
        <is>
          <t>Release (staging -&gt; main)</t>
        </is>
      </c>
      <c r="B75" s="32">
        <f>COUNTIF('PR Register'!$C$2:$C$172,A75)</f>
        <v/>
      </c>
    </row>
    <row r="76" ht="15" customHeight="1" s="24">
      <c r="A76" s="31" t="inlineStr">
        <is>
          <t>Release + direct commits (Phases A-J)</t>
        </is>
      </c>
      <c r="B76" s="32">
        <f>COUNTIF('PR Register'!$C$2:$C$172,A76)</f>
        <v/>
      </c>
    </row>
    <row r="77" ht="15" customHeight="1" s="24">
      <c r="A77" s="31" t="inlineStr">
        <is>
          <t>Revert</t>
        </is>
      </c>
      <c r="B77" s="32">
        <f>COUNTIF('PR Register'!$C$2:$C$172,A77)</f>
        <v/>
      </c>
    </row>
    <row r="78" ht="15" customHeight="1" s="24">
      <c r="A78" s="31" t="inlineStr">
        <is>
          <t>Security / dependencies</t>
        </is>
      </c>
      <c r="B78" s="32">
        <f>COUNTIF('PR Register'!$C$2:$C$172,A78)</f>
        <v/>
      </c>
    </row>
    <row r="79" ht="15" customHeight="1" s="24">
      <c r="A79" s="31" t="inlineStr">
        <is>
          <t>Test data / settings</t>
        </is>
      </c>
      <c r="B79" s="32">
        <f>COUNTIF('PR Register'!$C$2:$C$172,A79)</f>
        <v/>
      </c>
    </row>
    <row r="80" ht="15" customHeight="1" s="24">
      <c r="A80" s="31" t="inlineStr">
        <is>
          <t>Total</t>
        </is>
      </c>
      <c r="B80" s="35">
        <f>SUM(B67:B79)</f>
        <v/>
      </c>
    </row>
    <row r="81" ht="42" customHeight="1" s="24"/>
    <row r="82" ht="36" customHeight="1" s="24">
      <c r="A82" s="27" t="inlineStr">
        <is>
          <t>6. Headlines (15 Oct 2026)</t>
        </is>
      </c>
    </row>
    <row r="83" ht="36" customHeight="1" s="24">
      <c r="A83" s="39" t="inlineStr">
        <is>
          <t>1. No code reached gokesari.com since 14 Oct (#165 was docs only). Three changes are on the test site waiting for release: shop switcher (#168), browser document reading (#169) and Inventory &amp; Accounting (#171).</t>
        </is>
      </c>
    </row>
    <row r="84" ht="39" customHeight="1" s="24">
      <c r="A84" s="39" t="inlineStr">
        <is>
          <t>2. New on test: Inventory &amp; Accounting for shop owners (NEW-067) - stock ledger updated by every order, double-entry books, GST invoices and returns with reconciliation, supplier bill scan with review before stock changes. Before release: a recorded staging test, the ~40 s Accounts page, the CA check and a decision on AI bill reading.</t>
        </is>
      </c>
    </row>
    <row r="85" ht="36" customHeight="1" s="24">
      <c r="A85" s="39" t="inlineStr">
        <is>
          <t>3. Document auto-read (NEW-062) works on gokesari.com since 15 Oct: the owner's browser reads the photo (#169, released via #175 / #177), so no KYC document needs to go to Claude. Verified on test (fields pre-filled) and production (read-only checks).</t>
        </is>
      </c>
    </row>
    <row r="86" ht="39" customHeight="1" s="24">
      <c r="A86" s="39"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Height="1" s="24">
      <c r="A87" s="39" t="inlineStr">
        <is>
          <t>5. Production lifecycle with a real payment (QA-009) waits on the owner: shop and owner email, an approved rider, Cashfree live keys, and paying the top-up (Blockers #44).</t>
        </is>
      </c>
    </row>
    <row r="88" ht="36" customHeight="1" s="24">
      <c r="A88" s="39" t="inlineStr">
        <is>
          <t>6. Database split (PLT-015): production verification report recorded (#164/#165): run 19 PASS, fdw set up. The site still reads one database; phases 2-4 not started.</t>
        </is>
      </c>
    </row>
    <row r="89" ht="36" customHeight="1" s="24">
      <c r="A89" s="39"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A87:G87"/>
    <mergeCell ref="A4:G4"/>
    <mergeCell ref="E8:G8"/>
    <mergeCell ref="E9:G9"/>
    <mergeCell ref="E12:G12"/>
    <mergeCell ref="A2:G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3:A56">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9" customWidth="1" style="24" min="1" max="1"/>
    <col width="32" customWidth="1" style="24" min="2" max="2"/>
    <col width="14" customWidth="1" style="24" min="3" max="3"/>
    <col width="12" customWidth="1" style="24" min="4" max="4"/>
    <col width="110" customWidth="1" style="24" min="5" max="5"/>
    <col width="30" customWidth="1" style="24" min="6" max="6"/>
  </cols>
  <sheetData>
    <row r="1">
      <c r="A1" s="47" t="inlineStr">
        <is>
          <t>Bulk product upload (Excel/CSV) with shop inventory update - sub-feature status</t>
        </is>
      </c>
    </row>
    <row r="2">
      <c r="A2" s="23" t="inlineStr">
        <is>
          <t>Statuses: Not started / In progress / Done on Test / Done on Prod / Blocked. Design: docs/product-import-2026-10/README.md. Tests: docs/testing/bulk-product-upload-test-report.md.</t>
        </is>
      </c>
    </row>
    <row r="4">
      <c r="A4" s="48" t="inlineStr">
        <is>
          <t>ID</t>
        </is>
      </c>
      <c r="B4" s="48" t="inlineStr">
        <is>
          <t>Sub-feature</t>
        </is>
      </c>
      <c r="C4" s="48" t="inlineStr">
        <is>
          <t>Status</t>
        </is>
      </c>
      <c r="D4" s="48" t="inlineStr">
        <is>
          <t>Date</t>
        </is>
      </c>
      <c r="E4" s="48" t="inlineStr">
        <is>
          <t>Notes</t>
        </is>
      </c>
      <c r="F4" s="48" t="inlineStr">
        <is>
          <t>Branch / PR</t>
        </is>
      </c>
    </row>
    <row r="5">
      <c r="A5" s="49" t="inlineStr">
        <is>
          <t>BPU-01</t>
        </is>
      </c>
      <c r="B5" s="49" t="inlineStr">
        <is>
          <t>Parser (Amazon template)</t>
        </is>
      </c>
      <c r="C5" s="50" t="inlineStr">
        <is>
          <t>Done on Test</t>
        </is>
      </c>
      <c r="D5" s="49" t="inlineStr">
        <is>
          <t>2026-10-15</t>
        </is>
      </c>
      <c r="E5" s="49"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t>
        </is>
      </c>
      <c r="F5" s="49" t="inlineStr">
        <is>
          <t>PR #173 (merged to staging)</t>
        </is>
      </c>
    </row>
    <row r="6">
      <c r="A6" s="49" t="inlineStr">
        <is>
          <t>BPU-02</t>
        </is>
      </c>
      <c r="B6" s="49" t="inlineStr">
        <is>
          <t>Parser (GoKesari template + CSV)</t>
        </is>
      </c>
      <c r="C6" s="50" t="inlineStr">
        <is>
          <t>Done on Test</t>
        </is>
      </c>
      <c r="D6" s="49" t="inlineStr">
        <is>
          <t>2026-10-15</t>
        </is>
      </c>
      <c r="E6" s="49" t="inlineStr">
        <is>
          <t>Simple template (Products + Instructions sheets, Barcode Type/Unit/Action dropdowns, EXAMPLE row never imported) and CSV (comma/semicolon/tab, BOM). Header aliases case-insensitive. Tested locally. Live on test.gokesari.com 15 Oct: PI-02 template download, PI-09 template import pass.</t>
        </is>
      </c>
      <c r="F6" s="49" t="inlineStr">
        <is>
          <t>PR #173 (merged to staging)</t>
        </is>
      </c>
    </row>
    <row r="7">
      <c r="A7" s="49" t="inlineStr">
        <is>
          <t>BPU-03</t>
        </is>
      </c>
      <c r="B7" s="49" t="inlineStr">
        <is>
          <t>Field mapping</t>
        </is>
      </c>
      <c r="C7" s="50" t="inlineStr">
        <is>
          <t>Done on Test</t>
        </is>
      </c>
      <c r="D7" s="49" t="inlineStr">
        <is>
          <t>2026-10-15</t>
        </is>
      </c>
      <c r="E7" s="49" t="inlineStr">
        <is>
          <t>All §2 fields mapped; Indian numbers, dd/mm/yyyy and Excel-serial dates, Y/N, units to cm/g. Unreadable values = warnings, raw kept. Decision: file MRP = listing MRP (shop_listing_details), never master. Live on test.gokesari.com 15 Oct: PI-03/PI-04/PI-09 pass.</t>
        </is>
      </c>
      <c r="F7" s="49" t="inlineStr">
        <is>
          <t>PR #173 (merged to staging)</t>
        </is>
      </c>
    </row>
    <row r="8">
      <c r="A8" s="49" t="inlineStr">
        <is>
          <t>BPU-04</t>
        </is>
      </c>
      <c r="B8" s="49" t="inlineStr">
        <is>
          <t>Matching &amp; master catalogue</t>
        </is>
      </c>
      <c r="C8" s="50" t="inlineStr">
        <is>
          <t>Done on Test</t>
        </is>
      </c>
      <c r="D8" s="49" t="inlineStr">
        <is>
          <t>2026-10-15</t>
        </is>
      </c>
      <c r="E8" s="49"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t>
        </is>
      </c>
      <c r="F8" s="49" t="inlineStr">
        <is>
          <t>PR #173 (merged to staging)</t>
        </is>
      </c>
    </row>
    <row r="9">
      <c r="A9" s="49" t="inlineStr">
        <is>
          <t>BPU-05</t>
        </is>
      </c>
      <c r="B9" s="49" t="inlineStr">
        <is>
          <t>Inventory update + ledger</t>
        </is>
      </c>
      <c r="C9" s="50" t="inlineStr">
        <is>
          <t>Done on Test</t>
        </is>
      </c>
      <c r="D9" s="49" t="inlineStr">
        <is>
          <t>2026-10-15</t>
        </is>
      </c>
      <c r="E9" s="49"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t>
        </is>
      </c>
      <c r="F9" s="49" t="inlineStr">
        <is>
          <t>PR #173 (merged to staging)</t>
        </is>
      </c>
    </row>
    <row r="10">
      <c r="A10" s="49" t="inlineStr">
        <is>
          <t>BPU-06</t>
        </is>
      </c>
      <c r="B10" s="49" t="inlineStr">
        <is>
          <t>Image import</t>
        </is>
      </c>
      <c r="C10" s="50" t="inlineStr">
        <is>
          <t>Done on Test</t>
        </is>
      </c>
      <c r="D10" s="49" t="inlineStr">
        <is>
          <t>2026-10-15</t>
        </is>
      </c>
      <c r="E10" s="49"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t>
        </is>
      </c>
      <c r="F10" s="49" t="inlineStr">
        <is>
          <t>PR #173 (merged to staging)</t>
        </is>
      </c>
    </row>
    <row r="11">
      <c r="A11" s="49" t="inlineStr">
        <is>
          <t>BPU-07</t>
        </is>
      </c>
      <c r="B11" s="49" t="inlineStr">
        <is>
          <t>Web UI (shop owner)</t>
        </is>
      </c>
      <c r="C11" s="50" t="inlineStr">
        <is>
          <t>Done on Test</t>
        </is>
      </c>
      <c r="D11" s="49" t="inlineStr">
        <is>
          <t>2026-10-15</t>
        </is>
      </c>
      <c r="E11" s="49"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t>
        </is>
      </c>
      <c r="F11" s="49" t="inlineStr">
        <is>
          <t>PR #173 (merged to staging)</t>
        </is>
      </c>
    </row>
    <row r="12">
      <c r="A12" s="49" t="inlineStr">
        <is>
          <t>BPU-08</t>
        </is>
      </c>
      <c r="B12" s="49" t="inlineStr">
        <is>
          <t>Web UI (admin/operator)</t>
        </is>
      </c>
      <c r="C12" s="50" t="inlineStr">
        <is>
          <t>Done on Test</t>
        </is>
      </c>
      <c r="D12" s="49" t="inlineStr">
        <is>
          <t>2026-10-15</t>
        </is>
      </c>
      <c r="E12" s="49"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t>
        </is>
      </c>
      <c r="F12" s="49" t="inlineStr">
        <is>
          <t>PR #173 (merged to staging)</t>
        </is>
      </c>
    </row>
    <row r="13">
      <c r="A13" s="49" t="inlineStr">
        <is>
          <t>BPU-09</t>
        </is>
      </c>
      <c r="B13" s="49" t="inlineStr">
        <is>
          <t>API</t>
        </is>
      </c>
      <c r="C13" s="50" t="inlineStr">
        <is>
          <t>Done on Test</t>
        </is>
      </c>
      <c r="D13" s="49" t="inlineStr">
        <is>
          <t>2026-10-15</t>
        </is>
      </c>
      <c r="E13" s="49" t="inlineStr">
        <is>
          <t>8 endpoints under /api/v1 (+ shop picker). Owner = own shops only; operator/admin any shop; audit-logged. Route tests pass. Live on test.gokesari.com 15 Oct: PI-08/PI-09/PI-15 and the staff runs use /api/v1.</t>
        </is>
      </c>
      <c r="F13" s="49" t="inlineStr">
        <is>
          <t>PR #173 (merged to staging)</t>
        </is>
      </c>
    </row>
    <row r="14">
      <c r="A14" s="49" t="inlineStr">
        <is>
          <t>BPU-10</t>
        </is>
      </c>
      <c r="B14" s="49" t="inlineStr">
        <is>
          <t>Android app</t>
        </is>
      </c>
      <c r="C14" s="50" t="inlineStr">
        <is>
          <t>In progress</t>
        </is>
      </c>
      <c r="D14" s="49" t="inlineStr">
        <is>
          <t>2026-10-15</t>
        </is>
      </c>
      <c r="E14" s="49"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49" t="inlineStr">
        <is>
          <t>PR #173 (merged to staging)</t>
        </is>
      </c>
    </row>
    <row r="15">
      <c r="A15" s="49" t="inlineStr">
        <is>
          <t>BPU-11</t>
        </is>
      </c>
      <c r="B15" s="49" t="inlineStr">
        <is>
          <t>iOS app</t>
        </is>
      </c>
      <c r="C15" s="51" t="inlineStr">
        <is>
          <t>Blocked</t>
        </is>
      </c>
      <c r="D15" s="49" t="inlineStr">
        <is>
          <t>2026-10-15</t>
        </is>
      </c>
      <c r="E15" s="49" t="inlineStr">
        <is>
          <t>Code is shared with Android (version 1.1.0 / buildNumber 2; iPhone Files picker). iPhone build/TestFlight runs on EAS and needs EXPO_TOKEN + Apple Developer account - not available to this session.</t>
        </is>
      </c>
      <c r="F15" s="49" t="inlineStr">
        <is>
          <t>claude/amazing-ritchie-9vlq9f</t>
        </is>
      </c>
    </row>
    <row r="16">
      <c r="A16" s="49" t="inlineStr">
        <is>
          <t>BPU-12</t>
        </is>
      </c>
      <c r="B16" s="49" t="inlineStr">
        <is>
          <t>Notifications</t>
        </is>
      </c>
      <c r="C16" s="50" t="inlineStr">
        <is>
          <t>Done on Test</t>
        </is>
      </c>
      <c r="D16" s="49" t="inlineStr">
        <is>
          <t>2026-10-15</t>
        </is>
      </c>
      <c r="E16" s="49"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t>
        </is>
      </c>
      <c r="F16" s="49" t="inlineStr">
        <is>
          <t>PR #173 (merged to staging)</t>
        </is>
      </c>
    </row>
    <row r="17">
      <c r="A17" s="49" t="inlineStr">
        <is>
          <t>BPU-13</t>
        </is>
      </c>
      <c r="B17" s="49" t="inlineStr">
        <is>
          <t>Import history &amp; reports</t>
        </is>
      </c>
      <c r="C17" s="50" t="inlineStr">
        <is>
          <t>Done on Test</t>
        </is>
      </c>
      <c r="D17" s="49" t="inlineStr">
        <is>
          <t>2026-10-15</t>
        </is>
      </c>
      <c r="E17" s="49" t="inlineStr">
        <is>
          <t>History list; result report XLSX/CSV (original rows + status + messages); file hash duplicate prompt; 90-day retention purge in the daily seller sweep. Live on test.gokesari.com 15 Oct: PI-06 report, PI-07 duplicate prompt, PI-08 history pass.</t>
        </is>
      </c>
      <c r="F17" s="49" t="inlineStr">
        <is>
          <t>PR #173 (merged to staging)</t>
        </is>
      </c>
    </row>
    <row r="18">
      <c r="A18" s="49" t="inlineStr">
        <is>
          <t>BPU-14</t>
        </is>
      </c>
      <c r="B18" s="49" t="inlineStr">
        <is>
          <t>Automated tests</t>
        </is>
      </c>
      <c r="C18" s="50" t="inlineStr">
        <is>
          <t>Done on Test</t>
        </is>
      </c>
      <c r="D18" s="49" t="inlineStr">
        <is>
          <t>2026-10-15</t>
        </is>
      </c>
      <c r="E18" s="49" t="inlineStr">
        <is>
          <t>Unit 18 + integration 23 + load 1 (5,000 rows: parse ~2 s, import ~95 s locally) pass; full suite run for regressions (see test report). Live on test.gokesari.com 15 Oct: 1,811 tests pass locally; CI green on PR #173; live run 23/23 pass.</t>
        </is>
      </c>
      <c r="F18" s="49" t="inlineStr">
        <is>
          <t>PR #173 (merged to staging)</t>
        </is>
      </c>
    </row>
    <row r="19">
      <c r="A19" s="49" t="inlineStr">
        <is>
          <t>BPU-15</t>
        </is>
      </c>
      <c r="B19" s="49" t="inlineStr">
        <is>
          <t>Test-server deployment</t>
        </is>
      </c>
      <c r="C19" s="51" t="inlineStr">
        <is>
          <t>Done on Test</t>
        </is>
      </c>
      <c r="D19" s="49" t="inlineStr">
        <is>
          <t>2026-10-15</t>
        </is>
      </c>
      <c r="E19" s="49" t="inlineStr">
        <is>
          <t>PR #173 merged into staging (2886cf3); test.gokesari.com deployed; Test database run 31 confirms 0077 (80 migrations). Live run 23/23 pass.</t>
        </is>
      </c>
      <c r="F19" s="49" t="inlineStr">
        <is>
          <t>PR #173 (merged to staging)</t>
        </is>
      </c>
    </row>
    <row r="20">
      <c r="A20" s="49" t="inlineStr">
        <is>
          <t>BPU-16</t>
        </is>
      </c>
      <c r="B20" s="49" t="inlineStr">
        <is>
          <t>Prod deployment</t>
        </is>
      </c>
      <c r="C20" s="51" t="inlineStr">
        <is>
          <t>Blocked</t>
        </is>
      </c>
      <c r="D20" s="49" t="inlineStr">
        <is>
          <t>2026-10-15</t>
        </is>
      </c>
      <c r="E20" s="49" t="inlineStr">
        <is>
          <t>Waiting for the owner's go-ahead: staging -&gt; main also releases #168, #169 and #171 (Inventory &amp; Accounting; its fix PR #172 is still open). Then Production database workflow (migrate) and prod smoke test.</t>
        </is>
      </c>
      <c r="F20" s="49" t="inlineStr">
        <is>
          <t>PR #173 (merged to staging)</t>
        </is>
      </c>
    </row>
    <row r="21">
      <c r="A21" s="49" t="inlineStr">
        <is>
          <t>BPU-17</t>
        </is>
      </c>
      <c r="B21" s="49" t="inlineStr">
        <is>
          <t>Testing report</t>
        </is>
      </c>
      <c r="C21" s="50" t="inlineStr">
        <is>
          <t>In progress</t>
        </is>
      </c>
      <c r="D21" s="49" t="inlineStr">
        <is>
          <t>2026-10-15</t>
        </is>
      </c>
      <c r="E21" s="49" t="inlineStr">
        <is>
          <t>Test column filled in (23/23 live pass, section 2.7); Prod column after the production release.</t>
        </is>
      </c>
      <c r="F21" s="49" t="inlineStr">
        <is>
          <t>PR #173 (merged to staging)</t>
        </is>
      </c>
    </row>
  </sheetData>
  <pageMargins left="0.75" right="0.75" top="1" bottom="1" header="0.5" footer="0.5"/>
</worksheet>
</file>

<file path=xl/worksheets/sheet3.xml><?xml version="1.0" encoding="utf-8"?>
<worksheet xmlns="http://schemas.openxmlformats.org/spreadsheetml/2006/main">
  <sheetPr filterMode="0">
    <tabColor rgb="FFC9450C"/>
    <outlinePr summaryBelow="1" summaryRight="1"/>
    <pageSetUpPr fitToPage="1"/>
  </sheetPr>
  <dimension ref="A1:R268"/>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(15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14 Oct</t>
        </is>
      </c>
      <c r="Q1" s="28" t="inlineStr">
        <is>
          <t>Change since 14 Oct (PRs #164-#171)</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No change</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51"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No change</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No change</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63"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#171 (test site): stock is now kept as a ledger of movements, written by database triggers at checkout, cancellation, subscriptions and catalogue edits (NEW-067). Production unchanged until released.</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27"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No change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51"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No change</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39"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No change</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The shop owner's own Inventory &amp; Accounting module (books, GST returns, supplier bills) is on the test site (NEW-067, #171). The external accounting-software sync and real GSP here are still blocked.</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No change</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No change</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No change</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No change</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No change</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No change</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COMPLETED</t>
        </is>
      </c>
      <c r="Q206" s="34" t="inlineStr">
        <is>
          <t>No change</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COMPLETED</t>
        </is>
      </c>
      <c r="Q207" s="34" t="inlineStr">
        <is>
          <t>No change</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COMPLETED</t>
        </is>
      </c>
      <c r="Q208" s="34" t="inlineStr">
        <is>
          <t>No change</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COMPLETED</t>
        </is>
      </c>
      <c r="Q209" s="34" t="inlineStr">
        <is>
          <t>#168 (test site, 14 Oct): owners with several shops can now switch shop in the top bar (NEW-066). Seller Central used on test in the 14 Oct order-lifecycle run (QA-008).</t>
        </is>
      </c>
      <c r="R209" s="34" t="inlineStr">
        <is>
          <t>docs/seller-central-2026-10/README.md; TEST_RESULTS.md</t>
        </is>
      </c>
    </row>
    <row r="210" ht="87"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COMPLETED</t>
        </is>
      </c>
      <c r="J210" s="34" t="inlineStr">
        <is>
          <t>Production (gokesari.com)</t>
        </is>
      </c>
      <c r="K210" s="34" t="inlineStr">
        <is>
          <t>Live - rule documentUpload.enabled = on; photos read in the owner's browser (DOCUMENT_OCR_BROWSER on by default; 'off' = server only)</t>
        </is>
      </c>
      <c r="L210" s="34" t="inlineStr">
        <is>
          <t>#146; #147 (25 s limit, 'type the details', health check); #148 (OCR engine shipped); #169 (photos read in the owner's browser)</t>
        </is>
      </c>
      <c r="M210" s="34" t="inlineStr">
        <is>
          <t>#149; #175 (#169 cherry-picked); #177 (same commit, no change)</t>
        </is>
      </c>
      <c r="N210" s="34" t="inlineStr">
        <is>
          <t>Scanned PDFs without a text layer still ask for a photo. iOS before 16 falls back to the server reader (owner types the details). No real owner upload on production recorded yet</t>
        </is>
      </c>
      <c r="O210" s="34" t="inlineStr">
        <is>
          <t>-</t>
        </is>
      </c>
      <c r="P210" s="34" t="inlineStr">
        <is>
          <t>IN PROGRESS</t>
        </is>
      </c>
      <c r="Q210" s="34" t="inlineStr">
        <is>
          <t>#169: photos read in the owner's browser (fixes D-18). Verified on test (15 Oct: fields pre-filled, engine browser-tesseract 92 %) and released 15 Oct (#175 / #177; production read-only checks PASS)</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COMPLETED</t>
        </is>
      </c>
      <c r="Q211" s="34" t="inlineStr">
        <is>
          <t>No change</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COMPLETED</t>
        </is>
      </c>
      <c r="Q212" s="34" t="inlineStr">
        <is>
          <t>No change</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COMPLETED</t>
        </is>
      </c>
      <c r="Q213" s="34" t="inlineStr">
        <is>
          <t>No change</t>
        </is>
      </c>
      <c r="R213" s="34" t="inlineStr">
        <is>
          <t>src/server/services/referrals.ts; src/server/services/societies.ts</t>
        </is>
      </c>
    </row>
    <row r="214" ht="63" customHeight="1" s="24">
      <c r="A214" s="32" t="n">
        <v>213</v>
      </c>
      <c r="B214" s="34" t="inlineStr">
        <is>
          <t>Delivered or started since 14 Oct</t>
        </is>
      </c>
      <c r="C214" s="31" t="inlineStr">
        <is>
          <t>NEW-066</t>
        </is>
      </c>
      <c r="D214" s="34" t="inlineStr">
        <is>
          <t>Shop Onboarding</t>
        </is>
      </c>
      <c r="E214" s="34" t="inlineStr">
        <is>
          <t>Seller Central shop switcher for owners with several shops</t>
        </is>
      </c>
      <c r="F214" s="34"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34" t="inlineStr">
        <is>
          <t>F8.4.4</t>
        </is>
      </c>
      <c r="H214" s="34" t="inlineStr">
        <is>
          <t>-</t>
        </is>
      </c>
      <c r="I214" s="32" t="inlineStr">
        <is>
          <t>IN PROGRESS</t>
        </is>
      </c>
      <c r="J214" s="34" t="inlineStr">
        <is>
          <t>Test site only (test.gokesari.com)</t>
        </is>
      </c>
      <c r="K214" s="34" t="inlineStr">
        <is>
          <t>Live on test (no rule)</t>
        </is>
      </c>
      <c r="L214" s="34" t="inlineStr">
        <is>
          <t>#168</t>
        </is>
      </c>
      <c r="M214" s="34" t="inlineStr">
        <is>
          <t>Not yet (test site only)</t>
        </is>
      </c>
      <c r="N214" s="34" t="inlineStr">
        <is>
          <t>Release to gokesari.com</t>
        </is>
      </c>
      <c r="O214" s="34" t="inlineStr">
        <is>
          <t>Release staging -&gt; main (Blockers #46)</t>
        </is>
      </c>
      <c r="P214" s="34" t="inlineStr">
        <is>
          <t>Not tracked</t>
        </is>
      </c>
      <c r="Q214" s="34" t="inlineStr">
        <is>
          <t>New: fixes the blocker found by the 14 Oct lifecycle run (owners saw only their newest shop). Checked on test: all 7 shops listed, choice kept after reload, the bakery's orders and rider pickup code shown.</t>
        </is>
      </c>
      <c r="R214" s="34" t="inlineStr">
        <is>
          <t>docs/order-lifecycle-2026-10/TEST_RESULTS_STAGING_2026-10-14.md; src/components/seller/shop-switcher.tsx; src/lib/seller/active-shop.ts</t>
        </is>
      </c>
    </row>
    <row r="215" ht="147" customHeight="1" s="24">
      <c r="A215" s="32" t="n">
        <v>214</v>
      </c>
      <c r="B215" s="34" t="inlineStr">
        <is>
          <t>Delivered or started since 14 Oct</t>
        </is>
      </c>
      <c r="C215" s="31" t="inlineStr">
        <is>
          <t>NEW-067</t>
        </is>
      </c>
      <c r="D215" s="34" t="inlineStr">
        <is>
          <t>Inventory</t>
        </is>
      </c>
      <c r="E215" s="34" t="inlineStr">
        <is>
          <t>Inventory &amp; Accounting for shop owners (/shop/accounts): stock ledger, books, GST returns, supplier bill capture</t>
        </is>
      </c>
      <c r="F215" s="34"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34" t="inlineStr">
        <is>
          <t>F9.2.7</t>
        </is>
      </c>
      <c r="H215" s="34" t="inlineStr">
        <is>
          <t>-</t>
        </is>
      </c>
      <c r="I215" s="32" t="inlineStr">
        <is>
          <t>IN PROGRESS</t>
        </is>
      </c>
      <c r="J215" s="34" t="inlineStr">
        <is>
          <t>Test site only (test.gokesari.com)</t>
        </is>
      </c>
      <c r="K215" s="34" t="inlineStr">
        <is>
          <t>No rule - on for every shop once released. GST_RETURNS_PROVIDER = mock on test (OTP 575757), none on production; AI bill reading only with INVOICE_EXTRACTION_PROVIDER = claude</t>
        </is>
      </c>
      <c r="L215" s="34" t="inlineStr">
        <is>
          <t>#171</t>
        </is>
      </c>
      <c r="M215" s="34" t="inlineStr">
        <is>
          <t>Not yet (test site only)</t>
        </is>
      </c>
      <c r="N215" s="34" t="inlineStr">
        <is>
          <t>No staging test report yet (TESTING_REPORT.md not written); the /shop/accounts home takes about 40 s to load on test (3 tries, 15 Oct; the bills page takes 3 s); CA check of the GST figures; a licensed GSP for portal pulls</t>
        </is>
      </c>
      <c r="O215" s="34" t="inlineStr">
        <is>
          <t>Run and record the staging test (scripts/test-site/accounts-check.mjs), fix the 40 s page, then release (Blockers #45)</t>
        </is>
      </c>
      <c r="P215" s="34" t="inlineStr">
        <is>
          <t>Not tracked</t>
        </is>
      </c>
      <c r="Q215" s="34" t="inlineStr">
        <is>
          <t>New: merged to staging 15 Oct 06:14 UTC. Migration 0076 (24 tables, 3 stock triggers, opening-balance backfill; rollback script) is on test - the pages load for a signed-in owner. Local: 104 unit / integration tests, E2E 11/11, live-site runner 27/27.</t>
        </is>
      </c>
      <c r="R215" s="34" t="inlineStr">
        <is>
          <t>docs/inventory-accounting-2026-10/README.md; drizzle/0076_inventory_accounting.sql</t>
        </is>
      </c>
    </row>
    <row r="216" ht="63" customHeight="1" s="24">
      <c r="A216" s="32" t="n">
        <v>215</v>
      </c>
      <c r="B216" s="34" t="inlineStr">
        <is>
          <t>Product Master Data Platform</t>
        </is>
      </c>
      <c r="C216" s="31" t="inlineStr">
        <is>
          <t>PMD-001</t>
        </is>
      </c>
      <c r="D216" s="34" t="inlineStr">
        <is>
          <t>Product Master</t>
        </is>
      </c>
      <c r="E216" s="34" t="inlineStr">
        <is>
          <t>Product Master Data Platform (pmd schema, pipeline, matching, review queue)</t>
        </is>
      </c>
      <c r="F216"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34" t="inlineStr">
        <is>
          <t>F9.1.1</t>
        </is>
      </c>
      <c r="H216" s="34" t="inlineStr">
        <is>
          <t>-</t>
        </is>
      </c>
      <c r="I216" s="32" t="inlineStr">
        <is>
          <t>COMPLETED</t>
        </is>
      </c>
      <c r="J216" s="34" t="inlineStr">
        <is>
          <t>Production (gokesari.com)</t>
        </is>
      </c>
      <c r="K216" s="34" t="inlineStr">
        <is>
          <t>Live (operators/admins)</t>
        </is>
      </c>
      <c r="L216" s="34" t="inlineStr">
        <is>
          <t>#1 (closed, superseded); #4; #49 (Excel import fix); #125 (rollback script hint)</t>
        </is>
      </c>
      <c r="M216" s="34" t="inlineStr">
        <is>
          <t>#8; #50; #131</t>
        </is>
      </c>
      <c r="N216" s="34" t="inlineStr">
        <is>
          <t>-</t>
        </is>
      </c>
      <c r="O216" s="34" t="inlineStr">
        <is>
          <t>-</t>
        </is>
      </c>
      <c r="P216" s="34" t="inlineStr">
        <is>
          <t>COMPLETED</t>
        </is>
      </c>
      <c r="Q216" s="34" t="inlineStr">
        <is>
          <t>No change</t>
        </is>
      </c>
      <c r="R216" s="34" t="inlineStr">
        <is>
          <t>src/server/pmd/**; drizzle/0015_product_master_platform.sql; docs/product-master/</t>
        </is>
      </c>
    </row>
    <row r="217" ht="63" customHeight="1" s="24">
      <c r="A217" s="32" t="n">
        <v>216</v>
      </c>
      <c r="B217" s="34" t="inlineStr">
        <is>
          <t>Product Master Data Platform</t>
        </is>
      </c>
      <c r="C217" s="31" t="inlineStr">
        <is>
          <t>PMD-002</t>
        </is>
      </c>
      <c r="D217" s="34" t="inlineStr">
        <is>
          <t>Product Master</t>
        </is>
      </c>
      <c r="E217" s="34" t="inlineStr">
        <is>
          <t>GS1 India and manufacturer-catalogue feeds</t>
        </is>
      </c>
      <c r="F217" s="34" t="inlineStr">
        <is>
          <t>Excel/CSV connectors with mapping templates, unit codes, GTIN zero-repair and GPC -&gt; category map; '--check' reports MRP/GST/HSN coverage on a real file before the source is enabled.</t>
        </is>
      </c>
      <c r="G217" s="34" t="inlineStr">
        <is>
          <t>F9.1.2</t>
        </is>
      </c>
      <c r="H217" s="34" t="inlineStr">
        <is>
          <t>-</t>
        </is>
      </c>
      <c r="I217" s="32" t="inlineStr">
        <is>
          <t>BLOCKED</t>
        </is>
      </c>
      <c r="J217" s="34" t="inlineStr">
        <is>
          <t>Production (gokesari.com)</t>
        </is>
      </c>
      <c r="K217" s="34" t="inlineStr">
        <is>
          <t>Sources disabled by design</t>
        </is>
      </c>
      <c r="L217" s="34" t="inlineStr">
        <is>
          <t>#2 (closed, superseded); #4</t>
        </is>
      </c>
      <c r="M217" s="34" t="inlineStr">
        <is>
          <t>#8</t>
        </is>
      </c>
      <c r="N217" s="34" t="inlineStr">
        <is>
          <t>Load real GS1 / brand data</t>
        </is>
      </c>
      <c r="O217" s="34" t="inlineStr">
        <is>
          <t>GS1 India agreement and brand permissions, plus a real sample file for each</t>
        </is>
      </c>
      <c r="P217" s="34" t="inlineStr">
        <is>
          <t>BLOCKED</t>
        </is>
      </c>
      <c r="Q217" s="34" t="inlineStr">
        <is>
          <t>No change</t>
        </is>
      </c>
      <c r="R217" s="34" t="inlineStr">
        <is>
          <t>docs/product-master/GS1_AND_MANUFACTURERS.md</t>
        </is>
      </c>
    </row>
    <row r="218" ht="39" customHeight="1" s="24">
      <c r="A218" s="32" t="n">
        <v>217</v>
      </c>
      <c r="B218" s="34" t="inlineStr">
        <is>
          <t>Product Master Data Platform</t>
        </is>
      </c>
      <c r="C218" s="31" t="inlineStr">
        <is>
          <t>PMD-003</t>
        </is>
      </c>
      <c r="D218" s="34" t="inlineStr">
        <is>
          <t>Product Master</t>
        </is>
      </c>
      <c r="E218" s="34" t="inlineStr">
        <is>
          <t>Loader rework for scale (bulk path, workers)</t>
        </is>
      </c>
      <c r="F218" s="34" t="inlineStr">
        <is>
          <t>Bulk path for unchanged and brand-new records, --workers N routed by brand, one-pass dashboard refresh; 191 new records/s and 7,300 unchanged/s locally (was 40-46 / 250).</t>
        </is>
      </c>
      <c r="G218" s="34" t="inlineStr">
        <is>
          <t>F9.1.1</t>
        </is>
      </c>
      <c r="H218" s="34" t="inlineStr">
        <is>
          <t>-</t>
        </is>
      </c>
      <c r="I218" s="32" t="inlineStr">
        <is>
          <t>COMPLETED</t>
        </is>
      </c>
      <c r="J218" s="34" t="inlineStr">
        <is>
          <t>Production (gokesari.com)</t>
        </is>
      </c>
      <c r="K218" s="34" t="inlineStr">
        <is>
          <t>Live (CLI)</t>
        </is>
      </c>
      <c r="L218" s="34" t="inlineStr">
        <is>
          <t>#3 (closed, superseded); #4</t>
        </is>
      </c>
      <c r="M218" s="34" t="inlineStr">
        <is>
          <t>#8</t>
        </is>
      </c>
      <c r="N218" s="34" t="inlineStr">
        <is>
          <t>Price-change path still per record</t>
        </is>
      </c>
      <c r="O218" s="34" t="inlineStr">
        <is>
          <t>-</t>
        </is>
      </c>
      <c r="P218" s="34" t="inlineStr">
        <is>
          <t>COMPLETED</t>
        </is>
      </c>
      <c r="Q218" s="34" t="inlineStr">
        <is>
          <t>No change</t>
        </is>
      </c>
      <c r="R218" s="34" t="inlineStr">
        <is>
          <t>src/server/pmd/pipeline/load.ts</t>
        </is>
      </c>
    </row>
    <row r="219" ht="39" customHeight="1" s="24">
      <c r="A219" s="32" t="n">
        <v>218</v>
      </c>
      <c r="B219" s="34" t="inlineStr">
        <is>
          <t>Product Master Data Platform</t>
        </is>
      </c>
      <c r="C219" s="31" t="inlineStr">
        <is>
          <t>PMD-004</t>
        </is>
      </c>
      <c r="D219" s="34" t="inlineStr">
        <is>
          <t>Product Master</t>
        </is>
      </c>
      <c r="E219" s="34" t="inlineStr">
        <is>
          <t>Promote master products into the shop catalogue</t>
        </is>
      </c>
      <c r="F219" s="34" t="inlineStr">
        <is>
          <t>scripts/pmd/promote.ts (dry run by default, --apply, --concurrency N), rollback-promotion.sql, one-command pilot-data copy, per-brand advisory lock against duplicate brands.</t>
        </is>
      </c>
      <c r="G219" s="34" t="inlineStr">
        <is>
          <t>F9.1.3</t>
        </is>
      </c>
      <c r="H219" s="34" t="inlineStr">
        <is>
          <t>-</t>
        </is>
      </c>
      <c r="I219" s="32" t="inlineStr">
        <is>
          <t>COMPLETED</t>
        </is>
      </c>
      <c r="J219" s="34" t="inlineStr">
        <is>
          <t>Production (gokesari.com)</t>
        </is>
      </c>
      <c r="K219" s="34" t="inlineStr">
        <is>
          <t>Live (CLI)</t>
        </is>
      </c>
      <c r="L219" s="34" t="inlineStr">
        <is>
          <t>#4; #5; #6</t>
        </is>
      </c>
      <c r="M219" s="34" t="inlineStr">
        <is>
          <t>#8</t>
        </is>
      </c>
      <c r="N219" s="34" t="inlineStr">
        <is>
          <t>-</t>
        </is>
      </c>
      <c r="O219" s="34" t="inlineStr">
        <is>
          <t>-</t>
        </is>
      </c>
      <c r="P219" s="34" t="inlineStr">
        <is>
          <t>COMPLETED</t>
        </is>
      </c>
      <c r="Q219" s="34" t="inlineStr">
        <is>
          <t>No change</t>
        </is>
      </c>
      <c r="R219" s="34" t="inlineStr">
        <is>
          <t>scripts/pmd/promote.ts; docs/product-master/PUBLISH_TO_SHOP.md</t>
        </is>
      </c>
    </row>
    <row r="220" ht="27" customHeight="1" s="24">
      <c r="A220" s="32" t="n">
        <v>219</v>
      </c>
      <c r="B220" s="34" t="inlineStr">
        <is>
          <t>Product Master Data Platform</t>
        </is>
      </c>
      <c r="C220" s="31" t="inlineStr">
        <is>
          <t>PMD-005</t>
        </is>
      </c>
      <c r="D220" s="34" t="inlineStr">
        <is>
          <t>Product Master</t>
        </is>
      </c>
      <c r="E220" s="34" t="inlineStr">
        <is>
          <t>Apply duplicate-review decisions in bulk</t>
        </is>
      </c>
      <c r="F220" s="34" t="inlineStr">
        <is>
          <t>scripts/pmd/review-decide.ts applies a JSON list of merge / close-as-different decisions through the review service (dry run by default).</t>
        </is>
      </c>
      <c r="G220" s="34" t="inlineStr">
        <is>
          <t>F9.1.1</t>
        </is>
      </c>
      <c r="H220" s="34" t="inlineStr">
        <is>
          <t>-</t>
        </is>
      </c>
      <c r="I220" s="32" t="inlineStr">
        <is>
          <t>COMPLETED</t>
        </is>
      </c>
      <c r="J220" s="34" t="inlineStr">
        <is>
          <t>Production (gokesari.com)</t>
        </is>
      </c>
      <c r="K220" s="34" t="inlineStr">
        <is>
          <t>Live (CLI)</t>
        </is>
      </c>
      <c r="L220" s="34" t="inlineStr">
        <is>
          <t>#9</t>
        </is>
      </c>
      <c r="M220" s="34" t="inlineStr">
        <is>
          <t>#12</t>
        </is>
      </c>
      <c r="N220" s="34" t="inlineStr">
        <is>
          <t>-</t>
        </is>
      </c>
      <c r="O220" s="34" t="inlineStr">
        <is>
          <t>-</t>
        </is>
      </c>
      <c r="P220" s="34" t="inlineStr">
        <is>
          <t>COMPLETED</t>
        </is>
      </c>
      <c r="Q220" s="34" t="inlineStr">
        <is>
          <t>No change</t>
        </is>
      </c>
      <c r="R220" s="34" t="inlineStr">
        <is>
          <t>scripts/pmd/review-decide.ts</t>
        </is>
      </c>
    </row>
    <row r="221" ht="39" customHeight="1" s="24">
      <c r="A221" s="32" t="n">
        <v>220</v>
      </c>
      <c r="B221" s="34" t="inlineStr">
        <is>
          <t>Product Master Data Platform</t>
        </is>
      </c>
      <c r="C221" s="31" t="inlineStr">
        <is>
          <t>PMD-006</t>
        </is>
      </c>
      <c r="D221" s="34" t="inlineStr">
        <is>
          <t>Product Master</t>
        </is>
      </c>
      <c r="E221" s="34" t="inlineStr">
        <is>
          <t>Large-scale ingestion (pilot step 9)</t>
        </is>
      </c>
      <c r="F221" s="34" t="inlineStr">
        <is>
          <t>Not started: the pilot report recommends one licensed non-food feed and loader work first.</t>
        </is>
      </c>
      <c r="G221" s="34" t="inlineStr">
        <is>
          <t>F9.1.4</t>
        </is>
      </c>
      <c r="H221" s="34" t="inlineStr">
        <is>
          <t>-</t>
        </is>
      </c>
      <c r="I221" s="32" t="inlineStr">
        <is>
          <t>YET TO START</t>
        </is>
      </c>
      <c r="J221" s="34" t="inlineStr">
        <is>
          <t>Not started</t>
        </is>
      </c>
      <c r="K221" s="34" t="inlineStr">
        <is>
          <t>-</t>
        </is>
      </c>
      <c r="L221" s="34" t="inlineStr">
        <is>
          <t>-</t>
        </is>
      </c>
      <c r="M221" s="34" t="inlineStr">
        <is>
          <t>-</t>
        </is>
      </c>
      <c r="N221" s="34" t="inlineStr">
        <is>
          <t>Whole step</t>
        </is>
      </c>
      <c r="O221" s="34" t="inlineStr">
        <is>
          <t>Explicit go-ahead; licensed feeds (PMD-002)</t>
        </is>
      </c>
      <c r="P221" s="34" t="inlineStr">
        <is>
          <t>YET TO START</t>
        </is>
      </c>
      <c r="Q221" s="34" t="inlineStr">
        <is>
          <t>No change</t>
        </is>
      </c>
      <c r="R221" s="34" t="inlineStr">
        <is>
          <t>docs/product-master/PILOT_REPORT.md</t>
        </is>
      </c>
    </row>
    <row r="222" ht="27" customHeight="1" s="24">
      <c r="A222" s="32" t="n">
        <v>221</v>
      </c>
      <c r="B222" s="34" t="inlineStr">
        <is>
          <t>Product Master Data Platform</t>
        </is>
      </c>
      <c r="C222" s="31" t="inlineStr">
        <is>
          <t>PMD-007</t>
        </is>
      </c>
      <c r="D222" s="34" t="inlineStr">
        <is>
          <t>Product Master</t>
        </is>
      </c>
      <c r="E222" s="34" t="inlineStr">
        <is>
          <t>Product browser / edit screens, promote button, scheduler and alerting</t>
        </is>
      </c>
      <c r="F222" s="34" t="inlineStr">
        <is>
          <t>Not built: promotion and scheduling are CLI-only today (no promote button in /admin/product-master).</t>
        </is>
      </c>
      <c r="G222" s="34" t="inlineStr">
        <is>
          <t>F9.1.4</t>
        </is>
      </c>
      <c r="H222" s="34" t="inlineStr">
        <is>
          <t>-</t>
        </is>
      </c>
      <c r="I222" s="32" t="inlineStr">
        <is>
          <t>YET TO START</t>
        </is>
      </c>
      <c r="J222" s="34" t="inlineStr">
        <is>
          <t>Not started</t>
        </is>
      </c>
      <c r="K222" s="34" t="inlineStr">
        <is>
          <t>-</t>
        </is>
      </c>
      <c r="L222" s="34" t="inlineStr">
        <is>
          <t>-</t>
        </is>
      </c>
      <c r="M222" s="34" t="inlineStr">
        <is>
          <t>-</t>
        </is>
      </c>
      <c r="N222" s="34" t="inlineStr">
        <is>
          <t>Whole item</t>
        </is>
      </c>
      <c r="O222" s="34" t="inlineStr">
        <is>
          <t>-</t>
        </is>
      </c>
      <c r="P222" s="34" t="inlineStr">
        <is>
          <t>YET TO START</t>
        </is>
      </c>
      <c r="Q222" s="34" t="inlineStr">
        <is>
          <t>No change</t>
        </is>
      </c>
      <c r="R222" s="34" t="inlineStr">
        <is>
          <t>docs/product-master/PILOT_REPORT.md</t>
        </is>
      </c>
    </row>
    <row r="223" ht="39" customHeight="1" s="24">
      <c r="A223" s="32" t="n">
        <v>222</v>
      </c>
      <c r="B223" s="34" t="inlineStr">
        <is>
          <t>Platform &amp; DevOps</t>
        </is>
      </c>
      <c r="C223" s="31" t="inlineStr">
        <is>
          <t>PLT-001</t>
        </is>
      </c>
      <c r="D223" s="34" t="inlineStr">
        <is>
          <t>Platform</t>
        </is>
      </c>
      <c r="E223" s="34" t="inlineStr">
        <is>
          <t>Hostinger build and dev server (webpack, @/ alias)</t>
        </is>
      </c>
      <c r="F223" s="34" t="inlineStr">
        <is>
          <t>Production builds use webpack so Hostinger deploys succeed; @/ import alias resolved without TypeScript installed; npm run dev starts again under Next 16.</t>
        </is>
      </c>
      <c r="G223" s="34" t="inlineStr">
        <is>
          <t>-</t>
        </is>
      </c>
      <c r="H223" s="34" t="inlineStr">
        <is>
          <t>-</t>
        </is>
      </c>
      <c r="I223" s="32" t="inlineStr">
        <is>
          <t>COMPLETED</t>
        </is>
      </c>
      <c r="J223" s="34" t="inlineStr">
        <is>
          <t>Production (gokesari.com)</t>
        </is>
      </c>
      <c r="K223" s="34" t="inlineStr">
        <is>
          <t>Live</t>
        </is>
      </c>
      <c r="L223" s="34" t="inlineStr">
        <is>
          <t>#17; #20; #35</t>
        </is>
      </c>
      <c r="M223" s="34" t="inlineStr">
        <is>
          <t>#19; #35</t>
        </is>
      </c>
      <c r="N223" s="34" t="inlineStr">
        <is>
          <t>-</t>
        </is>
      </c>
      <c r="O223" s="34" t="inlineStr">
        <is>
          <t>-</t>
        </is>
      </c>
      <c r="P223" s="34" t="inlineStr">
        <is>
          <t>COMPLETED</t>
        </is>
      </c>
      <c r="Q223" s="34" t="inlineStr">
        <is>
          <t>No change</t>
        </is>
      </c>
      <c r="R223" s="34" t="inlineStr">
        <is>
          <t>package.json; next.config.ts</t>
        </is>
      </c>
    </row>
    <row r="224" ht="27" customHeight="1" s="24">
      <c r="A224" s="32" t="n">
        <v>223</v>
      </c>
      <c r="B224" s="34" t="inlineStr">
        <is>
          <t>Platform &amp; DevOps</t>
        </is>
      </c>
      <c r="C224" s="31" t="inlineStr">
        <is>
          <t>PLT-002</t>
        </is>
      </c>
      <c r="D224" s="34" t="inlineStr">
        <is>
          <t>Platform</t>
        </is>
      </c>
      <c r="E224" s="34" t="inlineStr">
        <is>
          <t>Root-cause logging for failed database queries</t>
        </is>
      </c>
      <c r="F224" s="34" t="inlineStr">
        <is>
          <t>onRequestError and API error handler log the cause chain (message + code, never the connection string).</t>
        </is>
      </c>
      <c r="G224" s="34" t="inlineStr">
        <is>
          <t>-</t>
        </is>
      </c>
      <c r="H224" s="34" t="inlineStr">
        <is>
          <t>-</t>
        </is>
      </c>
      <c r="I224" s="32" t="inlineStr">
        <is>
          <t>COMPLETED</t>
        </is>
      </c>
      <c r="J224" s="34" t="inlineStr">
        <is>
          <t>Production (gokesari.com)</t>
        </is>
      </c>
      <c r="K224" s="34" t="inlineStr">
        <is>
          <t>Live</t>
        </is>
      </c>
      <c r="L224" s="34" t="inlineStr">
        <is>
          <t>#13 (#16 closed)</t>
        </is>
      </c>
      <c r="M224" s="34" t="inlineStr">
        <is>
          <t>#19</t>
        </is>
      </c>
      <c r="N224" s="34" t="inlineStr">
        <is>
          <t>-</t>
        </is>
      </c>
      <c r="O224" s="34" t="inlineStr">
        <is>
          <t>-</t>
        </is>
      </c>
      <c r="P224" s="34" t="inlineStr">
        <is>
          <t>COMPLETED</t>
        </is>
      </c>
      <c r="Q224" s="34" t="inlineStr">
        <is>
          <t>No change</t>
        </is>
      </c>
      <c r="R224" s="34" t="inlineStr">
        <is>
          <t>src/instrumentation.ts; src/lib/errors.ts</t>
        </is>
      </c>
    </row>
    <row r="225" ht="27" customHeight="1" s="24">
      <c r="A225" s="32" t="n">
        <v>224</v>
      </c>
      <c r="B225" s="34" t="inlineStr">
        <is>
          <t>Platform &amp; DevOps</t>
        </is>
      </c>
      <c r="C225" s="31" t="inlineStr">
        <is>
          <t>PLT-003</t>
        </is>
      </c>
      <c r="D225" s="34" t="inlineStr">
        <is>
          <t>Platform</t>
        </is>
      </c>
      <c r="E225" s="34" t="inlineStr">
        <is>
          <t>CI pipeline (typecheck, lint, tests on PostgreSQL, build)</t>
        </is>
      </c>
      <c r="F225" s="34" t="inlineStr">
        <is>
          <t>Every PR runs migrations on a fresh Postgres, typecheck, lint, unit + integration tests and a production build; actions on Node 24.</t>
        </is>
      </c>
      <c r="G225" s="34" t="inlineStr">
        <is>
          <t>F14.1.1</t>
        </is>
      </c>
      <c r="H225" s="34" t="inlineStr">
        <is>
          <t>-</t>
        </is>
      </c>
      <c r="I225" s="32" t="inlineStr">
        <is>
          <t>COMPLETED</t>
        </is>
      </c>
      <c r="J225" s="34" t="inlineStr">
        <is>
          <t>Production (gokesari.com)</t>
        </is>
      </c>
      <c r="K225" s="34" t="inlineStr">
        <is>
          <t>Live</t>
        </is>
      </c>
      <c r="L225" s="34" t="inlineStr">
        <is>
          <t>Baseline; #7</t>
        </is>
      </c>
      <c r="M225" s="34" t="inlineStr">
        <is>
          <t>#8</t>
        </is>
      </c>
      <c r="N225" s="34" t="inlineStr">
        <is>
          <t>-</t>
        </is>
      </c>
      <c r="O225" s="34" t="inlineStr">
        <is>
          <t>-</t>
        </is>
      </c>
      <c r="P225" s="34" t="inlineStr">
        <is>
          <t>COMPLETED</t>
        </is>
      </c>
      <c r="Q225" s="34" t="inlineStr">
        <is>
          <t>No change</t>
        </is>
      </c>
      <c r="R225" s="34" t="inlineStr">
        <is>
          <t>.github/workflows/</t>
        </is>
      </c>
    </row>
    <row r="226" ht="27" customHeight="1" s="24">
      <c r="A226" s="32" t="n">
        <v>225</v>
      </c>
      <c r="B226" s="34" t="inlineStr">
        <is>
          <t>Platform &amp; DevOps</t>
        </is>
      </c>
      <c r="C226" s="31" t="inlineStr">
        <is>
          <t>PLT-004</t>
        </is>
      </c>
      <c r="D226" s="34" t="inlineStr">
        <is>
          <t>Security</t>
        </is>
      </c>
      <c r="E226" s="34" t="inlineStr">
        <is>
          <t>Dependency security patches</t>
        </is>
      </c>
      <c r="F226" s="34" t="inlineStr">
        <is>
          <t>Next.js 16.3.6 security bump; sharp, brace-expansion, source-map-js and js-yaml patched (production npm audit: 0).</t>
        </is>
      </c>
      <c r="G226" s="34" t="inlineStr">
        <is>
          <t>-</t>
        </is>
      </c>
      <c r="H226" s="34" t="inlineStr">
        <is>
          <t>-</t>
        </is>
      </c>
      <c r="I226" s="32" t="inlineStr">
        <is>
          <t>COMPLETED</t>
        </is>
      </c>
      <c r="J226" s="34" t="inlineStr">
        <is>
          <t>Production (gokesari.com)</t>
        </is>
      </c>
      <c r="K226" s="34" t="inlineStr">
        <is>
          <t>Live</t>
        </is>
      </c>
      <c r="L226" s="34" t="inlineStr">
        <is>
          <t>#19 (Next.js bump commit); #66 (#15, #16 closed)</t>
        </is>
      </c>
      <c r="M226" s="34" t="inlineStr">
        <is>
          <t>#19; #65</t>
        </is>
      </c>
      <c r="N226" s="34" t="inlineStr">
        <is>
          <t>-</t>
        </is>
      </c>
      <c r="O226" s="34" t="inlineStr">
        <is>
          <t>-</t>
        </is>
      </c>
      <c r="P226" s="34" t="inlineStr">
        <is>
          <t>COMPLETED</t>
        </is>
      </c>
      <c r="Q226" s="34" t="inlineStr">
        <is>
          <t>No change</t>
        </is>
      </c>
      <c r="R226" s="34" t="inlineStr">
        <is>
          <t>package-lock.json</t>
        </is>
      </c>
    </row>
    <row r="227" ht="27" customHeight="1" s="24">
      <c r="A227" s="32" t="n">
        <v>226</v>
      </c>
      <c r="B227" s="34" t="inlineStr">
        <is>
          <t>Platform &amp; DevOps</t>
        </is>
      </c>
      <c r="C227" s="31" t="inlineStr">
        <is>
          <t>PLT-005</t>
        </is>
      </c>
      <c r="D227" s="34" t="inlineStr">
        <is>
          <t>Platform</t>
        </is>
      </c>
      <c r="E227" s="34" t="inlineStr">
        <is>
          <t>GoKesari domain and repository hygiene</t>
        </is>
      </c>
      <c r="F227" s="34" t="inlineStr">
        <is>
          <t>CNAME and docs point at gokesari.com; other brand's runbook removed; GoKesari-only scope rule for Claude chats.</t>
        </is>
      </c>
      <c r="G227" s="34" t="inlineStr">
        <is>
          <t>-</t>
        </is>
      </c>
      <c r="H227" s="34" t="inlineStr">
        <is>
          <t>-</t>
        </is>
      </c>
      <c r="I227" s="32" t="inlineStr">
        <is>
          <t>COMPLETED</t>
        </is>
      </c>
      <c r="J227" s="34" t="inlineStr">
        <is>
          <t>Production (gokesari.com)</t>
        </is>
      </c>
      <c r="K227" s="34" t="inlineStr">
        <is>
          <t>Live</t>
        </is>
      </c>
      <c r="L227" s="34" t="inlineStr">
        <is>
          <t>#25; #33; #41 (#27 closed)</t>
        </is>
      </c>
      <c r="M227" s="34" t="inlineStr">
        <is>
          <t>#32; #36; #43</t>
        </is>
      </c>
      <c r="N227" s="34" t="inlineStr">
        <is>
          <t>-</t>
        </is>
      </c>
      <c r="O227" s="34" t="inlineStr">
        <is>
          <t>-</t>
        </is>
      </c>
      <c r="P227" s="34" t="inlineStr">
        <is>
          <t>COMPLETED</t>
        </is>
      </c>
      <c r="Q227" s="34" t="inlineStr">
        <is>
          <t>No change</t>
        </is>
      </c>
      <c r="R227" s="34" t="inlineStr">
        <is>
          <t>CNAME; CLAUDE.md</t>
        </is>
      </c>
    </row>
    <row r="228" ht="39" customHeight="1" s="24">
      <c r="A228" s="32" t="n">
        <v>227</v>
      </c>
      <c r="B228" s="34" t="inlineStr">
        <is>
          <t>Platform &amp; DevOps</t>
        </is>
      </c>
      <c r="C228" s="31" t="inlineStr">
        <is>
          <t>PLT-006</t>
        </is>
      </c>
      <c r="D228" s="34" t="inlineStr">
        <is>
          <t>Platform</t>
        </is>
      </c>
      <c r="E228" s="34" t="inlineStr">
        <is>
          <t>Deployment runbooks</t>
        </is>
      </c>
      <c r="F228" s="34" t="inlineStr">
        <is>
          <t>Ordered deploy runbook (backup, ledger checks, migrate, crons, smoke test, rollback); row-count checks derived from the checkout so they cannot go stale.</t>
        </is>
      </c>
      <c r="G228" s="34" t="inlineStr">
        <is>
          <t>F14.2.2</t>
        </is>
      </c>
      <c r="H228" s="34" t="inlineStr">
        <is>
          <t>-</t>
        </is>
      </c>
      <c r="I228" s="32" t="inlineStr">
        <is>
          <t>COMPLETED</t>
        </is>
      </c>
      <c r="J228" s="34" t="inlineStr">
        <is>
          <t>Production (gokesari.com)</t>
        </is>
      </c>
      <c r="K228" s="34" t="inlineStr">
        <is>
          <t>Live</t>
        </is>
      </c>
      <c r="L228" s="34" t="inlineStr">
        <is>
          <t>#37; #88</t>
        </is>
      </c>
      <c r="M228" s="34" t="inlineStr">
        <is>
          <t>#37; #88</t>
        </is>
      </c>
      <c r="N228" s="34" t="inlineStr">
        <is>
          <t>-</t>
        </is>
      </c>
      <c r="O228" s="34" t="inlineStr">
        <is>
          <t>-</t>
        </is>
      </c>
      <c r="P228" s="34" t="inlineStr">
        <is>
          <t>COMPLETED</t>
        </is>
      </c>
      <c r="Q228" s="34" t="inlineStr">
        <is>
          <t>No change</t>
        </is>
      </c>
      <c r="R228" s="34" t="inlineStr">
        <is>
          <t>docs/gokesari-audit/DEPLOY_RUNBOOK.md</t>
        </is>
      </c>
    </row>
    <row r="229" ht="39" customHeight="1" s="24">
      <c r="A229" s="32" t="n">
        <v>228</v>
      </c>
      <c r="B229" s="34" t="inlineStr">
        <is>
          <t>Platform &amp; DevOps</t>
        </is>
      </c>
      <c r="C229" s="31" t="inlineStr">
        <is>
          <t>PLT-007</t>
        </is>
      </c>
      <c r="D229" s="34" t="inlineStr">
        <is>
          <t>Platform</t>
        </is>
      </c>
      <c r="E229" s="34" t="inlineStr">
        <is>
          <t>Opt-in automatic migration during the build (MIGRATE_ON_BUILD)</t>
        </is>
      </c>
      <c r="F229" s="34" t="inlineStr">
        <is>
          <t>npm run build runs pending migrations first when MIGRATE_ON_BUILD=true (one transaction; a failed migration stops the build); logs only database name/host and count.</t>
        </is>
      </c>
      <c r="G229" s="34" t="inlineStr">
        <is>
          <t>F14.2.2</t>
        </is>
      </c>
      <c r="H229" s="34" t="inlineStr">
        <is>
          <t>-</t>
        </is>
      </c>
      <c r="I229" s="32" t="inlineStr">
        <is>
          <t>COMPLETED</t>
        </is>
      </c>
      <c r="J229" s="34" t="inlineStr">
        <is>
          <t>Production (gokesari.com)</t>
        </is>
      </c>
      <c r="K229" s="34" t="inlineStr">
        <is>
          <t>On for gokesari.com and test.gokesari.com (MIGRATE_ON_BUILD=true)</t>
        </is>
      </c>
      <c r="L229" s="34" t="inlineStr">
        <is>
          <t>#85; #90 (shared migration lock)</t>
        </is>
      </c>
      <c r="M229" s="34" t="inlineStr">
        <is>
          <t>#120</t>
        </is>
      </c>
      <c r="N229" s="34" t="inlineStr">
        <is>
          <t>-</t>
        </is>
      </c>
      <c r="O229" s="34" t="inlineStr">
        <is>
          <t>-</t>
        </is>
      </c>
      <c r="P229" s="34" t="inlineStr">
        <is>
          <t>COMPLETED</t>
        </is>
      </c>
      <c r="Q229" s="34" t="inlineStr">
        <is>
          <t>No change</t>
        </is>
      </c>
      <c r="R229" s="34" t="inlineStr">
        <is>
          <t>-</t>
        </is>
      </c>
    </row>
    <row r="230" ht="51" customHeight="1" s="24">
      <c r="A230" s="32" t="n">
        <v>229</v>
      </c>
      <c r="B230" s="34" t="inlineStr">
        <is>
          <t>Platform &amp; DevOps</t>
        </is>
      </c>
      <c r="C230" s="31" t="inlineStr">
        <is>
          <t>PLT-008</t>
        </is>
      </c>
      <c r="D230" s="34" t="inlineStr">
        <is>
          <t>Platform</t>
        </is>
      </c>
      <c r="E230" s="34" t="inlineStr">
        <is>
          <t>'Test database' workflow (backup, migrate, settings, verify)</t>
        </is>
      </c>
      <c r="F230" s="34" t="inlineStr">
        <is>
          <t>GitHub Actions workflow for test.gokesari.com: pg_dump backup before every change, migrate, apply test settings / wallet settings / credits, verify against the branch's newest migration; guarded to the test host and to staging.</t>
        </is>
      </c>
      <c r="G230" s="34" t="inlineStr">
        <is>
          <t>F14.1.2</t>
        </is>
      </c>
      <c r="H230" s="34" t="inlineStr">
        <is>
          <t>-</t>
        </is>
      </c>
      <c r="I230" s="32" t="inlineStr">
        <is>
          <t>COMPLETED</t>
        </is>
      </c>
      <c r="J230" s="34" t="inlineStr">
        <is>
          <t>GitHub Actions (runs from staging)</t>
        </is>
      </c>
      <c r="K230" s="34" t="inlineStr">
        <is>
          <t>Live for the test database</t>
        </is>
      </c>
      <c r="L230" s="34" t="inlineStr">
        <is>
          <t>#90; #94; #95, #96, #97, #99 (data); #102 (four-features settings, E2E accounts, read-only report)</t>
        </is>
      </c>
      <c r="M230" s="34" t="inlineStr">
        <is>
          <t>Not needed (test only)</t>
        </is>
      </c>
      <c r="N230" s="34" t="inlineStr">
        <is>
          <t>Nightly backup now scheduled: the workflow file reached main in #120</t>
        </is>
      </c>
      <c r="O230" s="34" t="inlineStr">
        <is>
          <t>-</t>
        </is>
      </c>
      <c r="P230" s="34" t="inlineStr">
        <is>
          <t>COMPLETED</t>
        </is>
      </c>
      <c r="Q230" s="34" t="inlineStr">
        <is>
          <t>No change</t>
        </is>
      </c>
      <c r="R230" s="34" t="inlineStr">
        <is>
          <t>.github/workflows/test-db.yml; scripts/test-db/</t>
        </is>
      </c>
    </row>
    <row r="231" ht="111" customHeight="1" s="24">
      <c r="A231" s="32" t="n">
        <v>230</v>
      </c>
      <c r="B231" s="34" t="inlineStr">
        <is>
          <t>Platform &amp; DevOps</t>
        </is>
      </c>
      <c r="C231" s="31" t="inlineStr">
        <is>
          <t>PLT-009</t>
        </is>
      </c>
      <c r="D231" s="34" t="inlineStr">
        <is>
          <t>Platform</t>
        </is>
      </c>
      <c r="E231" s="34" t="inlineStr">
        <is>
          <t>'Production database' workflow (verify / migrate with typed confirmation)</t>
        </is>
      </c>
      <c r="F231" s="34" t="inlineStr">
        <is>
          <t>Manual-only workflow from main: verify shows production's pending migrations; migrate needs 'MIGRATE PRODUCTION', refuses migrations not already on test, records a Neon restore point, no data leaves the database.</t>
        </is>
      </c>
      <c r="G231" s="34" t="inlineStr">
        <is>
          <t>F14.2.1</t>
        </is>
      </c>
      <c r="H231" s="34" t="inlineStr">
        <is>
          <t>-</t>
        </is>
      </c>
      <c r="I231" s="32" t="inlineStr">
        <is>
          <t>BLOCKED</t>
        </is>
      </c>
      <c r="J231" s="34" t="inlineStr">
        <is>
          <t>GitHub Actions (runs from main)</t>
        </is>
      </c>
      <c r="K231" s="34" t="inlineStr">
        <is>
          <t>-</t>
        </is>
      </c>
      <c r="L231" s="34" t="inlineStr">
        <is>
          <t>#93; #118 (onto main)</t>
        </is>
      </c>
      <c r="M231" s="34" t="inlineStr">
        <is>
          <t>#118</t>
        </is>
      </c>
      <c r="N231" s="34" t="inlineStr">
        <is>
          <t>Repository-level secrets/variables are not set</t>
        </is>
      </c>
      <c r="O231" s="34" t="inlineStr">
        <is>
          <t>Owner: PROD_DATABASE_URL is still not visible to Actions - nine copy-shops / db-split plan or verify runs got an empty value (Blockers #32)</t>
        </is>
      </c>
      <c r="P231" s="34" t="inlineStr">
        <is>
          <t>BLOCKED</t>
        </is>
      </c>
      <c r="Q231" s="34" t="inlineStr">
        <is>
          <t>No change</t>
        </is>
      </c>
      <c r="R231" s="34" t="inlineStr">
        <is>
          <t>docs/event-driven-2026-10/PROD_DB.md</t>
        </is>
      </c>
    </row>
    <row r="232" ht="51" customHeight="1" s="24">
      <c r="A232" s="32" t="n">
        <v>231</v>
      </c>
      <c r="B232" s="34" t="inlineStr">
        <is>
          <t>Platform &amp; DevOps</t>
        </is>
      </c>
      <c r="C232" s="31" t="inlineStr">
        <is>
          <t>PLT-010</t>
        </is>
      </c>
      <c r="D232" s="34" t="inlineStr">
        <is>
          <t>Platform</t>
        </is>
      </c>
      <c r="E232" s="34" t="inlineStr">
        <is>
          <t>'Android APK' workflow - installable test builds without any accounts</t>
        </is>
      </c>
      <c r="F232" s="34" t="inlineStr">
        <is>
          <t>Builds GoKesari-preview-apk (test.gokesari.com) and GoKesari-production-apk (gokesari.com) on GitHub for every change to mobile/ and on demand; download from the run's Artifacts. Signed with a shared test key, so it cannot be upgraded to a Play Store build.</t>
        </is>
      </c>
      <c r="G232" s="34" t="inlineStr">
        <is>
          <t>F15.1.1</t>
        </is>
      </c>
      <c r="H232" s="34" t="inlineStr">
        <is>
          <t>-</t>
        </is>
      </c>
      <c r="I232" s="32" t="inlineStr">
        <is>
          <t>COMPLETED</t>
        </is>
      </c>
      <c r="J232" s="34" t="inlineStr">
        <is>
          <t>GitHub Actions (runs from main)</t>
        </is>
      </c>
      <c r="K232" s="34" t="inlineStr">
        <is>
          <t>Live</t>
        </is>
      </c>
      <c r="L232" s="34" t="inlineStr">
        <is>
          <t>#100</t>
        </is>
      </c>
      <c r="M232" s="34" t="inlineStr">
        <is>
          <t>#100</t>
        </is>
      </c>
      <c r="N232" s="34" t="inlineStr">
        <is>
          <t>-</t>
        </is>
      </c>
      <c r="O232" s="34" t="inlineStr">
        <is>
          <t>-</t>
        </is>
      </c>
      <c r="P232" s="34" t="inlineStr">
        <is>
          <t>COMPLETED</t>
        </is>
      </c>
      <c r="Q232" s="34" t="inlineStr">
        <is>
          <t>No change</t>
        </is>
      </c>
      <c r="R232" s="34" t="inlineStr">
        <is>
          <t>.github/workflows/mobile-apk.yml</t>
        </is>
      </c>
    </row>
    <row r="233" ht="51" customHeight="1" s="24">
      <c r="A233" s="32" t="n">
        <v>232</v>
      </c>
      <c r="B233" s="34" t="inlineStr">
        <is>
          <t>Platform &amp; DevOps</t>
        </is>
      </c>
      <c r="C233" s="31" t="inlineStr">
        <is>
          <t>PLT-011</t>
        </is>
      </c>
      <c r="D233" s="34" t="inlineStr">
        <is>
          <t>Platform</t>
        </is>
      </c>
      <c r="E233" s="34" t="inlineStr">
        <is>
          <t>'Sandbox payment' workflow - pay Cashfree sandbox checkouts for E2E tests</t>
        </is>
      </c>
      <c r="F233" s="34" t="inlineStr">
        <is>
          <t>Pays a Cashfree SANDBOX checkout session with Cashfree's test instruments (UPI collect, credit / debit card with the simulator OTP, net banking; success or failure) from a GitHub runner. Sandbox host hard-coded, no secrets.</t>
        </is>
      </c>
      <c r="G233" s="34" t="inlineStr">
        <is>
          <t>F14.1.4</t>
        </is>
      </c>
      <c r="H233" s="34" t="inlineStr">
        <is>
          <t>-</t>
        </is>
      </c>
      <c r="I233" s="32" t="inlineStr">
        <is>
          <t>COMPLETED</t>
        </is>
      </c>
      <c r="J233" s="34" t="inlineStr">
        <is>
          <t>GitHub Actions (runs from staging)</t>
        </is>
      </c>
      <c r="K233" s="34" t="inlineStr">
        <is>
          <t>Live for the test site</t>
        </is>
      </c>
      <c r="L233" s="34" t="inlineStr">
        <is>
          <t>#102; #103 (card and net-banking simulator)</t>
        </is>
      </c>
      <c r="M233" s="34" t="inlineStr">
        <is>
          <t>Not needed (test only)</t>
        </is>
      </c>
      <c r="N233" s="34" t="inlineStr">
        <is>
          <t>-</t>
        </is>
      </c>
      <c r="O233" s="34" t="inlineStr">
        <is>
          <t>-</t>
        </is>
      </c>
      <c r="P233" s="34" t="inlineStr">
        <is>
          <t>COMPLETED</t>
        </is>
      </c>
      <c r="Q233" s="34" t="inlineStr">
        <is>
          <t>No change</t>
        </is>
      </c>
      <c r="R233" s="34" t="inlineStr">
        <is>
          <t>.github/workflows/sandbox-pay.yml; scripts/test-site/sandbox-pay.mjs</t>
        </is>
      </c>
    </row>
    <row r="234" ht="51" customHeight="1" s="24">
      <c r="A234" s="32" t="n">
        <v>233</v>
      </c>
      <c r="B234" s="34" t="inlineStr">
        <is>
          <t>Platform &amp; DevOps</t>
        </is>
      </c>
      <c r="C234" s="31" t="inlineStr">
        <is>
          <t>PLT-012</t>
        </is>
      </c>
      <c r="D234" s="34" t="inlineStr">
        <is>
          <t>Performance</t>
        </is>
      </c>
      <c r="E234" s="34" t="inlineStr">
        <is>
          <t>One database read per fact per page render</t>
        </is>
      </c>
      <c r="F234" s="34" t="inlineStr">
        <is>
          <t>React cache() on the session lookup, addresses, wallet, unread count, roles, staff shops and cart count for one server render; callers asking for the same business rule at once share one query. 52 -&gt; 24 queries per signed-in home page; no behaviour change.</t>
        </is>
      </c>
      <c r="G234" s="34" t="inlineStr">
        <is>
          <t>-</t>
        </is>
      </c>
      <c r="H234" s="34" t="inlineStr">
        <is>
          <t>-</t>
        </is>
      </c>
      <c r="I234" s="32" t="inlineStr">
        <is>
          <t>COMPLETED</t>
        </is>
      </c>
      <c r="J234" s="34" t="inlineStr">
        <is>
          <t>Production (gokesari.com)</t>
        </is>
      </c>
      <c r="K234" s="34" t="inlineStr">
        <is>
          <t>Live</t>
        </is>
      </c>
      <c r="L234" s="34" t="inlineStr">
        <is>
          <t>#124</t>
        </is>
      </c>
      <c r="M234" s="34" t="inlineStr">
        <is>
          <t>#126</t>
        </is>
      </c>
      <c r="N234" s="34" t="inlineStr">
        <is>
          <t>-</t>
        </is>
      </c>
      <c r="O234" s="34" t="inlineStr">
        <is>
          <t>-</t>
        </is>
      </c>
      <c r="P234" s="34" t="inlineStr">
        <is>
          <t>COMPLETED</t>
        </is>
      </c>
      <c r="Q234" s="34" t="inlineStr">
        <is>
          <t>No change</t>
        </is>
      </c>
      <c r="R234" s="34" t="inlineStr">
        <is>
          <t>src/server/ (cache() wrappers); commit 1406b0b</t>
        </is>
      </c>
    </row>
    <row r="235" ht="39" customHeight="1" s="24">
      <c r="A235" s="32" t="n">
        <v>234</v>
      </c>
      <c r="B235" s="34" t="inlineStr">
        <is>
          <t>Platform &amp; DevOps</t>
        </is>
      </c>
      <c r="C235" s="31" t="inlineStr">
        <is>
          <t>PLT-013</t>
        </is>
      </c>
      <c r="D235" s="34" t="inlineStr">
        <is>
          <t>Performance</t>
        </is>
      </c>
      <c r="E235" s="34" t="inlineStr">
        <is>
          <t>Opt-in prepared statements (DATABASE_PREPARED_STATEMENTS=on)</t>
        </is>
      </c>
      <c r="F235" s="34" t="inlineStr">
        <is>
          <t>Asks postgres-js to prepare queries by default, saving one database round trip per query (measured locally with 200 ms to the database: 405 ms -&gt; 205 ms per repeated query).</t>
        </is>
      </c>
      <c r="G235" s="34" t="inlineStr">
        <is>
          <t>-</t>
        </is>
      </c>
      <c r="H235" s="34" t="inlineStr">
        <is>
          <t>-</t>
        </is>
      </c>
      <c r="I235" s="32" t="inlineStr">
        <is>
          <t>COMPLETED</t>
        </is>
      </c>
      <c r="J235" s="34" t="inlineStr">
        <is>
          <t>Production - built, switched off by default</t>
        </is>
      </c>
      <c r="K235" s="34" t="inlineStr">
        <is>
          <t>Off - environment variable not set on either site</t>
        </is>
      </c>
      <c r="L235" s="34" t="inlineStr">
        <is>
          <t>#124</t>
        </is>
      </c>
      <c r="M235" s="34" t="inlineStr">
        <is>
          <t>#126</t>
        </is>
      </c>
      <c r="N235" s="34" t="inlineStr">
        <is>
          <t>Turn on for test.gokesari.com, check Neon's pooled host accepts prepared statements, then gokesari.com</t>
        </is>
      </c>
      <c r="O235" s="34" t="inlineStr">
        <is>
          <t>Owner: environment setting (Blockers #36)</t>
        </is>
      </c>
      <c r="P235" s="34" t="inlineStr">
        <is>
          <t>COMPLETED</t>
        </is>
      </c>
      <c r="Q235" s="34" t="inlineStr">
        <is>
          <t>No change</t>
        </is>
      </c>
      <c r="R235" s="34" t="inlineStr">
        <is>
          <t>commit 98cb8e7; src/server/db</t>
        </is>
      </c>
    </row>
    <row r="236" ht="51" customHeight="1" s="24">
      <c r="A236" s="32" t="n">
        <v>235</v>
      </c>
      <c r="B236" s="34" t="inlineStr">
        <is>
          <t>Platform &amp; DevOps</t>
        </is>
      </c>
      <c r="C236" s="31" t="inlineStr">
        <is>
          <t>PLT-014</t>
        </is>
      </c>
      <c r="D236" s="34" t="inlineStr">
        <is>
          <t>Performance</t>
        </is>
      </c>
      <c r="E236" s="34" t="inlineStr">
        <is>
          <t>Board figures: shared cache and 8 s allowance</t>
        </is>
      </c>
      <c r="F236"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34" t="inlineStr">
        <is>
          <t>-</t>
        </is>
      </c>
      <c r="H236" s="34" t="inlineStr">
        <is>
          <t>-</t>
        </is>
      </c>
      <c r="I236" s="32" t="inlineStr">
        <is>
          <t>COMPLETED</t>
        </is>
      </c>
      <c r="J236" s="34" t="inlineStr">
        <is>
          <t>Production (gokesari.com)</t>
        </is>
      </c>
      <c r="K236" s="34" t="inlineStr">
        <is>
          <t>Live</t>
        </is>
      </c>
      <c r="L236" s="34" t="inlineStr">
        <is>
          <t>#127; #130</t>
        </is>
      </c>
      <c r="M236" s="34" t="inlineStr">
        <is>
          <t>#129; #131</t>
        </is>
      </c>
      <c r="N236" s="34" t="inlineStr">
        <is>
          <t>-</t>
        </is>
      </c>
      <c r="O236" s="34" t="inlineStr">
        <is>
          <t>-</t>
        </is>
      </c>
      <c r="P236" s="34" t="inlineStr">
        <is>
          <t>COMPLETED</t>
        </is>
      </c>
      <c r="Q236" s="34" t="inlineStr">
        <is>
          <t>No change</t>
        </is>
      </c>
      <c r="R236" s="34" t="inlineStr">
        <is>
          <t>docs/tile-board-2026-10/TEST_RESULTS_UI_PASS.md (PR #127 on test)</t>
        </is>
      </c>
    </row>
    <row r="237" ht="159" customHeight="1" s="24">
      <c r="A237" s="32" t="n">
        <v>236</v>
      </c>
      <c r="B237" s="34" t="inlineStr">
        <is>
          <t>Platform &amp; DevOps</t>
        </is>
      </c>
      <c r="C237" s="31" t="inlineStr">
        <is>
          <t>PLT-015</t>
        </is>
      </c>
      <c r="D237" s="34" t="inlineStr">
        <is>
          <t>Platform</t>
        </is>
      </c>
      <c r="E237" s="34" t="inlineStr">
        <is>
          <t>Seller / customer database split (tooling and 'Database split' workflow)</t>
        </is>
      </c>
      <c r="F237"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34" t="inlineStr">
        <is>
          <t>F14.2.4</t>
        </is>
      </c>
      <c r="H237" s="34" t="inlineStr">
        <is>
          <t>-</t>
        </is>
      </c>
      <c r="I237" s="32" t="inlineStr">
        <is>
          <t>IN PROGRESS</t>
        </is>
      </c>
      <c r="J237" s="34" t="inlineStr">
        <is>
          <t>GitHub Actions (runs from main)</t>
        </is>
      </c>
      <c r="K237" s="34" t="inlineStr">
        <is>
          <t>Site still reads one database (DB_SPLIT_MODE = single); the split databases are copies only</t>
        </is>
      </c>
      <c r="L237" s="34" t="inlineStr">
        <is>
          <t>#146; #152 (Neon COPY hang, channel_binding); #154 (test report); #158; #160; #162</t>
        </is>
      </c>
      <c r="M237" s="34" t="inlineStr">
        <is>
          <t>#149; #157; #159; #161; #163</t>
        </is>
      </c>
      <c r="N237"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34" t="inlineStr">
        <is>
          <t>Owner: check the production split secrets (Blockers #42); then plan phases 2-4</t>
        </is>
      </c>
      <c r="P237" s="34" t="inlineStr">
        <is>
          <t>IN PROGRESS</t>
        </is>
      </c>
      <c r="Q237" s="34"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34" t="inlineStr">
        <is>
          <t>docs/db-split-2026-10/README.md; VERIFICATION_REPORT_test_2026-10-13.md; .github/workflows/db-split.yml</t>
        </is>
      </c>
    </row>
    <row r="238" ht="51" customHeight="1" s="24">
      <c r="A238" s="32" t="n">
        <v>237</v>
      </c>
      <c r="B238" s="34" t="inlineStr">
        <is>
          <t>Platform &amp; DevOps</t>
        </is>
      </c>
      <c r="C238" s="31" t="inlineStr">
        <is>
          <t>PLT-016</t>
        </is>
      </c>
      <c r="D238" s="34" t="inlineStr">
        <is>
          <t>Platform</t>
        </is>
      </c>
      <c r="E238" s="34" t="inlineStr">
        <is>
          <t>CI scope job: skip runs that cannot find anything new</t>
        </is>
      </c>
      <c r="F238"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34" t="inlineStr">
        <is>
          <t>F14.1.1</t>
        </is>
      </c>
      <c r="H238" s="34" t="inlineStr">
        <is>
          <t>-</t>
        </is>
      </c>
      <c r="I238" s="32" t="inlineStr">
        <is>
          <t>COMPLETED</t>
        </is>
      </c>
      <c r="J238" s="34" t="inlineStr">
        <is>
          <t>GitHub Actions (runs from main)</t>
        </is>
      </c>
      <c r="K238" s="34" t="inlineStr">
        <is>
          <t>Live</t>
        </is>
      </c>
      <c r="L238" s="34" t="inlineStr">
        <is>
          <t>#134</t>
        </is>
      </c>
      <c r="M238" s="34" t="inlineStr">
        <is>
          <t>#135</t>
        </is>
      </c>
      <c r="N238" s="34" t="inlineStr">
        <is>
          <t>-</t>
        </is>
      </c>
      <c r="O238" s="34" t="inlineStr">
        <is>
          <t>-</t>
        </is>
      </c>
      <c r="P238" s="34" t="inlineStr">
        <is>
          <t>COMPLETED</t>
        </is>
      </c>
      <c r="Q238" s="34" t="inlineStr">
        <is>
          <t>No change</t>
        </is>
      </c>
      <c r="R238" s="34" t="inlineStr">
        <is>
          <t>scripts/ci/scope.sh; .github/workflows/ci.yml</t>
        </is>
      </c>
    </row>
    <row r="239" ht="63" customHeight="1" s="24">
      <c r="A239" s="32" t="n">
        <v>238</v>
      </c>
      <c r="B239" s="34" t="inlineStr">
        <is>
          <t>Platform &amp; DevOps</t>
        </is>
      </c>
      <c r="C239" s="31" t="inlineStr">
        <is>
          <t>PLT-017</t>
        </is>
      </c>
      <c r="D239" s="34" t="inlineStr">
        <is>
          <t>Mobile App</t>
        </is>
      </c>
      <c r="E239" s="34" t="inlineStr">
        <is>
          <t>'iPhone app' workflow - EAS build and TestFlight upload</t>
        </is>
      </c>
      <c r="F239" s="34" t="inlineStr">
        <is>
          <t>Started by hand with profile production or preview; builds on EAS and uploads the production build to TestFlight; first checks EXPO_TOKEN and the project id and names anything missing.</t>
        </is>
      </c>
      <c r="G239" s="34" t="inlineStr">
        <is>
          <t>F15.1.4</t>
        </is>
      </c>
      <c r="H239" s="34" t="inlineStr">
        <is>
          <t>-</t>
        </is>
      </c>
      <c r="I239" s="32" t="inlineStr">
        <is>
          <t>BLOCKED</t>
        </is>
      </c>
      <c r="J239" s="34" t="inlineStr">
        <is>
          <t>GitHub Actions (runs from main)</t>
        </is>
      </c>
      <c r="K239" s="34" t="inlineStr">
        <is>
          <t>Not run yet</t>
        </is>
      </c>
      <c r="L239" s="34" t="inlineStr">
        <is>
          <t>#153</t>
        </is>
      </c>
      <c r="M239" s="34" t="inlineStr">
        <is>
          <t>#157</t>
        </is>
      </c>
      <c r="N239" s="34" t="inlineStr">
        <is>
          <t>Link the project to Expo and commit the project id; secrets EXPO_TOKEN, ASC_API_KEY_P8, ASC_KEY_ID, ASC_ISSUER_ID, APPLE_TEAM_ID; App Store Connect app record for com.gokesari.app</t>
        </is>
      </c>
      <c r="O239" s="34" t="inlineStr">
        <is>
          <t>Owner: Apple Developer account and the secrets (Blockers #29)</t>
        </is>
      </c>
      <c r="P239" s="34" t="inlineStr">
        <is>
          <t>BLOCKED</t>
        </is>
      </c>
      <c r="Q239" s="34" t="inlineStr">
        <is>
          <t>No change</t>
        </is>
      </c>
      <c r="R239" s="34" t="inlineStr">
        <is>
          <t>.github/workflows/mobile-ios.yml; mobile/README.md</t>
        </is>
      </c>
    </row>
    <row r="240" ht="75" customHeight="1" s="24">
      <c r="A240" s="32" t="n">
        <v>239</v>
      </c>
      <c r="B240" s="34" t="inlineStr">
        <is>
          <t>Platform &amp; DevOps</t>
        </is>
      </c>
      <c r="C240" s="31" t="inlineStr">
        <is>
          <t>PLT-018</t>
        </is>
      </c>
      <c r="D240" s="34" t="inlineStr">
        <is>
          <t>Platform</t>
        </is>
      </c>
      <c r="E240" s="34" t="inlineStr">
        <is>
          <t>'Copy shops to production' workflow (plan / copy / sql modes)</t>
        </is>
      </c>
      <c r="F240"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34" t="inlineStr">
        <is>
          <t>F14.2.3</t>
        </is>
      </c>
      <c r="H240" s="34" t="inlineStr">
        <is>
          <t>-</t>
        </is>
      </c>
      <c r="I240" s="32" t="inlineStr">
        <is>
          <t>COMPLETED</t>
        </is>
      </c>
      <c r="J240" s="34" t="inlineStr">
        <is>
          <t>GitHub Actions (runs from main)</t>
        </is>
      </c>
      <c r="K240" s="34" t="inlineStr">
        <is>
          <t>Used once (sql mode, 12-13 Oct)</t>
        </is>
      </c>
      <c r="L240" s="34" t="inlineStr">
        <is>
          <t>#140; #144 (sql mode); #156 (record)</t>
        </is>
      </c>
      <c r="M240" s="34" t="inlineStr">
        <is>
          <t>#141; #145; #157</t>
        </is>
      </c>
      <c r="N240" s="34" t="inlineStr">
        <is>
          <t>Delete the downloaded copy-shops SQL files (they hold owner contact details); the 5 owners must sign in on production and upload their legal documents</t>
        </is>
      </c>
      <c r="O240" s="34" t="inlineStr">
        <is>
          <t>Owner (Blockers #39, #40)</t>
        </is>
      </c>
      <c r="P240" s="34" t="inlineStr">
        <is>
          <t>COMPLETED</t>
        </is>
      </c>
      <c r="Q240" s="34" t="inlineStr">
        <is>
          <t>No change</t>
        </is>
      </c>
      <c r="R240" s="34" t="inlineStr">
        <is>
          <t>docs/copy-shops-2026-10/README.md; scripts/copy-shops/</t>
        </is>
      </c>
    </row>
    <row r="241" ht="51" customHeight="1" s="24">
      <c r="A241" s="32" t="n">
        <v>240</v>
      </c>
      <c r="B241" s="34" t="inlineStr">
        <is>
          <t>QA &amp; Testing</t>
        </is>
      </c>
      <c r="C241" s="31" t="inlineStr">
        <is>
          <t>QA-001</t>
        </is>
      </c>
      <c r="D241" s="34" t="inlineStr">
        <is>
          <t>QA</t>
        </is>
      </c>
      <c r="E241" s="34" t="inlineStr">
        <is>
          <t>Automated test suites (unit, integration, E2E)</t>
        </is>
      </c>
      <c r="F241" s="34" t="inlineStr">
        <is>
          <t>Vitest unit + integration against real PostgreSQL (1,436 tests in 111 files on staging per #98); Playwright acceptance (10), smoke (12) and A-E regression (46) specs.</t>
        </is>
      </c>
      <c r="G241" s="34" t="inlineStr">
        <is>
          <t>F14.1.1</t>
        </is>
      </c>
      <c r="H241" s="34" t="inlineStr">
        <is>
          <t>-</t>
        </is>
      </c>
      <c r="I241" s="32" t="inlineStr">
        <is>
          <t>COMPLETED</t>
        </is>
      </c>
      <c r="J241" s="34" t="inlineStr">
        <is>
          <t>Production (gokesari.com)</t>
        </is>
      </c>
      <c r="K241" s="34" t="inlineStr">
        <is>
          <t>Live in CI</t>
        </is>
      </c>
      <c r="L241" s="34" t="inlineStr">
        <is>
          <t>#52; #51; #85 (regression spec)</t>
        </is>
      </c>
      <c r="M241" s="34" t="inlineStr">
        <is>
          <t>#54 (via staging); #70</t>
        </is>
      </c>
      <c r="N241" s="34" t="inlineStr">
        <is>
          <t>-</t>
        </is>
      </c>
      <c r="O241" s="34" t="inlineStr">
        <is>
          <t>-</t>
        </is>
      </c>
      <c r="P241" s="34" t="inlineStr">
        <is>
          <t>COMPLETED</t>
        </is>
      </c>
      <c r="Q241" s="34" t="inlineStr">
        <is>
          <t>#171: 104 new unit / integration tests, inventory E2E 11/11 and live-site runner 27/27 on a local build; #169: document browser-read E2E 4/4; #168: 7 unit tests. CI green on all three.</t>
        </is>
      </c>
      <c r="R241" s="34" t="inlineStr">
        <is>
          <t>tests/</t>
        </is>
      </c>
    </row>
    <row r="242" ht="39" customHeight="1" s="24">
      <c r="A242" s="32" t="n">
        <v>241</v>
      </c>
      <c r="B242" s="34" t="inlineStr">
        <is>
          <t>QA &amp; Testing</t>
        </is>
      </c>
      <c r="C242" s="31" t="inlineStr">
        <is>
          <t>QA-002</t>
        </is>
      </c>
      <c r="D242" s="34" t="inlineStr">
        <is>
          <t>QA</t>
        </is>
      </c>
      <c r="E242" s="34" t="inlineStr">
        <is>
          <t>Test execution framework for 791 test cases</t>
        </is>
      </c>
      <c r="F242" s="34" t="inlineStr">
        <is>
          <t>Excel test-case parser, phase plan (smoke, P0, P1, P2), Playwright runner and result reporting; test-cases.xlsx with 791 cases across 28 modules.</t>
        </is>
      </c>
      <c r="G242" s="34" t="inlineStr">
        <is>
          <t>F14.1.3</t>
        </is>
      </c>
      <c r="H242" s="34" t="inlineStr">
        <is>
          <t>-</t>
        </is>
      </c>
      <c r="I242" s="32" t="inlineStr">
        <is>
          <t>COMPLETED</t>
        </is>
      </c>
      <c r="J242" s="34" t="inlineStr">
        <is>
          <t>Production (gokesari.com)</t>
        </is>
      </c>
      <c r="K242" s="34" t="inlineStr">
        <is>
          <t>Live</t>
        </is>
      </c>
      <c r="L242" s="34" t="inlineStr">
        <is>
          <t>#51</t>
        </is>
      </c>
      <c r="M242" s="34" t="inlineStr">
        <is>
          <t>#70</t>
        </is>
      </c>
      <c r="N242" s="34" t="inlineStr">
        <is>
          <t>-</t>
        </is>
      </c>
      <c r="O242" s="34" t="inlineStr">
        <is>
          <t>-</t>
        </is>
      </c>
      <c r="P242" s="34" t="inlineStr">
        <is>
          <t>COMPLETED</t>
        </is>
      </c>
      <c r="Q242" s="34" t="inlineStr">
        <is>
          <t>No change</t>
        </is>
      </c>
      <c r="R242" s="34" t="inlineStr">
        <is>
          <t>TEST_EXECUTION_PLAN.md; tests/test-case-parser.ts</t>
        </is>
      </c>
    </row>
    <row r="243" ht="39" customHeight="1" s="24">
      <c r="A243" s="32" t="n">
        <v>242</v>
      </c>
      <c r="B243" s="34" t="inlineStr">
        <is>
          <t>QA &amp; Testing</t>
        </is>
      </c>
      <c r="C243" s="31" t="inlineStr">
        <is>
          <t>QA-003</t>
        </is>
      </c>
      <c r="D243" s="34" t="inlineStr">
        <is>
          <t>QA</t>
        </is>
      </c>
      <c r="E243" s="34" t="inlineStr">
        <is>
          <t>Execute the 791 test cases and sign off in a browser on test.gokesari.com</t>
        </is>
      </c>
      <c r="F243" s="34" t="inlineStr">
        <is>
          <t>No execution results or sign-off are recorded in the repository; the 6 Oct report lists the missing browser sign-off as a go-live blocker.</t>
        </is>
      </c>
      <c r="G243" s="34" t="inlineStr">
        <is>
          <t>F14.1.3</t>
        </is>
      </c>
      <c r="H243" s="34" t="inlineStr">
        <is>
          <t>-</t>
        </is>
      </c>
      <c r="I243" s="32" t="inlineStr">
        <is>
          <t>YET TO START</t>
        </is>
      </c>
      <c r="J243" s="34" t="inlineStr">
        <is>
          <t>Not started</t>
        </is>
      </c>
      <c r="K243" s="34" t="inlineStr">
        <is>
          <t>-</t>
        </is>
      </c>
      <c r="L243" s="34" t="inlineStr">
        <is>
          <t>-</t>
        </is>
      </c>
      <c r="M243" s="34" t="inlineStr">
        <is>
          <t>-</t>
        </is>
      </c>
      <c r="N243" s="34" t="inlineStr">
        <is>
          <t>Run phases 1-4 and record results</t>
        </is>
      </c>
      <c r="O243" s="34" t="inlineStr">
        <is>
          <t>-</t>
        </is>
      </c>
      <c r="P243" s="34" t="inlineStr">
        <is>
          <t>YET TO START</t>
        </is>
      </c>
      <c r="Q243" s="34" t="inlineStr">
        <is>
          <t>Still not run. The order lifecycle ran on staging 14 Oct (QA-008, PASS); the production run waits on the owner (QA-009).</t>
        </is>
      </c>
      <c r="R243" s="34" t="inlineStr">
        <is>
          <t>TEST_SUMMARY_AND_STATUS.md</t>
        </is>
      </c>
    </row>
    <row r="244" ht="63" customHeight="1" s="24">
      <c r="A244" s="32" t="n">
        <v>243</v>
      </c>
      <c r="B244" s="34" t="inlineStr">
        <is>
          <t>QA &amp; Testing</t>
        </is>
      </c>
      <c r="C244" s="31" t="inlineStr">
        <is>
          <t>QA-004</t>
        </is>
      </c>
      <c r="D244" s="34" t="inlineStr">
        <is>
          <t>QA</t>
        </is>
      </c>
      <c r="E244" s="34" t="inlineStr">
        <is>
          <t>Four-features browser test run on test.gokesari.com (all roles, phone + desktop)</t>
        </is>
      </c>
      <c r="F244"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34" t="inlineStr">
        <is>
          <t>F14.1.5</t>
        </is>
      </c>
      <c r="H244" s="34" t="inlineStr">
        <is>
          <t>-</t>
        </is>
      </c>
      <c r="I244" s="32" t="inlineStr">
        <is>
          <t>COMPLETED</t>
        </is>
      </c>
      <c r="J244" s="34" t="inlineStr">
        <is>
          <t>Test site only (test.gokesari.com)</t>
        </is>
      </c>
      <c r="K244" s="34" t="inlineStr">
        <is>
          <t>-</t>
        </is>
      </c>
      <c r="L244" s="34" t="inlineStr">
        <is>
          <t>#103; #104 (re-check of the fixes)</t>
        </is>
      </c>
      <c r="M244" s="34" t="inlineStr">
        <is>
          <t>Not needed (test only)</t>
        </is>
      </c>
      <c r="N244" s="34" t="inlineStr">
        <is>
          <t>Payout gate and payer-name mismatch not runnable on test (covered by integration tests); referrals@ inbox arrival to be confirmed by the owner</t>
        </is>
      </c>
      <c r="O244" s="34" t="inlineStr">
        <is>
          <t>-</t>
        </is>
      </c>
      <c r="P244" s="34" t="inlineStr">
        <is>
          <t>COMPLETED</t>
        </is>
      </c>
      <c r="Q244" s="34" t="inlineStr">
        <is>
          <t>No change</t>
        </is>
      </c>
      <c r="R244" s="34" t="inlineStr">
        <is>
          <t>docs/four-features-2026-10/TEST_RESULTS.md</t>
        </is>
      </c>
    </row>
    <row r="245" ht="87" customHeight="1" s="24">
      <c r="A245" s="32" t="n">
        <v>244</v>
      </c>
      <c r="B245" s="34" t="inlineStr">
        <is>
          <t>QA &amp; Testing</t>
        </is>
      </c>
      <c r="C245" s="31" t="inlineStr">
        <is>
          <t>QA-005</t>
        </is>
      </c>
      <c r="D245" s="34" t="inlineStr">
        <is>
          <t>QA</t>
        </is>
      </c>
      <c r="E245" s="34" t="inlineStr">
        <is>
          <t>Tile Board UI pass test run on test.gokesari.com (all roles, phone, app size, slow 4G, Lighthouse)</t>
        </is>
      </c>
      <c r="F245" s="34" t="inlineStr">
        <is>
          <t>1,038 checks: end-to-end journeys for customer, shop owner, operator and admin; every board and menu link; access to other roles' screens; Lighthouse; one-screen fit at 7 sizes x 3 languages. Production read-only checks after #126.</t>
        </is>
      </c>
      <c r="G245" s="34" t="inlineStr">
        <is>
          <t>F14.1.5</t>
        </is>
      </c>
      <c r="H245" s="34" t="inlineStr">
        <is>
          <t>-</t>
        </is>
      </c>
      <c r="I245" s="32" t="inlineStr">
        <is>
          <t>COMPLETED</t>
        </is>
      </c>
      <c r="J245" s="34" t="inlineStr">
        <is>
          <t>Test site only (test.gokesari.com)</t>
        </is>
      </c>
      <c r="K245" s="34" t="inlineStr">
        <is>
          <t>-</t>
        </is>
      </c>
      <c r="L245" s="34" t="inlineStr">
        <is>
          <t>#124 (results, issue register)</t>
        </is>
      </c>
      <c r="M245" s="34" t="inlineStr">
        <is>
          <t>Not needed (test only)</t>
        </is>
      </c>
      <c r="N245" s="34" t="inlineStr">
        <is>
          <t>8 fail (5 slow-4G pages 3.6-5.0 s against 3 s; shop board 2 px over at 320x640; 1 link blocked in the test browser; 1 Lighthouse) and 4 not run (wallet top-up and shop recharge - Actions billing; rider return pickup; KYC-pending shop approval, correctly refused)</t>
        </is>
      </c>
      <c r="O245" s="34" t="inlineStr">
        <is>
          <t>-</t>
        </is>
      </c>
      <c r="P245" s="34" t="inlineStr">
        <is>
          <t>COMPLETED</t>
        </is>
      </c>
      <c r="Q245" s="34" t="inlineStr">
        <is>
          <t>No change</t>
        </is>
      </c>
      <c r="R245" s="34" t="inlineStr">
        <is>
          <t>docs/tile-board-2026-10/TEST_RESULTS_UI_PASS.md; docs/tile-board-2026-10/GoKesari_UI_Test_Report_2026-10-09.xlsx; docs/gokesari-audit/GoKesari_UI_Issue_Register_2026-10-09.xlsx</t>
        </is>
      </c>
    </row>
    <row r="246" ht="39" customHeight="1" s="24">
      <c r="A246" s="32" t="n">
        <v>245</v>
      </c>
      <c r="B246" s="34" t="inlineStr">
        <is>
          <t>QA &amp; Testing</t>
        </is>
      </c>
      <c r="C246" s="31" t="inlineStr">
        <is>
          <t>QA-006</t>
        </is>
      </c>
      <c r="D246" s="34" t="inlineStr">
        <is>
          <t>QA</t>
        </is>
      </c>
      <c r="E246" s="34" t="inlineStr">
        <is>
          <t>Nearby shops + referral settings test run (test site, Android / iPhone / desktop; production checks)</t>
        </is>
      </c>
      <c r="F246" s="34" t="inlineStr">
        <is>
          <t>Every Nearby and referral-setting case on test.gokesari.com, with screenshots; read-only production checks after release #135; Android APK download links.</t>
        </is>
      </c>
      <c r="G246" s="34" t="inlineStr">
        <is>
          <t>F14.1.5</t>
        </is>
      </c>
      <c r="H246" s="34" t="inlineStr">
        <is>
          <t>-</t>
        </is>
      </c>
      <c r="I246" s="32" t="inlineStr">
        <is>
          <t>COMPLETED</t>
        </is>
      </c>
      <c r="J246" s="34" t="inlineStr">
        <is>
          <t>Test site only (test.gokesari.com)</t>
        </is>
      </c>
      <c r="K246" s="34" t="inlineStr">
        <is>
          <t>-</t>
        </is>
      </c>
      <c r="L246" s="34" t="inlineStr">
        <is>
          <t>#136; #137</t>
        </is>
      </c>
      <c r="M246" s="34" t="inlineStr">
        <is>
          <t>Not needed (test only)</t>
        </is>
      </c>
      <c r="N246" s="34" t="inlineStr">
        <is>
          <t>Paid self-registration (no SMS provider on test); Directions tap on a real phone</t>
        </is>
      </c>
      <c r="O246" s="34" t="inlineStr">
        <is>
          <t>-</t>
        </is>
      </c>
      <c r="P246" s="34" t="inlineStr">
        <is>
          <t>COMPLETED</t>
        </is>
      </c>
      <c r="Q246" s="34" t="inlineStr">
        <is>
          <t>No change</t>
        </is>
      </c>
      <c r="R246" s="34" t="inlineStr">
        <is>
          <t>docs/nearby-referral-2026-10/TEST_RESULTS.md</t>
        </is>
      </c>
    </row>
    <row r="247" ht="39" customHeight="1" s="24">
      <c r="A247" s="32" t="n">
        <v>246</v>
      </c>
      <c r="B247" s="34" t="inlineStr">
        <is>
          <t>QA &amp; Testing</t>
        </is>
      </c>
      <c r="C247" s="31" t="inlineStr">
        <is>
          <t>QA-007</t>
        </is>
      </c>
      <c r="D247" s="34" t="inlineStr">
        <is>
          <t>QA</t>
        </is>
      </c>
      <c r="E247" s="34" t="inlineStr">
        <is>
          <t>13 Oct release test run (document upload, FSSAI, footer, branding, DB split)</t>
        </is>
      </c>
      <c r="F247" s="34" t="inlineStr">
        <is>
          <t>Staging and production checks for release #149 and its follow-ups: upload flow, FSSAI gate, branding / footer E2E, smoke of 8 public pages before and after, test DB split verification.</t>
        </is>
      </c>
      <c r="G247" s="34" t="inlineStr">
        <is>
          <t>F14.1.5</t>
        </is>
      </c>
      <c r="H247" s="34" t="inlineStr">
        <is>
          <t>-</t>
        </is>
      </c>
      <c r="I247" s="32" t="inlineStr">
        <is>
          <t>COMPLETED</t>
        </is>
      </c>
      <c r="J247" s="34" t="inlineStr">
        <is>
          <t>Test site only (test.gokesari.com)</t>
        </is>
      </c>
      <c r="K247" s="34" t="inlineStr">
        <is>
          <t>-</t>
        </is>
      </c>
      <c r="L247" s="34" t="inlineStr">
        <is>
          <t>#147; #150; #154</t>
        </is>
      </c>
      <c r="M247" s="34" t="inlineStr">
        <is>
          <t>Not needed (test only)</t>
        </is>
      </c>
      <c r="N247" s="34" t="inlineStr">
        <is>
          <t>OCR auto-read not working on Hostinger; no run after the saffron wordmark (#153)</t>
        </is>
      </c>
      <c r="O247" s="34" t="inlineStr">
        <is>
          <t>-</t>
        </is>
      </c>
      <c r="P247" s="34" t="inlineStr">
        <is>
          <t>COMPLETED</t>
        </is>
      </c>
      <c r="Q247" s="34" t="inlineStr">
        <is>
          <t>No change</t>
        </is>
      </c>
      <c r="R247" s="34" t="inlineStr">
        <is>
          <t>docs/document-upload-2026-10/TEST_RESULTS.md; docs/gokesari-audit/GOKESARI_FEATURE_STATUS_REPORT_2026-10-13.xlsx</t>
        </is>
      </c>
    </row>
    <row r="248" ht="87" customHeight="1" s="24">
      <c r="A248" s="32" t="n">
        <v>247</v>
      </c>
      <c r="B248" s="34" t="inlineStr">
        <is>
          <t>QA &amp; Testing</t>
        </is>
      </c>
      <c r="C248" s="31" t="inlineStr">
        <is>
          <t>QA-008</t>
        </is>
      </c>
      <c r="D248" s="34" t="inlineStr">
        <is>
          <t>QA</t>
        </is>
      </c>
      <c r="E248" s="34" t="inlineStr">
        <is>
          <t>Order-lifecycle run on staging (sign-up -&gt; order -&gt; delivery code -&gt; done)</t>
        </is>
      </c>
      <c r="F248" s="34" t="inlineStr">
        <is>
          <t>Planned end-to-end run of a full order on test.gokesari.com after the 13 Oct release.</t>
        </is>
      </c>
      <c r="G248" s="34" t="inlineStr">
        <is>
          <t>F14.1.3</t>
        </is>
      </c>
      <c r="H248" s="34" t="inlineStr">
        <is>
          <t>-</t>
        </is>
      </c>
      <c r="I248" s="32" t="inlineStr">
        <is>
          <t>COMPLETED</t>
        </is>
      </c>
      <c r="J248" s="34" t="inlineStr">
        <is>
          <t>Test site only (test.gokesari.com)</t>
        </is>
      </c>
      <c r="K248" s="34" t="inlineStr">
        <is>
          <t>-</t>
        </is>
      </c>
      <c r="L248" s="34" t="inlineStr">
        <is>
          <t>#168 (fix for the blocker the run found); #170 (results, open PR)</t>
        </is>
      </c>
      <c r="M248" s="34" t="inlineStr">
        <is>
          <t>Not needed (test only)</t>
        </is>
      </c>
      <c r="N248" s="34" t="inlineStr">
        <is>
          <t>Open defects from the run: My Orders card wording after a switch to pickup (GAP-018); wallet checkout takes 30-38 s (GAP-019)</t>
        </is>
      </c>
      <c r="O248" s="34" t="inlineStr">
        <is>
          <t>-</t>
        </is>
      </c>
      <c r="P248" s="34" t="inlineStr">
        <is>
          <t>YET TO START</t>
        </is>
      </c>
      <c r="Q248" s="34"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34" t="inlineStr">
        <is>
          <t>docs/order-lifecycle-2026-10/TEST_RESULTS_STAGING_2026-10-14.md; docs/testing/GOKESARI_TEST_RESULTS_TRACKER_2026-10-14.xlsx (TR-22, TR-23)</t>
        </is>
      </c>
    </row>
    <row r="249" ht="51" customHeight="1" s="24">
      <c r="A249" s="32" t="n">
        <v>248</v>
      </c>
      <c r="B249" s="34" t="inlineStr">
        <is>
          <t>QA &amp; Testing</t>
        </is>
      </c>
      <c r="C249" s="31" t="inlineStr">
        <is>
          <t>QA-009</t>
        </is>
      </c>
      <c r="D249" s="34" t="inlineStr">
        <is>
          <t>QA</t>
        </is>
      </c>
      <c r="E249" s="34" t="inlineStr">
        <is>
          <t>Order-lifecycle run on production (gokesari.com) with a real payment</t>
        </is>
      </c>
      <c r="F249" s="34" t="inlineStr">
        <is>
          <t>The same lifecycle as QA-008 on gokesari.com: a real customer top-up paid by the owner, a real shop with delivery on, an approved rider, pickup and delivery codes, DELIVERED, wallet charges. No test data or sandbox keys on production.</t>
        </is>
      </c>
      <c r="G249" s="34" t="inlineStr">
        <is>
          <t>F14.1.3</t>
        </is>
      </c>
      <c r="H249" s="34" t="inlineStr">
        <is>
          <t>-</t>
        </is>
      </c>
      <c r="I249" s="32" t="inlineStr">
        <is>
          <t>BLOCKED</t>
        </is>
      </c>
      <c r="J249" s="34" t="inlineStr">
        <is>
          <t>Not started</t>
        </is>
      </c>
      <c r="K249" s="34" t="inlineStr">
        <is>
          <t>-</t>
        </is>
      </c>
      <c r="L249" s="34" t="inlineStr">
        <is>
          <t>-</t>
        </is>
      </c>
      <c r="M249" s="34" t="inlineStr">
        <is>
          <t>-</t>
        </is>
      </c>
      <c r="N249" s="34" t="inlineStr">
        <is>
          <t>Needs the owner's production shop and owner email, an approved rider, Cashfree live keys confirmed, and the owner to pay the top-up</t>
        </is>
      </c>
      <c r="O249" s="34" t="inlineStr">
        <is>
          <t>Owner: the four inputs (Blockers #44)</t>
        </is>
      </c>
      <c r="P249" s="34" t="inlineStr">
        <is>
          <t>Not tracked</t>
        </is>
      </c>
      <c r="Q249" s="34" t="inlineStr">
        <is>
          <t>New: the owner chose a full order with a real payment (14 Oct).</t>
        </is>
      </c>
      <c r="R249" s="34" t="inlineStr">
        <is>
          <t>docs/order-lifecycle-2026-10/TEST_RESULTS_STAGING_2026-10-14.md (Production)</t>
        </is>
      </c>
    </row>
    <row r="250" ht="27" customHeight="1" s="24">
      <c r="A250" s="32" t="n">
        <v>249</v>
      </c>
      <c r="B250" s="34" t="inlineStr">
        <is>
          <t>Known gaps (not started)</t>
        </is>
      </c>
      <c r="C250" s="31" t="inlineStr">
        <is>
          <t>GAP-001</t>
        </is>
      </c>
      <c r="D250" s="34" t="inlineStr">
        <is>
          <t>Delivery</t>
        </is>
      </c>
      <c r="E250" s="34" t="inlineStr">
        <is>
          <t>Pickup QR code</t>
        </is>
      </c>
      <c r="F250" s="34" t="inlineStr">
        <is>
          <t>Pickup is confirmed with a code only; no QR.</t>
        </is>
      </c>
      <c r="G250" s="34" t="inlineStr">
        <is>
          <t>F4.1.3</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19</t>
        </is>
      </c>
    </row>
    <row r="251" ht="27" customHeight="1" s="24">
      <c r="A251" s="32" t="n">
        <v>250</v>
      </c>
      <c r="B251" s="34" t="inlineStr">
        <is>
          <t>Known gaps (not started)</t>
        </is>
      </c>
      <c r="C251" s="31" t="inlineStr">
        <is>
          <t>GAP-002</t>
        </is>
      </c>
      <c r="D251" s="34" t="inlineStr">
        <is>
          <t>Delivery</t>
        </is>
      </c>
      <c r="E251" s="34" t="inlineStr">
        <is>
          <t>In-app turn-by-turn navigation</t>
        </is>
      </c>
      <c r="F251" s="34" t="inlineStr">
        <is>
          <t>Riders get a Google Maps deep link; no in-app navigation.</t>
        </is>
      </c>
      <c r="G251" s="34" t="inlineStr">
        <is>
          <t>F4.2.2</t>
        </is>
      </c>
      <c r="H251" s="34" t="inlineStr">
        <is>
          <t>-</t>
        </is>
      </c>
      <c r="I251" s="32" t="inlineStr">
        <is>
          <t>YET TO START</t>
        </is>
      </c>
      <c r="J251" s="34" t="inlineStr">
        <is>
          <t>Not started</t>
        </is>
      </c>
      <c r="K251" s="34" t="inlineStr">
        <is>
          <t>-</t>
        </is>
      </c>
      <c r="L251" s="34" t="inlineStr">
        <is>
          <t>-</t>
        </is>
      </c>
      <c r="M251" s="34" t="inlineStr">
        <is>
          <t>-</t>
        </is>
      </c>
      <c r="N251" s="34" t="inlineStr">
        <is>
          <t>Build if wanted</t>
        </is>
      </c>
      <c r="O251" s="34" t="inlineStr">
        <is>
          <t>-</t>
        </is>
      </c>
      <c r="P251" s="34" t="inlineStr">
        <is>
          <t>YET TO START</t>
        </is>
      </c>
      <c r="Q251" s="34" t="inlineStr">
        <is>
          <t>No change</t>
        </is>
      </c>
      <c r="R251" s="34" t="inlineStr">
        <is>
          <t>6 Oct flow diagram, step 20</t>
        </is>
      </c>
    </row>
    <row r="252" ht="27" customHeight="1" s="24">
      <c r="A252" s="32" t="n">
        <v>251</v>
      </c>
      <c r="B252" s="34" t="inlineStr">
        <is>
          <t>Known gaps (not started)</t>
        </is>
      </c>
      <c r="C252" s="31" t="inlineStr">
        <is>
          <t>GAP-003</t>
        </is>
      </c>
      <c r="D252" s="34" t="inlineStr">
        <is>
          <t>Delivery</t>
        </is>
      </c>
      <c r="E252" s="34" t="inlineStr">
        <is>
          <t>Signature capture at delivery</t>
        </is>
      </c>
      <c r="F252" s="34" t="inlineStr">
        <is>
          <t>Delivery proof is OTP + optional photo; no signature.</t>
        </is>
      </c>
      <c r="G252" s="34" t="inlineStr">
        <is>
          <t>F4.2.6</t>
        </is>
      </c>
      <c r="H252" s="34" t="inlineStr">
        <is>
          <t>-</t>
        </is>
      </c>
      <c r="I252" s="32" t="inlineStr">
        <is>
          <t>YET TO START</t>
        </is>
      </c>
      <c r="J252" s="34" t="inlineStr">
        <is>
          <t>Not started</t>
        </is>
      </c>
      <c r="K252" s="34" t="inlineStr">
        <is>
          <t>-</t>
        </is>
      </c>
      <c r="L252" s="34" t="inlineStr">
        <is>
          <t>-</t>
        </is>
      </c>
      <c r="M252" s="34" t="inlineStr">
        <is>
          <t>-</t>
        </is>
      </c>
      <c r="N252" s="34" t="inlineStr">
        <is>
          <t>Build if wanted</t>
        </is>
      </c>
      <c r="O252" s="34" t="inlineStr">
        <is>
          <t>-</t>
        </is>
      </c>
      <c r="P252" s="34" t="inlineStr">
        <is>
          <t>YET TO START</t>
        </is>
      </c>
      <c r="Q252" s="34" t="inlineStr">
        <is>
          <t>No change</t>
        </is>
      </c>
      <c r="R252" s="34" t="inlineStr">
        <is>
          <t>6 Oct flow diagram, step 22</t>
        </is>
      </c>
    </row>
    <row r="253" ht="27" customHeight="1" s="24">
      <c r="A253" s="32" t="n">
        <v>252</v>
      </c>
      <c r="B253" s="34" t="inlineStr">
        <is>
          <t>Known gaps (not started)</t>
        </is>
      </c>
      <c r="C253" s="31" t="inlineStr">
        <is>
          <t>GAP-004</t>
        </is>
      </c>
      <c r="D253" s="34" t="inlineStr">
        <is>
          <t>Delivery</t>
        </is>
      </c>
      <c r="E253" s="34" t="inlineStr">
        <is>
          <t>Broadcast job offers / radius widening</t>
        </is>
      </c>
      <c r="F253" s="34" t="inlineStr">
        <is>
          <t>Offers go to one rider at a time; the search radius is not widened.</t>
        </is>
      </c>
      <c r="G253" s="34" t="inlineStr">
        <is>
          <t>F3.3.2</t>
        </is>
      </c>
      <c r="H253" s="34" t="inlineStr">
        <is>
          <t>-</t>
        </is>
      </c>
      <c r="I253" s="32" t="inlineStr">
        <is>
          <t>YET TO START</t>
        </is>
      </c>
      <c r="J253" s="34" t="inlineStr">
        <is>
          <t>Not started</t>
        </is>
      </c>
      <c r="K253" s="34" t="inlineStr">
        <is>
          <t>-</t>
        </is>
      </c>
      <c r="L253" s="34" t="inlineStr">
        <is>
          <t>-</t>
        </is>
      </c>
      <c r="M253" s="34" t="inlineStr">
        <is>
          <t>-</t>
        </is>
      </c>
      <c r="N253" s="34" t="inlineStr">
        <is>
          <t>Build if wanted</t>
        </is>
      </c>
      <c r="O253" s="34" t="inlineStr">
        <is>
          <t>-</t>
        </is>
      </c>
      <c r="P253" s="34" t="inlineStr">
        <is>
          <t>YET TO START</t>
        </is>
      </c>
      <c r="Q253" s="34" t="inlineStr">
        <is>
          <t>No change</t>
        </is>
      </c>
      <c r="R253" s="34" t="inlineStr">
        <is>
          <t>6 Oct flow diagram, step 17</t>
        </is>
      </c>
    </row>
    <row r="254" ht="27" customHeight="1" s="24">
      <c r="A254" s="32" t="n">
        <v>253</v>
      </c>
      <c r="B254" s="34" t="inlineStr">
        <is>
          <t>Known gaps (not started)</t>
        </is>
      </c>
      <c r="C254" s="31" t="inlineStr">
        <is>
          <t>GAP-005</t>
        </is>
      </c>
      <c r="D254" s="34" t="inlineStr">
        <is>
          <t>Finance</t>
        </is>
      </c>
      <c r="E254" s="34" t="inlineStr">
        <is>
          <t>Automated bank transfer for settlements and rider payouts</t>
        </is>
      </c>
      <c r="F254" s="34" t="inlineStr">
        <is>
          <t>Settlements and payouts are calculated; the bank transfer itself is manual.</t>
        </is>
      </c>
      <c r="G254" s="34" t="inlineStr">
        <is>
          <t>F10.2.4</t>
        </is>
      </c>
      <c r="H254" s="34" t="inlineStr">
        <is>
          <t>-</t>
        </is>
      </c>
      <c r="I254" s="32" t="inlineStr">
        <is>
          <t>YET TO START</t>
        </is>
      </c>
      <c r="J254" s="34" t="inlineStr">
        <is>
          <t>Not started</t>
        </is>
      </c>
      <c r="K254" s="34" t="inlineStr">
        <is>
          <t>-</t>
        </is>
      </c>
      <c r="L254" s="34" t="inlineStr">
        <is>
          <t>-</t>
        </is>
      </c>
      <c r="M254" s="34" t="inlineStr">
        <is>
          <t>-</t>
        </is>
      </c>
      <c r="N254" s="34" t="inlineStr">
        <is>
          <t>Payout-API integration</t>
        </is>
      </c>
      <c r="O254" s="34" t="inlineStr">
        <is>
          <t>-</t>
        </is>
      </c>
      <c r="P254" s="34" t="inlineStr">
        <is>
          <t>YET TO START</t>
        </is>
      </c>
      <c r="Q254" s="34" t="inlineStr">
        <is>
          <t>No change</t>
        </is>
      </c>
      <c r="R254" s="34" t="inlineStr">
        <is>
          <t>6 Oct flow diagram, step 30</t>
        </is>
      </c>
    </row>
    <row r="255" ht="27" customHeight="1" s="24">
      <c r="A255" s="32" t="n">
        <v>254</v>
      </c>
      <c r="B255" s="34" t="inlineStr">
        <is>
          <t>Known gaps (not started)</t>
        </is>
      </c>
      <c r="C255" s="31" t="inlineStr">
        <is>
          <t>GAP-006</t>
        </is>
      </c>
      <c r="D255" s="34" t="inlineStr">
        <is>
          <t>Finance</t>
        </is>
      </c>
      <c r="E255" s="34" t="inlineStr">
        <is>
          <t>Platform tax invoice for GoKesari's own fees (D6)</t>
        </is>
      </c>
      <c r="F255" s="34" t="inlineStr">
        <is>
          <t>The delivery fee is not invoiced and no SAC code is configured.</t>
        </is>
      </c>
      <c r="G255" s="34" t="inlineStr">
        <is>
          <t>F10.2.5</t>
        </is>
      </c>
      <c r="H255" s="34" t="inlineStr">
        <is>
          <t>-</t>
        </is>
      </c>
      <c r="I255" s="32" t="inlineStr">
        <is>
          <t>YET TO START</t>
        </is>
      </c>
      <c r="J255" s="34" t="inlineStr">
        <is>
          <t>Not started</t>
        </is>
      </c>
      <c r="K255" s="34" t="inlineStr">
        <is>
          <t>-</t>
        </is>
      </c>
      <c r="L255" s="34" t="inlineStr">
        <is>
          <t>-</t>
        </is>
      </c>
      <c r="M255" s="34" t="inlineStr">
        <is>
          <t>-</t>
        </is>
      </c>
      <c r="N255" s="34" t="inlineStr">
        <is>
          <t>Platform invoice + SAC</t>
        </is>
      </c>
      <c r="O255" s="34" t="inlineStr">
        <is>
          <t>D6 settlement model (pending)</t>
        </is>
      </c>
      <c r="P255" s="34" t="inlineStr">
        <is>
          <t>YET TO START</t>
        </is>
      </c>
      <c r="Q255" s="34" t="inlineStr">
        <is>
          <t>No change</t>
        </is>
      </c>
      <c r="R255" s="34" t="inlineStr">
        <is>
          <t>ITEMS_A_E_2026-10-07.md section 5</t>
        </is>
      </c>
    </row>
    <row r="256" ht="63" customHeight="1" s="24">
      <c r="A256" s="32" t="n">
        <v>255</v>
      </c>
      <c r="B256" s="34" t="inlineStr">
        <is>
          <t>Known gaps (not started)</t>
        </is>
      </c>
      <c r="C256" s="31" t="inlineStr">
        <is>
          <t>GAP-007</t>
        </is>
      </c>
      <c r="D256" s="34" t="inlineStr">
        <is>
          <t>Orders</t>
        </is>
      </c>
      <c r="E256" s="34" t="inlineStr">
        <is>
          <t>Customer Cancel button on My Orders</t>
        </is>
      </c>
      <c r="F256" s="34" t="inlineStr">
        <is>
          <t>Cancel order on My Orders &gt; Active, before packing, with a 'Yes, cancel order' confirmation; the order moves to Past with 'cancelled, full amount back to your wallet'. Same request and rule as the cart's open-order cancel; the server checks again.</t>
        </is>
      </c>
      <c r="G256" s="34" t="inlineStr">
        <is>
          <t>F1.9.5</t>
        </is>
      </c>
      <c r="H256" s="34" t="inlineStr">
        <is>
          <t>-</t>
        </is>
      </c>
      <c r="I256" s="32" t="inlineStr">
        <is>
          <t>COMPLETED</t>
        </is>
      </c>
      <c r="J256" s="34" t="inlineStr">
        <is>
          <t>Production (gokesari.com)</t>
        </is>
      </c>
      <c r="K256" s="34" t="inlineStr">
        <is>
          <t>Live - follows rule cancellation (CONFIRMED orders by default; until packing when customerMayCancelUntil = PREPARING)</t>
        </is>
      </c>
      <c r="L256" s="34" t="inlineStr">
        <is>
          <t>#122</t>
        </is>
      </c>
      <c r="M256" s="34" t="inlineStr">
        <is>
          <t>#123</t>
        </is>
      </c>
      <c r="N256" s="34" t="inlineStr">
        <is>
          <t>-</t>
        </is>
      </c>
      <c r="O256" s="34" t="inlineStr">
        <is>
          <t>-</t>
        </is>
      </c>
      <c r="P256" s="34" t="inlineStr">
        <is>
          <t>COMPLETED</t>
        </is>
      </c>
      <c r="Q256" s="34" t="inlineStr">
        <is>
          <t>No change</t>
        </is>
      </c>
      <c r="R256" s="34" t="inlineStr">
        <is>
          <t>src/app/orders/page.tsx; docs/tile-board-2026-10/TEST_RESULTS_UI_PASS.md (C-08, C-15)</t>
        </is>
      </c>
    </row>
    <row r="257" ht="63" customHeight="1" s="24">
      <c r="A257" s="32" t="n">
        <v>256</v>
      </c>
      <c r="B257" s="34" t="inlineStr">
        <is>
          <t>Known gaps (not started)</t>
        </is>
      </c>
      <c r="C257" s="31" t="inlineStr">
        <is>
          <t>GAP-008</t>
        </is>
      </c>
      <c r="D257" s="34" t="inlineStr">
        <is>
          <t>Location</t>
        </is>
      </c>
      <c r="E257" s="34" t="inlineStr">
        <is>
          <t>Map 'Confirm location' answers 500 on test.gokesari.com</t>
        </is>
      </c>
      <c r="F257" s="34" t="inlineStr">
        <is>
          <t>Geo-tagging an address on /profile/addresses shows 'Something went wrong' on the test site (geocoding call). The address still saves without the geo-tag. Pre-existing - not caused by the four features.</t>
        </is>
      </c>
      <c r="G257" s="34" t="inlineStr">
        <is>
          <t>F1.2.1</t>
        </is>
      </c>
      <c r="H257" s="34" t="inlineStr">
        <is>
          <t>-</t>
        </is>
      </c>
      <c r="I257" s="32" t="inlineStr">
        <is>
          <t>BLOCKED</t>
        </is>
      </c>
      <c r="J257" s="34" t="inlineStr">
        <is>
          <t>Test site only (test.gokesari.com)</t>
        </is>
      </c>
      <c r="K257" s="34" t="inlineStr">
        <is>
          <t>-</t>
        </is>
      </c>
      <c r="L257" s="34" t="inlineStr">
        <is>
          <t>-</t>
        </is>
      </c>
      <c r="M257" s="34" t="inlineStr">
        <is>
          <t>-</t>
        </is>
      </c>
      <c r="N257" s="34" t="inlineStr">
        <is>
          <t>Cause found (N-1): the test server key GOOGLE_MAPS_SERVER_API_KEY is restricted by HTTP referrer, so Google refuses server calls. Switch it to an IP restriction; check production's key too</t>
        </is>
      </c>
      <c r="O257" s="34" t="inlineStr">
        <is>
          <t>Owner: change the Maps server key restriction</t>
        </is>
      </c>
      <c r="P257" s="34" t="inlineStr">
        <is>
          <t>BLOCKED</t>
        </is>
      </c>
      <c r="Q257" s="34" t="inlineStr">
        <is>
          <t>No change</t>
        </is>
      </c>
      <c r="R257" s="34" t="inlineStr">
        <is>
          <t>docs/four-features-2026-10/TEST_RESULTS.md (Regression - address)</t>
        </is>
      </c>
    </row>
    <row r="258" ht="51" customHeight="1" s="24">
      <c r="A258" s="32" t="n">
        <v>257</v>
      </c>
      <c r="B258" s="34" t="inlineStr">
        <is>
          <t>Known gaps (not started)</t>
        </is>
      </c>
      <c r="C258" s="31" t="inlineStr">
        <is>
          <t>GAP-009</t>
        </is>
      </c>
      <c r="D258" s="34" t="inlineStr">
        <is>
          <t>Notifications</t>
        </is>
      </c>
      <c r="E258" s="34" t="inlineStr">
        <is>
          <t>Email sending capacity (mail host hourly limit)</t>
        </is>
      </c>
      <c r="F258" s="34" t="inlineStr">
        <is>
          <t>The test site's mailbox hit Hostinger's hourly sending cap ('451 4.7.1 Ratelimit hostinger_out_ratelimit exceeded'); emails were retried with back-off and a few marked DEAD. A busy production day sends more than the test run did.</t>
        </is>
      </c>
      <c r="G258" s="34" t="inlineStr">
        <is>
          <t>F13.1.1</t>
        </is>
      </c>
      <c r="H258" s="34" t="inlineStr">
        <is>
          <t>-</t>
        </is>
      </c>
      <c r="I258" s="32" t="inlineStr">
        <is>
          <t>YET TO START</t>
        </is>
      </c>
      <c r="J258" s="34" t="inlineStr">
        <is>
          <t>Not started</t>
        </is>
      </c>
      <c r="K258" s="34" t="inlineStr">
        <is>
          <t>-</t>
        </is>
      </c>
      <c r="L258" s="34" t="inlineStr">
        <is>
          <t>-</t>
        </is>
      </c>
      <c r="M258" s="34" t="inlineStr">
        <is>
          <t>-</t>
        </is>
      </c>
      <c r="N258" s="34" t="inlineStr">
        <is>
          <t>Raise the limit with the host or send through a transactional email service; check SPF/DKIM</t>
        </is>
      </c>
      <c r="O258" s="34" t="inlineStr">
        <is>
          <t>Owner: email provider choice</t>
        </is>
      </c>
      <c r="P258" s="34" t="inlineStr">
        <is>
          <t>YET TO START</t>
        </is>
      </c>
      <c r="Q258" s="34" t="inlineStr">
        <is>
          <t>No change</t>
        </is>
      </c>
      <c r="R258" s="34" t="inlineStr">
        <is>
          <t>docs/four-features-2026-10/README.md section 5 item 2 (S-5)</t>
        </is>
      </c>
    </row>
    <row r="259" ht="39" customHeight="1" s="24">
      <c r="A259" s="32" t="n">
        <v>258</v>
      </c>
      <c r="B259" s="34" t="inlineStr">
        <is>
          <t>Known gaps (not started)</t>
        </is>
      </c>
      <c r="C259" s="31" t="inlineStr">
        <is>
          <t>GAP-010</t>
        </is>
      </c>
      <c r="D259" s="34" t="inlineStr">
        <is>
          <t>Performance</t>
        </is>
      </c>
      <c r="E259" s="34" t="inlineStr">
        <is>
          <t>Slow signed-in pages and cold first visits (database far from the web server)</t>
        </is>
      </c>
      <c r="F259" s="34" t="inlineStr">
        <is>
          <t>Signed-in pages take 3.4-5.1 s of server time on the test site; the first visit after a quiet spell waits ~4 s on gokesari.com. Root cause: Neon database in us-east-2 and connections closed after 20 s idle.</t>
        </is>
      </c>
      <c r="G259" s="34" t="inlineStr">
        <is>
          <t>-</t>
        </is>
      </c>
      <c r="H259" s="34" t="inlineStr">
        <is>
          <t>-</t>
        </is>
      </c>
      <c r="I259" s="32" t="inlineStr">
        <is>
          <t>BLOCKED</t>
        </is>
      </c>
      <c r="J259" s="34" t="inlineStr">
        <is>
          <t>Not started</t>
        </is>
      </c>
      <c r="K259" s="34" t="inlineStr">
        <is>
          <t>-</t>
        </is>
      </c>
      <c r="L259" s="34" t="inlineStr">
        <is>
          <t>-</t>
        </is>
      </c>
      <c r="M259" s="34" t="inlineStr">
        <is>
          <t>-</t>
        </is>
      </c>
      <c r="N259" s="34" t="inlineStr">
        <is>
          <t>Database and web server in the same region and a longer idle timeout; then prepared statements (PLT-013)</t>
        </is>
      </c>
      <c r="O259" s="34" t="inlineStr">
        <is>
          <t>Owner: hosting decision (Blockers #35)</t>
        </is>
      </c>
      <c r="P259" s="34" t="inlineStr">
        <is>
          <t>BLOCKED</t>
        </is>
      </c>
      <c r="Q259" s="34" t="inlineStr">
        <is>
          <t>No change</t>
        </is>
      </c>
      <c r="R259" s="34" t="inlineStr">
        <is>
          <t>GoKesari_UI_Issue_Register_2026-10-09.xlsx (PERF-01, PERF-02)</t>
        </is>
      </c>
    </row>
    <row r="260" ht="27" customHeight="1" s="24">
      <c r="A260" s="32" t="n">
        <v>259</v>
      </c>
      <c r="B260" s="34" t="inlineStr">
        <is>
          <t>Known gaps (not started)</t>
        </is>
      </c>
      <c r="C260" s="31" t="inlineStr">
        <is>
          <t>GAP-011</t>
        </is>
      </c>
      <c r="D260" s="34" t="inlineStr">
        <is>
          <t>Search</t>
        </is>
      </c>
      <c r="E260" s="34" t="inlineStr">
        <is>
          <t>Search shows '0 shops' for products that nearby shops sell</t>
        </is>
      </c>
      <c r="F260" s="34" t="inlineStr">
        <is>
          <t>Search 'milk' lists products but 0 shops.</t>
        </is>
      </c>
      <c r="G260" s="34" t="inlineStr">
        <is>
          <t>F1.4.1</t>
        </is>
      </c>
      <c r="H260" s="34" t="inlineStr">
        <is>
          <t>-</t>
        </is>
      </c>
      <c r="I260" s="32" t="inlineStr">
        <is>
          <t>YET TO START</t>
        </is>
      </c>
      <c r="J260" s="34" t="inlineStr">
        <is>
          <t>Not started</t>
        </is>
      </c>
      <c r="K260" s="34" t="inlineStr">
        <is>
          <t>-</t>
        </is>
      </c>
      <c r="L260" s="34" t="inlineStr">
        <is>
          <t>-</t>
        </is>
      </c>
      <c r="M260" s="34" t="inlineStr">
        <is>
          <t>-</t>
        </is>
      </c>
      <c r="N260" s="34" t="inlineStr">
        <is>
          <t>Fix shop matching in search (back-end)</t>
        </is>
      </c>
      <c r="O260" s="34" t="inlineStr">
        <is>
          <t>-</t>
        </is>
      </c>
      <c r="P260" s="34" t="inlineStr">
        <is>
          <t>YET TO START</t>
        </is>
      </c>
      <c r="Q260" s="34" t="inlineStr">
        <is>
          <t>No change</t>
        </is>
      </c>
      <c r="R260" s="34" t="inlineStr">
        <is>
          <t>GoKesari_UI_Issue_Register_2026-10-09.xlsx (AUD-21)</t>
        </is>
      </c>
    </row>
    <row r="261" ht="27" customHeight="1" s="24">
      <c r="A261" s="32" t="n">
        <v>260</v>
      </c>
      <c r="B261" s="34" t="inlineStr">
        <is>
          <t>Known gaps (not started)</t>
        </is>
      </c>
      <c r="C261" s="31" t="inlineStr">
        <is>
          <t>GAP-012</t>
        </is>
      </c>
      <c r="D261" s="34" t="inlineStr">
        <is>
          <t>Disputes</t>
        </is>
      </c>
      <c r="E261" s="34" t="inlineStr">
        <is>
          <t>Admin dispute resolution gives no visible confirmation</t>
        </is>
      </c>
      <c r="F261" s="34" t="inlineStr">
        <is>
          <t>Resolving a dispute applied after a few seconds with no busy state or success message; a repeat click was refused (409).</t>
        </is>
      </c>
      <c r="G261" s="34" t="inlineStr">
        <is>
          <t>F6.3.2</t>
        </is>
      </c>
      <c r="H261" s="34" t="inlineStr">
        <is>
          <t>-</t>
        </is>
      </c>
      <c r="I261" s="32" t="inlineStr">
        <is>
          <t>YET TO START</t>
        </is>
      </c>
      <c r="J261" s="34" t="inlineStr">
        <is>
          <t>Not started</t>
        </is>
      </c>
      <c r="K261" s="34" t="inlineStr">
        <is>
          <t>-</t>
        </is>
      </c>
      <c r="L261" s="34" t="inlineStr">
        <is>
          <t>-</t>
        </is>
      </c>
      <c r="M261" s="34" t="inlineStr">
        <is>
          <t>-</t>
        </is>
      </c>
      <c r="N261" s="34" t="inlineStr">
        <is>
          <t>Busy state and success message on the resolve form</t>
        </is>
      </c>
      <c r="O261" s="34" t="inlineStr">
        <is>
          <t>-</t>
        </is>
      </c>
      <c r="P261" s="34" t="inlineStr">
        <is>
          <t>YET TO START</t>
        </is>
      </c>
      <c r="Q261" s="34" t="inlineStr">
        <is>
          <t>No change</t>
        </is>
      </c>
      <c r="R261" s="34" t="inlineStr">
        <is>
          <t>GoKesari_UI_Issue_Register_2026-10-09.xlsx (TST-01)</t>
        </is>
      </c>
    </row>
    <row r="262" ht="27" customHeight="1" s="24">
      <c r="A262" s="32" t="n">
        <v>261</v>
      </c>
      <c r="B262" s="34" t="inlineStr">
        <is>
          <t>Known gaps (not started)</t>
        </is>
      </c>
      <c r="C262" s="31" t="inlineStr">
        <is>
          <t>GAP-013</t>
        </is>
      </c>
      <c r="D262" s="34" t="inlineStr">
        <is>
          <t>Returns</t>
        </is>
      </c>
      <c r="E262" s="34" t="inlineStr">
        <is>
          <t>Approved return waiting for a rider cannot be completed by staff</t>
        </is>
      </c>
      <c r="F262" s="34" t="inlineStr">
        <is>
          <t>Manual completion of a return pickup is offered to staff only once a rider is on the way.</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Decide whether staff may complete a pickup without a rider</t>
        </is>
      </c>
      <c r="O262" s="34" t="inlineStr">
        <is>
          <t>Owner: business rule</t>
        </is>
      </c>
      <c r="P262" s="34" t="inlineStr">
        <is>
          <t>YET TO START</t>
        </is>
      </c>
      <c r="Q262" s="34" t="inlineStr">
        <is>
          <t>No change</t>
        </is>
      </c>
      <c r="R262" s="34" t="inlineStr">
        <is>
          <t>GoKesari_UI_Issue_Register_2026-10-09.xlsx (TST-02)</t>
        </is>
      </c>
    </row>
    <row r="263" ht="27" customHeight="1" s="24">
      <c r="A263" s="32" t="n">
        <v>262</v>
      </c>
      <c r="B263" s="34" t="inlineStr">
        <is>
          <t>Known gaps (not started)</t>
        </is>
      </c>
      <c r="C263" s="31" t="inlineStr">
        <is>
          <t>GAP-014</t>
        </is>
      </c>
      <c r="D263" s="34" t="inlineStr">
        <is>
          <t>Orders</t>
        </is>
      </c>
      <c r="E263" s="34" t="inlineStr">
        <is>
          <t>/orders?tab=returns shows the Active list</t>
        </is>
      </c>
      <c r="F263" s="34" t="inlineStr">
        <is>
          <t>The Returns tab links to /returns; opening /orders?tab=returns directly shows Active orders.</t>
        </is>
      </c>
      <c r="G263" s="34" t="inlineStr">
        <is>
          <t>F1.9.1</t>
        </is>
      </c>
      <c r="H263" s="34" t="inlineStr">
        <is>
          <t>-</t>
        </is>
      </c>
      <c r="I263" s="32" t="inlineStr">
        <is>
          <t>YET TO START</t>
        </is>
      </c>
      <c r="J263" s="34" t="inlineStr">
        <is>
          <t>Not started</t>
        </is>
      </c>
      <c r="K263" s="34" t="inlineStr">
        <is>
          <t>-</t>
        </is>
      </c>
      <c r="L263" s="34" t="inlineStr">
        <is>
          <t>-</t>
        </is>
      </c>
      <c r="M263" s="34" t="inlineStr">
        <is>
          <t>-</t>
        </is>
      </c>
      <c r="N263" s="34" t="inlineStr">
        <is>
          <t>Map tab=returns to /returns</t>
        </is>
      </c>
      <c r="O263" s="34" t="inlineStr">
        <is>
          <t>-</t>
        </is>
      </c>
      <c r="P263" s="34" t="inlineStr">
        <is>
          <t>YET TO START</t>
        </is>
      </c>
      <c r="Q263" s="34" t="inlineStr">
        <is>
          <t>No change</t>
        </is>
      </c>
      <c r="R263" s="34" t="inlineStr">
        <is>
          <t>GoKesari_UI_Issue_Register_2026-10-09.xlsx (TST-03)</t>
        </is>
      </c>
    </row>
    <row r="264" ht="27" customHeight="1" s="24">
      <c r="A264" s="32" t="n">
        <v>263</v>
      </c>
      <c r="B264" s="34" t="inlineStr">
        <is>
          <t>Known gaps (not started)</t>
        </is>
      </c>
      <c r="C264" s="31" t="inlineStr">
        <is>
          <t>GAP-015</t>
        </is>
      </c>
      <c r="D264" s="34" t="inlineStr">
        <is>
          <t>Navigation / UX</t>
        </is>
      </c>
      <c r="E264" s="34" t="inlineStr">
        <is>
          <t>Hindi / Marathi for the body of inner pages</t>
        </is>
      </c>
      <c r="F264" s="34" t="inlineStr">
        <is>
          <t>Boards, header, menus, tabs and error screens are translated; forms, tables and policy pages are English.</t>
        </is>
      </c>
      <c r="G264" s="34" t="inlineStr">
        <is>
          <t>-</t>
        </is>
      </c>
      <c r="H264" s="34" t="inlineStr">
        <is>
          <t>-</t>
        </is>
      </c>
      <c r="I264" s="32" t="inlineStr">
        <is>
          <t>YET TO START</t>
        </is>
      </c>
      <c r="J264" s="34" t="inlineStr">
        <is>
          <t>Not started</t>
        </is>
      </c>
      <c r="K264" s="34" t="inlineStr">
        <is>
          <t>-</t>
        </is>
      </c>
      <c r="L264" s="34" t="inlineStr">
        <is>
          <t>-</t>
        </is>
      </c>
      <c r="M264" s="34" t="inlineStr">
        <is>
          <t>-</t>
        </is>
      </c>
      <c r="N264" s="34" t="inlineStr">
        <is>
          <t>Translate the remaining strings with a native-speaker review</t>
        </is>
      </c>
      <c r="O264" s="34" t="inlineStr">
        <is>
          <t>Owner: decision (Blockers #38)</t>
        </is>
      </c>
      <c r="P264" s="34" t="inlineStr">
        <is>
          <t>YET TO START</t>
        </is>
      </c>
      <c r="Q264" s="34" t="inlineStr">
        <is>
          <t>No change</t>
        </is>
      </c>
      <c r="R264" s="34" t="inlineStr">
        <is>
          <t>GoKesari_UI_Issue_Register_2026-10-09.xlsx (DT-13)</t>
        </is>
      </c>
    </row>
    <row r="265" ht="39" customHeight="1" s="24">
      <c r="A265" s="32" t="n">
        <v>264</v>
      </c>
      <c r="B265" s="34" t="inlineStr">
        <is>
          <t>Known gaps (not started)</t>
        </is>
      </c>
      <c r="C265" s="31" t="inlineStr">
        <is>
          <t>GAP-016</t>
        </is>
      </c>
      <c r="D265" s="34" t="inlineStr">
        <is>
          <t>Platform</t>
        </is>
      </c>
      <c r="E265" s="34" t="inlineStr">
        <is>
          <t>Same Drizzle bare-id subquery bug in rider reliability and the integrations 'listed' flag</t>
        </is>
      </c>
      <c r="F265" s="34" t="inlineStr">
        <is>
          <t>The bug fixed in #138 (counts of 0) also appears in delivery-assignment.ts (rider reliability) and integrations pull.ts / connections.ts. Reported, not fixed.</t>
        </is>
      </c>
      <c r="G265" s="34" t="inlineStr">
        <is>
          <t>-</t>
        </is>
      </c>
      <c r="H265" s="34" t="inlineStr">
        <is>
          <t>-</t>
        </is>
      </c>
      <c r="I265" s="32" t="inlineStr">
        <is>
          <t>YET TO START</t>
        </is>
      </c>
      <c r="J265" s="34" t="inlineStr">
        <is>
          <t>Not started</t>
        </is>
      </c>
      <c r="K265" s="34" t="inlineStr">
        <is>
          <t>-</t>
        </is>
      </c>
      <c r="L265" s="34" t="inlineStr">
        <is>
          <t>-</t>
        </is>
      </c>
      <c r="M265" s="34" t="inlineStr">
        <is>
          <t>-</t>
        </is>
      </c>
      <c r="N265" s="34" t="inlineStr">
        <is>
          <t>Apply the #138 fix pattern and add regression tests</t>
        </is>
      </c>
      <c r="O265" s="34" t="inlineStr">
        <is>
          <t>-</t>
        </is>
      </c>
      <c r="P265" s="34" t="inlineStr">
        <is>
          <t>YET TO START</t>
        </is>
      </c>
      <c r="Q265" s="34" t="inlineStr">
        <is>
          <t>No change</t>
        </is>
      </c>
      <c r="R265" s="34" t="inlineStr">
        <is>
          <t>PR #138 notes</t>
        </is>
      </c>
    </row>
    <row r="266" ht="27" customHeight="1" s="24">
      <c r="A266" s="32" t="n">
        <v>265</v>
      </c>
      <c r="B266" s="34" t="inlineStr">
        <is>
          <t>Known gaps (not started)</t>
        </is>
      </c>
      <c r="C266" s="31" t="inlineStr">
        <is>
          <t>GAP-017</t>
        </is>
      </c>
      <c r="D266" s="34" t="inlineStr">
        <is>
          <t>Platform</t>
        </is>
      </c>
      <c r="E266" s="34" t="inlineStr">
        <is>
          <t>React error #418 (hydration) on /wallet and /admin/orders</t>
        </is>
      </c>
      <c r="F266" s="34" t="inlineStr">
        <is>
          <t>A pre-existing hydration mismatch logged in the browser on two pages.</t>
        </is>
      </c>
      <c r="G266" s="34" t="inlineStr">
        <is>
          <t>-</t>
        </is>
      </c>
      <c r="H266" s="34" t="inlineStr">
        <is>
          <t>-</t>
        </is>
      </c>
      <c r="I266" s="32" t="inlineStr">
        <is>
          <t>YET TO START</t>
        </is>
      </c>
      <c r="J266" s="34" t="inlineStr">
        <is>
          <t>Not started</t>
        </is>
      </c>
      <c r="K266" s="34" t="inlineStr">
        <is>
          <t>-</t>
        </is>
      </c>
      <c r="L266" s="34" t="inlineStr">
        <is>
          <t>-</t>
        </is>
      </c>
      <c r="M266" s="34" t="inlineStr">
        <is>
          <t>-</t>
        </is>
      </c>
      <c r="N266" s="34" t="inlineStr">
        <is>
          <t>Find the server / client difference and fix</t>
        </is>
      </c>
      <c r="O266" s="34" t="inlineStr">
        <is>
          <t>-</t>
        </is>
      </c>
      <c r="P266" s="34" t="inlineStr">
        <is>
          <t>YET TO START</t>
        </is>
      </c>
      <c r="Q266" s="34" t="inlineStr">
        <is>
          <t>No change</t>
        </is>
      </c>
      <c r="R266" s="34" t="inlineStr">
        <is>
          <t>docs/nearby-referral-2026-10/TEST_RESULTS.md</t>
        </is>
      </c>
    </row>
    <row r="267" ht="51" customHeight="1" s="24">
      <c r="A267" s="32" t="n">
        <v>266</v>
      </c>
      <c r="B267" s="34" t="inlineStr">
        <is>
          <t>Known gaps (not started)</t>
        </is>
      </c>
      <c r="C267" s="31" t="inlineStr">
        <is>
          <t>GAP-018</t>
        </is>
      </c>
      <c r="D267" s="34" t="inlineStr">
        <is>
          <t>Orders</t>
        </is>
      </c>
      <c r="E267" s="34" t="inlineStr">
        <is>
          <t>My Orders card wording after an order is switched to pickup</t>
        </is>
      </c>
      <c r="F267" s="34" t="inlineStr">
        <is>
          <t>After the shop changes a GoKesari-delivery order to pickup and it is delivered, the customer's card still shows 'Finding a rider - &lt;rider&gt;', and the Rs 20 delivery-fee refund is labelled 'refunded ... for unavailable items'.</t>
        </is>
      </c>
      <c r="G267" s="34" t="inlineStr">
        <is>
          <t>-</t>
        </is>
      </c>
      <c r="H267" s="34" t="inlineStr">
        <is>
          <t>-</t>
        </is>
      </c>
      <c r="I267" s="32" t="inlineStr">
        <is>
          <t>YET TO START</t>
        </is>
      </c>
      <c r="J267" s="34" t="inlineStr">
        <is>
          <t>Not started</t>
        </is>
      </c>
      <c r="K267" s="34" t="inlineStr">
        <is>
          <t>-</t>
        </is>
      </c>
      <c r="L267" s="34" t="inlineStr">
        <is>
          <t>-</t>
        </is>
      </c>
      <c r="M267" s="34" t="inlineStr">
        <is>
          <t>-</t>
        </is>
      </c>
      <c r="N267" s="34" t="inlineStr">
        <is>
          <t>Hide the rider line once the order is not a GoKesari delivery; label the delivery-fee refund correctly</t>
        </is>
      </c>
      <c r="O267" s="34" t="inlineStr">
        <is>
          <t>-</t>
        </is>
      </c>
      <c r="P267" s="34" t="inlineStr">
        <is>
          <t>Not tracked</t>
        </is>
      </c>
      <c r="Q267" s="34" t="inlineStr">
        <is>
          <t>New: found in the 14 Oct lifecycle run (defects D-25, D-26). Amounts are right; wording only.</t>
        </is>
      </c>
      <c r="R267" s="34" t="inlineStr">
        <is>
          <t>docs/order-lifecycle-2026-10/TEST_RESULTS_STAGING_2026-10-14.md</t>
        </is>
      </c>
    </row>
    <row r="268" ht="39" customHeight="1" s="24">
      <c r="A268" s="32" t="n">
        <v>267</v>
      </c>
      <c r="B268" s="34" t="inlineStr">
        <is>
          <t>Known gaps (not started)</t>
        </is>
      </c>
      <c r="C268" s="31" t="inlineStr">
        <is>
          <t>GAP-019</t>
        </is>
      </c>
      <c r="D268" s="34" t="inlineStr">
        <is>
          <t>Checkout</t>
        </is>
      </c>
      <c r="E268" s="34" t="inlineStr">
        <is>
          <t>Wallet checkout takes 30-38 s on the test site</t>
        </is>
      </c>
      <c r="F268" s="34" t="inlineStr">
        <is>
          <t>Placing an order with the wallet took 30+ s (timed out once; the retry with the same request id was safe and charged once) and 37.8 s on the rerun.</t>
        </is>
      </c>
      <c r="G268" s="34" t="inlineStr">
        <is>
          <t>-</t>
        </is>
      </c>
      <c r="H268" s="34" t="inlineStr">
        <is>
          <t>-</t>
        </is>
      </c>
      <c r="I268" s="32" t="inlineStr">
        <is>
          <t>YET TO START</t>
        </is>
      </c>
      <c r="J268" s="34" t="inlineStr">
        <is>
          <t>Not started</t>
        </is>
      </c>
      <c r="K268" s="34" t="inlineStr">
        <is>
          <t>-</t>
        </is>
      </c>
      <c r="L268" s="34" t="inlineStr">
        <is>
          <t>-</t>
        </is>
      </c>
      <c r="M268" s="34" t="inlineStr">
        <is>
          <t>-</t>
        </is>
      </c>
      <c r="N268" s="34" t="inlineStr">
        <is>
          <t>Profile checkout on test; likely the far database (GAP-010)</t>
        </is>
      </c>
      <c r="O268" s="34" t="inlineStr">
        <is>
          <t>-</t>
        </is>
      </c>
      <c r="P268" s="34" t="inlineStr">
        <is>
          <t>Not tracked</t>
        </is>
      </c>
      <c r="Q268" s="34" t="inlineStr">
        <is>
          <t>New: found in the 14 Oct lifecycle run (defect D-27).</t>
        </is>
      </c>
      <c r="R268" s="34" t="inlineStr">
        <is>
          <t>docs/order-lifecycle-2026-10/TEST_RESULTS_STAGING_2026-10-14.md</t>
        </is>
      </c>
    </row>
  </sheetData>
  <autoFilter ref="A1:R268"/>
  <conditionalFormatting sqref="I2:I268">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8">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8"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EA580C"/>
    <outlinePr summaryBelow="1" summaryRight="1"/>
    <pageSetUpPr fitToPage="1"/>
  </sheetPr>
  <dimension ref="A1:I217"/>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(15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COUNTIFS($B$121:$B$143,3,$G$121:$G$143,"COMPLETED")&amp;" / "&amp;COUNTIF($B$121:$B$143,3)</f>
        <v/>
      </c>
      <c r="G120" s="41">
        <f>IF(COUNTIFS($B$121:$B$143,3,$G$121:$G$143,"COMPLETED")=COUNTIF($B$121:$B$143,3),"COMPLETED",IF(COUNTIFS($B$121:$B$143,3,$G$121:$G$143,"BLOCKED")&gt;0,"BLOCKED",IF(COUNTIFS($B$121:$B$143,3,$G$121:$G$143,"YET TO START")=COUNTIF($B$121:$B$143,3),"YET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39"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COMPLETED</t>
        </is>
      </c>
      <c r="H132" s="34" t="inlineStr">
        <is>
          <t>#146-#149; #169; #175</t>
        </is>
      </c>
      <c r="I132" s="34" t="inlineStr">
        <is>
          <t>Live on gokesari.com since 15 Oct: the owner's browser reads the photo and pre-fills the details</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COUNTIFS($B$140:$B$143,3,$G$140:$G$143,"COMPLETED")&amp;" / "&amp;COUNTIF($B$140:$B$143,3)</f>
        <v/>
      </c>
      <c r="G139" s="43">
        <f>IF(COUNTIFS($B$140:$B$143,3,$G$140:$G$143,"COMPLETED")=COUNTIF($B$140:$B$143,3),"COMPLETED",IF(COUNTIFS($B$140:$B$143,3,$G$140:$G$143,"BLOCKED")&gt;0,"BLOCKED",IF(COUNTIFS($B$140:$B$143,3,$G$140:$G$143,"YET TO START")=COUNTIF($B$140:$B$143,3),"YET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5" customHeight="1" s="24">
      <c r="A143" s="34" t="inlineStr">
        <is>
          <t>F8.4.4</t>
        </is>
      </c>
      <c r="B143" s="32" t="n">
        <v>3</v>
      </c>
      <c r="C143" s="45" t="inlineStr">
        <is>
          <t>Owner with several shops switches shop in Seller Central</t>
        </is>
      </c>
      <c r="D143" s="34" t="inlineStr">
        <is>
          <t>Shop owner</t>
        </is>
      </c>
      <c r="E143" s="34" t="inlineStr">
        <is>
          <t>NEW-066</t>
        </is>
      </c>
      <c r="F143" s="32" t="n"/>
      <c r="G143" s="32" t="inlineStr">
        <is>
          <t>IN PROGRESS</t>
        </is>
      </c>
      <c r="H143" s="34" t="inlineStr">
        <is>
          <t>#168</t>
        </is>
      </c>
      <c r="I143" s="34" t="inlineStr">
        <is>
          <t>On test; release to production next</t>
        </is>
      </c>
    </row>
    <row r="144" ht="18" customHeight="1" s="24">
      <c r="A144" s="40" t="inlineStr">
        <is>
          <t>F9</t>
        </is>
      </c>
      <c r="B144" s="41" t="n">
        <v>1</v>
      </c>
      <c r="C144" s="40" t="inlineStr">
        <is>
          <t>F9  Catalogue and product master data</t>
        </is>
      </c>
      <c r="D144" s="40" t="inlineStr">
        <is>
          <t>Shop owner / Operator</t>
        </is>
      </c>
      <c r="E144" s="40" t="n"/>
      <c r="F144" s="41">
        <f>COUNTIFS($B$145:$B$157,3,$G$145:$G$157,"COMPLETED")&amp;" / "&amp;COUNTIF($B$145:$B$157,3)</f>
        <v/>
      </c>
      <c r="G144" s="41">
        <f>IF(COUNTIFS($B$145:$B$157,3,$G$145:$G$157,"COMPLETED")=COUNTIF($B$145:$B$157,3),"COMPLETED",IF(COUNTIFS($B$145:$B$157,3,$G$145:$G$157,"BLOCKED")&gt;0,"BLOCKED",IF(COUNTIFS($B$145:$B$157,3,$G$145:$G$157,"YET TO START")=COUNTIF($B$145:$B$157,3),"YET TO START","IN PROGRESS")))</f>
        <v/>
      </c>
      <c r="H144" s="40" t="n"/>
      <c r="I144" s="40" t="n"/>
    </row>
    <row r="145" ht="15" customHeight="1" s="24">
      <c r="A145" s="42" t="inlineStr">
        <is>
          <t>F9.1</t>
        </is>
      </c>
      <c r="B145" s="43" t="n">
        <v>2</v>
      </c>
      <c r="C145" s="44" t="inlineStr">
        <is>
          <t>F9.1  Master data</t>
        </is>
      </c>
      <c r="D145" s="42" t="n"/>
      <c r="E145" s="42" t="n"/>
      <c r="F145" s="43">
        <f>COUNTIFS($B$146:$B$149,3,$G$146:$G$149,"COMPLETED")&amp;" / "&amp;COUNTIF($B$146:$B$149,3)</f>
        <v/>
      </c>
      <c r="G145" s="43">
        <f>IF(COUNTIFS($B$146:$B$149,3,$G$146:$G$149,"COMPLETED")=COUNTIF($B$146:$B$149,3),"COMPLETED",IF(COUNTIFS($B$146:$B$149,3,$G$146:$G$149,"BLOCKED")&gt;0,"BLOCKED",IF(COUNTIFS($B$146:$B$149,3,$G$146:$G$149,"YET TO START")=COUNTIF($B$146:$B$149,3),"YET TO START","IN PROGRESS")))</f>
        <v/>
      </c>
      <c r="H145" s="42" t="n"/>
      <c r="I145" s="42" t="n"/>
    </row>
    <row r="146" ht="27" customHeight="1" s="24">
      <c r="A146" s="34" t="inlineStr">
        <is>
          <t>F9.1.1</t>
        </is>
      </c>
      <c r="B146" s="32" t="n">
        <v>3</v>
      </c>
      <c r="C146" s="45" t="inlineStr">
        <is>
          <t>Ingest lawful sources, match, review duplicates</t>
        </is>
      </c>
      <c r="D146" s="34" t="inlineStr">
        <is>
          <t>Shop owner / Operator</t>
        </is>
      </c>
      <c r="E146" s="34" t="inlineStr">
        <is>
          <t>PMD-001, PMD-003, PMD-005</t>
        </is>
      </c>
      <c r="F146" s="32" t="n"/>
      <c r="G146" s="32" t="inlineStr">
        <is>
          <t>COMPLETED</t>
        </is>
      </c>
      <c r="H146" s="34" t="inlineStr">
        <is>
          <t>#4; #9</t>
        </is>
      </c>
      <c r="I146" s="34" t="inlineStr">
        <is>
          <t>-</t>
        </is>
      </c>
    </row>
    <row r="147" ht="27" customHeight="1" s="24">
      <c r="A147" s="34" t="inlineStr">
        <is>
          <t>F9.1.2</t>
        </is>
      </c>
      <c r="B147" s="32" t="n">
        <v>3</v>
      </c>
      <c r="C147" s="45" t="inlineStr">
        <is>
          <t>GS1 India and manufacturer feeds</t>
        </is>
      </c>
      <c r="D147" s="34" t="inlineStr">
        <is>
          <t>Shop owner / Operator</t>
        </is>
      </c>
      <c r="E147" s="34" t="inlineStr">
        <is>
          <t>PMD-002</t>
        </is>
      </c>
      <c r="F147" s="32" t="n"/>
      <c r="G147" s="32" t="inlineStr">
        <is>
          <t>BLOCKED</t>
        </is>
      </c>
      <c r="H147" s="34" t="inlineStr">
        <is>
          <t>#4</t>
        </is>
      </c>
      <c r="I147" s="34" t="inlineStr">
        <is>
          <t>Waits on agreements</t>
        </is>
      </c>
    </row>
    <row r="148" ht="27" customHeight="1" s="24">
      <c r="A148" s="34" t="inlineStr">
        <is>
          <t>F9.1.3</t>
        </is>
      </c>
      <c r="B148" s="32" t="n">
        <v>3</v>
      </c>
      <c r="C148" s="45" t="inlineStr">
        <is>
          <t>Promote master products into the shop catalogue</t>
        </is>
      </c>
      <c r="D148" s="34" t="inlineStr">
        <is>
          <t>Shop owner / Operator</t>
        </is>
      </c>
      <c r="E148" s="34" t="inlineStr">
        <is>
          <t>PMD-004</t>
        </is>
      </c>
      <c r="F148" s="32" t="n"/>
      <c r="G148" s="32" t="inlineStr">
        <is>
          <t>COMPLETED</t>
        </is>
      </c>
      <c r="H148" s="34" t="inlineStr">
        <is>
          <t>#4; #5; #6</t>
        </is>
      </c>
      <c r="I148" s="34" t="inlineStr">
        <is>
          <t>-</t>
        </is>
      </c>
    </row>
    <row r="149" ht="27" customHeight="1" s="24">
      <c r="A149" s="34" t="inlineStr">
        <is>
          <t>F9.1.4</t>
        </is>
      </c>
      <c r="B149" s="32" t="n">
        <v>3</v>
      </c>
      <c r="C149" s="45" t="inlineStr">
        <is>
          <t>Large-scale ingestion; product browser and promote button</t>
        </is>
      </c>
      <c r="D149" s="34" t="inlineStr">
        <is>
          <t>Shop owner / Operator</t>
        </is>
      </c>
      <c r="E149" s="34" t="inlineStr">
        <is>
          <t>PMD-006, PMD-007</t>
        </is>
      </c>
      <c r="F149" s="32" t="n"/>
      <c r="G149" s="32" t="inlineStr">
        <is>
          <t>YET TO START</t>
        </is>
      </c>
      <c r="H149" s="34" t="inlineStr">
        <is>
          <t>-</t>
        </is>
      </c>
      <c r="I149" s="34" t="inlineStr">
        <is>
          <t>Not started</t>
        </is>
      </c>
    </row>
    <row r="150" ht="15" customHeight="1" s="24">
      <c r="A150" s="42" t="inlineStr">
        <is>
          <t>F9.2</t>
        </is>
      </c>
      <c r="B150" s="43" t="n">
        <v>2</v>
      </c>
      <c r="C150" s="44" t="inlineStr">
        <is>
          <t>F9.2  Shop catalogue</t>
        </is>
      </c>
      <c r="D150" s="42" t="n"/>
      <c r="E150" s="42" t="n"/>
      <c r="F150" s="43">
        <f>COUNTIFS($B$151:$B$157,3,$G$151:$G$157,"COMPLETED")&amp;" / "&amp;COUNTIF($B$151:$B$157,3)</f>
        <v/>
      </c>
      <c r="G150" s="43">
        <f>IF(COUNTIFS($B$151:$B$157,3,$G$151:$G$157,"COMPLETED")=COUNTIF($B$151:$B$157,3),"COMPLETED",IF(COUNTIFS($B$151:$B$157,3,$G$151:$G$157,"BLOCKED")&gt;0,"BLOCKED",IF(COUNTIFS($B$151:$B$157,3,$G$151:$G$157,"YET TO START")=COUNTIF($B$151:$B$157,3),"YET TO START","IN PROGRESS")))</f>
        <v/>
      </c>
      <c r="H150" s="42" t="n"/>
      <c r="I150" s="42" t="n"/>
    </row>
    <row r="151" ht="27" customHeight="1" s="24">
      <c r="A151" s="34" t="inlineStr">
        <is>
          <t>F9.2.1</t>
        </is>
      </c>
      <c r="B151" s="32" t="n">
        <v>3</v>
      </c>
      <c r="C151" s="45" t="inlineStr">
        <is>
          <t>Category master and one-time categorisation</t>
        </is>
      </c>
      <c r="D151" s="34" t="inlineStr">
        <is>
          <t>Shop owner / Operator</t>
        </is>
      </c>
      <c r="E151" s="34" t="inlineStr">
        <is>
          <t>NEW-008</t>
        </is>
      </c>
      <c r="F151" s="32" t="n"/>
      <c r="G151" s="32" t="inlineStr">
        <is>
          <t>COMPLETED</t>
        </is>
      </c>
      <c r="H151" s="34" t="inlineStr">
        <is>
          <t>#38; #39</t>
        </is>
      </c>
      <c r="I151" s="34" t="inlineStr">
        <is>
          <t>-</t>
        </is>
      </c>
    </row>
    <row r="152" ht="27" customHeight="1" s="24">
      <c r="A152" s="34" t="inlineStr">
        <is>
          <t>F9.2.2</t>
        </is>
      </c>
      <c r="B152" s="32" t="n">
        <v>3</v>
      </c>
      <c r="C152" s="45" t="inlineStr">
        <is>
          <t>Create products, bulk Excel upload, approval queue</t>
        </is>
      </c>
      <c r="D152" s="34" t="inlineStr">
        <is>
          <t>Shop owner / Operator</t>
        </is>
      </c>
      <c r="E152" s="34" t="inlineStr">
        <is>
          <t>GS-012, GS-013, RBAC-005</t>
        </is>
      </c>
      <c r="F152" s="32" t="n"/>
      <c r="G152" s="32" t="inlineStr">
        <is>
          <t>COMPLETED</t>
        </is>
      </c>
      <c r="H152" s="34" t="inlineStr">
        <is>
          <t>Baseline; #38</t>
        </is>
      </c>
      <c r="I152" s="34" t="inlineStr">
        <is>
          <t>-</t>
        </is>
      </c>
    </row>
    <row r="153" ht="27" customHeight="1" s="24">
      <c r="A153" s="34" t="inlineStr">
        <is>
          <t>F9.2.3</t>
        </is>
      </c>
      <c r="B153" s="32" t="n">
        <v>3</v>
      </c>
      <c r="C153" s="45" t="inlineStr">
        <is>
          <t>MRP governance, price history, stock and thresholds</t>
        </is>
      </c>
      <c r="D153" s="34" t="inlineStr">
        <is>
          <t>Shop owner / Operator</t>
        </is>
      </c>
      <c r="E153" s="34" t="inlineStr">
        <is>
          <t>GS-015, GS-016, GS-017, GS-018</t>
        </is>
      </c>
      <c r="F153" s="32" t="n"/>
      <c r="G153" s="32" t="inlineStr">
        <is>
          <t>COMPLETED</t>
        </is>
      </c>
      <c r="H153" s="34" t="inlineStr">
        <is>
          <t>Baseline; #23; #45</t>
        </is>
      </c>
      <c r="I153" s="34" t="inlineStr">
        <is>
          <t>-</t>
        </is>
      </c>
    </row>
    <row r="154" ht="27" customHeight="1" s="24">
      <c r="A154" s="34" t="inlineStr">
        <is>
          <t>F9.2.4</t>
        </is>
      </c>
      <c r="B154" s="32" t="n">
        <v>3</v>
      </c>
      <c r="C154" s="45" t="inlineStr">
        <is>
          <t>Product images, moderation (F10), photo catalogue</t>
        </is>
      </c>
      <c r="D154" s="34" t="inlineStr">
        <is>
          <t>Shop owner / Operator</t>
        </is>
      </c>
      <c r="E154" s="34" t="inlineStr">
        <is>
          <t>GS-014, NEW-017</t>
        </is>
      </c>
      <c r="F154" s="32" t="n"/>
      <c r="G154" s="32" t="inlineStr">
        <is>
          <t>COMPLETED</t>
        </is>
      </c>
      <c r="H154" s="34" t="inlineStr">
        <is>
          <t>#23; #55; #79</t>
        </is>
      </c>
      <c r="I154" s="34" t="inlineStr">
        <is>
          <t>Moderation off by default</t>
        </is>
      </c>
    </row>
    <row r="155" ht="27" customHeight="1" s="24">
      <c r="A155" s="34" t="inlineStr">
        <is>
          <t>F9.2.5</t>
        </is>
      </c>
      <c r="B155" s="32" t="n">
        <v>3</v>
      </c>
      <c r="C155" s="45" t="inlineStr">
        <is>
          <t>Five photos + descriptions per listing, bulk ZIP/CSV, shop staff</t>
        </is>
      </c>
      <c r="D155" s="34" t="inlineStr">
        <is>
          <t>Shop owner / Operator</t>
        </is>
      </c>
      <c r="E155" s="34" t="inlineStr">
        <is>
          <t>NEW-036</t>
        </is>
      </c>
      <c r="F155" s="32" t="n"/>
      <c r="G155" s="32" t="inlineStr">
        <is>
          <t>COMPLETED</t>
        </is>
      </c>
      <c r="H155" s="34" t="inlineStr">
        <is>
          <t>#92; #120</t>
        </is>
      </c>
      <c r="I155" s="34" t="inlineStr">
        <is>
          <t>Live on gokesari.com since #120 (9 Oct)</t>
        </is>
      </c>
    </row>
    <row r="156" ht="27" customHeight="1" s="24">
      <c r="A156" s="34" t="inlineStr">
        <is>
          <t>F9.2.6</t>
        </is>
      </c>
      <c r="B156" s="32" t="n">
        <v>3</v>
      </c>
      <c r="C156" s="45" t="inlineStr">
        <is>
          <t>Accounting / inventory sync and GST (GSP)</t>
        </is>
      </c>
      <c r="D156" s="34" t="inlineStr">
        <is>
          <t>Shop owner / Operator</t>
        </is>
      </c>
      <c r="E156" s="34" t="inlineStr">
        <is>
          <t>NEW-037</t>
        </is>
      </c>
      <c r="F156" s="32" t="n"/>
      <c r="G156" s="32" t="inlineStr">
        <is>
          <t>BLOCKED</t>
        </is>
      </c>
      <c r="H156" s="34" t="inlineStr">
        <is>
          <t>#92; #120</t>
        </is>
      </c>
      <c r="I156" s="34" t="inlineStr">
        <is>
          <t>On gokesari.com since #120 on mock providers; waits on a real GSP and owner inputs P1, P3, P6</t>
        </is>
      </c>
    </row>
    <row r="157" ht="27" customHeight="1" s="24">
      <c r="A157" s="34" t="inlineStr">
        <is>
          <t>F9.2.7</t>
        </is>
      </c>
      <c r="B157" s="32" t="n">
        <v>3</v>
      </c>
      <c r="C157" s="45" t="inlineStr">
        <is>
          <t>Shop's own books: stock ledger, purchases and sales, GST returns and reconciliation, supplier bill scan</t>
        </is>
      </c>
      <c r="D157" s="34" t="inlineStr">
        <is>
          <t>Shop owner</t>
        </is>
      </c>
      <c r="E157" s="34" t="inlineStr">
        <is>
          <t>NEW-067</t>
        </is>
      </c>
      <c r="F157" s="32" t="n"/>
      <c r="G157" s="32" t="inlineStr">
        <is>
          <t>IN PROGRESS</t>
        </is>
      </c>
      <c r="H157" s="34" t="inlineStr">
        <is>
          <t>#171</t>
        </is>
      </c>
      <c r="I157" s="34" t="inlineStr">
        <is>
          <t>On test; Accounts home ~40 s to load; staging test report and release next</t>
        </is>
      </c>
    </row>
    <row r="158" ht="18" customHeight="1" s="24">
      <c r="A158" s="40" t="inlineStr">
        <is>
          <t>F10</t>
        </is>
      </c>
      <c r="B158" s="41" t="n">
        <v>1</v>
      </c>
      <c r="C158" s="40" t="inlineStr">
        <is>
          <t>F10  Finance: commission, settlement, payouts, wallets</t>
        </is>
      </c>
      <c r="D158" s="40" t="inlineStr">
        <is>
          <t>Finance / System</t>
        </is>
      </c>
      <c r="E158" s="40" t="n"/>
      <c r="F158" s="41">
        <f>COUNTIFS($B$159:$B$169,3,$G$159:$G$169,"COMPLETED")&amp;" / "&amp;COUNTIF($B$159:$B$169,3)</f>
        <v/>
      </c>
      <c r="G158" s="41">
        <f>IF(COUNTIFS($B$159:$B$169,3,$G$159:$G$169,"COMPLETED")=COUNTIF($B$159:$B$169,3),"COMPLETED",IF(COUNTIFS($B$159:$B$169,3,$G$159:$G$169,"BLOCKED")&gt;0,"BLOCKED",IF(COUNTIFS($B$159:$B$169,3,$G$159:$G$169,"YET TO START")=COUNTIF($B$159:$B$169,3),"YET TO START","IN PROGRESS")))</f>
        <v/>
      </c>
      <c r="H158" s="40" t="n"/>
      <c r="I158" s="40" t="n"/>
    </row>
    <row r="159" ht="15" customHeight="1" s="24">
      <c r="A159" s="42" t="inlineStr">
        <is>
          <t>F10.1</t>
        </is>
      </c>
      <c r="B159" s="43" t="n">
        <v>2</v>
      </c>
      <c r="C159" s="44" t="inlineStr">
        <is>
          <t>F10.1  Per order</t>
        </is>
      </c>
      <c r="D159" s="42" t="n"/>
      <c r="E159" s="42" t="n"/>
      <c r="F159" s="43">
        <f>COUNTIFS($B$160:$B$162,3,$G$160:$G$162,"COMPLETED")&amp;" / "&amp;COUNTIF($B$160:$B$162,3)</f>
        <v/>
      </c>
      <c r="G159" s="43">
        <f>IF(COUNTIFS($B$160:$B$162,3,$G$160:$G$162,"COMPLETED")=COUNTIF($B$160:$B$162,3),"COMPLETED",IF(COUNTIFS($B$160:$B$162,3,$G$160:$G$162,"BLOCKED")&gt;0,"BLOCKED",IF(COUNTIFS($B$160:$B$162,3,$G$160:$G$162,"YET TO START")=COUNTIF($B$160:$B$162,3),"YET TO START","IN PROGRESS")))</f>
        <v/>
      </c>
      <c r="H159" s="42" t="n"/>
      <c r="I159" s="42" t="n"/>
    </row>
    <row r="160" ht="15" customHeight="1" s="24">
      <c r="A160" s="34" t="inlineStr">
        <is>
          <t>F10.1.1</t>
        </is>
      </c>
      <c r="B160" s="32" t="n">
        <v>3</v>
      </c>
      <c r="C160" s="45" t="inlineStr">
        <is>
          <t>Commission and financial snapshot at delivery</t>
        </is>
      </c>
      <c r="D160" s="34" t="inlineStr">
        <is>
          <t>Finance / System</t>
        </is>
      </c>
      <c r="E160" s="34" t="inlineStr">
        <is>
          <t>GS-061</t>
        </is>
      </c>
      <c r="F160" s="32" t="n"/>
      <c r="G160" s="32" t="inlineStr">
        <is>
          <t>COMPLETED</t>
        </is>
      </c>
      <c r="H160" s="34" t="inlineStr">
        <is>
          <t>#10</t>
        </is>
      </c>
      <c r="I160" s="34" t="inlineStr">
        <is>
          <t>-</t>
        </is>
      </c>
    </row>
    <row r="161" ht="15" customHeight="1" s="24">
      <c r="A161" s="34" t="inlineStr">
        <is>
          <t>F10.1.2</t>
        </is>
      </c>
      <c r="B161" s="32" t="n">
        <v>3</v>
      </c>
      <c r="C161" s="45" t="inlineStr">
        <is>
          <t>Tax invoice or bill of supply per delivered order</t>
        </is>
      </c>
      <c r="D161" s="34" t="inlineStr">
        <is>
          <t>Finance / System</t>
        </is>
      </c>
      <c r="E161" s="34" t="inlineStr">
        <is>
          <t>NEW-007</t>
        </is>
      </c>
      <c r="F161" s="32" t="n"/>
      <c r="G161" s="32" t="inlineStr">
        <is>
          <t>COMPLETED</t>
        </is>
      </c>
      <c r="H161" s="34" t="inlineStr">
        <is>
          <t>#58</t>
        </is>
      </c>
      <c r="I161" s="34" t="inlineStr">
        <is>
          <t>Off by default; CA check pending</t>
        </is>
      </c>
    </row>
    <row r="162" ht="39" customHeight="1" s="24">
      <c r="A162" s="34" t="inlineStr">
        <is>
          <t>F10.1.3</t>
        </is>
      </c>
      <c r="B162" s="32" t="n">
        <v>3</v>
      </c>
      <c r="C162" s="45" t="inlineStr">
        <is>
          <t>Shop prepaid wallet: commission + Rs 5/km delivery charge debited</t>
        </is>
      </c>
      <c r="D162" s="34" t="inlineStr">
        <is>
          <t>Finance / System</t>
        </is>
      </c>
      <c r="E162" s="34" t="inlineStr">
        <is>
          <t>NEW-033, NEW-034</t>
        </is>
      </c>
      <c r="F162" s="32" t="n"/>
      <c r="G162" s="32" t="inlineStr">
        <is>
          <t>COMPLETED</t>
        </is>
      </c>
      <c r="H162" s="34" t="inlineStr">
        <is>
          <t>#91; #98; #120</t>
        </is>
      </c>
      <c r="I162" s="34" t="inlineStr">
        <is>
          <t>On gokesari.com since #120 (9 Oct), switched off by default - switch on in Admin &gt; Business rules</t>
        </is>
      </c>
    </row>
    <row r="163" ht="15" customHeight="1" s="24">
      <c r="A163" s="42" t="inlineStr">
        <is>
          <t>F10.2</t>
        </is>
      </c>
      <c r="B163" s="43" t="n">
        <v>2</v>
      </c>
      <c r="C163" s="44" t="inlineStr">
        <is>
          <t>F10.2  Periodic</t>
        </is>
      </c>
      <c r="D163" s="42" t="n"/>
      <c r="E163" s="42" t="n"/>
      <c r="F163" s="43">
        <f>COUNTIFS($B$164:$B$169,3,$G$164:$G$169,"COMPLETED")&amp;" / "&amp;COUNTIF($B$164:$B$169,3)</f>
        <v/>
      </c>
      <c r="G163" s="43">
        <f>IF(COUNTIFS($B$164:$B$169,3,$G$164:$G$169,"COMPLETED")=COUNTIF($B$164:$B$169,3),"COMPLETED",IF(COUNTIFS($B$164:$B$169,3,$G$164:$G$169,"BLOCKED")&gt;0,"BLOCKED",IF(COUNTIFS($B$164:$B$169,3,$G$164:$G$169,"YET TO START")=COUNTIF($B$164:$B$169,3),"YET TO START","IN PROGRESS")))</f>
        <v/>
      </c>
      <c r="H163" s="42" t="n"/>
      <c r="I163" s="42" t="n"/>
    </row>
    <row r="164" ht="15" customHeight="1" s="24">
      <c r="A164" s="34" t="inlineStr">
        <is>
          <t>F10.2.1</t>
        </is>
      </c>
      <c r="B164" s="32" t="n">
        <v>3</v>
      </c>
      <c r="C164" s="45" t="inlineStr">
        <is>
          <t>Weekly shop settlement and rider payouts</t>
        </is>
      </c>
      <c r="D164" s="34" t="inlineStr">
        <is>
          <t>Finance / System</t>
        </is>
      </c>
      <c r="E164" s="34" t="inlineStr">
        <is>
          <t>GS-062, GS-064, WF-010</t>
        </is>
      </c>
      <c r="F164" s="32" t="n"/>
      <c r="G164" s="32" t="inlineStr">
        <is>
          <t>COMPLETED</t>
        </is>
      </c>
      <c r="H164" s="34" t="inlineStr">
        <is>
          <t>#10</t>
        </is>
      </c>
      <c r="I164" s="34" t="inlineStr">
        <is>
          <t>-</t>
        </is>
      </c>
    </row>
    <row r="165" ht="15" customHeight="1" s="24">
      <c r="A165" s="34" t="inlineStr">
        <is>
          <t>F10.2.2</t>
        </is>
      </c>
      <c r="B165" s="32" t="n">
        <v>3</v>
      </c>
      <c r="C165" s="45" t="inlineStr">
        <is>
          <t>Reconciliation with exception queue</t>
        </is>
      </c>
      <c r="D165" s="34" t="inlineStr">
        <is>
          <t>Finance / System</t>
        </is>
      </c>
      <c r="E165" s="34" t="inlineStr">
        <is>
          <t>GS-031</t>
        </is>
      </c>
      <c r="F165" s="32" t="n"/>
      <c r="G165" s="32" t="inlineStr">
        <is>
          <t>COMPLETED</t>
        </is>
      </c>
      <c r="H165" s="34" t="inlineStr">
        <is>
          <t>#10</t>
        </is>
      </c>
      <c r="I165" s="34" t="inlineStr">
        <is>
          <t>-</t>
        </is>
      </c>
    </row>
    <row r="166" ht="15" customHeight="1" s="24">
      <c r="A166" s="34" t="inlineStr">
        <is>
          <t>F10.2.3</t>
        </is>
      </c>
      <c r="B166" s="32" t="n">
        <v>3</v>
      </c>
      <c r="C166" s="45" t="inlineStr">
        <is>
          <t>Rider earnings rules (slots, incentives)</t>
        </is>
      </c>
      <c r="D166" s="34" t="inlineStr">
        <is>
          <t>Finance / System</t>
        </is>
      </c>
      <c r="E166" s="34" t="inlineStr">
        <is>
          <t>GS-063</t>
        </is>
      </c>
      <c r="F166" s="32" t="n"/>
      <c r="G166" s="32" t="inlineStr">
        <is>
          <t>COMPLETED</t>
        </is>
      </c>
      <c r="H166" s="34" t="inlineStr">
        <is>
          <t>#23</t>
        </is>
      </c>
      <c r="I166" s="34" t="inlineStr">
        <is>
          <t>-</t>
        </is>
      </c>
    </row>
    <row r="167" ht="15" customHeight="1" s="24">
      <c r="A167" s="34" t="inlineStr">
        <is>
          <t>F10.2.4</t>
        </is>
      </c>
      <c r="B167" s="32" t="n">
        <v>3</v>
      </c>
      <c r="C167" s="45" t="inlineStr">
        <is>
          <t>Automated bank transfer</t>
        </is>
      </c>
      <c r="D167" s="34" t="inlineStr">
        <is>
          <t>Finance / System</t>
        </is>
      </c>
      <c r="E167" s="34" t="inlineStr">
        <is>
          <t>GAP-005</t>
        </is>
      </c>
      <c r="F167" s="32" t="n"/>
      <c r="G167" s="32" t="inlineStr">
        <is>
          <t>YET TO START</t>
        </is>
      </c>
      <c r="H167" s="34" t="inlineStr">
        <is>
          <t>-</t>
        </is>
      </c>
      <c r="I167" s="34" t="inlineStr">
        <is>
          <t>Manual today</t>
        </is>
      </c>
    </row>
    <row r="168" ht="15" customHeight="1" s="24">
      <c r="A168" s="34" t="inlineStr">
        <is>
          <t>F10.2.5</t>
        </is>
      </c>
      <c r="B168" s="32" t="n">
        <v>3</v>
      </c>
      <c r="C168" s="45" t="inlineStr">
        <is>
          <t>Platform invoice for GoKesari's own fees (D6)</t>
        </is>
      </c>
      <c r="D168" s="34" t="inlineStr">
        <is>
          <t>Finance / System</t>
        </is>
      </c>
      <c r="E168" s="34" t="inlineStr">
        <is>
          <t>GAP-006</t>
        </is>
      </c>
      <c r="F168" s="32" t="n"/>
      <c r="G168" s="32" t="inlineStr">
        <is>
          <t>YET TO START</t>
        </is>
      </c>
      <c r="H168" s="34" t="inlineStr">
        <is>
          <t>-</t>
        </is>
      </c>
      <c r="I168" s="34" t="inlineStr">
        <is>
          <t>Not built</t>
        </is>
      </c>
    </row>
    <row r="169" ht="39" customHeight="1" s="24">
      <c r="A169" s="34" t="inlineStr">
        <is>
          <t>F10.2.6</t>
        </is>
      </c>
      <c r="B169" s="32" t="n">
        <v>3</v>
      </c>
      <c r="C169" s="45" t="inlineStr">
        <is>
          <t>Rs 1-verified bank account / UPI before shop payouts; customer refund account</t>
        </is>
      </c>
      <c r="D169" s="34" t="inlineStr">
        <is>
          <t>Finance / System</t>
        </is>
      </c>
      <c r="E169" s="34" t="inlineStr">
        <is>
          <t>NEW-041, GS-062</t>
        </is>
      </c>
      <c r="F169" s="32" t="n"/>
      <c r="G169" s="32" t="inlineStr">
        <is>
          <t>COMPLETED</t>
        </is>
      </c>
      <c r="H169" s="34" t="inlineStr">
        <is>
          <t>#102; #103; #120</t>
        </is>
      </c>
      <c r="I169" s="34" t="inlineStr">
        <is>
          <t>On gokesari.com since #120 (9 Oct), switched off by default - switch on in Admin &gt; Business rules; Cashfree live keys needed for production</t>
        </is>
      </c>
    </row>
    <row r="170" ht="18" customHeight="1" s="24">
      <c r="A170" s="40" t="inlineStr">
        <is>
          <t>F11</t>
        </is>
      </c>
      <c r="B170" s="41" t="n">
        <v>1</v>
      </c>
      <c r="C170" s="40" t="inlineStr">
        <is>
          <t>F11  Marketing and growth</t>
        </is>
      </c>
      <c r="D170" s="40" t="inlineStr">
        <is>
          <t>Shop owner / Operator</t>
        </is>
      </c>
      <c r="E170" s="40" t="n"/>
      <c r="F170" s="41">
        <f>COUNTIFS($B$171:$B$177,3,$G$171:$G$177,"COMPLETED")&amp;" / "&amp;COUNTIF($B$171:$B$177,3)</f>
        <v/>
      </c>
      <c r="G170" s="41">
        <f>IF(COUNTIFS($B$171:$B$177,3,$G$171:$G$177,"COMPLETED")=COUNTIF($B$171:$B$177,3),"COMPLETED",IF(COUNTIFS($B$171:$B$177,3,$G$171:$G$177,"BLOCKED")&gt;0,"BLOCKED",IF(COUNTIFS($B$171:$B$177,3,$G$171:$G$177,"YET TO START")=COUNTIF($B$171:$B$177,3),"YET TO START","IN PROGRESS")))</f>
        <v/>
      </c>
      <c r="H170" s="40" t="n"/>
      <c r="I170" s="40" t="n"/>
    </row>
    <row r="171" ht="15" customHeight="1" s="24">
      <c r="A171" s="42" t="inlineStr">
        <is>
          <t>F11.1</t>
        </is>
      </c>
      <c r="B171" s="43" t="n">
        <v>2</v>
      </c>
      <c r="C171" s="44" t="inlineStr">
        <is>
          <t>F11.1  Campaigns</t>
        </is>
      </c>
      <c r="D171" s="42" t="n"/>
      <c r="E171" s="42" t="n"/>
      <c r="F171" s="43">
        <f>COUNTIFS($B$172:$B$173,3,$G$172:$G$173,"COMPLETED")&amp;" / "&amp;COUNTIF($B$172:$B$173,3)</f>
        <v/>
      </c>
      <c r="G171" s="43">
        <f>IF(COUNTIFS($B$172:$B$173,3,$G$172:$G$173,"COMPLETED")=COUNTIF($B$172:$B$173,3),"COMPLETED",IF(COUNTIFS($B$172:$B$173,3,$G$172:$G$173,"BLOCKED")&gt;0,"BLOCKED",IF(COUNTIFS($B$172:$B$173,3,$G$172:$G$173,"YET TO START")=COUNTIF($B$172:$B$173,3),"YET TO START","IN PROGRESS")))</f>
        <v/>
      </c>
      <c r="H171" s="42" t="n"/>
      <c r="I171" s="42" t="n"/>
    </row>
    <row r="172" ht="27" customHeight="1" s="24">
      <c r="A172" s="34" t="inlineStr">
        <is>
          <t>F11.1.1</t>
        </is>
      </c>
      <c r="B172" s="32" t="n">
        <v>3</v>
      </c>
      <c r="C172" s="45" t="inlineStr">
        <is>
          <t>Customer segments (consent-gated)</t>
        </is>
      </c>
      <c r="D172" s="34" t="inlineStr">
        <is>
          <t>Shop owner / Operator</t>
        </is>
      </c>
      <c r="E172" s="34" t="inlineStr">
        <is>
          <t>GS-052</t>
        </is>
      </c>
      <c r="F172" s="32" t="n"/>
      <c r="G172" s="32" t="inlineStr">
        <is>
          <t>COMPLETED</t>
        </is>
      </c>
      <c r="H172" s="34" t="inlineStr">
        <is>
          <t>#18</t>
        </is>
      </c>
      <c r="I172" s="34" t="inlineStr">
        <is>
          <t>-</t>
        </is>
      </c>
    </row>
    <row r="173" ht="27" customHeight="1" s="24">
      <c r="A173" s="34" t="inlineStr">
        <is>
          <t>F11.1.2</t>
        </is>
      </c>
      <c r="B173" s="32" t="n">
        <v>3</v>
      </c>
      <c r="C173" s="45" t="inlineStr">
        <is>
          <t>Shop campaign -&gt; approval -&gt; send (budgets, frequency caps)</t>
        </is>
      </c>
      <c r="D173" s="34" t="inlineStr">
        <is>
          <t>Shop owner / Operator</t>
        </is>
      </c>
      <c r="E173" s="34" t="inlineStr">
        <is>
          <t>GS-053, WF-009</t>
        </is>
      </c>
      <c r="F173" s="32" t="n"/>
      <c r="G173" s="32" t="inlineStr">
        <is>
          <t>COMPLETED</t>
        </is>
      </c>
      <c r="H173" s="34" t="inlineStr">
        <is>
          <t>#18</t>
        </is>
      </c>
      <c r="I173" s="34" t="inlineStr">
        <is>
          <t>-</t>
        </is>
      </c>
    </row>
    <row r="174" ht="15" customHeight="1" s="24">
      <c r="A174" s="42" t="inlineStr">
        <is>
          <t>F11.2</t>
        </is>
      </c>
      <c r="B174" s="43" t="n">
        <v>2</v>
      </c>
      <c r="C174" s="44" t="inlineStr">
        <is>
          <t>F11.2  Offers and referrals</t>
        </is>
      </c>
      <c r="D174" s="42" t="n"/>
      <c r="E174" s="42" t="n"/>
      <c r="F174" s="43">
        <f>COUNTIFS($B$175:$B$177,3,$G$175:$G$177,"COMPLETED")&amp;" / "&amp;COUNTIF($B$175:$B$177,3)</f>
        <v/>
      </c>
      <c r="G174" s="43">
        <f>IF(COUNTIFS($B$175:$B$177,3,$G$175:$G$177,"COMPLETED")=COUNTIF($B$175:$B$177,3),"COMPLETED",IF(COUNTIFS($B$175:$B$177,3,$G$175:$G$177,"BLOCKED")&gt;0,"BLOCKED",IF(COUNTIFS($B$175:$B$177,3,$G$175:$G$177,"YET TO START")=COUNTIF($B$175:$B$177,3),"YET TO START","IN PROGRESS")))</f>
        <v/>
      </c>
      <c r="H174" s="42" t="n"/>
      <c r="I174" s="42" t="n"/>
    </row>
    <row r="175" ht="27" customHeight="1" s="24">
      <c r="A175" s="34" t="inlineStr">
        <is>
          <t>F11.2.1</t>
        </is>
      </c>
      <c r="B175" s="32" t="n">
        <v>3</v>
      </c>
      <c r="C175" s="45" t="inlineStr">
        <is>
          <t>Shop offers (F8)</t>
        </is>
      </c>
      <c r="D175" s="34" t="inlineStr">
        <is>
          <t>Shop owner / Operator</t>
        </is>
      </c>
      <c r="E175" s="34" t="inlineStr">
        <is>
          <t>NAV-002</t>
        </is>
      </c>
      <c r="F175" s="32" t="n"/>
      <c r="G175" s="32" t="inlineStr">
        <is>
          <t>COMPLETED</t>
        </is>
      </c>
      <c r="H175" s="34" t="inlineStr">
        <is>
          <t>#55</t>
        </is>
      </c>
      <c r="I175" s="34" t="inlineStr">
        <is>
          <t>Off by default</t>
        </is>
      </c>
    </row>
    <row r="176" ht="27" customHeight="1" s="24">
      <c r="A176" s="34" t="inlineStr">
        <is>
          <t>F11.2.2</t>
        </is>
      </c>
      <c r="B176" s="32" t="n">
        <v>3</v>
      </c>
      <c r="C176" s="45" t="inlineStr">
        <is>
          <t>Customer referral rewards (F11)</t>
        </is>
      </c>
      <c r="D176" s="34" t="inlineStr">
        <is>
          <t>Shop owner / Operator</t>
        </is>
      </c>
      <c r="E176" s="34" t="inlineStr">
        <is>
          <t>GS-054</t>
        </is>
      </c>
      <c r="F176" s="32" t="n"/>
      <c r="G176" s="32" t="inlineStr">
        <is>
          <t>COMPLETED</t>
        </is>
      </c>
      <c r="H176" s="34" t="inlineStr">
        <is>
          <t>#55; #56</t>
        </is>
      </c>
      <c r="I176" s="34" t="inlineStr">
        <is>
          <t>Off by default</t>
        </is>
      </c>
    </row>
    <row r="177" ht="27" customHeight="1" s="24">
      <c r="A177" s="34" t="inlineStr">
        <is>
          <t>F11.2.3</t>
        </is>
      </c>
      <c r="B177" s="32" t="n">
        <v>3</v>
      </c>
      <c r="C177" s="45" t="inlineStr">
        <is>
          <t>Marketing consent On/Off switch</t>
        </is>
      </c>
      <c r="D177" s="34" t="inlineStr">
        <is>
          <t>Shop owner / Operator</t>
        </is>
      </c>
      <c r="E177" s="34" t="inlineStr">
        <is>
          <t>GS-070, NEW-016</t>
        </is>
      </c>
      <c r="F177" s="32" t="n"/>
      <c r="G177" s="32" t="inlineStr">
        <is>
          <t>COMPLETED</t>
        </is>
      </c>
      <c r="H177" s="34" t="inlineStr">
        <is>
          <t>#77</t>
        </is>
      </c>
      <c r="I177" s="34" t="inlineStr">
        <is>
          <t>-</t>
        </is>
      </c>
    </row>
    <row r="178" ht="18" customHeight="1" s="24">
      <c r="A178" s="40" t="inlineStr">
        <is>
          <t>F12</t>
        </is>
      </c>
      <c r="B178" s="41" t="n">
        <v>1</v>
      </c>
      <c r="C178" s="40" t="inlineStr">
        <is>
          <t>F12  Admin and operations control tower</t>
        </is>
      </c>
      <c r="D178" s="40" t="inlineStr">
        <is>
          <t>Operator / Admin</t>
        </is>
      </c>
      <c r="E178" s="40" t="n"/>
      <c r="F178" s="41">
        <f>COUNTIFS($B$179:$B$189,3,$G$179:$G$189,"COMPLETED")&amp;" / "&amp;COUNTIF($B$179:$B$189,3)</f>
        <v/>
      </c>
      <c r="G178" s="41">
        <f>IF(COUNTIFS($B$179:$B$189,3,$G$179:$G$189,"COMPLETED")=COUNTIF($B$179:$B$189,3),"COMPLETED",IF(COUNTIFS($B$179:$B$189,3,$G$179:$G$189,"BLOCKED")&gt;0,"BLOCKED",IF(COUNTIFS($B$179:$B$189,3,$G$179:$G$189,"YET TO START")=COUNTIF($B$179:$B$189,3),"YET TO START","IN PROGRESS")))</f>
        <v/>
      </c>
      <c r="H178" s="40" t="n"/>
      <c r="I178" s="40" t="n"/>
    </row>
    <row r="179" ht="15" customHeight="1" s="24">
      <c r="A179" s="42" t="inlineStr">
        <is>
          <t>F12.1</t>
        </is>
      </c>
      <c r="B179" s="43" t="n">
        <v>2</v>
      </c>
      <c r="C179" s="44" t="inlineStr">
        <is>
          <t>F12.1  Monitor</t>
        </is>
      </c>
      <c r="D179" s="42" t="n"/>
      <c r="E179" s="42" t="n"/>
      <c r="F179" s="43">
        <f>COUNTIFS($B$180:$B$183,3,$G$180:$G$183,"COMPLETED")&amp;" / "&amp;COUNTIF($B$180:$B$183,3)</f>
        <v/>
      </c>
      <c r="G179" s="43">
        <f>IF(COUNTIFS($B$180:$B$183,3,$G$180:$G$183,"COMPLETED")=COUNTIF($B$180:$B$183,3),"COMPLETED",IF(COUNTIFS($B$180:$B$183,3,$G$180:$G$183,"BLOCKED")&gt;0,"BLOCKED",IF(COUNTIFS($B$180:$B$183,3,$G$180:$G$183,"YET TO START")=COUNTIF($B$180:$B$183,3),"YET TO START","IN PROGRESS")))</f>
        <v/>
      </c>
      <c r="H179" s="42" t="n"/>
      <c r="I179" s="42" t="n"/>
    </row>
    <row r="180" ht="15" customHeight="1" s="24">
      <c r="A180" s="34" t="inlineStr">
        <is>
          <t>F12.1.1</t>
        </is>
      </c>
      <c r="B180" s="32" t="n">
        <v>3</v>
      </c>
      <c r="C180" s="45" t="inlineStr">
        <is>
          <t>Global dashboard and KPI analytics</t>
        </is>
      </c>
      <c r="D180" s="34" t="inlineStr">
        <is>
          <t>Operator / Admin</t>
        </is>
      </c>
      <c r="E180" s="34" t="inlineStr">
        <is>
          <t>GS-065, GS-069</t>
        </is>
      </c>
      <c r="F180" s="32" t="n"/>
      <c r="G180" s="32" t="inlineStr">
        <is>
          <t>COMPLETED</t>
        </is>
      </c>
      <c r="H180" s="34" t="inlineStr">
        <is>
          <t>#18; #21; #23</t>
        </is>
      </c>
      <c r="I180" s="34" t="inlineStr">
        <is>
          <t>-</t>
        </is>
      </c>
    </row>
    <row r="181" ht="15" customHeight="1" s="24">
      <c r="A181" s="34" t="inlineStr">
        <is>
          <t>F12.1.2</t>
        </is>
      </c>
      <c r="B181" s="32" t="n">
        <v>3</v>
      </c>
      <c r="C181" s="45" t="inlineStr">
        <is>
          <t>Order monitoring, exceptions queue, reassign</t>
        </is>
      </c>
      <c r="D181" s="34" t="inlineStr">
        <is>
          <t>Operator / Admin</t>
        </is>
      </c>
      <c r="E181" s="34" t="inlineStr">
        <is>
          <t>GS-066, NAV-015, NAV-016</t>
        </is>
      </c>
      <c r="F181" s="32" t="n"/>
      <c r="G181" s="32" t="inlineStr">
        <is>
          <t>COMPLETED</t>
        </is>
      </c>
      <c r="H181" s="34" t="inlineStr">
        <is>
          <t>#21; #74</t>
        </is>
      </c>
      <c r="I181" s="34" t="inlineStr">
        <is>
          <t>-</t>
        </is>
      </c>
    </row>
    <row r="182" ht="15" customHeight="1" s="24">
      <c r="A182" s="34" t="inlineStr">
        <is>
          <t>F12.1.3</t>
        </is>
      </c>
      <c r="B182" s="32" t="n">
        <v>3</v>
      </c>
      <c r="C182" s="45" t="inlineStr">
        <is>
          <t>Hourly risk scan and review queue</t>
        </is>
      </c>
      <c r="D182" s="34" t="inlineStr">
        <is>
          <t>Operator / Admin</t>
        </is>
      </c>
      <c r="E182" s="34" t="inlineStr">
        <is>
          <t>GS-068</t>
        </is>
      </c>
      <c r="F182" s="32" t="n"/>
      <c r="G182" s="32" t="inlineStr">
        <is>
          <t>COMPLETED</t>
        </is>
      </c>
      <c r="H182" s="34" t="inlineStr">
        <is>
          <t>#18; #21</t>
        </is>
      </c>
      <c r="I182" s="34" t="inlineStr">
        <is>
          <t>-</t>
        </is>
      </c>
    </row>
    <row r="183" ht="15" customHeight="1" s="24">
      <c r="A183" s="34" t="inlineStr">
        <is>
          <t>F12.1.4</t>
        </is>
      </c>
      <c r="B183" s="32" t="n">
        <v>3</v>
      </c>
      <c r="C183" s="45" t="inlineStr">
        <is>
          <t>Per-order risk rules</t>
        </is>
      </c>
      <c r="D183" s="34" t="inlineStr">
        <is>
          <t>Operator / Admin</t>
        </is>
      </c>
      <c r="E183" s="34" t="inlineStr">
        <is>
          <t>NEW-032</t>
        </is>
      </c>
      <c r="F183" s="32" t="n"/>
      <c r="G183" s="32" t="inlineStr">
        <is>
          <t>COMPLETED</t>
        </is>
      </c>
      <c r="H183" s="34" t="inlineStr">
        <is>
          <t>#89; #120</t>
        </is>
      </c>
      <c r="I183" s="34" t="inlineStr">
        <is>
          <t>Live on gokesari.com since #120 (9 Oct)</t>
        </is>
      </c>
    </row>
    <row r="184" ht="15" customHeight="1" s="24">
      <c r="A184" s="42" t="inlineStr">
        <is>
          <t>F12.2</t>
        </is>
      </c>
      <c r="B184" s="43" t="n">
        <v>2</v>
      </c>
      <c r="C184" s="44" t="inlineStr">
        <is>
          <t>F12.2  Control</t>
        </is>
      </c>
      <c r="D184" s="42" t="n"/>
      <c r="E184" s="42" t="n"/>
      <c r="F184" s="43">
        <f>COUNTIFS($B$185:$B$189,3,$G$185:$G$189,"COMPLETED")&amp;" / "&amp;COUNTIF($B$185:$B$189,3)</f>
        <v/>
      </c>
      <c r="G184" s="43">
        <f>IF(COUNTIFS($B$185:$B$189,3,$G$185:$G$189,"COMPLETED")=COUNTIF($B$185:$B$189,3),"COMPLETED",IF(COUNTIFS($B$185:$B$189,3,$G$185:$G$189,"BLOCKED")&gt;0,"BLOCKED",IF(COUNTIFS($B$185:$B$189,3,$G$185:$G$189,"YET TO START")=COUNTIF($B$185:$B$189,3),"YET TO START","IN PROGRESS")))</f>
        <v/>
      </c>
      <c r="H184" s="42" t="n"/>
      <c r="I184" s="42" t="n"/>
    </row>
    <row r="185" ht="27" customHeight="1" s="24">
      <c r="A185" s="34" t="inlineStr">
        <is>
          <t>F12.2.1</t>
        </is>
      </c>
      <c r="B185" s="32" t="n">
        <v>3</v>
      </c>
      <c r="C185" s="45" t="inlineStr">
        <is>
          <t>Roles, multi-role grants, privileges with explicit Save, audit log</t>
        </is>
      </c>
      <c r="D185" s="34" t="inlineStr">
        <is>
          <t>Operator / Admin</t>
        </is>
      </c>
      <c r="E185" s="34" t="inlineStr">
        <is>
          <t>GS-002, GS-003, NEW-009, GS-067</t>
        </is>
      </c>
      <c r="F185" s="32" t="n"/>
      <c r="G185" s="32" t="inlineStr">
        <is>
          <t>COMPLETED</t>
        </is>
      </c>
      <c r="H185" s="34" t="inlineStr">
        <is>
          <t>#18; #30</t>
        </is>
      </c>
      <c r="I185" s="34" t="inlineStr">
        <is>
          <t>-</t>
        </is>
      </c>
    </row>
    <row r="186" ht="15" customHeight="1" s="24">
      <c r="A186" s="34" t="inlineStr">
        <is>
          <t>F12.2.2</t>
        </is>
      </c>
      <c r="B186" s="32" t="n">
        <v>3</v>
      </c>
      <c r="C186" s="45" t="inlineStr">
        <is>
          <t>Business-rules console</t>
        </is>
      </c>
      <c r="D186" s="34" t="inlineStr">
        <is>
          <t>Operator / Admin</t>
        </is>
      </c>
      <c r="E186" s="34" t="inlineStr">
        <is>
          <t>NEW-001</t>
        </is>
      </c>
      <c r="F186" s="32" t="n"/>
      <c r="G186" s="32" t="inlineStr">
        <is>
          <t>COMPLETED</t>
        </is>
      </c>
      <c r="H186" s="34" t="inlineStr">
        <is>
          <t>#23</t>
        </is>
      </c>
      <c r="I186" s="34" t="inlineStr">
        <is>
          <t>-</t>
        </is>
      </c>
    </row>
    <row r="187" ht="15" customHeight="1" s="24">
      <c r="A187" s="34" t="inlineStr">
        <is>
          <t>F12.2.3</t>
        </is>
      </c>
      <c r="B187" s="32" t="n">
        <v>3</v>
      </c>
      <c r="C187" s="45" t="inlineStr">
        <is>
          <t>Business limits as rules (item B)</t>
        </is>
      </c>
      <c r="D187" s="34" t="inlineStr">
        <is>
          <t>Operator / Admin</t>
        </is>
      </c>
      <c r="E187" s="34" t="inlineStr">
        <is>
          <t>NEW-021</t>
        </is>
      </c>
      <c r="F187" s="32" t="n"/>
      <c r="G187" s="32" t="inlineStr">
        <is>
          <t>COMPLETED</t>
        </is>
      </c>
      <c r="H187" s="34" t="inlineStr">
        <is>
          <t>#85; #120</t>
        </is>
      </c>
      <c r="I187" s="34" t="inlineStr">
        <is>
          <t>Live on gokesari.com since #120 (9 Oct)</t>
        </is>
      </c>
    </row>
    <row r="188" ht="15" customHeight="1" s="24">
      <c r="A188" s="34" t="inlineStr">
        <is>
          <t>F12.2.4</t>
        </is>
      </c>
      <c r="B188" s="32" t="n">
        <v>3</v>
      </c>
      <c r="C188" s="45" t="inlineStr">
        <is>
          <t>Consent view</t>
        </is>
      </c>
      <c r="D188" s="34" t="inlineStr">
        <is>
          <t>Operator / Admin</t>
        </is>
      </c>
      <c r="E188" s="34" t="inlineStr">
        <is>
          <t>NAV-019</t>
        </is>
      </c>
      <c r="F188" s="32" t="n"/>
      <c r="G188" s="32" t="inlineStr">
        <is>
          <t>COMPLETED</t>
        </is>
      </c>
      <c r="H188" s="34" t="inlineStr">
        <is>
          <t>#34</t>
        </is>
      </c>
      <c r="I188" s="34" t="inlineStr">
        <is>
          <t>-</t>
        </is>
      </c>
    </row>
    <row r="189" ht="15" customHeight="1" s="24">
      <c r="A189" s="34" t="inlineStr">
        <is>
          <t>F12.2.5</t>
        </is>
      </c>
      <c r="B189" s="32" t="n">
        <v>3</v>
      </c>
      <c r="C189" s="45" t="inlineStr">
        <is>
          <t>Rider KYC review (/admin/rider-kyc)</t>
        </is>
      </c>
      <c r="D189" s="34" t="inlineStr">
        <is>
          <t>Operator / Admin</t>
        </is>
      </c>
      <c r="E189" s="34" t="inlineStr">
        <is>
          <t>NEW-026</t>
        </is>
      </c>
      <c r="F189" s="32" t="n"/>
      <c r="G189" s="32" t="inlineStr">
        <is>
          <t>COMPLETED</t>
        </is>
      </c>
      <c r="H189" s="34" t="inlineStr">
        <is>
          <t>#85; #120</t>
        </is>
      </c>
      <c r="I189" s="34" t="inlineStr">
        <is>
          <t>Live on gokesari.com since #120 (9 Oct)</t>
        </is>
      </c>
    </row>
    <row r="190" ht="18" customHeight="1" s="24">
      <c r="A190" s="40" t="inlineStr">
        <is>
          <t>F13</t>
        </is>
      </c>
      <c r="B190" s="41" t="n">
        <v>1</v>
      </c>
      <c r="C190" s="40" t="inlineStr">
        <is>
          <t>F13  Notifications and event layer</t>
        </is>
      </c>
      <c r="D190" s="40" t="inlineStr">
        <is>
          <t>System</t>
        </is>
      </c>
      <c r="E190" s="40" t="n"/>
      <c r="F190" s="41">
        <f>COUNTIFS($B$191:$B$195,3,$G$191:$G$195,"COMPLETED")&amp;" / "&amp;COUNTIF($B$191:$B$195,3)</f>
        <v/>
      </c>
      <c r="G190" s="41">
        <f>IF(COUNTIFS($B$191:$B$195,3,$G$191:$G$195,"COMPLETED")=COUNTIF($B$191:$B$195,3),"COMPLETED",IF(COUNTIFS($B$191:$B$195,3,$G$191:$G$195,"BLOCKED")&gt;0,"BLOCKED",IF(COUNTIFS($B$191:$B$195,3,$G$191:$G$195,"YET TO START")=COUNTIF($B$191:$B$195,3),"YET TO START","IN PROGRESS")))</f>
        <v/>
      </c>
      <c r="H190" s="40" t="n"/>
      <c r="I190" s="40" t="n"/>
    </row>
    <row r="191" ht="15" customHeight="1" s="24">
      <c r="A191" s="42" t="inlineStr">
        <is>
          <t>F13.1</t>
        </is>
      </c>
      <c r="B191" s="43" t="n">
        <v>2</v>
      </c>
      <c r="C191" s="44" t="inlineStr">
        <is>
          <t>F13.1  Channels</t>
        </is>
      </c>
      <c r="D191" s="42" t="n"/>
      <c r="E191" s="42" t="n"/>
      <c r="F191" s="43">
        <f>COUNTIFS($B$192:$B$193,3,$G$192:$G$193,"COMPLETED")&amp;" / "&amp;COUNTIF($B$192:$B$193,3)</f>
        <v/>
      </c>
      <c r="G191" s="43">
        <f>IF(COUNTIFS($B$192:$B$193,3,$G$192:$G$193,"COMPLETED")=COUNTIF($B$192:$B$193,3),"COMPLETED",IF(COUNTIFS($B$192:$B$193,3,$G$192:$G$193,"BLOCKED")&gt;0,"BLOCKED",IF(COUNTIFS($B$192:$B$193,3,$G$192:$G$193,"YET TO START")=COUNTIF($B$192:$B$193,3),"YET TO START","IN PROGRESS")))</f>
        <v/>
      </c>
      <c r="H191" s="42" t="n"/>
      <c r="I191" s="42" t="n"/>
    </row>
    <row r="192" ht="27" customHeight="1" s="24">
      <c r="A192" s="34" t="inlineStr">
        <is>
          <t>F13.1.1</t>
        </is>
      </c>
      <c r="B192" s="32" t="n">
        <v>3</v>
      </c>
      <c r="C192" s="45" t="inlineStr">
        <is>
          <t>In-app and email notifications with preferences</t>
        </is>
      </c>
      <c r="D192" s="34" t="inlineStr">
        <is>
          <t>System</t>
        </is>
      </c>
      <c r="E192" s="34" t="inlineStr">
        <is>
          <t>GS-055, NEW-016</t>
        </is>
      </c>
      <c r="F192" s="32" t="n"/>
      <c r="G192" s="32" t="inlineStr">
        <is>
          <t>COMPLETED</t>
        </is>
      </c>
      <c r="H192" s="34" t="inlineStr">
        <is>
          <t>#23; #75</t>
        </is>
      </c>
      <c r="I192" s="34" t="inlineStr">
        <is>
          <t>Mail host hourly sending cap seen on test (GAP-009)</t>
        </is>
      </c>
    </row>
    <row r="193" ht="15" customHeight="1" s="24">
      <c r="A193" s="34" t="inlineStr">
        <is>
          <t>F13.1.2</t>
        </is>
      </c>
      <c r="B193" s="32" t="n">
        <v>3</v>
      </c>
      <c r="C193" s="45" t="inlineStr">
        <is>
          <t>SMS, WhatsApp and push providers</t>
        </is>
      </c>
      <c r="D193" s="34" t="inlineStr">
        <is>
          <t>System</t>
        </is>
      </c>
      <c r="E193" s="34" t="inlineStr">
        <is>
          <t>GS-074</t>
        </is>
      </c>
      <c r="F193" s="32" t="n"/>
      <c r="G193" s="32" t="inlineStr">
        <is>
          <t>BLOCKED</t>
        </is>
      </c>
      <c r="H193" s="34" t="inlineStr">
        <is>
          <t>-</t>
        </is>
      </c>
      <c r="I193" s="34" t="inlineStr">
        <is>
          <t>Waits on D2</t>
        </is>
      </c>
    </row>
    <row r="194" ht="15" customHeight="1" s="24">
      <c r="A194" s="42" t="inlineStr">
        <is>
          <t>F13.2</t>
        </is>
      </c>
      <c r="B194" s="43" t="n">
        <v>2</v>
      </c>
      <c r="C194" s="44" t="inlineStr">
        <is>
          <t>F13.2  Events</t>
        </is>
      </c>
      <c r="D194" s="42" t="n"/>
      <c r="E194" s="42" t="n"/>
      <c r="F194" s="43">
        <f>COUNTIFS($B$195:$B$195,3,$G$195:$G$195,"COMPLETED")&amp;" / "&amp;COUNTIF($B$195:$B$195,3)</f>
        <v/>
      </c>
      <c r="G194" s="43">
        <f>IF(COUNTIFS($B$195:$B$195,3,$G$195:$G$195,"COMPLETED")=COUNTIF($B$195:$B$195,3),"COMPLETED",IF(COUNTIFS($B$195:$B$195,3,$G$195:$G$195,"BLOCKED")&gt;0,"BLOCKED",IF(COUNTIFS($B$195:$B$195,3,$G$195:$G$195,"YET TO START")=COUNTIF($B$195:$B$195,3),"YET TO START","IN PROGRESS")))</f>
        <v/>
      </c>
      <c r="H194" s="42" t="n"/>
      <c r="I194" s="42" t="n"/>
    </row>
    <row r="195" ht="15" customHeight="1" s="24">
      <c r="A195" s="34" t="inlineStr">
        <is>
          <t>F13.2.1</t>
        </is>
      </c>
      <c r="B195" s="32" t="n">
        <v>3</v>
      </c>
      <c r="C195" s="45" t="inlineStr">
        <is>
          <t>Domain events, outbox with retries, timeout sweep</t>
        </is>
      </c>
      <c r="D195" s="34" t="inlineStr">
        <is>
          <t>System</t>
        </is>
      </c>
      <c r="E195" s="34" t="inlineStr">
        <is>
          <t>NEW-028</t>
        </is>
      </c>
      <c r="F195" s="32" t="n"/>
      <c r="G195" s="32" t="inlineStr">
        <is>
          <t>COMPLETED</t>
        </is>
      </c>
      <c r="H195" s="34" t="inlineStr">
        <is>
          <t>#89; #120</t>
        </is>
      </c>
      <c r="I195" s="34" t="inlineStr">
        <is>
          <t>Live on gokesari.com since #120 (9 Oct)</t>
        </is>
      </c>
    </row>
    <row r="196" ht="18" customHeight="1" s="24">
      <c r="A196" s="40" t="inlineStr">
        <is>
          <t>F14</t>
        </is>
      </c>
      <c r="B196" s="41" t="n">
        <v>1</v>
      </c>
      <c r="C196" s="40" t="inlineStr">
        <is>
          <t>F14  Release and deployment</t>
        </is>
      </c>
      <c r="D196" s="40" t="inlineStr">
        <is>
          <t>Developer / Owner</t>
        </is>
      </c>
      <c r="E196" s="40" t="n"/>
      <c r="F196" s="41">
        <f>COUNTIFS($B$197:$B$207,3,$G$197:$G$207,"COMPLETED")&amp;" / "&amp;COUNTIF($B$197:$B$207,3)</f>
        <v/>
      </c>
      <c r="G196" s="41">
        <f>IF(COUNTIFS($B$197:$B$207,3,$G$197:$G$207,"COMPLETED")=COUNTIF($B$197:$B$207,3),"COMPLETED",IF(COUNTIFS($B$197:$B$207,3,$G$197:$G$207,"BLOCKED")&gt;0,"BLOCKED",IF(COUNTIFS($B$197:$B$207,3,$G$197:$G$207,"YET TO START")=COUNTIF($B$197:$B$207,3),"YET TO START","IN PROGRESS")))</f>
        <v/>
      </c>
      <c r="H196" s="40" t="n"/>
      <c r="I196" s="40" t="n"/>
    </row>
    <row r="197" ht="15" customHeight="1" s="24">
      <c r="A197" s="42" t="inlineStr">
        <is>
          <t>F14.1</t>
        </is>
      </c>
      <c r="B197" s="43" t="n">
        <v>2</v>
      </c>
      <c r="C197" s="44" t="inlineStr">
        <is>
          <t>F14.1  Build and test</t>
        </is>
      </c>
      <c r="D197" s="42" t="n"/>
      <c r="E197" s="42" t="n"/>
      <c r="F197" s="43">
        <f>COUNTIFS($B$198:$B$202,3,$G$198:$G$202,"COMPLETED")&amp;" / "&amp;COUNTIF($B$198:$B$202,3)</f>
        <v/>
      </c>
      <c r="G197" s="43">
        <f>IF(COUNTIFS($B$198:$B$202,3,$G$198:$G$202,"COMPLETED")=COUNTIF($B$198:$B$202,3),"COMPLETED",IF(COUNTIFS($B$198:$B$202,3,$G$198:$G$202,"BLOCKED")&gt;0,"BLOCKED",IF(COUNTIFS($B$198:$B$202,3,$G$198:$G$202,"YET TO START")=COUNTIF($B$198:$B$202,3),"YET TO START","IN PROGRESS")))</f>
        <v/>
      </c>
      <c r="H197" s="42" t="n"/>
      <c r="I197" s="42" t="n"/>
    </row>
    <row r="198" ht="27" customHeight="1" s="24">
      <c r="A198" s="34" t="inlineStr">
        <is>
          <t>F14.1.1</t>
        </is>
      </c>
      <c r="B198" s="32" t="n">
        <v>3</v>
      </c>
      <c r="C198" s="45" t="inlineStr">
        <is>
          <t>Feature branch -&gt; PR into staging -&gt; CI (typecheck, lint, tests, build)</t>
        </is>
      </c>
      <c r="D198" s="34" t="inlineStr">
        <is>
          <t>Developer / Owner</t>
        </is>
      </c>
      <c r="E198" s="34" t="inlineStr">
        <is>
          <t>PLT-003, QA-001</t>
        </is>
      </c>
      <c r="F198" s="32" t="n"/>
      <c r="G198" s="32" t="inlineStr">
        <is>
          <t>COMPLETED</t>
        </is>
      </c>
      <c r="H198" s="34" t="inlineStr">
        <is>
          <t>#7; #52</t>
        </is>
      </c>
      <c r="I198" s="34" t="inlineStr">
        <is>
          <t>-</t>
        </is>
      </c>
    </row>
    <row r="199" ht="27" customHeight="1" s="24">
      <c r="A199" s="34" t="inlineStr">
        <is>
          <t>F14.1.2</t>
        </is>
      </c>
      <c r="B199" s="32" t="n">
        <v>3</v>
      </c>
      <c r="C199" s="45" t="inlineStr">
        <is>
          <t>Test database migrate / backup / verify through the 'Test database' workflow</t>
        </is>
      </c>
      <c r="D199" s="34" t="inlineStr">
        <is>
          <t>Developer / Owner</t>
        </is>
      </c>
      <c r="E199" s="34" t="inlineStr">
        <is>
          <t>PLT-008</t>
        </is>
      </c>
      <c r="F199" s="32" t="n"/>
      <c r="G199" s="32" t="inlineStr">
        <is>
          <t>COMPLETED</t>
        </is>
      </c>
      <c r="H199" s="34" t="inlineStr">
        <is>
          <t>#90; #94</t>
        </is>
      </c>
      <c r="I199" s="34" t="inlineStr">
        <is>
          <t>-</t>
        </is>
      </c>
    </row>
    <row r="200" ht="39" customHeight="1" s="24">
      <c r="A200" s="34" t="inlineStr">
        <is>
          <t>F14.1.3</t>
        </is>
      </c>
      <c r="B200" s="32" t="n">
        <v>3</v>
      </c>
      <c r="C200" s="45" t="inlineStr">
        <is>
          <t>Execute the 791 test cases and sign off on test.gokesari.com</t>
        </is>
      </c>
      <c r="D200" s="34" t="inlineStr">
        <is>
          <t>Developer / Owner</t>
        </is>
      </c>
      <c r="E200" s="34" t="inlineStr">
        <is>
          <t>QA-003, QA-002, QA-008, QA-009</t>
        </is>
      </c>
      <c r="F200" s="32" t="n"/>
      <c r="G200" s="32" t="inlineStr">
        <is>
          <t>YET TO START</t>
        </is>
      </c>
      <c r="H200" s="34" t="inlineStr">
        <is>
          <t>#51 (framework)</t>
        </is>
      </c>
      <c r="I200" s="34" t="inlineStr">
        <is>
          <t>791-case plan still not run. Order lifecycle on staging PASS 14 Oct (QA-008); production run waits on the owner (QA-009)</t>
        </is>
      </c>
    </row>
    <row r="201" ht="15" customHeight="1" s="24">
      <c r="A201" s="34" t="inlineStr">
        <is>
          <t>F14.1.4</t>
        </is>
      </c>
      <c r="B201" s="32" t="n">
        <v>3</v>
      </c>
      <c r="C201" s="45" t="inlineStr">
        <is>
          <t>Pay Cashfree sandbox checkouts from a GitHub runner for E2E runs</t>
        </is>
      </c>
      <c r="D201" s="34" t="inlineStr">
        <is>
          <t>Developer / Owner</t>
        </is>
      </c>
      <c r="E201" s="34" t="inlineStr">
        <is>
          <t>PLT-011</t>
        </is>
      </c>
      <c r="F201" s="32" t="n"/>
      <c r="G201" s="32" t="inlineStr">
        <is>
          <t>COMPLETED</t>
        </is>
      </c>
      <c r="H201" s="34" t="inlineStr">
        <is>
          <t>#102; #103</t>
        </is>
      </c>
      <c r="I201" s="34" t="inlineStr">
        <is>
          <t>-</t>
        </is>
      </c>
    </row>
    <row r="202" ht="27" customHeight="1" s="24">
      <c r="A202" s="34" t="inlineStr">
        <is>
          <t>F14.1.5</t>
        </is>
      </c>
      <c r="B202" s="32" t="n">
        <v>3</v>
      </c>
      <c r="C202" s="45" t="inlineStr">
        <is>
          <t>Browser test run of the four features + regression recorded step by step</t>
        </is>
      </c>
      <c r="D202" s="34" t="inlineStr">
        <is>
          <t>Developer / Owner</t>
        </is>
      </c>
      <c r="E202" s="34" t="inlineStr">
        <is>
          <t>QA-004</t>
        </is>
      </c>
      <c r="F202" s="32" t="n"/>
      <c r="G202" s="32" t="inlineStr">
        <is>
          <t>COMPLETED</t>
        </is>
      </c>
      <c r="H202" s="34" t="inlineStr">
        <is>
          <t>#103; #104</t>
        </is>
      </c>
      <c r="I202" s="34" t="inlineStr">
        <is>
          <t>All PASS; 3 fixes re-checked</t>
        </is>
      </c>
    </row>
    <row r="203" ht="15" customHeight="1" s="24">
      <c r="A203" s="42" t="inlineStr">
        <is>
          <t>F14.2</t>
        </is>
      </c>
      <c r="B203" s="43" t="n">
        <v>2</v>
      </c>
      <c r="C203" s="44" t="inlineStr">
        <is>
          <t>F14.2  Release</t>
        </is>
      </c>
      <c r="D203" s="42" t="n"/>
      <c r="E203" s="42" t="n"/>
      <c r="F203" s="43">
        <f>COUNTIFS($B$204:$B$207,3,$G$204:$G$207,"COMPLETED")&amp;" / "&amp;COUNTIF($B$204:$B$207,3)</f>
        <v/>
      </c>
      <c r="G203" s="43">
        <f>IF(COUNTIFS($B$204:$B$207,3,$G$204:$G$207,"COMPLETED")=COUNTIF($B$204:$B$207,3),"COMPLETED",IF(COUNTIFS($B$204:$B$207,3,$G$204:$G$207,"BLOCKED")&gt;0,"BLOCKED",IF(COUNTIFS($B$204:$B$207,3,$G$204:$G$207,"YET TO START")=COUNTIF($B$204:$B$207,3),"YET TO START","IN PROGRESS")))</f>
        <v/>
      </c>
      <c r="H203" s="42" t="n"/>
      <c r="I203" s="42" t="n"/>
    </row>
    <row r="204" ht="27" customHeight="1" s="24">
      <c r="A204" s="34" t="inlineStr">
        <is>
          <t>F14.2.1</t>
        </is>
      </c>
      <c r="B204" s="32" t="n">
        <v>3</v>
      </c>
      <c r="C204" s="45" t="inlineStr">
        <is>
          <t>Migrate production through the 'Production database' workflow</t>
        </is>
      </c>
      <c r="D204" s="34" t="inlineStr">
        <is>
          <t>Developer / Owner</t>
        </is>
      </c>
      <c r="E204" s="34" t="inlineStr">
        <is>
          <t>PLT-009</t>
        </is>
      </c>
      <c r="F204" s="32" t="n"/>
      <c r="G204" s="32" t="inlineStr">
        <is>
          <t>BLOCKED</t>
        </is>
      </c>
      <c r="H204" s="34" t="inlineStr">
        <is>
          <t>#93; #118</t>
        </is>
      </c>
      <c r="I204" s="34" t="inlineStr">
        <is>
          <t>Still blocked: PROD_DATABASE_URL not visible to Actions (nine runs got an empty value)</t>
        </is>
      </c>
    </row>
    <row r="205" ht="39" customHeight="1" s="24">
      <c r="A205" s="34" t="inlineStr">
        <is>
          <t>F14.2.2</t>
        </is>
      </c>
      <c r="B205" s="32" t="n">
        <v>3</v>
      </c>
      <c r="C205" s="45" t="inlineStr">
        <is>
          <t>Promote staging -&gt; main (deploys gokesari.com)</t>
        </is>
      </c>
      <c r="D205" s="34" t="inlineStr">
        <is>
          <t>Developer / Owner</t>
        </is>
      </c>
      <c r="E205" s="34" t="inlineStr">
        <is>
          <t>PLT-006, PLT-007</t>
        </is>
      </c>
      <c r="F205" s="32" t="n"/>
      <c r="G205" s="32" t="inlineStr">
        <is>
          <t>COMPLETED</t>
        </is>
      </c>
      <c r="H205" s="34" t="inlineStr">
        <is>
          <t>#86 reverted by #87; #120</t>
        </is>
      </c>
      <c r="I205" s="34" t="inlineStr">
        <is>
          <t>#120 merged 9 Oct 14:06 UTC: migrations 0056-0073 applied by MIGRATE_ON_BUILD, then the new code went live; verified 14:55 UTC</t>
        </is>
      </c>
    </row>
    <row r="206" ht="27" customHeight="1" s="24">
      <c r="A206" s="34" t="inlineStr">
        <is>
          <t>F14.2.3</t>
        </is>
      </c>
      <c r="B206" s="32" t="n">
        <v>3</v>
      </c>
      <c r="C206" s="45" t="inlineStr">
        <is>
          <t>Copy real shops from the test site to production</t>
        </is>
      </c>
      <c r="D206" s="34" t="inlineStr">
        <is>
          <t>Developer / Owner</t>
        </is>
      </c>
      <c r="E206" s="34" t="inlineStr">
        <is>
          <t>PLT-018</t>
        </is>
      </c>
      <c r="F206" s="32" t="n"/>
      <c r="G206" s="32" t="inlineStr">
        <is>
          <t>COMPLETED</t>
        </is>
      </c>
      <c r="H206" s="34" t="inlineStr">
        <is>
          <t>#140; #144; #156</t>
        </is>
      </c>
      <c r="I206" s="34" t="inlineStr">
        <is>
          <t>Used once: 5 shops, 12-13 Oct (SQL in the Neon console)</t>
        </is>
      </c>
    </row>
    <row r="207" ht="39" customHeight="1" s="24">
      <c r="A207" s="34" t="inlineStr">
        <is>
          <t>F14.2.4</t>
        </is>
      </c>
      <c r="B207" s="32" t="n">
        <v>3</v>
      </c>
      <c r="C207" s="45" t="inlineStr">
        <is>
          <t>Split production into seller and customer databases</t>
        </is>
      </c>
      <c r="D207" s="34" t="inlineStr">
        <is>
          <t>Developer / Owner</t>
        </is>
      </c>
      <c r="E207" s="34" t="inlineStr">
        <is>
          <t>PLT-015</t>
        </is>
      </c>
      <c r="F207" s="32" t="n"/>
      <c r="G207" s="32" t="inlineStr">
        <is>
          <t>IN PROGRESS</t>
        </is>
      </c>
      <c r="H207" s="34" t="inlineStr">
        <is>
          <t>#146-#162</t>
        </is>
      </c>
      <c r="I207" s="34" t="inlineStr">
        <is>
          <t>Test split PASS 13 Oct; production copy PASS 14 Oct (run 19) - check the split secrets; site still single-database</t>
        </is>
      </c>
    </row>
    <row r="208" ht="18" customHeight="1" s="24">
      <c r="A208" s="40" t="inlineStr">
        <is>
          <t>F15</t>
        </is>
      </c>
      <c r="B208" s="41" t="n">
        <v>1</v>
      </c>
      <c r="C208" s="40" t="inlineStr">
        <is>
          <t>F15  Mobile app (Android and iPhone)</t>
        </is>
      </c>
      <c r="D208" s="40" t="inlineStr">
        <is>
          <t>Customer / all roles</t>
        </is>
      </c>
      <c r="E208" s="40" t="n"/>
      <c r="F208" s="41">
        <f>COUNTIFS($B$209:$B$217,3,$G$209:$G$217,"COMPLETED")&amp;" / "&amp;COUNTIF($B$209:$B$217,3)</f>
        <v/>
      </c>
      <c r="G208" s="41">
        <f>IF(COUNTIFS($B$209:$B$217,3,$G$209:$G$217,"COMPLETED")=COUNTIF($B$209:$B$217,3),"COMPLETED",IF(COUNTIFS($B$209:$B$217,3,$G$209:$G$217,"BLOCKED")&gt;0,"BLOCKED",IF(COUNTIFS($B$209:$B$217,3,$G$209:$G$217,"YET TO START")=COUNTIF($B$209:$B$217,3),"YET TO START","IN PROGRESS")))</f>
        <v/>
      </c>
      <c r="H208" s="40" t="n"/>
      <c r="I208" s="40" t="n"/>
    </row>
    <row r="209" ht="15" customHeight="1" s="24">
      <c r="A209" s="42" t="inlineStr">
        <is>
          <t>F15.1</t>
        </is>
      </c>
      <c r="B209" s="43" t="n">
        <v>2</v>
      </c>
      <c r="C209" s="44" t="inlineStr">
        <is>
          <t>F15.1  Install</t>
        </is>
      </c>
      <c r="D209" s="42" t="n"/>
      <c r="E209" s="42" t="n"/>
      <c r="F209" s="43">
        <f>COUNTIFS($B$210:$B$213,3,$G$210:$G$213,"COMPLETED")&amp;" / "&amp;COUNTIF($B$210:$B$213,3)</f>
        <v/>
      </c>
      <c r="G209" s="43">
        <f>IF(COUNTIFS($B$210:$B$213,3,$G$210:$G$213,"COMPLETED")=COUNTIF($B$210:$B$213,3),"COMPLETED",IF(COUNTIFS($B$210:$B$213,3,$G$210:$G$213,"BLOCKED")&gt;0,"BLOCKED",IF(COUNTIFS($B$210:$B$213,3,$G$210:$G$213,"YET TO START")=COUNTIF($B$210:$B$213,3),"YET TO START","IN PROGRESS")))</f>
        <v/>
      </c>
      <c r="H209" s="42" t="n"/>
      <c r="I209" s="42" t="n"/>
    </row>
    <row r="210" ht="27" customHeight="1" s="24">
      <c r="A210" s="34" t="inlineStr">
        <is>
          <t>F15.1.1</t>
        </is>
      </c>
      <c r="B210" s="32" t="n">
        <v>3</v>
      </c>
      <c r="C210" s="45" t="inlineStr">
        <is>
          <t>Android: download the test APK from GitHub Actions and install</t>
        </is>
      </c>
      <c r="D210" s="34" t="inlineStr">
        <is>
          <t>Customer / all roles</t>
        </is>
      </c>
      <c r="E210" s="34" t="inlineStr">
        <is>
          <t>NEW-043, PLT-010</t>
        </is>
      </c>
      <c r="F210" s="32" t="n"/>
      <c r="G210" s="32" t="inlineStr">
        <is>
          <t>COMPLETED</t>
        </is>
      </c>
      <c r="H210" s="34" t="inlineStr">
        <is>
          <t>#100</t>
        </is>
      </c>
      <c r="I210" s="34" t="inlineStr">
        <is>
          <t>Test signing key - not a store build</t>
        </is>
      </c>
    </row>
    <row r="211" ht="27" customHeight="1" s="24">
      <c r="A211" s="34" t="inlineStr">
        <is>
          <t>F15.1.2</t>
        </is>
      </c>
      <c r="B211" s="32" t="n">
        <v>3</v>
      </c>
      <c r="C211" s="45" t="inlineStr">
        <is>
          <t>iPhone: add gokesari.com to the home screen from Safari (full-screen, Back button)</t>
        </is>
      </c>
      <c r="D211" s="34" t="inlineStr">
        <is>
          <t>Customer / all roles</t>
        </is>
      </c>
      <c r="E211" s="34" t="inlineStr">
        <is>
          <t>NEW-045</t>
        </is>
      </c>
      <c r="F211" s="32" t="n"/>
      <c r="G211" s="32" t="inlineStr">
        <is>
          <t>COMPLETED</t>
        </is>
      </c>
      <c r="H211" s="34" t="inlineStr">
        <is>
          <t>#100</t>
        </is>
      </c>
      <c r="I211" s="34" t="inlineStr">
        <is>
          <t>Live on gokesari.com</t>
        </is>
      </c>
    </row>
    <row r="212" ht="27" customHeight="1" s="24">
      <c r="A212" s="34" t="inlineStr">
        <is>
          <t>F15.1.3</t>
        </is>
      </c>
      <c r="B212" s="32" t="n">
        <v>3</v>
      </c>
      <c r="C212" s="45" t="inlineStr">
        <is>
          <t>Publish on Google Play</t>
        </is>
      </c>
      <c r="D212" s="34" t="inlineStr">
        <is>
          <t>Owner</t>
        </is>
      </c>
      <c r="E212" s="34" t="inlineStr">
        <is>
          <t>NEW-043</t>
        </is>
      </c>
      <c r="F212" s="32" t="n"/>
      <c r="G212" s="32" t="inlineStr">
        <is>
          <t>BLOCKED</t>
        </is>
      </c>
      <c r="H212" s="34" t="inlineStr">
        <is>
          <t>-</t>
        </is>
      </c>
      <c r="I212" s="34" t="inlineStr">
        <is>
          <t>Waits on Expo/EAS project + Google Play Console account</t>
        </is>
      </c>
    </row>
    <row r="213" ht="27" customHeight="1" s="24">
      <c r="A213" s="34" t="inlineStr">
        <is>
          <t>F15.1.4</t>
        </is>
      </c>
      <c r="B213" s="32" t="n">
        <v>3</v>
      </c>
      <c r="C213" s="45" t="inlineStr">
        <is>
          <t>Publish on the App Store (or install a native build on an iPhone)</t>
        </is>
      </c>
      <c r="D213" s="34" t="inlineStr">
        <is>
          <t>Owner</t>
        </is>
      </c>
      <c r="E213" s="34" t="inlineStr">
        <is>
          <t>NEW-043</t>
        </is>
      </c>
      <c r="F213" s="32" t="n"/>
      <c r="G213" s="32" t="inlineStr">
        <is>
          <t>BLOCKED</t>
        </is>
      </c>
      <c r="H213" s="34" t="inlineStr">
        <is>
          <t>#153; #157</t>
        </is>
      </c>
      <c r="I213" s="34" t="inlineStr">
        <is>
          <t>'iPhone app' workflow ready (PLT-017); waits on the Apple Developer account and secrets</t>
        </is>
      </c>
    </row>
    <row r="214" ht="15" customHeight="1" s="24">
      <c r="A214" s="42" t="inlineStr">
        <is>
          <t>F15.2</t>
        </is>
      </c>
      <c r="B214" s="43" t="n">
        <v>2</v>
      </c>
      <c r="C214" s="44" t="inlineStr">
        <is>
          <t>F15.2  Use</t>
        </is>
      </c>
      <c r="D214" s="42" t="n"/>
      <c r="E214" s="42" t="n"/>
      <c r="F214" s="43">
        <f>COUNTIFS($B$215:$B$217,3,$G$215:$G$217,"COMPLETED")&amp;" / "&amp;COUNTIF($B$215:$B$217,3)</f>
        <v/>
      </c>
      <c r="G214" s="43">
        <f>IF(COUNTIFS($B$215:$B$217,3,$G$215:$G$217,"COMPLETED")=COUNTIF($B$215:$B$217,3),"COMPLETED",IF(COUNTIFS($B$215:$B$217,3,$G$215:$G$217,"BLOCKED")&gt;0,"BLOCKED",IF(COUNTIFS($B$215:$B$217,3,$G$215:$G$217,"YET TO START")=COUNTIF($B$215:$B$217,3),"YET TO START","IN PROGRESS")))</f>
        <v/>
      </c>
      <c r="H214" s="42" t="n"/>
      <c r="I214" s="42" t="n"/>
    </row>
    <row r="215" ht="27" customHeight="1" s="24">
      <c r="A215" s="34" t="inlineStr">
        <is>
          <t>F15.2.1</t>
        </is>
      </c>
      <c r="B215" s="32" t="n">
        <v>3</v>
      </c>
      <c r="C215" s="45" t="inlineStr">
        <is>
          <t>Every website feature in the app, with native location, camera, downloads, print, share and offline screen</t>
        </is>
      </c>
      <c r="D215" s="34" t="inlineStr">
        <is>
          <t>Customer / all roles</t>
        </is>
      </c>
      <c r="E215" s="34" t="inlineStr">
        <is>
          <t>NEW-043</t>
        </is>
      </c>
      <c r="F215" s="32" t="n"/>
      <c r="G215" s="32" t="inlineStr">
        <is>
          <t>COMPLETED</t>
        </is>
      </c>
      <c r="H215" s="34" t="inlineStr">
        <is>
          <t>#100</t>
        </is>
      </c>
      <c r="I215" s="34" t="inlineStr">
        <is>
          <t>-</t>
        </is>
      </c>
    </row>
    <row r="216" ht="27" customHeight="1" s="24">
      <c r="A216" s="34" t="inlineStr">
        <is>
          <t>F15.2.2</t>
        </is>
      </c>
      <c r="B216" s="32" t="n">
        <v>3</v>
      </c>
      <c r="C216" s="45" t="inlineStr">
        <is>
          <t>Continue with Google from the app (system browser hand-off)</t>
        </is>
      </c>
      <c r="D216" s="34" t="inlineStr">
        <is>
          <t>Customer / all roles</t>
        </is>
      </c>
      <c r="E216" s="34" t="inlineStr">
        <is>
          <t>NEW-044</t>
        </is>
      </c>
      <c r="F216" s="32" t="n"/>
      <c r="G216" s="32" t="inlineStr">
        <is>
          <t>COMPLETED</t>
        </is>
      </c>
      <c r="H216" s="34" t="inlineStr">
        <is>
          <t>#100</t>
        </is>
      </c>
      <c r="I216" s="34" t="inlineStr">
        <is>
          <t>-</t>
        </is>
      </c>
    </row>
    <row r="217" ht="27" customHeight="1" s="24">
      <c r="A217" s="34" t="inlineStr">
        <is>
          <t>F15.2.3</t>
        </is>
      </c>
      <c r="B217" s="32" t="n">
        <v>3</v>
      </c>
      <c r="C217" s="45" t="inlineStr">
        <is>
          <t>gokesari.com links open the app (deep links)</t>
        </is>
      </c>
      <c r="D217" s="34" t="inlineStr">
        <is>
          <t>Customer / all roles</t>
        </is>
      </c>
      <c r="E217" s="34" t="inlineStr">
        <is>
          <t>NEW-044</t>
        </is>
      </c>
      <c r="F217" s="32" t="n"/>
      <c r="G217" s="32" t="inlineStr">
        <is>
          <t>YET TO START</t>
        </is>
      </c>
      <c r="H217" s="34" t="inlineStr">
        <is>
          <t>#100 (code)</t>
        </is>
      </c>
      <c r="I217" s="34" t="inlineStr">
        <is>
          <t>Needs signing fingerprints after the first store build</t>
        </is>
      </c>
    </row>
  </sheetData>
  <autoFilter ref="A4:I217"/>
  <mergeCells count="1">
    <mergeCell ref="A2:I2"/>
  </mergeCells>
  <conditionalFormatting sqref="G5:G217">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3 G146 G147 G148 G149 G151 G152 G153 G154 G155 G156 G157 G160 G161 G162 G164 G165 G166 G167 G168 G169 G172 G173 G175 G176 G177 G180 G181 G182 G183 G185 G186 G187 G188 G189 G192 G193 G195 G198 G199 G200 G201 G202 G204 G205 G206 G207 G210 G211 G212 G213 G215 G216 G217"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1D4ED8"/>
    <outlinePr summaryBelow="1" summaryRight="1"/>
    <pageSetUpPr fitToPage="1"/>
  </sheetPr>
  <dimension ref="A1:L174"/>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row r="165" ht="27" customHeight="1" s="24">
      <c r="A165" s="46" t="n">
        <v>164</v>
      </c>
      <c r="B165" s="34" t="inlineStr">
        <is>
          <t>DB split: production verification report (PASS)</t>
        </is>
      </c>
      <c r="C165" s="34" t="inlineStr">
        <is>
          <t>Docs / reports</t>
        </is>
      </c>
      <c r="D165" s="34" t="inlineStr">
        <is>
          <t>claude/compassionate-galileo-6jpqg3 -&gt; staging</t>
        </is>
      </c>
      <c r="E165" s="34" t="inlineStr">
        <is>
          <t>Test site (staging -&gt; test.gokesari.com)</t>
        </is>
      </c>
      <c r="F165" s="34" t="inlineStr">
        <is>
          <t>Merged</t>
        </is>
      </c>
      <c r="G165" s="34" t="inlineStr">
        <is>
          <t>2026-10-14</t>
        </is>
      </c>
      <c r="H165" s="34" t="inlineStr">
        <is>
          <t>2026-10-14</t>
        </is>
      </c>
      <c r="I165" s="34" t="inlineStr">
        <is>
          <t>PLT-015</t>
        </is>
      </c>
      <c r="J165" s="34" t="inlineStr">
        <is>
          <t>-</t>
        </is>
      </c>
      <c r="K165" s="34" t="inlineStr">
        <is>
          <t>#165</t>
        </is>
      </c>
      <c r="L165" s="34" t="n"/>
    </row>
    <row r="166" ht="27" customHeight="1" s="24">
      <c r="A166" s="46" t="n">
        <v>165</v>
      </c>
      <c r="B166" s="34" t="inlineStr">
        <is>
          <t>Release: production DB split verification report (#164)</t>
        </is>
      </c>
      <c r="C166" s="34" t="inlineStr">
        <is>
          <t>Release (staging -&gt; main)</t>
        </is>
      </c>
      <c r="D166" s="34" t="inlineStr">
        <is>
          <t>staging -&gt; main</t>
        </is>
      </c>
      <c r="E166" s="34" t="inlineStr">
        <is>
          <t>Production (main -&gt; gokesari.com)</t>
        </is>
      </c>
      <c r="F166" s="34" t="inlineStr">
        <is>
          <t>Merged</t>
        </is>
      </c>
      <c r="G166" s="34" t="inlineStr">
        <is>
          <t>2026-10-14</t>
        </is>
      </c>
      <c r="H166" s="34" t="inlineStr">
        <is>
          <t>2026-10-14</t>
        </is>
      </c>
      <c r="I166" s="34" t="inlineStr">
        <is>
          <t>-</t>
        </is>
      </c>
      <c r="J166" s="34" t="inlineStr">
        <is>
          <t>PLT-015</t>
        </is>
      </c>
      <c r="K166" s="34" t="inlineStr">
        <is>
          <t>Itself (merged to main)</t>
        </is>
      </c>
      <c r="L166" s="34" t="inlineStr">
        <is>
          <t>Docs only; staging and main the same code afterwards.</t>
        </is>
      </c>
    </row>
    <row r="167" ht="27" customHeight="1" s="24">
      <c r="A167" s="46" t="n">
        <v>166</v>
      </c>
      <c r="B167" s="34" t="inlineStr">
        <is>
          <t>Feature, process-flow and PR status workbook (14 Oct 2026)</t>
        </is>
      </c>
      <c r="C167" s="34" t="inlineStr">
        <is>
          <t>Docs / reports</t>
        </is>
      </c>
      <c r="D167" s="34" t="inlineStr">
        <is>
          <t>claude/peaceful-pascal-jai8w2 -&gt; main</t>
        </is>
      </c>
      <c r="E167" s="34" t="inlineStr">
        <is>
          <t>Production (main -&gt; gokesari.com)</t>
        </is>
      </c>
      <c r="F167" s="34" t="inlineStr">
        <is>
          <t>Merged</t>
        </is>
      </c>
      <c r="G167" s="34" t="inlineStr">
        <is>
          <t>2026-10-14</t>
        </is>
      </c>
      <c r="H167" s="34" t="inlineStr">
        <is>
          <t>2026-10-14</t>
        </is>
      </c>
      <c r="I167" s="34" t="inlineStr">
        <is>
          <t>-</t>
        </is>
      </c>
      <c r="J167" s="34" t="inlineStr">
        <is>
          <t>-</t>
        </is>
      </c>
      <c r="K167" s="34" t="inlineStr">
        <is>
          <t>Not needed (docs)</t>
        </is>
      </c>
      <c r="L167" s="34" t="n"/>
    </row>
    <row r="168" ht="27" customHeight="1" s="24">
      <c r="A168" s="46" t="n">
        <v>167</v>
      </c>
      <c r="B168" s="34" t="inlineStr">
        <is>
          <t>Test results tracker (14 Oct 2026)</t>
        </is>
      </c>
      <c r="C168" s="34" t="inlineStr">
        <is>
          <t>Docs / reports</t>
        </is>
      </c>
      <c r="D168" s="34" t="inlineStr">
        <is>
          <t>claude/peaceful-pascal-jai8w2 -&gt; main</t>
        </is>
      </c>
      <c r="E168" s="34" t="inlineStr">
        <is>
          <t>Production (main -&gt; gokesari.com)</t>
        </is>
      </c>
      <c r="F168" s="34" t="inlineStr">
        <is>
          <t>Merged</t>
        </is>
      </c>
      <c r="G168" s="34" t="inlineStr">
        <is>
          <t>2026-10-14</t>
        </is>
      </c>
      <c r="H168" s="34" t="inlineStr">
        <is>
          <t>2026-10-14</t>
        </is>
      </c>
      <c r="I168" s="34" t="inlineStr">
        <is>
          <t>-</t>
        </is>
      </c>
      <c r="J168" s="34" t="inlineStr">
        <is>
          <t>-</t>
        </is>
      </c>
      <c r="K168" s="34" t="inlineStr">
        <is>
          <t>Not needed (docs)</t>
        </is>
      </c>
      <c r="L168" s="34" t="n"/>
    </row>
    <row r="169" ht="27" customHeight="1" s="24">
      <c r="A169" s="46" t="n">
        <v>168</v>
      </c>
      <c r="B169" s="34" t="inlineStr">
        <is>
          <t>Seller Central: shop switcher for owners with more than one shop</t>
        </is>
      </c>
      <c r="C169" s="34" t="inlineStr">
        <is>
          <t>Fix / hotfix</t>
        </is>
      </c>
      <c r="D169" s="34" t="inlineStr">
        <is>
          <t>claude/peaceful-pascal-jai8w2 -&gt; staging</t>
        </is>
      </c>
      <c r="E169" s="34" t="inlineStr">
        <is>
          <t>Test site (staging -&gt; test.gokesari.com)</t>
        </is>
      </c>
      <c r="F169" s="34" t="inlineStr">
        <is>
          <t>Merged</t>
        </is>
      </c>
      <c r="G169" s="34" t="inlineStr">
        <is>
          <t>2026-10-14</t>
        </is>
      </c>
      <c r="H169" s="34" t="inlineStr">
        <is>
          <t>2026-10-14</t>
        </is>
      </c>
      <c r="I169" s="34" t="inlineStr">
        <is>
          <t>NEW-066, QA-008</t>
        </is>
      </c>
      <c r="J169" s="34" t="inlineStr">
        <is>
          <t>-</t>
        </is>
      </c>
      <c r="K169" s="34" t="inlineStr">
        <is>
          <t>Not yet (test site only)</t>
        </is>
      </c>
      <c r="L169" s="34" t="inlineStr">
        <is>
          <t>Found by the 14 Oct order-lifecycle run; re-checked on test (TR-23).</t>
        </is>
      </c>
    </row>
    <row r="170" ht="27" customHeight="1" s="24">
      <c r="A170" s="46" t="n">
        <v>169</v>
      </c>
      <c r="B170" s="34" t="inlineStr">
        <is>
          <t>Document upload: read photos in the owner's browser (fixes D-18)</t>
        </is>
      </c>
      <c r="C170" s="34" t="inlineStr">
        <is>
          <t>Fix / hotfix</t>
        </is>
      </c>
      <c r="D170" s="34" t="inlineStr">
        <is>
          <t>claude/gracious-einstein-24qjjh -&gt; staging</t>
        </is>
      </c>
      <c r="E170" s="34" t="inlineStr">
        <is>
          <t>Test site (staging -&gt; test.gokesari.com)</t>
        </is>
      </c>
      <c r="F170" s="34" t="inlineStr">
        <is>
          <t>Merged</t>
        </is>
      </c>
      <c r="G170" s="34" t="inlineStr">
        <is>
          <t>2026-10-14</t>
        </is>
      </c>
      <c r="H170" s="34" t="inlineStr">
        <is>
          <t>2026-10-14</t>
        </is>
      </c>
      <c r="I170" s="34" t="inlineStr">
        <is>
          <t>NEW-062</t>
        </is>
      </c>
      <c r="J170" s="34" t="inlineStr">
        <is>
          <t>NEW-062</t>
        </is>
      </c>
      <c r="K170" s="34" t="inlineStr">
        <is>
          <t>#175 (cherry-pick); #177</t>
        </is>
      </c>
      <c r="L170" s="34" t="inlineStr">
        <is>
          <t>CSP adds 'wasm-unsafe-eval'; switch DOCUMENT_OCR_BROWSER=off goes back to server-only. Verified on test 15 Oct (TR-26).</t>
        </is>
      </c>
    </row>
    <row r="171" ht="27" customHeight="1" s="24">
      <c r="A171" s="46" t="n">
        <v>170</v>
      </c>
      <c r="B171" s="34" t="inlineStr">
        <is>
          <t>Order lifecycle on staging (14 Oct): test results and tracker update</t>
        </is>
      </c>
      <c r="C171" s="34" t="inlineStr">
        <is>
          <t>Docs / reports</t>
        </is>
      </c>
      <c r="D171" s="34" t="inlineStr">
        <is>
          <t>claude/peaceful-pascal-jai8w2 -&gt; main</t>
        </is>
      </c>
      <c r="E171" s="34" t="inlineStr">
        <is>
          <t>Production (main -&gt; gokesari.com)</t>
        </is>
      </c>
      <c r="F171" s="34" t="inlineStr">
        <is>
          <t>Open (draft)</t>
        </is>
      </c>
      <c r="G171" s="34" t="inlineStr">
        <is>
          <t>2026-10-14</t>
        </is>
      </c>
      <c r="H171" s="34" t="inlineStr">
        <is>
          <t>-</t>
        </is>
      </c>
      <c r="I171" s="34" t="inlineStr">
        <is>
          <t>QA-008</t>
        </is>
      </c>
      <c r="J171" s="34" t="inlineStr">
        <is>
          <t>-</t>
        </is>
      </c>
      <c r="K171" s="34" t="inlineStr">
        <is>
          <t>Not needed (docs)</t>
        </is>
      </c>
      <c r="L171" s="34" t="inlineStr">
        <is>
          <t>Waiting for the owner's 'merge'.</t>
        </is>
      </c>
    </row>
    <row r="172" ht="27" customHeight="1" s="24">
      <c r="A172" s="46" t="n">
        <v>171</v>
      </c>
      <c r="B172" s="34" t="inlineStr">
        <is>
          <t>Inventory &amp; Accounting for shop owners: stock ledger, books, GST portal, supplier bill scan/upload</t>
        </is>
      </c>
      <c r="C172" s="34" t="inlineStr">
        <is>
          <t>Feature</t>
        </is>
      </c>
      <c r="D172" s="34" t="inlineStr">
        <is>
          <t>claude/nice-cori-6p1wb2 -&gt; staging</t>
        </is>
      </c>
      <c r="E172" s="34" t="inlineStr">
        <is>
          <t>Test site (staging -&gt; test.gokesari.com)</t>
        </is>
      </c>
      <c r="F172" s="34" t="inlineStr">
        <is>
          <t>Merged</t>
        </is>
      </c>
      <c r="G172" s="34" t="inlineStr">
        <is>
          <t>2026-10-15</t>
        </is>
      </c>
      <c r="H172" s="34" t="inlineStr">
        <is>
          <t>2026-10-15</t>
        </is>
      </c>
      <c r="I172" s="34" t="inlineStr">
        <is>
          <t>NEW-067</t>
        </is>
      </c>
      <c r="J172" s="34" t="inlineStr">
        <is>
          <t>-</t>
        </is>
      </c>
      <c r="K172" s="34" t="inlineStr">
        <is>
          <t>Not yet (test site only)</t>
        </is>
      </c>
      <c r="L172" s="34" t="inlineStr">
        <is>
          <t>Migration 0076 (24 tables, additive; rollback-0076.sql).</t>
        </is>
      </c>
    </row>
    <row r="173">
      <c r="A173" s="46" t="n">
        <v>176</v>
      </c>
      <c r="B173" s="34" t="inlineStr">
        <is>
          <t>Release: document photos read in the owner's browser (#169)</t>
        </is>
      </c>
      <c r="C173" s="34" t="inlineStr">
        <is>
          <t>Release (staging -&gt; main)</t>
        </is>
      </c>
      <c r="D173" s="34" t="inlineStr">
        <is>
          <t>staging -&gt; main</t>
        </is>
      </c>
      <c r="E173" s="34" t="inlineStr">
        <is>
          <t>Production (main -&gt; gokesari.com)</t>
        </is>
      </c>
      <c r="F173" s="34" t="inlineStr">
        <is>
          <t>Closed - not merged</t>
        </is>
      </c>
      <c r="G173" s="34" t="inlineStr">
        <is>
          <t>2026-10-15</t>
        </is>
      </c>
      <c r="H173" s="34" t="inlineStr">
        <is>
          <t>2026-10-15</t>
        </is>
      </c>
      <c r="I173" s="34" t="inlineStr">
        <is>
          <t>-</t>
        </is>
      </c>
      <c r="J173" s="34" t="inlineStr">
        <is>
          <t>-</t>
        </is>
      </c>
      <c r="K173" s="34" t="inlineStr">
        <is>
          <t>-</t>
        </is>
      </c>
      <c r="L173" s="34" t="inlineStr">
        <is>
          <t>Closed: staging also carried #168, #171 (migration 0076) and #173 (migration 0077), not approved for release here. Replaced by #177.</t>
        </is>
      </c>
    </row>
    <row r="174">
      <c r="A174" s="46" t="n">
        <v>177</v>
      </c>
      <c r="B174" s="34" t="inlineStr">
        <is>
          <t>Release: document photos read in the owner's browser (#169, fixes D-18)</t>
        </is>
      </c>
      <c r="C174" s="34" t="inlineStr">
        <is>
          <t>Release (branch -&gt; main)</t>
        </is>
      </c>
      <c r="D174" s="34" t="inlineStr">
        <is>
          <t>claude/gracious-einstein-24qjjh -&gt; main</t>
        </is>
      </c>
      <c r="E174" s="34" t="inlineStr">
        <is>
          <t>Production (main -&gt; gokesari.com)</t>
        </is>
      </c>
      <c r="F174" s="34" t="inlineStr">
        <is>
          <t>Merged</t>
        </is>
      </c>
      <c r="G174" s="34" t="inlineStr">
        <is>
          <t>2026-10-15</t>
        </is>
      </c>
      <c r="H174" s="34" t="inlineStr">
        <is>
          <t>2026-10-15</t>
        </is>
      </c>
      <c r="I174" s="34" t="inlineStr">
        <is>
          <t>-</t>
        </is>
      </c>
      <c r="J174" s="34" t="inlineStr">
        <is>
          <t>NEW-062</t>
        </is>
      </c>
      <c r="K174" s="34" t="inlineStr">
        <is>
          <t>Itself (merged to main)</t>
        </is>
      </c>
      <c r="L174" s="34" t="inlineStr">
        <is>
          <t>Same commit as #175's cherry-pick of #169, merged after it: no code change. Production checks 15 Oct (TR-27) PASS.</t>
        </is>
      </c>
    </row>
  </sheetData>
  <autoFilter ref="A1:L172"/>
  <conditionalFormatting sqref="F2:F172">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991B1B"/>
    <outlinePr summaryBelow="1" summaryRight="1"/>
    <pageSetUpPr fitToPage="1"/>
  </sheetPr>
  <dimension ref="A1:H51"/>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51"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75" customHeight="1" s="24">
      <c r="A42" s="32" t="n">
        <v>41</v>
      </c>
      <c r="B42" s="34" t="inlineStr">
        <is>
          <t>Decision</t>
        </is>
      </c>
      <c r="C42" s="34" t="inlineStr">
        <is>
          <t>Document auto-read engine</t>
        </is>
      </c>
      <c r="D42" s="34"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34" t="inlineStr">
        <is>
          <t>NEW-062</t>
        </is>
      </c>
      <c r="F42" s="34" t="inlineStr">
        <is>
          <t>Dev (release)</t>
        </is>
      </c>
      <c r="G42" s="34" t="inlineStr">
        <is>
          <t>Resolved</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63"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34" t="inlineStr">
        <is>
          <t>NEW-060, NEW-064</t>
        </is>
      </c>
      <c r="F44" s="34" t="inlineStr">
        <is>
          <t>QA / dev</t>
        </is>
      </c>
      <c r="G44" s="34" t="inlineStr">
        <is>
          <t>Open</t>
        </is>
      </c>
      <c r="H44" s="34" t="inlineStr">
        <is>
          <t>seller-central TEST_RESULTS; 13 Oct status sheet</t>
        </is>
      </c>
    </row>
    <row r="45" ht="51" customHeight="1" s="24">
      <c r="A45" s="32" t="n">
        <v>44</v>
      </c>
      <c r="B45" s="34" t="inlineStr">
        <is>
          <t>Owner inputs</t>
        </is>
      </c>
      <c r="C45" s="34" t="inlineStr">
        <is>
          <t>Production order-lifecycle run (real payment)</t>
        </is>
      </c>
      <c r="D45" s="34"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34" t="inlineStr">
        <is>
          <t>QA-009</t>
        </is>
      </c>
      <c r="F45" s="34" t="inlineStr">
        <is>
          <t>Owner</t>
        </is>
      </c>
      <c r="G45" s="34" t="inlineStr">
        <is>
          <t>Pending</t>
        </is>
      </c>
      <c r="H45" s="34" t="inlineStr">
        <is>
          <t>docs/order-lifecycle-2026-10/TEST_RESULTS_STAGING_2026-10-14.md</t>
        </is>
      </c>
    </row>
    <row r="46" ht="63" customHeight="1" s="24">
      <c r="A46" s="32" t="n">
        <v>45</v>
      </c>
      <c r="B46" s="34" t="inlineStr">
        <is>
          <t>Release step</t>
        </is>
      </c>
      <c r="C46" s="34" t="inlineStr">
        <is>
          <t>Inventory &amp; Accounting - before release</t>
        </is>
      </c>
      <c r="D46" s="34" t="inlineStr">
        <is>
          <t>Record a staging test run (accounts-check.mjs, E2E) in TESTING_REPORT.md; fix the ~40 s load of /shop/accounts on test; decide whether supplier bills may be read by Claude (INVOICE_EXTRACTION_PROVIDER=claude); production stays on GST_RETURNS_PROVIDER=none (file upload) until a GSP is contracted; CA check (#15).</t>
        </is>
      </c>
      <c r="E46" s="34" t="inlineStr">
        <is>
          <t>NEW-067</t>
        </is>
      </c>
      <c r="F46" s="34" t="inlineStr">
        <is>
          <t>Dev / Owner</t>
        </is>
      </c>
      <c r="G46" s="34" t="inlineStr">
        <is>
          <t>Open</t>
        </is>
      </c>
      <c r="H46" s="34" t="inlineStr">
        <is>
          <t>docs/inventory-accounting-2026-10/README.md</t>
        </is>
      </c>
    </row>
    <row r="47" ht="39" customHeight="1" s="24">
      <c r="A47" s="32" t="n">
        <v>46</v>
      </c>
      <c r="B47" s="34" t="inlineStr">
        <is>
          <t>Release step</t>
        </is>
      </c>
      <c r="C47" s="34" t="inlineStr">
        <is>
          <t>Release staging to production (#168, #169, #171)</t>
        </is>
      </c>
      <c r="D47" s="34" t="inlineStr">
        <is>
          <t>Staging is ahead of main by the shop switcher (#168), browser document reading (#169) and Inventory &amp; Accounting (#171, migration 0076). #168 and #169 are ready; #171 waits on #45. Update 15 Oct: #168 and #169 released to gokesari.com (#175; #177 merged the same #169 commit); #171-#174 released by #179.</t>
        </is>
      </c>
      <c r="E47" s="34" t="inlineStr">
        <is>
          <t>NEW-066, NEW-062, NEW-067</t>
        </is>
      </c>
      <c r="F47" s="34" t="inlineStr">
        <is>
          <t>Owner / dev</t>
        </is>
      </c>
      <c r="G47" s="34" t="inlineStr">
        <is>
          <t>Resolved</t>
        </is>
      </c>
      <c r="H47" s="34" t="inlineStr">
        <is>
          <t>git log main..staging</t>
        </is>
      </c>
    </row>
    <row r="48">
      <c r="A48" s="23" t="n">
        <v>47</v>
      </c>
      <c r="B48" s="23" t="inlineStr">
        <is>
          <t>Release blocker</t>
        </is>
      </c>
      <c r="C48" s="23" t="inlineStr">
        <is>
          <t>Bulk product upload not on production</t>
        </is>
      </c>
      <c r="D48" s="23" t="inlineStr">
        <is>
          <t>On test.gokesari.com and passing (23/23). Production needs the owner to approve the staging -&gt; main release, which also ships #168, #169, #171; run the Production database workflow first.</t>
        </is>
      </c>
      <c r="E48" s="23" t="inlineStr">
        <is>
          <t>BPU-16</t>
        </is>
      </c>
      <c r="F48" s="23" t="inlineStr">
        <is>
          <t>Owner</t>
        </is>
      </c>
      <c r="G48" s="23" t="inlineStr">
        <is>
          <t>Open</t>
        </is>
      </c>
      <c r="H48" s="23" t="inlineStr">
        <is>
          <t>docs/product-import-2026-10/README.md</t>
        </is>
      </c>
    </row>
    <row r="49">
      <c r="A49" s="23" t="n">
        <v>48</v>
      </c>
      <c r="B49" s="23" t="inlineStr">
        <is>
          <t>Decision</t>
        </is>
      </c>
      <c r="C49" s="23" t="inlineStr">
        <is>
          <t>Bulk upload: MRP in the file</t>
        </is>
      </c>
      <c r="D49" s="23" t="inlineStr">
        <is>
          <t>Stored as the listing MRP (shop_listing_details.mrp_paise); master MRP unchanged; price above it not applied</t>
        </is>
      </c>
      <c r="E49" s="23" t="inlineStr">
        <is>
          <t>BPU-03</t>
        </is>
      </c>
      <c r="F49" s="23" t="inlineStr">
        <is>
          <t>Dev (recorded)</t>
        </is>
      </c>
      <c r="G49" s="23" t="inlineStr">
        <is>
          <t>Decided</t>
        </is>
      </c>
      <c r="H49" s="23" t="inlineStr">
        <is>
          <t>docs/product-import-2026-10/README.md</t>
        </is>
      </c>
    </row>
    <row r="50">
      <c r="A50" s="23" t="n">
        <v>49</v>
      </c>
      <c r="B50" s="23" t="inlineStr">
        <is>
          <t>Decision</t>
        </is>
      </c>
      <c r="C50" s="23" t="inlineStr">
        <is>
          <t>Bulk upload: uncategorised products</t>
        </is>
      </c>
      <c r="D50" s="23" t="inlineStr">
        <is>
          <t>Go to the system category General</t>
        </is>
      </c>
      <c r="E50" s="23" t="inlineStr">
        <is>
          <t>BPU-04</t>
        </is>
      </c>
      <c r="F50" s="23" t="inlineStr">
        <is>
          <t>Dev (recorded)</t>
        </is>
      </c>
      <c r="G50" s="23" t="inlineStr">
        <is>
          <t>Decided</t>
        </is>
      </c>
      <c r="H50" s="23" t="inlineStr">
        <is>
          <t>docs/product-import-2026-10/README.md</t>
        </is>
      </c>
    </row>
    <row r="51">
      <c r="A51" s="23" t="n">
        <v>50</v>
      </c>
      <c r="B51" s="23" t="inlineStr">
        <is>
          <t>Go-live blocker</t>
        </is>
      </c>
      <c r="C51" s="23" t="inlineStr">
        <is>
          <t>Bulk upload: mobile store builds</t>
        </is>
      </c>
      <c r="D51" s="23" t="inlineStr">
        <is>
          <t>EAS / Expo account and Apple Developer account for the AAB and the iPhone build</t>
        </is>
      </c>
      <c r="E51" s="23" t="inlineStr">
        <is>
          <t>BPU-10, BPU-11</t>
        </is>
      </c>
      <c r="F51" s="23" t="inlineStr">
        <is>
          <t>Owner</t>
        </is>
      </c>
      <c r="G51" s="23" t="inlineStr">
        <is>
          <t>Open</t>
        </is>
      </c>
      <c r="H51" s="23" t="inlineStr">
        <is>
          <t>docs/product-import-2026-10/README.md</t>
        </is>
      </c>
    </row>
  </sheetData>
  <autoFilter ref="A1:H47"/>
  <conditionalFormatting sqref="G2:G47">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2026-10-15T18:07:38Z</dcterms:modified>
  <cp:revision>0</cp:revision>
</cp:coreProperties>
</file>