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Feature Register" sheetId="3" state="visible" r:id="rId3"/>
    <sheet xmlns:r="http://schemas.openxmlformats.org/officeDocument/2006/relationships" name="Process Flow Tree" sheetId="4" state="visible" r:id="rId4"/>
    <sheet xmlns:r="http://schemas.openxmlformats.org/officeDocument/2006/relationships" name="PR Register" sheetId="5" state="visible" r:id="rId5"/>
    <sheet xmlns:r="http://schemas.openxmlformats.org/officeDocument/2006/relationships" name="Blockers &amp; Decisions" sheetId="6" state="visible" r:id="rId6"/>
  </sheets>
  <definedNames>
    <definedName name="_xlnm._FilterDatabase" localSheetId="2" hidden="1">'Feature Register'!$A$1:$R$263</definedName>
    <definedName name="_xlnm.Print_Titles" localSheetId="2">'Feature Register'!$1:$1</definedName>
    <definedName name="_xlnm._FilterDatabase" localSheetId="3" hidden="1">'Process Flow Tree'!$A$4:$I$215</definedName>
    <definedName name="_xlnm.Print_Titles" localSheetId="3">'Process Flow Tree'!$4:$4</definedName>
    <definedName name="_xlnm._FilterDatabase" localSheetId="4" hidden="1">'PR Register'!$A$1:$L$164</definedName>
    <definedName name="_xlnm.Print_Titles" localSheetId="4">'PR Register'!$1:$1</definedName>
    <definedName name="_xlnm._FilterDatabase" localSheetId="5" hidden="1">'Blockers &amp; Decisions'!$A$1:$H$44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
      <b val="1"/>
      <sz val="13"/>
    </font>
    <font>
      <b val="1"/>
      <color rgb="00FFFFFF"/>
    </font>
  </fonts>
  <fills count="8">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
      <patternFill patternType="solid">
        <fgColor rgb="00C2410C"/>
      </patternFill>
    </fill>
    <fill>
      <patternFill patternType="solid">
        <fgColor rgb="00FEF3C7"/>
      </patternFill>
    </fill>
    <fill>
      <patternFill patternType="solid">
        <fgColor rgb="00FECACA"/>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12" fillId="0" borderId="0" pivotButton="0" quotePrefix="0" xfId="0"/>
    <xf numFmtId="0" fontId="13"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s>
</file>

<file path=xl/worksheets/sheet1.xml><?xml version="1.0" encoding="utf-8"?>
<worksheet xmlns="http://schemas.openxmlformats.org/spreadsheetml/2006/main">
  <sheetPr filterMode="0">
    <tabColor rgb="FF065F46"/>
    <outlinePr summaryBelow="1" summaryRight="1"/>
    <pageSetUpPr fitToPage="1"/>
  </sheetPr>
  <dimension ref="A1:G88"/>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Same as the 14 Oct report, plus the Bulk Product Upload feature (sheet "Bulk Product Upload"), built on branch claude/amazing-ritchie-9vlq9f.</t>
        </is>
      </c>
    </row>
    <row r="3" ht="24" customHeight="1" s="24">
      <c r="A3" s="26" t="inlineStr">
        <is>
          <t>Baseline = the 10 Oct status report (245 features), plus everything delivered in PRs #132-#163 (eleven releases to gokesari.com: #135, #139, #141, #143, #145, #149, #151, #157, #159, #161, #163).</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10 Oct' is unchanged for comparison.</t>
        </is>
      </c>
    </row>
    <row r="7" ht="15" customHeight="1" s="24">
      <c r="A7" s="27" t="inlineStr">
        <is>
          <t>1. Features by status</t>
        </is>
      </c>
    </row>
    <row r="8" ht="15" customHeight="1" s="24">
      <c r="A8" s="28" t="inlineStr">
        <is>
          <t>Status</t>
        </is>
      </c>
      <c r="B8" s="28" t="inlineStr">
        <is>
          <t>Features</t>
        </is>
      </c>
      <c r="C8" s="28" t="inlineStr">
        <is>
          <t>% of total</t>
        </is>
      </c>
      <c r="D8" s="28" t="inlineStr">
        <is>
          <t>Status 10 Oct</t>
        </is>
      </c>
      <c r="E8" s="28" t="inlineStr">
        <is>
          <t>Meaning</t>
        </is>
      </c>
      <c r="F8" s="29" t="n"/>
      <c r="G8" s="30" t="n"/>
    </row>
    <row r="9" ht="24" customHeight="1" s="24">
      <c r="A9" s="31" t="inlineStr">
        <is>
          <t>COMPLETED</t>
        </is>
      </c>
      <c r="B9" s="32">
        <f>COUNTIF('Feature Register'!$I$2:$I$263,A9)</f>
        <v/>
      </c>
      <c r="C9" s="33">
        <f>IF($B$13=0,0,B9/$B$13)</f>
        <v/>
      </c>
      <c r="D9" s="32">
        <f>COUNTIF('Feature Register'!$P$2:$P$263,A9)</f>
        <v/>
      </c>
      <c r="E9" s="34" t="inlineStr">
        <is>
          <t>Built, merged and live on gokesari.com (incl. built but switched off by default), or finished tooling</t>
        </is>
      </c>
      <c r="F9" s="29" t="n"/>
      <c r="G9" s="30" t="n"/>
    </row>
    <row r="10" ht="24" customHeight="1" s="24">
      <c r="A10" s="31" t="inlineStr">
        <is>
          <t>IN PROGRESS</t>
        </is>
      </c>
      <c r="B10" s="32">
        <f>COUNTIF('Feature Register'!$I$2:$I$263,A10)</f>
        <v/>
      </c>
      <c r="C10" s="33">
        <f>IF($B$13=0,0,B10/$B$13)</f>
        <v/>
      </c>
      <c r="D10" s="32">
        <f>COUNTIF('Feature Register'!$P$2:$P$263,A10)</f>
        <v/>
      </c>
      <c r="E10" s="34" t="inlineStr">
        <is>
          <t>Started: partly working, being run, or built but not yet published</t>
        </is>
      </c>
      <c r="F10" s="29" t="n"/>
      <c r="G10" s="30" t="n"/>
    </row>
    <row r="11" ht="24" customHeight="1" s="24">
      <c r="A11" s="31" t="inlineStr">
        <is>
          <t>YET TO START</t>
        </is>
      </c>
      <c r="B11" s="32">
        <f>COUNTIF('Feature Register'!$I$2:$I$263,A11)</f>
        <v/>
      </c>
      <c r="C11" s="33">
        <f>IF($B$13=0,0,B11/$B$13)</f>
        <v/>
      </c>
      <c r="D11" s="32">
        <f>COUNTIF('Feature Register'!$P$2:$P$263,A11)</f>
        <v/>
      </c>
      <c r="E11" s="34" t="inlineStr">
        <is>
          <t>Not built yet (designed, planned or a known gap)</t>
        </is>
      </c>
      <c r="F11" s="29" t="n"/>
      <c r="G11" s="30" t="n"/>
    </row>
    <row r="12" ht="24" customHeight="1" s="24">
      <c r="A12" s="31" t="inlineStr">
        <is>
          <t>BLOCKED</t>
        </is>
      </c>
      <c r="B12" s="32">
        <f>COUNTIF('Feature Register'!$I$2:$I$263,A12)</f>
        <v/>
      </c>
      <c r="C12" s="33">
        <f>IF($B$13=0,0,B12/$B$13)</f>
        <v/>
      </c>
      <c r="D12" s="32">
        <f>COUNTIF('Feature Register'!$P$2:$P$263,A12)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10 Oct counts only rows that were in the 10 Oct report (245).</t>
        </is>
      </c>
      <c r="F13" s="29" t="n"/>
      <c r="G13" s="30" t="n"/>
    </row>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Register'!$B$2:$B$263,$A17,'Feature Register'!$I$2:$I$263,B$16)</f>
        <v/>
      </c>
      <c r="C17" s="32">
        <f>COUNTIFS('Feature Register'!$B$2:$B$263,$A17,'Feature Register'!$I$2:$I$263,C$16)</f>
        <v/>
      </c>
      <c r="D17" s="32">
        <f>COUNTIFS('Feature Register'!$B$2:$B$263,$A17,'Feature Register'!$I$2:$I$263,D$16)</f>
        <v/>
      </c>
      <c r="E17" s="32">
        <f>COUNTIFS('Feature Register'!$B$2:$B$263,$A17,'Feature Register'!$I$2:$I$263,E$16)</f>
        <v/>
      </c>
      <c r="F17" s="32">
        <f>SUM(B17:E17)</f>
        <v/>
      </c>
      <c r="G17" s="37">
        <f>IF(F17=0,0,B17/F17)</f>
        <v/>
      </c>
    </row>
    <row r="18" ht="15" customHeight="1" s="24">
      <c r="A18" s="31" t="inlineStr">
        <is>
          <t>Workflow Master</t>
        </is>
      </c>
      <c r="B18" s="32">
        <f>COUNTIFS('Feature Register'!$B$2:$B$263,$A18,'Feature Register'!$I$2:$I$263,B$16)</f>
        <v/>
      </c>
      <c r="C18" s="32">
        <f>COUNTIFS('Feature Register'!$B$2:$B$263,$A18,'Feature Register'!$I$2:$I$263,C$16)</f>
        <v/>
      </c>
      <c r="D18" s="32">
        <f>COUNTIFS('Feature Register'!$B$2:$B$263,$A18,'Feature Register'!$I$2:$I$263,D$16)</f>
        <v/>
      </c>
      <c r="E18" s="32">
        <f>COUNTIFS('Feature Register'!$B$2:$B$263,$A18,'Feature Register'!$I$2:$I$263,E$16)</f>
        <v/>
      </c>
      <c r="F18" s="32">
        <f>SUM(B18:E18)</f>
        <v/>
      </c>
      <c r="G18" s="37">
        <f>IF(F18=0,0,B18/F18)</f>
        <v/>
      </c>
    </row>
    <row r="19" ht="15" customHeight="1" s="24">
      <c r="A19" s="31" t="inlineStr">
        <is>
          <t>RBAC Matrix</t>
        </is>
      </c>
      <c r="B19" s="32">
        <f>COUNTIFS('Feature Register'!$B$2:$B$263,$A19,'Feature Register'!$I$2:$I$263,B$16)</f>
        <v/>
      </c>
      <c r="C19" s="32">
        <f>COUNTIFS('Feature Register'!$B$2:$B$263,$A19,'Feature Register'!$I$2:$I$263,C$16)</f>
        <v/>
      </c>
      <c r="D19" s="32">
        <f>COUNTIFS('Feature Register'!$B$2:$B$263,$A19,'Feature Register'!$I$2:$I$263,D$16)</f>
        <v/>
      </c>
      <c r="E19" s="32">
        <f>COUNTIFS('Feature Register'!$B$2:$B$263,$A19,'Feature Register'!$I$2:$I$263,E$16)</f>
        <v/>
      </c>
      <c r="F19" s="32">
        <f>SUM(B19:E19)</f>
        <v/>
      </c>
      <c r="G19" s="37">
        <f>IF(F19=0,0,B19/F19)</f>
        <v/>
      </c>
    </row>
    <row r="20" ht="15" customHeight="1" s="24">
      <c r="A20" s="31" t="inlineStr">
        <is>
          <t>State Machines</t>
        </is>
      </c>
      <c r="B20" s="32">
        <f>COUNTIFS('Feature Register'!$B$2:$B$263,$A20,'Feature Register'!$I$2:$I$263,B$16)</f>
        <v/>
      </c>
      <c r="C20" s="32">
        <f>COUNTIFS('Feature Register'!$B$2:$B$263,$A20,'Feature Register'!$I$2:$I$263,C$16)</f>
        <v/>
      </c>
      <c r="D20" s="32">
        <f>COUNTIFS('Feature Register'!$B$2:$B$263,$A20,'Feature Register'!$I$2:$I$263,D$16)</f>
        <v/>
      </c>
      <c r="E20" s="32">
        <f>COUNTIFS('Feature Register'!$B$2:$B$263,$A20,'Feature Register'!$I$2:$I$263,E$16)</f>
        <v/>
      </c>
      <c r="F20" s="32">
        <f>SUM(B20:E20)</f>
        <v/>
      </c>
      <c r="G20" s="37">
        <f>IF(F20=0,0,B20/F20)</f>
        <v/>
      </c>
    </row>
    <row r="21" ht="15" customHeight="1" s="24">
      <c r="A21" s="31" t="inlineStr">
        <is>
          <t>Gig Assignment Rules</t>
        </is>
      </c>
      <c r="B21" s="32">
        <f>COUNTIFS('Feature Register'!$B$2:$B$263,$A21,'Feature Register'!$I$2:$I$263,B$16)</f>
        <v/>
      </c>
      <c r="C21" s="32">
        <f>COUNTIFS('Feature Register'!$B$2:$B$263,$A21,'Feature Register'!$I$2:$I$263,C$16)</f>
        <v/>
      </c>
      <c r="D21" s="32">
        <f>COUNTIFS('Feature Register'!$B$2:$B$263,$A21,'Feature Register'!$I$2:$I$263,D$16)</f>
        <v/>
      </c>
      <c r="E21" s="32">
        <f>COUNTIFS('Feature Register'!$B$2:$B$263,$A21,'Feature Register'!$I$2:$I$263,E$16)</f>
        <v/>
      </c>
      <c r="F21" s="32">
        <f>SUM(B21:E21)</f>
        <v/>
      </c>
      <c r="G21" s="37">
        <f>IF(F21=0,0,B21/F21)</f>
        <v/>
      </c>
    </row>
    <row r="22" ht="15" customHeight="1" s="24">
      <c r="A22" s="31" t="inlineStr">
        <is>
          <t>Navigation</t>
        </is>
      </c>
      <c r="B22" s="32">
        <f>COUNTIFS('Feature Register'!$B$2:$B$263,$A22,'Feature Register'!$I$2:$I$263,B$16)</f>
        <v/>
      </c>
      <c r="C22" s="32">
        <f>COUNTIFS('Feature Register'!$B$2:$B$263,$A22,'Feature Register'!$I$2:$I$263,C$16)</f>
        <v/>
      </c>
      <c r="D22" s="32">
        <f>COUNTIFS('Feature Register'!$B$2:$B$263,$A22,'Feature Register'!$I$2:$I$263,D$16)</f>
        <v/>
      </c>
      <c r="E22" s="32">
        <f>COUNTIFS('Feature Register'!$B$2:$B$263,$A22,'Feature Register'!$I$2:$I$263,E$16)</f>
        <v/>
      </c>
      <c r="F22" s="32">
        <f>SUM(B22:E22)</f>
        <v/>
      </c>
      <c r="G22" s="37">
        <f>IF(F22=0,0,B22/F22)</f>
        <v/>
      </c>
    </row>
    <row r="23" ht="15" customHeight="1" s="24">
      <c r="A23" s="31" t="inlineStr">
        <is>
          <t>KPIs</t>
        </is>
      </c>
      <c r="B23" s="32">
        <f>COUNTIFS('Feature Register'!$B$2:$B$263,$A23,'Feature Register'!$I$2:$I$263,B$16)</f>
        <v/>
      </c>
      <c r="C23" s="32">
        <f>COUNTIFS('Feature Register'!$B$2:$B$263,$A23,'Feature Register'!$I$2:$I$263,C$16)</f>
        <v/>
      </c>
      <c r="D23" s="32">
        <f>COUNTIFS('Feature Register'!$B$2:$B$263,$A23,'Feature Register'!$I$2:$I$263,D$16)</f>
        <v/>
      </c>
      <c r="E23" s="32">
        <f>COUNTIFS('Feature Register'!$B$2:$B$263,$A23,'Feature Register'!$I$2:$I$263,E$16)</f>
        <v/>
      </c>
      <c r="F23" s="32">
        <f>SUM(B23:E23)</f>
        <v/>
      </c>
      <c r="G23" s="37">
        <f>IF(F23=0,0,B23/F23)</f>
        <v/>
      </c>
    </row>
    <row r="24" ht="15" customHeight="1" s="24">
      <c r="A24" s="31" t="inlineStr">
        <is>
          <t>Added features (to 6 Oct)</t>
        </is>
      </c>
      <c r="B24" s="32">
        <f>COUNTIFS('Feature Register'!$B$2:$B$263,$A24,'Feature Register'!$I$2:$I$263,B$16)</f>
        <v/>
      </c>
      <c r="C24" s="32">
        <f>COUNTIFS('Feature Register'!$B$2:$B$263,$A24,'Feature Register'!$I$2:$I$263,C$16)</f>
        <v/>
      </c>
      <c r="D24" s="32">
        <f>COUNTIFS('Feature Register'!$B$2:$B$263,$A24,'Feature Register'!$I$2:$I$263,D$16)</f>
        <v/>
      </c>
      <c r="E24" s="32">
        <f>COUNTIFS('Feature Register'!$B$2:$B$263,$A24,'Feature Register'!$I$2:$I$263,E$16)</f>
        <v/>
      </c>
      <c r="F24" s="32">
        <f>SUM(B24:E24)</f>
        <v/>
      </c>
      <c r="G24" s="37">
        <f>IF(F24=0,0,B24/F24)</f>
        <v/>
      </c>
    </row>
    <row r="25" ht="15" customHeight="1" s="24">
      <c r="A25" s="31" t="inlineStr">
        <is>
          <t>Delivered or started since 6 Oct</t>
        </is>
      </c>
      <c r="B25" s="32">
        <f>COUNTIFS('Feature Register'!$B$2:$B$263,$A25,'Feature Register'!$I$2:$I$263,B$16)</f>
        <v/>
      </c>
      <c r="C25" s="32">
        <f>COUNTIFS('Feature Register'!$B$2:$B$263,$A25,'Feature Register'!$I$2:$I$263,C$16)</f>
        <v/>
      </c>
      <c r="D25" s="32">
        <f>COUNTIFS('Feature Register'!$B$2:$B$263,$A25,'Feature Register'!$I$2:$I$263,D$16)</f>
        <v/>
      </c>
      <c r="E25" s="32">
        <f>COUNTIFS('Feature Register'!$B$2:$B$263,$A25,'Feature Register'!$I$2:$I$263,E$16)</f>
        <v/>
      </c>
      <c r="F25" s="32">
        <f>SUM(B25:E25)</f>
        <v/>
      </c>
      <c r="G25" s="37">
        <f>IF(F25=0,0,B25/F25)</f>
        <v/>
      </c>
    </row>
    <row r="26" ht="15" customHeight="1" s="24">
      <c r="A26" s="31" t="inlineStr">
        <is>
          <t>Delivered or started since 8 Oct</t>
        </is>
      </c>
      <c r="B26" s="32">
        <f>COUNTIFS('Feature Register'!$B$2:$B$263,$A26,'Feature Register'!$I$2:$I$263,B$16)</f>
        <v/>
      </c>
      <c r="C26" s="32">
        <f>COUNTIFS('Feature Register'!$B$2:$B$263,$A26,'Feature Register'!$I$2:$I$263,C$16)</f>
        <v/>
      </c>
      <c r="D26" s="32">
        <f>COUNTIFS('Feature Register'!$B$2:$B$263,$A26,'Feature Register'!$I$2:$I$263,D$16)</f>
        <v/>
      </c>
      <c r="E26" s="32">
        <f>COUNTIFS('Feature Register'!$B$2:$B$263,$A26,'Feature Register'!$I$2:$I$263,E$16)</f>
        <v/>
      </c>
      <c r="F26" s="32">
        <f>SUM(B26:E26)</f>
        <v/>
      </c>
      <c r="G26" s="37">
        <f>IF(F26=0,0,B26/F26)</f>
        <v/>
      </c>
    </row>
    <row r="27" ht="15" customHeight="1" s="24">
      <c r="A27" s="31" t="inlineStr">
        <is>
          <t>Delivered or started since 9 Oct</t>
        </is>
      </c>
      <c r="B27" s="32">
        <f>COUNTIFS('Feature Register'!$B$2:$B$263,$A27,'Feature Register'!$I$2:$I$263,B$16)</f>
        <v/>
      </c>
      <c r="C27" s="32">
        <f>COUNTIFS('Feature Register'!$B$2:$B$263,$A27,'Feature Register'!$I$2:$I$263,C$16)</f>
        <v/>
      </c>
      <c r="D27" s="32">
        <f>COUNTIFS('Feature Register'!$B$2:$B$263,$A27,'Feature Register'!$I$2:$I$263,D$16)</f>
        <v/>
      </c>
      <c r="E27" s="32">
        <f>COUNTIFS('Feature Register'!$B$2:$B$263,$A27,'Feature Register'!$I$2:$I$263,E$16)</f>
        <v/>
      </c>
      <c r="F27" s="32">
        <f>SUM(B27:E27)</f>
        <v/>
      </c>
      <c r="G27" s="37">
        <f>IF(F27=0,0,B27/F27)</f>
        <v/>
      </c>
    </row>
    <row r="28" ht="15" customHeight="1" s="24">
      <c r="A28" s="31" t="inlineStr">
        <is>
          <t>Delivered or started since 10 Oct</t>
        </is>
      </c>
      <c r="B28" s="32">
        <f>COUNTIFS('Feature Register'!$B$2:$B$263,$A28,'Feature Register'!$I$2:$I$263,B$16)</f>
        <v/>
      </c>
      <c r="C28" s="32">
        <f>COUNTIFS('Feature Register'!$B$2:$B$263,$A28,'Feature Register'!$I$2:$I$263,C$16)</f>
        <v/>
      </c>
      <c r="D28" s="32">
        <f>COUNTIFS('Feature Register'!$B$2:$B$263,$A28,'Feature Register'!$I$2:$I$263,D$16)</f>
        <v/>
      </c>
      <c r="E28" s="32">
        <f>COUNTIFS('Feature Register'!$B$2:$B$263,$A28,'Feature Register'!$I$2:$I$263,E$16)</f>
        <v/>
      </c>
      <c r="F28" s="32">
        <f>SUM(B28:E28)</f>
        <v/>
      </c>
      <c r="G28" s="37">
        <f>IF(F28=0,0,B28/F28)</f>
        <v/>
      </c>
    </row>
    <row r="29" ht="15" customHeight="1" s="24">
      <c r="A29" s="31" t="inlineStr">
        <is>
          <t>Product Master Data Platform</t>
        </is>
      </c>
      <c r="B29" s="32">
        <f>COUNTIFS('Feature Register'!$B$2:$B$263,$A29,'Feature Register'!$I$2:$I$263,B$16)</f>
        <v/>
      </c>
      <c r="C29" s="32">
        <f>COUNTIFS('Feature Register'!$B$2:$B$263,$A29,'Feature Register'!$I$2:$I$263,C$16)</f>
        <v/>
      </c>
      <c r="D29" s="32">
        <f>COUNTIFS('Feature Register'!$B$2:$B$263,$A29,'Feature Register'!$I$2:$I$263,D$16)</f>
        <v/>
      </c>
      <c r="E29" s="32">
        <f>COUNTIFS('Feature Register'!$B$2:$B$263,$A29,'Feature Register'!$I$2:$I$263,E$16)</f>
        <v/>
      </c>
      <c r="F29" s="32">
        <f>SUM(B29:E29)</f>
        <v/>
      </c>
      <c r="G29" s="37">
        <f>IF(F29=0,0,B29/F29)</f>
        <v/>
      </c>
    </row>
    <row r="30" ht="15" customHeight="1" s="24">
      <c r="A30" s="31" t="inlineStr">
        <is>
          <t>Platform &amp; DevOps</t>
        </is>
      </c>
      <c r="B30" s="32">
        <f>COUNTIFS('Feature Register'!$B$2:$B$263,$A30,'Feature Register'!$I$2:$I$263,B$16)</f>
        <v/>
      </c>
      <c r="C30" s="32">
        <f>COUNTIFS('Feature Register'!$B$2:$B$263,$A30,'Feature Register'!$I$2:$I$263,C$16)</f>
        <v/>
      </c>
      <c r="D30" s="32">
        <f>COUNTIFS('Feature Register'!$B$2:$B$263,$A30,'Feature Register'!$I$2:$I$263,D$16)</f>
        <v/>
      </c>
      <c r="E30" s="32">
        <f>COUNTIFS('Feature Register'!$B$2:$B$263,$A30,'Feature Register'!$I$2:$I$263,E$16)</f>
        <v/>
      </c>
      <c r="F30" s="32">
        <f>SUM(B30:E30)</f>
        <v/>
      </c>
      <c r="G30" s="37">
        <f>IF(F30=0,0,B30/F30)</f>
        <v/>
      </c>
    </row>
    <row r="31" ht="15" customHeight="1" s="24">
      <c r="A31" s="31" t="inlineStr">
        <is>
          <t>QA &amp; Testing</t>
        </is>
      </c>
      <c r="B31" s="32">
        <f>COUNTIFS('Feature Register'!$B$2:$B$263,$A31,'Feature Register'!$I$2:$I$263,B$16)</f>
        <v/>
      </c>
      <c r="C31" s="32">
        <f>COUNTIFS('Feature Register'!$B$2:$B$263,$A31,'Feature Register'!$I$2:$I$263,C$16)</f>
        <v/>
      </c>
      <c r="D31" s="32">
        <f>COUNTIFS('Feature Register'!$B$2:$B$263,$A31,'Feature Register'!$I$2:$I$263,D$16)</f>
        <v/>
      </c>
      <c r="E31" s="32">
        <f>COUNTIFS('Feature Register'!$B$2:$B$263,$A31,'Feature Register'!$I$2:$I$263,E$16)</f>
        <v/>
      </c>
      <c r="F31" s="32">
        <f>SUM(B31:E31)</f>
        <v/>
      </c>
      <c r="G31" s="37">
        <f>IF(F31=0,0,B31/F31)</f>
        <v/>
      </c>
    </row>
    <row r="32" ht="15" customHeight="1" s="24">
      <c r="A32" s="31" t="inlineStr">
        <is>
          <t>Known gaps (not started)</t>
        </is>
      </c>
      <c r="B32" s="32">
        <f>COUNTIFS('Feature Register'!$B$2:$B$263,$A32,'Feature Register'!$I$2:$I$263,B$16)</f>
        <v/>
      </c>
      <c r="C32" s="32">
        <f>COUNTIFS('Feature Register'!$B$2:$B$263,$A32,'Feature Register'!$I$2:$I$263,C$16)</f>
        <v/>
      </c>
      <c r="D32" s="32">
        <f>COUNTIFS('Feature Register'!$B$2:$B$263,$A32,'Feature Register'!$I$2:$I$263,D$16)</f>
        <v/>
      </c>
      <c r="E32" s="32">
        <f>COUNTIFS('Feature Register'!$B$2:$B$263,$A32,'Feature Register'!$I$2:$I$263,E$16)</f>
        <v/>
      </c>
      <c r="F32" s="32">
        <f>SUM(B32:E32)</f>
        <v/>
      </c>
      <c r="G32" s="37">
        <f>IF(F32=0,0,B32/F32)</f>
        <v/>
      </c>
    </row>
    <row r="33" ht="15" customHeight="1" s="24">
      <c r="A33" s="31" t="inlineStr">
        <is>
          <t>Total</t>
        </is>
      </c>
      <c r="B33" s="35">
        <f>SUM(B17:B32)</f>
        <v/>
      </c>
      <c r="C33" s="35">
        <f>SUM(C17:C32)</f>
        <v/>
      </c>
      <c r="D33" s="35">
        <f>SUM(D17:D32)</f>
        <v/>
      </c>
      <c r="E33" s="35">
        <f>SUM(E17:E32)</f>
        <v/>
      </c>
      <c r="F33" s="35">
        <f>SUM(F17:F32)</f>
        <v/>
      </c>
      <c r="G33" s="38">
        <f>IF(F33=0,0,B33/F33)</f>
        <v/>
      </c>
    </row>
    <row r="34" ht="15" customHeight="1" s="24"/>
    <row r="35" ht="15" customHeight="1" s="24">
      <c r="A35" s="27" t="inlineStr">
        <is>
          <t>3. Where features run</t>
        </is>
      </c>
    </row>
    <row r="36" ht="15" customHeight="1" s="24">
      <c r="A36" s="28" t="inlineStr">
        <is>
          <t>Where it runs</t>
        </is>
      </c>
      <c r="B36" s="28" t="inlineStr">
        <is>
          <t>Features</t>
        </is>
      </c>
    </row>
    <row r="37" ht="15" customHeight="1" s="24">
      <c r="A37" s="31" t="inlineStr">
        <is>
          <t>Production (gokesari.com)</t>
        </is>
      </c>
      <c r="B37" s="32">
        <f>COUNTIF('Feature Register'!$J$2:$J$263,A37)</f>
        <v/>
      </c>
    </row>
    <row r="38" ht="15" customHeight="1" s="24">
      <c r="A38" s="31" t="inlineStr">
        <is>
          <t>Production - built, switched off by default</t>
        </is>
      </c>
      <c r="B38" s="32">
        <f>COUNTIF('Feature Register'!$J$2:$J$263,A38)</f>
        <v/>
      </c>
    </row>
    <row r="39" ht="15" customHeight="1" s="24">
      <c r="A39" s="31" t="inlineStr">
        <is>
          <t>Production - partly live</t>
        </is>
      </c>
      <c r="B39" s="32">
        <f>COUNTIF('Feature Register'!$J$2:$J$263,A39)</f>
        <v/>
      </c>
    </row>
    <row r="40" ht="15" customHeight="1" s="24">
      <c r="A40" s="31" t="inlineStr">
        <is>
          <t>Test site only (test.gokesari.com)</t>
        </is>
      </c>
      <c r="B40" s="32">
        <f>COUNTIF('Feature Register'!$J$2:$J$263,A40)</f>
        <v/>
      </c>
    </row>
    <row r="41" ht="15" customHeight="1" s="24">
      <c r="A41" s="31" t="inlineStr">
        <is>
          <t>Test site only - production release reverted (#87)</t>
        </is>
      </c>
      <c r="B41" s="32">
        <f>COUNTIF('Feature Register'!$J$2:$J$263,A41)</f>
        <v/>
      </c>
    </row>
    <row r="42" ht="15" customHeight="1" s="24">
      <c r="A42" s="31" t="inlineStr">
        <is>
          <t>Open PR - not merged</t>
        </is>
      </c>
      <c r="B42" s="32">
        <f>COUNTIF('Feature Register'!$J$2:$J$263,A42)</f>
        <v/>
      </c>
    </row>
    <row r="43" ht="15" customHeight="1" s="24">
      <c r="A43" s="31" t="inlineStr">
        <is>
          <t>Mobile app - Android test builds only (not in stores)</t>
        </is>
      </c>
      <c r="B43" s="32">
        <f>COUNTIF('Feature Register'!$J$2:$J$263,A43)</f>
        <v/>
      </c>
    </row>
    <row r="44" ht="15" customHeight="1" s="24">
      <c r="A44" s="31" t="inlineStr">
        <is>
          <t>GitHub Actions (runs from main)</t>
        </is>
      </c>
      <c r="B44" s="32">
        <f>COUNTIF('Feature Register'!$J$2:$J$263,A44)</f>
        <v/>
      </c>
    </row>
    <row r="45" ht="15" customHeight="1" s="24">
      <c r="A45" s="31" t="inlineStr">
        <is>
          <t>GitHub Actions (runs from staging)</t>
        </is>
      </c>
      <c r="B45" s="32">
        <f>COUNTIF('Feature Register'!$J$2:$J$263,A45)</f>
        <v/>
      </c>
    </row>
    <row r="46" ht="15" customHeight="1" s="24">
      <c r="A46" s="31" t="inlineStr">
        <is>
          <t>On staging only - not yet runnable</t>
        </is>
      </c>
      <c r="B46" s="32">
        <f>COUNTIF('Feature Register'!$J$2:$J$263,A46)</f>
        <v/>
      </c>
    </row>
    <row r="47" ht="15" customHeight="1" s="24">
      <c r="A47" s="31" t="inlineStr">
        <is>
          <t>Not started</t>
        </is>
      </c>
      <c r="B47" s="32">
        <f>COUNTIF('Feature Register'!$J$2:$J$263,A47)</f>
        <v/>
      </c>
    </row>
    <row r="48" ht="15" customHeight="1" s="24">
      <c r="A48" s="31" t="inlineStr">
        <is>
          <t>Total</t>
        </is>
      </c>
      <c r="B48" s="35">
        <f>SUM(B37:B47)</f>
        <v/>
      </c>
    </row>
    <row r="49" ht="15" customHeight="1" s="24"/>
    <row r="50" ht="15" customHeight="1" s="24">
      <c r="A50" s="27" t="inlineStr">
        <is>
          <t>4. Process flow steps by status</t>
        </is>
      </c>
    </row>
    <row r="51" ht="15" customHeight="1" s="24">
      <c r="A51" s="28" t="inlineStr">
        <is>
          <t>Status</t>
        </is>
      </c>
      <c r="B51" s="28" t="inlineStr">
        <is>
          <t>Steps (level 3)</t>
        </is>
      </c>
      <c r="C51" s="28" t="inlineStr">
        <is>
          <t>Stages (level 2)</t>
        </is>
      </c>
      <c r="D51" s="28" t="inlineStr">
        <is>
          <t>Flows (level 1)</t>
        </is>
      </c>
    </row>
    <row r="52" ht="15" customHeight="1" s="24">
      <c r="A52" s="31" t="inlineStr">
        <is>
          <t>COMPLETED</t>
        </is>
      </c>
      <c r="B52" s="32">
        <f>COUNTIFS('Process Flow Tree'!$B$5:$B$215,3,'Process Flow Tree'!$G$5:$G$215,$A52)</f>
        <v/>
      </c>
      <c r="C52" s="32">
        <f>COUNTIFS('Process Flow Tree'!$B$5:$B$215,2,'Process Flow Tree'!$G$5:$G$215,$A52)</f>
        <v/>
      </c>
      <c r="D52" s="32">
        <f>COUNTIFS('Process Flow Tree'!$B$5:$B$215,1,'Process Flow Tree'!$G$5:$G$215,$A52)</f>
        <v/>
      </c>
    </row>
    <row r="53" ht="15" customHeight="1" s="24">
      <c r="A53" s="31" t="inlineStr">
        <is>
          <t>IN PROGRESS</t>
        </is>
      </c>
      <c r="B53" s="32">
        <f>COUNTIFS('Process Flow Tree'!$B$5:$B$215,3,'Process Flow Tree'!$G$5:$G$215,$A53)</f>
        <v/>
      </c>
      <c r="C53" s="32">
        <f>COUNTIFS('Process Flow Tree'!$B$5:$B$215,2,'Process Flow Tree'!$G$5:$G$215,$A53)</f>
        <v/>
      </c>
      <c r="D53" s="32">
        <f>COUNTIFS('Process Flow Tree'!$B$5:$B$215,1,'Process Flow Tree'!$G$5:$G$215,$A53)</f>
        <v/>
      </c>
    </row>
    <row r="54" ht="15" customHeight="1" s="24">
      <c r="A54" s="31" t="inlineStr">
        <is>
          <t>YET TO START</t>
        </is>
      </c>
      <c r="B54" s="32">
        <f>COUNTIFS('Process Flow Tree'!$B$5:$B$215,3,'Process Flow Tree'!$G$5:$G$215,$A54)</f>
        <v/>
      </c>
      <c r="C54" s="32">
        <f>COUNTIFS('Process Flow Tree'!$B$5:$B$215,2,'Process Flow Tree'!$G$5:$G$215,$A54)</f>
        <v/>
      </c>
      <c r="D54" s="32">
        <f>COUNTIFS('Process Flow Tree'!$B$5:$B$215,1,'Process Flow Tree'!$G$5:$G$215,$A54)</f>
        <v/>
      </c>
    </row>
    <row r="55" ht="15" customHeight="1" s="24">
      <c r="A55" s="31" t="inlineStr">
        <is>
          <t>BLOCKED</t>
        </is>
      </c>
      <c r="B55" s="32">
        <f>COUNTIFS('Process Flow Tree'!$B$5:$B$215,3,'Process Flow Tree'!$G$5:$G$215,$A55)</f>
        <v/>
      </c>
      <c r="C55" s="32">
        <f>COUNTIFS('Process Flow Tree'!$B$5:$B$215,2,'Process Flow Tree'!$G$5:$G$215,$A55)</f>
        <v/>
      </c>
      <c r="D55" s="32">
        <f>COUNTIFS('Process Flow Tree'!$B$5:$B$215,1,'Process Flow Tree'!$G$5:$G$215,$A55)</f>
        <v/>
      </c>
    </row>
    <row r="56" ht="15" customHeight="1" s="24">
      <c r="A56" s="31" t="inlineStr">
        <is>
          <t>Total</t>
        </is>
      </c>
      <c r="B56" s="35">
        <f>SUM(B52:B55)</f>
        <v/>
      </c>
      <c r="C56" s="35">
        <f>SUM(C52:C55)</f>
        <v/>
      </c>
      <c r="D56" s="35">
        <f>SUM(D52:D55)</f>
        <v/>
      </c>
    </row>
    <row r="57" ht="15" customHeight="1" s="24"/>
    <row r="58" ht="15" customHeight="1" s="24">
      <c r="A58" s="27" t="inlineStr">
        <is>
          <t>5. Pull requests</t>
        </is>
      </c>
    </row>
    <row r="59" ht="15" customHeight="1" s="24">
      <c r="A59" s="28" t="inlineStr">
        <is>
          <t>PR state</t>
        </is>
      </c>
      <c r="B59" s="28" t="inlineStr">
        <is>
          <t>PRs</t>
        </is>
      </c>
    </row>
    <row r="60" ht="15" customHeight="1" s="24">
      <c r="A60" s="31" t="inlineStr">
        <is>
          <t>Merged</t>
        </is>
      </c>
      <c r="B60" s="32">
        <f>COUNTIF('PR Register'!$F$2:$F$164,A60)</f>
        <v/>
      </c>
    </row>
    <row r="61" ht="15" customHeight="1" s="24">
      <c r="A61" s="31" t="inlineStr">
        <is>
          <t>Open</t>
        </is>
      </c>
      <c r="B61" s="32">
        <f>COUNTIF('PR Register'!$F$2:$F$164,A61)</f>
        <v/>
      </c>
    </row>
    <row r="62" ht="15" customHeight="1" s="24">
      <c r="A62" s="31" t="inlineStr">
        <is>
          <t>Open (draft)</t>
        </is>
      </c>
      <c r="B62" s="32">
        <f>COUNTIF('PR Register'!$F$2:$F$164,A62)</f>
        <v/>
      </c>
    </row>
    <row r="63" ht="15" customHeight="1" s="24">
      <c r="A63" s="31" t="inlineStr">
        <is>
          <t>Closed - not merged</t>
        </is>
      </c>
      <c r="B63" s="32">
        <f>COUNTIF('PR Register'!$F$2:$F$164,A63)</f>
        <v/>
      </c>
    </row>
    <row r="64" ht="15" customHeight="1" s="24">
      <c r="A64" s="31" t="inlineStr">
        <is>
          <t>Total</t>
        </is>
      </c>
      <c r="B64" s="35">
        <f>SUM(B60:B63)</f>
        <v/>
      </c>
    </row>
    <row r="65" ht="15" customHeight="1" s="24">
      <c r="A65" s="28" t="inlineStr">
        <is>
          <t>PR type</t>
        </is>
      </c>
      <c r="B65" s="28" t="inlineStr">
        <is>
          <t>PRs</t>
        </is>
      </c>
    </row>
    <row r="66" ht="15" customHeight="1" s="24">
      <c r="A66" s="31" t="inlineStr">
        <is>
          <t>Branding</t>
        </is>
      </c>
      <c r="B66" s="32">
        <f>COUNTIF('PR Register'!$C$2:$C$164,A66)</f>
        <v/>
      </c>
    </row>
    <row r="67" ht="15" customHeight="1" s="24">
      <c r="A67" s="31" t="inlineStr">
        <is>
          <t>DevOps / repo</t>
        </is>
      </c>
      <c r="B67" s="32">
        <f>COUNTIF('PR Register'!$C$2:$C$164,A67)</f>
        <v/>
      </c>
    </row>
    <row r="68" ht="15" customHeight="1" s="24">
      <c r="A68" s="31" t="inlineStr">
        <is>
          <t>Docs / reports</t>
        </is>
      </c>
      <c r="B68" s="32">
        <f>COUNTIF('PR Register'!$C$2:$C$164,A68)</f>
        <v/>
      </c>
    </row>
    <row r="69" ht="15" customHeight="1" s="24">
      <c r="A69" s="31" t="inlineStr">
        <is>
          <t>Feature</t>
        </is>
      </c>
      <c r="B69" s="32">
        <f>COUNTIF('PR Register'!$C$2:$C$164,A69)</f>
        <v/>
      </c>
    </row>
    <row r="70" ht="15" customHeight="1" s="24">
      <c r="A70" s="31" t="inlineStr">
        <is>
          <t>Fix / hotfix</t>
        </is>
      </c>
      <c r="B70" s="32">
        <f>COUNTIF('PR Register'!$C$2:$C$164,A70)</f>
        <v/>
      </c>
    </row>
    <row r="71" ht="15" customHeight="1" s="24">
      <c r="A71" s="31" t="inlineStr">
        <is>
          <t>Improvement</t>
        </is>
      </c>
      <c r="B71" s="32">
        <f>COUNTIF('PR Register'!$C$2:$C$164,A71)</f>
        <v/>
      </c>
    </row>
    <row r="72" ht="15" customHeight="1" s="24">
      <c r="A72" s="31" t="inlineStr">
        <is>
          <t>Platform port</t>
        </is>
      </c>
      <c r="B72" s="32">
        <f>COUNTIF('PR Register'!$C$2:$C$164,A72)</f>
        <v/>
      </c>
    </row>
    <row r="73" ht="15" customHeight="1" s="24">
      <c r="A73" s="31" t="inlineStr">
        <is>
          <t>QA / tests</t>
        </is>
      </c>
      <c r="B73" s="32">
        <f>COUNTIF('PR Register'!$C$2:$C$164,A73)</f>
        <v/>
      </c>
    </row>
    <row r="74" ht="15" customHeight="1" s="24">
      <c r="A74" s="31" t="inlineStr">
        <is>
          <t>Release (staging -&gt; main)</t>
        </is>
      </c>
      <c r="B74" s="32">
        <f>COUNTIF('PR Register'!$C$2:$C$164,A74)</f>
        <v/>
      </c>
    </row>
    <row r="75" ht="15" customHeight="1" s="24">
      <c r="A75" s="31" t="inlineStr">
        <is>
          <t>Release + direct commits (Phases A-J)</t>
        </is>
      </c>
      <c r="B75" s="32">
        <f>COUNTIF('PR Register'!$C$2:$C$164,A75)</f>
        <v/>
      </c>
    </row>
    <row r="76" ht="15" customHeight="1" s="24">
      <c r="A76" s="31" t="inlineStr">
        <is>
          <t>Revert</t>
        </is>
      </c>
      <c r="B76" s="32">
        <f>COUNTIF('PR Register'!$C$2:$C$164,A76)</f>
        <v/>
      </c>
    </row>
    <row r="77" ht="15" customHeight="1" s="24">
      <c r="A77" s="31" t="inlineStr">
        <is>
          <t>Security / dependencies</t>
        </is>
      </c>
      <c r="B77" s="32">
        <f>COUNTIF('PR Register'!$C$2:$C$164,A77)</f>
        <v/>
      </c>
    </row>
    <row r="78" ht="15" customHeight="1" s="24">
      <c r="A78" s="31" t="inlineStr">
        <is>
          <t>Test data / settings</t>
        </is>
      </c>
      <c r="B78" s="32">
        <f>COUNTIF('PR Register'!$C$2:$C$164,A78)</f>
        <v/>
      </c>
    </row>
    <row r="79" ht="15" customHeight="1" s="24">
      <c r="A79" s="31" t="inlineStr">
        <is>
          <t>Total</t>
        </is>
      </c>
      <c r="B79" s="35">
        <f>SUM(B66:B78)</f>
        <v/>
      </c>
    </row>
    <row r="80" ht="36" customHeight="1" s="24"/>
    <row r="81" ht="42" customHeight="1" s="24">
      <c r="A81" s="27" t="inlineStr">
        <is>
          <t>6. Headlines (14 Oct 2026)</t>
        </is>
      </c>
    </row>
    <row r="82" ht="36" customHeight="1" s="24">
      <c r="A82" s="39" t="inlineStr">
        <is>
          <t>1. Eleven releases to gokesari.com since the 10 Oct report (#135 to #163). Production and the test site run the same code; production migrations are now at 0075 (0074 on 10 Oct, 0075 on 13 Oct). CI is running again and green on every release.</t>
        </is>
      </c>
    </row>
    <row r="83" ht="39" customHeight="1" s="24">
      <c r="A83" s="39" t="inlineStr">
        <is>
          <t>2. New and live: Nearby shops from the phone's location (NEW-057); admin switch for referral codes, both OPTIONAL on production (NEW-058); Seller Central and the /sell page (NEW-060); FSSAI required before a food shop goes live (NEW-063); compact footer and saffron wordmark (NEW-064); referral-code counts fixed (NEW-065).</t>
        </is>
      </c>
    </row>
    <row r="84" ht="36" customHeight="1" s="24">
      <c r="A84" s="39" t="inlineStr">
        <is>
          <t>3. Partly working: document upload with auto-read (NEW-062) is live, but the reader does not start on Hostinger, so owners type the details. Fix the reader or decide whether KYC documents may be read by Claude.</t>
        </is>
      </c>
    </row>
    <row r="85" ht="36" customHeight="1" s="24">
      <c r="A85" s="39" t="inlineStr">
        <is>
          <t>4. Production data: 5 real shops were copied from the test site to gokesari.com on 12-13 Oct (Agtci, Asmy Exports, Chikan Shop, EcoMed Solutions, Samarth tea center). Nearby from Kharadi now finds 5 shops within 10 km (0 before).</t>
        </is>
      </c>
    </row>
    <row r="86" ht="51" customHeight="1" s="24">
      <c r="A86" s="39" t="inlineStr">
        <is>
          <t>5. Database split (PLT-015): the test split PASSED on 13 Oct (190 tables, 29,996 rows, every checksum equal). Production: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 site still reads one database.</t>
        </is>
      </c>
    </row>
    <row r="87" ht="36" customHeight="1" s="24">
      <c r="A87" s="39" t="inlineStr">
        <is>
          <t>6. Owner actions: reset the production database password posted in chat on 12 Oct (Blockers #33); delete the copy-shops SQL files (#39); make PROD_DATABASE_URL visible to Actions (#32); fix the Maps server key restriction (#31); Apple / Expo secrets for the iPhone build (#29).</t>
        </is>
      </c>
    </row>
    <row r="88" ht="36" customHeight="1" s="24">
      <c r="A88" s="39" t="inlineStr">
        <is>
          <t>7. Still blocked on decisions or vendors: per-order online payment, SMS/OTP vendor (D2), licensed price source (D7), operator 'Limited' scope, SM-006, CA check of GST/HSN, GS1 agreements, Cashfree live keys, real GSP, app store accounts. The 791-case QA plan (QA-003) is still not run.</t>
        </is>
      </c>
    </row>
  </sheetData>
  <mergeCells count="17">
    <mergeCell ref="A84:G84"/>
    <mergeCell ref="E10:G10"/>
    <mergeCell ref="A88:G88"/>
    <mergeCell ref="E13:G13"/>
    <mergeCell ref="E11:G11"/>
    <mergeCell ref="A3:G3"/>
    <mergeCell ref="A83:G83"/>
    <mergeCell ref="A87:G87"/>
    <mergeCell ref="A4:G4"/>
    <mergeCell ref="E8:G8"/>
    <mergeCell ref="E9:G9"/>
    <mergeCell ref="E12:G12"/>
    <mergeCell ref="A2:G2"/>
    <mergeCell ref="A82:G8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2:A55">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9" customWidth="1" style="24" min="1" max="1"/>
    <col width="32" customWidth="1" style="24" min="2" max="2"/>
    <col width="14" customWidth="1" style="24" min="3" max="3"/>
    <col width="12" customWidth="1" style="24" min="4" max="4"/>
    <col width="110" customWidth="1" style="24" min="5" max="5"/>
    <col width="30" customWidth="1" style="24" min="6" max="6"/>
  </cols>
  <sheetData>
    <row r="1">
      <c r="A1" s="47" t="inlineStr">
        <is>
          <t>Bulk product upload (Excel/CSV) with shop inventory update - sub-feature status</t>
        </is>
      </c>
    </row>
    <row r="2">
      <c r="A2" t="inlineStr">
        <is>
          <t>Statuses: Not started / In progress / Done on Test / Done on Prod / Blocked. Design: docs/product-import-2026-10/README.md. Tests: docs/testing/bulk-product-upload-test-report.md.</t>
        </is>
      </c>
    </row>
    <row r="4">
      <c r="A4" s="48" t="inlineStr">
        <is>
          <t>ID</t>
        </is>
      </c>
      <c r="B4" s="48" t="inlineStr">
        <is>
          <t>Sub-feature</t>
        </is>
      </c>
      <c r="C4" s="48" t="inlineStr">
        <is>
          <t>Status</t>
        </is>
      </c>
      <c r="D4" s="48" t="inlineStr">
        <is>
          <t>Date</t>
        </is>
      </c>
      <c r="E4" s="48" t="inlineStr">
        <is>
          <t>Notes</t>
        </is>
      </c>
      <c r="F4" s="48" t="inlineStr">
        <is>
          <t>Branch / PR</t>
        </is>
      </c>
    </row>
    <row r="5">
      <c r="A5" s="49" t="inlineStr">
        <is>
          <t>BPU-01</t>
        </is>
      </c>
      <c r="B5" s="49" t="inlineStr">
        <is>
          <t>Parser (Amazon template)</t>
        </is>
      </c>
      <c r="C5" s="50" t="inlineStr">
        <is>
          <t>In progress</t>
        </is>
      </c>
      <c r="D5" s="49" t="inlineStr">
        <is>
          <t>2026-10-15</t>
        </is>
      </c>
      <c r="E5" s="49"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t>
        </is>
      </c>
      <c r="F5" s="49" t="inlineStr">
        <is>
          <t>claude/amazing-ritchie-9vlq9f</t>
        </is>
      </c>
    </row>
    <row r="6">
      <c r="A6" s="49" t="inlineStr">
        <is>
          <t>BPU-02</t>
        </is>
      </c>
      <c r="B6" s="49" t="inlineStr">
        <is>
          <t>Parser (GoKesari template + CSV)</t>
        </is>
      </c>
      <c r="C6" s="50" t="inlineStr">
        <is>
          <t>In progress</t>
        </is>
      </c>
      <c r="D6" s="49" t="inlineStr">
        <is>
          <t>2026-10-15</t>
        </is>
      </c>
      <c r="E6" s="49" t="inlineStr">
        <is>
          <t>Simple template (Products + Instructions sheets, Barcode Type/Unit/Action dropdowns, EXAMPLE row never imported) and CSV (comma/semicolon/tab, BOM). Header aliases case-insensitive. Tested locally.</t>
        </is>
      </c>
      <c r="F6" s="49" t="inlineStr">
        <is>
          <t>claude/amazing-ritchie-9vlq9f</t>
        </is>
      </c>
    </row>
    <row r="7">
      <c r="A7" s="49" t="inlineStr">
        <is>
          <t>BPU-03</t>
        </is>
      </c>
      <c r="B7" s="49" t="inlineStr">
        <is>
          <t>Field mapping</t>
        </is>
      </c>
      <c r="C7" s="50" t="inlineStr">
        <is>
          <t>In progress</t>
        </is>
      </c>
      <c r="D7" s="49" t="inlineStr">
        <is>
          <t>2026-10-15</t>
        </is>
      </c>
      <c r="E7" s="49" t="inlineStr">
        <is>
          <t>All §2 fields mapped; Indian numbers, dd/mm/yyyy and Excel-serial dates, Y/N, units to cm/g. Unreadable values = warnings, raw kept. Decision: file MRP = listing MRP (shop_listing_details), never master.</t>
        </is>
      </c>
      <c r="F7" s="49" t="inlineStr">
        <is>
          <t>claude/amazing-ritchie-9vlq9f</t>
        </is>
      </c>
    </row>
    <row r="8">
      <c r="A8" s="49" t="inlineStr">
        <is>
          <t>BPU-04</t>
        </is>
      </c>
      <c r="B8" s="49" t="inlineStr">
        <is>
          <t>Matching &amp; master catalogue</t>
        </is>
      </c>
      <c r="C8" s="50" t="inlineStr">
        <is>
          <t>In progress</t>
        </is>
      </c>
      <c r="D8" s="49" t="inlineStr">
        <is>
          <t>2026-10-15</t>
        </is>
      </c>
      <c r="E8" s="49" t="inlineStr">
        <is>
          <t>SKU (or P-code) → barcode → name+brand(+size/color) → new Pending product. Pending products visible to the existing duplicate check. Decision: fallback category = General (system 'uncategorised').</t>
        </is>
      </c>
      <c r="F8" s="49" t="inlineStr">
        <is>
          <t>claude/amazing-ritchie-9vlq9f</t>
        </is>
      </c>
    </row>
    <row r="9">
      <c r="A9" s="49" t="inlineStr">
        <is>
          <t>BPU-05</t>
        </is>
      </c>
      <c r="B9" s="49" t="inlineStr">
        <is>
          <t>Inventory update + ledger</t>
        </is>
      </c>
      <c r="C9" s="50" t="inlineStr">
        <is>
          <t>In progress</t>
        </is>
      </c>
      <c r="D9" s="49" t="inlineStr">
        <is>
          <t>2026-10-15</t>
        </is>
      </c>
      <c r="E9" s="49" t="inlineStr">
        <is>
          <t>Set / Add modes, blank / negative / non-numeric quantity rules, duplicate-SKU merge, inventory_movements with source=bulk_upload + import_job_id + user, row lock + atomic add (tested with concurrent orders). Online stock.</t>
        </is>
      </c>
      <c r="F9" s="49" t="inlineStr">
        <is>
          <t>claude/amazing-ritchie-9vlq9f</t>
        </is>
      </c>
    </row>
    <row r="10">
      <c r="A10" s="49" t="inlineStr">
        <is>
          <t>BPU-06</t>
        </is>
      </c>
      <c r="B10" s="49" t="inlineStr">
        <is>
          <t>Image import</t>
        </is>
      </c>
      <c r="C10" s="50" t="inlineStr">
        <is>
          <t>In progress</t>
        </is>
      </c>
      <c r="D10" s="49" t="inlineStr">
        <is>
          <t>2026-10-15</t>
        </is>
      </c>
      <c r="E10" s="49" t="inlineStr">
        <is>
          <t>Async after commit; http/https only, SSRF guard at connect time, JPEG/PNG/WebP, 5 MB, 15 s, each URL once; existing photo pipeline + moderation; failures are row warnings.</t>
        </is>
      </c>
      <c r="F10" s="49" t="inlineStr">
        <is>
          <t>claude/amazing-ritchie-9vlq9f</t>
        </is>
      </c>
    </row>
    <row r="11">
      <c r="A11" s="49" t="inlineStr">
        <is>
          <t>BPU-07</t>
        </is>
      </c>
      <c r="B11" s="49" t="inlineStr">
        <is>
          <t>Web UI (shop owner)</t>
        </is>
      </c>
      <c r="C11" s="50" t="inlineStr">
        <is>
          <t>In progress</t>
        </is>
      </c>
      <c r="D11" s="49" t="inlineStr">
        <is>
          <t>2026-10-15</t>
        </is>
      </c>
      <c r="E11" s="49"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t>
        </is>
      </c>
      <c r="F11" s="49" t="inlineStr">
        <is>
          <t>claude/amazing-ritchie-9vlq9f</t>
        </is>
      </c>
    </row>
    <row r="12">
      <c r="A12" s="49" t="inlineStr">
        <is>
          <t>BPU-08</t>
        </is>
      </c>
      <c r="B12" s="49" t="inlineStr">
        <is>
          <t>Web UI (admin/operator)</t>
        </is>
      </c>
      <c r="C12" s="50" t="inlineStr">
        <is>
          <t>In progress</t>
        </is>
      </c>
      <c r="D12" s="49" t="inlineStr">
        <is>
          <t>2026-10-15</t>
        </is>
      </c>
      <c r="E12" s="49" t="inlineStr">
        <is>
          <t>/admin/product-import with shop picker; tiles under admin Product master and operator Catalogue. Checked locally as admin and operator. Operators' prices go to the owner for approval (existing rule).</t>
        </is>
      </c>
      <c r="F12" s="49" t="inlineStr">
        <is>
          <t>claude/amazing-ritchie-9vlq9f</t>
        </is>
      </c>
    </row>
    <row r="13">
      <c r="A13" s="49" t="inlineStr">
        <is>
          <t>BPU-09</t>
        </is>
      </c>
      <c r="B13" s="49" t="inlineStr">
        <is>
          <t>API</t>
        </is>
      </c>
      <c r="C13" s="50" t="inlineStr">
        <is>
          <t>In progress</t>
        </is>
      </c>
      <c r="D13" s="49" t="inlineStr">
        <is>
          <t>2026-10-15</t>
        </is>
      </c>
      <c r="E13" s="49" t="inlineStr">
        <is>
          <t>8 endpoints under /api/v1 (+ shop picker). Owner = own shops only; operator/admin any shop; audit-logged. Route tests pass.</t>
        </is>
      </c>
      <c r="F13" s="49" t="inlineStr">
        <is>
          <t>claude/amazing-ritchie-9vlq9f</t>
        </is>
      </c>
    </row>
    <row r="14">
      <c r="A14" s="49" t="inlineStr">
        <is>
          <t>BPU-10</t>
        </is>
      </c>
      <c r="B14" s="49" t="inlineStr">
        <is>
          <t>Android app</t>
        </is>
      </c>
      <c r="C14" s="50" t="inlineStr">
        <is>
          <t>In progress</t>
        </is>
      </c>
      <c r="D14" s="49" t="inlineStr">
        <is>
          <t>2026-10-15</t>
        </is>
      </c>
      <c r="E14" s="49" t="inlineStr">
        <is>
          <t>Version 1.1.0 / versionCode 2. The app shows the website: the upload uses Android's system document picker (Files, Drive, WhatsApp, e-mail attachments). APKs built by the PR's 'Android APK' workflow; Play Store AAB needs EAS (Expo account) - not run.</t>
        </is>
      </c>
      <c r="F14" s="49" t="inlineStr">
        <is>
          <t>claude/amazing-ritchie-9vlq9f</t>
        </is>
      </c>
    </row>
    <row r="15">
      <c r="A15" s="49" t="inlineStr">
        <is>
          <t>BPU-11</t>
        </is>
      </c>
      <c r="B15" s="49" t="inlineStr">
        <is>
          <t>iOS app</t>
        </is>
      </c>
      <c r="C15" s="51" t="inlineStr">
        <is>
          <t>Blocked</t>
        </is>
      </c>
      <c r="D15" s="49" t="inlineStr">
        <is>
          <t>2026-10-15</t>
        </is>
      </c>
      <c r="E15" s="49" t="inlineStr">
        <is>
          <t>Code is shared with Android (version 1.1.0 / buildNumber 2; iPhone Files picker). iPhone build/TestFlight runs on EAS and needs EXPO_TOKEN + Apple Developer account - not available to this session.</t>
        </is>
      </c>
      <c r="F15" s="49" t="inlineStr">
        <is>
          <t>claude/amazing-ritchie-9vlq9f</t>
        </is>
      </c>
    </row>
    <row r="16">
      <c r="A16" s="49" t="inlineStr">
        <is>
          <t>BPU-12</t>
        </is>
      </c>
      <c r="B16" s="49" t="inlineStr">
        <is>
          <t>Notifications</t>
        </is>
      </c>
      <c r="C16" s="50" t="inlineStr">
        <is>
          <t>In progress</t>
        </is>
      </c>
      <c r="D16" s="49" t="inlineStr">
        <is>
          <t>2026-10-15</t>
        </is>
      </c>
      <c r="E16" s="49" t="inlineStr">
        <is>
          <t>Event shop.product_import_finished (event layer, no cron) to owner and the operator/admin who ran it; in-app + PUSH queued. Push provider not chosen yet (existing gap).</t>
        </is>
      </c>
      <c r="F16" s="49" t="inlineStr">
        <is>
          <t>claude/amazing-ritchie-9vlq9f</t>
        </is>
      </c>
    </row>
    <row r="17">
      <c r="A17" s="49" t="inlineStr">
        <is>
          <t>BPU-13</t>
        </is>
      </c>
      <c r="B17" s="49" t="inlineStr">
        <is>
          <t>Import history &amp; reports</t>
        </is>
      </c>
      <c r="C17" s="50" t="inlineStr">
        <is>
          <t>In progress</t>
        </is>
      </c>
      <c r="D17" s="49" t="inlineStr">
        <is>
          <t>2026-10-15</t>
        </is>
      </c>
      <c r="E17" s="49" t="inlineStr">
        <is>
          <t>History list; result report XLSX/CSV (original rows + status + messages); file hash duplicate prompt; 90-day retention purge in the daily seller sweep.</t>
        </is>
      </c>
      <c r="F17" s="49" t="inlineStr">
        <is>
          <t>claude/amazing-ritchie-9vlq9f</t>
        </is>
      </c>
    </row>
    <row r="18">
      <c r="A18" s="49" t="inlineStr">
        <is>
          <t>BPU-14</t>
        </is>
      </c>
      <c r="B18" s="49" t="inlineStr">
        <is>
          <t>Automated tests</t>
        </is>
      </c>
      <c r="C18" s="50" t="inlineStr">
        <is>
          <t>In progress</t>
        </is>
      </c>
      <c r="D18" s="49" t="inlineStr">
        <is>
          <t>2026-10-15</t>
        </is>
      </c>
      <c r="E18" s="49" t="inlineStr">
        <is>
          <t>Unit 18 + integration 23 + load 1 (5,000 rows: parse ~2 s, import ~95 s locally) pass; full suite run for regressions (see test report).</t>
        </is>
      </c>
      <c r="F18" s="49" t="inlineStr">
        <is>
          <t>claude/amazing-ritchie-9vlq9f</t>
        </is>
      </c>
    </row>
    <row r="19">
      <c r="A19" s="49" t="inlineStr">
        <is>
          <t>BPU-15</t>
        </is>
      </c>
      <c r="B19" s="49" t="inlineStr">
        <is>
          <t>Test-server deployment</t>
        </is>
      </c>
      <c r="C19" s="51" t="inlineStr">
        <is>
          <t>Blocked</t>
        </is>
      </c>
      <c r="D19" s="49" t="inlineStr">
        <is>
          <t>2026-10-15</t>
        </is>
      </c>
      <c r="E19" s="49" t="inlineStr">
        <is>
          <t>Needs the PR merged into staging (owner approval); this session cannot deploy or reach test.gokesari.com. Migration 0076 is additive.</t>
        </is>
      </c>
      <c r="F19" s="49" t="inlineStr">
        <is>
          <t>claude/amazing-ritchie-9vlq9f</t>
        </is>
      </c>
    </row>
    <row r="20">
      <c r="A20" s="49" t="inlineStr">
        <is>
          <t>BPU-16</t>
        </is>
      </c>
      <c r="B20" s="49" t="inlineStr">
        <is>
          <t>Prod deployment</t>
        </is>
      </c>
      <c r="C20" s="51" t="inlineStr">
        <is>
          <t>Blocked</t>
        </is>
      </c>
      <c r="D20" s="49" t="inlineStr">
        <is>
          <t>2026-10-15</t>
        </is>
      </c>
      <c r="E20" s="49" t="inlineStr">
        <is>
          <t>After Test sign-off: staging → main (human approval gate). Smoke test plan in the test report.</t>
        </is>
      </c>
      <c r="F20" s="49" t="inlineStr">
        <is>
          <t>claude/amazing-ritchie-9vlq9f</t>
        </is>
      </c>
    </row>
    <row r="21">
      <c r="A21" s="49" t="inlineStr">
        <is>
          <t>BPU-17</t>
        </is>
      </c>
      <c r="B21" s="49" t="inlineStr">
        <is>
          <t>Testing report</t>
        </is>
      </c>
      <c r="C21" s="50" t="inlineStr">
        <is>
          <t>In progress</t>
        </is>
      </c>
      <c r="D21" s="49" t="inlineStr">
        <is>
          <t>2026-10-15</t>
        </is>
      </c>
      <c r="E21" s="49" t="inlineStr">
        <is>
          <t>docs/testing/bulk-product-upload-test-report.md (+ PDF): local results filled in; Test and Prod columns 'Not run' until deployed.</t>
        </is>
      </c>
      <c r="F21" s="49" t="inlineStr">
        <is>
          <t>claude/amazing-ritchie-9vlq9f</t>
        </is>
      </c>
    </row>
  </sheetData>
  <pageMargins left="0.75" right="0.75" top="1" bottom="1" header="0.5" footer="0.5"/>
</worksheet>
</file>

<file path=xl/worksheets/sheet3.xml><?xml version="1.0" encoding="utf-8"?>
<worksheet xmlns="http://schemas.openxmlformats.org/spreadsheetml/2006/main">
  <sheetPr filterMode="0">
    <tabColor rgb="FFC9450C"/>
    <outlinePr summaryBelow="1" summaryRight="1"/>
    <pageSetUpPr fitToPage="1"/>
  </sheetPr>
  <dimension ref="A1:R263"/>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(14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10 Oct</t>
        </is>
      </c>
      <c r="Q1" s="28" t="inlineStr">
        <is>
          <t>Change since 10 Oct (PRs #132-#163)</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#133 then #135 (prod, 10 Oct): Nearby shops uses the phone's real location, with a PIN / area box when location is refused or the prompt is ignored (#136) (NEW-057).</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63"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#133 then #135 (prod): referral code Mandatory/Optional is set by admin (OPTIONAL on production). #146 then #149 (prod, 13 Oct): a food shop cannot be approved without an unexpired FSSAI licence (NEW-063).</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#146-#148 then #149 (prod, 13 Oct): owners upload or photograph documents at /shop/documents; the reader pre-fills the details, then Verify &amp; Approve (NEW-062). Auto-read does not start on Hostinger yet - owners type the details.</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27"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No change</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63"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#133/#136 then #135 (prod): /shops/nearby lists shops nearest first within 1/3/5/10 km, list or map, open/closed and Directions (NEW-057). 5 real shops copied to production 13 Oct: Nearby from Kharadi finds 5 within 10 km (0 before).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87"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#133 then #135 (prod): Admin &gt; Referral settings (referral_required_customer / referral_required_shop, both OPTIONAL on production) replaces the 'required' switches of shopReferral and customerSignupReferral (NEW-058). #138 then #139 (prod): referral codes no longer show 0 shops (NEW-065).</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51"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#146 then #149 (prod): one wordmark component everywhere; #153 then #157 (prod): 'Go' and 'Kesari' both saffron, bold G and K, saffron tagline (NEW-064).</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No change</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#146 then #149 (prod): FSSAI is now required before a food shop is approved, by rule documentUpload.fssaiMandatoryForFood (on) - independent of legalDocuments (still off) (NEW-063).</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Superseded by Admin &gt; Referral settings (#133 then #135): the shop code is OPTIONAL on production (checked 14 Oct, /api/referral-settings).</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#153 then #157 (prod): 'iPhone app' workflow builds on EAS and uploads to TestFlight once the Apple and Expo secrets exist (PLT-017). Android APK run 38083818743 on main (10 Oct) succeeded.</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#142 then #143 (prod, 12 Oct): on screens 1024 px and wider the shop owner home is the Seller Central dashboard (NEW-060); phones keep the tile board.</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Superseded by Admin &gt; Referral settings (#133 then #135): the customer code is OPTIONAL on production (checked 14 Oct).</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#142 then #143 (prod): every /shop page sits in the Seller Central frame (sidebar, 'Find a tool', drawer on phones); links and permissions still come from SHOP_MENUS (NEW-060).</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Not tracked</t>
        </is>
      </c>
      <c r="Q206" s="34" t="inlineStr">
        <is>
          <t>New: tested on test.gokesari.com on Android, iPhone and desktop - all Nearby cases PASS, distances within 0.5 % of a geodesic; production read-only checks PASS (/shops/nearby 200).</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Not tracked</t>
        </is>
      </c>
      <c r="Q207" s="34" t="inlineStr">
        <is>
          <t>New: migration 0074 applied on gokesari.com by MIGRATE_ON_BUILD (10 Oct 20:27 UTC). Staging: 4 combinations x shop / customer x blank / invalid / valid - PASS; 19 new integration tests.</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Not tracked</t>
        </is>
      </c>
      <c r="Q208" s="34" t="inlineStr">
        <is>
          <t>New (#133 then #135).</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Not tracked</t>
        </is>
      </c>
      <c r="Q209" s="34" t="inlineStr">
        <is>
          <t>New: released 12 Oct 15:24 UTC (#143); gokesari.com/sell answers 200 (checked 14 Oct).</t>
        </is>
      </c>
      <c r="R209" s="34" t="inlineStr">
        <is>
          <t>docs/seller-central-2026-10/README.md; TEST_RESULTS.md</t>
        </is>
      </c>
    </row>
    <row r="210" ht="123"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IN PROGRESS</t>
        </is>
      </c>
      <c r="J210" s="34" t="inlineStr">
        <is>
          <t>Production - partly live</t>
        </is>
      </c>
      <c r="K210" s="34" t="inlineStr">
        <is>
          <t>Rule documentUpload.enabled = on; DOCUMENT_OCR_PROVIDER = tesseract; reading times out after 25 s and the owner types the details</t>
        </is>
      </c>
      <c r="L210" s="34" t="inlineStr">
        <is>
          <t>#146; #147 (25 s limit, 'type the details', health check); #148 (OCR engine shipped)</t>
        </is>
      </c>
      <c r="M210" s="34" t="inlineStr">
        <is>
          <t>#149</t>
        </is>
      </c>
      <c r="N210" s="34" t="inlineStr">
        <is>
          <t>The OCR worker does not start within 45 s on Hostinger, so auto-read does not work yet - owners type the details</t>
        </is>
      </c>
      <c r="O210" s="34" t="inlineStr">
        <is>
          <t>Fix the tesseract start on Hostinger, or owner decision to allow DOCUMENT_OCR_PROVIDER=claude for KYC documents (DPA / privacy) (Blockers #41)</t>
        </is>
      </c>
      <c r="P210" s="34" t="inlineStr">
        <is>
          <t>Not tracked</t>
        </is>
      </c>
      <c r="Q210" s="34" t="inlineStr">
        <is>
          <t>New: extract 21/21, uploads 16/16. Staging: first read 504 at 60 s; after #147/#148 upload 201 in 31 s (NOT_READ), typed details CONFIRMED. Migration 0075 applied on gokesari.com 13 Oct 06:42 UTC; routes answer 307/401 signed out.</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Not tracked</t>
        </is>
      </c>
      <c r="Q211" s="34" t="inlineStr">
        <is>
          <t>New: integration tests PASS; staging shows the FSSAI card only on the food shop and refuses an expired licence (422).</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Not tracked</t>
        </is>
      </c>
      <c r="Q212" s="34" t="inlineStr">
        <is>
          <t>New: branding / footer E2E 16/16 on staging and gokesari.com (13 Oct); width sweep 320-1366 px 18/18 on a local production build.</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Not tracked</t>
        </is>
      </c>
      <c r="Q213" s="34" t="inlineStr">
        <is>
          <t>New: regression tests added; on test E2ENEARBY1 counts 4 shops; production smoke checks PASS (11 Oct).</t>
        </is>
      </c>
      <c r="R213" s="34" t="inlineStr">
        <is>
          <t>src/server/services/referrals.ts; src/server/services/societies.ts</t>
        </is>
      </c>
    </row>
    <row r="214" ht="63" customHeight="1" s="24">
      <c r="A214" s="32" t="n">
        <v>213</v>
      </c>
      <c r="B214" s="34" t="inlineStr">
        <is>
          <t>Product Master Data Platform</t>
        </is>
      </c>
      <c r="C214" s="31" t="inlineStr">
        <is>
          <t>PMD-001</t>
        </is>
      </c>
      <c r="D214" s="34" t="inlineStr">
        <is>
          <t>Product Master</t>
        </is>
      </c>
      <c r="E214" s="34" t="inlineStr">
        <is>
          <t>Product Master Data Platform (pmd schema, pipeline, matching, review queue)</t>
        </is>
      </c>
      <c r="F214"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4" s="34" t="inlineStr">
        <is>
          <t>F9.1.1</t>
        </is>
      </c>
      <c r="H214" s="34" t="inlineStr">
        <is>
          <t>-</t>
        </is>
      </c>
      <c r="I214" s="32" t="inlineStr">
        <is>
          <t>COMPLETED</t>
        </is>
      </c>
      <c r="J214" s="34" t="inlineStr">
        <is>
          <t>Production (gokesari.com)</t>
        </is>
      </c>
      <c r="K214" s="34" t="inlineStr">
        <is>
          <t>Live (operators/admins)</t>
        </is>
      </c>
      <c r="L214" s="34" t="inlineStr">
        <is>
          <t>#1 (closed, superseded); #4; #49 (Excel import fix); #125 (rollback script hint)</t>
        </is>
      </c>
      <c r="M214" s="34" t="inlineStr">
        <is>
          <t>#8; #50; #131</t>
        </is>
      </c>
      <c r="N214" s="34" t="inlineStr">
        <is>
          <t>-</t>
        </is>
      </c>
      <c r="O214" s="34" t="inlineStr">
        <is>
          <t>-</t>
        </is>
      </c>
      <c r="P214" s="34" t="inlineStr">
        <is>
          <t>COMPLETED</t>
        </is>
      </c>
      <c r="Q214" s="34" t="inlineStr">
        <is>
          <t>No change</t>
        </is>
      </c>
      <c r="R214" s="34" t="inlineStr">
        <is>
          <t>src/server/pmd/**; drizzle/0015_product_master_platform.sql; docs/product-master/</t>
        </is>
      </c>
    </row>
    <row r="215" ht="63" customHeight="1" s="24">
      <c r="A215" s="32" t="n">
        <v>214</v>
      </c>
      <c r="B215" s="34" t="inlineStr">
        <is>
          <t>Product Master Data Platform</t>
        </is>
      </c>
      <c r="C215" s="31" t="inlineStr">
        <is>
          <t>PMD-002</t>
        </is>
      </c>
      <c r="D215" s="34" t="inlineStr">
        <is>
          <t>Product Master</t>
        </is>
      </c>
      <c r="E215" s="34" t="inlineStr">
        <is>
          <t>GS1 India and manufacturer-catalogue feeds</t>
        </is>
      </c>
      <c r="F215" s="34" t="inlineStr">
        <is>
          <t>Excel/CSV connectors with mapping templates, unit codes, GTIN zero-repair and GPC -&gt; category map; '--check' reports MRP/GST/HSN coverage on a real file before the source is enabled.</t>
        </is>
      </c>
      <c r="G215" s="34" t="inlineStr">
        <is>
          <t>F9.1.2</t>
        </is>
      </c>
      <c r="H215" s="34" t="inlineStr">
        <is>
          <t>-</t>
        </is>
      </c>
      <c r="I215" s="32" t="inlineStr">
        <is>
          <t>BLOCKED</t>
        </is>
      </c>
      <c r="J215" s="34" t="inlineStr">
        <is>
          <t>Production (gokesari.com)</t>
        </is>
      </c>
      <c r="K215" s="34" t="inlineStr">
        <is>
          <t>Sources disabled by design</t>
        </is>
      </c>
      <c r="L215" s="34" t="inlineStr">
        <is>
          <t>#2 (closed, superseded); #4</t>
        </is>
      </c>
      <c r="M215" s="34" t="inlineStr">
        <is>
          <t>#8</t>
        </is>
      </c>
      <c r="N215" s="34" t="inlineStr">
        <is>
          <t>Load real GS1 / brand data</t>
        </is>
      </c>
      <c r="O215" s="34" t="inlineStr">
        <is>
          <t>GS1 India agreement and brand permissions, plus a real sample file for each</t>
        </is>
      </c>
      <c r="P215" s="34" t="inlineStr">
        <is>
          <t>BLOCKED</t>
        </is>
      </c>
      <c r="Q215" s="34" t="inlineStr">
        <is>
          <t>No change</t>
        </is>
      </c>
      <c r="R215" s="34" t="inlineStr">
        <is>
          <t>docs/product-master/GS1_AND_MANUFACTURERS.md</t>
        </is>
      </c>
    </row>
    <row r="216" ht="39" customHeight="1" s="24">
      <c r="A216" s="32" t="n">
        <v>215</v>
      </c>
      <c r="B216" s="34" t="inlineStr">
        <is>
          <t>Product Master Data Platform</t>
        </is>
      </c>
      <c r="C216" s="31" t="inlineStr">
        <is>
          <t>PMD-003</t>
        </is>
      </c>
      <c r="D216" s="34" t="inlineStr">
        <is>
          <t>Product Master</t>
        </is>
      </c>
      <c r="E216" s="34" t="inlineStr">
        <is>
          <t>Loader rework for scale (bulk path, workers)</t>
        </is>
      </c>
      <c r="F216" s="34" t="inlineStr">
        <is>
          <t>Bulk path for unchanged and brand-new records, --workers N routed by brand, one-pass dashboard refresh; 191 new records/s and 7,300 unchanged/s locally (was 40-46 / 250).</t>
        </is>
      </c>
      <c r="G216" s="34" t="inlineStr">
        <is>
          <t>F9.1.1</t>
        </is>
      </c>
      <c r="H216" s="34" t="inlineStr">
        <is>
          <t>-</t>
        </is>
      </c>
      <c r="I216" s="32" t="inlineStr">
        <is>
          <t>COMPLETED</t>
        </is>
      </c>
      <c r="J216" s="34" t="inlineStr">
        <is>
          <t>Production (gokesari.com)</t>
        </is>
      </c>
      <c r="K216" s="34" t="inlineStr">
        <is>
          <t>Live (CLI)</t>
        </is>
      </c>
      <c r="L216" s="34" t="inlineStr">
        <is>
          <t>#3 (closed, superseded); #4</t>
        </is>
      </c>
      <c r="M216" s="34" t="inlineStr">
        <is>
          <t>#8</t>
        </is>
      </c>
      <c r="N216" s="34" t="inlineStr">
        <is>
          <t>Price-change path still per record</t>
        </is>
      </c>
      <c r="O216" s="34" t="inlineStr">
        <is>
          <t>-</t>
        </is>
      </c>
      <c r="P216" s="34" t="inlineStr">
        <is>
          <t>COMPLETED</t>
        </is>
      </c>
      <c r="Q216" s="34" t="inlineStr">
        <is>
          <t>No change</t>
        </is>
      </c>
      <c r="R216" s="34" t="inlineStr">
        <is>
          <t>src/server/pmd/pipeline/load.ts</t>
        </is>
      </c>
    </row>
    <row r="217" ht="39" customHeight="1" s="24">
      <c r="A217" s="32" t="n">
        <v>216</v>
      </c>
      <c r="B217" s="34" t="inlineStr">
        <is>
          <t>Product Master Data Platform</t>
        </is>
      </c>
      <c r="C217" s="31" t="inlineStr">
        <is>
          <t>PMD-004</t>
        </is>
      </c>
      <c r="D217" s="34" t="inlineStr">
        <is>
          <t>Product Master</t>
        </is>
      </c>
      <c r="E217" s="34" t="inlineStr">
        <is>
          <t>Promote master products into the shop catalogue</t>
        </is>
      </c>
      <c r="F217" s="34" t="inlineStr">
        <is>
          <t>scripts/pmd/promote.ts (dry run by default, --apply, --concurrency N), rollback-promotion.sql, one-command pilot-data copy, per-brand advisory lock against duplicate brands.</t>
        </is>
      </c>
      <c r="G217" s="34" t="inlineStr">
        <is>
          <t>F9.1.3</t>
        </is>
      </c>
      <c r="H217" s="34" t="inlineStr">
        <is>
          <t>-</t>
        </is>
      </c>
      <c r="I217" s="32" t="inlineStr">
        <is>
          <t>COMPLETED</t>
        </is>
      </c>
      <c r="J217" s="34" t="inlineStr">
        <is>
          <t>Production (gokesari.com)</t>
        </is>
      </c>
      <c r="K217" s="34" t="inlineStr">
        <is>
          <t>Live (CLI)</t>
        </is>
      </c>
      <c r="L217" s="34" t="inlineStr">
        <is>
          <t>#4; #5; #6</t>
        </is>
      </c>
      <c r="M217" s="34" t="inlineStr">
        <is>
          <t>#8</t>
        </is>
      </c>
      <c r="N217" s="34" t="inlineStr">
        <is>
          <t>-</t>
        </is>
      </c>
      <c r="O217" s="34" t="inlineStr">
        <is>
          <t>-</t>
        </is>
      </c>
      <c r="P217" s="34" t="inlineStr">
        <is>
          <t>COMPLETED</t>
        </is>
      </c>
      <c r="Q217" s="34" t="inlineStr">
        <is>
          <t>No change</t>
        </is>
      </c>
      <c r="R217" s="34" t="inlineStr">
        <is>
          <t>scripts/pmd/promote.ts; docs/product-master/PUBLISH_TO_SHOP.md</t>
        </is>
      </c>
    </row>
    <row r="218" ht="27" customHeight="1" s="24">
      <c r="A218" s="32" t="n">
        <v>217</v>
      </c>
      <c r="B218" s="34" t="inlineStr">
        <is>
          <t>Product Master Data Platform</t>
        </is>
      </c>
      <c r="C218" s="31" t="inlineStr">
        <is>
          <t>PMD-005</t>
        </is>
      </c>
      <c r="D218" s="34" t="inlineStr">
        <is>
          <t>Product Master</t>
        </is>
      </c>
      <c r="E218" s="34" t="inlineStr">
        <is>
          <t>Apply duplicate-review decisions in bulk</t>
        </is>
      </c>
      <c r="F218" s="34" t="inlineStr">
        <is>
          <t>scripts/pmd/review-decide.ts applies a JSON list of merge / close-as-different decisions through the review service (dry run by default).</t>
        </is>
      </c>
      <c r="G218" s="34" t="inlineStr">
        <is>
          <t>F9.1.1</t>
        </is>
      </c>
      <c r="H218" s="34" t="inlineStr">
        <is>
          <t>-</t>
        </is>
      </c>
      <c r="I218" s="32" t="inlineStr">
        <is>
          <t>COMPLETED</t>
        </is>
      </c>
      <c r="J218" s="34" t="inlineStr">
        <is>
          <t>Production (gokesari.com)</t>
        </is>
      </c>
      <c r="K218" s="34" t="inlineStr">
        <is>
          <t>Live (CLI)</t>
        </is>
      </c>
      <c r="L218" s="34" t="inlineStr">
        <is>
          <t>#9</t>
        </is>
      </c>
      <c r="M218" s="34" t="inlineStr">
        <is>
          <t>#12</t>
        </is>
      </c>
      <c r="N218" s="34" t="inlineStr">
        <is>
          <t>-</t>
        </is>
      </c>
      <c r="O218" s="34" t="inlineStr">
        <is>
          <t>-</t>
        </is>
      </c>
      <c r="P218" s="34" t="inlineStr">
        <is>
          <t>COMPLETED</t>
        </is>
      </c>
      <c r="Q218" s="34" t="inlineStr">
        <is>
          <t>No change</t>
        </is>
      </c>
      <c r="R218" s="34" t="inlineStr">
        <is>
          <t>scripts/pmd/review-decide.ts</t>
        </is>
      </c>
    </row>
    <row r="219" ht="39" customHeight="1" s="24">
      <c r="A219" s="32" t="n">
        <v>218</v>
      </c>
      <c r="B219" s="34" t="inlineStr">
        <is>
          <t>Product Master Data Platform</t>
        </is>
      </c>
      <c r="C219" s="31" t="inlineStr">
        <is>
          <t>PMD-006</t>
        </is>
      </c>
      <c r="D219" s="34" t="inlineStr">
        <is>
          <t>Product Master</t>
        </is>
      </c>
      <c r="E219" s="34" t="inlineStr">
        <is>
          <t>Large-scale ingestion (pilot step 9)</t>
        </is>
      </c>
      <c r="F219" s="34" t="inlineStr">
        <is>
          <t>Not started: the pilot report recommends one licensed non-food feed and loader work first.</t>
        </is>
      </c>
      <c r="G219" s="34" t="inlineStr">
        <is>
          <t>F9.1.4</t>
        </is>
      </c>
      <c r="H219" s="34" t="inlineStr">
        <is>
          <t>-</t>
        </is>
      </c>
      <c r="I219" s="32" t="inlineStr">
        <is>
          <t>YET TO START</t>
        </is>
      </c>
      <c r="J219" s="34" t="inlineStr">
        <is>
          <t>Not started</t>
        </is>
      </c>
      <c r="K219" s="34" t="inlineStr">
        <is>
          <t>-</t>
        </is>
      </c>
      <c r="L219" s="34" t="inlineStr">
        <is>
          <t>-</t>
        </is>
      </c>
      <c r="M219" s="34" t="inlineStr">
        <is>
          <t>-</t>
        </is>
      </c>
      <c r="N219" s="34" t="inlineStr">
        <is>
          <t>Whole step</t>
        </is>
      </c>
      <c r="O219" s="34" t="inlineStr">
        <is>
          <t>Explicit go-ahead; licensed feeds (PMD-002)</t>
        </is>
      </c>
      <c r="P219" s="34" t="inlineStr">
        <is>
          <t>YET TO START</t>
        </is>
      </c>
      <c r="Q219" s="34" t="inlineStr">
        <is>
          <t>No change</t>
        </is>
      </c>
      <c r="R219" s="34" t="inlineStr">
        <is>
          <t>docs/product-master/PILOT_REPORT.md</t>
        </is>
      </c>
    </row>
    <row r="220" ht="27" customHeight="1" s="24">
      <c r="A220" s="32" t="n">
        <v>219</v>
      </c>
      <c r="B220" s="34" t="inlineStr">
        <is>
          <t>Product Master Data Platform</t>
        </is>
      </c>
      <c r="C220" s="31" t="inlineStr">
        <is>
          <t>PMD-007</t>
        </is>
      </c>
      <c r="D220" s="34" t="inlineStr">
        <is>
          <t>Product Master</t>
        </is>
      </c>
      <c r="E220" s="34" t="inlineStr">
        <is>
          <t>Product browser / edit screens, promote button, scheduler and alerting</t>
        </is>
      </c>
      <c r="F220" s="34" t="inlineStr">
        <is>
          <t>Not built: promotion and scheduling are CLI-only today (no promote button in /admin/product-master).</t>
        </is>
      </c>
      <c r="G220" s="34" t="inlineStr">
        <is>
          <t>F9.1.4</t>
        </is>
      </c>
      <c r="H220" s="34" t="inlineStr">
        <is>
          <t>-</t>
        </is>
      </c>
      <c r="I220" s="32" t="inlineStr">
        <is>
          <t>YET TO START</t>
        </is>
      </c>
      <c r="J220" s="34" t="inlineStr">
        <is>
          <t>Not started</t>
        </is>
      </c>
      <c r="K220" s="34" t="inlineStr">
        <is>
          <t>-</t>
        </is>
      </c>
      <c r="L220" s="34" t="inlineStr">
        <is>
          <t>-</t>
        </is>
      </c>
      <c r="M220" s="34" t="inlineStr">
        <is>
          <t>-</t>
        </is>
      </c>
      <c r="N220" s="34" t="inlineStr">
        <is>
          <t>Whole item</t>
        </is>
      </c>
      <c r="O220" s="34" t="inlineStr">
        <is>
          <t>-</t>
        </is>
      </c>
      <c r="P220" s="34" t="inlineStr">
        <is>
          <t>YET TO START</t>
        </is>
      </c>
      <c r="Q220" s="34" t="inlineStr">
        <is>
          <t>No change</t>
        </is>
      </c>
      <c r="R220" s="34" t="inlineStr">
        <is>
          <t>docs/product-master/PILOT_REPORT.md</t>
        </is>
      </c>
    </row>
    <row r="221" ht="39" customHeight="1" s="24">
      <c r="A221" s="32" t="n">
        <v>220</v>
      </c>
      <c r="B221" s="34" t="inlineStr">
        <is>
          <t>Platform &amp; DevOps</t>
        </is>
      </c>
      <c r="C221" s="31" t="inlineStr">
        <is>
          <t>PLT-001</t>
        </is>
      </c>
      <c r="D221" s="34" t="inlineStr">
        <is>
          <t>Platform</t>
        </is>
      </c>
      <c r="E221" s="34" t="inlineStr">
        <is>
          <t>Hostinger build and dev server (webpack, @/ alias)</t>
        </is>
      </c>
      <c r="F221" s="34" t="inlineStr">
        <is>
          <t>Production builds use webpack so Hostinger deploys succeed; @/ import alias resolved without TypeScript installed; npm run dev starts again under Next 16.</t>
        </is>
      </c>
      <c r="G221" s="34" t="inlineStr">
        <is>
          <t>-</t>
        </is>
      </c>
      <c r="H221" s="34" t="inlineStr">
        <is>
          <t>-</t>
        </is>
      </c>
      <c r="I221" s="32" t="inlineStr">
        <is>
          <t>COMPLETED</t>
        </is>
      </c>
      <c r="J221" s="34" t="inlineStr">
        <is>
          <t>Production (gokesari.com)</t>
        </is>
      </c>
      <c r="K221" s="34" t="inlineStr">
        <is>
          <t>Live</t>
        </is>
      </c>
      <c r="L221" s="34" t="inlineStr">
        <is>
          <t>#17; #20; #35</t>
        </is>
      </c>
      <c r="M221" s="34" t="inlineStr">
        <is>
          <t>#19; #35</t>
        </is>
      </c>
      <c r="N221" s="34" t="inlineStr">
        <is>
          <t>-</t>
        </is>
      </c>
      <c r="O221" s="34" t="inlineStr">
        <is>
          <t>-</t>
        </is>
      </c>
      <c r="P221" s="34" t="inlineStr">
        <is>
          <t>COMPLETED</t>
        </is>
      </c>
      <c r="Q221" s="34" t="inlineStr">
        <is>
          <t>No change</t>
        </is>
      </c>
      <c r="R221" s="34" t="inlineStr">
        <is>
          <t>package.json; next.config.ts</t>
        </is>
      </c>
    </row>
    <row r="222" ht="27" customHeight="1" s="24">
      <c r="A222" s="32" t="n">
        <v>221</v>
      </c>
      <c r="B222" s="34" t="inlineStr">
        <is>
          <t>Platform &amp; DevOps</t>
        </is>
      </c>
      <c r="C222" s="31" t="inlineStr">
        <is>
          <t>PLT-002</t>
        </is>
      </c>
      <c r="D222" s="34" t="inlineStr">
        <is>
          <t>Platform</t>
        </is>
      </c>
      <c r="E222" s="34" t="inlineStr">
        <is>
          <t>Root-cause logging for failed database queries</t>
        </is>
      </c>
      <c r="F222" s="34" t="inlineStr">
        <is>
          <t>onRequestError and API error handler log the cause chain (message + code, never the connection string).</t>
        </is>
      </c>
      <c r="G222" s="34" t="inlineStr">
        <is>
          <t>-</t>
        </is>
      </c>
      <c r="H222" s="34" t="inlineStr">
        <is>
          <t>-</t>
        </is>
      </c>
      <c r="I222" s="32" t="inlineStr">
        <is>
          <t>COMPLETED</t>
        </is>
      </c>
      <c r="J222" s="34" t="inlineStr">
        <is>
          <t>Production (gokesari.com)</t>
        </is>
      </c>
      <c r="K222" s="34" t="inlineStr">
        <is>
          <t>Live</t>
        </is>
      </c>
      <c r="L222" s="34" t="inlineStr">
        <is>
          <t>#13 (#16 closed)</t>
        </is>
      </c>
      <c r="M222" s="34" t="inlineStr">
        <is>
          <t>#19</t>
        </is>
      </c>
      <c r="N222" s="34" t="inlineStr">
        <is>
          <t>-</t>
        </is>
      </c>
      <c r="O222" s="34" t="inlineStr">
        <is>
          <t>-</t>
        </is>
      </c>
      <c r="P222" s="34" t="inlineStr">
        <is>
          <t>COMPLETED</t>
        </is>
      </c>
      <c r="Q222" s="34" t="inlineStr">
        <is>
          <t>No change</t>
        </is>
      </c>
      <c r="R222" s="34" t="inlineStr">
        <is>
          <t>src/instrumentation.ts; src/lib/errors.ts</t>
        </is>
      </c>
    </row>
    <row r="223" ht="27" customHeight="1" s="24">
      <c r="A223" s="32" t="n">
        <v>222</v>
      </c>
      <c r="B223" s="34" t="inlineStr">
        <is>
          <t>Platform &amp; DevOps</t>
        </is>
      </c>
      <c r="C223" s="31" t="inlineStr">
        <is>
          <t>PLT-003</t>
        </is>
      </c>
      <c r="D223" s="34" t="inlineStr">
        <is>
          <t>Platform</t>
        </is>
      </c>
      <c r="E223" s="34" t="inlineStr">
        <is>
          <t>CI pipeline (typecheck, lint, tests on PostgreSQL, build)</t>
        </is>
      </c>
      <c r="F223" s="34" t="inlineStr">
        <is>
          <t>Every PR runs migrations on a fresh Postgres, typecheck, lint, unit + integration tests and a production build; actions on Node 24.</t>
        </is>
      </c>
      <c r="G223" s="34" t="inlineStr">
        <is>
          <t>F14.1.1</t>
        </is>
      </c>
      <c r="H223" s="34" t="inlineStr">
        <is>
          <t>-</t>
        </is>
      </c>
      <c r="I223" s="32" t="inlineStr">
        <is>
          <t>COMPLETED</t>
        </is>
      </c>
      <c r="J223" s="34" t="inlineStr">
        <is>
          <t>Production (gokesari.com)</t>
        </is>
      </c>
      <c r="K223" s="34" t="inlineStr">
        <is>
          <t>Live</t>
        </is>
      </c>
      <c r="L223" s="34" t="inlineStr">
        <is>
          <t>Baseline; #7</t>
        </is>
      </c>
      <c r="M223" s="34" t="inlineStr">
        <is>
          <t>#8</t>
        </is>
      </c>
      <c r="N223" s="34" t="inlineStr">
        <is>
          <t>-</t>
        </is>
      </c>
      <c r="O223" s="34" t="inlineStr">
        <is>
          <t>-</t>
        </is>
      </c>
      <c r="P223" s="34" t="inlineStr">
        <is>
          <t>COMPLETED</t>
        </is>
      </c>
      <c r="Q223" s="34" t="inlineStr">
        <is>
          <t>No change</t>
        </is>
      </c>
      <c r="R223" s="34" t="inlineStr">
        <is>
          <t>.github/workflows/</t>
        </is>
      </c>
    </row>
    <row r="224" ht="27" customHeight="1" s="24">
      <c r="A224" s="32" t="n">
        <v>223</v>
      </c>
      <c r="B224" s="34" t="inlineStr">
        <is>
          <t>Platform &amp; DevOps</t>
        </is>
      </c>
      <c r="C224" s="31" t="inlineStr">
        <is>
          <t>PLT-004</t>
        </is>
      </c>
      <c r="D224" s="34" t="inlineStr">
        <is>
          <t>Security</t>
        </is>
      </c>
      <c r="E224" s="34" t="inlineStr">
        <is>
          <t>Dependency security patches</t>
        </is>
      </c>
      <c r="F224" s="34" t="inlineStr">
        <is>
          <t>Next.js 16.3.6 security bump; sharp, brace-expansion, source-map-js and js-yaml patched (production npm audit: 0).</t>
        </is>
      </c>
      <c r="G224" s="34" t="inlineStr">
        <is>
          <t>-</t>
        </is>
      </c>
      <c r="H224" s="34" t="inlineStr">
        <is>
          <t>-</t>
        </is>
      </c>
      <c r="I224" s="32" t="inlineStr">
        <is>
          <t>COMPLETED</t>
        </is>
      </c>
      <c r="J224" s="34" t="inlineStr">
        <is>
          <t>Production (gokesari.com)</t>
        </is>
      </c>
      <c r="K224" s="34" t="inlineStr">
        <is>
          <t>Live</t>
        </is>
      </c>
      <c r="L224" s="34" t="inlineStr">
        <is>
          <t>#19 (Next.js bump commit); #66 (#15, #16 closed)</t>
        </is>
      </c>
      <c r="M224" s="34" t="inlineStr">
        <is>
          <t>#19; #65</t>
        </is>
      </c>
      <c r="N224" s="34" t="inlineStr">
        <is>
          <t>-</t>
        </is>
      </c>
      <c r="O224" s="34" t="inlineStr">
        <is>
          <t>-</t>
        </is>
      </c>
      <c r="P224" s="34" t="inlineStr">
        <is>
          <t>COMPLETED</t>
        </is>
      </c>
      <c r="Q224" s="34" t="inlineStr">
        <is>
          <t>No change</t>
        </is>
      </c>
      <c r="R224" s="34" t="inlineStr">
        <is>
          <t>package-lock.json</t>
        </is>
      </c>
    </row>
    <row r="225" ht="27" customHeight="1" s="24">
      <c r="A225" s="32" t="n">
        <v>224</v>
      </c>
      <c r="B225" s="34" t="inlineStr">
        <is>
          <t>Platform &amp; DevOps</t>
        </is>
      </c>
      <c r="C225" s="31" t="inlineStr">
        <is>
          <t>PLT-005</t>
        </is>
      </c>
      <c r="D225" s="34" t="inlineStr">
        <is>
          <t>Platform</t>
        </is>
      </c>
      <c r="E225" s="34" t="inlineStr">
        <is>
          <t>GoKesari domain and repository hygiene</t>
        </is>
      </c>
      <c r="F225" s="34" t="inlineStr">
        <is>
          <t>CNAME and docs point at gokesari.com; other brand's runbook removed; GoKesari-only scope rule for Claude chats.</t>
        </is>
      </c>
      <c r="G225" s="34" t="inlineStr">
        <is>
          <t>-</t>
        </is>
      </c>
      <c r="H225" s="34" t="inlineStr">
        <is>
          <t>-</t>
        </is>
      </c>
      <c r="I225" s="32" t="inlineStr">
        <is>
          <t>COMPLETED</t>
        </is>
      </c>
      <c r="J225" s="34" t="inlineStr">
        <is>
          <t>Production (gokesari.com)</t>
        </is>
      </c>
      <c r="K225" s="34" t="inlineStr">
        <is>
          <t>Live</t>
        </is>
      </c>
      <c r="L225" s="34" t="inlineStr">
        <is>
          <t>#25; #33; #41 (#27 closed)</t>
        </is>
      </c>
      <c r="M225" s="34" t="inlineStr">
        <is>
          <t>#32; #36; #43</t>
        </is>
      </c>
      <c r="N225" s="34" t="inlineStr">
        <is>
          <t>-</t>
        </is>
      </c>
      <c r="O225" s="34" t="inlineStr">
        <is>
          <t>-</t>
        </is>
      </c>
      <c r="P225" s="34" t="inlineStr">
        <is>
          <t>COMPLETED</t>
        </is>
      </c>
      <c r="Q225" s="34" t="inlineStr">
        <is>
          <t>No change</t>
        </is>
      </c>
      <c r="R225" s="34" t="inlineStr">
        <is>
          <t>CNAME; CLAUDE.md</t>
        </is>
      </c>
    </row>
    <row r="226" ht="39" customHeight="1" s="24">
      <c r="A226" s="32" t="n">
        <v>225</v>
      </c>
      <c r="B226" s="34" t="inlineStr">
        <is>
          <t>Platform &amp; DevOps</t>
        </is>
      </c>
      <c r="C226" s="31" t="inlineStr">
        <is>
          <t>PLT-006</t>
        </is>
      </c>
      <c r="D226" s="34" t="inlineStr">
        <is>
          <t>Platform</t>
        </is>
      </c>
      <c r="E226" s="34" t="inlineStr">
        <is>
          <t>Deployment runbooks</t>
        </is>
      </c>
      <c r="F226" s="34" t="inlineStr">
        <is>
          <t>Ordered deploy runbook (backup, ledger checks, migrate, crons, smoke test, rollback); row-count checks derived from the checkout so they cannot go stale.</t>
        </is>
      </c>
      <c r="G226" s="34" t="inlineStr">
        <is>
          <t>F14.2.2</t>
        </is>
      </c>
      <c r="H226" s="34" t="inlineStr">
        <is>
          <t>-</t>
        </is>
      </c>
      <c r="I226" s="32" t="inlineStr">
        <is>
          <t>COMPLETED</t>
        </is>
      </c>
      <c r="J226" s="34" t="inlineStr">
        <is>
          <t>Production (gokesari.com)</t>
        </is>
      </c>
      <c r="K226" s="34" t="inlineStr">
        <is>
          <t>Live</t>
        </is>
      </c>
      <c r="L226" s="34" t="inlineStr">
        <is>
          <t>#37; #88</t>
        </is>
      </c>
      <c r="M226" s="34" t="inlineStr">
        <is>
          <t>#37; #88</t>
        </is>
      </c>
      <c r="N226" s="34" t="inlineStr">
        <is>
          <t>-</t>
        </is>
      </c>
      <c r="O226" s="34" t="inlineStr">
        <is>
          <t>-</t>
        </is>
      </c>
      <c r="P226" s="34" t="inlineStr">
        <is>
          <t>COMPLETED</t>
        </is>
      </c>
      <c r="Q226" s="34" t="inlineStr">
        <is>
          <t>No change</t>
        </is>
      </c>
      <c r="R226" s="34" t="inlineStr">
        <is>
          <t>docs/gokesari-audit/DEPLOY_RUNBOOK.md</t>
        </is>
      </c>
    </row>
    <row r="227" ht="39" customHeight="1" s="24">
      <c r="A227" s="32" t="n">
        <v>226</v>
      </c>
      <c r="B227" s="34" t="inlineStr">
        <is>
          <t>Platform &amp; DevOps</t>
        </is>
      </c>
      <c r="C227" s="31" t="inlineStr">
        <is>
          <t>PLT-007</t>
        </is>
      </c>
      <c r="D227" s="34" t="inlineStr">
        <is>
          <t>Platform</t>
        </is>
      </c>
      <c r="E227" s="34" t="inlineStr">
        <is>
          <t>Opt-in automatic migration during the build (MIGRATE_ON_BUILD)</t>
        </is>
      </c>
      <c r="F227" s="34" t="inlineStr">
        <is>
          <t>npm run build runs pending migrations first when MIGRATE_ON_BUILD=true (one transaction; a failed migration stops the build); logs only database name/host and count.</t>
        </is>
      </c>
      <c r="G227" s="34" t="inlineStr">
        <is>
          <t>F14.2.2</t>
        </is>
      </c>
      <c r="H227" s="34" t="inlineStr">
        <is>
          <t>-</t>
        </is>
      </c>
      <c r="I227" s="32" t="inlineStr">
        <is>
          <t>COMPLETED</t>
        </is>
      </c>
      <c r="J227" s="34" t="inlineStr">
        <is>
          <t>Production (gokesari.com)</t>
        </is>
      </c>
      <c r="K227" s="34" t="inlineStr">
        <is>
          <t>On for gokesari.com and test.gokesari.com (MIGRATE_ON_BUILD=true)</t>
        </is>
      </c>
      <c r="L227" s="34" t="inlineStr">
        <is>
          <t>#85; #90 (shared migration lock)</t>
        </is>
      </c>
      <c r="M227" s="34" t="inlineStr">
        <is>
          <t>#120</t>
        </is>
      </c>
      <c r="N227" s="34" t="inlineStr">
        <is>
          <t>-</t>
        </is>
      </c>
      <c r="O227" s="34" t="inlineStr">
        <is>
          <t>-</t>
        </is>
      </c>
      <c r="P227" s="34" t="inlineStr">
        <is>
          <t>COMPLETED</t>
        </is>
      </c>
      <c r="Q227" s="34" t="inlineStr">
        <is>
          <t>No change</t>
        </is>
      </c>
      <c r="R227" s="34" t="inlineStr">
        <is>
          <t>-</t>
        </is>
      </c>
    </row>
    <row r="228" ht="51" customHeight="1" s="24">
      <c r="A228" s="32" t="n">
        <v>227</v>
      </c>
      <c r="B228" s="34" t="inlineStr">
        <is>
          <t>Platform &amp; DevOps</t>
        </is>
      </c>
      <c r="C228" s="31" t="inlineStr">
        <is>
          <t>PLT-008</t>
        </is>
      </c>
      <c r="D228" s="34" t="inlineStr">
        <is>
          <t>Platform</t>
        </is>
      </c>
      <c r="E228" s="34" t="inlineStr">
        <is>
          <t>'Test database' workflow (backup, migrate, settings, verify)</t>
        </is>
      </c>
      <c r="F228" s="34" t="inlineStr">
        <is>
          <t>GitHub Actions workflow for test.gokesari.com: pg_dump backup before every change, migrate, apply test settings / wallet settings / credits, verify against the branch's newest migration; guarded to the test host and to staging.</t>
        </is>
      </c>
      <c r="G228" s="34" t="inlineStr">
        <is>
          <t>F14.1.2</t>
        </is>
      </c>
      <c r="H228" s="34" t="inlineStr">
        <is>
          <t>-</t>
        </is>
      </c>
      <c r="I228" s="32" t="inlineStr">
        <is>
          <t>COMPLETED</t>
        </is>
      </c>
      <c r="J228" s="34" t="inlineStr">
        <is>
          <t>GitHub Actions (runs from staging)</t>
        </is>
      </c>
      <c r="K228" s="34" t="inlineStr">
        <is>
          <t>Live for the test database</t>
        </is>
      </c>
      <c r="L228" s="34" t="inlineStr">
        <is>
          <t>#90; #94; #95, #96, #97, #99 (data); #102 (four-features settings, E2E accounts, read-only report)</t>
        </is>
      </c>
      <c r="M228" s="34" t="inlineStr">
        <is>
          <t>Not needed (test only)</t>
        </is>
      </c>
      <c r="N228" s="34" t="inlineStr">
        <is>
          <t>Nightly backup now scheduled: the workflow file reached main in #120</t>
        </is>
      </c>
      <c r="O228" s="34" t="inlineStr">
        <is>
          <t>-</t>
        </is>
      </c>
      <c r="P228" s="34" t="inlineStr">
        <is>
          <t>COMPLETED</t>
        </is>
      </c>
      <c r="Q228" s="34" t="inlineStr">
        <is>
          <t>No change</t>
        </is>
      </c>
      <c r="R228" s="34" t="inlineStr">
        <is>
          <t>.github/workflows/test-db.yml; scripts/test-db/</t>
        </is>
      </c>
    </row>
    <row r="229" ht="111" customHeight="1" s="24">
      <c r="A229" s="32" t="n">
        <v>228</v>
      </c>
      <c r="B229" s="34" t="inlineStr">
        <is>
          <t>Platform &amp; DevOps</t>
        </is>
      </c>
      <c r="C229" s="31" t="inlineStr">
        <is>
          <t>PLT-009</t>
        </is>
      </c>
      <c r="D229" s="34" t="inlineStr">
        <is>
          <t>Platform</t>
        </is>
      </c>
      <c r="E229" s="34" t="inlineStr">
        <is>
          <t>'Production database' workflow (verify / migrate with typed confirmation)</t>
        </is>
      </c>
      <c r="F229" s="34" t="inlineStr">
        <is>
          <t>Manual-only workflow from main: verify shows production's pending migrations; migrate needs 'MIGRATE PRODUCTION', refuses migrations not already on test, records a Neon restore point, no data leaves the database.</t>
        </is>
      </c>
      <c r="G229" s="34" t="inlineStr">
        <is>
          <t>F14.2.1</t>
        </is>
      </c>
      <c r="H229" s="34" t="inlineStr">
        <is>
          <t>-</t>
        </is>
      </c>
      <c r="I229" s="32" t="inlineStr">
        <is>
          <t>BLOCKED</t>
        </is>
      </c>
      <c r="J229" s="34" t="inlineStr">
        <is>
          <t>GitHub Actions (runs from main)</t>
        </is>
      </c>
      <c r="K229" s="34" t="inlineStr">
        <is>
          <t>-</t>
        </is>
      </c>
      <c r="L229" s="34" t="inlineStr">
        <is>
          <t>#93; #118 (onto main)</t>
        </is>
      </c>
      <c r="M229" s="34" t="inlineStr">
        <is>
          <t>#118</t>
        </is>
      </c>
      <c r="N229" s="34" t="inlineStr">
        <is>
          <t>Repository-level secrets/variables are not set</t>
        </is>
      </c>
      <c r="O229" s="34" t="inlineStr">
        <is>
          <t>Owner: PROD_DATABASE_URL is still not visible to Actions - nine copy-shops / db-split plan or verify runs got an empty value (Blockers #32)</t>
        </is>
      </c>
      <c r="P229" s="34" t="inlineStr">
        <is>
          <t>BLOCKED</t>
        </is>
      </c>
      <c r="Q229" s="34" t="inlineStr">
        <is>
          <t>Still blocked: the 12-13 Oct shop copy had to use SQL files run in the Neon console because Actions could not see PROD_DATABASE_URL.</t>
        </is>
      </c>
      <c r="R229" s="34" t="inlineStr">
        <is>
          <t>docs/event-driven-2026-10/PROD_DB.md</t>
        </is>
      </c>
    </row>
    <row r="230" ht="51" customHeight="1" s="24">
      <c r="A230" s="32" t="n">
        <v>229</v>
      </c>
      <c r="B230" s="34" t="inlineStr">
        <is>
          <t>Platform &amp; DevOps</t>
        </is>
      </c>
      <c r="C230" s="31" t="inlineStr">
        <is>
          <t>PLT-010</t>
        </is>
      </c>
      <c r="D230" s="34" t="inlineStr">
        <is>
          <t>Platform</t>
        </is>
      </c>
      <c r="E230" s="34" t="inlineStr">
        <is>
          <t>'Android APK' workflow - installable test builds without any accounts</t>
        </is>
      </c>
      <c r="F230" s="34" t="inlineStr">
        <is>
          <t>Builds GoKesari-preview-apk (test.gokesari.com) and GoKesari-production-apk (gokesari.com) on GitHub for every change to mobile/ and on demand; download from the run's Artifacts. Signed with a shared test key, so it cannot be upgraded to a Play Store build.</t>
        </is>
      </c>
      <c r="G230" s="34" t="inlineStr">
        <is>
          <t>F15.1.1</t>
        </is>
      </c>
      <c r="H230" s="34" t="inlineStr">
        <is>
          <t>-</t>
        </is>
      </c>
      <c r="I230" s="32" t="inlineStr">
        <is>
          <t>COMPLETED</t>
        </is>
      </c>
      <c r="J230" s="34" t="inlineStr">
        <is>
          <t>GitHub Actions (runs from main)</t>
        </is>
      </c>
      <c r="K230" s="34" t="inlineStr">
        <is>
          <t>Live</t>
        </is>
      </c>
      <c r="L230" s="34" t="inlineStr">
        <is>
          <t>#100</t>
        </is>
      </c>
      <c r="M230" s="34" t="inlineStr">
        <is>
          <t>#100</t>
        </is>
      </c>
      <c r="N230" s="34" t="inlineStr">
        <is>
          <t>-</t>
        </is>
      </c>
      <c r="O230" s="34" t="inlineStr">
        <is>
          <t>-</t>
        </is>
      </c>
      <c r="P230" s="34" t="inlineStr">
        <is>
          <t>COMPLETED</t>
        </is>
      </c>
      <c r="Q230" s="34" t="inlineStr">
        <is>
          <t>No change</t>
        </is>
      </c>
      <c r="R230" s="34" t="inlineStr">
        <is>
          <t>.github/workflows/mobile-apk.yml</t>
        </is>
      </c>
    </row>
    <row r="231" ht="51" customHeight="1" s="24">
      <c r="A231" s="32" t="n">
        <v>230</v>
      </c>
      <c r="B231" s="34" t="inlineStr">
        <is>
          <t>Platform &amp; DevOps</t>
        </is>
      </c>
      <c r="C231" s="31" t="inlineStr">
        <is>
          <t>PLT-011</t>
        </is>
      </c>
      <c r="D231" s="34" t="inlineStr">
        <is>
          <t>Platform</t>
        </is>
      </c>
      <c r="E231" s="34" t="inlineStr">
        <is>
          <t>'Sandbox payment' workflow - pay Cashfree sandbox checkouts for E2E tests</t>
        </is>
      </c>
      <c r="F231" s="34" t="inlineStr">
        <is>
          <t>Pays a Cashfree SANDBOX checkout session with Cashfree's test instruments (UPI collect, credit / debit card with the simulator OTP, net banking; success or failure) from a GitHub runner. Sandbox host hard-coded, no secrets.</t>
        </is>
      </c>
      <c r="G231" s="34" t="inlineStr">
        <is>
          <t>F14.1.4</t>
        </is>
      </c>
      <c r="H231" s="34" t="inlineStr">
        <is>
          <t>-</t>
        </is>
      </c>
      <c r="I231" s="32" t="inlineStr">
        <is>
          <t>COMPLETED</t>
        </is>
      </c>
      <c r="J231" s="34" t="inlineStr">
        <is>
          <t>GitHub Actions (runs from staging)</t>
        </is>
      </c>
      <c r="K231" s="34" t="inlineStr">
        <is>
          <t>Live for the test site</t>
        </is>
      </c>
      <c r="L231" s="34" t="inlineStr">
        <is>
          <t>#102; #103 (card and net-banking simulator)</t>
        </is>
      </c>
      <c r="M231" s="34" t="inlineStr">
        <is>
          <t>Not needed (test only)</t>
        </is>
      </c>
      <c r="N231" s="34" t="inlineStr">
        <is>
          <t>-</t>
        </is>
      </c>
      <c r="O231" s="34" t="inlineStr">
        <is>
          <t>-</t>
        </is>
      </c>
      <c r="P231" s="34" t="inlineStr">
        <is>
          <t>COMPLETED</t>
        </is>
      </c>
      <c r="Q231" s="34" t="inlineStr">
        <is>
          <t>No change</t>
        </is>
      </c>
      <c r="R231" s="34" t="inlineStr">
        <is>
          <t>.github/workflows/sandbox-pay.yml; scripts/test-site/sandbox-pay.mjs</t>
        </is>
      </c>
    </row>
    <row r="232" ht="51" customHeight="1" s="24">
      <c r="A232" s="32" t="n">
        <v>231</v>
      </c>
      <c r="B232" s="34" t="inlineStr">
        <is>
          <t>Platform &amp; DevOps</t>
        </is>
      </c>
      <c r="C232" s="31" t="inlineStr">
        <is>
          <t>PLT-012</t>
        </is>
      </c>
      <c r="D232" s="34" t="inlineStr">
        <is>
          <t>Performance</t>
        </is>
      </c>
      <c r="E232" s="34" t="inlineStr">
        <is>
          <t>One database read per fact per page render</t>
        </is>
      </c>
      <c r="F232" s="34" t="inlineStr">
        <is>
          <t>React cache() on the session lookup, addresses, wallet, unread count, roles, staff shops and cart count for one server render; callers asking for the same business rule at once share one query. 52 -&gt; 24 queries per signed-in home page; no behaviour change.</t>
        </is>
      </c>
      <c r="G232" s="34" t="inlineStr">
        <is>
          <t>-</t>
        </is>
      </c>
      <c r="H232" s="34" t="inlineStr">
        <is>
          <t>-</t>
        </is>
      </c>
      <c r="I232" s="32" t="inlineStr">
        <is>
          <t>COMPLETED</t>
        </is>
      </c>
      <c r="J232" s="34" t="inlineStr">
        <is>
          <t>Production (gokesari.com)</t>
        </is>
      </c>
      <c r="K232" s="34" t="inlineStr">
        <is>
          <t>Live</t>
        </is>
      </c>
      <c r="L232" s="34" t="inlineStr">
        <is>
          <t>#124</t>
        </is>
      </c>
      <c r="M232" s="34" t="inlineStr">
        <is>
          <t>#126</t>
        </is>
      </c>
      <c r="N232" s="34" t="inlineStr">
        <is>
          <t>-</t>
        </is>
      </c>
      <c r="O232" s="34" t="inlineStr">
        <is>
          <t>-</t>
        </is>
      </c>
      <c r="P232" s="34" t="inlineStr">
        <is>
          <t>COMPLETED</t>
        </is>
      </c>
      <c r="Q232" s="34" t="inlineStr">
        <is>
          <t>No change</t>
        </is>
      </c>
      <c r="R232" s="34" t="inlineStr">
        <is>
          <t>src/server/ (cache() wrappers); commit 1406b0b</t>
        </is>
      </c>
    </row>
    <row r="233" ht="39" customHeight="1" s="24">
      <c r="A233" s="32" t="n">
        <v>232</v>
      </c>
      <c r="B233" s="34" t="inlineStr">
        <is>
          <t>Platform &amp; DevOps</t>
        </is>
      </c>
      <c r="C233" s="31" t="inlineStr">
        <is>
          <t>PLT-013</t>
        </is>
      </c>
      <c r="D233" s="34" t="inlineStr">
        <is>
          <t>Performance</t>
        </is>
      </c>
      <c r="E233" s="34" t="inlineStr">
        <is>
          <t>Opt-in prepared statements (DATABASE_PREPARED_STATEMENTS=on)</t>
        </is>
      </c>
      <c r="F233" s="34" t="inlineStr">
        <is>
          <t>Asks postgres-js to prepare queries by default, saving one database round trip per query (measured locally with 200 ms to the database: 405 ms -&gt; 205 ms per repeated query).</t>
        </is>
      </c>
      <c r="G233" s="34" t="inlineStr">
        <is>
          <t>-</t>
        </is>
      </c>
      <c r="H233" s="34" t="inlineStr">
        <is>
          <t>-</t>
        </is>
      </c>
      <c r="I233" s="32" t="inlineStr">
        <is>
          <t>COMPLETED</t>
        </is>
      </c>
      <c r="J233" s="34" t="inlineStr">
        <is>
          <t>Production - built, switched off by default</t>
        </is>
      </c>
      <c r="K233" s="34" t="inlineStr">
        <is>
          <t>Off - environment variable not set on either site</t>
        </is>
      </c>
      <c r="L233" s="34" t="inlineStr">
        <is>
          <t>#124</t>
        </is>
      </c>
      <c r="M233" s="34" t="inlineStr">
        <is>
          <t>#126</t>
        </is>
      </c>
      <c r="N233" s="34" t="inlineStr">
        <is>
          <t>Turn on for test.gokesari.com, check Neon's pooled host accepts prepared statements, then gokesari.com</t>
        </is>
      </c>
      <c r="O233" s="34" t="inlineStr">
        <is>
          <t>Owner: environment setting (Blockers #36)</t>
        </is>
      </c>
      <c r="P233" s="34" t="inlineStr">
        <is>
          <t>COMPLETED</t>
        </is>
      </c>
      <c r="Q233" s="34" t="inlineStr">
        <is>
          <t>No change</t>
        </is>
      </c>
      <c r="R233" s="34" t="inlineStr">
        <is>
          <t>commit 98cb8e7; src/server/db</t>
        </is>
      </c>
    </row>
    <row r="234" ht="51" customHeight="1" s="24">
      <c r="A234" s="32" t="n">
        <v>233</v>
      </c>
      <c r="B234" s="34" t="inlineStr">
        <is>
          <t>Platform &amp; DevOps</t>
        </is>
      </c>
      <c r="C234" s="31" t="inlineStr">
        <is>
          <t>PLT-014</t>
        </is>
      </c>
      <c r="D234" s="34" t="inlineStr">
        <is>
          <t>Performance</t>
        </is>
      </c>
      <c r="E234" s="34" t="inlineStr">
        <is>
          <t>Board figures: shared cache and 8 s allowance</t>
        </is>
      </c>
      <c r="F234"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4" s="34" t="inlineStr">
        <is>
          <t>-</t>
        </is>
      </c>
      <c r="H234" s="34" t="inlineStr">
        <is>
          <t>-</t>
        </is>
      </c>
      <c r="I234" s="32" t="inlineStr">
        <is>
          <t>COMPLETED</t>
        </is>
      </c>
      <c r="J234" s="34" t="inlineStr">
        <is>
          <t>Production (gokesari.com)</t>
        </is>
      </c>
      <c r="K234" s="34" t="inlineStr">
        <is>
          <t>Live</t>
        </is>
      </c>
      <c r="L234" s="34" t="inlineStr">
        <is>
          <t>#127; #130</t>
        </is>
      </c>
      <c r="M234" s="34" t="inlineStr">
        <is>
          <t>#129; #131</t>
        </is>
      </c>
      <c r="N234" s="34" t="inlineStr">
        <is>
          <t>-</t>
        </is>
      </c>
      <c r="O234" s="34" t="inlineStr">
        <is>
          <t>-</t>
        </is>
      </c>
      <c r="P234" s="34" t="inlineStr">
        <is>
          <t>COMPLETED</t>
        </is>
      </c>
      <c r="Q234" s="34" t="inlineStr">
        <is>
          <t>No change</t>
        </is>
      </c>
      <c r="R234" s="34" t="inlineStr">
        <is>
          <t>docs/tile-board-2026-10/TEST_RESULTS_UI_PASS.md (PR #127 on test)</t>
        </is>
      </c>
    </row>
    <row r="235" ht="159" customHeight="1" s="24">
      <c r="A235" s="32" t="n">
        <v>234</v>
      </c>
      <c r="B235" s="34" t="inlineStr">
        <is>
          <t>Platform &amp; DevOps</t>
        </is>
      </c>
      <c r="C235" s="31" t="inlineStr">
        <is>
          <t>PLT-015</t>
        </is>
      </c>
      <c r="D235" s="34" t="inlineStr">
        <is>
          <t>Platform</t>
        </is>
      </c>
      <c r="E235" s="34" t="inlineStr">
        <is>
          <t>Seller / customer database split (tooling and 'Database split' workflow)</t>
        </is>
      </c>
      <c r="F235"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5" s="34" t="inlineStr">
        <is>
          <t>F14.2.4</t>
        </is>
      </c>
      <c r="H235" s="34" t="inlineStr">
        <is>
          <t>-</t>
        </is>
      </c>
      <c r="I235" s="32" t="inlineStr">
        <is>
          <t>IN PROGRESS</t>
        </is>
      </c>
      <c r="J235" s="34" t="inlineStr">
        <is>
          <t>GitHub Actions (runs from main)</t>
        </is>
      </c>
      <c r="K235" s="34" t="inlineStr">
        <is>
          <t>Site still reads one database (DB_SPLIT_MODE = single); the split databases are copies only</t>
        </is>
      </c>
      <c r="L235" s="34" t="inlineStr">
        <is>
          <t>#146; #152 (Neon COPY hang, channel_binding); #154 (test report); #158; #160; #162</t>
        </is>
      </c>
      <c r="M235" s="34" t="inlineStr">
        <is>
          <t>#149; #157; #159; #161; #163</t>
        </is>
      </c>
      <c r="N235"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5" s="34" t="inlineStr">
        <is>
          <t>Owner: check the production split secrets (Blockers #42); then plan phases 2-4</t>
        </is>
      </c>
      <c r="P235" s="34" t="inlineStr">
        <is>
          <t>Not tracked</t>
        </is>
      </c>
      <c r="Q235" s="34" t="inlineStr">
        <is>
          <t>New: test split run #5 (13 Oct, Neon us-east-2) - 190 tables, 29,996 rows, every checksum equal, 0 missing parents on 111 links: PASS. Production dry runs 7-17 refused or failed (secrets pointed at the same database); run 18 passed 14 Oct 14:07 UTC; production migrate run 19 PASSED 14 Oct 14:12 UTC.</t>
        </is>
      </c>
      <c r="R235" s="34" t="inlineStr">
        <is>
          <t>docs/db-split-2026-10/README.md; VERIFICATION_REPORT_test_2026-10-13.md; .github/workflows/db-split.yml</t>
        </is>
      </c>
    </row>
    <row r="236" ht="51" customHeight="1" s="24">
      <c r="A236" s="32" t="n">
        <v>235</v>
      </c>
      <c r="B236" s="34" t="inlineStr">
        <is>
          <t>Platform &amp; DevOps</t>
        </is>
      </c>
      <c r="C236" s="31" t="inlineStr">
        <is>
          <t>PLT-016</t>
        </is>
      </c>
      <c r="D236" s="34" t="inlineStr">
        <is>
          <t>Platform</t>
        </is>
      </c>
      <c r="E236" s="34" t="inlineStr">
        <is>
          <t>CI scope job: skip runs that cannot find anything new</t>
        </is>
      </c>
      <c r="F236"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6" s="34" t="inlineStr">
        <is>
          <t>F14.1.1</t>
        </is>
      </c>
      <c r="H236" s="34" t="inlineStr">
        <is>
          <t>-</t>
        </is>
      </c>
      <c r="I236" s="32" t="inlineStr">
        <is>
          <t>COMPLETED</t>
        </is>
      </c>
      <c r="J236" s="34" t="inlineStr">
        <is>
          <t>GitHub Actions (runs from main)</t>
        </is>
      </c>
      <c r="K236" s="34" t="inlineStr">
        <is>
          <t>Live</t>
        </is>
      </c>
      <c r="L236" s="34" t="inlineStr">
        <is>
          <t>#134</t>
        </is>
      </c>
      <c r="M236" s="34" t="inlineStr">
        <is>
          <t>#135</t>
        </is>
      </c>
      <c r="N236" s="34" t="inlineStr">
        <is>
          <t>-</t>
        </is>
      </c>
      <c r="O236" s="34" t="inlineStr">
        <is>
          <t>-</t>
        </is>
      </c>
      <c r="P236" s="34" t="inlineStr">
        <is>
          <t>Not tracked</t>
        </is>
      </c>
      <c r="Q236" s="34" t="inlineStr">
        <is>
          <t>New: saves Actions minutes after the 9-10 Oct billing stop; CI green on every release since.</t>
        </is>
      </c>
      <c r="R236" s="34" t="inlineStr">
        <is>
          <t>scripts/ci/scope.sh; .github/workflows/ci.yml</t>
        </is>
      </c>
    </row>
    <row r="237" ht="63" customHeight="1" s="24">
      <c r="A237" s="32" t="n">
        <v>236</v>
      </c>
      <c r="B237" s="34" t="inlineStr">
        <is>
          <t>Platform &amp; DevOps</t>
        </is>
      </c>
      <c r="C237" s="31" t="inlineStr">
        <is>
          <t>PLT-017</t>
        </is>
      </c>
      <c r="D237" s="34" t="inlineStr">
        <is>
          <t>Mobile App</t>
        </is>
      </c>
      <c r="E237" s="34" t="inlineStr">
        <is>
          <t>'iPhone app' workflow - EAS build and TestFlight upload</t>
        </is>
      </c>
      <c r="F237" s="34" t="inlineStr">
        <is>
          <t>Started by hand with profile production or preview; builds on EAS and uploads the production build to TestFlight; first checks EXPO_TOKEN and the project id and names anything missing.</t>
        </is>
      </c>
      <c r="G237" s="34" t="inlineStr">
        <is>
          <t>F15.1.4</t>
        </is>
      </c>
      <c r="H237" s="34" t="inlineStr">
        <is>
          <t>-</t>
        </is>
      </c>
      <c r="I237" s="32" t="inlineStr">
        <is>
          <t>BLOCKED</t>
        </is>
      </c>
      <c r="J237" s="34" t="inlineStr">
        <is>
          <t>GitHub Actions (runs from main)</t>
        </is>
      </c>
      <c r="K237" s="34" t="inlineStr">
        <is>
          <t>Not run yet</t>
        </is>
      </c>
      <c r="L237" s="34" t="inlineStr">
        <is>
          <t>#153</t>
        </is>
      </c>
      <c r="M237" s="34" t="inlineStr">
        <is>
          <t>#157</t>
        </is>
      </c>
      <c r="N237" s="34" t="inlineStr">
        <is>
          <t>Link the project to Expo and commit the project id; secrets EXPO_TOKEN, ASC_API_KEY_P8, ASC_KEY_ID, ASC_ISSUER_ID, APPLE_TEAM_ID; App Store Connect app record for com.gokesari.app</t>
        </is>
      </c>
      <c r="O237" s="34" t="inlineStr">
        <is>
          <t>Owner: Apple Developer account and the secrets (Blockers #29)</t>
        </is>
      </c>
      <c r="P237" s="34" t="inlineStr">
        <is>
          <t>Not tracked</t>
        </is>
      </c>
      <c r="Q237" s="34" t="inlineStr">
        <is>
          <t>New (#153 then #157).</t>
        </is>
      </c>
      <c r="R237" s="34" t="inlineStr">
        <is>
          <t>.github/workflows/mobile-ios.yml; mobile/README.md</t>
        </is>
      </c>
    </row>
    <row r="238" ht="75" customHeight="1" s="24">
      <c r="A238" s="32" t="n">
        <v>237</v>
      </c>
      <c r="B238" s="34" t="inlineStr">
        <is>
          <t>Platform &amp; DevOps</t>
        </is>
      </c>
      <c r="C238" s="31" t="inlineStr">
        <is>
          <t>PLT-018</t>
        </is>
      </c>
      <c r="D238" s="34" t="inlineStr">
        <is>
          <t>Platform</t>
        </is>
      </c>
      <c r="E238" s="34" t="inlineStr">
        <is>
          <t>'Copy shops to production' workflow (plan / copy / sql modes)</t>
        </is>
      </c>
      <c r="F238"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38" s="34" t="inlineStr">
        <is>
          <t>F14.2.3</t>
        </is>
      </c>
      <c r="H238" s="34" t="inlineStr">
        <is>
          <t>-</t>
        </is>
      </c>
      <c r="I238" s="32" t="inlineStr">
        <is>
          <t>COMPLETED</t>
        </is>
      </c>
      <c r="J238" s="34" t="inlineStr">
        <is>
          <t>GitHub Actions (runs from main)</t>
        </is>
      </c>
      <c r="K238" s="34" t="inlineStr">
        <is>
          <t>Used once (sql mode, 12-13 Oct)</t>
        </is>
      </c>
      <c r="L238" s="34" t="inlineStr">
        <is>
          <t>#140; #144 (sql mode); #156 (record)</t>
        </is>
      </c>
      <c r="M238" s="34" t="inlineStr">
        <is>
          <t>#141; #145; #157</t>
        </is>
      </c>
      <c r="N238" s="34" t="inlineStr">
        <is>
          <t>Delete the downloaded copy-shops SQL files (they hold owner contact details); the 5 owners must sign in on production and upload their legal documents</t>
        </is>
      </c>
      <c r="O238" s="34" t="inlineStr">
        <is>
          <t>Owner (Blockers #39, #40)</t>
        </is>
      </c>
      <c r="P238" s="34" t="inlineStr">
        <is>
          <t>Not tracked</t>
        </is>
      </c>
      <c r="Q238" s="34" t="inlineStr">
        <is>
          <t>New: 5 shops copied 12-13 Oct (Agtci, Asmy Exports, Chikan Shop, EcoMed Solutions, Samarth tea center); read-only check 13 Oct 15:32 UTC - products 26/6/8/0/4, pages 200, taking orders; wallets start at Rs 0.</t>
        </is>
      </c>
      <c r="R238" s="34" t="inlineStr">
        <is>
          <t>docs/copy-shops-2026-10/README.md; scripts/copy-shops/</t>
        </is>
      </c>
    </row>
    <row r="239" ht="51" customHeight="1" s="24">
      <c r="A239" s="32" t="n">
        <v>238</v>
      </c>
      <c r="B239" s="34" t="inlineStr">
        <is>
          <t>QA &amp; Testing</t>
        </is>
      </c>
      <c r="C239" s="31" t="inlineStr">
        <is>
          <t>QA-001</t>
        </is>
      </c>
      <c r="D239" s="34" t="inlineStr">
        <is>
          <t>QA</t>
        </is>
      </c>
      <c r="E239" s="34" t="inlineStr">
        <is>
          <t>Automated test suites (unit, integration, E2E)</t>
        </is>
      </c>
      <c r="F239" s="34" t="inlineStr">
        <is>
          <t>Vitest unit + integration against real PostgreSQL (1,436 tests in 111 files on staging per #98); Playwright acceptance (10), smoke (12) and A-E regression (46) specs.</t>
        </is>
      </c>
      <c r="G239" s="34" t="inlineStr">
        <is>
          <t>F14.1.1</t>
        </is>
      </c>
      <c r="H239" s="34" t="inlineStr">
        <is>
          <t>-</t>
        </is>
      </c>
      <c r="I239" s="32" t="inlineStr">
        <is>
          <t>COMPLETED</t>
        </is>
      </c>
      <c r="J239" s="34" t="inlineStr">
        <is>
          <t>Production (gokesari.com)</t>
        </is>
      </c>
      <c r="K239" s="34" t="inlineStr">
        <is>
          <t>Live in CI</t>
        </is>
      </c>
      <c r="L239" s="34" t="inlineStr">
        <is>
          <t>#52; #51; #85 (regression spec)</t>
        </is>
      </c>
      <c r="M239" s="34" t="inlineStr">
        <is>
          <t>#54 (via staging); #70</t>
        </is>
      </c>
      <c r="N239" s="34" t="inlineStr">
        <is>
          <t>-</t>
        </is>
      </c>
      <c r="O239" s="34" t="inlineStr">
        <is>
          <t>-</t>
        </is>
      </c>
      <c r="P239" s="34" t="inlineStr">
        <is>
          <t>COMPLETED</t>
        </is>
      </c>
      <c r="Q239" s="34" t="inlineStr">
        <is>
          <t>#146: 1,743 unit/integration tests; lifecycle E2E 21/21 locally; branding / footer E2E 16/16 on staging and gokesari.com (#149). #134: CI skips runs that cannot find anything new (PLT-016).</t>
        </is>
      </c>
      <c r="R239" s="34" t="inlineStr">
        <is>
          <t>tests/</t>
        </is>
      </c>
    </row>
    <row r="240" ht="39" customHeight="1" s="24">
      <c r="A240" s="32" t="n">
        <v>239</v>
      </c>
      <c r="B240" s="34" t="inlineStr">
        <is>
          <t>QA &amp; Testing</t>
        </is>
      </c>
      <c r="C240" s="31" t="inlineStr">
        <is>
          <t>QA-002</t>
        </is>
      </c>
      <c r="D240" s="34" t="inlineStr">
        <is>
          <t>QA</t>
        </is>
      </c>
      <c r="E240" s="34" t="inlineStr">
        <is>
          <t>Test execution framework for 791 test cases</t>
        </is>
      </c>
      <c r="F240" s="34" t="inlineStr">
        <is>
          <t>Excel test-case parser, phase plan (smoke, P0, P1, P2), Playwright runner and result reporting; test-cases.xlsx with 791 cases across 28 modules.</t>
        </is>
      </c>
      <c r="G240" s="34" t="inlineStr">
        <is>
          <t>F14.1.3</t>
        </is>
      </c>
      <c r="H240" s="34" t="inlineStr">
        <is>
          <t>-</t>
        </is>
      </c>
      <c r="I240" s="32" t="inlineStr">
        <is>
          <t>COMPLETED</t>
        </is>
      </c>
      <c r="J240" s="34" t="inlineStr">
        <is>
          <t>Production (gokesari.com)</t>
        </is>
      </c>
      <c r="K240" s="34" t="inlineStr">
        <is>
          <t>Live</t>
        </is>
      </c>
      <c r="L240" s="34" t="inlineStr">
        <is>
          <t>#51</t>
        </is>
      </c>
      <c r="M240" s="34" t="inlineStr">
        <is>
          <t>#70</t>
        </is>
      </c>
      <c r="N240" s="34" t="inlineStr">
        <is>
          <t>-</t>
        </is>
      </c>
      <c r="O240" s="34" t="inlineStr">
        <is>
          <t>-</t>
        </is>
      </c>
      <c r="P240" s="34" t="inlineStr">
        <is>
          <t>COMPLETED</t>
        </is>
      </c>
      <c r="Q240" s="34" t="inlineStr">
        <is>
          <t>No change</t>
        </is>
      </c>
      <c r="R240" s="34" t="inlineStr">
        <is>
          <t>TEST_EXECUTION_PLAN.md; tests/test-case-parser.ts</t>
        </is>
      </c>
    </row>
    <row r="241" ht="51" customHeight="1" s="24">
      <c r="A241" s="32" t="n">
        <v>240</v>
      </c>
      <c r="B241" s="34" t="inlineStr">
        <is>
          <t>QA &amp; Testing</t>
        </is>
      </c>
      <c r="C241" s="31" t="inlineStr">
        <is>
          <t>QA-003</t>
        </is>
      </c>
      <c r="D241" s="34" t="inlineStr">
        <is>
          <t>QA</t>
        </is>
      </c>
      <c r="E241" s="34" t="inlineStr">
        <is>
          <t>Execute the 791 test cases and sign off in a browser on test.gokesari.com</t>
        </is>
      </c>
      <c r="F241" s="34" t="inlineStr">
        <is>
          <t>No execution results or sign-off are recorded in the repository; the 6 Oct report lists the missing browser sign-off as a go-live blocker.</t>
        </is>
      </c>
      <c r="G241" s="34" t="inlineStr">
        <is>
          <t>F14.1.3</t>
        </is>
      </c>
      <c r="H241" s="34" t="inlineStr">
        <is>
          <t>-</t>
        </is>
      </c>
      <c r="I241" s="32" t="inlineStr">
        <is>
          <t>YET TO START</t>
        </is>
      </c>
      <c r="J241" s="34" t="inlineStr">
        <is>
          <t>Not started</t>
        </is>
      </c>
      <c r="K241" s="34" t="inlineStr">
        <is>
          <t>-</t>
        </is>
      </c>
      <c r="L241" s="34" t="inlineStr">
        <is>
          <t>-</t>
        </is>
      </c>
      <c r="M241" s="34" t="inlineStr">
        <is>
          <t>-</t>
        </is>
      </c>
      <c r="N241" s="34" t="inlineStr">
        <is>
          <t>Run phases 1-4 and record results</t>
        </is>
      </c>
      <c r="O241" s="34" t="inlineStr">
        <is>
          <t>-</t>
        </is>
      </c>
      <c r="P241" s="34" t="inlineStr">
        <is>
          <t>YET TO START</t>
        </is>
      </c>
      <c r="Q241" s="34" t="inlineStr">
        <is>
          <t>Still not run. New recorded runs: Nearby + referral settings (QA-006) and the 13 Oct release (QA-007). The staging order-lifecycle run (QA-008) is still to do.</t>
        </is>
      </c>
      <c r="R241" s="34" t="inlineStr">
        <is>
          <t>TEST_SUMMARY_AND_STATUS.md</t>
        </is>
      </c>
    </row>
    <row r="242" ht="63" customHeight="1" s="24">
      <c r="A242" s="32" t="n">
        <v>241</v>
      </c>
      <c r="B242" s="34" t="inlineStr">
        <is>
          <t>QA &amp; Testing</t>
        </is>
      </c>
      <c r="C242" s="31" t="inlineStr">
        <is>
          <t>QA-004</t>
        </is>
      </c>
      <c r="D242" s="34" t="inlineStr">
        <is>
          <t>QA</t>
        </is>
      </c>
      <c r="E242" s="34" t="inlineStr">
        <is>
          <t>Four-features browser test run on test.gokesari.com (all roles, phone + desktop)</t>
        </is>
      </c>
      <c r="F242"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2" s="34" t="inlineStr">
        <is>
          <t>F14.1.5</t>
        </is>
      </c>
      <c r="H242" s="34" t="inlineStr">
        <is>
          <t>-</t>
        </is>
      </c>
      <c r="I242" s="32" t="inlineStr">
        <is>
          <t>COMPLETED</t>
        </is>
      </c>
      <c r="J242" s="34" t="inlineStr">
        <is>
          <t>Test site only (test.gokesari.com)</t>
        </is>
      </c>
      <c r="K242" s="34" t="inlineStr">
        <is>
          <t>-</t>
        </is>
      </c>
      <c r="L242" s="34" t="inlineStr">
        <is>
          <t>#103; #104 (re-check of the fixes)</t>
        </is>
      </c>
      <c r="M242" s="34" t="inlineStr">
        <is>
          <t>Not needed (test only)</t>
        </is>
      </c>
      <c r="N242" s="34" t="inlineStr">
        <is>
          <t>Payout gate and payer-name mismatch not runnable on test (covered by integration tests); referrals@ inbox arrival to be confirmed by the owner</t>
        </is>
      </c>
      <c r="O242" s="34" t="inlineStr">
        <is>
          <t>-</t>
        </is>
      </c>
      <c r="P242" s="34" t="inlineStr">
        <is>
          <t>COMPLETED</t>
        </is>
      </c>
      <c r="Q242" s="34" t="inlineStr">
        <is>
          <t>No change</t>
        </is>
      </c>
      <c r="R242" s="34" t="inlineStr">
        <is>
          <t>docs/four-features-2026-10/TEST_RESULTS.md</t>
        </is>
      </c>
    </row>
    <row r="243" ht="87" customHeight="1" s="24">
      <c r="A243" s="32" t="n">
        <v>242</v>
      </c>
      <c r="B243" s="34" t="inlineStr">
        <is>
          <t>QA &amp; Testing</t>
        </is>
      </c>
      <c r="C243" s="31" t="inlineStr">
        <is>
          <t>QA-005</t>
        </is>
      </c>
      <c r="D243" s="34" t="inlineStr">
        <is>
          <t>QA</t>
        </is>
      </c>
      <c r="E243" s="34" t="inlineStr">
        <is>
          <t>Tile Board UI pass test run on test.gokesari.com (all roles, phone, app size, slow 4G, Lighthouse)</t>
        </is>
      </c>
      <c r="F243" s="34" t="inlineStr">
        <is>
          <t>1,038 checks: end-to-end journeys for customer, shop owner, operator and admin; every board and menu link; access to other roles' screens; Lighthouse; one-screen fit at 7 sizes x 3 languages. Production read-only checks after #126.</t>
        </is>
      </c>
      <c r="G243" s="34" t="inlineStr">
        <is>
          <t>F14.1.5</t>
        </is>
      </c>
      <c r="H243" s="34" t="inlineStr">
        <is>
          <t>-</t>
        </is>
      </c>
      <c r="I243" s="32" t="inlineStr">
        <is>
          <t>COMPLETED</t>
        </is>
      </c>
      <c r="J243" s="34" t="inlineStr">
        <is>
          <t>Test site only (test.gokesari.com)</t>
        </is>
      </c>
      <c r="K243" s="34" t="inlineStr">
        <is>
          <t>-</t>
        </is>
      </c>
      <c r="L243" s="34" t="inlineStr">
        <is>
          <t>#124 (results, issue register)</t>
        </is>
      </c>
      <c r="M243" s="34" t="inlineStr">
        <is>
          <t>Not needed (test only)</t>
        </is>
      </c>
      <c r="N243" s="34" t="inlineStr">
        <is>
          <t>8 fail (5 slow-4G pages 3.6-5.0 s against 3 s; shop board 2 px over at 320x640; 1 link blocked in the test browser; 1 Lighthouse) and 4 not run (wallet top-up and shop recharge - Actions billing; rider return pickup; KYC-pending shop approval, correctly refused)</t>
        </is>
      </c>
      <c r="O243" s="34" t="inlineStr">
        <is>
          <t>-</t>
        </is>
      </c>
      <c r="P243" s="34" t="inlineStr">
        <is>
          <t>COMPLETED</t>
        </is>
      </c>
      <c r="Q243" s="34" t="inlineStr">
        <is>
          <t>No change</t>
        </is>
      </c>
      <c r="R243" s="34" t="inlineStr">
        <is>
          <t>docs/tile-board-2026-10/TEST_RESULTS_UI_PASS.md; docs/tile-board-2026-10/GoKesari_UI_Test_Report_2026-10-09.xlsx; docs/gokesari-audit/GoKesari_UI_Issue_Register_2026-10-09.xlsx</t>
        </is>
      </c>
    </row>
    <row r="244" ht="39" customHeight="1" s="24">
      <c r="A244" s="32" t="n">
        <v>243</v>
      </c>
      <c r="B244" s="34" t="inlineStr">
        <is>
          <t>QA &amp; Testing</t>
        </is>
      </c>
      <c r="C244" s="31" t="inlineStr">
        <is>
          <t>QA-006</t>
        </is>
      </c>
      <c r="D244" s="34" t="inlineStr">
        <is>
          <t>QA</t>
        </is>
      </c>
      <c r="E244" s="34" t="inlineStr">
        <is>
          <t>Nearby shops + referral settings test run (test site, Android / iPhone / desktop; production checks)</t>
        </is>
      </c>
      <c r="F244" s="34" t="inlineStr">
        <is>
          <t>Every Nearby and referral-setting case on test.gokesari.com, with screenshots; read-only production checks after release #135; Android APK download links.</t>
        </is>
      </c>
      <c r="G244" s="34" t="inlineStr">
        <is>
          <t>F14.1.5</t>
        </is>
      </c>
      <c r="H244" s="34" t="inlineStr">
        <is>
          <t>-</t>
        </is>
      </c>
      <c r="I244" s="32" t="inlineStr">
        <is>
          <t>COMPLETED</t>
        </is>
      </c>
      <c r="J244" s="34" t="inlineStr">
        <is>
          <t>Test site only (test.gokesari.com)</t>
        </is>
      </c>
      <c r="K244" s="34" t="inlineStr">
        <is>
          <t>-</t>
        </is>
      </c>
      <c r="L244" s="34" t="inlineStr">
        <is>
          <t>#136; #137</t>
        </is>
      </c>
      <c r="M244" s="34" t="inlineStr">
        <is>
          <t>Not needed (test only)</t>
        </is>
      </c>
      <c r="N244" s="34" t="inlineStr">
        <is>
          <t>Paid self-registration (no SMS provider on test); Directions tap on a real phone</t>
        </is>
      </c>
      <c r="O244" s="34" t="inlineStr">
        <is>
          <t>-</t>
        </is>
      </c>
      <c r="P244" s="34" t="inlineStr">
        <is>
          <t>Not tracked</t>
        </is>
      </c>
      <c r="Q244" s="34" t="inlineStr">
        <is>
          <t>New: all cases PASS; bugs S-1 (prompt ignored) and N-5 (0 shops) fixed.</t>
        </is>
      </c>
      <c r="R244" s="34" t="inlineStr">
        <is>
          <t>docs/nearby-referral-2026-10/TEST_RESULTS.md</t>
        </is>
      </c>
    </row>
    <row r="245" ht="39" customHeight="1" s="24">
      <c r="A245" s="32" t="n">
        <v>244</v>
      </c>
      <c r="B245" s="34" t="inlineStr">
        <is>
          <t>QA &amp; Testing</t>
        </is>
      </c>
      <c r="C245" s="31" t="inlineStr">
        <is>
          <t>QA-007</t>
        </is>
      </c>
      <c r="D245" s="34" t="inlineStr">
        <is>
          <t>QA</t>
        </is>
      </c>
      <c r="E245" s="34" t="inlineStr">
        <is>
          <t>13 Oct release test run (document upload, FSSAI, footer, branding, DB split)</t>
        </is>
      </c>
      <c r="F245" s="34" t="inlineStr">
        <is>
          <t>Staging and production checks for release #149 and its follow-ups: upload flow, FSSAI gate, branding / footer E2E, smoke of 8 public pages before and after, test DB split verification.</t>
        </is>
      </c>
      <c r="G245" s="34" t="inlineStr">
        <is>
          <t>F14.1.5</t>
        </is>
      </c>
      <c r="H245" s="34" t="inlineStr">
        <is>
          <t>-</t>
        </is>
      </c>
      <c r="I245" s="32" t="inlineStr">
        <is>
          <t>COMPLETED</t>
        </is>
      </c>
      <c r="J245" s="34" t="inlineStr">
        <is>
          <t>Test site only (test.gokesari.com)</t>
        </is>
      </c>
      <c r="K245" s="34" t="inlineStr">
        <is>
          <t>-</t>
        </is>
      </c>
      <c r="L245" s="34" t="inlineStr">
        <is>
          <t>#147; #150; #154</t>
        </is>
      </c>
      <c r="M245" s="34" t="inlineStr">
        <is>
          <t>Not needed (test only)</t>
        </is>
      </c>
      <c r="N245" s="34" t="inlineStr">
        <is>
          <t>OCR auto-read not working on Hostinger; no run after the saffron wordmark (#153)</t>
        </is>
      </c>
      <c r="O245" s="34" t="inlineStr">
        <is>
          <t>-</t>
        </is>
      </c>
      <c r="P245" s="34" t="inlineStr">
        <is>
          <t>Not tracked</t>
        </is>
      </c>
      <c r="Q245" s="34" t="inlineStr">
        <is>
          <t>New: 1,743 unit / integration; branding E2E 16/16 on staging and production; upload 201 + CONFIRMED; DB split test PASS.</t>
        </is>
      </c>
      <c r="R245" s="34" t="inlineStr">
        <is>
          <t>docs/document-upload-2026-10/TEST_RESULTS.md; docs/gokesari-audit/GOKESARI_FEATURE_STATUS_REPORT_2026-10-13.xlsx</t>
        </is>
      </c>
    </row>
    <row r="246" ht="39" customHeight="1" s="24">
      <c r="A246" s="32" t="n">
        <v>245</v>
      </c>
      <c r="B246" s="34" t="inlineStr">
        <is>
          <t>QA &amp; Testing</t>
        </is>
      </c>
      <c r="C246" s="31" t="inlineStr">
        <is>
          <t>QA-008</t>
        </is>
      </c>
      <c r="D246" s="34" t="inlineStr">
        <is>
          <t>QA</t>
        </is>
      </c>
      <c r="E246" s="34" t="inlineStr">
        <is>
          <t>Order-lifecycle run on staging (sign-up -&gt; order -&gt; delivery code -&gt; done)</t>
        </is>
      </c>
      <c r="F246" s="34" t="inlineStr">
        <is>
          <t>Planned end-to-end run of a full order on test.gokesari.com after the 13 Oct release.</t>
        </is>
      </c>
      <c r="G246" s="34" t="inlineStr">
        <is>
          <t>F14.1.3</t>
        </is>
      </c>
      <c r="H246" s="34" t="inlineStr">
        <is>
          <t>-</t>
        </is>
      </c>
      <c r="I246" s="32" t="inlineStr">
        <is>
          <t>YET TO START</t>
        </is>
      </c>
      <c r="J246" s="34" t="inlineStr">
        <is>
          <t>Not started</t>
        </is>
      </c>
      <c r="K246" s="34" t="inlineStr">
        <is>
          <t>-</t>
        </is>
      </c>
      <c r="L246" s="34" t="inlineStr">
        <is>
          <t>-</t>
        </is>
      </c>
      <c r="M246" s="34" t="inlineStr">
        <is>
          <t>-</t>
        </is>
      </c>
      <c r="N246" s="34" t="inlineStr">
        <is>
          <t>Needs the sandbox payment workflow; two stale lifecycle E2E steps to refresh</t>
        </is>
      </c>
      <c r="O246" s="34" t="inlineStr">
        <is>
          <t>-</t>
        </is>
      </c>
      <c r="P246" s="34" t="inlineStr">
        <is>
          <t>Not tracked</t>
        </is>
      </c>
      <c r="Q246" s="34" t="inlineStr">
        <is>
          <t>New: listed as next in the 13 Oct status sheet.</t>
        </is>
      </c>
      <c r="R246" s="34" t="inlineStr">
        <is>
          <t>docs/gokesari-audit/GOKESARI_FEATURE_STATUS_REPORT_2026-10-13.xlsx</t>
        </is>
      </c>
    </row>
    <row r="247" ht="27" customHeight="1" s="24">
      <c r="A247" s="32" t="n">
        <v>246</v>
      </c>
      <c r="B247" s="34" t="inlineStr">
        <is>
          <t>Known gaps (not started)</t>
        </is>
      </c>
      <c r="C247" s="31" t="inlineStr">
        <is>
          <t>GAP-001</t>
        </is>
      </c>
      <c r="D247" s="34" t="inlineStr">
        <is>
          <t>Delivery</t>
        </is>
      </c>
      <c r="E247" s="34" t="inlineStr">
        <is>
          <t>Pickup QR code</t>
        </is>
      </c>
      <c r="F247" s="34" t="inlineStr">
        <is>
          <t>Pickup is confirmed with a code only; no QR.</t>
        </is>
      </c>
      <c r="G247" s="34" t="inlineStr">
        <is>
          <t>F4.1.3</t>
        </is>
      </c>
      <c r="H247" s="34" t="inlineStr">
        <is>
          <t>-</t>
        </is>
      </c>
      <c r="I247" s="32" t="inlineStr">
        <is>
          <t>YET TO START</t>
        </is>
      </c>
      <c r="J247" s="34" t="inlineStr">
        <is>
          <t>Not started</t>
        </is>
      </c>
      <c r="K247" s="34" t="inlineStr">
        <is>
          <t>-</t>
        </is>
      </c>
      <c r="L247" s="34" t="inlineStr">
        <is>
          <t>-</t>
        </is>
      </c>
      <c r="M247" s="34" t="inlineStr">
        <is>
          <t>-</t>
        </is>
      </c>
      <c r="N247" s="34" t="inlineStr">
        <is>
          <t>Build if wanted</t>
        </is>
      </c>
      <c r="O247" s="34" t="inlineStr">
        <is>
          <t>-</t>
        </is>
      </c>
      <c r="P247" s="34" t="inlineStr">
        <is>
          <t>YET TO START</t>
        </is>
      </c>
      <c r="Q247" s="34" t="inlineStr">
        <is>
          <t>No change</t>
        </is>
      </c>
      <c r="R247" s="34" t="inlineStr">
        <is>
          <t>6 Oct flow diagram, step 19</t>
        </is>
      </c>
    </row>
    <row r="248" ht="27" customHeight="1" s="24">
      <c r="A248" s="32" t="n">
        <v>247</v>
      </c>
      <c r="B248" s="34" t="inlineStr">
        <is>
          <t>Known gaps (not started)</t>
        </is>
      </c>
      <c r="C248" s="31" t="inlineStr">
        <is>
          <t>GAP-002</t>
        </is>
      </c>
      <c r="D248" s="34" t="inlineStr">
        <is>
          <t>Delivery</t>
        </is>
      </c>
      <c r="E248" s="34" t="inlineStr">
        <is>
          <t>In-app turn-by-turn navigation</t>
        </is>
      </c>
      <c r="F248" s="34" t="inlineStr">
        <is>
          <t>Riders get a Google Maps deep link; no in-app navigation.</t>
        </is>
      </c>
      <c r="G248" s="34" t="inlineStr">
        <is>
          <t>F4.2.2</t>
        </is>
      </c>
      <c r="H248" s="34" t="inlineStr">
        <is>
          <t>-</t>
        </is>
      </c>
      <c r="I248" s="32" t="inlineStr">
        <is>
          <t>YET TO START</t>
        </is>
      </c>
      <c r="J248" s="34" t="inlineStr">
        <is>
          <t>Not started</t>
        </is>
      </c>
      <c r="K248" s="34" t="inlineStr">
        <is>
          <t>-</t>
        </is>
      </c>
      <c r="L248" s="34" t="inlineStr">
        <is>
          <t>-</t>
        </is>
      </c>
      <c r="M248" s="34" t="inlineStr">
        <is>
          <t>-</t>
        </is>
      </c>
      <c r="N248" s="34" t="inlineStr">
        <is>
          <t>Build if wanted</t>
        </is>
      </c>
      <c r="O248" s="34" t="inlineStr">
        <is>
          <t>-</t>
        </is>
      </c>
      <c r="P248" s="34" t="inlineStr">
        <is>
          <t>YET TO START</t>
        </is>
      </c>
      <c r="Q248" s="34" t="inlineStr">
        <is>
          <t>No change</t>
        </is>
      </c>
      <c r="R248" s="34" t="inlineStr">
        <is>
          <t>6 Oct flow diagram, step 20</t>
        </is>
      </c>
    </row>
    <row r="249" ht="27" customHeight="1" s="24">
      <c r="A249" s="32" t="n">
        <v>248</v>
      </c>
      <c r="B249" s="34" t="inlineStr">
        <is>
          <t>Known gaps (not started)</t>
        </is>
      </c>
      <c r="C249" s="31" t="inlineStr">
        <is>
          <t>GAP-003</t>
        </is>
      </c>
      <c r="D249" s="34" t="inlineStr">
        <is>
          <t>Delivery</t>
        </is>
      </c>
      <c r="E249" s="34" t="inlineStr">
        <is>
          <t>Signature capture at delivery</t>
        </is>
      </c>
      <c r="F249" s="34" t="inlineStr">
        <is>
          <t>Delivery proof is OTP + optional photo; no signature.</t>
        </is>
      </c>
      <c r="G249" s="34" t="inlineStr">
        <is>
          <t>F4.2.6</t>
        </is>
      </c>
      <c r="H249" s="34" t="inlineStr">
        <is>
          <t>-</t>
        </is>
      </c>
      <c r="I249" s="32" t="inlineStr">
        <is>
          <t>YET TO START</t>
        </is>
      </c>
      <c r="J249" s="34" t="inlineStr">
        <is>
          <t>Not started</t>
        </is>
      </c>
      <c r="K249" s="34" t="inlineStr">
        <is>
          <t>-</t>
        </is>
      </c>
      <c r="L249" s="34" t="inlineStr">
        <is>
          <t>-</t>
        </is>
      </c>
      <c r="M249" s="34" t="inlineStr">
        <is>
          <t>-</t>
        </is>
      </c>
      <c r="N249" s="34" t="inlineStr">
        <is>
          <t>Build if wanted</t>
        </is>
      </c>
      <c r="O249" s="34" t="inlineStr">
        <is>
          <t>-</t>
        </is>
      </c>
      <c r="P249" s="34" t="inlineStr">
        <is>
          <t>YET TO START</t>
        </is>
      </c>
      <c r="Q249" s="34" t="inlineStr">
        <is>
          <t>No change</t>
        </is>
      </c>
      <c r="R249" s="34" t="inlineStr">
        <is>
          <t>6 Oct flow diagram, step 22</t>
        </is>
      </c>
    </row>
    <row r="250" ht="27" customHeight="1" s="24">
      <c r="A250" s="32" t="n">
        <v>249</v>
      </c>
      <c r="B250" s="34" t="inlineStr">
        <is>
          <t>Known gaps (not started)</t>
        </is>
      </c>
      <c r="C250" s="31" t="inlineStr">
        <is>
          <t>GAP-004</t>
        </is>
      </c>
      <c r="D250" s="34" t="inlineStr">
        <is>
          <t>Delivery</t>
        </is>
      </c>
      <c r="E250" s="34" t="inlineStr">
        <is>
          <t>Broadcast job offers / radius widening</t>
        </is>
      </c>
      <c r="F250" s="34" t="inlineStr">
        <is>
          <t>Offers go to one rider at a time; the search radius is not widened.</t>
        </is>
      </c>
      <c r="G250" s="34" t="inlineStr">
        <is>
          <t>F3.3.2</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17</t>
        </is>
      </c>
    </row>
    <row r="251" ht="27" customHeight="1" s="24">
      <c r="A251" s="32" t="n">
        <v>250</v>
      </c>
      <c r="B251" s="34" t="inlineStr">
        <is>
          <t>Known gaps (not started)</t>
        </is>
      </c>
      <c r="C251" s="31" t="inlineStr">
        <is>
          <t>GAP-005</t>
        </is>
      </c>
      <c r="D251" s="34" t="inlineStr">
        <is>
          <t>Finance</t>
        </is>
      </c>
      <c r="E251" s="34" t="inlineStr">
        <is>
          <t>Automated bank transfer for settlements and rider payouts</t>
        </is>
      </c>
      <c r="F251" s="34" t="inlineStr">
        <is>
          <t>Settlements and payouts are calculated; the bank transfer itself is manual.</t>
        </is>
      </c>
      <c r="G251" s="34" t="inlineStr">
        <is>
          <t>F10.2.4</t>
        </is>
      </c>
      <c r="H251" s="34" t="inlineStr">
        <is>
          <t>-</t>
        </is>
      </c>
      <c r="I251" s="32" t="inlineStr">
        <is>
          <t>YET TO START</t>
        </is>
      </c>
      <c r="J251" s="34" t="inlineStr">
        <is>
          <t>Not started</t>
        </is>
      </c>
      <c r="K251" s="34" t="inlineStr">
        <is>
          <t>-</t>
        </is>
      </c>
      <c r="L251" s="34" t="inlineStr">
        <is>
          <t>-</t>
        </is>
      </c>
      <c r="M251" s="34" t="inlineStr">
        <is>
          <t>-</t>
        </is>
      </c>
      <c r="N251" s="34" t="inlineStr">
        <is>
          <t>Payout-API integration</t>
        </is>
      </c>
      <c r="O251" s="34" t="inlineStr">
        <is>
          <t>-</t>
        </is>
      </c>
      <c r="P251" s="34" t="inlineStr">
        <is>
          <t>YET TO START</t>
        </is>
      </c>
      <c r="Q251" s="34" t="inlineStr">
        <is>
          <t>No change</t>
        </is>
      </c>
      <c r="R251" s="34" t="inlineStr">
        <is>
          <t>6 Oct flow diagram, step 30</t>
        </is>
      </c>
    </row>
    <row r="252" ht="27" customHeight="1" s="24">
      <c r="A252" s="32" t="n">
        <v>251</v>
      </c>
      <c r="B252" s="34" t="inlineStr">
        <is>
          <t>Known gaps (not started)</t>
        </is>
      </c>
      <c r="C252" s="31" t="inlineStr">
        <is>
          <t>GAP-006</t>
        </is>
      </c>
      <c r="D252" s="34" t="inlineStr">
        <is>
          <t>Finance</t>
        </is>
      </c>
      <c r="E252" s="34" t="inlineStr">
        <is>
          <t>Platform tax invoice for GoKesari's own fees (D6)</t>
        </is>
      </c>
      <c r="F252" s="34" t="inlineStr">
        <is>
          <t>The delivery fee is not invoiced and no SAC code is configured.</t>
        </is>
      </c>
      <c r="G252" s="34" t="inlineStr">
        <is>
          <t>F10.2.5</t>
        </is>
      </c>
      <c r="H252" s="34" t="inlineStr">
        <is>
          <t>-</t>
        </is>
      </c>
      <c r="I252" s="32" t="inlineStr">
        <is>
          <t>YET TO START</t>
        </is>
      </c>
      <c r="J252" s="34" t="inlineStr">
        <is>
          <t>Not started</t>
        </is>
      </c>
      <c r="K252" s="34" t="inlineStr">
        <is>
          <t>-</t>
        </is>
      </c>
      <c r="L252" s="34" t="inlineStr">
        <is>
          <t>-</t>
        </is>
      </c>
      <c r="M252" s="34" t="inlineStr">
        <is>
          <t>-</t>
        </is>
      </c>
      <c r="N252" s="34" t="inlineStr">
        <is>
          <t>Platform invoice + SAC</t>
        </is>
      </c>
      <c r="O252" s="34" t="inlineStr">
        <is>
          <t>D6 settlement model (pending)</t>
        </is>
      </c>
      <c r="P252" s="34" t="inlineStr">
        <is>
          <t>YET TO START</t>
        </is>
      </c>
      <c r="Q252" s="34" t="inlineStr">
        <is>
          <t>No change</t>
        </is>
      </c>
      <c r="R252" s="34" t="inlineStr">
        <is>
          <t>ITEMS_A_E_2026-10-07.md section 5</t>
        </is>
      </c>
    </row>
    <row r="253" ht="63" customHeight="1" s="24">
      <c r="A253" s="32" t="n">
        <v>252</v>
      </c>
      <c r="B253" s="34" t="inlineStr">
        <is>
          <t>Known gaps (not started)</t>
        </is>
      </c>
      <c r="C253" s="31" t="inlineStr">
        <is>
          <t>GAP-007</t>
        </is>
      </c>
      <c r="D253" s="34" t="inlineStr">
        <is>
          <t>Orders</t>
        </is>
      </c>
      <c r="E253" s="34" t="inlineStr">
        <is>
          <t>Customer Cancel button on My Orders</t>
        </is>
      </c>
      <c r="F253" s="34" t="inlineStr">
        <is>
          <t>Cancel order on My Orders &gt; Active, before packing, with a 'Yes, cancel order' confirmation; the order moves to Past with 'cancelled, full amount back to your wallet'. Same request and rule as the cart's open-order cancel; the server checks again.</t>
        </is>
      </c>
      <c r="G253" s="34" t="inlineStr">
        <is>
          <t>F1.9.5</t>
        </is>
      </c>
      <c r="H253" s="34" t="inlineStr">
        <is>
          <t>-</t>
        </is>
      </c>
      <c r="I253" s="32" t="inlineStr">
        <is>
          <t>COMPLETED</t>
        </is>
      </c>
      <c r="J253" s="34" t="inlineStr">
        <is>
          <t>Production (gokesari.com)</t>
        </is>
      </c>
      <c r="K253" s="34" t="inlineStr">
        <is>
          <t>Live - follows rule cancellation (CONFIRMED orders by default; until packing when customerMayCancelUntil = PREPARING)</t>
        </is>
      </c>
      <c r="L253" s="34" t="inlineStr">
        <is>
          <t>#122</t>
        </is>
      </c>
      <c r="M253" s="34" t="inlineStr">
        <is>
          <t>#123</t>
        </is>
      </c>
      <c r="N253" s="34" t="inlineStr">
        <is>
          <t>-</t>
        </is>
      </c>
      <c r="O253" s="34" t="inlineStr">
        <is>
          <t>-</t>
        </is>
      </c>
      <c r="P253" s="34" t="inlineStr">
        <is>
          <t>COMPLETED</t>
        </is>
      </c>
      <c r="Q253" s="34" t="inlineStr">
        <is>
          <t>No change</t>
        </is>
      </c>
      <c r="R253" s="34" t="inlineStr">
        <is>
          <t>src/app/orders/page.tsx; docs/tile-board-2026-10/TEST_RESULTS_UI_PASS.md (C-08, C-15)</t>
        </is>
      </c>
    </row>
    <row r="254" ht="63" customHeight="1" s="24">
      <c r="A254" s="32" t="n">
        <v>253</v>
      </c>
      <c r="B254" s="34" t="inlineStr">
        <is>
          <t>Known gaps (not started)</t>
        </is>
      </c>
      <c r="C254" s="31" t="inlineStr">
        <is>
          <t>GAP-008</t>
        </is>
      </c>
      <c r="D254" s="34" t="inlineStr">
        <is>
          <t>Location</t>
        </is>
      </c>
      <c r="E254" s="34" t="inlineStr">
        <is>
          <t>Map 'Confirm location' answers 500 on test.gokesari.com</t>
        </is>
      </c>
      <c r="F254" s="34" t="inlineStr">
        <is>
          <t>Geo-tagging an address on /profile/addresses shows 'Something went wrong' on the test site (geocoding call). The address still saves without the geo-tag. Pre-existing - not caused by the four features.</t>
        </is>
      </c>
      <c r="G254" s="34" t="inlineStr">
        <is>
          <t>F1.2.1</t>
        </is>
      </c>
      <c r="H254" s="34" t="inlineStr">
        <is>
          <t>-</t>
        </is>
      </c>
      <c r="I254" s="32" t="inlineStr">
        <is>
          <t>BLOCKED</t>
        </is>
      </c>
      <c r="J254" s="34" t="inlineStr">
        <is>
          <t>Test site only (test.gokesari.com)</t>
        </is>
      </c>
      <c r="K254" s="34" t="inlineStr">
        <is>
          <t>-</t>
        </is>
      </c>
      <c r="L254" s="34" t="inlineStr">
        <is>
          <t>-</t>
        </is>
      </c>
      <c r="M254" s="34" t="inlineStr">
        <is>
          <t>-</t>
        </is>
      </c>
      <c r="N254" s="34" t="inlineStr">
        <is>
          <t>Cause found (N-1): the test server key GOOGLE_MAPS_SERVER_API_KEY is restricted by HTTP referrer, so Google refuses server calls. Switch it to an IP restriction; check production's key too</t>
        </is>
      </c>
      <c r="O254" s="34" t="inlineStr">
        <is>
          <t>Owner: change the Maps server key restriction</t>
        </is>
      </c>
      <c r="P254" s="34" t="inlineStr">
        <is>
          <t>YET TO START</t>
        </is>
      </c>
      <c r="Q254" s="34" t="inlineStr">
        <is>
          <t>Root cause found in the Nearby test run (docs/nearby-referral-2026-10/TEST_RESULTS.md, N-1).</t>
        </is>
      </c>
      <c r="R254" s="34" t="inlineStr">
        <is>
          <t>docs/four-features-2026-10/TEST_RESULTS.md (Regression - address)</t>
        </is>
      </c>
    </row>
    <row r="255" ht="51" customHeight="1" s="24">
      <c r="A255" s="32" t="n">
        <v>254</v>
      </c>
      <c r="B255" s="34" t="inlineStr">
        <is>
          <t>Known gaps (not started)</t>
        </is>
      </c>
      <c r="C255" s="31" t="inlineStr">
        <is>
          <t>GAP-009</t>
        </is>
      </c>
      <c r="D255" s="34" t="inlineStr">
        <is>
          <t>Notifications</t>
        </is>
      </c>
      <c r="E255" s="34" t="inlineStr">
        <is>
          <t>Email sending capacity (mail host hourly limit)</t>
        </is>
      </c>
      <c r="F255" s="34" t="inlineStr">
        <is>
          <t>The test site's mailbox hit Hostinger's hourly sending cap ('451 4.7.1 Ratelimit hostinger_out_ratelimit exceeded'); emails were retried with back-off and a few marked DEAD. A busy production day sends more than the test run did.</t>
        </is>
      </c>
      <c r="G255" s="34" t="inlineStr">
        <is>
          <t>F13.1.1</t>
        </is>
      </c>
      <c r="H255" s="34" t="inlineStr">
        <is>
          <t>-</t>
        </is>
      </c>
      <c r="I255" s="32" t="inlineStr">
        <is>
          <t>YET TO START</t>
        </is>
      </c>
      <c r="J255" s="34" t="inlineStr">
        <is>
          <t>Not started</t>
        </is>
      </c>
      <c r="K255" s="34" t="inlineStr">
        <is>
          <t>-</t>
        </is>
      </c>
      <c r="L255" s="34" t="inlineStr">
        <is>
          <t>-</t>
        </is>
      </c>
      <c r="M255" s="34" t="inlineStr">
        <is>
          <t>-</t>
        </is>
      </c>
      <c r="N255" s="34" t="inlineStr">
        <is>
          <t>Raise the limit with the host or send through a transactional email service; check SPF/DKIM</t>
        </is>
      </c>
      <c r="O255" s="34" t="inlineStr">
        <is>
          <t>Owner: email provider choice</t>
        </is>
      </c>
      <c r="P255" s="34" t="inlineStr">
        <is>
          <t>YET TO START</t>
        </is>
      </c>
      <c r="Q255" s="34" t="inlineStr">
        <is>
          <t>No change</t>
        </is>
      </c>
      <c r="R255" s="34" t="inlineStr">
        <is>
          <t>docs/four-features-2026-10/README.md section 5 item 2 (S-5)</t>
        </is>
      </c>
    </row>
    <row r="256" ht="39" customHeight="1" s="24">
      <c r="A256" s="32" t="n">
        <v>255</v>
      </c>
      <c r="B256" s="34" t="inlineStr">
        <is>
          <t>Known gaps (not started)</t>
        </is>
      </c>
      <c r="C256" s="31" t="inlineStr">
        <is>
          <t>GAP-010</t>
        </is>
      </c>
      <c r="D256" s="34" t="inlineStr">
        <is>
          <t>Performance</t>
        </is>
      </c>
      <c r="E256" s="34" t="inlineStr">
        <is>
          <t>Slow signed-in pages and cold first visits (database far from the web server)</t>
        </is>
      </c>
      <c r="F256" s="34" t="inlineStr">
        <is>
          <t>Signed-in pages take 3.4-5.1 s of server time on the test site; the first visit after a quiet spell waits ~4 s on gokesari.com. Root cause: Neon database in us-east-2 and connections closed after 20 s idle.</t>
        </is>
      </c>
      <c r="G256" s="34" t="inlineStr">
        <is>
          <t>-</t>
        </is>
      </c>
      <c r="H256" s="34" t="inlineStr">
        <is>
          <t>-</t>
        </is>
      </c>
      <c r="I256" s="32" t="inlineStr">
        <is>
          <t>BLOCKED</t>
        </is>
      </c>
      <c r="J256" s="34" t="inlineStr">
        <is>
          <t>Not started</t>
        </is>
      </c>
      <c r="K256" s="34" t="inlineStr">
        <is>
          <t>-</t>
        </is>
      </c>
      <c r="L256" s="34" t="inlineStr">
        <is>
          <t>-</t>
        </is>
      </c>
      <c r="M256" s="34" t="inlineStr">
        <is>
          <t>-</t>
        </is>
      </c>
      <c r="N256" s="34" t="inlineStr">
        <is>
          <t>Database and web server in the same region and a longer idle timeout; then prepared statements (PLT-013)</t>
        </is>
      </c>
      <c r="O256" s="34" t="inlineStr">
        <is>
          <t>Owner: hosting decision (Blockers #35)</t>
        </is>
      </c>
      <c r="P256" s="34" t="inlineStr">
        <is>
          <t>BLOCKED</t>
        </is>
      </c>
      <c r="Q256" s="34" t="inlineStr">
        <is>
          <t>Not addressed since 10 Oct. The new test databases for the split are in Neon us-east-2.</t>
        </is>
      </c>
      <c r="R256" s="34" t="inlineStr">
        <is>
          <t>GoKesari_UI_Issue_Register_2026-10-09.xlsx (PERF-01, PERF-02)</t>
        </is>
      </c>
    </row>
    <row r="257" ht="27" customHeight="1" s="24">
      <c r="A257" s="32" t="n">
        <v>256</v>
      </c>
      <c r="B257" s="34" t="inlineStr">
        <is>
          <t>Known gaps (not started)</t>
        </is>
      </c>
      <c r="C257" s="31" t="inlineStr">
        <is>
          <t>GAP-011</t>
        </is>
      </c>
      <c r="D257" s="34" t="inlineStr">
        <is>
          <t>Search</t>
        </is>
      </c>
      <c r="E257" s="34" t="inlineStr">
        <is>
          <t>Search shows '0 shops' for products that nearby shops sell</t>
        </is>
      </c>
      <c r="F257" s="34" t="inlineStr">
        <is>
          <t>Search 'milk' lists products but 0 shops.</t>
        </is>
      </c>
      <c r="G257" s="34" t="inlineStr">
        <is>
          <t>F1.4.1</t>
        </is>
      </c>
      <c r="H257" s="34" t="inlineStr">
        <is>
          <t>-</t>
        </is>
      </c>
      <c r="I257" s="32" t="inlineStr">
        <is>
          <t>YET TO START</t>
        </is>
      </c>
      <c r="J257" s="34" t="inlineStr">
        <is>
          <t>Not started</t>
        </is>
      </c>
      <c r="K257" s="34" t="inlineStr">
        <is>
          <t>-</t>
        </is>
      </c>
      <c r="L257" s="34" t="inlineStr">
        <is>
          <t>-</t>
        </is>
      </c>
      <c r="M257" s="34" t="inlineStr">
        <is>
          <t>-</t>
        </is>
      </c>
      <c r="N257" s="34" t="inlineStr">
        <is>
          <t>Fix shop matching in search (back-end)</t>
        </is>
      </c>
      <c r="O257" s="34" t="inlineStr">
        <is>
          <t>-</t>
        </is>
      </c>
      <c r="P257" s="34" t="inlineStr">
        <is>
          <t>YET TO START</t>
        </is>
      </c>
      <c r="Q257" s="34" t="inlineStr">
        <is>
          <t>No change</t>
        </is>
      </c>
      <c r="R257" s="34" t="inlineStr">
        <is>
          <t>GoKesari_UI_Issue_Register_2026-10-09.xlsx (AUD-21)</t>
        </is>
      </c>
    </row>
    <row r="258" ht="27" customHeight="1" s="24">
      <c r="A258" s="32" t="n">
        <v>257</v>
      </c>
      <c r="B258" s="34" t="inlineStr">
        <is>
          <t>Known gaps (not started)</t>
        </is>
      </c>
      <c r="C258" s="31" t="inlineStr">
        <is>
          <t>GAP-012</t>
        </is>
      </c>
      <c r="D258" s="34" t="inlineStr">
        <is>
          <t>Disputes</t>
        </is>
      </c>
      <c r="E258" s="34" t="inlineStr">
        <is>
          <t>Admin dispute resolution gives no visible confirmation</t>
        </is>
      </c>
      <c r="F258" s="34" t="inlineStr">
        <is>
          <t>Resolving a dispute applied after a few seconds with no busy state or success message; a repeat click was refused (409).</t>
        </is>
      </c>
      <c r="G258" s="34" t="inlineStr">
        <is>
          <t>F6.3.2</t>
        </is>
      </c>
      <c r="H258" s="34" t="inlineStr">
        <is>
          <t>-</t>
        </is>
      </c>
      <c r="I258" s="32" t="inlineStr">
        <is>
          <t>YET TO START</t>
        </is>
      </c>
      <c r="J258" s="34" t="inlineStr">
        <is>
          <t>Not started</t>
        </is>
      </c>
      <c r="K258" s="34" t="inlineStr">
        <is>
          <t>-</t>
        </is>
      </c>
      <c r="L258" s="34" t="inlineStr">
        <is>
          <t>-</t>
        </is>
      </c>
      <c r="M258" s="34" t="inlineStr">
        <is>
          <t>-</t>
        </is>
      </c>
      <c r="N258" s="34" t="inlineStr">
        <is>
          <t>Busy state and success message on the resolve form</t>
        </is>
      </c>
      <c r="O258" s="34" t="inlineStr">
        <is>
          <t>-</t>
        </is>
      </c>
      <c r="P258" s="34" t="inlineStr">
        <is>
          <t>YET TO START</t>
        </is>
      </c>
      <c r="Q258" s="34" t="inlineStr">
        <is>
          <t>No change</t>
        </is>
      </c>
      <c r="R258" s="34" t="inlineStr">
        <is>
          <t>GoKesari_UI_Issue_Register_2026-10-09.xlsx (TST-01)</t>
        </is>
      </c>
    </row>
    <row r="259" ht="27" customHeight="1" s="24">
      <c r="A259" s="32" t="n">
        <v>258</v>
      </c>
      <c r="B259" s="34" t="inlineStr">
        <is>
          <t>Known gaps (not started)</t>
        </is>
      </c>
      <c r="C259" s="31" t="inlineStr">
        <is>
          <t>GAP-013</t>
        </is>
      </c>
      <c r="D259" s="34" t="inlineStr">
        <is>
          <t>Returns</t>
        </is>
      </c>
      <c r="E259" s="34" t="inlineStr">
        <is>
          <t>Approved return waiting for a rider cannot be completed by staff</t>
        </is>
      </c>
      <c r="F259" s="34" t="inlineStr">
        <is>
          <t>Manual completion of a return pickup is offered to staff only once a rider is on the way.</t>
        </is>
      </c>
      <c r="G259" s="34" t="inlineStr">
        <is>
          <t>-</t>
        </is>
      </c>
      <c r="H259" s="34" t="inlineStr">
        <is>
          <t>-</t>
        </is>
      </c>
      <c r="I259" s="32" t="inlineStr">
        <is>
          <t>YET TO START</t>
        </is>
      </c>
      <c r="J259" s="34" t="inlineStr">
        <is>
          <t>Not started</t>
        </is>
      </c>
      <c r="K259" s="34" t="inlineStr">
        <is>
          <t>-</t>
        </is>
      </c>
      <c r="L259" s="34" t="inlineStr">
        <is>
          <t>-</t>
        </is>
      </c>
      <c r="M259" s="34" t="inlineStr">
        <is>
          <t>-</t>
        </is>
      </c>
      <c r="N259" s="34" t="inlineStr">
        <is>
          <t>Decide whether staff may complete a pickup without a rider</t>
        </is>
      </c>
      <c r="O259" s="34" t="inlineStr">
        <is>
          <t>Owner: business rule</t>
        </is>
      </c>
      <c r="P259" s="34" t="inlineStr">
        <is>
          <t>YET TO START</t>
        </is>
      </c>
      <c r="Q259" s="34" t="inlineStr">
        <is>
          <t>No change</t>
        </is>
      </c>
      <c r="R259" s="34" t="inlineStr">
        <is>
          <t>GoKesari_UI_Issue_Register_2026-10-09.xlsx (TST-02)</t>
        </is>
      </c>
    </row>
    <row r="260" ht="27" customHeight="1" s="24">
      <c r="A260" s="32" t="n">
        <v>259</v>
      </c>
      <c r="B260" s="34" t="inlineStr">
        <is>
          <t>Known gaps (not started)</t>
        </is>
      </c>
      <c r="C260" s="31" t="inlineStr">
        <is>
          <t>GAP-014</t>
        </is>
      </c>
      <c r="D260" s="34" t="inlineStr">
        <is>
          <t>Orders</t>
        </is>
      </c>
      <c r="E260" s="34" t="inlineStr">
        <is>
          <t>/orders?tab=returns shows the Active list</t>
        </is>
      </c>
      <c r="F260" s="34" t="inlineStr">
        <is>
          <t>The Returns tab links to /returns; opening /orders?tab=returns directly shows Active orders.</t>
        </is>
      </c>
      <c r="G260" s="34" t="inlineStr">
        <is>
          <t>F1.9.1</t>
        </is>
      </c>
      <c r="H260" s="34" t="inlineStr">
        <is>
          <t>-</t>
        </is>
      </c>
      <c r="I260" s="32" t="inlineStr">
        <is>
          <t>YET TO START</t>
        </is>
      </c>
      <c r="J260" s="34" t="inlineStr">
        <is>
          <t>Not started</t>
        </is>
      </c>
      <c r="K260" s="34" t="inlineStr">
        <is>
          <t>-</t>
        </is>
      </c>
      <c r="L260" s="34" t="inlineStr">
        <is>
          <t>-</t>
        </is>
      </c>
      <c r="M260" s="34" t="inlineStr">
        <is>
          <t>-</t>
        </is>
      </c>
      <c r="N260" s="34" t="inlineStr">
        <is>
          <t>Map tab=returns to /returns</t>
        </is>
      </c>
      <c r="O260" s="34" t="inlineStr">
        <is>
          <t>-</t>
        </is>
      </c>
      <c r="P260" s="34" t="inlineStr">
        <is>
          <t>YET TO START</t>
        </is>
      </c>
      <c r="Q260" s="34" t="inlineStr">
        <is>
          <t>No change</t>
        </is>
      </c>
      <c r="R260" s="34" t="inlineStr">
        <is>
          <t>GoKesari_UI_Issue_Register_2026-10-09.xlsx (TST-03)</t>
        </is>
      </c>
    </row>
    <row r="261" ht="27" customHeight="1" s="24">
      <c r="A261" s="32" t="n">
        <v>260</v>
      </c>
      <c r="B261" s="34" t="inlineStr">
        <is>
          <t>Known gaps (not started)</t>
        </is>
      </c>
      <c r="C261" s="31" t="inlineStr">
        <is>
          <t>GAP-015</t>
        </is>
      </c>
      <c r="D261" s="34" t="inlineStr">
        <is>
          <t>Navigation / UX</t>
        </is>
      </c>
      <c r="E261" s="34" t="inlineStr">
        <is>
          <t>Hindi / Marathi for the body of inner pages</t>
        </is>
      </c>
      <c r="F261" s="34" t="inlineStr">
        <is>
          <t>Boards, header, menus, tabs and error screens are translated; forms, tables and policy pages are English.</t>
        </is>
      </c>
      <c r="G261" s="34" t="inlineStr">
        <is>
          <t>-</t>
        </is>
      </c>
      <c r="H261" s="34" t="inlineStr">
        <is>
          <t>-</t>
        </is>
      </c>
      <c r="I261" s="32" t="inlineStr">
        <is>
          <t>YET TO START</t>
        </is>
      </c>
      <c r="J261" s="34" t="inlineStr">
        <is>
          <t>Not started</t>
        </is>
      </c>
      <c r="K261" s="34" t="inlineStr">
        <is>
          <t>-</t>
        </is>
      </c>
      <c r="L261" s="34" t="inlineStr">
        <is>
          <t>-</t>
        </is>
      </c>
      <c r="M261" s="34" t="inlineStr">
        <is>
          <t>-</t>
        </is>
      </c>
      <c r="N261" s="34" t="inlineStr">
        <is>
          <t>Translate the remaining strings with a native-speaker review</t>
        </is>
      </c>
      <c r="O261" s="34" t="inlineStr">
        <is>
          <t>Owner: decision (Blockers #38)</t>
        </is>
      </c>
      <c r="P261" s="34" t="inlineStr">
        <is>
          <t>YET TO START</t>
        </is>
      </c>
      <c r="Q261" s="34" t="inlineStr">
        <is>
          <t>No change</t>
        </is>
      </c>
      <c r="R261" s="34" t="inlineStr">
        <is>
          <t>GoKesari_UI_Issue_Register_2026-10-09.xlsx (DT-13)</t>
        </is>
      </c>
    </row>
    <row r="262" ht="39" customHeight="1" s="24">
      <c r="A262" s="32" t="n">
        <v>261</v>
      </c>
      <c r="B262" s="34" t="inlineStr">
        <is>
          <t>Known gaps (not started)</t>
        </is>
      </c>
      <c r="C262" s="31" t="inlineStr">
        <is>
          <t>GAP-016</t>
        </is>
      </c>
      <c r="D262" s="34" t="inlineStr">
        <is>
          <t>Platform</t>
        </is>
      </c>
      <c r="E262" s="34" t="inlineStr">
        <is>
          <t>Same Drizzle bare-id subquery bug in rider reliability and the integrations 'listed' flag</t>
        </is>
      </c>
      <c r="F262" s="34" t="inlineStr">
        <is>
          <t>The bug fixed in #138 (counts of 0) also appears in delivery-assignment.ts (rider reliability) and integrations pull.ts / connections.ts. Reported, not fixed.</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Apply the #138 fix pattern and add regression tests</t>
        </is>
      </c>
      <c r="O262" s="34" t="inlineStr">
        <is>
          <t>-</t>
        </is>
      </c>
      <c r="P262" s="34" t="inlineStr">
        <is>
          <t>Not tracked</t>
        </is>
      </c>
      <c r="Q262" s="34" t="inlineStr">
        <is>
          <t>New: found while fixing #138.</t>
        </is>
      </c>
      <c r="R262" s="34" t="inlineStr">
        <is>
          <t>PR #138 notes</t>
        </is>
      </c>
    </row>
    <row r="263" ht="27" customHeight="1" s="24">
      <c r="A263" s="32" t="n">
        <v>262</v>
      </c>
      <c r="B263" s="34" t="inlineStr">
        <is>
          <t>Known gaps (not started)</t>
        </is>
      </c>
      <c r="C263" s="31" t="inlineStr">
        <is>
          <t>GAP-017</t>
        </is>
      </c>
      <c r="D263" s="34" t="inlineStr">
        <is>
          <t>Platform</t>
        </is>
      </c>
      <c r="E263" s="34" t="inlineStr">
        <is>
          <t>React error #418 (hydration) on /wallet and /admin/orders</t>
        </is>
      </c>
      <c r="F263" s="34" t="inlineStr">
        <is>
          <t>A pre-existing hydration mismatch logged in the browser on two pages.</t>
        </is>
      </c>
      <c r="G263" s="34" t="inlineStr">
        <is>
          <t>-</t>
        </is>
      </c>
      <c r="H263" s="34" t="inlineStr">
        <is>
          <t>-</t>
        </is>
      </c>
      <c r="I263" s="32" t="inlineStr">
        <is>
          <t>YET TO START</t>
        </is>
      </c>
      <c r="J263" s="34" t="inlineStr">
        <is>
          <t>Not started</t>
        </is>
      </c>
      <c r="K263" s="34" t="inlineStr">
        <is>
          <t>-</t>
        </is>
      </c>
      <c r="L263" s="34" t="inlineStr">
        <is>
          <t>-</t>
        </is>
      </c>
      <c r="M263" s="34" t="inlineStr">
        <is>
          <t>-</t>
        </is>
      </c>
      <c r="N263" s="34" t="inlineStr">
        <is>
          <t>Find the server / client difference and fix</t>
        </is>
      </c>
      <c r="O263" s="34" t="inlineStr">
        <is>
          <t>-</t>
        </is>
      </c>
      <c r="P263" s="34" t="inlineStr">
        <is>
          <t>Not tracked</t>
        </is>
      </c>
      <c r="Q263" s="34" t="inlineStr">
        <is>
          <t>New: seen in the Nearby test run (N-4).</t>
        </is>
      </c>
      <c r="R263" s="34" t="inlineStr">
        <is>
          <t>docs/nearby-referral-2026-10/TEST_RESULTS.md</t>
        </is>
      </c>
    </row>
  </sheetData>
  <autoFilter ref="A1:R263"/>
  <conditionalFormatting sqref="I2:I263">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3">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3"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EA580C"/>
    <outlinePr summaryBelow="1" summaryRight="1"/>
    <pageSetUpPr fitToPage="1"/>
  </sheetPr>
  <dimension ref="A1:I215"/>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(14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COUNTIFS($B$121:$B$142,3,$G$121:$G$142,"COMPLETED")&amp;" / "&amp;COUNTIF($B$121:$B$142,3)</f>
        <v/>
      </c>
      <c r="G120" s="41">
        <f>IF(COUNTIFS($B$121:$B$142,3,$G$121:$G$142,"COMPLETED")=COUNTIF($B$121:$B$142,3),"COMPLETED",IF(COUNTIFS($B$121:$B$142,3,$G$121:$G$142,"BLOCKED")&gt;0,"BLOCKED",IF(COUNTIFS($B$121:$B$142,3,$G$121:$G$142,"YET TO START")=COUNTIF($B$121:$B$142,3),"YET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27"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IN PROGRESS</t>
        </is>
      </c>
      <c r="H132" s="34" t="inlineStr">
        <is>
          <t>#146-#149</t>
        </is>
      </c>
      <c r="I132" s="34" t="inlineStr">
        <is>
          <t>Auto-read does not start on Hostinger - owners type the details</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COUNTIFS($B$140:$B$142,3,$G$140:$G$142,"COMPLETED")&amp;" / "&amp;COUNTIF($B$140:$B$142,3)</f>
        <v/>
      </c>
      <c r="G139" s="43">
        <f>IF(COUNTIFS($B$140:$B$142,3,$G$140:$G$142,"COMPLETED")=COUNTIF($B$140:$B$142,3),"COMPLETED",IF(COUNTIFS($B$140:$B$142,3,$G$140:$G$142,"BLOCKED")&gt;0,"BLOCKED",IF(COUNTIFS($B$140:$B$142,3,$G$140:$G$142,"YET TO START")=COUNTIF($B$140:$B$142,3),"YET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8" customHeight="1" s="24">
      <c r="A143" s="40" t="inlineStr">
        <is>
          <t>F9</t>
        </is>
      </c>
      <c r="B143" s="41" t="n">
        <v>1</v>
      </c>
      <c r="C143" s="40" t="inlineStr">
        <is>
          <t>F9  Catalogue and product master data</t>
        </is>
      </c>
      <c r="D143" s="40" t="inlineStr">
        <is>
          <t>Shop owner / Operator</t>
        </is>
      </c>
      <c r="E143" s="40" t="n"/>
      <c r="F143" s="41">
        <f>COUNTIFS($B$144:$B$155,3,$G$144:$G$155,"COMPLETED")&amp;" / "&amp;COUNTIF($B$144:$B$155,3)</f>
        <v/>
      </c>
      <c r="G143" s="41">
        <f>IF(COUNTIFS($B$144:$B$155,3,$G$144:$G$155,"COMPLETED")=COUNTIF($B$144:$B$155,3),"COMPLETED",IF(COUNTIFS($B$144:$B$155,3,$G$144:$G$155,"BLOCKED")&gt;0,"BLOCKED",IF(COUNTIFS($B$144:$B$155,3,$G$144:$G$155,"YET TO START")=COUNTIF($B$144:$B$155,3),"YET TO START","IN PROGRESS")))</f>
        <v/>
      </c>
      <c r="H143" s="40" t="n"/>
      <c r="I143" s="40" t="n"/>
    </row>
    <row r="144" ht="15" customHeight="1" s="24">
      <c r="A144" s="42" t="inlineStr">
        <is>
          <t>F9.1</t>
        </is>
      </c>
      <c r="B144" s="43" t="n">
        <v>2</v>
      </c>
      <c r="C144" s="44" t="inlineStr">
        <is>
          <t>F9.1  Master data</t>
        </is>
      </c>
      <c r="D144" s="42" t="n"/>
      <c r="E144" s="42" t="n"/>
      <c r="F144" s="43">
        <f>COUNTIFS($B$145:$B$148,3,$G$145:$G$148,"COMPLETED")&amp;" / "&amp;COUNTIF($B$145:$B$148,3)</f>
        <v/>
      </c>
      <c r="G144" s="43">
        <f>IF(COUNTIFS($B$145:$B$148,3,$G$145:$G$148,"COMPLETED")=COUNTIF($B$145:$B$148,3),"COMPLETED",IF(COUNTIFS($B$145:$B$148,3,$G$145:$G$148,"BLOCKED")&gt;0,"BLOCKED",IF(COUNTIFS($B$145:$B$148,3,$G$145:$G$148,"YET TO START")=COUNTIF($B$145:$B$148,3),"YET TO START","IN PROGRESS")))</f>
        <v/>
      </c>
      <c r="H144" s="42" t="n"/>
      <c r="I144" s="42" t="n"/>
    </row>
    <row r="145" ht="27" customHeight="1" s="24">
      <c r="A145" s="34" t="inlineStr">
        <is>
          <t>F9.1.1</t>
        </is>
      </c>
      <c r="B145" s="32" t="n">
        <v>3</v>
      </c>
      <c r="C145" s="45" t="inlineStr">
        <is>
          <t>Ingest lawful sources, match, review duplicates</t>
        </is>
      </c>
      <c r="D145" s="34" t="inlineStr">
        <is>
          <t>Shop owner / Operator</t>
        </is>
      </c>
      <c r="E145" s="34" t="inlineStr">
        <is>
          <t>PMD-001, PMD-003, PMD-005</t>
        </is>
      </c>
      <c r="F145" s="32" t="n"/>
      <c r="G145" s="32" t="inlineStr">
        <is>
          <t>COMPLETED</t>
        </is>
      </c>
      <c r="H145" s="34" t="inlineStr">
        <is>
          <t>#4; #9</t>
        </is>
      </c>
      <c r="I145" s="34" t="inlineStr">
        <is>
          <t>-</t>
        </is>
      </c>
    </row>
    <row r="146" ht="27" customHeight="1" s="24">
      <c r="A146" s="34" t="inlineStr">
        <is>
          <t>F9.1.2</t>
        </is>
      </c>
      <c r="B146" s="32" t="n">
        <v>3</v>
      </c>
      <c r="C146" s="45" t="inlineStr">
        <is>
          <t>GS1 India and manufacturer feeds</t>
        </is>
      </c>
      <c r="D146" s="34" t="inlineStr">
        <is>
          <t>Shop owner / Operator</t>
        </is>
      </c>
      <c r="E146" s="34" t="inlineStr">
        <is>
          <t>PMD-002</t>
        </is>
      </c>
      <c r="F146" s="32" t="n"/>
      <c r="G146" s="32" t="inlineStr">
        <is>
          <t>BLOCKED</t>
        </is>
      </c>
      <c r="H146" s="34" t="inlineStr">
        <is>
          <t>#4</t>
        </is>
      </c>
      <c r="I146" s="34" t="inlineStr">
        <is>
          <t>Waits on agreements</t>
        </is>
      </c>
    </row>
    <row r="147" ht="27" customHeight="1" s="24">
      <c r="A147" s="34" t="inlineStr">
        <is>
          <t>F9.1.3</t>
        </is>
      </c>
      <c r="B147" s="32" t="n">
        <v>3</v>
      </c>
      <c r="C147" s="45" t="inlineStr">
        <is>
          <t>Promote master products into the shop catalogue</t>
        </is>
      </c>
      <c r="D147" s="34" t="inlineStr">
        <is>
          <t>Shop owner / Operator</t>
        </is>
      </c>
      <c r="E147" s="34" t="inlineStr">
        <is>
          <t>PMD-004</t>
        </is>
      </c>
      <c r="F147" s="32" t="n"/>
      <c r="G147" s="32" t="inlineStr">
        <is>
          <t>COMPLETED</t>
        </is>
      </c>
      <c r="H147" s="34" t="inlineStr">
        <is>
          <t>#4; #5; #6</t>
        </is>
      </c>
      <c r="I147" s="34" t="inlineStr">
        <is>
          <t>-</t>
        </is>
      </c>
    </row>
    <row r="148" ht="27" customHeight="1" s="24">
      <c r="A148" s="34" t="inlineStr">
        <is>
          <t>F9.1.4</t>
        </is>
      </c>
      <c r="B148" s="32" t="n">
        <v>3</v>
      </c>
      <c r="C148" s="45" t="inlineStr">
        <is>
          <t>Large-scale ingestion; product browser and promote button</t>
        </is>
      </c>
      <c r="D148" s="34" t="inlineStr">
        <is>
          <t>Shop owner / Operator</t>
        </is>
      </c>
      <c r="E148" s="34" t="inlineStr">
        <is>
          <t>PMD-006, PMD-007</t>
        </is>
      </c>
      <c r="F148" s="32" t="n"/>
      <c r="G148" s="32" t="inlineStr">
        <is>
          <t>YET TO START</t>
        </is>
      </c>
      <c r="H148" s="34" t="inlineStr">
        <is>
          <t>-</t>
        </is>
      </c>
      <c r="I148" s="34" t="inlineStr">
        <is>
          <t>Not started</t>
        </is>
      </c>
    </row>
    <row r="149" ht="15" customHeight="1" s="24">
      <c r="A149" s="42" t="inlineStr">
        <is>
          <t>F9.2</t>
        </is>
      </c>
      <c r="B149" s="43" t="n">
        <v>2</v>
      </c>
      <c r="C149" s="44" t="inlineStr">
        <is>
          <t>F9.2  Shop catalogue</t>
        </is>
      </c>
      <c r="D149" s="42" t="n"/>
      <c r="E149" s="42" t="n"/>
      <c r="F149" s="43">
        <f>COUNTIFS($B$150:$B$155,3,$G$150:$G$155,"COMPLETED")&amp;" / "&amp;COUNTIF($B$150:$B$155,3)</f>
        <v/>
      </c>
      <c r="G149" s="43">
        <f>IF(COUNTIFS($B$150:$B$155,3,$G$150:$G$155,"COMPLETED")=COUNTIF($B$150:$B$155,3),"COMPLETED",IF(COUNTIFS($B$150:$B$155,3,$G$150:$G$155,"BLOCKED")&gt;0,"BLOCKED",IF(COUNTIFS($B$150:$B$155,3,$G$150:$G$155,"YET TO START")=COUNTIF($B$150:$B$155,3),"YET TO START","IN PROGRESS")))</f>
        <v/>
      </c>
      <c r="H149" s="42" t="n"/>
      <c r="I149" s="42" t="n"/>
    </row>
    <row r="150" ht="27" customHeight="1" s="24">
      <c r="A150" s="34" t="inlineStr">
        <is>
          <t>F9.2.1</t>
        </is>
      </c>
      <c r="B150" s="32" t="n">
        <v>3</v>
      </c>
      <c r="C150" s="45" t="inlineStr">
        <is>
          <t>Category master and one-time categorisation</t>
        </is>
      </c>
      <c r="D150" s="34" t="inlineStr">
        <is>
          <t>Shop owner / Operator</t>
        </is>
      </c>
      <c r="E150" s="34" t="inlineStr">
        <is>
          <t>NEW-008</t>
        </is>
      </c>
      <c r="F150" s="32" t="n"/>
      <c r="G150" s="32" t="inlineStr">
        <is>
          <t>COMPLETED</t>
        </is>
      </c>
      <c r="H150" s="34" t="inlineStr">
        <is>
          <t>#38; #39</t>
        </is>
      </c>
      <c r="I150" s="34" t="inlineStr">
        <is>
          <t>-</t>
        </is>
      </c>
    </row>
    <row r="151" ht="27" customHeight="1" s="24">
      <c r="A151" s="34" t="inlineStr">
        <is>
          <t>F9.2.2</t>
        </is>
      </c>
      <c r="B151" s="32" t="n">
        <v>3</v>
      </c>
      <c r="C151" s="45" t="inlineStr">
        <is>
          <t>Create products, bulk Excel upload, approval queue</t>
        </is>
      </c>
      <c r="D151" s="34" t="inlineStr">
        <is>
          <t>Shop owner / Operator</t>
        </is>
      </c>
      <c r="E151" s="34" t="inlineStr">
        <is>
          <t>GS-012, GS-013, RBAC-005</t>
        </is>
      </c>
      <c r="F151" s="32" t="n"/>
      <c r="G151" s="32" t="inlineStr">
        <is>
          <t>COMPLETED</t>
        </is>
      </c>
      <c r="H151" s="34" t="inlineStr">
        <is>
          <t>Baseline; #38</t>
        </is>
      </c>
      <c r="I151" s="34" t="inlineStr">
        <is>
          <t>-</t>
        </is>
      </c>
    </row>
    <row r="152" ht="27" customHeight="1" s="24">
      <c r="A152" s="34" t="inlineStr">
        <is>
          <t>F9.2.3</t>
        </is>
      </c>
      <c r="B152" s="32" t="n">
        <v>3</v>
      </c>
      <c r="C152" s="45" t="inlineStr">
        <is>
          <t>MRP governance, price history, stock and thresholds</t>
        </is>
      </c>
      <c r="D152" s="34" t="inlineStr">
        <is>
          <t>Shop owner / Operator</t>
        </is>
      </c>
      <c r="E152" s="34" t="inlineStr">
        <is>
          <t>GS-015, GS-016, GS-017, GS-018</t>
        </is>
      </c>
      <c r="F152" s="32" t="n"/>
      <c r="G152" s="32" t="inlineStr">
        <is>
          <t>COMPLETED</t>
        </is>
      </c>
      <c r="H152" s="34" t="inlineStr">
        <is>
          <t>Baseline; #23; #45</t>
        </is>
      </c>
      <c r="I152" s="34" t="inlineStr">
        <is>
          <t>-</t>
        </is>
      </c>
    </row>
    <row r="153" ht="27" customHeight="1" s="24">
      <c r="A153" s="34" t="inlineStr">
        <is>
          <t>F9.2.4</t>
        </is>
      </c>
      <c r="B153" s="32" t="n">
        <v>3</v>
      </c>
      <c r="C153" s="45" t="inlineStr">
        <is>
          <t>Product images, moderation (F10), photo catalogue</t>
        </is>
      </c>
      <c r="D153" s="34" t="inlineStr">
        <is>
          <t>Shop owner / Operator</t>
        </is>
      </c>
      <c r="E153" s="34" t="inlineStr">
        <is>
          <t>GS-014, NEW-017</t>
        </is>
      </c>
      <c r="F153" s="32" t="n"/>
      <c r="G153" s="32" t="inlineStr">
        <is>
          <t>COMPLETED</t>
        </is>
      </c>
      <c r="H153" s="34" t="inlineStr">
        <is>
          <t>#23; #55; #79</t>
        </is>
      </c>
      <c r="I153" s="34" t="inlineStr">
        <is>
          <t>Moderation off by default</t>
        </is>
      </c>
    </row>
    <row r="154" ht="27" customHeight="1" s="24">
      <c r="A154" s="34" t="inlineStr">
        <is>
          <t>F9.2.5</t>
        </is>
      </c>
      <c r="B154" s="32" t="n">
        <v>3</v>
      </c>
      <c r="C154" s="45" t="inlineStr">
        <is>
          <t>Five photos + descriptions per listing, bulk ZIP/CSV, shop staff</t>
        </is>
      </c>
      <c r="D154" s="34" t="inlineStr">
        <is>
          <t>Shop owner / Operator</t>
        </is>
      </c>
      <c r="E154" s="34" t="inlineStr">
        <is>
          <t>NEW-036</t>
        </is>
      </c>
      <c r="F154" s="32" t="n"/>
      <c r="G154" s="32" t="inlineStr">
        <is>
          <t>COMPLETED</t>
        </is>
      </c>
      <c r="H154" s="34" t="inlineStr">
        <is>
          <t>#92; #120</t>
        </is>
      </c>
      <c r="I154" s="34" t="inlineStr">
        <is>
          <t>Live on gokesari.com since #120 (9 Oct)</t>
        </is>
      </c>
    </row>
    <row r="155" ht="27" customHeight="1" s="24">
      <c r="A155" s="34" t="inlineStr">
        <is>
          <t>F9.2.6</t>
        </is>
      </c>
      <c r="B155" s="32" t="n">
        <v>3</v>
      </c>
      <c r="C155" s="45" t="inlineStr">
        <is>
          <t>Accounting / inventory sync and GST (GSP)</t>
        </is>
      </c>
      <c r="D155" s="34" t="inlineStr">
        <is>
          <t>Shop owner / Operator</t>
        </is>
      </c>
      <c r="E155" s="34" t="inlineStr">
        <is>
          <t>NEW-037</t>
        </is>
      </c>
      <c r="F155" s="32" t="n"/>
      <c r="G155" s="32" t="inlineStr">
        <is>
          <t>BLOCKED</t>
        </is>
      </c>
      <c r="H155" s="34" t="inlineStr">
        <is>
          <t>#92; #120</t>
        </is>
      </c>
      <c r="I155" s="34" t="inlineStr">
        <is>
          <t>On gokesari.com since #120 on mock providers; waits on a real GSP and owner inputs P1, P3, P6</t>
        </is>
      </c>
    </row>
    <row r="156" ht="18" customHeight="1" s="24">
      <c r="A156" s="40" t="inlineStr">
        <is>
          <t>F10</t>
        </is>
      </c>
      <c r="B156" s="41" t="n">
        <v>1</v>
      </c>
      <c r="C156" s="40" t="inlineStr">
        <is>
          <t>F10  Finance: commission, settlement, payouts, wallets</t>
        </is>
      </c>
      <c r="D156" s="40" t="inlineStr">
        <is>
          <t>Finance / System</t>
        </is>
      </c>
      <c r="E156" s="40" t="n"/>
      <c r="F156" s="41">
        <f>COUNTIFS($B$157:$B$167,3,$G$157:$G$167,"COMPLETED")&amp;" / "&amp;COUNTIF($B$157:$B$167,3)</f>
        <v/>
      </c>
      <c r="G156" s="41">
        <f>IF(COUNTIFS($B$157:$B$167,3,$G$157:$G$167,"COMPLETED")=COUNTIF($B$157:$B$167,3),"COMPLETED",IF(COUNTIFS($B$157:$B$167,3,$G$157:$G$167,"BLOCKED")&gt;0,"BLOCKED",IF(COUNTIFS($B$157:$B$167,3,$G$157:$G$167,"YET TO START")=COUNTIF($B$157:$B$167,3),"YET TO START","IN PROGRESS")))</f>
        <v/>
      </c>
      <c r="H156" s="40" t="n"/>
      <c r="I156" s="40" t="n"/>
    </row>
    <row r="157" ht="15" customHeight="1" s="24">
      <c r="A157" s="42" t="inlineStr">
        <is>
          <t>F10.1</t>
        </is>
      </c>
      <c r="B157" s="43" t="n">
        <v>2</v>
      </c>
      <c r="C157" s="44" t="inlineStr">
        <is>
          <t>F10.1  Per order</t>
        </is>
      </c>
      <c r="D157" s="42" t="n"/>
      <c r="E157" s="42" t="n"/>
      <c r="F157" s="43">
        <f>COUNTIFS($B$158:$B$160,3,$G$158:$G$160,"COMPLETED")&amp;" / "&amp;COUNTIF($B$158:$B$160,3)</f>
        <v/>
      </c>
      <c r="G157" s="43">
        <f>IF(COUNTIFS($B$158:$B$160,3,$G$158:$G$160,"COMPLETED")=COUNTIF($B$158:$B$160,3),"COMPLETED",IF(COUNTIFS($B$158:$B$160,3,$G$158:$G$160,"BLOCKED")&gt;0,"BLOCKED",IF(COUNTIFS($B$158:$B$160,3,$G$158:$G$160,"YET TO START")=COUNTIF($B$158:$B$160,3),"YET TO START","IN PROGRESS")))</f>
        <v/>
      </c>
      <c r="H157" s="42" t="n"/>
      <c r="I157" s="42" t="n"/>
    </row>
    <row r="158" ht="15" customHeight="1" s="24">
      <c r="A158" s="34" t="inlineStr">
        <is>
          <t>F10.1.1</t>
        </is>
      </c>
      <c r="B158" s="32" t="n">
        <v>3</v>
      </c>
      <c r="C158" s="45" t="inlineStr">
        <is>
          <t>Commission and financial snapshot at delivery</t>
        </is>
      </c>
      <c r="D158" s="34" t="inlineStr">
        <is>
          <t>Finance / System</t>
        </is>
      </c>
      <c r="E158" s="34" t="inlineStr">
        <is>
          <t>GS-061</t>
        </is>
      </c>
      <c r="F158" s="32" t="n"/>
      <c r="G158" s="32" t="inlineStr">
        <is>
          <t>COMPLETED</t>
        </is>
      </c>
      <c r="H158" s="34" t="inlineStr">
        <is>
          <t>#10</t>
        </is>
      </c>
      <c r="I158" s="34" t="inlineStr">
        <is>
          <t>-</t>
        </is>
      </c>
    </row>
    <row r="159" ht="15" customHeight="1" s="24">
      <c r="A159" s="34" t="inlineStr">
        <is>
          <t>F10.1.2</t>
        </is>
      </c>
      <c r="B159" s="32" t="n">
        <v>3</v>
      </c>
      <c r="C159" s="45" t="inlineStr">
        <is>
          <t>Tax invoice or bill of supply per delivered order</t>
        </is>
      </c>
      <c r="D159" s="34" t="inlineStr">
        <is>
          <t>Finance / System</t>
        </is>
      </c>
      <c r="E159" s="34" t="inlineStr">
        <is>
          <t>NEW-007</t>
        </is>
      </c>
      <c r="F159" s="32" t="n"/>
      <c r="G159" s="32" t="inlineStr">
        <is>
          <t>COMPLETED</t>
        </is>
      </c>
      <c r="H159" s="34" t="inlineStr">
        <is>
          <t>#58</t>
        </is>
      </c>
      <c r="I159" s="34" t="inlineStr">
        <is>
          <t>Off by default; CA check pending</t>
        </is>
      </c>
    </row>
    <row r="160" ht="39" customHeight="1" s="24">
      <c r="A160" s="34" t="inlineStr">
        <is>
          <t>F10.1.3</t>
        </is>
      </c>
      <c r="B160" s="32" t="n">
        <v>3</v>
      </c>
      <c r="C160" s="45" t="inlineStr">
        <is>
          <t>Shop prepaid wallet: commission + Rs 5/km delivery charge debited</t>
        </is>
      </c>
      <c r="D160" s="34" t="inlineStr">
        <is>
          <t>Finance / System</t>
        </is>
      </c>
      <c r="E160" s="34" t="inlineStr">
        <is>
          <t>NEW-033, NEW-034</t>
        </is>
      </c>
      <c r="F160" s="32" t="n"/>
      <c r="G160" s="32" t="inlineStr">
        <is>
          <t>COMPLETED</t>
        </is>
      </c>
      <c r="H160" s="34" t="inlineStr">
        <is>
          <t>#91; #98; #120</t>
        </is>
      </c>
      <c r="I160" s="34" t="inlineStr">
        <is>
          <t>On gokesari.com since #120 (9 Oct), switched off by default - switch on in Admin &gt; Business rules</t>
        </is>
      </c>
    </row>
    <row r="161" ht="15" customHeight="1" s="24">
      <c r="A161" s="42" t="inlineStr">
        <is>
          <t>F10.2</t>
        </is>
      </c>
      <c r="B161" s="43" t="n">
        <v>2</v>
      </c>
      <c r="C161" s="44" t="inlineStr">
        <is>
          <t>F10.2  Periodic</t>
        </is>
      </c>
      <c r="D161" s="42" t="n"/>
      <c r="E161" s="42" t="n"/>
      <c r="F161" s="43">
        <f>COUNTIFS($B$162:$B$167,3,$G$162:$G$167,"COMPLETED")&amp;" / "&amp;COUNTIF($B$162:$B$167,3)</f>
        <v/>
      </c>
      <c r="G161" s="43">
        <f>IF(COUNTIFS($B$162:$B$167,3,$G$162:$G$167,"COMPLETED")=COUNTIF($B$162:$B$167,3),"COMPLETED",IF(COUNTIFS($B$162:$B$167,3,$G$162:$G$167,"BLOCKED")&gt;0,"BLOCKED",IF(COUNTIFS($B$162:$B$167,3,$G$162:$G$167,"YET TO START")=COUNTIF($B$162:$B$167,3),"YET TO START","IN PROGRESS")))</f>
        <v/>
      </c>
      <c r="H161" s="42" t="n"/>
      <c r="I161" s="42" t="n"/>
    </row>
    <row r="162" ht="15" customHeight="1" s="24">
      <c r="A162" s="34" t="inlineStr">
        <is>
          <t>F10.2.1</t>
        </is>
      </c>
      <c r="B162" s="32" t="n">
        <v>3</v>
      </c>
      <c r="C162" s="45" t="inlineStr">
        <is>
          <t>Weekly shop settlement and rider payouts</t>
        </is>
      </c>
      <c r="D162" s="34" t="inlineStr">
        <is>
          <t>Finance / System</t>
        </is>
      </c>
      <c r="E162" s="34" t="inlineStr">
        <is>
          <t>GS-062, GS-064, WF-010</t>
        </is>
      </c>
      <c r="F162" s="32" t="n"/>
      <c r="G162" s="32" t="inlineStr">
        <is>
          <t>COMPLETED</t>
        </is>
      </c>
      <c r="H162" s="34" t="inlineStr">
        <is>
          <t>#10</t>
        </is>
      </c>
      <c r="I162" s="34" t="inlineStr">
        <is>
          <t>-</t>
        </is>
      </c>
    </row>
    <row r="163" ht="15" customHeight="1" s="24">
      <c r="A163" s="34" t="inlineStr">
        <is>
          <t>F10.2.2</t>
        </is>
      </c>
      <c r="B163" s="32" t="n">
        <v>3</v>
      </c>
      <c r="C163" s="45" t="inlineStr">
        <is>
          <t>Reconciliation with exception queue</t>
        </is>
      </c>
      <c r="D163" s="34" t="inlineStr">
        <is>
          <t>Finance / System</t>
        </is>
      </c>
      <c r="E163" s="34" t="inlineStr">
        <is>
          <t>GS-031</t>
        </is>
      </c>
      <c r="F163" s="32" t="n"/>
      <c r="G163" s="32" t="inlineStr">
        <is>
          <t>COMPLETED</t>
        </is>
      </c>
      <c r="H163" s="34" t="inlineStr">
        <is>
          <t>#10</t>
        </is>
      </c>
      <c r="I163" s="34" t="inlineStr">
        <is>
          <t>-</t>
        </is>
      </c>
    </row>
    <row r="164" ht="15" customHeight="1" s="24">
      <c r="A164" s="34" t="inlineStr">
        <is>
          <t>F10.2.3</t>
        </is>
      </c>
      <c r="B164" s="32" t="n">
        <v>3</v>
      </c>
      <c r="C164" s="45" t="inlineStr">
        <is>
          <t>Rider earnings rules (slots, incentives)</t>
        </is>
      </c>
      <c r="D164" s="34" t="inlineStr">
        <is>
          <t>Finance / System</t>
        </is>
      </c>
      <c r="E164" s="34" t="inlineStr">
        <is>
          <t>GS-063</t>
        </is>
      </c>
      <c r="F164" s="32" t="n"/>
      <c r="G164" s="32" t="inlineStr">
        <is>
          <t>COMPLETED</t>
        </is>
      </c>
      <c r="H164" s="34" t="inlineStr">
        <is>
          <t>#23</t>
        </is>
      </c>
      <c r="I164" s="34" t="inlineStr">
        <is>
          <t>-</t>
        </is>
      </c>
    </row>
    <row r="165" ht="15" customHeight="1" s="24">
      <c r="A165" s="34" t="inlineStr">
        <is>
          <t>F10.2.4</t>
        </is>
      </c>
      <c r="B165" s="32" t="n">
        <v>3</v>
      </c>
      <c r="C165" s="45" t="inlineStr">
        <is>
          <t>Automated bank transfer</t>
        </is>
      </c>
      <c r="D165" s="34" t="inlineStr">
        <is>
          <t>Finance / System</t>
        </is>
      </c>
      <c r="E165" s="34" t="inlineStr">
        <is>
          <t>GAP-005</t>
        </is>
      </c>
      <c r="F165" s="32" t="n"/>
      <c r="G165" s="32" t="inlineStr">
        <is>
          <t>YET TO START</t>
        </is>
      </c>
      <c r="H165" s="34" t="inlineStr">
        <is>
          <t>-</t>
        </is>
      </c>
      <c r="I165" s="34" t="inlineStr">
        <is>
          <t>Manual today</t>
        </is>
      </c>
    </row>
    <row r="166" ht="15" customHeight="1" s="24">
      <c r="A166" s="34" t="inlineStr">
        <is>
          <t>F10.2.5</t>
        </is>
      </c>
      <c r="B166" s="32" t="n">
        <v>3</v>
      </c>
      <c r="C166" s="45" t="inlineStr">
        <is>
          <t>Platform invoice for GoKesari's own fees (D6)</t>
        </is>
      </c>
      <c r="D166" s="34" t="inlineStr">
        <is>
          <t>Finance / System</t>
        </is>
      </c>
      <c r="E166" s="34" t="inlineStr">
        <is>
          <t>GAP-006</t>
        </is>
      </c>
      <c r="F166" s="32" t="n"/>
      <c r="G166" s="32" t="inlineStr">
        <is>
          <t>YET TO START</t>
        </is>
      </c>
      <c r="H166" s="34" t="inlineStr">
        <is>
          <t>-</t>
        </is>
      </c>
      <c r="I166" s="34" t="inlineStr">
        <is>
          <t>Not built</t>
        </is>
      </c>
    </row>
    <row r="167" ht="39" customHeight="1" s="24">
      <c r="A167" s="34" t="inlineStr">
        <is>
          <t>F10.2.6</t>
        </is>
      </c>
      <c r="B167" s="32" t="n">
        <v>3</v>
      </c>
      <c r="C167" s="45" t="inlineStr">
        <is>
          <t>Rs 1-verified bank account / UPI before shop payouts; customer refund account</t>
        </is>
      </c>
      <c r="D167" s="34" t="inlineStr">
        <is>
          <t>Finance / System</t>
        </is>
      </c>
      <c r="E167" s="34" t="inlineStr">
        <is>
          <t>NEW-041, GS-062</t>
        </is>
      </c>
      <c r="F167" s="32" t="n"/>
      <c r="G167" s="32" t="inlineStr">
        <is>
          <t>COMPLETED</t>
        </is>
      </c>
      <c r="H167" s="34" t="inlineStr">
        <is>
          <t>#102; #103; #120</t>
        </is>
      </c>
      <c r="I167" s="34" t="inlineStr">
        <is>
          <t>On gokesari.com since #120 (9 Oct), switched off by default - switch on in Admin &gt; Business rules; Cashfree live keys needed for production</t>
        </is>
      </c>
    </row>
    <row r="168" ht="18" customHeight="1" s="24">
      <c r="A168" s="40" t="inlineStr">
        <is>
          <t>F11</t>
        </is>
      </c>
      <c r="B168" s="41" t="n">
        <v>1</v>
      </c>
      <c r="C168" s="40" t="inlineStr">
        <is>
          <t>F11  Marketing and growth</t>
        </is>
      </c>
      <c r="D168" s="40" t="inlineStr">
        <is>
          <t>Shop owner / Operator</t>
        </is>
      </c>
      <c r="E168" s="40" t="n"/>
      <c r="F168" s="41">
        <f>COUNTIFS($B$169:$B$175,3,$G$169:$G$175,"COMPLETED")&amp;" / "&amp;COUNTIF($B$169:$B$175,3)</f>
        <v/>
      </c>
      <c r="G168" s="41">
        <f>IF(COUNTIFS($B$169:$B$175,3,$G$169:$G$175,"COMPLETED")=COUNTIF($B$169:$B$175,3),"COMPLETED",IF(COUNTIFS($B$169:$B$175,3,$G$169:$G$175,"BLOCKED")&gt;0,"BLOCKED",IF(COUNTIFS($B$169:$B$175,3,$G$169:$G$175,"YET TO START")=COUNTIF($B$169:$B$175,3),"YET TO START","IN PROGRESS")))</f>
        <v/>
      </c>
      <c r="H168" s="40" t="n"/>
      <c r="I168" s="40" t="n"/>
    </row>
    <row r="169" ht="15" customHeight="1" s="24">
      <c r="A169" s="42" t="inlineStr">
        <is>
          <t>F11.1</t>
        </is>
      </c>
      <c r="B169" s="43" t="n">
        <v>2</v>
      </c>
      <c r="C169" s="44" t="inlineStr">
        <is>
          <t>F11.1  Campaigns</t>
        </is>
      </c>
      <c r="D169" s="42" t="n"/>
      <c r="E169" s="42" t="n"/>
      <c r="F169" s="43">
        <f>COUNTIFS($B$170:$B$171,3,$G$170:$G$171,"COMPLETED")&amp;" / "&amp;COUNTIF($B$170:$B$171,3)</f>
        <v/>
      </c>
      <c r="G169" s="43">
        <f>IF(COUNTIFS($B$170:$B$171,3,$G$170:$G$171,"COMPLETED")=COUNTIF($B$170:$B$171,3),"COMPLETED",IF(COUNTIFS($B$170:$B$171,3,$G$170:$G$171,"BLOCKED")&gt;0,"BLOCKED",IF(COUNTIFS($B$170:$B$171,3,$G$170:$G$171,"YET TO START")=COUNTIF($B$170:$B$171,3),"YET TO START","IN PROGRESS")))</f>
        <v/>
      </c>
      <c r="H169" s="42" t="n"/>
      <c r="I169" s="42" t="n"/>
    </row>
    <row r="170" ht="27" customHeight="1" s="24">
      <c r="A170" s="34" t="inlineStr">
        <is>
          <t>F11.1.1</t>
        </is>
      </c>
      <c r="B170" s="32" t="n">
        <v>3</v>
      </c>
      <c r="C170" s="45" t="inlineStr">
        <is>
          <t>Customer segments (consent-gated)</t>
        </is>
      </c>
      <c r="D170" s="34" t="inlineStr">
        <is>
          <t>Shop owner / Operator</t>
        </is>
      </c>
      <c r="E170" s="34" t="inlineStr">
        <is>
          <t>GS-052</t>
        </is>
      </c>
      <c r="F170" s="32" t="n"/>
      <c r="G170" s="32" t="inlineStr">
        <is>
          <t>COMPLETED</t>
        </is>
      </c>
      <c r="H170" s="34" t="inlineStr">
        <is>
          <t>#18</t>
        </is>
      </c>
      <c r="I170" s="34" t="inlineStr">
        <is>
          <t>-</t>
        </is>
      </c>
    </row>
    <row r="171" ht="27" customHeight="1" s="24">
      <c r="A171" s="34" t="inlineStr">
        <is>
          <t>F11.1.2</t>
        </is>
      </c>
      <c r="B171" s="32" t="n">
        <v>3</v>
      </c>
      <c r="C171" s="45" t="inlineStr">
        <is>
          <t>Shop campaign -&gt; approval -&gt; send (budgets, frequency caps)</t>
        </is>
      </c>
      <c r="D171" s="34" t="inlineStr">
        <is>
          <t>Shop owner / Operator</t>
        </is>
      </c>
      <c r="E171" s="34" t="inlineStr">
        <is>
          <t>GS-053, WF-009</t>
        </is>
      </c>
      <c r="F171" s="32" t="n"/>
      <c r="G171" s="32" t="inlineStr">
        <is>
          <t>COMPLETED</t>
        </is>
      </c>
      <c r="H171" s="34" t="inlineStr">
        <is>
          <t>#18</t>
        </is>
      </c>
      <c r="I171" s="34" t="inlineStr">
        <is>
          <t>-</t>
        </is>
      </c>
    </row>
    <row r="172" ht="15" customHeight="1" s="24">
      <c r="A172" s="42" t="inlineStr">
        <is>
          <t>F11.2</t>
        </is>
      </c>
      <c r="B172" s="43" t="n">
        <v>2</v>
      </c>
      <c r="C172" s="44" t="inlineStr">
        <is>
          <t>F11.2  Offers and referrals</t>
        </is>
      </c>
      <c r="D172" s="42" t="n"/>
      <c r="E172" s="42" t="n"/>
      <c r="F172" s="43">
        <f>COUNTIFS($B$173:$B$175,3,$G$173:$G$175,"COMPLETED")&amp;" / "&amp;COUNTIF($B$173:$B$175,3)</f>
        <v/>
      </c>
      <c r="G172" s="43">
        <f>IF(COUNTIFS($B$173:$B$175,3,$G$173:$G$175,"COMPLETED")=COUNTIF($B$173:$B$175,3),"COMPLETED",IF(COUNTIFS($B$173:$B$175,3,$G$173:$G$175,"BLOCKED")&gt;0,"BLOCKED",IF(COUNTIFS($B$173:$B$175,3,$G$173:$G$175,"YET TO START")=COUNTIF($B$173:$B$175,3),"YET TO START","IN PROGRESS")))</f>
        <v/>
      </c>
      <c r="H172" s="42" t="n"/>
      <c r="I172" s="42" t="n"/>
    </row>
    <row r="173" ht="27" customHeight="1" s="24">
      <c r="A173" s="34" t="inlineStr">
        <is>
          <t>F11.2.1</t>
        </is>
      </c>
      <c r="B173" s="32" t="n">
        <v>3</v>
      </c>
      <c r="C173" s="45" t="inlineStr">
        <is>
          <t>Shop offers (F8)</t>
        </is>
      </c>
      <c r="D173" s="34" t="inlineStr">
        <is>
          <t>Shop owner / Operator</t>
        </is>
      </c>
      <c r="E173" s="34" t="inlineStr">
        <is>
          <t>NAV-002</t>
        </is>
      </c>
      <c r="F173" s="32" t="n"/>
      <c r="G173" s="32" t="inlineStr">
        <is>
          <t>COMPLETED</t>
        </is>
      </c>
      <c r="H173" s="34" t="inlineStr">
        <is>
          <t>#55</t>
        </is>
      </c>
      <c r="I173" s="34" t="inlineStr">
        <is>
          <t>Off by default</t>
        </is>
      </c>
    </row>
    <row r="174" ht="27" customHeight="1" s="24">
      <c r="A174" s="34" t="inlineStr">
        <is>
          <t>F11.2.2</t>
        </is>
      </c>
      <c r="B174" s="32" t="n">
        <v>3</v>
      </c>
      <c r="C174" s="45" t="inlineStr">
        <is>
          <t>Customer referral rewards (F11)</t>
        </is>
      </c>
      <c r="D174" s="34" t="inlineStr">
        <is>
          <t>Shop owner / Operator</t>
        </is>
      </c>
      <c r="E174" s="34" t="inlineStr">
        <is>
          <t>GS-054</t>
        </is>
      </c>
      <c r="F174" s="32" t="n"/>
      <c r="G174" s="32" t="inlineStr">
        <is>
          <t>COMPLETED</t>
        </is>
      </c>
      <c r="H174" s="34" t="inlineStr">
        <is>
          <t>#55; #56</t>
        </is>
      </c>
      <c r="I174" s="34" t="inlineStr">
        <is>
          <t>Off by default</t>
        </is>
      </c>
    </row>
    <row r="175" ht="27" customHeight="1" s="24">
      <c r="A175" s="34" t="inlineStr">
        <is>
          <t>F11.2.3</t>
        </is>
      </c>
      <c r="B175" s="32" t="n">
        <v>3</v>
      </c>
      <c r="C175" s="45" t="inlineStr">
        <is>
          <t>Marketing consent On/Off switch</t>
        </is>
      </c>
      <c r="D175" s="34" t="inlineStr">
        <is>
          <t>Shop owner / Operator</t>
        </is>
      </c>
      <c r="E175" s="34" t="inlineStr">
        <is>
          <t>GS-070, NEW-016</t>
        </is>
      </c>
      <c r="F175" s="32" t="n"/>
      <c r="G175" s="32" t="inlineStr">
        <is>
          <t>COMPLETED</t>
        </is>
      </c>
      <c r="H175" s="34" t="inlineStr">
        <is>
          <t>#77</t>
        </is>
      </c>
      <c r="I175" s="34" t="inlineStr">
        <is>
          <t>-</t>
        </is>
      </c>
    </row>
    <row r="176" ht="18" customHeight="1" s="24">
      <c r="A176" s="40" t="inlineStr">
        <is>
          <t>F12</t>
        </is>
      </c>
      <c r="B176" s="41" t="n">
        <v>1</v>
      </c>
      <c r="C176" s="40" t="inlineStr">
        <is>
          <t>F12  Admin and operations control tower</t>
        </is>
      </c>
      <c r="D176" s="40" t="inlineStr">
        <is>
          <t>Operator / Admin</t>
        </is>
      </c>
      <c r="E176" s="40" t="n"/>
      <c r="F176" s="41">
        <f>COUNTIFS($B$177:$B$187,3,$G$177:$G$187,"COMPLETED")&amp;" / "&amp;COUNTIF($B$177:$B$187,3)</f>
        <v/>
      </c>
      <c r="G176" s="41">
        <f>IF(COUNTIFS($B$177:$B$187,3,$G$177:$G$187,"COMPLETED")=COUNTIF($B$177:$B$187,3),"COMPLETED",IF(COUNTIFS($B$177:$B$187,3,$G$177:$G$187,"BLOCKED")&gt;0,"BLOCKED",IF(COUNTIFS($B$177:$B$187,3,$G$177:$G$187,"YET TO START")=COUNTIF($B$177:$B$187,3),"YET TO START","IN PROGRESS")))</f>
        <v/>
      </c>
      <c r="H176" s="40" t="n"/>
      <c r="I176" s="40" t="n"/>
    </row>
    <row r="177" ht="15" customHeight="1" s="24">
      <c r="A177" s="42" t="inlineStr">
        <is>
          <t>F12.1</t>
        </is>
      </c>
      <c r="B177" s="43" t="n">
        <v>2</v>
      </c>
      <c r="C177" s="44" t="inlineStr">
        <is>
          <t>F12.1  Monitor</t>
        </is>
      </c>
      <c r="D177" s="42" t="n"/>
      <c r="E177" s="42" t="n"/>
      <c r="F177" s="43">
        <f>COUNTIFS($B$178:$B$181,3,$G$178:$G$181,"COMPLETED")&amp;" / "&amp;COUNTIF($B$178:$B$181,3)</f>
        <v/>
      </c>
      <c r="G177" s="43">
        <f>IF(COUNTIFS($B$178:$B$181,3,$G$178:$G$181,"COMPLETED")=COUNTIF($B$178:$B$181,3),"COMPLETED",IF(COUNTIFS($B$178:$B$181,3,$G$178:$G$181,"BLOCKED")&gt;0,"BLOCKED",IF(COUNTIFS($B$178:$B$181,3,$G$178:$G$181,"YET TO START")=COUNTIF($B$178:$B$181,3),"YET TO START","IN PROGRESS")))</f>
        <v/>
      </c>
      <c r="H177" s="42" t="n"/>
      <c r="I177" s="42" t="n"/>
    </row>
    <row r="178" ht="15" customHeight="1" s="24">
      <c r="A178" s="34" t="inlineStr">
        <is>
          <t>F12.1.1</t>
        </is>
      </c>
      <c r="B178" s="32" t="n">
        <v>3</v>
      </c>
      <c r="C178" s="45" t="inlineStr">
        <is>
          <t>Global dashboard and KPI analytics</t>
        </is>
      </c>
      <c r="D178" s="34" t="inlineStr">
        <is>
          <t>Operator / Admin</t>
        </is>
      </c>
      <c r="E178" s="34" t="inlineStr">
        <is>
          <t>GS-065, GS-069</t>
        </is>
      </c>
      <c r="F178" s="32" t="n"/>
      <c r="G178" s="32" t="inlineStr">
        <is>
          <t>COMPLETED</t>
        </is>
      </c>
      <c r="H178" s="34" t="inlineStr">
        <is>
          <t>#18; #21; #23</t>
        </is>
      </c>
      <c r="I178" s="34" t="inlineStr">
        <is>
          <t>-</t>
        </is>
      </c>
    </row>
    <row r="179" ht="15" customHeight="1" s="24">
      <c r="A179" s="34" t="inlineStr">
        <is>
          <t>F12.1.2</t>
        </is>
      </c>
      <c r="B179" s="32" t="n">
        <v>3</v>
      </c>
      <c r="C179" s="45" t="inlineStr">
        <is>
          <t>Order monitoring, exceptions queue, reassign</t>
        </is>
      </c>
      <c r="D179" s="34" t="inlineStr">
        <is>
          <t>Operator / Admin</t>
        </is>
      </c>
      <c r="E179" s="34" t="inlineStr">
        <is>
          <t>GS-066, NAV-015, NAV-016</t>
        </is>
      </c>
      <c r="F179" s="32" t="n"/>
      <c r="G179" s="32" t="inlineStr">
        <is>
          <t>COMPLETED</t>
        </is>
      </c>
      <c r="H179" s="34" t="inlineStr">
        <is>
          <t>#21; #74</t>
        </is>
      </c>
      <c r="I179" s="34" t="inlineStr">
        <is>
          <t>-</t>
        </is>
      </c>
    </row>
    <row r="180" ht="15" customHeight="1" s="24">
      <c r="A180" s="34" t="inlineStr">
        <is>
          <t>F12.1.3</t>
        </is>
      </c>
      <c r="B180" s="32" t="n">
        <v>3</v>
      </c>
      <c r="C180" s="45" t="inlineStr">
        <is>
          <t>Hourly risk scan and review queue</t>
        </is>
      </c>
      <c r="D180" s="34" t="inlineStr">
        <is>
          <t>Operator / Admin</t>
        </is>
      </c>
      <c r="E180" s="34" t="inlineStr">
        <is>
          <t>GS-068</t>
        </is>
      </c>
      <c r="F180" s="32" t="n"/>
      <c r="G180" s="32" t="inlineStr">
        <is>
          <t>COMPLETED</t>
        </is>
      </c>
      <c r="H180" s="34" t="inlineStr">
        <is>
          <t>#18; #21</t>
        </is>
      </c>
      <c r="I180" s="34" t="inlineStr">
        <is>
          <t>-</t>
        </is>
      </c>
    </row>
    <row r="181" ht="15" customHeight="1" s="24">
      <c r="A181" s="34" t="inlineStr">
        <is>
          <t>F12.1.4</t>
        </is>
      </c>
      <c r="B181" s="32" t="n">
        <v>3</v>
      </c>
      <c r="C181" s="45" t="inlineStr">
        <is>
          <t>Per-order risk rules</t>
        </is>
      </c>
      <c r="D181" s="34" t="inlineStr">
        <is>
          <t>Operator / Admin</t>
        </is>
      </c>
      <c r="E181" s="34" t="inlineStr">
        <is>
          <t>NEW-032</t>
        </is>
      </c>
      <c r="F181" s="32" t="n"/>
      <c r="G181" s="32" t="inlineStr">
        <is>
          <t>COMPLETED</t>
        </is>
      </c>
      <c r="H181" s="34" t="inlineStr">
        <is>
          <t>#89; #120</t>
        </is>
      </c>
      <c r="I181" s="34" t="inlineStr">
        <is>
          <t>Live on gokesari.com since #120 (9 Oct)</t>
        </is>
      </c>
    </row>
    <row r="182" ht="15" customHeight="1" s="24">
      <c r="A182" s="42" t="inlineStr">
        <is>
          <t>F12.2</t>
        </is>
      </c>
      <c r="B182" s="43" t="n">
        <v>2</v>
      </c>
      <c r="C182" s="44" t="inlineStr">
        <is>
          <t>F12.2  Control</t>
        </is>
      </c>
      <c r="D182" s="42" t="n"/>
      <c r="E182" s="42" t="n"/>
      <c r="F182" s="43">
        <f>COUNTIFS($B$183:$B$187,3,$G$183:$G$187,"COMPLETED")&amp;" / "&amp;COUNTIF($B$183:$B$187,3)</f>
        <v/>
      </c>
      <c r="G182" s="43">
        <f>IF(COUNTIFS($B$183:$B$187,3,$G$183:$G$187,"COMPLETED")=COUNTIF($B$183:$B$187,3),"COMPLETED",IF(COUNTIFS($B$183:$B$187,3,$G$183:$G$187,"BLOCKED")&gt;0,"BLOCKED",IF(COUNTIFS($B$183:$B$187,3,$G$183:$G$187,"YET TO START")=COUNTIF($B$183:$B$187,3),"YET TO START","IN PROGRESS")))</f>
        <v/>
      </c>
      <c r="H182" s="42" t="n"/>
      <c r="I182" s="42" t="n"/>
    </row>
    <row r="183" ht="27" customHeight="1" s="24">
      <c r="A183" s="34" t="inlineStr">
        <is>
          <t>F12.2.1</t>
        </is>
      </c>
      <c r="B183" s="32" t="n">
        <v>3</v>
      </c>
      <c r="C183" s="45" t="inlineStr">
        <is>
          <t>Roles, multi-role grants, privileges with explicit Save, audit log</t>
        </is>
      </c>
      <c r="D183" s="34" t="inlineStr">
        <is>
          <t>Operator / Admin</t>
        </is>
      </c>
      <c r="E183" s="34" t="inlineStr">
        <is>
          <t>GS-002, GS-003, NEW-009, GS-067</t>
        </is>
      </c>
      <c r="F183" s="32" t="n"/>
      <c r="G183" s="32" t="inlineStr">
        <is>
          <t>COMPLETED</t>
        </is>
      </c>
      <c r="H183" s="34" t="inlineStr">
        <is>
          <t>#18; #30</t>
        </is>
      </c>
      <c r="I183" s="34" t="inlineStr">
        <is>
          <t>-</t>
        </is>
      </c>
    </row>
    <row r="184" ht="15" customHeight="1" s="24">
      <c r="A184" s="34" t="inlineStr">
        <is>
          <t>F12.2.2</t>
        </is>
      </c>
      <c r="B184" s="32" t="n">
        <v>3</v>
      </c>
      <c r="C184" s="45" t="inlineStr">
        <is>
          <t>Business-rules console</t>
        </is>
      </c>
      <c r="D184" s="34" t="inlineStr">
        <is>
          <t>Operator / Admin</t>
        </is>
      </c>
      <c r="E184" s="34" t="inlineStr">
        <is>
          <t>NEW-001</t>
        </is>
      </c>
      <c r="F184" s="32" t="n"/>
      <c r="G184" s="32" t="inlineStr">
        <is>
          <t>COMPLETED</t>
        </is>
      </c>
      <c r="H184" s="34" t="inlineStr">
        <is>
          <t>#23</t>
        </is>
      </c>
      <c r="I184" s="34" t="inlineStr">
        <is>
          <t>-</t>
        </is>
      </c>
    </row>
    <row r="185" ht="15" customHeight="1" s="24">
      <c r="A185" s="34" t="inlineStr">
        <is>
          <t>F12.2.3</t>
        </is>
      </c>
      <c r="B185" s="32" t="n">
        <v>3</v>
      </c>
      <c r="C185" s="45" t="inlineStr">
        <is>
          <t>Business limits as rules (item B)</t>
        </is>
      </c>
      <c r="D185" s="34" t="inlineStr">
        <is>
          <t>Operator / Admin</t>
        </is>
      </c>
      <c r="E185" s="34" t="inlineStr">
        <is>
          <t>NEW-021</t>
        </is>
      </c>
      <c r="F185" s="32" t="n"/>
      <c r="G185" s="32" t="inlineStr">
        <is>
          <t>COMPLETED</t>
        </is>
      </c>
      <c r="H185" s="34" t="inlineStr">
        <is>
          <t>#85; #120</t>
        </is>
      </c>
      <c r="I185" s="34" t="inlineStr">
        <is>
          <t>Live on gokesari.com since #120 (9 Oct)</t>
        </is>
      </c>
    </row>
    <row r="186" ht="15" customHeight="1" s="24">
      <c r="A186" s="34" t="inlineStr">
        <is>
          <t>F12.2.4</t>
        </is>
      </c>
      <c r="B186" s="32" t="n">
        <v>3</v>
      </c>
      <c r="C186" s="45" t="inlineStr">
        <is>
          <t>Consent view</t>
        </is>
      </c>
      <c r="D186" s="34" t="inlineStr">
        <is>
          <t>Operator / Admin</t>
        </is>
      </c>
      <c r="E186" s="34" t="inlineStr">
        <is>
          <t>NAV-019</t>
        </is>
      </c>
      <c r="F186" s="32" t="n"/>
      <c r="G186" s="32" t="inlineStr">
        <is>
          <t>COMPLETED</t>
        </is>
      </c>
      <c r="H186" s="34" t="inlineStr">
        <is>
          <t>#34</t>
        </is>
      </c>
      <c r="I186" s="34" t="inlineStr">
        <is>
          <t>-</t>
        </is>
      </c>
    </row>
    <row r="187" ht="15" customHeight="1" s="24">
      <c r="A187" s="34" t="inlineStr">
        <is>
          <t>F12.2.5</t>
        </is>
      </c>
      <c r="B187" s="32" t="n">
        <v>3</v>
      </c>
      <c r="C187" s="45" t="inlineStr">
        <is>
          <t>Rider KYC review (/admin/rider-kyc)</t>
        </is>
      </c>
      <c r="D187" s="34" t="inlineStr">
        <is>
          <t>Operator / Admin</t>
        </is>
      </c>
      <c r="E187" s="34" t="inlineStr">
        <is>
          <t>NEW-026</t>
        </is>
      </c>
      <c r="F187" s="32" t="n"/>
      <c r="G187" s="32" t="inlineStr">
        <is>
          <t>COMPLETED</t>
        </is>
      </c>
      <c r="H187" s="34" t="inlineStr">
        <is>
          <t>#85; #120</t>
        </is>
      </c>
      <c r="I187" s="34" t="inlineStr">
        <is>
          <t>Live on gokesari.com since #120 (9 Oct)</t>
        </is>
      </c>
    </row>
    <row r="188" ht="18" customHeight="1" s="24">
      <c r="A188" s="40" t="inlineStr">
        <is>
          <t>F13</t>
        </is>
      </c>
      <c r="B188" s="41" t="n">
        <v>1</v>
      </c>
      <c r="C188" s="40" t="inlineStr">
        <is>
          <t>F13  Notifications and event layer</t>
        </is>
      </c>
      <c r="D188" s="40" t="inlineStr">
        <is>
          <t>System</t>
        </is>
      </c>
      <c r="E188" s="40" t="n"/>
      <c r="F188" s="41">
        <f>COUNTIFS($B$189:$B$193,3,$G$189:$G$193,"COMPLETED")&amp;" / "&amp;COUNTIF($B$189:$B$193,3)</f>
        <v/>
      </c>
      <c r="G188" s="41">
        <f>IF(COUNTIFS($B$189:$B$193,3,$G$189:$G$193,"COMPLETED")=COUNTIF($B$189:$B$193,3),"COMPLETED",IF(COUNTIFS($B$189:$B$193,3,$G$189:$G$193,"BLOCKED")&gt;0,"BLOCKED",IF(COUNTIFS($B$189:$B$193,3,$G$189:$G$193,"YET TO START")=COUNTIF($B$189:$B$193,3),"YET TO START","IN PROGRESS")))</f>
        <v/>
      </c>
      <c r="H188" s="40" t="n"/>
      <c r="I188" s="40" t="n"/>
    </row>
    <row r="189" ht="15" customHeight="1" s="24">
      <c r="A189" s="42" t="inlineStr">
        <is>
          <t>F13.1</t>
        </is>
      </c>
      <c r="B189" s="43" t="n">
        <v>2</v>
      </c>
      <c r="C189" s="44" t="inlineStr">
        <is>
          <t>F13.1  Channels</t>
        </is>
      </c>
      <c r="D189" s="42" t="n"/>
      <c r="E189" s="42" t="n"/>
      <c r="F189" s="43">
        <f>COUNTIFS($B$190:$B$191,3,$G$190:$G$191,"COMPLETED")&amp;" / "&amp;COUNTIF($B$190:$B$191,3)</f>
        <v/>
      </c>
      <c r="G189" s="43">
        <f>IF(COUNTIFS($B$190:$B$191,3,$G$190:$G$191,"COMPLETED")=COUNTIF($B$190:$B$191,3),"COMPLETED",IF(COUNTIFS($B$190:$B$191,3,$G$190:$G$191,"BLOCKED")&gt;0,"BLOCKED",IF(COUNTIFS($B$190:$B$191,3,$G$190:$G$191,"YET TO START")=COUNTIF($B$190:$B$191,3),"YET TO START","IN PROGRESS")))</f>
        <v/>
      </c>
      <c r="H189" s="42" t="n"/>
      <c r="I189" s="42" t="n"/>
    </row>
    <row r="190" ht="27" customHeight="1" s="24">
      <c r="A190" s="34" t="inlineStr">
        <is>
          <t>F13.1.1</t>
        </is>
      </c>
      <c r="B190" s="32" t="n">
        <v>3</v>
      </c>
      <c r="C190" s="45" t="inlineStr">
        <is>
          <t>In-app and email notifications with preferences</t>
        </is>
      </c>
      <c r="D190" s="34" t="inlineStr">
        <is>
          <t>System</t>
        </is>
      </c>
      <c r="E190" s="34" t="inlineStr">
        <is>
          <t>GS-055, NEW-016</t>
        </is>
      </c>
      <c r="F190" s="32" t="n"/>
      <c r="G190" s="32" t="inlineStr">
        <is>
          <t>COMPLETED</t>
        </is>
      </c>
      <c r="H190" s="34" t="inlineStr">
        <is>
          <t>#23; #75</t>
        </is>
      </c>
      <c r="I190" s="34" t="inlineStr">
        <is>
          <t>Mail host hourly sending cap seen on test (GAP-009)</t>
        </is>
      </c>
    </row>
    <row r="191" ht="15" customHeight="1" s="24">
      <c r="A191" s="34" t="inlineStr">
        <is>
          <t>F13.1.2</t>
        </is>
      </c>
      <c r="B191" s="32" t="n">
        <v>3</v>
      </c>
      <c r="C191" s="45" t="inlineStr">
        <is>
          <t>SMS, WhatsApp and push providers</t>
        </is>
      </c>
      <c r="D191" s="34" t="inlineStr">
        <is>
          <t>System</t>
        </is>
      </c>
      <c r="E191" s="34" t="inlineStr">
        <is>
          <t>GS-074</t>
        </is>
      </c>
      <c r="F191" s="32" t="n"/>
      <c r="G191" s="32" t="inlineStr">
        <is>
          <t>BLOCKED</t>
        </is>
      </c>
      <c r="H191" s="34" t="inlineStr">
        <is>
          <t>-</t>
        </is>
      </c>
      <c r="I191" s="34" t="inlineStr">
        <is>
          <t>Waits on D2</t>
        </is>
      </c>
    </row>
    <row r="192" ht="15" customHeight="1" s="24">
      <c r="A192" s="42" t="inlineStr">
        <is>
          <t>F13.2</t>
        </is>
      </c>
      <c r="B192" s="43" t="n">
        <v>2</v>
      </c>
      <c r="C192" s="44" t="inlineStr">
        <is>
          <t>F13.2  Events</t>
        </is>
      </c>
      <c r="D192" s="42" t="n"/>
      <c r="E192" s="42" t="n"/>
      <c r="F192" s="43">
        <f>COUNTIFS($B$193:$B$193,3,$G$193:$G$193,"COMPLETED")&amp;" / "&amp;COUNTIF($B$193:$B$193,3)</f>
        <v/>
      </c>
      <c r="G192" s="43">
        <f>IF(COUNTIFS($B$193:$B$193,3,$G$193:$G$193,"COMPLETED")=COUNTIF($B$193:$B$193,3),"COMPLETED",IF(COUNTIFS($B$193:$B$193,3,$G$193:$G$193,"BLOCKED")&gt;0,"BLOCKED",IF(COUNTIFS($B$193:$B$193,3,$G$193:$G$193,"YET TO START")=COUNTIF($B$193:$B$193,3),"YET TO START","IN PROGRESS")))</f>
        <v/>
      </c>
      <c r="H192" s="42" t="n"/>
      <c r="I192" s="42" t="n"/>
    </row>
    <row r="193" ht="15" customHeight="1" s="24">
      <c r="A193" s="34" t="inlineStr">
        <is>
          <t>F13.2.1</t>
        </is>
      </c>
      <c r="B193" s="32" t="n">
        <v>3</v>
      </c>
      <c r="C193" s="45" t="inlineStr">
        <is>
          <t>Domain events, outbox with retries, timeout sweep</t>
        </is>
      </c>
      <c r="D193" s="34" t="inlineStr">
        <is>
          <t>System</t>
        </is>
      </c>
      <c r="E193" s="34" t="inlineStr">
        <is>
          <t>NEW-028</t>
        </is>
      </c>
      <c r="F193" s="32" t="n"/>
      <c r="G193" s="32" t="inlineStr">
        <is>
          <t>COMPLETED</t>
        </is>
      </c>
      <c r="H193" s="34" t="inlineStr">
        <is>
          <t>#89; #120</t>
        </is>
      </c>
      <c r="I193" s="34" t="inlineStr">
        <is>
          <t>Live on gokesari.com since #120 (9 Oct)</t>
        </is>
      </c>
    </row>
    <row r="194" ht="18" customHeight="1" s="24">
      <c r="A194" s="40" t="inlineStr">
        <is>
          <t>F14</t>
        </is>
      </c>
      <c r="B194" s="41" t="n">
        <v>1</v>
      </c>
      <c r="C194" s="40" t="inlineStr">
        <is>
          <t>F14  Release and deployment</t>
        </is>
      </c>
      <c r="D194" s="40" t="inlineStr">
        <is>
          <t>Developer / Owner</t>
        </is>
      </c>
      <c r="E194" s="40" t="n"/>
      <c r="F194" s="41">
        <f>COUNTIFS($B$195:$B$205,3,$G$195:$G$205,"COMPLETED")&amp;" / "&amp;COUNTIF($B$195:$B$205,3)</f>
        <v/>
      </c>
      <c r="G194" s="41">
        <f>IF(COUNTIFS($B$195:$B$205,3,$G$195:$G$205,"COMPLETED")=COUNTIF($B$195:$B$205,3),"COMPLETED",IF(COUNTIFS($B$195:$B$205,3,$G$195:$G$205,"BLOCKED")&gt;0,"BLOCKED",IF(COUNTIFS($B$195:$B$205,3,$G$195:$G$205,"YET TO START")=COUNTIF($B$195:$B$205,3),"YET TO START","IN PROGRESS")))</f>
        <v/>
      </c>
      <c r="H194" s="40" t="n"/>
      <c r="I194" s="40" t="n"/>
    </row>
    <row r="195" ht="15" customHeight="1" s="24">
      <c r="A195" s="42" t="inlineStr">
        <is>
          <t>F14.1</t>
        </is>
      </c>
      <c r="B195" s="43" t="n">
        <v>2</v>
      </c>
      <c r="C195" s="44" t="inlineStr">
        <is>
          <t>F14.1  Build and test</t>
        </is>
      </c>
      <c r="D195" s="42" t="n"/>
      <c r="E195" s="42" t="n"/>
      <c r="F195" s="43">
        <f>COUNTIFS($B$196:$B$200,3,$G$196:$G$200,"COMPLETED")&amp;" / "&amp;COUNTIF($B$196:$B$200,3)</f>
        <v/>
      </c>
      <c r="G195" s="43">
        <f>IF(COUNTIFS($B$196:$B$200,3,$G$196:$G$200,"COMPLETED")=COUNTIF($B$196:$B$200,3),"COMPLETED",IF(COUNTIFS($B$196:$B$200,3,$G$196:$G$200,"BLOCKED")&gt;0,"BLOCKED",IF(COUNTIFS($B$196:$B$200,3,$G$196:$G$200,"YET TO START")=COUNTIF($B$196:$B$200,3),"YET TO START","IN PROGRESS")))</f>
        <v/>
      </c>
      <c r="H195" s="42" t="n"/>
      <c r="I195" s="42" t="n"/>
    </row>
    <row r="196" ht="27" customHeight="1" s="24">
      <c r="A196" s="34" t="inlineStr">
        <is>
          <t>F14.1.1</t>
        </is>
      </c>
      <c r="B196" s="32" t="n">
        <v>3</v>
      </c>
      <c r="C196" s="45" t="inlineStr">
        <is>
          <t>Feature branch -&gt; PR into staging -&gt; CI (typecheck, lint, tests, build)</t>
        </is>
      </c>
      <c r="D196" s="34" t="inlineStr">
        <is>
          <t>Developer / Owner</t>
        </is>
      </c>
      <c r="E196" s="34" t="inlineStr">
        <is>
          <t>PLT-003, QA-001</t>
        </is>
      </c>
      <c r="F196" s="32" t="n"/>
      <c r="G196" s="32" t="inlineStr">
        <is>
          <t>COMPLETED</t>
        </is>
      </c>
      <c r="H196" s="34" t="inlineStr">
        <is>
          <t>#7; #52</t>
        </is>
      </c>
      <c r="I196" s="34" t="inlineStr">
        <is>
          <t>-</t>
        </is>
      </c>
    </row>
    <row r="197" ht="27" customHeight="1" s="24">
      <c r="A197" s="34" t="inlineStr">
        <is>
          <t>F14.1.2</t>
        </is>
      </c>
      <c r="B197" s="32" t="n">
        <v>3</v>
      </c>
      <c r="C197" s="45" t="inlineStr">
        <is>
          <t>Test database migrate / backup / verify through the 'Test database' workflow</t>
        </is>
      </c>
      <c r="D197" s="34" t="inlineStr">
        <is>
          <t>Developer / Owner</t>
        </is>
      </c>
      <c r="E197" s="34" t="inlineStr">
        <is>
          <t>PLT-008</t>
        </is>
      </c>
      <c r="F197" s="32" t="n"/>
      <c r="G197" s="32" t="inlineStr">
        <is>
          <t>COMPLETED</t>
        </is>
      </c>
      <c r="H197" s="34" t="inlineStr">
        <is>
          <t>#90; #94</t>
        </is>
      </c>
      <c r="I197" s="34" t="inlineStr">
        <is>
          <t>-</t>
        </is>
      </c>
    </row>
    <row r="198" ht="27" customHeight="1" s="24">
      <c r="A198" s="34" t="inlineStr">
        <is>
          <t>F14.1.3</t>
        </is>
      </c>
      <c r="B198" s="32" t="n">
        <v>3</v>
      </c>
      <c r="C198" s="45" t="inlineStr">
        <is>
          <t>Execute the 791 test cases and sign off on test.gokesari.com</t>
        </is>
      </c>
      <c r="D198" s="34" t="inlineStr">
        <is>
          <t>Developer / Owner</t>
        </is>
      </c>
      <c r="E198" s="34" t="inlineStr">
        <is>
          <t>QA-003, QA-002</t>
        </is>
      </c>
      <c r="F198" s="32" t="n"/>
      <c r="G198" s="32" t="inlineStr">
        <is>
          <t>YET TO START</t>
        </is>
      </c>
      <c r="H198" s="34" t="inlineStr">
        <is>
          <t>#51 (framework)</t>
        </is>
      </c>
      <c r="I198" s="34" t="inlineStr">
        <is>
          <t>791-case plan still not run; order-lifecycle run on staging next (QA-008)</t>
        </is>
      </c>
    </row>
    <row r="199" ht="15" customHeight="1" s="24">
      <c r="A199" s="34" t="inlineStr">
        <is>
          <t>F14.1.4</t>
        </is>
      </c>
      <c r="B199" s="32" t="n">
        <v>3</v>
      </c>
      <c r="C199" s="45" t="inlineStr">
        <is>
          <t>Pay Cashfree sandbox checkouts from a GitHub runner for E2E runs</t>
        </is>
      </c>
      <c r="D199" s="34" t="inlineStr">
        <is>
          <t>Developer / Owner</t>
        </is>
      </c>
      <c r="E199" s="34" t="inlineStr">
        <is>
          <t>PLT-011</t>
        </is>
      </c>
      <c r="F199" s="32" t="n"/>
      <c r="G199" s="32" t="inlineStr">
        <is>
          <t>COMPLETED</t>
        </is>
      </c>
      <c r="H199" s="34" t="inlineStr">
        <is>
          <t>#102; #103</t>
        </is>
      </c>
      <c r="I199" s="34" t="inlineStr">
        <is>
          <t>-</t>
        </is>
      </c>
    </row>
    <row r="200" ht="27" customHeight="1" s="24">
      <c r="A200" s="34" t="inlineStr">
        <is>
          <t>F14.1.5</t>
        </is>
      </c>
      <c r="B200" s="32" t="n">
        <v>3</v>
      </c>
      <c r="C200" s="45" t="inlineStr">
        <is>
          <t>Browser test run of the four features + regression recorded step by step</t>
        </is>
      </c>
      <c r="D200" s="34" t="inlineStr">
        <is>
          <t>Developer / Owner</t>
        </is>
      </c>
      <c r="E200" s="34" t="inlineStr">
        <is>
          <t>QA-004</t>
        </is>
      </c>
      <c r="F200" s="32" t="n"/>
      <c r="G200" s="32" t="inlineStr">
        <is>
          <t>COMPLETED</t>
        </is>
      </c>
      <c r="H200" s="34" t="inlineStr">
        <is>
          <t>#103; #104</t>
        </is>
      </c>
      <c r="I200" s="34" t="inlineStr">
        <is>
          <t>All PASS; 3 fixes re-checked</t>
        </is>
      </c>
    </row>
    <row r="201" ht="15" customHeight="1" s="24">
      <c r="A201" s="42" t="inlineStr">
        <is>
          <t>F14.2</t>
        </is>
      </c>
      <c r="B201" s="43" t="n">
        <v>2</v>
      </c>
      <c r="C201" s="44" t="inlineStr">
        <is>
          <t>F14.2  Release</t>
        </is>
      </c>
      <c r="D201" s="42" t="n"/>
      <c r="E201" s="42" t="n"/>
      <c r="F201" s="43">
        <f>COUNTIFS($B$202:$B$205,3,$G$202:$G$205,"COMPLETED")&amp;" / "&amp;COUNTIF($B$202:$B$205,3)</f>
        <v/>
      </c>
      <c r="G201" s="43">
        <f>IF(COUNTIFS($B$202:$B$205,3,$G$202:$G$205,"COMPLETED")=COUNTIF($B$202:$B$205,3),"COMPLETED",IF(COUNTIFS($B$202:$B$205,3,$G$202:$G$205,"BLOCKED")&gt;0,"BLOCKED",IF(COUNTIFS($B$202:$B$205,3,$G$202:$G$205,"YET TO START")=COUNTIF($B$202:$B$205,3),"YET TO START","IN PROGRESS")))</f>
        <v/>
      </c>
      <c r="H201" s="42" t="n"/>
      <c r="I201" s="42" t="n"/>
    </row>
    <row r="202" ht="27" customHeight="1" s="24">
      <c r="A202" s="34" t="inlineStr">
        <is>
          <t>F14.2.1</t>
        </is>
      </c>
      <c r="B202" s="32" t="n">
        <v>3</v>
      </c>
      <c r="C202" s="45" t="inlineStr">
        <is>
          <t>Migrate production through the 'Production database' workflow</t>
        </is>
      </c>
      <c r="D202" s="34" t="inlineStr">
        <is>
          <t>Developer / Owner</t>
        </is>
      </c>
      <c r="E202" s="34" t="inlineStr">
        <is>
          <t>PLT-009</t>
        </is>
      </c>
      <c r="F202" s="32" t="n"/>
      <c r="G202" s="32" t="inlineStr">
        <is>
          <t>BLOCKED</t>
        </is>
      </c>
      <c r="H202" s="34" t="inlineStr">
        <is>
          <t>#93; #118</t>
        </is>
      </c>
      <c r="I202" s="34" t="inlineStr">
        <is>
          <t>Still blocked: PROD_DATABASE_URL not visible to Actions (nine runs got an empty value)</t>
        </is>
      </c>
    </row>
    <row r="203" ht="39" customHeight="1" s="24">
      <c r="A203" s="34" t="inlineStr">
        <is>
          <t>F14.2.2</t>
        </is>
      </c>
      <c r="B203" s="32" t="n">
        <v>3</v>
      </c>
      <c r="C203" s="45" t="inlineStr">
        <is>
          <t>Promote staging -&gt; main (deploys gokesari.com)</t>
        </is>
      </c>
      <c r="D203" s="34" t="inlineStr">
        <is>
          <t>Developer / Owner</t>
        </is>
      </c>
      <c r="E203" s="34" t="inlineStr">
        <is>
          <t>PLT-006, PLT-007</t>
        </is>
      </c>
      <c r="F203" s="32" t="n"/>
      <c r="G203" s="32" t="inlineStr">
        <is>
          <t>COMPLETED</t>
        </is>
      </c>
      <c r="H203" s="34" t="inlineStr">
        <is>
          <t>#86 reverted by #87; #120</t>
        </is>
      </c>
      <c r="I203" s="34" t="inlineStr">
        <is>
          <t>#120 merged 9 Oct 14:06 UTC: migrations 0056-0073 applied by MIGRATE_ON_BUILD, then the new code went live; verified 14:55 UTC</t>
        </is>
      </c>
    </row>
    <row r="204" ht="27" customHeight="1" s="24">
      <c r="A204" s="34" t="inlineStr">
        <is>
          <t>F14.2.3</t>
        </is>
      </c>
      <c r="B204" s="32" t="n">
        <v>3</v>
      </c>
      <c r="C204" s="45" t="inlineStr">
        <is>
          <t>Copy real shops from the test site to production</t>
        </is>
      </c>
      <c r="D204" s="34" t="inlineStr">
        <is>
          <t>Developer / Owner</t>
        </is>
      </c>
      <c r="E204" s="34" t="inlineStr">
        <is>
          <t>PLT-018</t>
        </is>
      </c>
      <c r="F204" s="32" t="n"/>
      <c r="G204" s="32" t="inlineStr">
        <is>
          <t>COMPLETED</t>
        </is>
      </c>
      <c r="H204" s="34" t="inlineStr">
        <is>
          <t>#140; #144; #156</t>
        </is>
      </c>
      <c r="I204" s="34" t="inlineStr">
        <is>
          <t>Used once: 5 shops, 12-13 Oct (SQL in the Neon console)</t>
        </is>
      </c>
    </row>
    <row r="205" ht="39" customHeight="1" s="24">
      <c r="A205" s="34" t="inlineStr">
        <is>
          <t>F14.2.4</t>
        </is>
      </c>
      <c r="B205" s="32" t="n">
        <v>3</v>
      </c>
      <c r="C205" s="45" t="inlineStr">
        <is>
          <t>Split production into seller and customer databases</t>
        </is>
      </c>
      <c r="D205" s="34" t="inlineStr">
        <is>
          <t>Developer / Owner</t>
        </is>
      </c>
      <c r="E205" s="34" t="inlineStr">
        <is>
          <t>PLT-015</t>
        </is>
      </c>
      <c r="F205" s="32" t="n"/>
      <c r="G205" s="32" t="inlineStr">
        <is>
          <t>IN PROGRESS</t>
        </is>
      </c>
      <c r="H205" s="34" t="inlineStr">
        <is>
          <t>#146-#162</t>
        </is>
      </c>
      <c r="I205" s="34" t="inlineStr">
        <is>
          <t>Test split PASS 13 Oct; production copy PASS 14 Oct (run 19) - check the split secrets; site still single-database</t>
        </is>
      </c>
    </row>
    <row r="206" ht="18" customHeight="1" s="24">
      <c r="A206" s="40" t="inlineStr">
        <is>
          <t>F15</t>
        </is>
      </c>
      <c r="B206" s="41" t="n">
        <v>1</v>
      </c>
      <c r="C206" s="40" t="inlineStr">
        <is>
          <t>F15  Mobile app (Android and iPhone)</t>
        </is>
      </c>
      <c r="D206" s="40" t="inlineStr">
        <is>
          <t>Customer / all roles</t>
        </is>
      </c>
      <c r="E206" s="40" t="n"/>
      <c r="F206" s="41">
        <f>COUNTIFS($B$207:$B$215,3,$G$207:$G$215,"COMPLETED")&amp;" / "&amp;COUNTIF($B$207:$B$215,3)</f>
        <v/>
      </c>
      <c r="G206" s="41">
        <f>IF(COUNTIFS($B$207:$B$215,3,$G$207:$G$215,"COMPLETED")=COUNTIF($B$207:$B$215,3),"COMPLETED",IF(COUNTIFS($B$207:$B$215,3,$G$207:$G$215,"BLOCKED")&gt;0,"BLOCKED",IF(COUNTIFS($B$207:$B$215,3,$G$207:$G$215,"YET TO START")=COUNTIF($B$207:$B$215,3),"YET TO START","IN PROGRESS")))</f>
        <v/>
      </c>
      <c r="H206" s="40" t="n"/>
      <c r="I206" s="40" t="n"/>
    </row>
    <row r="207" ht="15" customHeight="1" s="24">
      <c r="A207" s="42" t="inlineStr">
        <is>
          <t>F15.1</t>
        </is>
      </c>
      <c r="B207" s="43" t="n">
        <v>2</v>
      </c>
      <c r="C207" s="44" t="inlineStr">
        <is>
          <t>F15.1  Install</t>
        </is>
      </c>
      <c r="D207" s="42" t="n"/>
      <c r="E207" s="42" t="n"/>
      <c r="F207" s="43">
        <f>COUNTIFS($B$208:$B$211,3,$G$208:$G$211,"COMPLETED")&amp;" / "&amp;COUNTIF($B$208:$B$211,3)</f>
        <v/>
      </c>
      <c r="G207" s="43">
        <f>IF(COUNTIFS($B$208:$B$211,3,$G$208:$G$211,"COMPLETED")=COUNTIF($B$208:$B$211,3),"COMPLETED",IF(COUNTIFS($B$208:$B$211,3,$G$208:$G$211,"BLOCKED")&gt;0,"BLOCKED",IF(COUNTIFS($B$208:$B$211,3,$G$208:$G$211,"YET TO START")=COUNTIF($B$208:$B$211,3),"YET TO START","IN PROGRESS")))</f>
        <v/>
      </c>
      <c r="H207" s="42" t="n"/>
      <c r="I207" s="42" t="n"/>
    </row>
    <row r="208" ht="27" customHeight="1" s="24">
      <c r="A208" s="34" t="inlineStr">
        <is>
          <t>F15.1.1</t>
        </is>
      </c>
      <c r="B208" s="32" t="n">
        <v>3</v>
      </c>
      <c r="C208" s="45" t="inlineStr">
        <is>
          <t>Android: download the test APK from GitHub Actions and install</t>
        </is>
      </c>
      <c r="D208" s="34" t="inlineStr">
        <is>
          <t>Customer / all roles</t>
        </is>
      </c>
      <c r="E208" s="34" t="inlineStr">
        <is>
          <t>NEW-043, PLT-010</t>
        </is>
      </c>
      <c r="F208" s="32" t="n"/>
      <c r="G208" s="32" t="inlineStr">
        <is>
          <t>COMPLETED</t>
        </is>
      </c>
      <c r="H208" s="34" t="inlineStr">
        <is>
          <t>#100</t>
        </is>
      </c>
      <c r="I208" s="34" t="inlineStr">
        <is>
          <t>Test signing key - not a store build</t>
        </is>
      </c>
    </row>
    <row r="209" ht="27" customHeight="1" s="24">
      <c r="A209" s="34" t="inlineStr">
        <is>
          <t>F15.1.2</t>
        </is>
      </c>
      <c r="B209" s="32" t="n">
        <v>3</v>
      </c>
      <c r="C209" s="45" t="inlineStr">
        <is>
          <t>iPhone: add gokesari.com to the home screen from Safari (full-screen, Back button)</t>
        </is>
      </c>
      <c r="D209" s="34" t="inlineStr">
        <is>
          <t>Customer / all roles</t>
        </is>
      </c>
      <c r="E209" s="34" t="inlineStr">
        <is>
          <t>NEW-045</t>
        </is>
      </c>
      <c r="F209" s="32" t="n"/>
      <c r="G209" s="32" t="inlineStr">
        <is>
          <t>COMPLETED</t>
        </is>
      </c>
      <c r="H209" s="34" t="inlineStr">
        <is>
          <t>#100</t>
        </is>
      </c>
      <c r="I209" s="34" t="inlineStr">
        <is>
          <t>Live on gokesari.com</t>
        </is>
      </c>
    </row>
    <row r="210" ht="27" customHeight="1" s="24">
      <c r="A210" s="34" t="inlineStr">
        <is>
          <t>F15.1.3</t>
        </is>
      </c>
      <c r="B210" s="32" t="n">
        <v>3</v>
      </c>
      <c r="C210" s="45" t="inlineStr">
        <is>
          <t>Publish on Google Play</t>
        </is>
      </c>
      <c r="D210" s="34" t="inlineStr">
        <is>
          <t>Owner</t>
        </is>
      </c>
      <c r="E210" s="34" t="inlineStr">
        <is>
          <t>NEW-043</t>
        </is>
      </c>
      <c r="F210" s="32" t="n"/>
      <c r="G210" s="32" t="inlineStr">
        <is>
          <t>BLOCKED</t>
        </is>
      </c>
      <c r="H210" s="34" t="inlineStr">
        <is>
          <t>-</t>
        </is>
      </c>
      <c r="I210" s="34" t="inlineStr">
        <is>
          <t>Waits on Expo/EAS project + Google Play Console account</t>
        </is>
      </c>
    </row>
    <row r="211" ht="27" customHeight="1" s="24">
      <c r="A211" s="34" t="inlineStr">
        <is>
          <t>F15.1.4</t>
        </is>
      </c>
      <c r="B211" s="32" t="n">
        <v>3</v>
      </c>
      <c r="C211" s="45" t="inlineStr">
        <is>
          <t>Publish on the App Store (or install a native build on an iPhone)</t>
        </is>
      </c>
      <c r="D211" s="34" t="inlineStr">
        <is>
          <t>Owner</t>
        </is>
      </c>
      <c r="E211" s="34" t="inlineStr">
        <is>
          <t>NEW-043</t>
        </is>
      </c>
      <c r="F211" s="32" t="n"/>
      <c r="G211" s="32" t="inlineStr">
        <is>
          <t>BLOCKED</t>
        </is>
      </c>
      <c r="H211" s="34" t="inlineStr">
        <is>
          <t>#153; #157</t>
        </is>
      </c>
      <c r="I211" s="34" t="inlineStr">
        <is>
          <t>'iPhone app' workflow ready (PLT-017); waits on the Apple Developer account and secrets</t>
        </is>
      </c>
    </row>
    <row r="212" ht="15" customHeight="1" s="24">
      <c r="A212" s="42" t="inlineStr">
        <is>
          <t>F15.2</t>
        </is>
      </c>
      <c r="B212" s="43" t="n">
        <v>2</v>
      </c>
      <c r="C212" s="44" t="inlineStr">
        <is>
          <t>F15.2  Use</t>
        </is>
      </c>
      <c r="D212" s="42" t="n"/>
      <c r="E212" s="42" t="n"/>
      <c r="F212" s="43">
        <f>COUNTIFS($B$213:$B$215,3,$G$213:$G$215,"COMPLETED")&amp;" / "&amp;COUNTIF($B$213:$B$215,3)</f>
        <v/>
      </c>
      <c r="G212" s="43">
        <f>IF(COUNTIFS($B$213:$B$215,3,$G$213:$G$215,"COMPLETED")=COUNTIF($B$213:$B$215,3),"COMPLETED",IF(COUNTIFS($B$213:$B$215,3,$G$213:$G$215,"BLOCKED")&gt;0,"BLOCKED",IF(COUNTIFS($B$213:$B$215,3,$G$213:$G$215,"YET TO START")=COUNTIF($B$213:$B$215,3),"YET TO START","IN PROGRESS")))</f>
        <v/>
      </c>
      <c r="H212" s="42" t="n"/>
      <c r="I212" s="42" t="n"/>
    </row>
    <row r="213" ht="27" customHeight="1" s="24">
      <c r="A213" s="34" t="inlineStr">
        <is>
          <t>F15.2.1</t>
        </is>
      </c>
      <c r="B213" s="32" t="n">
        <v>3</v>
      </c>
      <c r="C213" s="45" t="inlineStr">
        <is>
          <t>Every website feature in the app, with native location, camera, downloads, print, share and offline screen</t>
        </is>
      </c>
      <c r="D213" s="34" t="inlineStr">
        <is>
          <t>Customer / all roles</t>
        </is>
      </c>
      <c r="E213" s="34" t="inlineStr">
        <is>
          <t>NEW-043</t>
        </is>
      </c>
      <c r="F213" s="32" t="n"/>
      <c r="G213" s="32" t="inlineStr">
        <is>
          <t>COMPLETED</t>
        </is>
      </c>
      <c r="H213" s="34" t="inlineStr">
        <is>
          <t>#100</t>
        </is>
      </c>
      <c r="I213" s="34" t="inlineStr">
        <is>
          <t>-</t>
        </is>
      </c>
    </row>
    <row r="214" ht="27" customHeight="1" s="24">
      <c r="A214" s="34" t="inlineStr">
        <is>
          <t>F15.2.2</t>
        </is>
      </c>
      <c r="B214" s="32" t="n">
        <v>3</v>
      </c>
      <c r="C214" s="45" t="inlineStr">
        <is>
          <t>Continue with Google from the app (system browser hand-off)</t>
        </is>
      </c>
      <c r="D214" s="34" t="inlineStr">
        <is>
          <t>Customer / all roles</t>
        </is>
      </c>
      <c r="E214" s="34" t="inlineStr">
        <is>
          <t>NEW-044</t>
        </is>
      </c>
      <c r="F214" s="32" t="n"/>
      <c r="G214" s="32" t="inlineStr">
        <is>
          <t>COMPLETED</t>
        </is>
      </c>
      <c r="H214" s="34" t="inlineStr">
        <is>
          <t>#100</t>
        </is>
      </c>
      <c r="I214" s="34" t="inlineStr">
        <is>
          <t>-</t>
        </is>
      </c>
    </row>
    <row r="215" ht="27" customHeight="1" s="24">
      <c r="A215" s="34" t="inlineStr">
        <is>
          <t>F15.2.3</t>
        </is>
      </c>
      <c r="B215" s="32" t="n">
        <v>3</v>
      </c>
      <c r="C215" s="45" t="inlineStr">
        <is>
          <t>gokesari.com links open the app (deep links)</t>
        </is>
      </c>
      <c r="D215" s="34" t="inlineStr">
        <is>
          <t>Customer / all roles</t>
        </is>
      </c>
      <c r="E215" s="34" t="inlineStr">
        <is>
          <t>NEW-044</t>
        </is>
      </c>
      <c r="F215" s="32" t="n"/>
      <c r="G215" s="32" t="inlineStr">
        <is>
          <t>YET TO START</t>
        </is>
      </c>
      <c r="H215" s="34" t="inlineStr">
        <is>
          <t>#100 (code)</t>
        </is>
      </c>
      <c r="I215" s="34" t="inlineStr">
        <is>
          <t>Needs signing fingerprints after the first store build</t>
        </is>
      </c>
    </row>
  </sheetData>
  <autoFilter ref="A4:I215"/>
  <mergeCells count="1">
    <mergeCell ref="A2:I2"/>
  </mergeCells>
  <conditionalFormatting sqref="G5:G215">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5 G146 G147 G148 G150 G151 G152 G153 G154 G155 G158 G159 G160 G162 G163 G164 G165 G166 G167 G170 G171 G173 G174 G175 G178 G179 G180 G181 G183 G184 G185 G186 G187 G190 G191 G193 G196 G197 G198 G199 G200 G202 G203 G204 G205 G208 G209 G210 G211 G213 G214 G215"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D4ED8"/>
    <outlinePr summaryBelow="1" summaryRight="1"/>
    <pageSetUpPr fitToPage="1"/>
  </sheetPr>
  <dimension ref="A1:L164"/>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sheetData>
  <autoFilter ref="A1:L164"/>
  <conditionalFormatting sqref="F2:F164">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991B1B"/>
    <outlinePr summaryBelow="1" summaryRight="1"/>
    <pageSetUpPr fitToPage="1"/>
  </sheetPr>
  <dimension ref="A1:H4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27"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39" customHeight="1" s="24">
      <c r="A42" s="32" t="n">
        <v>41</v>
      </c>
      <c r="B42" s="34" t="inlineStr">
        <is>
          <t>Decision</t>
        </is>
      </c>
      <c r="C42" s="34" t="inlineStr">
        <is>
          <t>Document auto-read engine</t>
        </is>
      </c>
      <c r="D42" s="34" t="inlineStr">
        <is>
          <t>The local OCR worker does not start on Hostinger (owners type the details). Either fix tesseract's start, or allow DOCUMENT_OCR_PROVIDER=claude - KYC documents would go to Anthropic (DPA / privacy decision).</t>
        </is>
      </c>
      <c r="E42" s="34" t="inlineStr">
        <is>
          <t>NEW-062</t>
        </is>
      </c>
      <c r="F42" s="34" t="inlineStr">
        <is>
          <t>Owner / dev</t>
        </is>
      </c>
      <c r="G42" s="34" t="inlineStr">
        <is>
          <t>Pending</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27"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t>
        </is>
      </c>
      <c r="E44" s="34" t="inlineStr">
        <is>
          <t>NEW-060, NEW-064</t>
        </is>
      </c>
      <c r="F44" s="34" t="inlineStr">
        <is>
          <t>QA / dev</t>
        </is>
      </c>
      <c r="G44" s="34" t="inlineStr">
        <is>
          <t>Open</t>
        </is>
      </c>
      <c r="H44" s="34" t="inlineStr">
        <is>
          <t>seller-central TEST_RESULTS; 13 Oct status sheet</t>
        </is>
      </c>
    </row>
    <row r="45">
      <c r="A45" t="n">
        <v>44</v>
      </c>
      <c r="B45" t="inlineStr">
        <is>
          <t>Release blocker</t>
        </is>
      </c>
      <c r="C45" t="inlineStr">
        <is>
          <t>Bulk product upload not deployed</t>
        </is>
      </c>
      <c r="D45" t="inlineStr">
        <is>
          <t>Merge the bulk-upload PR into staging (test.gokesari.com), run the environment tests, then staging → main</t>
        </is>
      </c>
      <c r="E45" t="inlineStr">
        <is>
          <t>BPU-15, BPU-16</t>
        </is>
      </c>
      <c r="F45" t="inlineStr">
        <is>
          <t>Owner</t>
        </is>
      </c>
      <c r="G45" t="inlineStr">
        <is>
          <t>Open</t>
        </is>
      </c>
      <c r="H45" t="inlineStr">
        <is>
          <t>docs/product-import-2026-10/README.md</t>
        </is>
      </c>
    </row>
    <row r="46">
      <c r="A46" t="n">
        <v>45</v>
      </c>
      <c r="B46" t="inlineStr">
        <is>
          <t>Decision</t>
        </is>
      </c>
      <c r="C46" t="inlineStr">
        <is>
          <t>Bulk upload: MRP in the file</t>
        </is>
      </c>
      <c r="D46" t="inlineStr">
        <is>
          <t>Stored as the listing MRP (shop_listing_details.mrp_paise); master MRP unchanged; price above it not applied</t>
        </is>
      </c>
      <c r="E46" t="inlineStr">
        <is>
          <t>BPU-03</t>
        </is>
      </c>
      <c r="F46" t="inlineStr">
        <is>
          <t>Dev (recorded)</t>
        </is>
      </c>
      <c r="G46" t="inlineStr">
        <is>
          <t>Decided</t>
        </is>
      </c>
      <c r="H46" t="inlineStr">
        <is>
          <t>docs/product-import-2026-10/README.md</t>
        </is>
      </c>
    </row>
    <row r="47">
      <c r="A47" t="n">
        <v>46</v>
      </c>
      <c r="B47" t="inlineStr">
        <is>
          <t>Decision</t>
        </is>
      </c>
      <c r="C47" t="inlineStr">
        <is>
          <t>Bulk upload: uncategorised products</t>
        </is>
      </c>
      <c r="D47" t="inlineStr">
        <is>
          <t>Go to the system category General</t>
        </is>
      </c>
      <c r="E47" t="inlineStr">
        <is>
          <t>BPU-04</t>
        </is>
      </c>
      <c r="F47" t="inlineStr">
        <is>
          <t>Dev (recorded)</t>
        </is>
      </c>
      <c r="G47" t="inlineStr">
        <is>
          <t>Decided</t>
        </is>
      </c>
      <c r="H47" t="inlineStr">
        <is>
          <t>docs/product-import-2026-10/README.md</t>
        </is>
      </c>
    </row>
    <row r="48">
      <c r="A48" t="n">
        <v>47</v>
      </c>
      <c r="B48" t="inlineStr">
        <is>
          <t>Go-live blocker</t>
        </is>
      </c>
      <c r="C48" t="inlineStr">
        <is>
          <t>Bulk upload: mobile store builds</t>
        </is>
      </c>
      <c r="D48" t="inlineStr">
        <is>
          <t>EAS / Expo account and Apple Developer account for the AAB and the iPhone build</t>
        </is>
      </c>
      <c r="E48" t="inlineStr">
        <is>
          <t>BPU-10, BPU-11</t>
        </is>
      </c>
      <c r="F48" t="inlineStr">
        <is>
          <t>Owner</t>
        </is>
      </c>
      <c r="G48" t="inlineStr">
        <is>
          <t>Open</t>
        </is>
      </c>
      <c r="H48" t="inlineStr">
        <is>
          <t>docs/product-import-2026-10/README.md</t>
        </is>
      </c>
    </row>
  </sheetData>
  <autoFilter ref="A1:H44"/>
  <conditionalFormatting sqref="G2:G44">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2026-10-15T06:41:16Z</dcterms:modified>
  <cp:revision>0</cp:revision>
</cp:coreProperties>
</file>