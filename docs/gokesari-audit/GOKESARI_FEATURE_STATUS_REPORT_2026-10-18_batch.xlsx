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84" windowHeight="8192" tabRatio="600" firstSheet="0" activeTab="0" autoFilterDateGrouping="1"/>
  </bookViews>
  <sheets>
    <sheet xmlns:r="http://schemas.openxmlformats.org/officeDocument/2006/relationships" name="Summary" sheetId="1" state="visible" r:id="rId1"/>
    <sheet xmlns:r="http://schemas.openxmlformats.org/officeDocument/2006/relationships" name="Batch 2026-10" sheetId="2" state="visible" r:id="rId2"/>
    <sheet xmlns:r="http://schemas.openxmlformats.org/officeDocument/2006/relationships" name="Bulk Product Upload" sheetId="3" state="visible" r:id="rId3"/>
    <sheet xmlns:r="http://schemas.openxmlformats.org/officeDocument/2006/relationships" name="Inventory &amp; Accounting" sheetId="4" state="visible" r:id="rId4"/>
    <sheet xmlns:r="http://schemas.openxmlformats.org/officeDocument/2006/relationships" name="Feature Register" sheetId="5" state="visible" r:id="rId5"/>
    <sheet xmlns:r="http://schemas.openxmlformats.org/officeDocument/2006/relationships" name="Process Flow Tree" sheetId="6" state="visible" r:id="rId6"/>
    <sheet xmlns:r="http://schemas.openxmlformats.org/officeDocument/2006/relationships" name="PR Register" sheetId="7" state="visible" r:id="rId7"/>
    <sheet xmlns:r="http://schemas.openxmlformats.org/officeDocument/2006/relationships" name="Blockers &amp; Decisions" sheetId="8" state="visible" r:id="rId8"/>
  </sheets>
  <definedNames>
    <definedName name="_xlnm._FilterDatabase" localSheetId="4" hidden="1">'Feature Register'!$A$1:$R$268</definedName>
    <definedName name="_xlnm.Print_Titles" localSheetId="4">'Feature Register'!$1:$1</definedName>
    <definedName name="_xlnm._FilterDatabase" localSheetId="5" hidden="1">'Process Flow Tree'!$A$4:$I$217</definedName>
    <definedName name="_xlnm.Print_Titles" localSheetId="5">'Process Flow Tree'!$4:$4</definedName>
    <definedName name="_xlnm._FilterDatabase" localSheetId="6" hidden="1">'PR Register'!$A$1:$L$189</definedName>
    <definedName name="_xlnm.Print_Titles" localSheetId="6">'PR Register'!$1:$1</definedName>
    <definedName name="_xlnm._FilterDatabase" localSheetId="7" hidden="1">'Blockers &amp; Decisions'!$A$1:$H$57</definedName>
  </definedNames>
  <calcPr calcId="171027"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Calibri"/>
      <charset val="1"/>
      <family val="2"/>
      <color theme="1"/>
      <sz val="11"/>
    </font>
    <font>
      <name val="Arial"/>
      <charset val="1"/>
      <b val="1"/>
      <color rgb="FF9A3412"/>
      <sz val="14"/>
    </font>
    <font>
      <name val="Arial"/>
      <charset val="1"/>
      <i val="1"/>
      <color rgb="FF475569"/>
      <sz val="9"/>
    </font>
    <font>
      <name val="Arial"/>
      <charset val="1"/>
      <b val="1"/>
      <sz val="11"/>
    </font>
    <font>
      <name val="Arial"/>
      <charset val="1"/>
      <b val="1"/>
      <color rgb="FFFFFFFF"/>
      <sz val="10"/>
    </font>
    <font>
      <name val="Arial"/>
      <charset val="1"/>
      <b val="1"/>
      <sz val="9"/>
    </font>
    <font>
      <name val="Arial"/>
      <charset val="1"/>
      <sz val="9"/>
    </font>
    <font>
      <b val="1"/>
      <sz val="13"/>
    </font>
    <font>
      <b val="1"/>
      <color rgb="00FFFFFF"/>
    </font>
    <font>
      <b val="1"/>
    </font>
    <font>
      <name val="Arial"/>
      <charset val="1"/>
      <b val="1"/>
      <sz val="10"/>
    </font>
    <font>
      <name val="Arial"/>
      <charset val="1"/>
      <b val="1"/>
      <color rgb="FF1D4ED8"/>
      <sz val="9"/>
      <u val="single"/>
    </font>
  </fonts>
  <fills count="17">
    <fill>
      <patternFill/>
    </fill>
    <fill>
      <patternFill patternType="gray125"/>
    </fill>
    <fill>
      <patternFill/>
    </fill>
    <fill>
      <patternFill patternType="solid">
        <fgColor rgb="FFC9450C"/>
        <bgColor rgb="FFEA580C"/>
      </patternFill>
    </fill>
    <fill>
      <patternFill patternType="solid">
        <fgColor rgb="00C2410C"/>
      </patternFill>
    </fill>
    <fill>
      <patternFill patternType="solid">
        <fgColor rgb="00FEF3C7"/>
      </patternFill>
    </fill>
    <fill>
      <patternFill patternType="solid">
        <fgColor rgb="00FECACA"/>
      </patternFill>
    </fill>
    <fill>
      <patternFill patternType="solid">
        <fgColor rgb="FFDCFCE7"/>
      </patternFill>
    </fill>
    <fill>
      <patternFill patternType="solid">
        <fgColor rgb="FFFEE2E2"/>
      </patternFill>
    </fill>
    <fill>
      <patternFill patternType="solid">
        <fgColor rgb="FFFEF3C7"/>
      </patternFill>
    </fill>
    <fill>
      <patternFill patternType="solid">
        <fgColor rgb="FFFFEDD5"/>
        <bgColor rgb="FFFEF3C7"/>
      </patternFill>
    </fill>
    <fill>
      <patternFill patternType="solid">
        <fgColor rgb="FFFFF7ED"/>
        <bgColor rgb="FFFFFFFF"/>
      </patternFill>
    </fill>
    <fill>
      <patternFill patternType="solid">
        <fgColor rgb="00C6EFCE"/>
      </patternFill>
    </fill>
    <fill>
      <patternFill patternType="solid">
        <fgColor rgb="00D9D9D9"/>
      </patternFill>
    </fill>
    <fill>
      <patternFill patternType="solid">
        <fgColor rgb="00DDEBF7"/>
      </patternFill>
    </fill>
    <fill>
      <patternFill patternType="solid">
        <fgColor rgb="00FFF2CC"/>
      </patternFill>
    </fill>
    <fill>
      <patternFill patternType="solid">
        <fgColor rgb="00F8CBAD"/>
      </patternFill>
    </fill>
  </fills>
  <borders count="6">
    <border>
      <left/>
      <right/>
      <top/>
      <bottom/>
      <diagonal/>
    </border>
    <border>
      <left style="thin">
        <color rgb="FFD6D3D1"/>
      </left>
      <right style="thin">
        <color rgb="FFD6D3D1"/>
      </right>
      <top style="thin">
        <color rgb="FFD6D3D1"/>
      </top>
      <bottom style="thin">
        <color rgb="FFD6D3D1"/>
      </bottom>
      <diagonal/>
    </border>
    <border>
      <left/>
      <right/>
      <top style="thin">
        <color rgb="FFD6D3D1"/>
      </top>
      <bottom style="thin">
        <color rgb="FFD6D3D1"/>
      </bottom>
      <diagonal/>
    </border>
    <border>
      <left/>
      <right style="thin">
        <color rgb="FFD6D3D1"/>
      </right>
      <top style="thin">
        <color rgb="FFD6D3D1"/>
      </top>
      <bottom style="thin">
        <color rgb="FFD6D3D1"/>
      </bottom>
      <diagonal/>
    </border>
    <border>
      <left/>
      <right/>
      <top style="thin">
        <color rgb="FFD6D3D1"/>
      </top>
      <bottom/>
      <diagonal/>
    </border>
    <border>
      <left/>
      <right style="thin">
        <color rgb="FFD6D3D1"/>
      </right>
      <top style="thin">
        <color rgb="FFD6D3D1"/>
      </top>
      <bottom/>
      <diagonal/>
    </border>
  </borders>
  <cellStyleXfs count="1">
    <xf numFmtId="0" fontId="0" fillId="2" borderId="0"/>
  </cellStyleXfs>
  <cellXfs count="42">
    <xf numFmtId="0" fontId="0" fillId="0" borderId="0" pivotButton="0" quotePrefix="0" xfId="0"/>
    <xf numFmtId="0" fontId="1" fillId="2" borderId="0" applyAlignment="1" pivotButton="0" quotePrefix="0" xfId="0">
      <alignment vertical="bottom"/>
    </xf>
    <xf numFmtId="0" fontId="1" fillId="2" borderId="0" pivotButton="0" quotePrefix="0" xfId="0"/>
    <xf numFmtId="0" fontId="2" fillId="2" borderId="0" applyAlignment="1" pivotButton="0" quotePrefix="0" xfId="0">
      <alignment vertical="bottom"/>
    </xf>
    <xf numFmtId="0" fontId="3" fillId="2" borderId="0" applyAlignment="1" pivotButton="0" quotePrefix="0" xfId="0">
      <alignment vertical="top" wrapText="1"/>
    </xf>
    <xf numFmtId="0" fontId="4" fillId="2" borderId="0" applyAlignment="1" pivotButton="0" quotePrefix="0" xfId="0">
      <alignment vertical="bottom"/>
    </xf>
    <xf numFmtId="0" fontId="5" fillId="3" borderId="1" applyAlignment="1" pivotButton="0" quotePrefix="0" xfId="0">
      <alignment horizontal="center" vertical="top" wrapText="1"/>
    </xf>
    <xf numFmtId="0" fontId="1" fillId="2" borderId="2" pivotButton="0" quotePrefix="0" xfId="0"/>
    <xf numFmtId="0" fontId="1" fillId="2" borderId="3" pivotButton="0" quotePrefix="0" xfId="0"/>
    <xf numFmtId="0" fontId="6" fillId="2" borderId="1" applyAlignment="1" pivotButton="0" quotePrefix="0" xfId="0">
      <alignment vertical="top" wrapText="1"/>
    </xf>
    <xf numFmtId="0" fontId="7" fillId="2" borderId="1" applyAlignment="1" pivotButton="0" quotePrefix="0" xfId="0">
      <alignment horizontal="center" vertical="top" wrapText="1"/>
    </xf>
    <xf numFmtId="164" fontId="7" fillId="2" borderId="1" applyAlignment="1" pivotButton="0" quotePrefix="0" xfId="0">
      <alignment horizontal="center" vertical="top" wrapText="1"/>
    </xf>
    <xf numFmtId="0" fontId="7" fillId="2" borderId="1" applyAlignment="1" pivotButton="0" quotePrefix="0" xfId="0">
      <alignment vertical="top" wrapText="1"/>
    </xf>
    <xf numFmtId="0" fontId="6" fillId="2" borderId="1" applyAlignment="1" pivotButton="0" quotePrefix="0" xfId="0">
      <alignment horizontal="center" vertical="top" wrapText="1"/>
    </xf>
    <xf numFmtId="164" fontId="6" fillId="2" borderId="1" applyAlignment="1" pivotButton="0" quotePrefix="0" xfId="0">
      <alignment horizontal="center" vertical="top" wrapText="1"/>
    </xf>
    <xf numFmtId="9" fontId="7" fillId="2" borderId="1" applyAlignment="1" pivotButton="0" quotePrefix="0" xfId="0">
      <alignment horizontal="center" vertical="top" wrapText="1"/>
    </xf>
    <xf numFmtId="9" fontId="6" fillId="2" borderId="1" applyAlignment="1" pivotButton="0" quotePrefix="0" xfId="0">
      <alignment horizontal="center" vertical="top" wrapText="1"/>
    </xf>
    <xf numFmtId="0" fontId="7" fillId="2" borderId="0" applyAlignment="1" pivotButton="0" quotePrefix="0" xfId="0">
      <alignment vertical="top" wrapText="1"/>
    </xf>
    <xf numFmtId="0" fontId="8" fillId="2" borderId="0" pivotButton="0" quotePrefix="0" xfId="0"/>
    <xf numFmtId="0" fontId="9" fillId="4" borderId="0" pivotButton="0" quotePrefix="0" xfId="0"/>
    <xf numFmtId="0" fontId="1" fillId="2"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xf numFmtId="0" fontId="0" fillId="0"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xf numFmtId="0" fontId="0" fillId="9" borderId="0" applyAlignment="1" pivotButton="0" quotePrefix="0" xfId="0">
      <alignment vertical="top" wrapText="1"/>
    </xf>
    <xf numFmtId="0" fontId="10" fillId="0" borderId="0" pivotButton="0" quotePrefix="0" xfId="0"/>
    <xf numFmtId="0" fontId="11" fillId="10" borderId="1" applyAlignment="1" pivotButton="0" quotePrefix="0" xfId="0">
      <alignment vertical="top" wrapText="1"/>
    </xf>
    <xf numFmtId="0" fontId="11" fillId="10" borderId="1" applyAlignment="1" pivotButton="0" quotePrefix="0" xfId="0">
      <alignment horizontal="center" vertical="top" wrapText="1"/>
    </xf>
    <xf numFmtId="0" fontId="6" fillId="11" borderId="1" applyAlignment="1" pivotButton="0" quotePrefix="0" xfId="0">
      <alignment vertical="top" wrapText="1"/>
    </xf>
    <xf numFmtId="0" fontId="6" fillId="11" borderId="1" applyAlignment="1" pivotButton="0" quotePrefix="0" xfId="0">
      <alignment horizontal="center" vertical="top" wrapText="1"/>
    </xf>
    <xf numFmtId="0" fontId="6" fillId="11" borderId="1" applyAlignment="1" pivotButton="0" quotePrefix="0" xfId="0">
      <alignment vertical="top" wrapText="1" indent="2"/>
    </xf>
    <xf numFmtId="0" fontId="7" fillId="2" borderId="1" applyAlignment="1" pivotButton="0" quotePrefix="0" xfId="0">
      <alignment vertical="top" wrapText="1" indent="4"/>
    </xf>
    <xf numFmtId="0" fontId="12" fillId="2" borderId="1" applyAlignment="1" pivotButton="0" quotePrefix="0" xfId="0">
      <alignment horizontal="center" vertical="top" wrapText="1"/>
    </xf>
    <xf numFmtId="0" fontId="0" fillId="0" borderId="2" pivotButton="0" quotePrefix="0" xfId="0"/>
    <xf numFmtId="0" fontId="0" fillId="0" borderId="3" pivotButton="0" quotePrefix="0" xfId="0"/>
    <xf numFmtId="0" fontId="0" fillId="12" borderId="0" pivotButton="0" quotePrefix="0" xfId="0"/>
    <xf numFmtId="0" fontId="0" fillId="13" borderId="0" pivotButton="0" quotePrefix="0" xfId="0"/>
    <xf numFmtId="0" fontId="0" fillId="14" borderId="0" pivotButton="0" quotePrefix="0" xfId="0"/>
    <xf numFmtId="0" fontId="0" fillId="15" borderId="0" pivotButton="0" quotePrefix="0" xfId="0"/>
    <xf numFmtId="0" fontId="0" fillId="16" borderId="0" pivotButton="0" quotePrefix="0" xfId="0"/>
  </cellXfs>
  <cellStyles count="1">
    <cellStyle name="Normal" xfId="0" builtinId="0"/>
  </cellStyles>
  <dxfs count="29">
    <dxf>
      <font>
        <b val="1"/>
        <color rgb="FF065F46"/>
      </font>
      <fill>
        <patternFill patternType="solid">
          <fgColor rgb="FFD1FAE5"/>
          <bgColor rgb="FFD1FAE5"/>
        </patternFill>
      </fill>
    </dxf>
    <dxf>
      <font>
        <b val="1"/>
        <color rgb="FF92400E"/>
      </font>
      <fill>
        <patternFill patternType="solid">
          <fgColor rgb="FFFEF3C7"/>
          <bgColor rgb="FFFEF3C7"/>
        </patternFill>
      </fill>
    </dxf>
    <dxf>
      <font>
        <b val="1"/>
        <color rgb="FF374151"/>
      </font>
      <fill>
        <patternFill patternType="solid">
          <fgColor rgb="FFE5E7EB"/>
          <bgColor rgb="FFE5E7EB"/>
        </patternFill>
      </fill>
    </dxf>
    <dxf>
      <font>
        <b val="1"/>
        <color rgb="FF991B1B"/>
      </font>
      <fill>
        <patternFill patternType="solid">
          <fgColor rgb="FFFEE2E2"/>
          <bgColor rgb="FFFEE2E2"/>
        </patternFill>
      </fill>
    </dxf>
    <dxf>
      <font>
        <b val="1"/>
        <color rgb="FF065F46"/>
      </font>
      <fill>
        <patternFill patternType="solid">
          <fgColor rgb="FFD1FAE5"/>
          <bgColor rgb="FFD1FAE5"/>
        </patternFill>
      </fill>
    </dxf>
    <dxf>
      <font>
        <b val="1"/>
        <color rgb="FF92400E"/>
      </font>
      <fill>
        <patternFill patternType="solid">
          <fgColor rgb="FFFEF3C7"/>
          <bgColor rgb="FFFEF3C7"/>
        </patternFill>
      </fill>
    </dxf>
    <dxf>
      <font>
        <b val="1"/>
        <color rgb="FF374151"/>
      </font>
      <fill>
        <patternFill patternType="solid">
          <fgColor rgb="FFE5E7EB"/>
          <bgColor rgb="FFE5E7EB"/>
        </patternFill>
      </fill>
    </dxf>
    <dxf>
      <font>
        <b val="1"/>
        <color rgb="FF991B1B"/>
      </font>
      <fill>
        <patternFill patternType="solid">
          <fgColor rgb="FFFEE2E2"/>
          <bgColor rgb="FFFEE2E2"/>
        </patternFill>
      </fill>
    </dxf>
    <dxf>
      <font>
        <b val="1"/>
        <color rgb="FF065F46"/>
      </font>
      <fill>
        <patternFill patternType="solid">
          <fgColor rgb="FFD1FAE5"/>
          <bgColor rgb="FFD1FAE5"/>
        </patternFill>
      </fill>
    </dxf>
    <dxf>
      <font>
        <b val="1"/>
        <color rgb="FF92400E"/>
      </font>
      <fill>
        <patternFill patternType="solid">
          <fgColor rgb="FFFEF3C7"/>
          <bgColor rgb="FFFEF3C7"/>
        </patternFill>
      </fill>
    </dxf>
    <dxf>
      <font>
        <b val="1"/>
        <color rgb="FF374151"/>
      </font>
      <fill>
        <patternFill patternType="solid">
          <fgColor rgb="FFE5E7EB"/>
          <bgColor rgb="FFE5E7EB"/>
        </patternFill>
      </fill>
    </dxf>
    <dxf>
      <font>
        <b val="1"/>
        <color rgb="FF991B1B"/>
      </font>
      <fill>
        <patternFill patternType="solid">
          <fgColor rgb="FFFEE2E2"/>
          <bgColor rgb="FFFEE2E2"/>
        </patternFill>
      </fill>
    </dxf>
    <dxf>
      <font>
        <b val="1"/>
        <color rgb="FF065F46"/>
      </font>
      <fill>
        <patternFill patternType="solid">
          <fgColor rgb="FFD1FAE5"/>
          <bgColor rgb="FFD1FAE5"/>
        </patternFill>
      </fill>
    </dxf>
    <dxf>
      <font>
        <b val="1"/>
        <color rgb="FF92400E"/>
      </font>
      <fill>
        <patternFill patternType="solid">
          <fgColor rgb="FFFEF3C7"/>
          <bgColor rgb="FFFEF3C7"/>
        </patternFill>
      </fill>
    </dxf>
    <dxf>
      <font>
        <b val="1"/>
        <color rgb="FF374151"/>
      </font>
      <fill>
        <patternFill patternType="solid">
          <fgColor rgb="FFE5E7EB"/>
          <bgColor rgb="FFE5E7EB"/>
        </patternFill>
      </fill>
    </dxf>
    <dxf>
      <font>
        <b val="1"/>
        <color rgb="FF991B1B"/>
      </font>
      <fill>
        <patternFill patternType="solid">
          <fgColor rgb="FFFEE2E2"/>
          <bgColor rgb="FFFEE2E2"/>
        </patternFill>
      </fill>
    </dxf>
    <dxf>
      <font>
        <b val="1"/>
        <color rgb="FF065F46"/>
      </font>
      <fill>
        <patternFill patternType="solid">
          <fgColor rgb="FFD1FAE5"/>
          <bgColor rgb="FFD1FAE5"/>
        </patternFill>
      </fill>
    </dxf>
    <dxf>
      <font>
        <b val="1"/>
        <color rgb="FF92400E"/>
      </font>
      <fill>
        <patternFill patternType="solid">
          <fgColor rgb="FFFEF3C7"/>
          <bgColor rgb="FFFEF3C7"/>
        </patternFill>
      </fill>
    </dxf>
    <dxf>
      <font>
        <b val="1"/>
        <color rgb="FF374151"/>
      </font>
      <fill>
        <patternFill patternType="solid">
          <fgColor rgb="FFE5E7EB"/>
          <bgColor rgb="FFE5E7EB"/>
        </patternFill>
      </fill>
    </dxf>
    <dxf>
      <font>
        <b val="1"/>
        <color rgb="FF991B1B"/>
      </font>
      <fill>
        <patternFill patternType="solid">
          <fgColor rgb="FFFEE2E2"/>
          <bgColor rgb="FFFEE2E2"/>
        </patternFill>
      </fill>
    </dxf>
    <dxf>
      <font>
        <b val="1"/>
        <color rgb="FF065F46"/>
      </font>
      <fill>
        <patternFill patternType="solid">
          <fgColor rgb="FFD1FAE5"/>
          <bgColor rgb="FFD1FAE5"/>
        </patternFill>
      </fill>
    </dxf>
    <dxf>
      <font>
        <b val="1"/>
        <color rgb="FF374151"/>
      </font>
      <fill>
        <patternFill patternType="solid">
          <fgColor rgb="FFE5E7EB"/>
          <bgColor rgb="FFE5E7EB"/>
        </patternFill>
      </fill>
    </dxf>
    <dxf>
      <font>
        <b val="1"/>
        <color rgb="FF92400E"/>
      </font>
      <fill>
        <patternFill patternType="solid">
          <fgColor rgb="FFFEF3C7"/>
          <bgColor rgb="FFFEF3C7"/>
        </patternFill>
      </fill>
    </dxf>
    <dxf>
      <font>
        <b val="1"/>
        <color rgb="FF991B1B"/>
      </font>
      <fill>
        <patternFill patternType="solid">
          <fgColor rgb="FFFEE2E2"/>
          <bgColor rgb="FFFEE2E2"/>
        </patternFill>
      </fill>
    </dxf>
    <dxf>
      <font>
        <b val="1"/>
        <color rgb="FF991B1B"/>
      </font>
      <fill>
        <patternFill patternType="solid">
          <fgColor rgb="FFFEE2E2"/>
          <bgColor rgb="FFFEE2E2"/>
        </patternFill>
      </fill>
    </dxf>
    <dxf>
      <font>
        <b val="1"/>
        <color rgb="FF92400E"/>
      </font>
      <fill>
        <patternFill patternType="solid">
          <fgColor rgb="FFFEF3C7"/>
          <bgColor rgb="FFFEF3C7"/>
        </patternFill>
      </fill>
    </dxf>
    <dxf>
      <font>
        <b val="1"/>
        <color rgb="FF92400E"/>
      </font>
      <fill>
        <patternFill patternType="solid">
          <fgColor rgb="FFFEF3C7"/>
          <bgColor rgb="FFFEF3C7"/>
        </patternFill>
      </fill>
    </dxf>
    <dxf>
      <font>
        <b val="1"/>
        <color rgb="FF374151"/>
      </font>
      <fill>
        <patternFill patternType="solid">
          <fgColor rgb="FFE5E7EB"/>
          <bgColor rgb="FFE5E7EB"/>
        </patternFill>
      </fill>
    </dxf>
    <dxf>
      <font>
        <b val="1"/>
        <color rgb="FF065F46"/>
      </font>
      <fill>
        <patternFill patternType="solid">
          <fgColor rgb="FFD1FAE5"/>
          <bgColor rgb="FFD1FAE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Relationships xmlns="http://schemas.openxmlformats.org/package/2006/relationships"><Relationship Type="http://schemas.openxmlformats.org/officeDocument/2006/relationships/hyperlink" Target="https://github.com/sanjaymorankar-debug/GoKesari/pull/1" TargetMode="External" Id="rId1"/><Relationship Type="http://schemas.openxmlformats.org/officeDocument/2006/relationships/hyperlink" Target="https://github.com/sanjaymorankar-debug/GoKesari/pull/2" TargetMode="External" Id="rId2"/><Relationship Type="http://schemas.openxmlformats.org/officeDocument/2006/relationships/hyperlink" Target="https://github.com/sanjaymorankar-debug/GoKesari/pull/3" TargetMode="External" Id="rId3"/><Relationship Type="http://schemas.openxmlformats.org/officeDocument/2006/relationships/hyperlink" Target="https://github.com/sanjaymorankar-debug/GoKesari/pull/4" TargetMode="External" Id="rId4"/><Relationship Type="http://schemas.openxmlformats.org/officeDocument/2006/relationships/hyperlink" Target="https://github.com/sanjaymorankar-debug/GoKesari/pull/5" TargetMode="External" Id="rId5"/><Relationship Type="http://schemas.openxmlformats.org/officeDocument/2006/relationships/hyperlink" Target="https://github.com/sanjaymorankar-debug/GoKesari/pull/6" TargetMode="External" Id="rId6"/><Relationship Type="http://schemas.openxmlformats.org/officeDocument/2006/relationships/hyperlink" Target="https://github.com/sanjaymorankar-debug/GoKesari/pull/7" TargetMode="External" Id="rId7"/><Relationship Type="http://schemas.openxmlformats.org/officeDocument/2006/relationships/hyperlink" Target="https://github.com/sanjaymorankar-debug/GoKesari/pull/8" TargetMode="External" Id="rId8"/><Relationship Type="http://schemas.openxmlformats.org/officeDocument/2006/relationships/hyperlink" Target="https://github.com/sanjaymorankar-debug/GoKesari/pull/9" TargetMode="External" Id="rId9"/><Relationship Type="http://schemas.openxmlformats.org/officeDocument/2006/relationships/hyperlink" Target="https://github.com/sanjaymorankar-debug/GoKesari/pull/10" TargetMode="External" Id="rId10"/><Relationship Type="http://schemas.openxmlformats.org/officeDocument/2006/relationships/hyperlink" Target="https://github.com/sanjaymorankar-debug/GoKesari/pull/11" TargetMode="External" Id="rId11"/><Relationship Type="http://schemas.openxmlformats.org/officeDocument/2006/relationships/hyperlink" Target="https://github.com/sanjaymorankar-debug/GoKesari/pull/12" TargetMode="External" Id="rId12"/><Relationship Type="http://schemas.openxmlformats.org/officeDocument/2006/relationships/hyperlink" Target="https://github.com/sanjaymorankar-debug/GoKesari/pull/13" TargetMode="External" Id="rId13"/><Relationship Type="http://schemas.openxmlformats.org/officeDocument/2006/relationships/hyperlink" Target="https://github.com/sanjaymorankar-debug/GoKesari/pull/14" TargetMode="External" Id="rId14"/><Relationship Type="http://schemas.openxmlformats.org/officeDocument/2006/relationships/hyperlink" Target="https://github.com/sanjaymorankar-debug/GoKesari/pull/15" TargetMode="External" Id="rId15"/><Relationship Type="http://schemas.openxmlformats.org/officeDocument/2006/relationships/hyperlink" Target="https://github.com/sanjaymorankar-debug/GoKesari/pull/16" TargetMode="External" Id="rId16"/><Relationship Type="http://schemas.openxmlformats.org/officeDocument/2006/relationships/hyperlink" Target="https://github.com/sanjaymorankar-debug/GoKesari/pull/17" TargetMode="External" Id="rId17"/><Relationship Type="http://schemas.openxmlformats.org/officeDocument/2006/relationships/hyperlink" Target="https://github.com/sanjaymorankar-debug/GoKesari/pull/18" TargetMode="External" Id="rId18"/><Relationship Type="http://schemas.openxmlformats.org/officeDocument/2006/relationships/hyperlink" Target="https://github.com/sanjaymorankar-debug/GoKesari/pull/19" TargetMode="External" Id="rId19"/><Relationship Type="http://schemas.openxmlformats.org/officeDocument/2006/relationships/hyperlink" Target="https://github.com/sanjaymorankar-debug/GoKesari/pull/20" TargetMode="External" Id="rId20"/><Relationship Type="http://schemas.openxmlformats.org/officeDocument/2006/relationships/hyperlink" Target="https://github.com/sanjaymorankar-debug/GoKesari/pull/21" TargetMode="External" Id="rId21"/><Relationship Type="http://schemas.openxmlformats.org/officeDocument/2006/relationships/hyperlink" Target="https://github.com/sanjaymorankar-debug/GoKesari/pull/22" TargetMode="External" Id="rId22"/><Relationship Type="http://schemas.openxmlformats.org/officeDocument/2006/relationships/hyperlink" Target="https://github.com/sanjaymorankar-debug/GoKesari/pull/23" TargetMode="External" Id="rId23"/><Relationship Type="http://schemas.openxmlformats.org/officeDocument/2006/relationships/hyperlink" Target="https://github.com/sanjaymorankar-debug/GoKesari/pull/24" TargetMode="External" Id="rId24"/><Relationship Type="http://schemas.openxmlformats.org/officeDocument/2006/relationships/hyperlink" Target="https://github.com/sanjaymorankar-debug/GoKesari/pull/25" TargetMode="External" Id="rId25"/><Relationship Type="http://schemas.openxmlformats.org/officeDocument/2006/relationships/hyperlink" Target="https://github.com/sanjaymorankar-debug/GoKesari/pull/26" TargetMode="External" Id="rId26"/><Relationship Type="http://schemas.openxmlformats.org/officeDocument/2006/relationships/hyperlink" Target="https://github.com/sanjaymorankar-debug/GoKesari/pull/27" TargetMode="External" Id="rId27"/><Relationship Type="http://schemas.openxmlformats.org/officeDocument/2006/relationships/hyperlink" Target="https://github.com/sanjaymorankar-debug/GoKesari/pull/28" TargetMode="External" Id="rId28"/><Relationship Type="http://schemas.openxmlformats.org/officeDocument/2006/relationships/hyperlink" Target="https://github.com/sanjaymorankar-debug/GoKesari/pull/29" TargetMode="External" Id="rId29"/><Relationship Type="http://schemas.openxmlformats.org/officeDocument/2006/relationships/hyperlink" Target="https://github.com/sanjaymorankar-debug/GoKesari/pull/30" TargetMode="External" Id="rId30"/><Relationship Type="http://schemas.openxmlformats.org/officeDocument/2006/relationships/hyperlink" Target="https://github.com/sanjaymorankar-debug/GoKesari/pull/31" TargetMode="External" Id="rId31"/><Relationship Type="http://schemas.openxmlformats.org/officeDocument/2006/relationships/hyperlink" Target="https://github.com/sanjaymorankar-debug/GoKesari/pull/32" TargetMode="External" Id="rId32"/><Relationship Type="http://schemas.openxmlformats.org/officeDocument/2006/relationships/hyperlink" Target="https://github.com/sanjaymorankar-debug/GoKesari/pull/33" TargetMode="External" Id="rId33"/><Relationship Type="http://schemas.openxmlformats.org/officeDocument/2006/relationships/hyperlink" Target="https://github.com/sanjaymorankar-debug/GoKesari/pull/34" TargetMode="External" Id="rId34"/><Relationship Type="http://schemas.openxmlformats.org/officeDocument/2006/relationships/hyperlink" Target="https://github.com/sanjaymorankar-debug/GoKesari/pull/35" TargetMode="External" Id="rId35"/><Relationship Type="http://schemas.openxmlformats.org/officeDocument/2006/relationships/hyperlink" Target="https://github.com/sanjaymorankar-debug/GoKesari/pull/36" TargetMode="External" Id="rId36"/><Relationship Type="http://schemas.openxmlformats.org/officeDocument/2006/relationships/hyperlink" Target="https://github.com/sanjaymorankar-debug/GoKesari/pull/37" TargetMode="External" Id="rId37"/><Relationship Type="http://schemas.openxmlformats.org/officeDocument/2006/relationships/hyperlink" Target="https://github.com/sanjaymorankar-debug/GoKesari/pull/38" TargetMode="External" Id="rId38"/><Relationship Type="http://schemas.openxmlformats.org/officeDocument/2006/relationships/hyperlink" Target="https://github.com/sanjaymorankar-debug/GoKesari/pull/39" TargetMode="External" Id="rId39"/><Relationship Type="http://schemas.openxmlformats.org/officeDocument/2006/relationships/hyperlink" Target="https://github.com/sanjaymorankar-debug/GoKesari/pull/40" TargetMode="External" Id="rId40"/><Relationship Type="http://schemas.openxmlformats.org/officeDocument/2006/relationships/hyperlink" Target="https://github.com/sanjaymorankar-debug/GoKesari/pull/41" TargetMode="External" Id="rId41"/><Relationship Type="http://schemas.openxmlformats.org/officeDocument/2006/relationships/hyperlink" Target="https://github.com/sanjaymorankar-debug/GoKesari/pull/42" TargetMode="External" Id="rId42"/><Relationship Type="http://schemas.openxmlformats.org/officeDocument/2006/relationships/hyperlink" Target="https://github.com/sanjaymorankar-debug/GoKesari/pull/43" TargetMode="External" Id="rId43"/><Relationship Type="http://schemas.openxmlformats.org/officeDocument/2006/relationships/hyperlink" Target="https://github.com/sanjaymorankar-debug/GoKesari/pull/44" TargetMode="External" Id="rId44"/><Relationship Type="http://schemas.openxmlformats.org/officeDocument/2006/relationships/hyperlink" Target="https://github.com/sanjaymorankar-debug/GoKesari/pull/45" TargetMode="External" Id="rId45"/><Relationship Type="http://schemas.openxmlformats.org/officeDocument/2006/relationships/hyperlink" Target="https://github.com/sanjaymorankar-debug/GoKesari/pull/46" TargetMode="External" Id="rId46"/><Relationship Type="http://schemas.openxmlformats.org/officeDocument/2006/relationships/hyperlink" Target="https://github.com/sanjaymorankar-debug/GoKesari/pull/47" TargetMode="External" Id="rId47"/><Relationship Type="http://schemas.openxmlformats.org/officeDocument/2006/relationships/hyperlink" Target="https://github.com/sanjaymorankar-debug/GoKesari/pull/48" TargetMode="External" Id="rId48"/><Relationship Type="http://schemas.openxmlformats.org/officeDocument/2006/relationships/hyperlink" Target="https://github.com/sanjaymorankar-debug/GoKesari/pull/49" TargetMode="External" Id="rId49"/><Relationship Type="http://schemas.openxmlformats.org/officeDocument/2006/relationships/hyperlink" Target="https://github.com/sanjaymorankar-debug/GoKesari/pull/50" TargetMode="External" Id="rId50"/><Relationship Type="http://schemas.openxmlformats.org/officeDocument/2006/relationships/hyperlink" Target="https://github.com/sanjaymorankar-debug/GoKesari/pull/51" TargetMode="External" Id="rId51"/><Relationship Type="http://schemas.openxmlformats.org/officeDocument/2006/relationships/hyperlink" Target="https://github.com/sanjaymorankar-debug/GoKesari/pull/52" TargetMode="External" Id="rId52"/><Relationship Type="http://schemas.openxmlformats.org/officeDocument/2006/relationships/hyperlink" Target="https://github.com/sanjaymorankar-debug/GoKesari/pull/53" TargetMode="External" Id="rId53"/><Relationship Type="http://schemas.openxmlformats.org/officeDocument/2006/relationships/hyperlink" Target="https://github.com/sanjaymorankar-debug/GoKesari/pull/54" TargetMode="External" Id="rId54"/><Relationship Type="http://schemas.openxmlformats.org/officeDocument/2006/relationships/hyperlink" Target="https://github.com/sanjaymorankar-debug/GoKesari/pull/55" TargetMode="External" Id="rId55"/><Relationship Type="http://schemas.openxmlformats.org/officeDocument/2006/relationships/hyperlink" Target="https://github.com/sanjaymorankar-debug/GoKesari/pull/56" TargetMode="External" Id="rId56"/><Relationship Type="http://schemas.openxmlformats.org/officeDocument/2006/relationships/hyperlink" Target="https://github.com/sanjaymorankar-debug/GoKesari/pull/57" TargetMode="External" Id="rId57"/><Relationship Type="http://schemas.openxmlformats.org/officeDocument/2006/relationships/hyperlink" Target="https://github.com/sanjaymorankar-debug/GoKesari/pull/58" TargetMode="External" Id="rId58"/><Relationship Type="http://schemas.openxmlformats.org/officeDocument/2006/relationships/hyperlink" Target="https://github.com/sanjaymorankar-debug/GoKesari/pull/59" TargetMode="External" Id="rId59"/><Relationship Type="http://schemas.openxmlformats.org/officeDocument/2006/relationships/hyperlink" Target="https://github.com/sanjaymorankar-debug/GoKesari/pull/60" TargetMode="External" Id="rId60"/><Relationship Type="http://schemas.openxmlformats.org/officeDocument/2006/relationships/hyperlink" Target="https://github.com/sanjaymorankar-debug/GoKesari/pull/61" TargetMode="External" Id="rId61"/><Relationship Type="http://schemas.openxmlformats.org/officeDocument/2006/relationships/hyperlink" Target="https://github.com/sanjaymorankar-debug/GoKesari/pull/62" TargetMode="External" Id="rId62"/><Relationship Type="http://schemas.openxmlformats.org/officeDocument/2006/relationships/hyperlink" Target="https://github.com/sanjaymorankar-debug/GoKesari/pull/63" TargetMode="External" Id="rId63"/><Relationship Type="http://schemas.openxmlformats.org/officeDocument/2006/relationships/hyperlink" Target="https://github.com/sanjaymorankar-debug/GoKesari/pull/64" TargetMode="External" Id="rId64"/><Relationship Type="http://schemas.openxmlformats.org/officeDocument/2006/relationships/hyperlink" Target="https://github.com/sanjaymorankar-debug/GoKesari/pull/65" TargetMode="External" Id="rId65"/><Relationship Type="http://schemas.openxmlformats.org/officeDocument/2006/relationships/hyperlink" Target="https://github.com/sanjaymorankar-debug/GoKesari/pull/66" TargetMode="External" Id="rId66"/><Relationship Type="http://schemas.openxmlformats.org/officeDocument/2006/relationships/hyperlink" Target="https://github.com/sanjaymorankar-debug/GoKesari/pull/67" TargetMode="External" Id="rId67"/><Relationship Type="http://schemas.openxmlformats.org/officeDocument/2006/relationships/hyperlink" Target="https://github.com/sanjaymorankar-debug/GoKesari/pull/68" TargetMode="External" Id="rId68"/><Relationship Type="http://schemas.openxmlformats.org/officeDocument/2006/relationships/hyperlink" Target="https://github.com/sanjaymorankar-debug/GoKesari/pull/69" TargetMode="External" Id="rId69"/><Relationship Type="http://schemas.openxmlformats.org/officeDocument/2006/relationships/hyperlink" Target="https://github.com/sanjaymorankar-debug/GoKesari/pull/70" TargetMode="External" Id="rId70"/><Relationship Type="http://schemas.openxmlformats.org/officeDocument/2006/relationships/hyperlink" Target="https://github.com/sanjaymorankar-debug/GoKesari/pull/71" TargetMode="External" Id="rId71"/><Relationship Type="http://schemas.openxmlformats.org/officeDocument/2006/relationships/hyperlink" Target="https://github.com/sanjaymorankar-debug/GoKesari/pull/72" TargetMode="External" Id="rId72"/><Relationship Type="http://schemas.openxmlformats.org/officeDocument/2006/relationships/hyperlink" Target="https://github.com/sanjaymorankar-debug/GoKesari/pull/73" TargetMode="External" Id="rId73"/><Relationship Type="http://schemas.openxmlformats.org/officeDocument/2006/relationships/hyperlink" Target="https://github.com/sanjaymorankar-debug/GoKesari/pull/74" TargetMode="External" Id="rId74"/><Relationship Type="http://schemas.openxmlformats.org/officeDocument/2006/relationships/hyperlink" Target="https://github.com/sanjaymorankar-debug/GoKesari/pull/75" TargetMode="External" Id="rId75"/><Relationship Type="http://schemas.openxmlformats.org/officeDocument/2006/relationships/hyperlink" Target="https://github.com/sanjaymorankar-debug/GoKesari/pull/76" TargetMode="External" Id="rId76"/><Relationship Type="http://schemas.openxmlformats.org/officeDocument/2006/relationships/hyperlink" Target="https://github.com/sanjaymorankar-debug/GoKesari/pull/77" TargetMode="External" Id="rId77"/><Relationship Type="http://schemas.openxmlformats.org/officeDocument/2006/relationships/hyperlink" Target="https://github.com/sanjaymorankar-debug/GoKesari/pull/78" TargetMode="External" Id="rId78"/><Relationship Type="http://schemas.openxmlformats.org/officeDocument/2006/relationships/hyperlink" Target="https://github.com/sanjaymorankar-debug/GoKesari/pull/79" TargetMode="External" Id="rId79"/><Relationship Type="http://schemas.openxmlformats.org/officeDocument/2006/relationships/hyperlink" Target="https://github.com/sanjaymorankar-debug/GoKesari/pull/80" TargetMode="External" Id="rId80"/><Relationship Type="http://schemas.openxmlformats.org/officeDocument/2006/relationships/hyperlink" Target="https://github.com/sanjaymorankar-debug/GoKesari/pull/81" TargetMode="External" Id="rId81"/><Relationship Type="http://schemas.openxmlformats.org/officeDocument/2006/relationships/hyperlink" Target="https://github.com/sanjaymorankar-debug/GoKesari/pull/82" TargetMode="External" Id="rId82"/><Relationship Type="http://schemas.openxmlformats.org/officeDocument/2006/relationships/hyperlink" Target="https://github.com/sanjaymorankar-debug/GoKesari/pull/83" TargetMode="External" Id="rId83"/><Relationship Type="http://schemas.openxmlformats.org/officeDocument/2006/relationships/hyperlink" Target="https://github.com/sanjaymorankar-debug/GoKesari/pull/84" TargetMode="External" Id="rId84"/><Relationship Type="http://schemas.openxmlformats.org/officeDocument/2006/relationships/hyperlink" Target="https://github.com/sanjaymorankar-debug/GoKesari/pull/85" TargetMode="External" Id="rId85"/><Relationship Type="http://schemas.openxmlformats.org/officeDocument/2006/relationships/hyperlink" Target="https://github.com/sanjaymorankar-debug/GoKesari/pull/86" TargetMode="External" Id="rId86"/><Relationship Type="http://schemas.openxmlformats.org/officeDocument/2006/relationships/hyperlink" Target="https://github.com/sanjaymorankar-debug/GoKesari/pull/87" TargetMode="External" Id="rId87"/><Relationship Type="http://schemas.openxmlformats.org/officeDocument/2006/relationships/hyperlink" Target="https://github.com/sanjaymorankar-debug/GoKesari/pull/88" TargetMode="External" Id="rId88"/><Relationship Type="http://schemas.openxmlformats.org/officeDocument/2006/relationships/hyperlink" Target="https://github.com/sanjaymorankar-debug/GoKesari/pull/89" TargetMode="External" Id="rId89"/><Relationship Type="http://schemas.openxmlformats.org/officeDocument/2006/relationships/hyperlink" Target="https://github.com/sanjaymorankar-debug/GoKesari/pull/90" TargetMode="External" Id="rId90"/><Relationship Type="http://schemas.openxmlformats.org/officeDocument/2006/relationships/hyperlink" Target="https://github.com/sanjaymorankar-debug/GoKesari/pull/91" TargetMode="External" Id="rId91"/><Relationship Type="http://schemas.openxmlformats.org/officeDocument/2006/relationships/hyperlink" Target="https://github.com/sanjaymorankar-debug/GoKesari/pull/92" TargetMode="External" Id="rId92"/><Relationship Type="http://schemas.openxmlformats.org/officeDocument/2006/relationships/hyperlink" Target="https://github.com/sanjaymorankar-debug/GoKesari/pull/93" TargetMode="External" Id="rId93"/><Relationship Type="http://schemas.openxmlformats.org/officeDocument/2006/relationships/hyperlink" Target="https://github.com/sanjaymorankar-debug/GoKesari/pull/94" TargetMode="External" Id="rId94"/><Relationship Type="http://schemas.openxmlformats.org/officeDocument/2006/relationships/hyperlink" Target="https://github.com/sanjaymorankar-debug/GoKesari/pull/95" TargetMode="External" Id="rId95"/><Relationship Type="http://schemas.openxmlformats.org/officeDocument/2006/relationships/hyperlink" Target="https://github.com/sanjaymorankar-debug/GoKesari/pull/96" TargetMode="External" Id="rId96"/><Relationship Type="http://schemas.openxmlformats.org/officeDocument/2006/relationships/hyperlink" Target="https://github.com/sanjaymorankar-debug/GoKesari/pull/97" TargetMode="External" Id="rId97"/><Relationship Type="http://schemas.openxmlformats.org/officeDocument/2006/relationships/hyperlink" Target="https://github.com/sanjaymorankar-debug/GoKesari/pull/98" TargetMode="External" Id="rId98"/><Relationship Type="http://schemas.openxmlformats.org/officeDocument/2006/relationships/hyperlink" Target="https://github.com/sanjaymorankar-debug/GoKesari/pull/99" TargetMode="External" Id="rId99"/><Relationship Type="http://schemas.openxmlformats.org/officeDocument/2006/relationships/hyperlink" Target="https://github.com/sanjaymorankar-debug/GoKesari/pull/100" TargetMode="External" Id="rId100"/><Relationship Type="http://schemas.openxmlformats.org/officeDocument/2006/relationships/hyperlink" Target="https://github.com/sanjaymorankar-debug/GoKesari/pull/101" TargetMode="External" Id="rId101"/><Relationship Type="http://schemas.openxmlformats.org/officeDocument/2006/relationships/hyperlink" Target="https://github.com/sanjaymorankar-debug/GoKesari/pull/102" TargetMode="External" Id="rId102"/><Relationship Type="http://schemas.openxmlformats.org/officeDocument/2006/relationships/hyperlink" Target="https://github.com/sanjaymorankar-debug/GoKesari/pull/103" TargetMode="External" Id="rId103"/><Relationship Type="http://schemas.openxmlformats.org/officeDocument/2006/relationships/hyperlink" Target="https://github.com/sanjaymorankar-debug/GoKesari/pull/104" TargetMode="External" Id="rId104"/><Relationship Type="http://schemas.openxmlformats.org/officeDocument/2006/relationships/hyperlink" Target="https://github.com/sanjaymorankar-debug/GoKesari/pull/105" TargetMode="External" Id="rId105"/><Relationship Type="http://schemas.openxmlformats.org/officeDocument/2006/relationships/hyperlink" Target="https://github.com/sanjaymorankar-debug/GoKesari/pull/106" TargetMode="External" Id="rId106"/><Relationship Type="http://schemas.openxmlformats.org/officeDocument/2006/relationships/hyperlink" Target="https://github.com/sanjaymorankar-debug/GoKesari/pull/107" TargetMode="External" Id="rId107"/><Relationship Type="http://schemas.openxmlformats.org/officeDocument/2006/relationships/hyperlink" Target="https://github.com/sanjaymorankar-debug/GoKesari/pull/108" TargetMode="External" Id="rId108"/><Relationship Type="http://schemas.openxmlformats.org/officeDocument/2006/relationships/hyperlink" Target="https://github.com/sanjaymorankar-debug/GoKesari/pull/109" TargetMode="External" Id="rId109"/><Relationship Type="http://schemas.openxmlformats.org/officeDocument/2006/relationships/hyperlink" Target="https://github.com/sanjaymorankar-debug/GoKesari/pull/110" TargetMode="External" Id="rId110"/><Relationship Type="http://schemas.openxmlformats.org/officeDocument/2006/relationships/hyperlink" Target="https://github.com/sanjaymorankar-debug/GoKesari/pull/111" TargetMode="External" Id="rId111"/><Relationship Type="http://schemas.openxmlformats.org/officeDocument/2006/relationships/hyperlink" Target="https://github.com/sanjaymorankar-debug/GoKesari/pull/112" TargetMode="External" Id="rId112"/><Relationship Type="http://schemas.openxmlformats.org/officeDocument/2006/relationships/hyperlink" Target="https://github.com/sanjaymorankar-debug/GoKesari/pull/113" TargetMode="External" Id="rId113"/><Relationship Type="http://schemas.openxmlformats.org/officeDocument/2006/relationships/hyperlink" Target="https://github.com/sanjaymorankar-debug/GoKesari/pull/114" TargetMode="External" Id="rId114"/><Relationship Type="http://schemas.openxmlformats.org/officeDocument/2006/relationships/hyperlink" Target="https://github.com/sanjaymorankar-debug/GoKesari/pull/115" TargetMode="External" Id="rId115"/><Relationship Type="http://schemas.openxmlformats.org/officeDocument/2006/relationships/hyperlink" Target="https://github.com/sanjaymorankar-debug/GoKesari/pull/116" TargetMode="External" Id="rId116"/><Relationship Type="http://schemas.openxmlformats.org/officeDocument/2006/relationships/hyperlink" Target="https://github.com/sanjaymorankar-debug/GoKesari/pull/117" TargetMode="External" Id="rId117"/><Relationship Type="http://schemas.openxmlformats.org/officeDocument/2006/relationships/hyperlink" Target="https://github.com/sanjaymorankar-debug/GoKesari/pull/118" TargetMode="External" Id="rId118"/><Relationship Type="http://schemas.openxmlformats.org/officeDocument/2006/relationships/hyperlink" Target="https://github.com/sanjaymorankar-debug/GoKesari/pull/119" TargetMode="External" Id="rId119"/><Relationship Type="http://schemas.openxmlformats.org/officeDocument/2006/relationships/hyperlink" Target="https://github.com/sanjaymorankar-debug/GoKesari/pull/120" TargetMode="External" Id="rId120"/><Relationship Type="http://schemas.openxmlformats.org/officeDocument/2006/relationships/hyperlink" Target="https://github.com/sanjaymorankar-debug/GoKesari/pull/121" TargetMode="External" Id="rId121"/><Relationship Type="http://schemas.openxmlformats.org/officeDocument/2006/relationships/hyperlink" Target="https://github.com/sanjaymorankar-debug/GoKesari/pull/122" TargetMode="External" Id="rId122"/><Relationship Type="http://schemas.openxmlformats.org/officeDocument/2006/relationships/hyperlink" Target="https://github.com/sanjaymorankar-debug/GoKesari/pull/123" TargetMode="External" Id="rId123"/><Relationship Type="http://schemas.openxmlformats.org/officeDocument/2006/relationships/hyperlink" Target="https://github.com/sanjaymorankar-debug/GoKesari/pull/124" TargetMode="External" Id="rId124"/><Relationship Type="http://schemas.openxmlformats.org/officeDocument/2006/relationships/hyperlink" Target="https://github.com/sanjaymorankar-debug/GoKesari/pull/125" TargetMode="External" Id="rId125"/><Relationship Type="http://schemas.openxmlformats.org/officeDocument/2006/relationships/hyperlink" Target="https://github.com/sanjaymorankar-debug/GoKesari/pull/126" TargetMode="External" Id="rId126"/><Relationship Type="http://schemas.openxmlformats.org/officeDocument/2006/relationships/hyperlink" Target="https://github.com/sanjaymorankar-debug/GoKesari/pull/127" TargetMode="External" Id="rId127"/><Relationship Type="http://schemas.openxmlformats.org/officeDocument/2006/relationships/hyperlink" Target="https://github.com/sanjaymorankar-debug/GoKesari/pull/128" TargetMode="External" Id="rId128"/><Relationship Type="http://schemas.openxmlformats.org/officeDocument/2006/relationships/hyperlink" Target="https://github.com/sanjaymorankar-debug/GoKesari/pull/129" TargetMode="External" Id="rId129"/><Relationship Type="http://schemas.openxmlformats.org/officeDocument/2006/relationships/hyperlink" Target="https://github.com/sanjaymorankar-debug/GoKesari/pull/130" TargetMode="External" Id="rId130"/><Relationship Type="http://schemas.openxmlformats.org/officeDocument/2006/relationships/hyperlink" Target="https://github.com/sanjaymorankar-debug/GoKesari/pull/131" TargetMode="External" Id="rId131"/><Relationship Type="http://schemas.openxmlformats.org/officeDocument/2006/relationships/hyperlink" Target="https://github.com/sanjaymorankar-debug/GoKesari/pull/132" TargetMode="External" Id="rId132"/><Relationship Type="http://schemas.openxmlformats.org/officeDocument/2006/relationships/hyperlink" Target="https://github.com/sanjaymorankar-debug/GoKesari/pull/133" TargetMode="External" Id="rId133"/><Relationship Type="http://schemas.openxmlformats.org/officeDocument/2006/relationships/hyperlink" Target="https://github.com/sanjaymorankar-debug/GoKesari/pull/134" TargetMode="External" Id="rId134"/><Relationship Type="http://schemas.openxmlformats.org/officeDocument/2006/relationships/hyperlink" Target="https://github.com/sanjaymorankar-debug/GoKesari/pull/135" TargetMode="External" Id="rId135"/><Relationship Type="http://schemas.openxmlformats.org/officeDocument/2006/relationships/hyperlink" Target="https://github.com/sanjaymorankar-debug/GoKesari/pull/136" TargetMode="External" Id="rId136"/><Relationship Type="http://schemas.openxmlformats.org/officeDocument/2006/relationships/hyperlink" Target="https://github.com/sanjaymorankar-debug/GoKesari/pull/137" TargetMode="External" Id="rId137"/><Relationship Type="http://schemas.openxmlformats.org/officeDocument/2006/relationships/hyperlink" Target="https://github.com/sanjaymorankar-debug/GoKesari/pull/138" TargetMode="External" Id="rId138"/><Relationship Type="http://schemas.openxmlformats.org/officeDocument/2006/relationships/hyperlink" Target="https://github.com/sanjaymorankar-debug/GoKesari/pull/139" TargetMode="External" Id="rId139"/><Relationship Type="http://schemas.openxmlformats.org/officeDocument/2006/relationships/hyperlink" Target="https://github.com/sanjaymorankar-debug/GoKesari/pull/140" TargetMode="External" Id="rId140"/><Relationship Type="http://schemas.openxmlformats.org/officeDocument/2006/relationships/hyperlink" Target="https://github.com/sanjaymorankar-debug/GoKesari/pull/141" TargetMode="External" Id="rId141"/><Relationship Type="http://schemas.openxmlformats.org/officeDocument/2006/relationships/hyperlink" Target="https://github.com/sanjaymorankar-debug/GoKesari/pull/142" TargetMode="External" Id="rId142"/><Relationship Type="http://schemas.openxmlformats.org/officeDocument/2006/relationships/hyperlink" Target="https://github.com/sanjaymorankar-debug/GoKesari/pull/143" TargetMode="External" Id="rId143"/><Relationship Type="http://schemas.openxmlformats.org/officeDocument/2006/relationships/hyperlink" Target="https://github.com/sanjaymorankar-debug/GoKesari/pull/144" TargetMode="External" Id="rId144"/><Relationship Type="http://schemas.openxmlformats.org/officeDocument/2006/relationships/hyperlink" Target="https://github.com/sanjaymorankar-debug/GoKesari/pull/145" TargetMode="External" Id="rId145"/><Relationship Type="http://schemas.openxmlformats.org/officeDocument/2006/relationships/hyperlink" Target="https://github.com/sanjaymorankar-debug/GoKesari/pull/146" TargetMode="External" Id="rId146"/><Relationship Type="http://schemas.openxmlformats.org/officeDocument/2006/relationships/hyperlink" Target="https://github.com/sanjaymorankar-debug/GoKesari/pull/147" TargetMode="External" Id="rId147"/><Relationship Type="http://schemas.openxmlformats.org/officeDocument/2006/relationships/hyperlink" Target="https://github.com/sanjaymorankar-debug/GoKesari/pull/148" TargetMode="External" Id="rId148"/><Relationship Type="http://schemas.openxmlformats.org/officeDocument/2006/relationships/hyperlink" Target="https://github.com/sanjaymorankar-debug/GoKesari/pull/149" TargetMode="External" Id="rId149"/><Relationship Type="http://schemas.openxmlformats.org/officeDocument/2006/relationships/hyperlink" Target="https://github.com/sanjaymorankar-debug/GoKesari/pull/150" TargetMode="External" Id="rId150"/><Relationship Type="http://schemas.openxmlformats.org/officeDocument/2006/relationships/hyperlink" Target="https://github.com/sanjaymorankar-debug/GoKesari/pull/151" TargetMode="External" Id="rId151"/><Relationship Type="http://schemas.openxmlformats.org/officeDocument/2006/relationships/hyperlink" Target="https://github.com/sanjaymorankar-debug/GoKesari/pull/152" TargetMode="External" Id="rId152"/><Relationship Type="http://schemas.openxmlformats.org/officeDocument/2006/relationships/hyperlink" Target="https://github.com/sanjaymorankar-debug/GoKesari/pull/153" TargetMode="External" Id="rId153"/><Relationship Type="http://schemas.openxmlformats.org/officeDocument/2006/relationships/hyperlink" Target="https://github.com/sanjaymorankar-debug/GoKesari/pull/154" TargetMode="External" Id="rId154"/><Relationship Type="http://schemas.openxmlformats.org/officeDocument/2006/relationships/hyperlink" Target="https://github.com/sanjaymorankar-debug/GoKesari/pull/155" TargetMode="External" Id="rId155"/><Relationship Type="http://schemas.openxmlformats.org/officeDocument/2006/relationships/hyperlink" Target="https://github.com/sanjaymorankar-debug/GoKesari/pull/156" TargetMode="External" Id="rId156"/><Relationship Type="http://schemas.openxmlformats.org/officeDocument/2006/relationships/hyperlink" Target="https://github.com/sanjaymorankar-debug/GoKesari/pull/157" TargetMode="External" Id="rId157"/><Relationship Type="http://schemas.openxmlformats.org/officeDocument/2006/relationships/hyperlink" Target="https://github.com/sanjaymorankar-debug/GoKesari/pull/158" TargetMode="External" Id="rId158"/><Relationship Type="http://schemas.openxmlformats.org/officeDocument/2006/relationships/hyperlink" Target="https://github.com/sanjaymorankar-debug/GoKesari/pull/159" TargetMode="External" Id="rId159"/><Relationship Type="http://schemas.openxmlformats.org/officeDocument/2006/relationships/hyperlink" Target="https://github.com/sanjaymorankar-debug/GoKesari/pull/160" TargetMode="External" Id="rId160"/><Relationship Type="http://schemas.openxmlformats.org/officeDocument/2006/relationships/hyperlink" Target="https://github.com/sanjaymorankar-debug/GoKesari/pull/161" TargetMode="External" Id="rId161"/><Relationship Type="http://schemas.openxmlformats.org/officeDocument/2006/relationships/hyperlink" Target="https://github.com/sanjaymorankar-debug/GoKesari/pull/162" TargetMode="External" Id="rId162"/><Relationship Type="http://schemas.openxmlformats.org/officeDocument/2006/relationships/hyperlink" Target="https://github.com/sanjaymorankar-debug/GoKesari/pull/163" TargetMode="External" Id="rId163"/><Relationship Type="http://schemas.openxmlformats.org/officeDocument/2006/relationships/hyperlink" Target="https://github.com/sanjaymorankar-debug/GoKesari/pull/164" TargetMode="External" Id="rId164"/><Relationship Type="http://schemas.openxmlformats.org/officeDocument/2006/relationships/hyperlink" Target="https://github.com/sanjaymorankar-debug/GoKesari/pull/165" TargetMode="External" Id="rId165"/><Relationship Type="http://schemas.openxmlformats.org/officeDocument/2006/relationships/hyperlink" Target="https://github.com/sanjaymorankar-debug/GoKesari/pull/166" TargetMode="External" Id="rId166"/><Relationship Type="http://schemas.openxmlformats.org/officeDocument/2006/relationships/hyperlink" Target="https://github.com/sanjaymorankar-debug/GoKesari/pull/167" TargetMode="External" Id="rId167"/><Relationship Type="http://schemas.openxmlformats.org/officeDocument/2006/relationships/hyperlink" Target="https://github.com/sanjaymorankar-debug/GoKesari/pull/168" TargetMode="External" Id="rId168"/><Relationship Type="http://schemas.openxmlformats.org/officeDocument/2006/relationships/hyperlink" Target="https://github.com/sanjaymorankar-debug/GoKesari/pull/169" TargetMode="External" Id="rId169"/><Relationship Type="http://schemas.openxmlformats.org/officeDocument/2006/relationships/hyperlink" Target="https://github.com/sanjaymorankar-debug/GoKesari/pull/170" TargetMode="External" Id="rId170"/><Relationship Type="http://schemas.openxmlformats.org/officeDocument/2006/relationships/hyperlink" Target="https://github.com/sanjaymorankar-debug/GoKesari/pull/171" TargetMode="External" Id="rId171"/><Relationship Type="http://schemas.openxmlformats.org/officeDocument/2006/relationships/hyperlink" Target="https://github.com/sanjaymorankar-debug/GoKesari/pull/172" TargetMode="External" Id="rId172"/><Relationship Type="http://schemas.openxmlformats.org/officeDocument/2006/relationships/hyperlink" Target="https://github.com/sanjaymorankar-debug/GoKesari/pull/173" TargetMode="External" Id="rId173"/><Relationship Type="http://schemas.openxmlformats.org/officeDocument/2006/relationships/hyperlink" Target="https://github.com/sanjaymorankar-debug/GoKesari/pull/174" TargetMode="External" Id="rId174"/><Relationship Type="http://schemas.openxmlformats.org/officeDocument/2006/relationships/hyperlink" Target="https://github.com/sanjaymorankar-debug/GoKesari/pull/175" TargetMode="External" Id="rId175"/><Relationship Type="http://schemas.openxmlformats.org/officeDocument/2006/relationships/hyperlink" Target="https://github.com/sanjaymorankar-debug/GoKesari/pull/176" TargetMode="External" Id="rId176"/><Relationship Type="http://schemas.openxmlformats.org/officeDocument/2006/relationships/hyperlink" Target="https://github.com/sanjaymorankar-debug/GoKesari/pull/177" TargetMode="External" Id="rId177"/><Relationship Type="http://schemas.openxmlformats.org/officeDocument/2006/relationships/hyperlink" Target="https://github.com/sanjaymorankar-debug/GoKesari/pull/178" TargetMode="External" Id="rId178"/><Relationship Type="http://schemas.openxmlformats.org/officeDocument/2006/relationships/hyperlink" Target="https://github.com/sanjaymorankar-debug/GoKesari/pull/179" TargetMode="External" Id="rId179"/><Relationship Type="http://schemas.openxmlformats.org/officeDocument/2006/relationships/hyperlink" Target="https://github.com/sanjaymorankar-debug/GoKesari/pull/180" TargetMode="External" Id="rId180"/><Relationship Type="http://schemas.openxmlformats.org/officeDocument/2006/relationships/hyperlink" Target="https://github.com/sanjaymorankar-debug/GoKesari/pull/181" TargetMode="External" Id="rId181"/><Relationship Type="http://schemas.openxmlformats.org/officeDocument/2006/relationships/hyperlink" Target="https://github.com/sanjaymorankar-debug/GoKesari/pull/182" TargetMode="External" Id="rId182"/><Relationship Type="http://schemas.openxmlformats.org/officeDocument/2006/relationships/hyperlink" Target="https://github.com/sanjaymorankar-debug/GoKesari/pull/183" TargetMode="External" Id="rId183"/><Relationship Type="http://schemas.openxmlformats.org/officeDocument/2006/relationships/hyperlink" Target="https://github.com/sanjaymorankar-debug/GoKesari/pull/184" TargetMode="External" Id="rId184"/></Relationships>
</file>

<file path=xl/worksheets/sheet1.xml><?xml version="1.0" encoding="utf-8"?>
<worksheet xmlns="http://schemas.openxmlformats.org/spreadsheetml/2006/main">
  <sheetPr>
    <tabColor rgb="FF065F46"/>
    <outlinePr summaryBelow="1" summaryRight="1"/>
    <pageSetUpPr fitToPage="1"/>
  </sheetPr>
  <dimension ref="A1:G89"/>
  <sheetViews>
    <sheetView view="normal" zoomScale="90" zoomScaleNormal="90" workbookViewId="0">
      <pane ySplit="6" topLeftCell="A7" activePane="bottomLeft" state="frozen"/>
      <selection pane="bottomLeft" activeCell="A1" sqref="A1"/>
    </sheetView>
  </sheetViews>
  <sheetFormatPr baseColWidth="8" defaultColWidth="8.6796875" defaultRowHeight="15" outlineLevelRow="0"/>
  <cols>
    <col width="44" customWidth="1" style="1" min="1" max="1"/>
    <col width="15" customWidth="1" style="1" min="2" max="7"/>
  </cols>
  <sheetData>
    <row r="1" ht="17.35" customFormat="1" customHeight="1" s="2">
      <c r="A1" s="3" t="inlineStr">
        <is>
          <t>GoKesari (gokesari.com) - features, process flows and PR status</t>
        </is>
      </c>
    </row>
    <row r="2" ht="24" customFormat="1" customHeight="1" s="2">
      <c r="A2" s="4" t="inlineStr">
        <is>
          <t>As of 18 Oct 2026, 13:45 UTC. Production = main @c96cd04 (gokesari.com, migrations to 0078): release #185 (16 Oct 04:24 UTC) added the PMD loader fix (#184) and report docs (#181, #182) to the 15 Oct releases (#175, #177, #179). Test site = staging @3a701c9, same application code as main (#186, #187). Open PRs: #183 (status-report docs), #188 (competitive analysis deck, docs). Sub-feature sheets: 'Bulk Product Upload' and 'Inventory &amp; Accounting'.</t>
        </is>
      </c>
    </row>
    <row r="3" ht="24" customFormat="1" customHeight="1" s="2">
      <c r="A3" s="4" t="inlineStr">
        <is>
          <t>Baseline = the 16 Oct status report (267 features, PR #183), plus PRs #185-#188. 'Status 16 Oct' is that report's status for comparison.</t>
        </is>
      </c>
    </row>
    <row r="4" ht="24" customFormat="1" customHeight="1" s="2">
      <c r="A4" s="4" t="inlineStr">
        <is>
          <t>Status is development status read from code, PRs, docs, recorded test runs and live checks - not QA sign-off. 'Baseline' in a PR column = code that predates PR #1 in this repository (Aug-Sep 2026 history).</t>
        </is>
      </c>
    </row>
    <row r="5" ht="24" customFormat="1" customHeight="1" s="2">
      <c r="A5" s="4" t="inlineStr">
        <is>
          <t>To update: change Status in the Feature Register (column I) or a step in the Process Flow Tree (column G) with the dropdown - every count on this sheet is a formula. 'Status 16 Oct' is unchanged for comparison.</t>
        </is>
      </c>
    </row>
    <row r="7" ht="15" customFormat="1" customHeight="1" s="2">
      <c r="A7" s="5" t="inlineStr">
        <is>
          <t>1. Features by status</t>
        </is>
      </c>
    </row>
    <row r="8" ht="15" customFormat="1" customHeight="1" s="2">
      <c r="A8" s="6" t="inlineStr">
        <is>
          <t>Status</t>
        </is>
      </c>
      <c r="B8" s="6" t="inlineStr">
        <is>
          <t>Features</t>
        </is>
      </c>
      <c r="C8" s="6" t="inlineStr">
        <is>
          <t>% of total</t>
        </is>
      </c>
      <c r="D8" s="6" t="inlineStr">
        <is>
          <t>Status 16 Oct</t>
        </is>
      </c>
      <c r="E8" s="6" t="inlineStr">
        <is>
          <t>Meaning</t>
        </is>
      </c>
      <c r="F8" s="35" t="n"/>
      <c r="G8" s="36" t="n"/>
    </row>
    <row r="9" ht="24" customFormat="1" customHeight="1" s="2">
      <c r="A9" s="9" t="inlineStr">
        <is>
          <t>COMPLETED</t>
        </is>
      </c>
      <c r="B9" s="10">
        <f>COUNTIF('Feature Register'!$I$2:$I$268,A9)</f>
        <v/>
      </c>
      <c r="C9" s="11">
        <f>IF($B$13=0,0,B9/$B$13)</f>
        <v/>
      </c>
      <c r="D9" s="10">
        <f>COUNTIF('Feature Register'!$P$2:$P$268,A9)</f>
        <v/>
      </c>
      <c r="E9" s="12" t="inlineStr">
        <is>
          <t>Built, merged and live on gokesari.com (incl. built but switched off by default), or finished tooling / test runs</t>
        </is>
      </c>
      <c r="F9" s="35" t="n"/>
      <c r="G9" s="36" t="n"/>
    </row>
    <row r="10" ht="24" customFormat="1" customHeight="1" s="2">
      <c r="A10" s="9" t="inlineStr">
        <is>
          <t>IN PROGRESS</t>
        </is>
      </c>
      <c r="B10" s="10">
        <f>COUNTIF('Feature Register'!$I$2:$I$268,A10)</f>
        <v/>
      </c>
      <c r="C10" s="11">
        <f>IF($B$13=0,0,B10/$B$13)</f>
        <v/>
      </c>
      <c r="D10" s="10">
        <f>COUNTIF('Feature Register'!$P$2:$P$268,A10)</f>
        <v/>
      </c>
      <c r="E10" s="12" t="inlineStr">
        <is>
          <t>Started: partly working, being run, or built and on the test site but not yet released</t>
        </is>
      </c>
      <c r="F10" s="35" t="n"/>
      <c r="G10" s="36" t="n"/>
    </row>
    <row r="11" ht="24" customFormat="1" customHeight="1" s="2">
      <c r="A11" s="9" t="inlineStr">
        <is>
          <t>YET TO START</t>
        </is>
      </c>
      <c r="B11" s="10">
        <f>COUNTIF('Feature Register'!$I$2:$I$268,A11)</f>
        <v/>
      </c>
      <c r="C11" s="11">
        <f>IF($B$13=0,0,B11/$B$13)</f>
        <v/>
      </c>
      <c r="D11" s="10">
        <f>COUNTIF('Feature Register'!$P$2:$P$268,A11)</f>
        <v/>
      </c>
      <c r="E11" s="12" t="inlineStr">
        <is>
          <t>Not built yet (designed, planned or a known gap)</t>
        </is>
      </c>
      <c r="F11" s="35" t="n"/>
      <c r="G11" s="36" t="n"/>
    </row>
    <row r="12" ht="24" customFormat="1" customHeight="1" s="2">
      <c r="A12" s="9" t="inlineStr">
        <is>
          <t>BLOCKED</t>
        </is>
      </c>
      <c r="B12" s="10">
        <f>COUNTIF('Feature Register'!$I$2:$I$268,A12)</f>
        <v/>
      </c>
      <c r="C12" s="11">
        <f>IF($B$13=0,0,B12/$B$13)</f>
        <v/>
      </c>
      <c r="D12" s="10">
        <f>COUNTIF('Feature Register'!$P$2:$P$268,A12)</f>
        <v/>
      </c>
      <c r="E12" s="12" t="inlineStr">
        <is>
          <t>Cannot proceed until a decision, vendor, account, agreement or CA/legal check</t>
        </is>
      </c>
      <c r="F12" s="35" t="n"/>
      <c r="G12" s="36" t="n"/>
    </row>
    <row r="13" ht="22.35" customFormat="1" customHeight="1" s="2">
      <c r="A13" s="9" t="inlineStr">
        <is>
          <t>Total features tracked</t>
        </is>
      </c>
      <c r="B13" s="13">
        <f>SUM(B9:B12)</f>
        <v/>
      </c>
      <c r="C13" s="14">
        <f>SUM(C9:C12)</f>
        <v/>
      </c>
      <c r="D13" s="13">
        <f>SUM(D9:D12)</f>
        <v/>
      </c>
      <c r="E13" s="12" t="inlineStr">
        <is>
          <t>Status 16 Oct counts the 16 Oct report's status for every row (267).</t>
        </is>
      </c>
      <c r="F13" s="35" t="n"/>
      <c r="G13" s="36" t="n"/>
    </row>
    <row r="15" ht="15" customFormat="1" customHeight="1" s="2">
      <c r="A15" s="5" t="inlineStr">
        <is>
          <t>2. Features by section and status</t>
        </is>
      </c>
    </row>
    <row r="16" ht="15" customFormat="1" customHeight="1" s="2">
      <c r="A16" s="6" t="inlineStr">
        <is>
          <t>Section</t>
        </is>
      </c>
      <c r="B16" s="6" t="inlineStr">
        <is>
          <t>COMPLETED</t>
        </is>
      </c>
      <c r="C16" s="6" t="inlineStr">
        <is>
          <t>IN PROGRESS</t>
        </is>
      </c>
      <c r="D16" s="6" t="inlineStr">
        <is>
          <t>YET TO START</t>
        </is>
      </c>
      <c r="E16" s="6" t="inlineStr">
        <is>
          <t>BLOCKED</t>
        </is>
      </c>
      <c r="F16" s="6" t="inlineStr">
        <is>
          <t>Total</t>
        </is>
      </c>
      <c r="G16" s="6" t="inlineStr">
        <is>
          <t>% complete</t>
        </is>
      </c>
    </row>
    <row r="17" ht="15" customFormat="1" customHeight="1" s="2">
      <c r="A17" s="9" t="inlineStr">
        <is>
          <t>Feature Master</t>
        </is>
      </c>
      <c r="B17" s="10">
        <f>COUNTIFS('Feature Register'!$B$2:$B$268,$A17,'Feature Register'!$I$2:$I$268,B$16)</f>
        <v/>
      </c>
      <c r="C17" s="10">
        <f>COUNTIFS('Feature Register'!$B$2:$B$268,$A17,'Feature Register'!$I$2:$I$268,C$16)</f>
        <v/>
      </c>
      <c r="D17" s="10">
        <f>COUNTIFS('Feature Register'!$B$2:$B$268,$A17,'Feature Register'!$I$2:$I$268,D$16)</f>
        <v/>
      </c>
      <c r="E17" s="10">
        <f>COUNTIFS('Feature Register'!$B$2:$B$268,$A17,'Feature Register'!$I$2:$I$268,E$16)</f>
        <v/>
      </c>
      <c r="F17" s="10">
        <f>SUM(B17:E17)</f>
        <v/>
      </c>
      <c r="G17" s="15">
        <f>IF(F17=0,0,B17/F17)</f>
        <v/>
      </c>
    </row>
    <row r="18" ht="15" customFormat="1" customHeight="1" s="2">
      <c r="A18" s="9" t="inlineStr">
        <is>
          <t>Workflow Master</t>
        </is>
      </c>
      <c r="B18" s="10">
        <f>COUNTIFS('Feature Register'!$B$2:$B$268,$A18,'Feature Register'!$I$2:$I$268,B$16)</f>
        <v/>
      </c>
      <c r="C18" s="10">
        <f>COUNTIFS('Feature Register'!$B$2:$B$268,$A18,'Feature Register'!$I$2:$I$268,C$16)</f>
        <v/>
      </c>
      <c r="D18" s="10">
        <f>COUNTIFS('Feature Register'!$B$2:$B$268,$A18,'Feature Register'!$I$2:$I$268,D$16)</f>
        <v/>
      </c>
      <c r="E18" s="10">
        <f>COUNTIFS('Feature Register'!$B$2:$B$268,$A18,'Feature Register'!$I$2:$I$268,E$16)</f>
        <v/>
      </c>
      <c r="F18" s="10">
        <f>SUM(B18:E18)</f>
        <v/>
      </c>
      <c r="G18" s="15">
        <f>IF(F18=0,0,B18/F18)</f>
        <v/>
      </c>
    </row>
    <row r="19" ht="15" customFormat="1" customHeight="1" s="2">
      <c r="A19" s="9" t="inlineStr">
        <is>
          <t>RBAC Matrix</t>
        </is>
      </c>
      <c r="B19" s="10">
        <f>COUNTIFS('Feature Register'!$B$2:$B$268,$A19,'Feature Register'!$I$2:$I$268,B$16)</f>
        <v/>
      </c>
      <c r="C19" s="10">
        <f>COUNTIFS('Feature Register'!$B$2:$B$268,$A19,'Feature Register'!$I$2:$I$268,C$16)</f>
        <v/>
      </c>
      <c r="D19" s="10">
        <f>COUNTIFS('Feature Register'!$B$2:$B$268,$A19,'Feature Register'!$I$2:$I$268,D$16)</f>
        <v/>
      </c>
      <c r="E19" s="10">
        <f>COUNTIFS('Feature Register'!$B$2:$B$268,$A19,'Feature Register'!$I$2:$I$268,E$16)</f>
        <v/>
      </c>
      <c r="F19" s="10">
        <f>SUM(B19:E19)</f>
        <v/>
      </c>
      <c r="G19" s="15">
        <f>IF(F19=0,0,B19/F19)</f>
        <v/>
      </c>
    </row>
    <row r="20" ht="15" customFormat="1" customHeight="1" s="2">
      <c r="A20" s="9" t="inlineStr">
        <is>
          <t>State Machines</t>
        </is>
      </c>
      <c r="B20" s="10">
        <f>COUNTIFS('Feature Register'!$B$2:$B$268,$A20,'Feature Register'!$I$2:$I$268,B$16)</f>
        <v/>
      </c>
      <c r="C20" s="10">
        <f>COUNTIFS('Feature Register'!$B$2:$B$268,$A20,'Feature Register'!$I$2:$I$268,C$16)</f>
        <v/>
      </c>
      <c r="D20" s="10">
        <f>COUNTIFS('Feature Register'!$B$2:$B$268,$A20,'Feature Register'!$I$2:$I$268,D$16)</f>
        <v/>
      </c>
      <c r="E20" s="10">
        <f>COUNTIFS('Feature Register'!$B$2:$B$268,$A20,'Feature Register'!$I$2:$I$268,E$16)</f>
        <v/>
      </c>
      <c r="F20" s="10">
        <f>SUM(B20:E20)</f>
        <v/>
      </c>
      <c r="G20" s="15">
        <f>IF(F20=0,0,B20/F20)</f>
        <v/>
      </c>
    </row>
    <row r="21" ht="15" customFormat="1" customHeight="1" s="2">
      <c r="A21" s="9" t="inlineStr">
        <is>
          <t>Gig Assignment Rules</t>
        </is>
      </c>
      <c r="B21" s="10">
        <f>COUNTIFS('Feature Register'!$B$2:$B$268,$A21,'Feature Register'!$I$2:$I$268,B$16)</f>
        <v/>
      </c>
      <c r="C21" s="10">
        <f>COUNTIFS('Feature Register'!$B$2:$B$268,$A21,'Feature Register'!$I$2:$I$268,C$16)</f>
        <v/>
      </c>
      <c r="D21" s="10">
        <f>COUNTIFS('Feature Register'!$B$2:$B$268,$A21,'Feature Register'!$I$2:$I$268,D$16)</f>
        <v/>
      </c>
      <c r="E21" s="10">
        <f>COUNTIFS('Feature Register'!$B$2:$B$268,$A21,'Feature Register'!$I$2:$I$268,E$16)</f>
        <v/>
      </c>
      <c r="F21" s="10">
        <f>SUM(B21:E21)</f>
        <v/>
      </c>
      <c r="G21" s="15">
        <f>IF(F21=0,0,B21/F21)</f>
        <v/>
      </c>
    </row>
    <row r="22" ht="15" customFormat="1" customHeight="1" s="2">
      <c r="A22" s="9" t="inlineStr">
        <is>
          <t>Navigation</t>
        </is>
      </c>
      <c r="B22" s="10">
        <f>COUNTIFS('Feature Register'!$B$2:$B$268,$A22,'Feature Register'!$I$2:$I$268,B$16)</f>
        <v/>
      </c>
      <c r="C22" s="10">
        <f>COUNTIFS('Feature Register'!$B$2:$B$268,$A22,'Feature Register'!$I$2:$I$268,C$16)</f>
        <v/>
      </c>
      <c r="D22" s="10">
        <f>COUNTIFS('Feature Register'!$B$2:$B$268,$A22,'Feature Register'!$I$2:$I$268,D$16)</f>
        <v/>
      </c>
      <c r="E22" s="10">
        <f>COUNTIFS('Feature Register'!$B$2:$B$268,$A22,'Feature Register'!$I$2:$I$268,E$16)</f>
        <v/>
      </c>
      <c r="F22" s="10">
        <f>SUM(B22:E22)</f>
        <v/>
      </c>
      <c r="G22" s="15">
        <f>IF(F22=0,0,B22/F22)</f>
        <v/>
      </c>
    </row>
    <row r="23" ht="15" customFormat="1" customHeight="1" s="2">
      <c r="A23" s="9" t="inlineStr">
        <is>
          <t>KPIs</t>
        </is>
      </c>
      <c r="B23" s="10">
        <f>COUNTIFS('Feature Register'!$B$2:$B$268,$A23,'Feature Register'!$I$2:$I$268,B$16)</f>
        <v/>
      </c>
      <c r="C23" s="10">
        <f>COUNTIFS('Feature Register'!$B$2:$B$268,$A23,'Feature Register'!$I$2:$I$268,C$16)</f>
        <v/>
      </c>
      <c r="D23" s="10">
        <f>COUNTIFS('Feature Register'!$B$2:$B$268,$A23,'Feature Register'!$I$2:$I$268,D$16)</f>
        <v/>
      </c>
      <c r="E23" s="10">
        <f>COUNTIFS('Feature Register'!$B$2:$B$268,$A23,'Feature Register'!$I$2:$I$268,E$16)</f>
        <v/>
      </c>
      <c r="F23" s="10">
        <f>SUM(B23:E23)</f>
        <v/>
      </c>
      <c r="G23" s="15">
        <f>IF(F23=0,0,B23/F23)</f>
        <v/>
      </c>
    </row>
    <row r="24" ht="15" customFormat="1" customHeight="1" s="2">
      <c r="A24" s="9" t="inlineStr">
        <is>
          <t>Added features (to 6 Oct)</t>
        </is>
      </c>
      <c r="B24" s="10">
        <f>COUNTIFS('Feature Register'!$B$2:$B$268,$A24,'Feature Register'!$I$2:$I$268,B$16)</f>
        <v/>
      </c>
      <c r="C24" s="10">
        <f>COUNTIFS('Feature Register'!$B$2:$B$268,$A24,'Feature Register'!$I$2:$I$268,C$16)</f>
        <v/>
      </c>
      <c r="D24" s="10">
        <f>COUNTIFS('Feature Register'!$B$2:$B$268,$A24,'Feature Register'!$I$2:$I$268,D$16)</f>
        <v/>
      </c>
      <c r="E24" s="10">
        <f>COUNTIFS('Feature Register'!$B$2:$B$268,$A24,'Feature Register'!$I$2:$I$268,E$16)</f>
        <v/>
      </c>
      <c r="F24" s="10">
        <f>SUM(B24:E24)</f>
        <v/>
      </c>
      <c r="G24" s="15">
        <f>IF(F24=0,0,B24/F24)</f>
        <v/>
      </c>
    </row>
    <row r="25" ht="15" customFormat="1" customHeight="1" s="2">
      <c r="A25" s="9" t="inlineStr">
        <is>
          <t>Delivered or started since 6 Oct</t>
        </is>
      </c>
      <c r="B25" s="10">
        <f>COUNTIFS('Feature Register'!$B$2:$B$268,$A25,'Feature Register'!$I$2:$I$268,B$16)</f>
        <v/>
      </c>
      <c r="C25" s="10">
        <f>COUNTIFS('Feature Register'!$B$2:$B$268,$A25,'Feature Register'!$I$2:$I$268,C$16)</f>
        <v/>
      </c>
      <c r="D25" s="10">
        <f>COUNTIFS('Feature Register'!$B$2:$B$268,$A25,'Feature Register'!$I$2:$I$268,D$16)</f>
        <v/>
      </c>
      <c r="E25" s="10">
        <f>COUNTIFS('Feature Register'!$B$2:$B$268,$A25,'Feature Register'!$I$2:$I$268,E$16)</f>
        <v/>
      </c>
      <c r="F25" s="10">
        <f>SUM(B25:E25)</f>
        <v/>
      </c>
      <c r="G25" s="15">
        <f>IF(F25=0,0,B25/F25)</f>
        <v/>
      </c>
    </row>
    <row r="26" ht="15" customFormat="1" customHeight="1" s="2">
      <c r="A26" s="9" t="inlineStr">
        <is>
          <t>Delivered or started since 8 Oct</t>
        </is>
      </c>
      <c r="B26" s="10">
        <f>COUNTIFS('Feature Register'!$B$2:$B$268,$A26,'Feature Register'!$I$2:$I$268,B$16)</f>
        <v/>
      </c>
      <c r="C26" s="10">
        <f>COUNTIFS('Feature Register'!$B$2:$B$268,$A26,'Feature Register'!$I$2:$I$268,C$16)</f>
        <v/>
      </c>
      <c r="D26" s="10">
        <f>COUNTIFS('Feature Register'!$B$2:$B$268,$A26,'Feature Register'!$I$2:$I$268,D$16)</f>
        <v/>
      </c>
      <c r="E26" s="10">
        <f>COUNTIFS('Feature Register'!$B$2:$B$268,$A26,'Feature Register'!$I$2:$I$268,E$16)</f>
        <v/>
      </c>
      <c r="F26" s="10">
        <f>SUM(B26:E26)</f>
        <v/>
      </c>
      <c r="G26" s="15">
        <f>IF(F26=0,0,B26/F26)</f>
        <v/>
      </c>
    </row>
    <row r="27" ht="15" customFormat="1" customHeight="1" s="2">
      <c r="A27" s="9" t="inlineStr">
        <is>
          <t>Delivered or started since 9 Oct</t>
        </is>
      </c>
      <c r="B27" s="10">
        <f>COUNTIFS('Feature Register'!$B$2:$B$268,$A27,'Feature Register'!$I$2:$I$268,B$16)</f>
        <v/>
      </c>
      <c r="C27" s="10">
        <f>COUNTIFS('Feature Register'!$B$2:$B$268,$A27,'Feature Register'!$I$2:$I$268,C$16)</f>
        <v/>
      </c>
      <c r="D27" s="10">
        <f>COUNTIFS('Feature Register'!$B$2:$B$268,$A27,'Feature Register'!$I$2:$I$268,D$16)</f>
        <v/>
      </c>
      <c r="E27" s="10">
        <f>COUNTIFS('Feature Register'!$B$2:$B$268,$A27,'Feature Register'!$I$2:$I$268,E$16)</f>
        <v/>
      </c>
      <c r="F27" s="10">
        <f>SUM(B27:E27)</f>
        <v/>
      </c>
      <c r="G27" s="15">
        <f>IF(F27=0,0,B27/F27)</f>
        <v/>
      </c>
    </row>
    <row r="28" ht="15" customFormat="1" customHeight="1" s="2">
      <c r="A28" s="9" t="inlineStr">
        <is>
          <t>Delivered or started since 10 Oct</t>
        </is>
      </c>
      <c r="B28" s="10">
        <f>COUNTIFS('Feature Register'!$B$2:$B$268,$A28,'Feature Register'!$I$2:$I$268,B$16)</f>
        <v/>
      </c>
      <c r="C28" s="10">
        <f>COUNTIFS('Feature Register'!$B$2:$B$268,$A28,'Feature Register'!$I$2:$I$268,C$16)</f>
        <v/>
      </c>
      <c r="D28" s="10">
        <f>COUNTIFS('Feature Register'!$B$2:$B$268,$A28,'Feature Register'!$I$2:$I$268,D$16)</f>
        <v/>
      </c>
      <c r="E28" s="10">
        <f>COUNTIFS('Feature Register'!$B$2:$B$268,$A28,'Feature Register'!$I$2:$I$268,E$16)</f>
        <v/>
      </c>
      <c r="F28" s="10">
        <f>SUM(B28:E28)</f>
        <v/>
      </c>
      <c r="G28" s="15">
        <f>IF(F28=0,0,B28/F28)</f>
        <v/>
      </c>
    </row>
    <row r="29" ht="15" customFormat="1" customHeight="1" s="2">
      <c r="A29" s="9" t="inlineStr">
        <is>
          <t>Delivered or started since 14 Oct</t>
        </is>
      </c>
      <c r="B29" s="10">
        <f>COUNTIFS('Feature Register'!$B$2:$B$268,$A29,'Feature Register'!$I$2:$I$268,B$16)</f>
        <v/>
      </c>
      <c r="C29" s="10">
        <f>COUNTIFS('Feature Register'!$B$2:$B$268,$A29,'Feature Register'!$I$2:$I$268,C$16)</f>
        <v/>
      </c>
      <c r="D29" s="10">
        <f>COUNTIFS('Feature Register'!$B$2:$B$268,$A29,'Feature Register'!$I$2:$I$268,D$16)</f>
        <v/>
      </c>
      <c r="E29" s="10">
        <f>COUNTIFS('Feature Register'!$B$2:$B$268,$A29,'Feature Register'!$I$2:$I$268,E$16)</f>
        <v/>
      </c>
      <c r="F29" s="10">
        <f>SUM(B29:E29)</f>
        <v/>
      </c>
      <c r="G29" s="15">
        <f>IF(F29=0,0,B29/F29)</f>
        <v/>
      </c>
    </row>
    <row r="30" ht="15" customFormat="1" customHeight="1" s="2">
      <c r="A30" s="9" t="inlineStr">
        <is>
          <t>Product Master Data Platform</t>
        </is>
      </c>
      <c r="B30" s="10">
        <f>COUNTIFS('Feature Register'!$B$2:$B$268,$A30,'Feature Register'!$I$2:$I$268,B$16)</f>
        <v/>
      </c>
      <c r="C30" s="10">
        <f>COUNTIFS('Feature Register'!$B$2:$B$268,$A30,'Feature Register'!$I$2:$I$268,C$16)</f>
        <v/>
      </c>
      <c r="D30" s="10">
        <f>COUNTIFS('Feature Register'!$B$2:$B$268,$A30,'Feature Register'!$I$2:$I$268,D$16)</f>
        <v/>
      </c>
      <c r="E30" s="10">
        <f>COUNTIFS('Feature Register'!$B$2:$B$268,$A30,'Feature Register'!$I$2:$I$268,E$16)</f>
        <v/>
      </c>
      <c r="F30" s="10">
        <f>SUM(B30:E30)</f>
        <v/>
      </c>
      <c r="G30" s="15">
        <f>IF(F30=0,0,B30/F30)</f>
        <v/>
      </c>
    </row>
    <row r="31" ht="15" customFormat="1" customHeight="1" s="2">
      <c r="A31" s="9" t="inlineStr">
        <is>
          <t>Platform &amp; DevOps</t>
        </is>
      </c>
      <c r="B31" s="10">
        <f>COUNTIFS('Feature Register'!$B$2:$B$268,$A31,'Feature Register'!$I$2:$I$268,B$16)</f>
        <v/>
      </c>
      <c r="C31" s="10">
        <f>COUNTIFS('Feature Register'!$B$2:$B$268,$A31,'Feature Register'!$I$2:$I$268,C$16)</f>
        <v/>
      </c>
      <c r="D31" s="10">
        <f>COUNTIFS('Feature Register'!$B$2:$B$268,$A31,'Feature Register'!$I$2:$I$268,D$16)</f>
        <v/>
      </c>
      <c r="E31" s="10">
        <f>COUNTIFS('Feature Register'!$B$2:$B$268,$A31,'Feature Register'!$I$2:$I$268,E$16)</f>
        <v/>
      </c>
      <c r="F31" s="10">
        <f>SUM(B31:E31)</f>
        <v/>
      </c>
      <c r="G31" s="15">
        <f>IF(F31=0,0,B31/F31)</f>
        <v/>
      </c>
    </row>
    <row r="32" ht="15" customFormat="1" customHeight="1" s="2">
      <c r="A32" s="9" t="inlineStr">
        <is>
          <t>QA &amp; Testing</t>
        </is>
      </c>
      <c r="B32" s="10">
        <f>COUNTIFS('Feature Register'!$B$2:$B$268,$A32,'Feature Register'!$I$2:$I$268,B$16)</f>
        <v/>
      </c>
      <c r="C32" s="10">
        <f>COUNTIFS('Feature Register'!$B$2:$B$268,$A32,'Feature Register'!$I$2:$I$268,C$16)</f>
        <v/>
      </c>
      <c r="D32" s="10">
        <f>COUNTIFS('Feature Register'!$B$2:$B$268,$A32,'Feature Register'!$I$2:$I$268,D$16)</f>
        <v/>
      </c>
      <c r="E32" s="10">
        <f>COUNTIFS('Feature Register'!$B$2:$B$268,$A32,'Feature Register'!$I$2:$I$268,E$16)</f>
        <v/>
      </c>
      <c r="F32" s="10">
        <f>SUM(B32:E32)</f>
        <v/>
      </c>
      <c r="G32" s="15">
        <f>IF(F32=0,0,B32/F32)</f>
        <v/>
      </c>
    </row>
    <row r="33" ht="15" customFormat="1" customHeight="1" s="2">
      <c r="A33" s="9" t="inlineStr">
        <is>
          <t>Known gaps (not started)</t>
        </is>
      </c>
      <c r="B33" s="10">
        <f>COUNTIFS('Feature Register'!$B$2:$B$268,$A33,'Feature Register'!$I$2:$I$268,B$16)</f>
        <v/>
      </c>
      <c r="C33" s="10">
        <f>COUNTIFS('Feature Register'!$B$2:$B$268,$A33,'Feature Register'!$I$2:$I$268,C$16)</f>
        <v/>
      </c>
      <c r="D33" s="10">
        <f>COUNTIFS('Feature Register'!$B$2:$B$268,$A33,'Feature Register'!$I$2:$I$268,D$16)</f>
        <v/>
      </c>
      <c r="E33" s="10">
        <f>COUNTIFS('Feature Register'!$B$2:$B$268,$A33,'Feature Register'!$I$2:$I$268,E$16)</f>
        <v/>
      </c>
      <c r="F33" s="10">
        <f>SUM(B33:E33)</f>
        <v/>
      </c>
      <c r="G33" s="15">
        <f>IF(F33=0,0,B33/F33)</f>
        <v/>
      </c>
    </row>
    <row r="34" ht="15" customFormat="1" customHeight="1" s="2">
      <c r="A34" s="9" t="inlineStr">
        <is>
          <t>Total</t>
        </is>
      </c>
      <c r="B34" s="13">
        <f>SUM(B17:B33)</f>
        <v/>
      </c>
      <c r="C34" s="13">
        <f>SUM(C17:C33)</f>
        <v/>
      </c>
      <c r="D34" s="13">
        <f>SUM(D17:D33)</f>
        <v/>
      </c>
      <c r="E34" s="13">
        <f>SUM(E17:E33)</f>
        <v/>
      </c>
      <c r="F34" s="13">
        <f>SUM(F17:F33)</f>
        <v/>
      </c>
      <c r="G34" s="16">
        <f>IF(F34=0,0,B34/F34)</f>
        <v/>
      </c>
    </row>
    <row r="35" ht="15" customFormat="1" customHeight="1" s="2"/>
    <row r="36" ht="15" customFormat="1" customHeight="1" s="2">
      <c r="A36" s="5" t="inlineStr">
        <is>
          <t>3. Where features run</t>
        </is>
      </c>
    </row>
    <row r="37" ht="15" customFormat="1" customHeight="1" s="2">
      <c r="A37" s="6" t="inlineStr">
        <is>
          <t>Where it runs</t>
        </is>
      </c>
      <c r="B37" s="6" t="inlineStr">
        <is>
          <t>Features</t>
        </is>
      </c>
    </row>
    <row r="38" ht="15" customFormat="1" customHeight="1" s="2">
      <c r="A38" s="9" t="inlineStr">
        <is>
          <t>Production (gokesari.com)</t>
        </is>
      </c>
      <c r="B38" s="10">
        <f>COUNTIF('Feature Register'!$J$2:$J$268,A38)</f>
        <v/>
      </c>
    </row>
    <row r="39" ht="15" customFormat="1" customHeight="1" s="2">
      <c r="A39" s="9" t="inlineStr">
        <is>
          <t>Production - built, switched off by default</t>
        </is>
      </c>
      <c r="B39" s="10">
        <f>COUNTIF('Feature Register'!$J$2:$J$268,A39)</f>
        <v/>
      </c>
    </row>
    <row r="40" ht="15" customFormat="1" customHeight="1" s="2">
      <c r="A40" s="9" t="inlineStr">
        <is>
          <t>Production - partly live</t>
        </is>
      </c>
      <c r="B40" s="10">
        <f>COUNTIF('Feature Register'!$J$2:$J$268,A40)</f>
        <v/>
      </c>
    </row>
    <row r="41" ht="15" customFormat="1" customHeight="1" s="2">
      <c r="A41" s="9" t="inlineStr">
        <is>
          <t>Test site only (test.gokesari.com)</t>
        </is>
      </c>
      <c r="B41" s="10">
        <f>COUNTIF('Feature Register'!$J$2:$J$268,A41)</f>
        <v/>
      </c>
    </row>
    <row r="42" ht="15" customFormat="1" customHeight="1" s="2">
      <c r="A42" s="9" t="inlineStr">
        <is>
          <t>Test site only - production release reverted (#87)</t>
        </is>
      </c>
      <c r="B42" s="10">
        <f>COUNTIF('Feature Register'!$J$2:$J$268,A42)</f>
        <v/>
      </c>
    </row>
    <row r="43" ht="15" customFormat="1" customHeight="1" s="2">
      <c r="A43" s="9" t="inlineStr">
        <is>
          <t>Open PR - not merged</t>
        </is>
      </c>
      <c r="B43" s="10">
        <f>COUNTIF('Feature Register'!$J$2:$J$268,A43)</f>
        <v/>
      </c>
    </row>
    <row r="44" ht="15" customFormat="1" customHeight="1" s="2">
      <c r="A44" s="9" t="inlineStr">
        <is>
          <t>Mobile app - Android test builds only (not in stores)</t>
        </is>
      </c>
      <c r="B44" s="10">
        <f>COUNTIF('Feature Register'!$J$2:$J$268,A44)</f>
        <v/>
      </c>
    </row>
    <row r="45" ht="15" customFormat="1" customHeight="1" s="2">
      <c r="A45" s="9" t="inlineStr">
        <is>
          <t>GitHub Actions (runs from main)</t>
        </is>
      </c>
      <c r="B45" s="10">
        <f>COUNTIF('Feature Register'!$J$2:$J$268,A45)</f>
        <v/>
      </c>
    </row>
    <row r="46" ht="15" customFormat="1" customHeight="1" s="2">
      <c r="A46" s="9" t="inlineStr">
        <is>
          <t>GitHub Actions (runs from staging)</t>
        </is>
      </c>
      <c r="B46" s="10">
        <f>COUNTIF('Feature Register'!$J$2:$J$268,A46)</f>
        <v/>
      </c>
    </row>
    <row r="47" ht="15" customFormat="1" customHeight="1" s="2">
      <c r="A47" s="9" t="inlineStr">
        <is>
          <t>On staging only - not yet runnable</t>
        </is>
      </c>
      <c r="B47" s="10">
        <f>COUNTIF('Feature Register'!$J$2:$J$268,A47)</f>
        <v/>
      </c>
    </row>
    <row r="48" ht="15" customFormat="1" customHeight="1" s="2">
      <c r="A48" s="9" t="inlineStr">
        <is>
          <t>Not started</t>
        </is>
      </c>
      <c r="B48" s="10">
        <f>COUNTIF('Feature Register'!$J$2:$J$268,A48)</f>
        <v/>
      </c>
    </row>
    <row r="49" ht="15" customFormat="1" customHeight="1" s="2">
      <c r="A49" s="9" t="inlineStr">
        <is>
          <t>Total</t>
        </is>
      </c>
      <c r="B49" s="13">
        <f>SUM(B38:B48)</f>
        <v/>
      </c>
    </row>
    <row r="50" ht="15" customFormat="1" customHeight="1" s="2"/>
    <row r="51" ht="15" customFormat="1" customHeight="1" s="2">
      <c r="A51" s="5" t="inlineStr">
        <is>
          <t>4. Process flow steps by status</t>
        </is>
      </c>
    </row>
    <row r="52" ht="15" customFormat="1" customHeight="1" s="2">
      <c r="A52" s="6" t="inlineStr">
        <is>
          <t>Status</t>
        </is>
      </c>
      <c r="B52" s="6" t="inlineStr">
        <is>
          <t>Steps (level 3)</t>
        </is>
      </c>
      <c r="C52" s="6" t="inlineStr">
        <is>
          <t>Stages (level 2)</t>
        </is>
      </c>
      <c r="D52" s="6" t="inlineStr">
        <is>
          <t>Flows (level 1)</t>
        </is>
      </c>
    </row>
    <row r="53" ht="15" customFormat="1" customHeight="1" s="2">
      <c r="A53" s="9" t="inlineStr">
        <is>
          <t>COMPLETED</t>
        </is>
      </c>
      <c r="B53" s="10">
        <f>COUNTIFS('Process Flow Tree'!$B$5:$B$217,3,'Process Flow Tree'!$G$5:$G$217,$A53)</f>
        <v/>
      </c>
      <c r="C53" s="10">
        <f>COUNTIFS('Process Flow Tree'!$B$5:$B$217,2,'Process Flow Tree'!$G$5:$G$217,$A53)</f>
        <v/>
      </c>
      <c r="D53" s="10">
        <f>COUNTIFS('Process Flow Tree'!$B$5:$B$217,1,'Process Flow Tree'!$G$5:$G$217,$A53)</f>
        <v/>
      </c>
    </row>
    <row r="54" ht="15" customFormat="1" customHeight="1" s="2">
      <c r="A54" s="9" t="inlineStr">
        <is>
          <t>IN PROGRESS</t>
        </is>
      </c>
      <c r="B54" s="10">
        <f>COUNTIFS('Process Flow Tree'!$B$5:$B$217,3,'Process Flow Tree'!$G$5:$G$217,$A54)</f>
        <v/>
      </c>
      <c r="C54" s="10">
        <f>COUNTIFS('Process Flow Tree'!$B$5:$B$217,2,'Process Flow Tree'!$G$5:$G$217,$A54)</f>
        <v/>
      </c>
      <c r="D54" s="10">
        <f>COUNTIFS('Process Flow Tree'!$B$5:$B$217,1,'Process Flow Tree'!$G$5:$G$217,$A54)</f>
        <v/>
      </c>
    </row>
    <row r="55" ht="15" customFormat="1" customHeight="1" s="2">
      <c r="A55" s="9" t="inlineStr">
        <is>
          <t>YET TO START</t>
        </is>
      </c>
      <c r="B55" s="10">
        <f>COUNTIFS('Process Flow Tree'!$B$5:$B$217,3,'Process Flow Tree'!$G$5:$G$217,$A55)</f>
        <v/>
      </c>
      <c r="C55" s="10">
        <f>COUNTIFS('Process Flow Tree'!$B$5:$B$217,2,'Process Flow Tree'!$G$5:$G$217,$A55)</f>
        <v/>
      </c>
      <c r="D55" s="10">
        <f>COUNTIFS('Process Flow Tree'!$B$5:$B$217,1,'Process Flow Tree'!$G$5:$G$217,$A55)</f>
        <v/>
      </c>
    </row>
    <row r="56" ht="15" customFormat="1" customHeight="1" s="2">
      <c r="A56" s="9" t="inlineStr">
        <is>
          <t>BLOCKED</t>
        </is>
      </c>
      <c r="B56" s="10">
        <f>COUNTIFS('Process Flow Tree'!$B$5:$B$217,3,'Process Flow Tree'!$G$5:$G$217,$A56)</f>
        <v/>
      </c>
      <c r="C56" s="10">
        <f>COUNTIFS('Process Flow Tree'!$B$5:$B$217,2,'Process Flow Tree'!$G$5:$G$217,$A56)</f>
        <v/>
      </c>
      <c r="D56" s="10">
        <f>COUNTIFS('Process Flow Tree'!$B$5:$B$217,1,'Process Flow Tree'!$G$5:$G$217,$A56)</f>
        <v/>
      </c>
    </row>
    <row r="57" ht="15" customFormat="1" customHeight="1" s="2">
      <c r="A57" s="9" t="inlineStr">
        <is>
          <t>Total</t>
        </is>
      </c>
      <c r="B57" s="13">
        <f>SUM(B53:B56)</f>
        <v/>
      </c>
      <c r="C57" s="13">
        <f>SUM(C53:C56)</f>
        <v/>
      </c>
      <c r="D57" s="13">
        <f>SUM(D53:D56)</f>
        <v/>
      </c>
    </row>
    <row r="58" ht="15" customFormat="1" customHeight="1" s="2"/>
    <row r="59" ht="15" customFormat="1" customHeight="1" s="2">
      <c r="A59" s="5" t="inlineStr">
        <is>
          <t>5. Pull requests</t>
        </is>
      </c>
    </row>
    <row r="60" ht="15" customFormat="1" customHeight="1" s="2">
      <c r="A60" s="6" t="inlineStr">
        <is>
          <t>PR state</t>
        </is>
      </c>
      <c r="B60" s="6" t="inlineStr">
        <is>
          <t>PRs</t>
        </is>
      </c>
    </row>
    <row r="61" ht="15" customFormat="1" customHeight="1" s="2">
      <c r="A61" s="9" t="inlineStr">
        <is>
          <t>Merged</t>
        </is>
      </c>
      <c r="B61" s="10">
        <f>COUNTIF('PR Register'!$F$2:$F$189,A61)</f>
        <v/>
      </c>
    </row>
    <row r="62" ht="15" customFormat="1" customHeight="1" s="2">
      <c r="A62" s="9" t="inlineStr">
        <is>
          <t>Open</t>
        </is>
      </c>
      <c r="B62" s="10">
        <f>COUNTIF('PR Register'!$F$2:$F$189,A62)</f>
        <v/>
      </c>
    </row>
    <row r="63" ht="15" customFormat="1" customHeight="1" s="2">
      <c r="A63" s="9" t="inlineStr">
        <is>
          <t>Open (draft)</t>
        </is>
      </c>
      <c r="B63" s="10">
        <f>COUNTIF('PR Register'!$F$2:$F$189,A63)</f>
        <v/>
      </c>
    </row>
    <row r="64" ht="15" customFormat="1" customHeight="1" s="2">
      <c r="A64" s="9" t="inlineStr">
        <is>
          <t>Closed - not merged</t>
        </is>
      </c>
      <c r="B64" s="10">
        <f>COUNTIF('PR Register'!$F$2:$F$189,A64)</f>
        <v/>
      </c>
    </row>
    <row r="65" ht="15" customFormat="1" customHeight="1" s="2">
      <c r="A65" s="9" t="inlineStr">
        <is>
          <t>Total</t>
        </is>
      </c>
      <c r="B65" s="13">
        <f>SUM(B61:B64)</f>
        <v/>
      </c>
    </row>
    <row r="66" ht="15" customFormat="1" customHeight="1" s="2">
      <c r="A66" s="6" t="inlineStr">
        <is>
          <t>PR type</t>
        </is>
      </c>
      <c r="B66" s="6" t="inlineStr">
        <is>
          <t>PRs</t>
        </is>
      </c>
    </row>
    <row r="67" ht="15" customFormat="1" customHeight="1" s="2">
      <c r="A67" s="9" t="inlineStr">
        <is>
          <t>Branding</t>
        </is>
      </c>
      <c r="B67" s="10">
        <f>COUNTIF('PR Register'!$C$2:$C$189,A67)</f>
        <v/>
      </c>
    </row>
    <row r="68" ht="15" customFormat="1" customHeight="1" s="2">
      <c r="A68" s="9" t="inlineStr">
        <is>
          <t>DevOps / repo</t>
        </is>
      </c>
      <c r="B68" s="10">
        <f>COUNTIF('PR Register'!$C$2:$C$189,A68)</f>
        <v/>
      </c>
    </row>
    <row r="69" ht="15" customFormat="1" customHeight="1" s="2">
      <c r="A69" s="9" t="inlineStr">
        <is>
          <t>Docs / reports</t>
        </is>
      </c>
      <c r="B69" s="10">
        <f>COUNTIF('PR Register'!$C$2:$C$189,A69)</f>
        <v/>
      </c>
    </row>
    <row r="70" ht="15" customFormat="1" customHeight="1" s="2">
      <c r="A70" s="9" t="inlineStr">
        <is>
          <t>Feature</t>
        </is>
      </c>
      <c r="B70" s="10">
        <f>COUNTIF('PR Register'!$C$2:$C$189,A70)</f>
        <v/>
      </c>
    </row>
    <row r="71" ht="15" customFormat="1" customHeight="1" s="2">
      <c r="A71" s="9" t="inlineStr">
        <is>
          <t>Fix / hotfix</t>
        </is>
      </c>
      <c r="B71" s="10">
        <f>COUNTIF('PR Register'!$C$2:$C$189,A71)</f>
        <v/>
      </c>
    </row>
    <row r="72" ht="15" customFormat="1" customHeight="1" s="2">
      <c r="A72" s="9" t="inlineStr">
        <is>
          <t>Improvement</t>
        </is>
      </c>
      <c r="B72" s="10">
        <f>COUNTIF('PR Register'!$C$2:$C$189,A72)</f>
        <v/>
      </c>
    </row>
    <row r="73" ht="15" customFormat="1" customHeight="1" s="2">
      <c r="A73" s="9" t="inlineStr">
        <is>
          <t>Platform port</t>
        </is>
      </c>
      <c r="B73" s="10">
        <f>COUNTIF('PR Register'!$C$2:$C$189,A73)</f>
        <v/>
      </c>
    </row>
    <row r="74" ht="15" customFormat="1" customHeight="1" s="2">
      <c r="A74" s="9" t="inlineStr">
        <is>
          <t>QA / tests</t>
        </is>
      </c>
      <c r="B74" s="10">
        <f>COUNTIF('PR Register'!$C$2:$C$189,A74)</f>
        <v/>
      </c>
    </row>
    <row r="75" ht="15" customFormat="1" customHeight="1" s="2">
      <c r="A75" s="9" t="inlineStr">
        <is>
          <t>Release (staging -&gt; main)</t>
        </is>
      </c>
      <c r="B75" s="10">
        <f>COUNTIF('PR Register'!$C$2:$C$189,A75)</f>
        <v/>
      </c>
    </row>
    <row r="76" ht="15" customFormat="1" customHeight="1" s="2">
      <c r="A76" s="9" t="inlineStr">
        <is>
          <t>Release + direct commits (Phases A-J)</t>
        </is>
      </c>
      <c r="B76" s="10">
        <f>COUNTIF('PR Register'!$C$2:$C$189,A76)</f>
        <v/>
      </c>
    </row>
    <row r="77" ht="15" customFormat="1" customHeight="1" s="2">
      <c r="A77" s="9" t="inlineStr">
        <is>
          <t>Revert</t>
        </is>
      </c>
      <c r="B77" s="10">
        <f>COUNTIF('PR Register'!$C$2:$C$189,A77)</f>
        <v/>
      </c>
    </row>
    <row r="78" ht="15" customFormat="1" customHeight="1" s="2">
      <c r="A78" s="9" t="inlineStr">
        <is>
          <t>Security / dependencies</t>
        </is>
      </c>
      <c r="B78" s="10">
        <f>COUNTIF('PR Register'!$C$2:$C$189,A78)</f>
        <v/>
      </c>
    </row>
    <row r="79" ht="15" customFormat="1" customHeight="1" s="2">
      <c r="A79" s="9" t="inlineStr">
        <is>
          <t>Test data / settings</t>
        </is>
      </c>
      <c r="B79" s="10">
        <f>COUNTIF('PR Register'!$C$2:$C$189,A79)</f>
        <v/>
      </c>
    </row>
    <row r="80" ht="15" customFormat="1" customHeight="1" s="2">
      <c r="A80" s="9" t="inlineStr">
        <is>
          <t>Total</t>
        </is>
      </c>
      <c r="B80" s="13">
        <f>SUM(B67:B79)</f>
        <v/>
      </c>
    </row>
    <row r="81" ht="42" customFormat="1" customHeight="1" s="2"/>
    <row r="82" ht="36" customFormat="1" customHeight="1" s="2">
      <c r="A82" s="5" t="inlineStr">
        <is>
          <t>6. Headlines (18 Oct 2026)</t>
        </is>
      </c>
    </row>
    <row r="83" ht="36" customFormat="1" customHeight="1" s="2">
      <c r="A83" s="17" t="inlineStr">
        <is>
          <t>1. Release #185 (16 Oct 04:24 UTC, no migrations) put the PMD loader race fix (#184) on gokesari.com; staging is level with main (#187). No feature changed status since 16 Oct: 227 of 267 COMPLETED (85 %), 2 IN PROGRESS, 19 YET TO START, 19 BLOCKED. Live checks 18 Oct 13:45 UTC: gokesari.com, /shops and test.gokesari.com 200; /shop/accounts and /shop/product-import 307 (sign-in).</t>
        </is>
      </c>
    </row>
    <row r="84" ht="39" customFormat="1" customHeight="1" s="2">
      <c r="A84" s="17" t="inlineStr">
        <is>
          <t>2. Live on gokesari.com since 15 Oct: Inventory &amp; Accounting for shop owners (NEW-067: 49 of 56 sub-features Done, 6 Blocked on owner choices / accounts, 1 In progress) and bulk product upload (GS-013: 15 of 17 sub-features Done on Prod; Android store build in progress, iPhone build blocked on Apple / Expo accounts).</t>
        </is>
      </c>
    </row>
    <row r="85" ht="36" customFormat="1" customHeight="1" s="2">
      <c r="A85" s="17" t="inlineStr">
        <is>
          <t>3. Blockers #56 (flaky PMD parallel-loader test) is resolved on main. Correction: #178 (#169 test results) was merged on 15 Oct, not an open draft.</t>
        </is>
      </c>
    </row>
    <row r="86" ht="39" customFormat="1" customHeight="1" s="2">
      <c r="A86" s="17" t="inlineStr">
        <is>
          <t>4. Open PRs are docs only: #183 (15/16 Oct status workbooks - merge or close, this report supersedes it) and #188 (competitive analysis deck vs Amazon, Flipkart, Blinkit, Zepto, Instamart and others, 18 Oct).</t>
        </is>
      </c>
    </row>
    <row r="87" ht="36" customFormat="1" customHeight="1" s="2">
      <c r="A87" s="17" t="inlineStr">
        <is>
          <t>5. Biggest go-live gates unchanged: per-order online payment decision (GS-028 / NEW-007, Blockers #5), SMS / OTP vendor (D2, #6), 791-case browser QA plan not run (QA-003, #3), production cron jobs (#4), email sending capacity (#25), and the production lifecycle run with a real payment (QA-009, #44).</t>
        </is>
      </c>
    </row>
    <row r="88" ht="36" customFormat="1" customHeight="1" s="2">
      <c r="A88" s="17" t="inlineStr">
        <is>
          <t>6. Database split (PLT-015): production run 19 PASSED; the site still reads one database; phases 2-4 not started.</t>
        </is>
      </c>
    </row>
    <row r="89" ht="36" customFormat="1" customHeight="1" s="2">
      <c r="A89" s="17" t="inlineStr">
        <is>
          <t>7. Still open owner actions: reset the database password posted in chat (#33); delete the copy-shops SQL files (#39); PROD_DATABASE_URL for Actions (#32); Maps server key (#31); Apple / Expo secrets (#29); valid INTEGRATION_ENCRYPTION_KEY (#51); GSP choice (#52).</t>
        </is>
      </c>
    </row>
  </sheetData>
  <mergeCells count="17">
    <mergeCell ref="A84:G84"/>
    <mergeCell ref="E10:G10"/>
    <mergeCell ref="A89:G89"/>
    <mergeCell ref="A88:G88"/>
    <mergeCell ref="E13:G13"/>
    <mergeCell ref="E11:G11"/>
    <mergeCell ref="A3:G3"/>
    <mergeCell ref="A83:G83"/>
    <mergeCell ref="E8:G8"/>
    <mergeCell ref="A4:G4"/>
    <mergeCell ref="A87:G87"/>
    <mergeCell ref="A2:G2"/>
    <mergeCell ref="E9:G9"/>
    <mergeCell ref="E12:G12"/>
    <mergeCell ref="A86:G86"/>
    <mergeCell ref="A85:G85"/>
    <mergeCell ref="A5:G5"/>
  </mergeCells>
  <conditionalFormatting sqref="A9:A12">
    <cfRule type="cellIs" priority="1" operator="equal" dxfId="0">
      <formula>"COMPLETED"</formula>
    </cfRule>
    <cfRule type="cellIs" priority="2" operator="equal" dxfId="1">
      <formula>"IN PROGRESS"</formula>
    </cfRule>
    <cfRule type="cellIs" priority="3" operator="equal" dxfId="2">
      <formula>"YET TO START"</formula>
    </cfRule>
    <cfRule type="cellIs" priority="4" operator="equal" dxfId="3">
      <formula>"BLOCKED"</formula>
    </cfRule>
  </conditionalFormatting>
  <conditionalFormatting sqref="A53:A56">
    <cfRule type="cellIs" priority="5" operator="equal" dxfId="0">
      <formula>"COMPLETED"</formula>
    </cfRule>
    <cfRule type="cellIs" priority="6" operator="equal" dxfId="1">
      <formula>"IN PROGRESS"</formula>
    </cfRule>
    <cfRule type="cellIs" priority="7" operator="equal" dxfId="2">
      <formula>"YET TO START"</formula>
    </cfRule>
    <cfRule type="cellIs" priority="8" operator="equal" dxfId="3">
      <formula>"BLOCKED"</formula>
    </cfRule>
  </conditionalFormatting>
  <pageMargins left="0.3" right="0.3" top="1" bottom="1" header="0.511811023622047" footer="0.511811023622047"/>
  <pageSetup orientation="landscape" paperSize="9" scale="100" fitToHeight="0" fitToWidth="1" firstPageNumber="1" useFirstPageNumber="1" horizontalDpi="300" verticalDpi="300" copies="1"/>
</worksheet>
</file>

<file path=xl/worksheets/sheet2.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14" customWidth="1" min="1" max="1"/>
    <col width="50" customWidth="1" min="2" max="2"/>
    <col width="22" customWidth="1" min="3" max="3"/>
    <col width="12" customWidth="1" min="4" max="4"/>
    <col width="90" customWidth="1" min="5" max="5"/>
  </cols>
  <sheetData>
    <row r="1">
      <c r="A1" t="inlineStr">
        <is>
          <t>GoKesari build &amp; integrate batch (18 Oct 2026) — status of every flow step in the brief</t>
        </is>
      </c>
    </row>
    <row r="2">
      <c r="A2" t="inlineStr">
        <is>
          <t>DONE = built, merged, tested; DONE-SANDBOX = complete on the sandbox/mock provider, production flag OFF until the owner's keys exist</t>
        </is>
      </c>
    </row>
    <row r="4">
      <c r="A4" s="27" t="inlineStr">
        <is>
          <t>Flow / step ID</t>
        </is>
      </c>
      <c r="B4" s="27" t="inlineStr">
        <is>
          <t>Step</t>
        </is>
      </c>
      <c r="C4" s="27" t="inlineStr">
        <is>
          <t>Batch status</t>
        </is>
      </c>
      <c r="D4" s="27" t="inlineStr">
        <is>
          <t>PR(s)</t>
        </is>
      </c>
      <c r="E4" s="27" t="inlineStr">
        <is>
          <t>Gap / note</t>
        </is>
      </c>
    </row>
    <row r="5">
      <c r="A5" t="inlineStr">
        <is>
          <t>F1.1.2</t>
        </is>
      </c>
      <c r="B5" t="inlineStr">
        <is>
          <t>Prove the mobile number by SMS OTP</t>
        </is>
      </c>
      <c r="C5" s="37" t="inlineStr">
        <is>
          <t>DONE</t>
        </is>
      </c>
      <c r="D5" t="inlineStr">
        <is>
          <t>#190, #192, #194</t>
        </is>
      </c>
      <c r="E5" s="23" t="inlineStr">
        <is>
          <t>Email channel live: OtpProvider routing, 6-digit codes, 5-minute expiry (verified on test.gokesari.com: emails now say 5 minutes), 5 attempts, resend cooldown, DB-backed limits per email/user/IP, hashed + audited, hourly purge. 'OTP sent to your email' wording. SMS = Phase-2 stub (vendor decision D2).</t>
        </is>
      </c>
    </row>
    <row r="6">
      <c r="A6" t="inlineStr">
        <is>
          <t>F1.4.3</t>
        </is>
      </c>
      <c r="B6" t="inlineStr">
        <is>
          <t>Online (e-commerce) reference prices shown to customers</t>
        </is>
      </c>
      <c r="C6" s="38" t="inlineStr">
        <is>
          <t>DROPPED</t>
        </is>
      </c>
      <c r="D6" t="inlineStr">
        <is>
          <t>#190, #194</t>
        </is>
      </c>
      <c r="E6" s="23" t="inlineStr">
        <is>
          <t>Dropped by a code constant (not a setting): hidden on product pages and for shops, public API 404, admin menu entry removed, no scraping or external calls at runtime; PR #23 code kept and isolated; offline Open Prices CLI refuses to run.</t>
        </is>
      </c>
    </row>
    <row r="7">
      <c r="A7" t="inlineStr">
        <is>
          <t>F1.7.3</t>
        </is>
      </c>
      <c r="B7" t="inlineStr">
        <is>
          <t>Pay the order directly by UPI / card / netbanking</t>
        </is>
      </c>
      <c r="C7" s="39" t="inlineStr">
        <is>
          <t>DONE-SANDBOX</t>
        </is>
      </c>
      <c r="D7" t="inlineStr">
        <is>
          <t>#190, #192, #194</t>
        </is>
      </c>
      <c r="E7" s="23" t="inlineStr">
        <is>
          <t>PaymentGateway interface: sandbox (working on test.gokesari.com after #192), Cashfree adapter, Razorpay/PhonePe scaffolds; UPI/card/netbanking via hosted checkout only (no card data). Production flag onlinePayments OFF until gateway choice, merchant account, live keys and webhook secret (Owner inputs §1-2).</t>
        </is>
      </c>
    </row>
    <row r="8">
      <c r="A8" t="inlineStr">
        <is>
          <t>F1.8.4</t>
        </is>
      </c>
      <c r="B8" t="inlineStr">
        <is>
          <t>Gateway payment confirmation and payment state machine</t>
        </is>
      </c>
      <c r="C8" s="39" t="inlineStr">
        <is>
          <t>DONE-SANDBOX</t>
        </is>
      </c>
      <c r="D8" t="inlineStr">
        <is>
          <t>#190, #192, #194</t>
        </is>
      </c>
      <c r="E8" s="23" t="inlineStr">
        <is>
          <t>Payment state machine CREATED&gt;PENDING&gt;AUTHORIZED&gt;CAPTURED&gt;(PARTIALLY_)REFUNDED + FAILED/EXPIRED; signed webhooks, idempotent by event id, reconciled with the gateway's order status; 5-minute reconciliation job; order idempotency key; order CONFIRMED only on CAPTURED.</t>
        </is>
      </c>
    </row>
    <row r="9">
      <c r="A9" t="inlineStr">
        <is>
          <t>F3.3.2</t>
        </is>
      </c>
      <c r="B9" t="inlineStr">
        <is>
          <t>Broadcast offers / widen the radius</t>
        </is>
      </c>
      <c r="C9" s="37" t="inlineStr">
        <is>
          <t>DONE</t>
        </is>
      </c>
      <c r="D9" t="inlineStr">
        <is>
          <t>#190, #194</t>
        </is>
      </c>
      <c r="E9" s="23" t="inlineStr">
        <is>
          <t>Rider side: broadcast after N s, radius 2&gt;4&gt;6 km, atomic first accept, 'Offer taken' (rule dispatchBroadcast, OFF until the owner switches it on). Owner request: admin/operator broadcasts (audience, city/PIN, schedule, expiry) + Notification Centre (bell + /notifications, read/unread) on web and app; push/email by opt-in.</t>
        </is>
      </c>
    </row>
    <row r="10">
      <c r="A10" t="inlineStr">
        <is>
          <t>F4.1.3</t>
        </is>
      </c>
      <c r="B10" t="inlineStr">
        <is>
          <t>Pickup by QR code</t>
        </is>
      </c>
      <c r="C10" s="37" t="inlineStr">
        <is>
          <t>DONE</t>
        </is>
      </c>
      <c r="D10" t="inlineStr">
        <is>
          <t>#190, #192, #194</t>
        </is>
      </c>
      <c r="E10" s="23" t="inlineStr">
        <is>
          <t>Signed single-use QR (HMAC) on the shop screen and printable packing slip; camera scan in the rider app; PICKED_UP with time + GPS, customer told at once; typed-code fallback. Rule pickupQr OFF; on gokesari.com set PICKUP_QR_SECRET first.</t>
        </is>
      </c>
    </row>
    <row r="11">
      <c r="A11" t="inlineStr">
        <is>
          <t>F4.2.2</t>
        </is>
      </c>
      <c r="B11" t="inlineStr">
        <is>
          <t>In-app turn-by-turn navigation</t>
        </is>
      </c>
      <c r="C11" s="39" t="inlineStr">
        <is>
          <t>DONE-SANDBOX</t>
        </is>
      </c>
      <c r="D11" t="inlineStr">
        <is>
          <t>#190, #194</t>
        </is>
      </c>
      <c r="E11" s="23" t="inlineStr">
        <is>
          <t>RoutingProvider (mock / Google Routes / OSRM): route line, next manoeuvre, ETA, off-route re-route, voice prompts, Open-in-Google-Maps; keeps feeding live tracking. Mock router on test; real directions need a Google Routes key or own OSRM server. Rule riderNavigation OFF.</t>
        </is>
      </c>
    </row>
    <row r="12">
      <c r="A12" t="inlineStr">
        <is>
          <t>F4.2.6</t>
        </is>
      </c>
      <c r="B12" t="inlineStr">
        <is>
          <t>Signature capture</t>
        </is>
      </c>
      <c r="C12" s="40" t="inlineStr">
        <is>
          <t>DEFERRED-PHASE-2</t>
        </is>
      </c>
      <c r="D12" t="inlineStr">
        <is>
          <t>-</t>
        </is>
      </c>
      <c r="E12" s="23" t="inlineStr">
        <is>
          <t>Signature capture deferred to Phase 2 by the owner; not built.</t>
        </is>
      </c>
    </row>
    <row r="13">
      <c r="A13" t="inlineStr">
        <is>
          <t>F6.1.3</t>
        </is>
      </c>
      <c r="B13" t="inlineStr">
        <is>
          <t>After-packing treatments (D10) signed off</t>
        </is>
      </c>
      <c r="C13" s="37" t="inlineStr">
        <is>
          <t>DONE</t>
        </is>
      </c>
      <c r="D13" t="inlineStr">
        <is>
          <t>#190, #194</t>
        </is>
      </c>
      <c r="E13" s="23" t="inlineStr">
        <is>
          <t>Before packing: full refund incl. delivery (unchanged). After packing: per-shop fee (amount or %, cap, on/off) within admin limits, shown before confirming, written to the order ledger. Rule afterPackingCancellation OFF until the refund policy text is updated.</t>
        </is>
      </c>
    </row>
    <row r="14">
      <c r="A14" t="inlineStr">
        <is>
          <t>F6.2.3</t>
        </is>
      </c>
      <c r="B14" t="inlineStr">
        <is>
          <t>Refund to card / UPI</t>
        </is>
      </c>
      <c r="C14" s="39" t="inlineStr">
        <is>
          <t>DONE-SANDBOX</t>
        </is>
      </c>
      <c r="D14" t="inlineStr">
        <is>
          <t>#190, #194</t>
        </is>
      </c>
      <c r="E14" s="23" t="inlineStr">
        <is>
          <t>Itemised refund breakdown; customer chooses original method (gateway refund API, intent &gt; REFUNDED/PARTIALLY_REFUNDED) or instant wallet (wallet created if missing); wallet/COD orders refund to wallet; email + push; refund timeline in the order. Original-method refunds live with onlinePayments.</t>
        </is>
      </c>
    </row>
    <row r="15">
      <c r="A15" t="inlineStr">
        <is>
          <t>F6.3.3</t>
        </is>
      </c>
      <c r="B15" t="inlineStr">
        <is>
          <t>Issue state machine scope (SM-006)</t>
        </is>
      </c>
      <c r="C15" s="37" t="inlineStr">
        <is>
          <t>DONE</t>
        </is>
      </c>
      <c r="D15" t="inlineStr">
        <is>
          <t>#190, #194</t>
        </is>
      </c>
      <c r="E15" s="23" t="inlineStr">
        <is>
          <t>Ticket state machine (OPEN&gt;ACK&gt;IN_PROGRESS&gt;AWAITING_CUSTOMER/SHOP&gt;RESOLVED&gt;CLOSED + REOPENED/ESCALATED), portal + from the order, attachments, queues, assignment, internal notes, canned replies, SLA timers + escalation (Rule 4: 48 h / one month, configurable), CSAT, notify every change, Grievance Officer editable in Admin. Counsel to confirm the rule text.</t>
        </is>
      </c>
    </row>
    <row r="16">
      <c r="A16" t="inlineStr">
        <is>
          <t>F8.4.2</t>
        </is>
      </c>
      <c r="B16" t="inlineStr">
        <is>
          <t>Operator 'Limited' shop management</t>
        </is>
      </c>
      <c r="C16" s="39" t="inlineStr">
        <is>
          <t>DONE-SANDBOX</t>
        </is>
      </c>
      <c r="D16" t="inlineStr">
        <is>
          <t>#190, #194</t>
        </is>
      </c>
      <c r="E16" s="23" t="inlineStr">
        <is>
          <t>New OPERATOR_LIMITED role (live on test): onboard with owner email-OTP consent, verify documents (approve/reject + reason), referral code, complete registration; fee by payment link or in session via the gateway (sandbox), success &gt; auto-approve rule, else admin queue; no finance/payouts/settings/other operators' shops; every action audited.</t>
        </is>
      </c>
    </row>
    <row r="17">
      <c r="A17" t="inlineStr">
        <is>
          <t>F9.1.2</t>
        </is>
      </c>
      <c r="B17" t="inlineStr">
        <is>
          <t>GS1 India and manufacturer feeds</t>
        </is>
      </c>
      <c r="C17" s="39" t="inlineStr">
        <is>
          <t>DONE-SANDBOX</t>
        </is>
      </c>
      <c r="D17" t="inlineStr">
        <is>
          <t>#190, #192, #193, #194</t>
        </is>
      </c>
      <c r="E17" s="23" t="inlineStr">
        <is>
          <t>ProductDataSource: manufacturer portal (template + hashed API keys) live; GS1 DataKart = mock until an agreement (Owner inputs §8); Open Food Facts importer behind a flag (ODbL attribution). Staging + GTIN de-dup. docs/product-data-sources.md. Look-ups reply within 20 s and finish long imports in the background (#193; S-035 passes on test.gokesari.com).</t>
        </is>
      </c>
    </row>
    <row r="18">
      <c r="A18" t="inlineStr">
        <is>
          <t>F9.1.4</t>
        </is>
      </c>
      <c r="B18" t="inlineStr">
        <is>
          <t>Large-scale ingestion; product browser and promote button</t>
        </is>
      </c>
      <c r="C18" s="37" t="inlineStr">
        <is>
          <t>DONE</t>
        </is>
      </c>
      <c r="D18" t="inlineStr">
        <is>
          <t>#190, #193, #194</t>
        </is>
      </c>
      <c r="E18" s="23" t="inlineStr">
        <is>
          <t>Batched, resumable ingestion (100k rows staged in 16.8 s, full load ~133 rows/s), validation report + error file, image fetch/resize to ObjectStore, progress UI; product browser (search/filter/sort across staging and master, side-by-side merge, bulk edit); promote single/bulk. Shop MRP edits still apply to that shop only.</t>
        </is>
      </c>
    </row>
    <row r="19">
      <c r="A19" t="inlineStr">
        <is>
          <t>F9.2.6</t>
        </is>
      </c>
      <c r="B19" t="inlineStr">
        <is>
          <t>Accounting / inventory sync and GST (GSP)</t>
        </is>
      </c>
      <c r="C19" s="37" t="inlineStr">
        <is>
          <t>DONE</t>
        </is>
      </c>
      <c r="D19" t="inlineStr">
        <is>
          <t>#190, #194</t>
        </is>
      </c>
      <c r="E19" s="23" t="inlineStr">
        <is>
          <t>Inventory sync descoped (rule inventorySync OFF; #92/#120 code kept). GST tax invoice per order on behalf of the shop: legal name, GSTIN or PAN-only wording, HSN, taxable value, CGST/SGST vs IGST by place of supply, series per shop per FY, QR, PDF, e-mailed to the customer + copy to the shop; credit notes for cancellations/returns; rates from HSN config. Rule invoiceDelivery OFF until switched on.</t>
        </is>
      </c>
    </row>
    <row r="20">
      <c r="A20" t="inlineStr">
        <is>
          <t>F10.2.4</t>
        </is>
      </c>
      <c r="B20" t="inlineStr">
        <is>
          <t>Automated bank transfer</t>
        </is>
      </c>
      <c r="C20" s="39" t="inlineStr">
        <is>
          <t>DONE-SANDBOX</t>
        </is>
      </c>
      <c r="D20" t="inlineStr">
        <is>
          <t>#190, #194</t>
        </is>
      </c>
      <c r="E20" s="23" t="inlineStr">
        <is>
          <t>PayoutProvider (sandbox; RazorpayX/Cashfree scaffolds), cycle every 5 days (configurable), itemised net payable incl. TCS/TDS/GST on fees, maker-checker, verified bank accounts only, webhooks + retries + UTR, statements PDF/CSV, bank file + 'mark paid with UTR' until live keys. Rule payouts OFF (Owner inputs §3).</t>
        </is>
      </c>
    </row>
    <row r="21">
      <c r="A21" t="inlineStr">
        <is>
          <t>F10.2.5</t>
        </is>
      </c>
      <c r="B21" t="inlineStr">
        <is>
          <t>Platform invoice for GoKesari's own fees (D6)</t>
        </is>
      </c>
      <c r="C21" s="39" t="inlineStr">
        <is>
          <t>DONE-SANDBOX</t>
        </is>
      </c>
      <c r="D21" t="inlineStr">
        <is>
          <t>#190, #194</t>
        </is>
      </c>
      <c r="E21" s="23" t="inlineStr">
        <is>
          <t>GoKesari fee invoices per cycle (commission, delivery/platform, registration, billing management) with GSTIN, &lt;=16-char FY series, SAC, CGST+SGST/IGST, recipient GSTIN, QR, PDF; credit/debit notes; monthly GSTR-1-ready export. Statutory TCS 0.5% / TDS 0.1% / 9(5) as dated settings, all 'not confirmed by CA'. Tested with a fake tax profile on test; production OFF until GSTIN + CA confirmation (Owner inputs §4-6).</t>
        </is>
      </c>
    </row>
    <row r="22">
      <c r="A22" t="inlineStr">
        <is>
          <t>F13.1.2</t>
        </is>
      </c>
      <c r="B22" t="inlineStr">
        <is>
          <t>SMS, WhatsApp and push providers</t>
        </is>
      </c>
      <c r="C22" s="39" t="inlineStr">
        <is>
          <t>DONE-SANDBOX</t>
        </is>
      </c>
      <c r="D22" t="inlineStr">
        <is>
          <t>#190, #194</t>
        </is>
      </c>
      <c r="E22" s="23" t="inlineStr">
        <is>
          <t>One NotificationService path: email templates (live), Expo push (mock on test; production needs EAS/FCM/APNs keys and app 1.2.0), in-app Notification Centre; preferences; delivery log with retries + push receipts. WhatsApp/SMS = Phase-2 stubs.</t>
        </is>
      </c>
    </row>
    <row r="23">
      <c r="A23" t="inlineStr">
        <is>
          <t>F14.1.3</t>
        </is>
      </c>
      <c r="B23" t="inlineStr">
        <is>
          <t>Execute the 791 test cases and sign off on test.gokesari.com</t>
        </is>
      </c>
      <c r="C23" s="41" t="inlineStr">
        <is>
          <t>BLOCKED-OWNER-INPUT</t>
        </is>
      </c>
      <c r="D23" t="inlineStr">
        <is>
          <t>#190, #192, #194</t>
        </is>
      </c>
      <c r="E23" s="23" t="inlineStr">
        <is>
          <t>Released to gokesari.com by #194 (merge fc70223, 20:45:32 UTC = restore point). Automated: 283/283 batch cases + 8 mobile; whole suite 2191/2192 (1 pre-existing load flake); CI green on #190/#192/#193/#194. test.gokesari.com: remote checks 12/12; signed-in journeys 40 pass, 1 blocked (S-014 no rider online). gokesari.com: production-safe checks 12/12. Report: docs/test-reports/2026-10-batch.md. Production order lifecycle needs owner inputs §14.</t>
        </is>
      </c>
    </row>
    <row r="24">
      <c r="A24" t="inlineStr">
        <is>
          <t>F14.2.1</t>
        </is>
      </c>
      <c r="B24" t="inlineStr">
        <is>
          <t>Migrate production through the 'Production database' workflow</t>
        </is>
      </c>
      <c r="C24" s="41" t="inlineStr">
        <is>
          <t>BLOCKED-OWNER-INPUT</t>
        </is>
      </c>
      <c r="D24" t="inlineStr">
        <is>
          <t>#190, #194</t>
        </is>
      </c>
      <c r="E24" s="23" t="inlineStr">
        <is>
          <t>Fixed and released (#190, #194): the job now declares environment: production and a fail-fast preflight that lists what it can see without printing values. Production run 39165658144 (18 Oct, after the release) proves the fix for the secret: PROD_DATABASE_URL is now visible (it was empty on 15 Oct). It stops before touching production because the variables PROD_DATABASE_HOST and PROD_DATABASE_NAME are empty on the production environment — owner to add them (Owner inputs §13), then run verify.</t>
        </is>
      </c>
    </row>
    <row r="25">
      <c r="A25" t="inlineStr">
        <is>
          <t>F14.2.4</t>
        </is>
      </c>
      <c r="B25" t="inlineStr">
        <is>
          <t>Split production into seller and customer databases</t>
        </is>
      </c>
      <c r="C25" s="41" t="inlineStr">
        <is>
          <t>BLOCKED-OWNER-INPUT</t>
        </is>
      </c>
      <c r="D25" t="inlineStr">
        <is>
          <t>#190, #194</t>
        </is>
      </c>
      <c r="E25" s="23" t="inlineStr">
        <is>
          <t>Split secrets verified visible (14 Oct production copy PASS: 190 tables, 486/486 rows, checksums equal, no broken links). Cut-over not performed: needs the owner's window, Neon logical replication and the phase-3 service moves (docs/db-split-2026-10/CUTOVER_2026-10-18.md).</t>
        </is>
      </c>
    </row>
    <row r="26">
      <c r="A26" t="inlineStr">
        <is>
          <t>F15.1.3</t>
        </is>
      </c>
      <c r="B26" t="inlineStr">
        <is>
          <t>Publish on Google Play</t>
        </is>
      </c>
      <c r="C26" s="40" t="inlineStr">
        <is>
          <t>ON-HOLD</t>
        </is>
      </c>
      <c r="D26" t="inlineStr">
        <is>
          <t>-</t>
        </is>
      </c>
      <c r="E26" s="23" t="inlineStr">
        <is>
          <t>Google Play publishing on hold (owner decision). Internal Android builds produced: APK production + preview (Android APK run 39146831653, artifacts 12143529084 / 12143309950, app 1.2.0).</t>
        </is>
      </c>
    </row>
    <row r="27">
      <c r="A27" t="inlineStr">
        <is>
          <t>F15.1.4</t>
        </is>
      </c>
      <c r="B27" t="inlineStr">
        <is>
          <t>Publish on the App Store (or install a native build on an iPhone)</t>
        </is>
      </c>
      <c r="C27" s="40" t="inlineStr">
        <is>
          <t>ON-HOLD</t>
        </is>
      </c>
      <c r="D27" t="inlineStr">
        <is>
          <t>-</t>
        </is>
      </c>
      <c r="E27" s="23" t="inlineStr">
        <is>
          <t>App Store publishing on hold (owner decision). 'iPhone app' workflow kept ready; trial internal build stopped at its pre-check: needs EXPO_TOKEN, the Expo project id and App Store Connect keys (Owner inputs §11).</t>
        </is>
      </c>
    </row>
    <row r="28">
      <c r="A28" t="inlineStr">
        <is>
          <t>F15.2.3</t>
        </is>
      </c>
      <c r="B28" t="inlineStr">
        <is>
          <t>gokesari.com links open the app (deep links)</t>
        </is>
      </c>
      <c r="C28" s="41" t="inlineStr">
        <is>
          <t>BLOCKED-OWNER-INPUT</t>
        </is>
      </c>
      <c r="D28" t="inlineStr">
        <is>
          <t>#190, #194</t>
        </is>
      </c>
      <c r="E28" s="23" t="inlineStr">
        <is>
          <t>Built and live on test: assetlinks.json (host-aware package) and apple-app-site-association (no extension, application/json) always served, intent filters with autoVerify, associated domains, route map product/shop/order/invite/notification/ticket, in-app routing, web fallback. Activates when the owner sets the SHA-256 fingerprint and Apple Team ID (docs/deep-links-activation.md).</t>
        </is>
      </c>
    </row>
    <row r="30">
      <c r="A30" t="inlineStr">
        <is>
          <t>Totals</t>
        </is>
      </c>
    </row>
    <row r="31">
      <c r="A31" t="inlineStr">
        <is>
          <t>DONE</t>
        </is>
      </c>
      <c r="B31">
        <f>COUNTIF($C$5:$C$28,"DONE")</f>
        <v/>
      </c>
    </row>
    <row r="32">
      <c r="A32" t="inlineStr">
        <is>
          <t>DONE-SANDBOX</t>
        </is>
      </c>
      <c r="B32">
        <f>COUNTIF($C$5:$C$28,"DONE-SANDBOX")</f>
        <v/>
      </c>
    </row>
    <row r="33">
      <c r="A33" t="inlineStr">
        <is>
          <t>DROPPED</t>
        </is>
      </c>
      <c r="B33">
        <f>COUNTIF($C$5:$C$28,"DROPPED")</f>
        <v/>
      </c>
    </row>
    <row r="34">
      <c r="A34" t="inlineStr">
        <is>
          <t>DEFERRED-PHASE-2</t>
        </is>
      </c>
      <c r="B34">
        <f>COUNTIF($C$5:$C$28,"DEFERRED-PHASE-2")</f>
        <v/>
      </c>
    </row>
    <row r="35">
      <c r="A35" t="inlineStr">
        <is>
          <t>ON-HOLD</t>
        </is>
      </c>
      <c r="B35">
        <f>COUNTIF($C$5:$C$28,"ON-HOLD")</f>
        <v/>
      </c>
    </row>
    <row r="36">
      <c r="A36" t="inlineStr">
        <is>
          <t>BLOCKED-OWNER-INPUT</t>
        </is>
      </c>
      <c r="B36">
        <f>COUNTIF($C$5:$C$28,"BLOCKED-OWNER-INPUT")</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zoomScale="100" zoomScaleNormal="100" workbookViewId="0">
      <pane ySplit="4" topLeftCell="A5" activePane="bottomLeft" state="frozen"/>
      <selection pane="bottomLeft" activeCell="A1" sqref="A1"/>
    </sheetView>
  </sheetViews>
  <sheetFormatPr baseColWidth="8" defaultRowHeight="15" outlineLevelRow="0"/>
  <cols>
    <col width="9" customWidth="1" style="2" min="1" max="1"/>
    <col width="32" customWidth="1" style="2" min="2" max="2"/>
    <col width="14" customWidth="1" style="2" min="3" max="3"/>
    <col width="12" customWidth="1" style="2" min="4" max="4"/>
    <col width="110" customWidth="1" style="2" min="5" max="5"/>
    <col width="30" customWidth="1" style="2" min="6" max="6"/>
  </cols>
  <sheetData>
    <row r="1">
      <c r="A1" s="18" t="inlineStr">
        <is>
          <t>Bulk product upload (Excel/CSV) with shop inventory update - sub-feature status</t>
        </is>
      </c>
    </row>
    <row r="2">
      <c r="A2" s="1" t="inlineStr">
        <is>
          <t>Statuses: Not started / In progress / Done on Test / Done on Prod / Blocked. Design: docs/product-import-2026-10/README.md. Tests: docs/testing/bulk-product-upload-test-report.md.</t>
        </is>
      </c>
    </row>
    <row r="4">
      <c r="A4" s="19" t="inlineStr">
        <is>
          <t>ID</t>
        </is>
      </c>
      <c r="B4" s="19" t="inlineStr">
        <is>
          <t>Sub-feature</t>
        </is>
      </c>
      <c r="C4" s="19" t="inlineStr">
        <is>
          <t>Status</t>
        </is>
      </c>
      <c r="D4" s="19" t="inlineStr">
        <is>
          <t>Date</t>
        </is>
      </c>
      <c r="E4" s="19" t="inlineStr">
        <is>
          <t>Notes</t>
        </is>
      </c>
      <c r="F4" s="19" t="inlineStr">
        <is>
          <t>Branch / PR</t>
        </is>
      </c>
    </row>
    <row r="5">
      <c r="A5" s="20" t="inlineStr">
        <is>
          <t>BPU-01</t>
        </is>
      </c>
      <c r="B5" s="20" t="inlineStr">
        <is>
          <t>Parser (Amazon template)</t>
        </is>
      </c>
      <c r="C5" s="21" t="inlineStr">
        <is>
          <t>Done on Prod</t>
        </is>
      </c>
      <c r="D5" s="20" t="inlineStr">
        <is>
          <t>2026-10-15</t>
        </is>
      </c>
      <c r="E5" s="20" t="inlineStr">
        <is>
          <t>Built and unit-tested locally: Template sheet chosen, headings found by content (labels, attribute keys, section headers), ABC123 example + notice rows skipped, key-first mapping with qualifiers stripped (audience kept), repeated #1-#5 columns to arrays, lossless raw cells. 309-column PUZZLES fixture parses in ~0.2 s. Generic: no product-type logic. Not yet on Test. Live on test.gokesari.com 15 Oct: PI-03 pass (PUZZLES.xlsm: 309 columns, rows 6-7 left out, macros not run). Released to gokesari.com 15 Oct 15:58 UTC (PR #179); signed-out prod checks pass.</t>
        </is>
      </c>
      <c r="F5" s="20" t="inlineStr">
        <is>
          <t>PR #173, #174, release #179</t>
        </is>
      </c>
    </row>
    <row r="6">
      <c r="A6" s="20" t="inlineStr">
        <is>
          <t>BPU-02</t>
        </is>
      </c>
      <c r="B6" s="20" t="inlineStr">
        <is>
          <t>Parser (GoKesari template + CSV)</t>
        </is>
      </c>
      <c r="C6" s="21" t="inlineStr">
        <is>
          <t>Done on Prod</t>
        </is>
      </c>
      <c r="D6" s="20" t="inlineStr">
        <is>
          <t>2026-10-15</t>
        </is>
      </c>
      <c r="E6" s="20" t="inlineStr">
        <is>
          <t>Simple template (Products + Instructions sheets, Barcode Type/Unit/Action dropdowns, EXAMPLE row never imported) and CSV (comma/semicolon/tab, BOM). Header aliases case-insensitive. Tested locally. Live on test.gokesari.com 15 Oct: PI-02 template download, PI-09 template import pass. Released to gokesari.com 15 Oct 15:58 UTC (PR #179); signed-out prod checks pass.</t>
        </is>
      </c>
      <c r="F6" s="20" t="inlineStr">
        <is>
          <t>PR #173, #174, release #179</t>
        </is>
      </c>
    </row>
    <row r="7">
      <c r="A7" s="20" t="inlineStr">
        <is>
          <t>BPU-03</t>
        </is>
      </c>
      <c r="B7" s="20" t="inlineStr">
        <is>
          <t>Field mapping</t>
        </is>
      </c>
      <c r="C7" s="21" t="inlineStr">
        <is>
          <t>Done on Prod</t>
        </is>
      </c>
      <c r="D7" s="20" t="inlineStr">
        <is>
          <t>2026-10-15</t>
        </is>
      </c>
      <c r="E7" s="20" t="inlineStr">
        <is>
          <t>All §2 fields mapped; Indian numbers, dd/mm/yyyy and Excel-serial dates, Y/N, units to cm/g. Unreadable values = warnings, raw kept. Decision: file MRP = listing MRP (shop_listing_details), never master. Live on test.gokesari.com 15 Oct: PI-03/PI-04/PI-09 pass. Released to gokesari.com 15 Oct 15:58 UTC (PR #179); signed-out prod checks pass.</t>
        </is>
      </c>
      <c r="F7" s="20" t="inlineStr">
        <is>
          <t>PR #173, #174, release #179</t>
        </is>
      </c>
    </row>
    <row r="8">
      <c r="A8" s="20" t="inlineStr">
        <is>
          <t>BPU-04</t>
        </is>
      </c>
      <c r="B8" s="20" t="inlineStr">
        <is>
          <t>Matching &amp; master catalogue</t>
        </is>
      </c>
      <c r="C8" s="21" t="inlineStr">
        <is>
          <t>Done on Prod</t>
        </is>
      </c>
      <c r="D8" s="20" t="inlineStr">
        <is>
          <t>2026-10-15</t>
        </is>
      </c>
      <c r="E8" s="20" t="inlineStr">
        <is>
          <t>SKU (or P-code) → barcode → name+brand(+size/color) → new Pending product. Pending products visible to the existing duplicate check. Decision: fallback category = General (system 'uncategorised'). Live on test.gokesari.com 15 Oct: PI-05 re-import matched all 5 by SKU (5 updated); PI-11 Edit with no match skipped. Released to gokesari.com 15 Oct 15:58 UTC (PR #179); signed-out prod checks pass.</t>
        </is>
      </c>
      <c r="F8" s="20" t="inlineStr">
        <is>
          <t>PR #173, #174, release #179</t>
        </is>
      </c>
    </row>
    <row r="9">
      <c r="A9" s="20" t="inlineStr">
        <is>
          <t>BPU-05</t>
        </is>
      </c>
      <c r="B9" s="20" t="inlineStr">
        <is>
          <t>Inventory update + ledger</t>
        </is>
      </c>
      <c r="C9" s="21" t="inlineStr">
        <is>
          <t>Done on Prod</t>
        </is>
      </c>
      <c r="D9" s="20" t="inlineStr">
        <is>
          <t>2026-10-15</t>
        </is>
      </c>
      <c r="E9" s="20" t="inlineStr">
        <is>
          <t>Set / Add modes, blank / negative / non-numeric quantity rules, duplicate-SKU merge, inventory_movements with source=bulk_upload + import_job_id + user, row lock + atomic add (tested with concurrent orders). Online stock. Live on test.gokesari.com 15 Oct: PI-10 Set 11 then Add 4 = 15; PI-11 blank/negative unchanged; PI-13 Delete = stock 0. Released to gokesari.com 15 Oct 15:58 UTC (PR #179); signed-out prod checks pass.</t>
        </is>
      </c>
      <c r="F9" s="20" t="inlineStr">
        <is>
          <t>PR #173, #174, release #179</t>
        </is>
      </c>
    </row>
    <row r="10">
      <c r="A10" s="20" t="inlineStr">
        <is>
          <t>BPU-06</t>
        </is>
      </c>
      <c r="B10" s="20" t="inlineStr">
        <is>
          <t>Image import</t>
        </is>
      </c>
      <c r="C10" s="21" t="inlineStr">
        <is>
          <t>Done on Prod</t>
        </is>
      </c>
      <c r="D10" s="20" t="inlineStr">
        <is>
          <t>2026-10-15</t>
        </is>
      </c>
      <c r="E10" s="20" t="inlineStr">
        <is>
          <t>Async after commit; http/https only, SSRF guard at connect time, JPEG/PNG/WebP, 5 MB, 15 s, each URL once; existing photo pipeline + moderation; failures are row warnings. Live on test.gokesari.com 15 Oct: Fixture image URLs (example CDN) refused with row warnings, products still created. Real image URLs not tried on the site. Released to gokesari.com 15 Oct 15:58 UTC (PR #179); signed-out prod checks pass.</t>
        </is>
      </c>
      <c r="F10" s="20" t="inlineStr">
        <is>
          <t>PR #173, #174, release #179</t>
        </is>
      </c>
    </row>
    <row r="11">
      <c r="A11" s="20" t="inlineStr">
        <is>
          <t>BPU-07</t>
        </is>
      </c>
      <c r="B11" s="20" t="inlineStr">
        <is>
          <t>Web UI (shop owner)</t>
        </is>
      </c>
      <c r="C11" s="21" t="inlineStr">
        <is>
          <t>Done on Prod</t>
        </is>
      </c>
      <c r="D11" s="20" t="inlineStr">
        <is>
          <t>2026-10-15</t>
        </is>
      </c>
      <c r="E11" s="20" t="inlineStr">
        <is>
          <t>Inventory → Bulk upload (Excel/CSV) tile; /shop/product-import: drag-and-drop, template, help, background check with progress, preview (summary, paginated table, warnings filter, stock mode), import progress, result + report, history, duplicate-file prompt. Checked in a browser locally (screenshots in docs/product-import-2026-10/screenshots). Live on test.gokesari.com 15 Oct: PI-01..PI-15 pass (desktop + phone cards with the Android app agent). Released to gokesari.com 15 Oct 15:58 UTC (PR #179); signed-out prod checks pass.</t>
        </is>
      </c>
      <c r="F11" s="20" t="inlineStr">
        <is>
          <t>PR #173, #174, release #179</t>
        </is>
      </c>
    </row>
    <row r="12">
      <c r="A12" s="20" t="inlineStr">
        <is>
          <t>BPU-08</t>
        </is>
      </c>
      <c r="B12" s="20" t="inlineStr">
        <is>
          <t>Web UI (admin/operator)</t>
        </is>
      </c>
      <c r="C12" s="21" t="inlineStr">
        <is>
          <t>Done on Prod</t>
        </is>
      </c>
      <c r="D12" s="20" t="inlineStr">
        <is>
          <t>2026-10-15</t>
        </is>
      </c>
      <c r="E12" s="20" t="inlineStr">
        <is>
          <t>/admin/product-import with shop picker; tiles under admin Product master and operator Catalogue. Checked locally as admin and operator. Operators' prices go to the owner for approval (existing rule). Live on test.gokesari.com 15 Oct: Admin and operator PS-01..04 pass; operator prices go to the owner, admin prices apply. Released to gokesari.com 15 Oct 15:58 UTC (PR #179); signed-out prod checks pass.</t>
        </is>
      </c>
      <c r="F12" s="20" t="inlineStr">
        <is>
          <t>PR #173, #174, release #179</t>
        </is>
      </c>
    </row>
    <row r="13">
      <c r="A13" s="20" t="inlineStr">
        <is>
          <t>BPU-09</t>
        </is>
      </c>
      <c r="B13" s="20" t="inlineStr">
        <is>
          <t>API</t>
        </is>
      </c>
      <c r="C13" s="21" t="inlineStr">
        <is>
          <t>Done on Prod</t>
        </is>
      </c>
      <c r="D13" s="20" t="inlineStr">
        <is>
          <t>2026-10-15</t>
        </is>
      </c>
      <c r="E13" s="20" t="inlineStr">
        <is>
          <t>8 endpoints under /api/v1 (+ shop picker). Owner = own shops only; operator/admin any shop; audit-logged. Route tests pass. Live on test.gokesari.com 15 Oct: PI-08/PI-09/PI-15 and the staff runs use /api/v1. Released to gokesari.com 15 Oct 15:58 UTC (PR #179); signed-out prod checks pass.</t>
        </is>
      </c>
      <c r="F13" s="20" t="inlineStr">
        <is>
          <t>PR #173, #174, release #179</t>
        </is>
      </c>
    </row>
    <row r="14">
      <c r="A14" s="20" t="inlineStr">
        <is>
          <t>BPU-10</t>
        </is>
      </c>
      <c r="B14" s="20" t="inlineStr">
        <is>
          <t>Android app</t>
        </is>
      </c>
      <c r="C14" s="21" t="inlineStr">
        <is>
          <t>In progress</t>
        </is>
      </c>
      <c r="D14" s="20" t="inlineStr">
        <is>
          <t>2026-10-15</t>
        </is>
      </c>
      <c r="E14" s="20" t="inlineStr">
        <is>
          <t>Version 1.1.0 / versionCode 2. The app shows the website: the upload uses Android's system document picker (Files, Drive, WhatsApp, e-mail attachments). APKs built by the PR's 'Android APK' workflow; Play Store AAB needs EAS (Expo account) - not run. Live on test.gokesari.com 15 Oct: APK run 19 (Android APK workflow) built 1.1.0/versionCode 2; phone-width app agent preview pass (PI-12). System file picker on a real phone not tried; AAB needs EAS.</t>
        </is>
      </c>
      <c r="F14" s="20" t="inlineStr">
        <is>
          <t>PR #173, #174, release #179</t>
        </is>
      </c>
    </row>
    <row r="15">
      <c r="A15" s="20" t="inlineStr">
        <is>
          <t>BPU-11</t>
        </is>
      </c>
      <c r="B15" s="20" t="inlineStr">
        <is>
          <t>iOS app</t>
        </is>
      </c>
      <c r="C15" s="22" t="inlineStr">
        <is>
          <t>Blocked</t>
        </is>
      </c>
      <c r="D15" s="20" t="inlineStr">
        <is>
          <t>2026-10-15</t>
        </is>
      </c>
      <c r="E15" s="20" t="inlineStr">
        <is>
          <t>Code is shared with Android (version 1.1.0 / buildNumber 2; iPhone Files picker). iPhone build/TestFlight runs on EAS and needs EXPO_TOKEN + Apple Developer account - not available to this session.</t>
        </is>
      </c>
      <c r="F15" s="20" t="inlineStr">
        <is>
          <t>PR #173, #174, release #179</t>
        </is>
      </c>
    </row>
    <row r="16">
      <c r="A16" s="20" t="inlineStr">
        <is>
          <t>BPU-12</t>
        </is>
      </c>
      <c r="B16" s="20" t="inlineStr">
        <is>
          <t>Notifications</t>
        </is>
      </c>
      <c r="C16" s="21" t="inlineStr">
        <is>
          <t>Done on Prod</t>
        </is>
      </c>
      <c r="D16" s="20" t="inlineStr">
        <is>
          <t>2026-10-15</t>
        </is>
      </c>
      <c r="E16" s="20" t="inlineStr">
        <is>
          <t>Event shop.product_import_finished (event layer, no cron) to owner and the operator/admin who ran it; in-app + PUSH queued. Push provider not chosen yet (existing gap). Live on test.gokesari.com 15 Oct: PI-14: owner gets 'Bulk product upload finished' in app, also for admin/operator imports. Push: no provider configured. Released to gokesari.com 15 Oct 15:58 UTC (PR #179); signed-out prod checks pass.</t>
        </is>
      </c>
      <c r="F16" s="20" t="inlineStr">
        <is>
          <t>PR #173, #174, release #179</t>
        </is>
      </c>
    </row>
    <row r="17">
      <c r="A17" s="20" t="inlineStr">
        <is>
          <t>BPU-13</t>
        </is>
      </c>
      <c r="B17" s="20" t="inlineStr">
        <is>
          <t>Import history &amp; reports</t>
        </is>
      </c>
      <c r="C17" s="21" t="inlineStr">
        <is>
          <t>Done on Prod</t>
        </is>
      </c>
      <c r="D17" s="20" t="inlineStr">
        <is>
          <t>2026-10-15</t>
        </is>
      </c>
      <c r="E17" s="20" t="inlineStr">
        <is>
          <t>History list; result report XLSX/CSV (original rows + status + messages); file hash duplicate prompt; 90-day retention purge in the daily seller sweep. Live on test.gokesari.com 15 Oct: PI-06 report, PI-07 duplicate prompt, PI-08 history pass. Released to gokesari.com 15 Oct 15:58 UTC (PR #179); signed-out prod checks pass.</t>
        </is>
      </c>
      <c r="F17" s="20" t="inlineStr">
        <is>
          <t>PR #173, #174, release #179</t>
        </is>
      </c>
    </row>
    <row r="18">
      <c r="A18" s="20" t="inlineStr">
        <is>
          <t>BPU-14</t>
        </is>
      </c>
      <c r="B18" s="20" t="inlineStr">
        <is>
          <t>Automated tests</t>
        </is>
      </c>
      <c r="C18" s="21" t="inlineStr">
        <is>
          <t>Done on Prod</t>
        </is>
      </c>
      <c r="D18" s="20" t="inlineStr">
        <is>
          <t>2026-10-15</t>
        </is>
      </c>
      <c r="E18" s="20" t="inlineStr">
        <is>
          <t>Unit 18 + integration 23 + load 1 (5,000 rows: parse ~2 s, import ~95 s locally) pass; full suite run for regressions (see test report). Live on test.gokesari.com 15 Oct: 1,811 tests pass locally; CI green on PR #173; live run 23/23 pass. Released to gokesari.com 15 Oct 15:58 UTC (PR #179); signed-out prod checks pass.</t>
        </is>
      </c>
      <c r="F18" s="20" t="inlineStr">
        <is>
          <t>PR #173, #174, release #179</t>
        </is>
      </c>
    </row>
    <row r="19">
      <c r="A19" s="20" t="inlineStr">
        <is>
          <t>BPU-15</t>
        </is>
      </c>
      <c r="B19" s="20" t="inlineStr">
        <is>
          <t>Test-server deployment</t>
        </is>
      </c>
      <c r="C19" s="22" t="inlineStr">
        <is>
          <t>Done on Prod</t>
        </is>
      </c>
      <c r="D19" s="20" t="inlineStr">
        <is>
          <t>2026-10-15</t>
        </is>
      </c>
      <c r="E19" s="20" t="inlineStr">
        <is>
          <t>PR #173 merged into staging (2886cf3); test.gokesari.com deployed; Test database run 31 confirms 0077 (80 migrations). Live run 23/23 pass. Released to gokesari.com 15 Oct 15:58 UTC (PR #179); signed-out prod checks pass.</t>
        </is>
      </c>
      <c r="F19" s="20" t="inlineStr">
        <is>
          <t>PR #173, #174, release #179</t>
        </is>
      </c>
    </row>
    <row r="20">
      <c r="A20" s="20" t="inlineStr">
        <is>
          <t>BPU-16</t>
        </is>
      </c>
      <c r="B20" s="20" t="inlineStr">
        <is>
          <t>Prod deployment</t>
        </is>
      </c>
      <c r="C20" s="22" t="inlineStr">
        <is>
          <t>Done on Prod</t>
        </is>
      </c>
      <c r="D20" s="20" t="inlineStr">
        <is>
          <t>2026-10-15</t>
        </is>
      </c>
      <c r="E20" s="20" t="inlineStr">
        <is>
          <t>Release PR #179 merged to main (acfaa6a); Hostinger build applied migrations 0076-0078 (MIGRATE_ON_BUILD) and gokesari.com went live 15:58 UTC. Signed-out smoke 13/13 pass. Signed-in import on prod not run (no designated test shop). The Production database workflow needs PROD_DATABASE_HOST / PROD_DATABASE_NAME / TEST_DATABASE_HOST repository variables (owner).</t>
        </is>
      </c>
      <c r="F20" s="20" t="inlineStr">
        <is>
          <t>PR #173, #174, release #179</t>
        </is>
      </c>
    </row>
    <row r="21">
      <c r="A21" s="20" t="inlineStr">
        <is>
          <t>BPU-17</t>
        </is>
      </c>
      <c r="B21" s="20" t="inlineStr">
        <is>
          <t>Testing report</t>
        </is>
      </c>
      <c r="C21" s="21" t="inlineStr">
        <is>
          <t>Done on Prod</t>
        </is>
      </c>
      <c r="D21" s="20" t="inlineStr">
        <is>
          <t>2026-10-15</t>
        </is>
      </c>
      <c r="E21" s="20" t="inlineStr">
        <is>
          <t>Test report md + PDF: Test 23/23 (section 2.7), Prod signed-out 13/13 (section 2.8).</t>
        </is>
      </c>
      <c r="F21" s="20" t="inlineStr">
        <is>
          <t>PR #173, #174, release #179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6"/>
  <sheetViews>
    <sheetView workbookViewId="0">
      <pane ySplit="4" topLeftCell="A5" activePane="bottomLeft" state="frozen"/>
      <selection pane="bottomLeft" activeCell="A1" sqref="A1"/>
    </sheetView>
  </sheetViews>
  <sheetFormatPr baseColWidth="8" defaultRowHeight="15" outlineLevelRow="0"/>
  <cols>
    <col width="10" customWidth="1" min="1" max="1"/>
    <col width="16" customWidth="1" min="2" max="2"/>
    <col width="34" customWidth="1" min="3" max="3"/>
    <col width="60" customWidth="1" min="4" max="4"/>
    <col width="12" customWidth="1" min="5" max="5"/>
    <col width="24" customWidth="1" min="6" max="6"/>
    <col width="11" customWidth="1" min="7" max="7"/>
    <col width="70" customWidth="1" min="8" max="8"/>
    <col width="22" customWidth="1" min="9" max="9"/>
  </cols>
  <sheetData>
    <row r="1">
      <c r="A1" s="18" t="inlineStr">
        <is>
          <t>Inventory &amp; Accounting for shop owners (NEW-067) - feature and sub-feature status</t>
        </is>
      </c>
    </row>
    <row r="2">
      <c r="A2" s="1" t="inlineStr">
        <is>
          <t>Statuses: Not started / In progress / Done / Blocked (dropdown in column E). Done = built, tested and live on gokesari.com (released by #179). Design: docs/inventory-accounting-2026-10/README.md. Tests: docs/inventory-accounting-2026-10/TESTING_REPORT.md and INVENTORY_ACCOUNTING_TEST_REPORT_2026-10-15.xlsx.</t>
        </is>
      </c>
    </row>
    <row r="4">
      <c r="A4" s="19" t="inlineStr">
        <is>
          <t>ID</t>
        </is>
      </c>
      <c r="B4" s="19" t="inlineStr">
        <is>
          <t>Part</t>
        </is>
      </c>
      <c r="C4" s="19" t="inlineStr">
        <is>
          <t>Feature / sub-feature</t>
        </is>
      </c>
      <c r="D4" s="19" t="inlineStr">
        <is>
          <t>What it does</t>
        </is>
      </c>
      <c r="E4" s="19" t="inlineStr">
        <is>
          <t>Status</t>
        </is>
      </c>
      <c r="F4" s="19" t="inlineStr">
        <is>
          <t>Where it runs</t>
        </is>
      </c>
      <c r="G4" s="19" t="inlineStr">
        <is>
          <t>Date</t>
        </is>
      </c>
      <c r="H4" s="19" t="inlineStr">
        <is>
          <t>Notes / blocked on</t>
        </is>
      </c>
      <c r="I4" s="19" t="inlineStr">
        <is>
          <t>PR(s)</t>
        </is>
      </c>
    </row>
    <row r="5" customFormat="1" s="23">
      <c r="A5" s="23" t="inlineStr">
        <is>
          <t>IA-001</t>
        </is>
      </c>
      <c r="B5" s="23" t="inlineStr">
        <is>
          <t>1 Inventory</t>
        </is>
      </c>
      <c r="C5" s="23" t="inlineStr">
        <is>
          <t>Product master per shop</t>
        </is>
      </c>
      <c r="D5" s="23" t="inlineStr">
        <is>
          <t>Listings linked to the gokesari.com master product (MRP, HSN, GST rate, unit, barcode/GTIN); shop-level HSN/GST/price stay per shop</t>
        </is>
      </c>
      <c r="E5" s="24" t="inlineStr">
        <is>
          <t>Done</t>
        </is>
      </c>
      <c r="F5" s="23" t="inlineStr">
        <is>
          <t>Production (gokesari.com) and test</t>
        </is>
      </c>
      <c r="G5" s="23" t="inlineStr">
        <is>
          <t>2026-10-15</t>
        </is>
      </c>
      <c r="H5" s="23" t="inlineStr">
        <is>
          <t>-</t>
        </is>
      </c>
      <c r="I5" s="23" t="inlineStr">
        <is>
          <t>#171, released #179</t>
        </is>
      </c>
    </row>
    <row r="6" customFormat="1" s="23">
      <c r="A6" s="23" t="inlineStr">
        <is>
          <t>IA-002</t>
        </is>
      </c>
      <c r="B6" s="23" t="inlineStr">
        <is>
          <t>1 Inventory</t>
        </is>
      </c>
      <c r="C6" s="23" t="inlineStr">
        <is>
          <t>Stock ledger</t>
        </is>
      </c>
      <c r="D6" s="23" t="inlineStr">
        <is>
          <t>inv_stock_ledger: every movement (opening, purchase, sale, sale return, damage/expiry write-off, adjustment, reversal) with date, source document, qty, cost/rate, user; current stock = sum of the ledger</t>
        </is>
      </c>
      <c r="E6" s="24" t="inlineStr">
        <is>
          <t>Done</t>
        </is>
      </c>
      <c r="F6" s="23" t="inlineStr">
        <is>
          <t>Production (gokesari.com) and test</t>
        </is>
      </c>
      <c r="G6" s="23" t="inlineStr">
        <is>
          <t>2026-10-15</t>
        </is>
      </c>
      <c r="H6" s="23" t="inlineStr">
        <is>
          <t>-</t>
        </is>
      </c>
      <c r="I6" s="23" t="inlineStr">
        <is>
          <t>#171, released #179</t>
        </is>
      </c>
    </row>
    <row r="7" customFormat="1" s="23">
      <c r="A7" s="23" t="inlineStr">
        <is>
          <t>IA-003</t>
        </is>
      </c>
      <c r="B7" s="23" t="inlineStr">
        <is>
          <t>1 Inventory</t>
        </is>
      </c>
      <c r="C7" s="23" t="inlineStr">
        <is>
          <t>Online orders reduce stock in real time</t>
        </is>
      </c>
      <c r="D7" s="23" t="inlineStr">
        <is>
          <t>DB triggers on shop_products / inventory_movements write the ledger row in the checkout / cancellation / subscription / catalogue transaction (event-driven, no cron, existing code unchanged)</t>
        </is>
      </c>
      <c r="E7" s="24" t="inlineStr">
        <is>
          <t>Done</t>
        </is>
      </c>
      <c r="F7" s="23" t="inlineStr">
        <is>
          <t>Production (gokesari.com) and test</t>
        </is>
      </c>
      <c r="G7" s="23" t="inlineStr">
        <is>
          <t>2026-10-15</t>
        </is>
      </c>
      <c r="H7" s="23" t="inlineStr">
        <is>
          <t>Verified on test.gokesari.com with a real customer order (stock 199 → 198, SALE row with the order id) and its cancellation; a cancellation is labelled SALE_RETURN since migration 0078 (found in staging testing)</t>
        </is>
      </c>
      <c r="I7" s="23" t="inlineStr">
        <is>
          <t>#171, #172 (0078), released #179</t>
        </is>
      </c>
    </row>
    <row r="8" customFormat="1" s="23">
      <c r="A8" s="23" t="inlineStr">
        <is>
          <t>IA-004</t>
        </is>
      </c>
      <c r="B8" s="23" t="inlineStr">
        <is>
          <t>1 Inventory</t>
        </is>
      </c>
      <c r="C8" s="23" t="inlineStr">
        <is>
          <t>Opening balance backfill</t>
        </is>
      </c>
      <c r="D8" s="23" t="inlineStr">
        <is>
          <t>Migration 0076 writes today's stock of every listing as OPENING so ledger = stock from day one; drift check on the stock page</t>
        </is>
      </c>
      <c r="E8" s="24" t="inlineStr">
        <is>
          <t>Done</t>
        </is>
      </c>
      <c r="F8" s="23" t="inlineStr">
        <is>
          <t>Production (gokesari.com) and test</t>
        </is>
      </c>
      <c r="G8" s="23" t="inlineStr">
        <is>
          <t>2026-10-15</t>
        </is>
      </c>
      <c r="H8" s="23" t="inlineStr">
        <is>
          <t>-</t>
        </is>
      </c>
      <c r="I8" s="23" t="inlineStr">
        <is>
          <t>#171, released #179</t>
        </is>
      </c>
    </row>
    <row r="9" customFormat="1" s="23">
      <c r="A9" s="23" t="inlineStr">
        <is>
          <t>IA-005</t>
        </is>
      </c>
      <c r="B9" s="23" t="inlineStr">
        <is>
          <t>1 Inventory</t>
        </is>
      </c>
      <c r="C9" s="23" t="inlineStr">
        <is>
          <t>Batch &amp; expiry tracking</t>
        </is>
      </c>
      <c r="D9" s="23" t="inlineStr">
        <is>
          <t>Per listing (auto-on when a bill has batch numbers); FEFO batch balances; expiring-soon list with alert window setting</t>
        </is>
      </c>
      <c r="E9" s="24" t="inlineStr">
        <is>
          <t>Done</t>
        </is>
      </c>
      <c r="F9" s="23" t="inlineStr">
        <is>
          <t>Production (gokesari.com) and test</t>
        </is>
      </c>
      <c r="G9" s="23" t="inlineStr">
        <is>
          <t>2026-10-15</t>
        </is>
      </c>
      <c r="H9" s="23" t="inlineStr">
        <is>
          <t>-</t>
        </is>
      </c>
      <c r="I9" s="23" t="inlineStr">
        <is>
          <t>#171, released #179</t>
        </is>
      </c>
    </row>
    <row r="10" customFormat="1" s="23">
      <c r="A10" s="23" t="inlineStr">
        <is>
          <t>IA-006</t>
        </is>
      </c>
      <c r="B10" s="23" t="inlineStr">
        <is>
          <t>1 Inventory</t>
        </is>
      </c>
      <c r="C10" s="23" t="inlineStr">
        <is>
          <t>Low stock / reorder level</t>
        </is>
      </c>
      <c r="D10" s="23" t="inlineStr">
        <is>
          <t>Existing per-shop thresholds and stock alerts reused; purchases and write-offs re-evaluate alerts</t>
        </is>
      </c>
      <c r="E10" s="24" t="inlineStr">
        <is>
          <t>Done</t>
        </is>
      </c>
      <c r="F10" s="23" t="inlineStr">
        <is>
          <t>Production (gokesari.com) and test</t>
        </is>
      </c>
      <c r="G10" s="23" t="inlineStr">
        <is>
          <t>2026-10-15</t>
        </is>
      </c>
      <c r="H10" s="23" t="inlineStr">
        <is>
          <t>-</t>
        </is>
      </c>
      <c r="I10" s="23" t="inlineStr">
        <is>
          <t>#171, released #179</t>
        </is>
      </c>
    </row>
    <row r="11" customFormat="1" s="23">
      <c r="A11" s="23" t="inlineStr">
        <is>
          <t>IA-007</t>
        </is>
      </c>
      <c r="B11" s="23" t="inlineStr">
        <is>
          <t>1 Inventory</t>
        </is>
      </c>
      <c r="C11" s="23" t="inlineStr">
        <is>
          <t>Stock valuation FIFO / weighted average</t>
        </is>
      </c>
      <c r="D11" s="23" t="inlineStr">
        <is>
          <t>Selectable per shop; reversals take back exactly the reversed cost; uncosted opening stock valued at last purchase rate and reported</t>
        </is>
      </c>
      <c r="E11" s="24" t="inlineStr">
        <is>
          <t>Done</t>
        </is>
      </c>
      <c r="F11" s="23" t="inlineStr">
        <is>
          <t>Production (gokesari.com) and test</t>
        </is>
      </c>
      <c r="G11" s="23" t="inlineStr">
        <is>
          <t>2026-10-15</t>
        </is>
      </c>
      <c r="H11" s="23" t="inlineStr">
        <is>
          <t>-</t>
        </is>
      </c>
      <c r="I11" s="23" t="inlineStr">
        <is>
          <t>#171, released #179</t>
        </is>
      </c>
    </row>
    <row r="12" customFormat="1" s="23">
      <c r="A12" s="23" t="inlineStr">
        <is>
          <t>IA-008</t>
        </is>
      </c>
      <c r="B12" s="23" t="inlineStr">
        <is>
          <t>1 Inventory</t>
        </is>
      </c>
      <c r="C12" s="23" t="inlineStr">
        <is>
          <t>Loose goods &amp; unit conversions</t>
        </is>
      </c>
      <c r="D12" s="23" t="inlineStr">
        <is>
          <t>kg/g/L/ml/piece/dozen, UQC codes, Hindi/Marathi unit words; owner-saved conversions (1 case = 24); fractional quantities exact in the ledger</t>
        </is>
      </c>
      <c r="E12" s="24" t="inlineStr">
        <is>
          <t>Done</t>
        </is>
      </c>
      <c r="F12" s="23" t="inlineStr">
        <is>
          <t>Production (gokesari.com) and test</t>
        </is>
      </c>
      <c r="G12" s="23" t="inlineStr">
        <is>
          <t>2026-10-15</t>
        </is>
      </c>
      <c r="H12" s="23" t="inlineStr">
        <is>
          <t>-</t>
        </is>
      </c>
      <c r="I12" s="23" t="inlineStr">
        <is>
          <t>#171, released #179</t>
        </is>
      </c>
    </row>
    <row r="13" customFormat="1" s="23">
      <c r="A13" s="23" t="inlineStr">
        <is>
          <t>IA-009</t>
        </is>
      </c>
      <c r="B13" s="23" t="inlineStr">
        <is>
          <t>1 Inventory</t>
        </is>
      </c>
      <c r="C13" s="23" t="inlineStr">
        <is>
          <t>Write-off and physical count</t>
        </is>
      </c>
      <c r="D13" s="23" t="inlineStr">
        <is>
          <t>Damage / expiry write-off at cost (P&amp;L line); physical count posts the difference as an adjustment</t>
        </is>
      </c>
      <c r="E13" s="24" t="inlineStr">
        <is>
          <t>Done</t>
        </is>
      </c>
      <c r="F13" s="23" t="inlineStr">
        <is>
          <t>Production (gokesari.com) and test</t>
        </is>
      </c>
      <c r="G13" s="23" t="inlineStr">
        <is>
          <t>2026-10-15</t>
        </is>
      </c>
      <c r="H13" s="23" t="inlineStr">
        <is>
          <t>-</t>
        </is>
      </c>
      <c r="I13" s="23" t="inlineStr">
        <is>
          <t>#171, released #179</t>
        </is>
      </c>
    </row>
    <row r="14" customFormat="1" s="23">
      <c r="A14" s="23" t="inlineStr">
        <is>
          <t>IA-010</t>
        </is>
      </c>
      <c r="B14" s="23" t="inlineStr">
        <is>
          <t>2 Accounting</t>
        </is>
      </c>
      <c r="C14" s="23" t="inlineStr">
        <is>
          <t>Purchase register</t>
        </is>
      </c>
      <c r="D14" s="23" t="inlineStr">
        <is>
          <t>Confirmed bills, versions, cancellations; month filter</t>
        </is>
      </c>
      <c r="E14" s="24" t="inlineStr">
        <is>
          <t>Done</t>
        </is>
      </c>
      <c r="F14" s="23" t="inlineStr">
        <is>
          <t>Production (gokesari.com) and test</t>
        </is>
      </c>
      <c r="G14" s="23" t="inlineStr">
        <is>
          <t>2026-10-15</t>
        </is>
      </c>
      <c r="H14" s="23" t="inlineStr">
        <is>
          <t>-</t>
        </is>
      </c>
      <c r="I14" s="23" t="inlineStr">
        <is>
          <t>#171, released #179</t>
        </is>
      </c>
    </row>
    <row r="15" customFormat="1" s="23">
      <c r="A15" s="23" t="inlineStr">
        <is>
          <t>IA-011</t>
        </is>
      </c>
      <c r="B15" s="23" t="inlineStr">
        <is>
          <t>2 Accounting</t>
        </is>
      </c>
      <c r="C15" s="23" t="inlineStr">
        <is>
          <t>Sales register</t>
        </is>
      </c>
      <c r="D15" s="23" t="inlineStr">
        <is>
          <t>Own GST invoices plus GoKesari order tax invoices</t>
        </is>
      </c>
      <c r="E15" s="24" t="inlineStr">
        <is>
          <t>Done</t>
        </is>
      </c>
      <c r="F15" s="23" t="inlineStr">
        <is>
          <t>Production (gokesari.com) and test</t>
        </is>
      </c>
      <c r="G15" s="23" t="inlineStr">
        <is>
          <t>2026-10-15</t>
        </is>
      </c>
      <c r="H15" s="23" t="inlineStr">
        <is>
          <t>-</t>
        </is>
      </c>
      <c r="I15" s="23" t="inlineStr">
        <is>
          <t>#171, released #179</t>
        </is>
      </c>
    </row>
    <row r="16" customFormat="1" s="23">
      <c r="A16" s="23" t="inlineStr">
        <is>
          <t>IA-012</t>
        </is>
      </c>
      <c r="B16" s="23" t="inlineStr">
        <is>
          <t>2 Accounting</t>
        </is>
      </c>
      <c r="C16" s="23" t="inlineStr">
        <is>
          <t>Supplier &amp; customer ledgers</t>
        </is>
      </c>
      <c r="D16" s="23" t="inlineStr">
        <is>
          <t>Parties with GSTIN, credit days, opening balance; running-balance ledger from the books</t>
        </is>
      </c>
      <c r="E16" s="24" t="inlineStr">
        <is>
          <t>Done</t>
        </is>
      </c>
      <c r="F16" s="23" t="inlineStr">
        <is>
          <t>Production (gokesari.com) and test</t>
        </is>
      </c>
      <c r="G16" s="23" t="inlineStr">
        <is>
          <t>2026-10-15</t>
        </is>
      </c>
      <c r="H16" s="23" t="inlineStr">
        <is>
          <t>-</t>
        </is>
      </c>
      <c r="I16" s="23" t="inlineStr">
        <is>
          <t>#171, released #179</t>
        </is>
      </c>
    </row>
    <row r="17" customFormat="1" s="23">
      <c r="A17" s="23" t="inlineStr">
        <is>
          <t>IA-013</t>
        </is>
      </c>
      <c r="B17" s="23" t="inlineStr">
        <is>
          <t>2 Accounting</t>
        </is>
      </c>
      <c r="C17" s="23" t="inlineStr">
        <is>
          <t>Cash / bank book</t>
        </is>
      </c>
      <c r="D17" s="23" t="inlineStr">
        <is>
          <t>Opening, in, out, closing, running balance</t>
        </is>
      </c>
      <c r="E17" s="24" t="inlineStr">
        <is>
          <t>Done</t>
        </is>
      </c>
      <c r="F17" s="23" t="inlineStr">
        <is>
          <t>Production (gokesari.com) and test</t>
        </is>
      </c>
      <c r="G17" s="23" t="inlineStr">
        <is>
          <t>2026-10-15</t>
        </is>
      </c>
      <c r="H17" s="23" t="inlineStr">
        <is>
          <t>-</t>
        </is>
      </c>
      <c r="I17" s="23" t="inlineStr">
        <is>
          <t>#171, released #179</t>
        </is>
      </c>
    </row>
    <row r="18" customFormat="1" s="23">
      <c r="A18" s="23" t="inlineStr">
        <is>
          <t>IA-014</t>
        </is>
      </c>
      <c r="B18" s="23" t="inlineStr">
        <is>
          <t>2 Accounting</t>
        </is>
      </c>
      <c r="C18" s="23" t="inlineStr">
        <is>
          <t>Expenses</t>
        </is>
      </c>
      <c r="D18" s="23" t="inlineStr">
        <is>
          <t>Categories, claimable GST, cash/bank/credit, cancel with reason</t>
        </is>
      </c>
      <c r="E18" s="24" t="inlineStr">
        <is>
          <t>Done</t>
        </is>
      </c>
      <c r="F18" s="23" t="inlineStr">
        <is>
          <t>Production (gokesari.com) and test</t>
        </is>
      </c>
      <c r="G18" s="23" t="inlineStr">
        <is>
          <t>2026-10-15</t>
        </is>
      </c>
      <c r="H18" s="23" t="inlineStr">
        <is>
          <t>-</t>
        </is>
      </c>
      <c r="I18" s="23" t="inlineStr">
        <is>
          <t>#171, released #179</t>
        </is>
      </c>
    </row>
    <row r="19" customFormat="1" s="23">
      <c r="A19" s="23" t="inlineStr">
        <is>
          <t>IA-015</t>
        </is>
      </c>
      <c r="B19" s="23" t="inlineStr">
        <is>
          <t>2 Accounting</t>
        </is>
      </c>
      <c r="C19" s="23" t="inlineStr">
        <is>
          <t>Payables / receivables with ageing</t>
        </is>
      </c>
      <c r="D19" s="23" t="inlineStr">
        <is>
          <t>0-30 / 31-60 / 61-90 / 90+ by due date; payments applied to the named bill, then oldest first</t>
        </is>
      </c>
      <c r="E19" s="24" t="inlineStr">
        <is>
          <t>Done</t>
        </is>
      </c>
      <c r="F19" s="23" t="inlineStr">
        <is>
          <t>Production (gokesari.com) and test</t>
        </is>
      </c>
      <c r="G19" s="23" t="inlineStr">
        <is>
          <t>2026-10-15</t>
        </is>
      </c>
      <c r="H19" s="23" t="inlineStr">
        <is>
          <t>-</t>
        </is>
      </c>
      <c r="I19" s="23" t="inlineStr">
        <is>
          <t>#171, released #179</t>
        </is>
      </c>
    </row>
    <row r="20" customFormat="1" s="23">
      <c r="A20" s="23" t="inlineStr">
        <is>
          <t>IA-016</t>
        </is>
      </c>
      <c r="B20" s="23" t="inlineStr">
        <is>
          <t>2 Accounting</t>
        </is>
      </c>
      <c r="C20" s="23" t="inlineStr">
        <is>
          <t>Double-entry books</t>
        </is>
      </c>
      <c r="D20" s="23" t="inlineStr">
        <is>
          <t>Balanced vouchers, append-only, reversing vouchers for corrections and cancellations; trial balance</t>
        </is>
      </c>
      <c r="E20" s="24" t="inlineStr">
        <is>
          <t>Done</t>
        </is>
      </c>
      <c r="F20" s="23" t="inlineStr">
        <is>
          <t>Production (gokesari.com) and test</t>
        </is>
      </c>
      <c r="G20" s="23" t="inlineStr">
        <is>
          <t>2026-10-15</t>
        </is>
      </c>
      <c r="H20" s="23" t="inlineStr">
        <is>
          <t>-</t>
        </is>
      </c>
      <c r="I20" s="23" t="inlineStr">
        <is>
          <t>#171, released #179</t>
        </is>
      </c>
    </row>
    <row r="21" customFormat="1" s="23">
      <c r="A21" s="23" t="inlineStr">
        <is>
          <t>IA-017</t>
        </is>
      </c>
      <c r="B21" s="23" t="inlineStr">
        <is>
          <t>2 Accounting</t>
        </is>
      </c>
      <c r="C21" s="23" t="inlineStr">
        <is>
          <t>GST sales invoice (CGST/SGST/IGST by place of supply)</t>
        </is>
      </c>
      <c r="D21" s="23" t="inlineStr">
        <is>
          <t>Rule-46 fields, numbering per FY, GST-inclusive pricing option, PDF, cancel</t>
        </is>
      </c>
      <c r="E21" s="24" t="inlineStr">
        <is>
          <t>Done</t>
        </is>
      </c>
      <c r="F21" s="23" t="inlineStr">
        <is>
          <t>Production (gokesari.com) and test</t>
        </is>
      </c>
      <c r="G21" s="23" t="inlineStr">
        <is>
          <t>2026-10-15</t>
        </is>
      </c>
      <c r="H21" s="23" t="inlineStr">
        <is>
          <t>-</t>
        </is>
      </c>
      <c r="I21" s="23" t="inlineStr">
        <is>
          <t>#171, released #179</t>
        </is>
      </c>
    </row>
    <row r="22" customFormat="1" s="23">
      <c r="A22" s="23" t="inlineStr">
        <is>
          <t>IA-018</t>
        </is>
      </c>
      <c r="B22" s="23" t="inlineStr">
        <is>
          <t>2 Accounting</t>
        </is>
      </c>
      <c r="C22" s="23" t="inlineStr">
        <is>
          <t>Reports: P&amp;L, stock summary, day book, GST summary, registers</t>
        </is>
      </c>
      <c r="D22" s="23" t="inlineStr">
        <is>
          <t>Perpetual COGS, write-offs, expenses net of GST</t>
        </is>
      </c>
      <c r="E22" s="24" t="inlineStr">
        <is>
          <t>Done</t>
        </is>
      </c>
      <c r="F22" s="23" t="inlineStr">
        <is>
          <t>Production (gokesari.com) and test</t>
        </is>
      </c>
      <c r="G22" s="23" t="inlineStr">
        <is>
          <t>2026-10-15</t>
        </is>
      </c>
      <c r="H22" s="23" t="inlineStr">
        <is>
          <t>-</t>
        </is>
      </c>
      <c r="I22" s="23" t="inlineStr">
        <is>
          <t>#171, released #179</t>
        </is>
      </c>
    </row>
    <row r="23" customFormat="1" s="23">
      <c r="A23" s="23" t="inlineStr">
        <is>
          <t>IA-019</t>
        </is>
      </c>
      <c r="B23" s="23" t="inlineStr">
        <is>
          <t>2 Accounting</t>
        </is>
      </c>
      <c r="C23" s="23" t="inlineStr">
        <is>
          <t>Export Excel / PDF / Tally XML</t>
        </is>
      </c>
      <c r="D23" s="23" t="inlineStr">
        <is>
          <t>Every report as xlsx and PDF; Tally import XML with party masters (GSTIN) and vouchers</t>
        </is>
      </c>
      <c r="E23" s="24" t="inlineStr">
        <is>
          <t>Done</t>
        </is>
      </c>
      <c r="F23" s="23" t="inlineStr">
        <is>
          <t>Production (gokesari.com) and test</t>
        </is>
      </c>
      <c r="G23" s="23" t="inlineStr">
        <is>
          <t>2026-10-15</t>
        </is>
      </c>
      <c r="H23" s="23" t="inlineStr">
        <is>
          <t>Tally import to be confirmed on the shop's own TallyPrime</t>
        </is>
      </c>
      <c r="I23" s="23" t="inlineStr">
        <is>
          <t>#171, released #179</t>
        </is>
      </c>
    </row>
    <row r="24" customFormat="1" s="23">
      <c r="A24" s="23" t="inlineStr">
        <is>
          <t>IA-020</t>
        </is>
      </c>
      <c r="B24" s="23" t="inlineStr">
        <is>
          <t>3 GST portal</t>
        </is>
      </c>
      <c r="C24" s="23" t="inlineStr">
        <is>
          <t>Link GSTIN once (consent + OTP)</t>
        </is>
      </c>
      <c r="D24" s="23" t="inlineStr">
        <is>
          <t>Consent text recorded, portal username, OTP, token stored encrypted, unlink</t>
        </is>
      </c>
      <c r="E24" s="24" t="inlineStr">
        <is>
          <t>Done</t>
        </is>
      </c>
      <c r="F24" s="23" t="inlineStr">
        <is>
          <t>Production (gokesari.com) and test</t>
        </is>
      </c>
      <c r="G24" s="23" t="inlineStr">
        <is>
          <t>2026-10-15</t>
        </is>
      </c>
      <c r="H24" s="23" t="inlineStr">
        <is>
          <t>Consent + username + OTP through the GSP adapter; refused on production (no licensed GSP, IA-022). On test.gokesari.com blocked by the encryption key format (IA-056) — tokens are never stored unencrypted. Passes in the integration tests (mock GSP)</t>
        </is>
      </c>
      <c r="I24" s="23" t="inlineStr">
        <is>
          <t>#171, released #179</t>
        </is>
      </c>
    </row>
    <row r="25" customFormat="1" s="23">
      <c r="A25" s="23" t="inlineStr">
        <is>
          <t>IA-021</t>
        </is>
      </c>
      <c r="B25" s="23" t="inlineStr">
        <is>
          <t>3 GST portal</t>
        </is>
      </c>
      <c r="C25" s="23" t="inlineStr">
        <is>
          <t>Pluggable GSP adapter</t>
        </is>
      </c>
      <c r="D25" s="23" t="inlineStr">
        <is>
          <t>GST_RETURNS_PROVIDER: none / mock / GSP slots (masters_india, cleartax, iris, tally_gsp, vayana)</t>
        </is>
      </c>
      <c r="E25" s="24" t="inlineStr">
        <is>
          <t>Done</t>
        </is>
      </c>
      <c r="F25" s="23" t="inlineStr">
        <is>
          <t>Production (gokesari.com) and test</t>
        </is>
      </c>
      <c r="G25" s="23" t="inlineStr">
        <is>
          <t>2026-10-15</t>
        </is>
      </c>
      <c r="H25" s="23" t="inlineStr">
        <is>
          <t>-</t>
        </is>
      </c>
      <c r="I25" s="23" t="inlineStr">
        <is>
          <t>#171, released #179</t>
        </is>
      </c>
    </row>
    <row r="26" customFormat="1" s="23">
      <c r="A26" s="23" t="inlineStr">
        <is>
          <t>IA-022</t>
        </is>
      </c>
      <c r="B26" s="23" t="inlineStr">
        <is>
          <t>3 GST portal</t>
        </is>
      </c>
      <c r="C26" s="23" t="inlineStr">
        <is>
          <t>Licensed GSP live connection</t>
        </is>
      </c>
      <c r="D26" s="23" t="inlineStr">
        <is>
          <t>Real GSTR-2B/2A/1 pull from the GST system</t>
        </is>
      </c>
      <c r="E26" s="25" t="inlineStr">
        <is>
          <t>Blocked</t>
        </is>
      </c>
      <c r="F26" s="23" t="inlineStr">
        <is>
          <t>Code on production; waits on the item in Notes</t>
        </is>
      </c>
      <c r="G26" s="23" t="inlineStr">
        <is>
          <t>2026-10-15</t>
        </is>
      </c>
      <c r="H26" s="23" t="inlineStr">
        <is>
          <t>Needs a GSP contract and API credentials chosen by the owner; until then the manual upload works on gokesari.com</t>
        </is>
      </c>
      <c r="I26" s="23" t="inlineStr">
        <is>
          <t>#171, released #179</t>
        </is>
      </c>
    </row>
    <row r="27" customFormat="1" s="23">
      <c r="A27" s="23" t="inlineStr">
        <is>
          <t>IA-023</t>
        </is>
      </c>
      <c r="B27" s="23" t="inlineStr">
        <is>
          <t>3 GST portal</t>
        </is>
      </c>
      <c r="C27" s="23" t="inlineStr">
        <is>
          <t>Pull GSTR-2B / 2A / GSTR-1 (API)</t>
        </is>
      </c>
      <c r="D27" s="23" t="inlineStr">
        <is>
          <t>Through the configured adapter; mock on test.gokesari.com</t>
        </is>
      </c>
      <c r="E27" s="24" t="inlineStr">
        <is>
          <t>Done</t>
        </is>
      </c>
      <c r="F27" s="23" t="inlineStr">
        <is>
          <t>Production (gokesari.com) and test</t>
        </is>
      </c>
      <c r="G27" s="23" t="inlineStr">
        <is>
          <t>2026-10-15</t>
        </is>
      </c>
      <c r="H27" s="23" t="inlineStr">
        <is>
          <t>Live only with a GSP (IA-022); on test blocked by IA-056. Passes in the integration tests (mock GSP, OTP 575757)</t>
        </is>
      </c>
      <c r="I27" s="23" t="inlineStr">
        <is>
          <t>#171, released #179</t>
        </is>
      </c>
    </row>
    <row r="28" customFormat="1" s="23">
      <c r="A28" s="23" t="inlineStr">
        <is>
          <t>IA-024</t>
        </is>
      </c>
      <c r="B28" s="23" t="inlineStr">
        <is>
          <t>3 GST portal</t>
        </is>
      </c>
      <c r="C28" s="23" t="inlineStr">
        <is>
          <t>Manual fallback: upload GSTR-2B JSON / Excel</t>
        </is>
      </c>
      <c r="D28" s="23" t="inlineStr">
        <is>
          <t>GSTR-2B JSON (both shapes), GSTR-2A, GSTR-1 JSON, GSTR-2B Excel with merged headers</t>
        </is>
      </c>
      <c r="E28" s="24" t="inlineStr">
        <is>
          <t>Done</t>
        </is>
      </c>
      <c r="F28" s="23" t="inlineStr">
        <is>
          <t>Production (gokesari.com) and test</t>
        </is>
      </c>
      <c r="G28" s="23" t="inlineStr">
        <is>
          <t>2026-10-15</t>
        </is>
      </c>
      <c r="H28" s="23" t="inlineStr">
        <is>
          <t>-</t>
        </is>
      </c>
      <c r="I28" s="23" t="inlineStr">
        <is>
          <t>#171, released #179</t>
        </is>
      </c>
    </row>
    <row r="29" customFormat="1" s="23">
      <c r="A29" s="23" t="inlineStr">
        <is>
          <t>IA-025</t>
        </is>
      </c>
      <c r="B29" s="23" t="inlineStr">
        <is>
          <t>3 GST portal</t>
        </is>
      </c>
      <c r="C29" s="23" t="inlineStr">
        <is>
          <t>Reconciliation</t>
        </is>
      </c>
      <c r="D29" s="23" t="inlineStr">
        <is>
          <t>Supplier GSTIN + invoice no. + date + amount; matched, amount mismatch, missing in books, missing on portal; ITC status updated</t>
        </is>
      </c>
      <c r="E29" s="24" t="inlineStr">
        <is>
          <t>Done</t>
        </is>
      </c>
      <c r="F29" s="23" t="inlineStr">
        <is>
          <t>Production (gokesari.com) and test</t>
        </is>
      </c>
      <c r="G29" s="23" t="inlineStr">
        <is>
          <t>2026-10-15</t>
        </is>
      </c>
      <c r="H29" s="23" t="inlineStr">
        <is>
          <t>-</t>
        </is>
      </c>
      <c r="I29" s="23" t="inlineStr">
        <is>
          <t>#171, released #179</t>
        </is>
      </c>
    </row>
    <row r="30" customFormat="1" s="23">
      <c r="A30" s="23" t="inlineStr">
        <is>
          <t>IA-026</t>
        </is>
      </c>
      <c r="B30" s="23" t="inlineStr">
        <is>
          <t>3 GST portal</t>
        </is>
      </c>
      <c r="C30" s="23" t="inlineStr">
        <is>
          <t>GST liability dashboard (month / quarter)</t>
        </is>
      </c>
      <c r="D30" s="23" t="inlineStr">
        <is>
          <t>Output - reconciled ITC = net payable per CGST/SGST/IGST/cess with the legal set-off order and carry forward; pending ITC shown separately</t>
        </is>
      </c>
      <c r="E30" s="24" t="inlineStr">
        <is>
          <t>Done</t>
        </is>
      </c>
      <c r="F30" s="23" t="inlineStr">
        <is>
          <t>Production (gokesari.com) and test</t>
        </is>
      </c>
      <c r="G30" s="23" t="inlineStr">
        <is>
          <t>2026-10-15</t>
        </is>
      </c>
      <c r="H30" s="23" t="inlineStr">
        <is>
          <t>-</t>
        </is>
      </c>
      <c r="I30" s="23" t="inlineStr">
        <is>
          <t>#171, released #179</t>
        </is>
      </c>
    </row>
    <row r="31" customFormat="1" s="23">
      <c r="A31" s="23" t="inlineStr">
        <is>
          <t>IA-027</t>
        </is>
      </c>
      <c r="B31" s="23" t="inlineStr">
        <is>
          <t>3 GST portal</t>
        </is>
      </c>
      <c r="C31" s="23" t="inlineStr">
        <is>
          <t>Due dates and reminders</t>
        </is>
      </c>
      <c r="D31" s="23" t="inlineStr">
        <is>
          <t>Monthly / QRMP due dates (GSTR-1, GSTR-3B, PMT-06); daily reminder cron, one reminder per return and period</t>
        </is>
      </c>
      <c r="E31" s="24" t="inlineStr">
        <is>
          <t>Done</t>
        </is>
      </c>
      <c r="F31" s="23" t="inlineStr">
        <is>
          <t>Production (gokesari.com) and test</t>
        </is>
      </c>
      <c r="G31" s="23" t="inlineStr">
        <is>
          <t>2026-10-15</t>
        </is>
      </c>
      <c r="H31" s="23" t="inlineStr">
        <is>
          <t>Owner to schedule /api/cron/gst-reminders on the server (see README)</t>
        </is>
      </c>
      <c r="I31" s="23" t="inlineStr">
        <is>
          <t>#171, released #179</t>
        </is>
      </c>
    </row>
    <row r="32" customFormat="1" s="23">
      <c r="A32" s="23" t="inlineStr">
        <is>
          <t>IA-028</t>
        </is>
      </c>
      <c r="B32" s="23" t="inlineStr">
        <is>
          <t>3 GST portal</t>
        </is>
      </c>
      <c r="C32" s="23" t="inlineStr">
        <is>
          <t>Estimates only, no filing</t>
        </is>
      </c>
      <c r="D32" s="23" t="inlineStr">
        <is>
          <t>'Verify with your CA before filing' on every GST figure; nothing is filed</t>
        </is>
      </c>
      <c r="E32" s="24" t="inlineStr">
        <is>
          <t>Done</t>
        </is>
      </c>
      <c r="F32" s="23" t="inlineStr">
        <is>
          <t>Production (gokesari.com) and test</t>
        </is>
      </c>
      <c r="G32" s="23" t="inlineStr">
        <is>
          <t>2026-10-15</t>
        </is>
      </c>
      <c r="H32" s="23" t="inlineStr">
        <is>
          <t>-</t>
        </is>
      </c>
      <c r="I32" s="23" t="inlineStr">
        <is>
          <t>#171, released #179</t>
        </is>
      </c>
    </row>
    <row r="33" customFormat="1" s="23">
      <c r="A33" s="23" t="inlineStr">
        <is>
          <t>IA-029</t>
        </is>
      </c>
      <c r="B33" s="23" t="inlineStr">
        <is>
          <t>4 Soft copy</t>
        </is>
      </c>
      <c r="C33" s="23" t="inlineStr">
        <is>
          <t>Upload PDF / photo / Excel / e-invoice JSON</t>
        </is>
      </c>
      <c r="D33" s="23" t="inlineStr">
        <is>
          <t>Up to 10 files, sniffed types, progress bar for slow networks</t>
        </is>
      </c>
      <c r="E33" s="24" t="inlineStr">
        <is>
          <t>Done</t>
        </is>
      </c>
      <c r="F33" s="23" t="inlineStr">
        <is>
          <t>Production (gokesari.com) and test</t>
        </is>
      </c>
      <c r="G33" s="23" t="inlineStr">
        <is>
          <t>2026-10-15</t>
        </is>
      </c>
      <c r="H33" s="23" t="inlineStr">
        <is>
          <t>-</t>
        </is>
      </c>
      <c r="I33" s="23" t="inlineStr">
        <is>
          <t>#171, released #179</t>
        </is>
      </c>
    </row>
    <row r="34" customFormat="1" s="23">
      <c r="A34" s="23" t="inlineStr">
        <is>
          <t>IA-030</t>
        </is>
      </c>
      <c r="B34" s="23" t="inlineStr">
        <is>
          <t>4 Soft copy</t>
        </is>
      </c>
      <c r="C34" s="23" t="inlineStr">
        <is>
          <t>Share to app (WhatsApp / email / Files)</t>
        </is>
      </c>
      <c r="D34" s="23" t="inlineStr">
        <is>
          <t>PWA share target: installed site on Android receives shared bills</t>
        </is>
      </c>
      <c r="E34" s="24" t="inlineStr">
        <is>
          <t>Done</t>
        </is>
      </c>
      <c r="F34" s="23" t="inlineStr">
        <is>
          <t>Production (gokesari.com) and test</t>
        </is>
      </c>
      <c r="G34" s="23" t="inlineStr">
        <is>
          <t>2026-10-15</t>
        </is>
      </c>
      <c r="H34" s="23" t="inlineStr">
        <is>
          <t>-</t>
        </is>
      </c>
      <c r="I34" s="23" t="inlineStr">
        <is>
          <t>#171, released #179</t>
        </is>
      </c>
    </row>
    <row r="35" customFormat="1" s="23">
      <c r="A35" s="23" t="inlineStr">
        <is>
          <t>IA-031</t>
        </is>
      </c>
      <c r="B35" s="23" t="inlineStr">
        <is>
          <t>4 Soft copy</t>
        </is>
      </c>
      <c r="C35" s="23" t="inlineStr">
        <is>
          <t>Share straight into the native Android/iOS app</t>
        </is>
      </c>
      <c r="D35" s="23" t="inlineStr">
        <is>
          <t>Native share-intent module + new store build</t>
        </is>
      </c>
      <c r="E35" s="25" t="inlineStr">
        <is>
          <t>Blocked</t>
        </is>
      </c>
      <c r="F35" s="23" t="inlineStr">
        <is>
          <t>Code on production; waits on the item in Notes</t>
        </is>
      </c>
      <c r="G35" s="23" t="inlineStr">
        <is>
          <t>2026-10-15</t>
        </is>
      </c>
      <c r="H35" s="23" t="inlineStr">
        <is>
          <t>Needs a native share-intent module and an EAS store build tested on a device; share to the installed website or forward by email meanwhile</t>
        </is>
      </c>
      <c r="I35" s="23" t="inlineStr">
        <is>
          <t>#171, released #179</t>
        </is>
      </c>
    </row>
    <row r="36" customFormat="1" s="23">
      <c r="A36" s="23" t="inlineStr">
        <is>
          <t>IA-032</t>
        </is>
      </c>
      <c r="B36" s="23" t="inlineStr">
        <is>
          <t>4 Soft copy</t>
        </is>
      </c>
      <c r="C36" s="23" t="inlineStr">
        <is>
          <t>Forward by email</t>
        </is>
      </c>
      <c r="D36" s="23" t="inlineStr">
        <is>
          <t>Private per-shop address bills+&lt;id&gt;-&lt;sig&gt;@domain; inbound webhook /api/inbound/bill-email</t>
        </is>
      </c>
      <c r="E36" s="25" t="inlineStr">
        <is>
          <t>Blocked</t>
        </is>
      </c>
      <c r="F36" s="23" t="inlineStr">
        <is>
          <t>Code on production; waits on the item in Notes</t>
        </is>
      </c>
      <c r="G36" s="23" t="inlineStr">
        <is>
          <t>2026-10-15</t>
        </is>
      </c>
      <c r="H36" s="23" t="inlineStr">
        <is>
          <t>Code done and tested; needs an inbound mail provider + INBOUND_EMAIL_SECRET / INBOUND_EMAIL_DOMAIN on the server</t>
        </is>
      </c>
      <c r="I36" s="23" t="inlineStr">
        <is>
          <t>#171, released #179</t>
        </is>
      </c>
    </row>
    <row r="37" customFormat="1" s="23">
      <c r="A37" s="23" t="inlineStr">
        <is>
          <t>IA-033</t>
        </is>
      </c>
      <c r="B37" s="23" t="inlineStr">
        <is>
          <t>4 Soft copy</t>
        </is>
      </c>
      <c r="C37" s="23" t="inlineStr">
        <is>
          <t>E-invoice JSON / signed QR as trusted source</t>
        </is>
      </c>
      <c r="D37" s="23" t="inlineStr">
        <is>
          <t>IRP JSON (plain or signed), signed QR decoded from photos and PDFs; RS256 check when NIC key configured</t>
        </is>
      </c>
      <c r="E37" s="24" t="inlineStr">
        <is>
          <t>Done</t>
        </is>
      </c>
      <c r="F37" s="23" t="inlineStr">
        <is>
          <t>Production (gokesari.com) and test</t>
        </is>
      </c>
      <c r="G37" s="23" t="inlineStr">
        <is>
          <t>2026-10-15</t>
        </is>
      </c>
      <c r="H37" s="23" t="inlineStr">
        <is>
          <t>Signature check needs EINVOICE_QR_PUBLIC_KEY (NIC public key)</t>
        </is>
      </c>
      <c r="I37" s="23" t="inlineStr">
        <is>
          <t>#171, released #179</t>
        </is>
      </c>
    </row>
    <row r="38" customFormat="1" s="23">
      <c r="A38" s="23" t="inlineStr">
        <is>
          <t>IA-034</t>
        </is>
      </c>
      <c r="B38" s="23" t="inlineStr">
        <is>
          <t>4 Soft copy</t>
        </is>
      </c>
      <c r="C38" s="23" t="inlineStr">
        <is>
          <t>AI document parsing</t>
        </is>
      </c>
      <c r="D38" s="23" t="inlineStr">
        <is>
          <t>Claude reads supplier, GSTIN, number, date, lines, totals with per-field confidence</t>
        </is>
      </c>
      <c r="E38" s="25" t="inlineStr">
        <is>
          <t>Blocked</t>
        </is>
      </c>
      <c r="F38" s="23" t="inlineStr">
        <is>
          <t>Code on production; waits on the item in Notes</t>
        </is>
      </c>
      <c r="G38" s="23" t="inlineStr">
        <is>
          <t>2026-10-15</t>
        </is>
      </c>
      <c r="H38" s="23" t="inlineStr">
        <is>
          <t>Code done; needs ANTHROPIC_API_KEY + INVOICE_EXTRACTION_PROVIDER=claude on the servers (owner decision: bills are sent to Anthropic for reading)</t>
        </is>
      </c>
      <c r="I38" s="23" t="inlineStr">
        <is>
          <t>#171, released #179</t>
        </is>
      </c>
    </row>
    <row r="39" customFormat="1" s="23">
      <c r="A39" s="23" t="inlineStr">
        <is>
          <t>IA-035</t>
        </is>
      </c>
      <c r="B39" s="23" t="inlineStr">
        <is>
          <t>4 Soft copy</t>
        </is>
      </c>
      <c r="C39" s="23" t="inlineStr">
        <is>
          <t>Local extraction fallback</t>
        </is>
      </c>
      <c r="D39" s="23" t="inlineStr">
        <is>
          <t>Excel item tables, PDF text layer, OCR text with rules</t>
        </is>
      </c>
      <c r="E39" s="24" t="inlineStr">
        <is>
          <t>Done</t>
        </is>
      </c>
      <c r="F39" s="23" t="inlineStr">
        <is>
          <t>Production (gokesari.com) and test</t>
        </is>
      </c>
      <c r="G39" s="23" t="inlineStr">
        <is>
          <t>2026-10-15</t>
        </is>
      </c>
      <c r="H39" s="23" t="inlineStr">
        <is>
          <t>OCR worker does not start on Hostinger (same as the document reader, NEW-062): photos fall back to typing</t>
        </is>
      </c>
      <c r="I39" s="23" t="inlineStr">
        <is>
          <t>#171, released #179</t>
        </is>
      </c>
    </row>
    <row r="40" customFormat="1" s="23">
      <c r="A40" s="23" t="inlineStr">
        <is>
          <t>IA-036</t>
        </is>
      </c>
      <c r="B40" s="23" t="inlineStr">
        <is>
          <t>4 Soft copy</t>
        </is>
      </c>
      <c r="C40" s="23" t="inlineStr">
        <is>
          <t>Match lines to product master</t>
        </is>
      </c>
      <c r="D40" s="23" t="inlineStr">
        <is>
          <t>Remembered supplier mapping, barcode/GTIN, HSN + name, name; suggestions; create new product (reuses the master by barcode)</t>
        </is>
      </c>
      <c r="E40" s="24" t="inlineStr">
        <is>
          <t>Done</t>
        </is>
      </c>
      <c r="F40" s="23" t="inlineStr">
        <is>
          <t>Production (gokesari.com) and test</t>
        </is>
      </c>
      <c r="G40" s="23" t="inlineStr">
        <is>
          <t>2026-10-15</t>
        </is>
      </c>
      <c r="H40" s="23" t="inlineStr">
        <is>
          <t>-</t>
        </is>
      </c>
      <c r="I40" s="23" t="inlineStr">
        <is>
          <t>#171, released #179</t>
        </is>
      </c>
    </row>
    <row r="41" customFormat="1" s="23">
      <c r="A41" s="23" t="inlineStr">
        <is>
          <t>IA-037</t>
        </is>
      </c>
      <c r="B41" s="23" t="inlineStr">
        <is>
          <t>4 Soft copy</t>
        </is>
      </c>
      <c r="C41" s="23" t="inlineStr">
        <is>
          <t>Validation</t>
        </is>
      </c>
      <c r="D41" s="23" t="inlineStr">
        <is>
          <t>Line maths, GST maths, totals = invoice total, GSTIN format + check digit, duplicate (supplier + number), e-invoice QR agreement, place of supply</t>
        </is>
      </c>
      <c r="E41" s="24" t="inlineStr">
        <is>
          <t>Done</t>
        </is>
      </c>
      <c r="F41" s="23" t="inlineStr">
        <is>
          <t>Production (gokesari.com) and test</t>
        </is>
      </c>
      <c r="G41" s="23" t="inlineStr">
        <is>
          <t>2026-10-15</t>
        </is>
      </c>
      <c r="H41" s="23" t="inlineStr">
        <is>
          <t>-</t>
        </is>
      </c>
      <c r="I41" s="23" t="inlineStr">
        <is>
          <t>#171, released #179</t>
        </is>
      </c>
    </row>
    <row r="42" customFormat="1" s="23">
      <c r="A42" s="23" t="inlineStr">
        <is>
          <t>IA-038</t>
        </is>
      </c>
      <c r="B42" s="23" t="inlineStr">
        <is>
          <t>5 Hard copy</t>
        </is>
      </c>
      <c r="C42" s="23" t="inlineStr">
        <is>
          <t>Camera scan (web + app)</t>
        </is>
      </c>
      <c r="D42" s="23" t="inlineStr">
        <is>
          <t>Edge detection, crop, de-skew, enhance (colour / grey / B&amp;W), corner adjust, multi-page, blur warning, small JPEGs</t>
        </is>
      </c>
      <c r="E42" s="24" t="inlineStr">
        <is>
          <t>Done</t>
        </is>
      </c>
      <c r="F42" s="23" t="inlineStr">
        <is>
          <t>Production (gokesari.com) and test</t>
        </is>
      </c>
      <c r="G42" s="23" t="inlineStr">
        <is>
          <t>2026-10-15</t>
        </is>
      </c>
      <c r="H42" s="23" t="inlineStr">
        <is>
          <t>-</t>
        </is>
      </c>
      <c r="I42" s="23" t="inlineStr">
        <is>
          <t>#171, released #179</t>
        </is>
      </c>
    </row>
    <row r="43" customFormat="1" s="23">
      <c r="A43" s="23" t="inlineStr">
        <is>
          <t>IA-039</t>
        </is>
      </c>
      <c r="B43" s="23" t="inlineStr">
        <is>
          <t>5 Hard copy</t>
        </is>
      </c>
      <c r="C43" s="23" t="inlineStr">
        <is>
          <t>OCR + AI for printed and handwritten bills (English, Hindi, Marathi)</t>
        </is>
      </c>
      <c r="D43" s="23" t="inlineStr">
        <is>
          <t>AI reader handles handwriting and Hindi/Marathi; local OCR English only</t>
        </is>
      </c>
      <c r="E43" s="25" t="inlineStr">
        <is>
          <t>Blocked</t>
        </is>
      </c>
      <c r="F43" s="23" t="inlineStr">
        <is>
          <t>Code on production; waits on the item in Notes</t>
        </is>
      </c>
      <c r="G43" s="23" t="inlineStr">
        <is>
          <t>2026-10-15</t>
        </is>
      </c>
      <c r="H43" s="23" t="inlineStr">
        <is>
          <t>Hindi/Marathi and handwriting need the AI reader (IA-034)</t>
        </is>
      </c>
      <c r="I43" s="23" t="inlineStr">
        <is>
          <t>#171, released #179</t>
        </is>
      </c>
    </row>
    <row r="44" customFormat="1" s="23">
      <c r="A44" s="23" t="inlineStr">
        <is>
          <t>IA-040</t>
        </is>
      </c>
      <c r="B44" s="23" t="inlineStr">
        <is>
          <t>5 Hard copy</t>
        </is>
      </c>
      <c r="C44" s="23" t="inlineStr">
        <is>
          <t>Per-field confidence, low confidence highlighted</t>
        </is>
      </c>
      <c r="D44" s="23" t="inlineStr">
        <is>
          <t>Amber = not sure, red = must fix; confidence % next to the field</t>
        </is>
      </c>
      <c r="E44" s="24" t="inlineStr">
        <is>
          <t>Done</t>
        </is>
      </c>
      <c r="F44" s="23" t="inlineStr">
        <is>
          <t>Production (gokesari.com) and test</t>
        </is>
      </c>
      <c r="G44" s="23" t="inlineStr">
        <is>
          <t>2026-10-15</t>
        </is>
      </c>
      <c r="H44" s="23" t="inlineStr">
        <is>
          <t>-</t>
        </is>
      </c>
      <c r="I44" s="23" t="inlineStr">
        <is>
          <t>#171, released #179</t>
        </is>
      </c>
    </row>
    <row r="45" customFormat="1" s="23">
      <c r="A45" s="23" t="inlineStr">
        <is>
          <t>IA-041</t>
        </is>
      </c>
      <c r="B45" s="23" t="inlineStr">
        <is>
          <t>6 Review</t>
        </is>
      </c>
      <c r="C45" s="23" t="inlineStr">
        <is>
          <t>Side-by-side review &amp; correction screen</t>
        </is>
      </c>
      <c r="D45" s="23" t="inlineStr">
        <is>
          <t>Original bill + editable table (phone: switch); edit any field, add/remove lines, change mapping, auto-save</t>
        </is>
      </c>
      <c r="E45" s="24" t="inlineStr">
        <is>
          <t>Done</t>
        </is>
      </c>
      <c r="F45" s="23" t="inlineStr">
        <is>
          <t>Production (gokesari.com) and test</t>
        </is>
      </c>
      <c r="G45" s="23" t="inlineStr">
        <is>
          <t>2026-10-15</t>
        </is>
      </c>
      <c r="H45" s="23" t="inlineStr">
        <is>
          <t>-</t>
        </is>
      </c>
      <c r="I45" s="23" t="inlineStr">
        <is>
          <t>#171, released #179</t>
        </is>
      </c>
    </row>
    <row r="46" customFormat="1" s="23">
      <c r="A46" s="23" t="inlineStr">
        <is>
          <t>IA-042</t>
        </is>
      </c>
      <c r="B46" s="23" t="inlineStr">
        <is>
          <t>6 Review</t>
        </is>
      </c>
      <c r="C46" s="23" t="inlineStr">
        <is>
          <t>Nothing touches stock until Confirm</t>
        </is>
      </c>
      <c r="D46" s="23" t="inlineStr">
        <is>
          <t>Captures hold drafts only</t>
        </is>
      </c>
      <c r="E46" s="24" t="inlineStr">
        <is>
          <t>Done</t>
        </is>
      </c>
      <c r="F46" s="23" t="inlineStr">
        <is>
          <t>Production (gokesari.com) and test</t>
        </is>
      </c>
      <c r="G46" s="23" t="inlineStr">
        <is>
          <t>2026-10-15</t>
        </is>
      </c>
      <c r="H46" s="23" t="inlineStr">
        <is>
          <t>-</t>
        </is>
      </c>
      <c r="I46" s="23" t="inlineStr">
        <is>
          <t>#171, released #179</t>
        </is>
      </c>
    </row>
    <row r="47" customFormat="1" s="23">
      <c r="A47" s="23" t="inlineStr">
        <is>
          <t>IA-043</t>
        </is>
      </c>
      <c r="B47" s="23" t="inlineStr">
        <is>
          <t>6 Review</t>
        </is>
      </c>
      <c r="C47" s="23" t="inlineStr">
        <is>
          <t>Confirm in one DB transaction</t>
        </is>
      </c>
      <c r="D47" s="23" t="inlineStr">
        <is>
          <t>Stock + cost + batches, purchase, supplier ledger, ITC record, mappings, files</t>
        </is>
      </c>
      <c r="E47" s="24" t="inlineStr">
        <is>
          <t>Done</t>
        </is>
      </c>
      <c r="F47" s="23" t="inlineStr">
        <is>
          <t>Production (gokesari.com) and test</t>
        </is>
      </c>
      <c r="G47" s="23" t="inlineStr">
        <is>
          <t>2026-10-15</t>
        </is>
      </c>
      <c r="H47" s="23" t="inlineStr">
        <is>
          <t>-</t>
        </is>
      </c>
      <c r="I47" s="23" t="inlineStr">
        <is>
          <t>#171, released #179</t>
        </is>
      </c>
    </row>
    <row r="48" customFormat="1" s="23">
      <c r="A48" s="23" t="inlineStr">
        <is>
          <t>IA-044</t>
        </is>
      </c>
      <c r="B48" s="23" t="inlineStr">
        <is>
          <t>6 Review</t>
        </is>
      </c>
      <c r="C48" s="23" t="inlineStr">
        <is>
          <t>Post-confirmation correction</t>
        </is>
      </c>
      <c r="D48" s="23" t="inlineStr">
        <is>
          <t>Reopen -&gt; reversing + corrected entries in stock, books and ITC; never an overwrite</t>
        </is>
      </c>
      <c r="E48" s="24" t="inlineStr">
        <is>
          <t>Done</t>
        </is>
      </c>
      <c r="F48" s="23" t="inlineStr">
        <is>
          <t>Production (gokesari.com) and test</t>
        </is>
      </c>
      <c r="G48" s="23" t="inlineStr">
        <is>
          <t>2026-10-15</t>
        </is>
      </c>
      <c r="H48" s="23" t="inlineStr">
        <is>
          <t>-</t>
        </is>
      </c>
      <c r="I48" s="23" t="inlineStr">
        <is>
          <t>#171, released #179</t>
        </is>
      </c>
    </row>
    <row r="49" customFormat="1" s="23">
      <c r="A49" s="23" t="inlineStr">
        <is>
          <t>IA-045</t>
        </is>
      </c>
      <c r="B49" s="23" t="inlineStr">
        <is>
          <t>6 Review</t>
        </is>
      </c>
      <c r="C49" s="23" t="inlineStr">
        <is>
          <t>Audit trail</t>
        </is>
      </c>
      <c r="D49" s="23" t="inlineStr">
        <is>
          <t>acc_change_log: who, when, old value, new value, reason; shown on the bill</t>
        </is>
      </c>
      <c r="E49" s="24" t="inlineStr">
        <is>
          <t>Done</t>
        </is>
      </c>
      <c r="F49" s="23" t="inlineStr">
        <is>
          <t>Production (gokesari.com) and test</t>
        </is>
      </c>
      <c r="G49" s="23" t="inlineStr">
        <is>
          <t>2026-10-15</t>
        </is>
      </c>
      <c r="H49" s="23" t="inlineStr">
        <is>
          <t>-</t>
        </is>
      </c>
      <c r="I49" s="23" t="inlineStr">
        <is>
          <t>#171, released #179</t>
        </is>
      </c>
    </row>
    <row r="50" customFormat="1" s="23">
      <c r="A50" s="23" t="inlineStr">
        <is>
          <t>IA-046</t>
        </is>
      </c>
      <c r="B50" s="23" t="inlineStr">
        <is>
          <t>6 Review</t>
        </is>
      </c>
      <c r="C50" s="23" t="inlineStr">
        <is>
          <t>Corrections feed back into extraction</t>
        </is>
      </c>
      <c r="D50" s="23" t="inlineStr">
        <is>
          <t>Supplier-specific product + unit mappings used first on the next bill</t>
        </is>
      </c>
      <c r="E50" s="24" t="inlineStr">
        <is>
          <t>Done</t>
        </is>
      </c>
      <c r="F50" s="23" t="inlineStr">
        <is>
          <t>Production (gokesari.com) and test</t>
        </is>
      </c>
      <c r="G50" s="23" t="inlineStr">
        <is>
          <t>2026-10-15</t>
        </is>
      </c>
      <c r="H50" s="23" t="inlineStr">
        <is>
          <t>-</t>
        </is>
      </c>
      <c r="I50" s="23" t="inlineStr">
        <is>
          <t>#171, released #179</t>
        </is>
      </c>
    </row>
    <row r="51" customFormat="1" s="23">
      <c r="A51" s="23" t="inlineStr">
        <is>
          <t>IA-047</t>
        </is>
      </c>
      <c r="B51" s="23" t="inlineStr">
        <is>
          <t>7 Data &amp; security</t>
        </is>
      </c>
      <c r="C51" s="23" t="inlineStr">
        <is>
          <t>Seller DB tables scoped by shop_id</t>
        </is>
      </c>
      <c r="D51" s="23" t="inlineStr">
        <is>
          <t>24 tables, ownership map; every API checks the shop; isolation tested</t>
        </is>
      </c>
      <c r="E51" s="24" t="inlineStr">
        <is>
          <t>Done</t>
        </is>
      </c>
      <c r="F51" s="23" t="inlineStr">
        <is>
          <t>Production (gokesari.com) and test</t>
        </is>
      </c>
      <c r="G51" s="23" t="inlineStr">
        <is>
          <t>2026-10-15</t>
        </is>
      </c>
      <c r="H51" s="23" t="inlineStr">
        <is>
          <t>-</t>
        </is>
      </c>
      <c r="I51" s="23" t="inlineStr">
        <is>
          <t>#171, released #179</t>
        </is>
      </c>
    </row>
    <row r="52" customFormat="1" s="23">
      <c r="A52" s="23" t="inlineStr">
        <is>
          <t>IA-048</t>
        </is>
      </c>
      <c r="B52" s="23" t="inlineStr">
        <is>
          <t>7 Data &amp; security</t>
        </is>
      </c>
      <c r="C52" s="23" t="inlineStr">
        <is>
          <t>Encryption at rest</t>
        </is>
      </c>
      <c r="D52" s="23" t="inlineStr">
        <is>
          <t>GST tokens (AES-256-GCM); uploaded bills encrypted when INTEGRATION_ENCRYPTION_KEY is set</t>
        </is>
      </c>
      <c r="E52" s="24" t="inlineStr">
        <is>
          <t>Done</t>
        </is>
      </c>
      <c r="F52" s="23" t="inlineStr">
        <is>
          <t>Production (gokesari.com) and test</t>
        </is>
      </c>
      <c r="G52" s="23" t="inlineStr">
        <is>
          <t>2026-10-15</t>
        </is>
      </c>
      <c r="H52" s="23" t="inlineStr">
        <is>
          <t>GST portal tokens: always encrypted (refused without a valid key). Stored bills: encrypted when INTEGRATION_ENCRYPTION_KEY is valid (IA-056); always served only through the access-checked route</t>
        </is>
      </c>
      <c r="I52" s="23" t="inlineStr">
        <is>
          <t>#171, released #179</t>
        </is>
      </c>
    </row>
    <row r="53" customFormat="1" s="23">
      <c r="A53" s="23" t="inlineStr">
        <is>
          <t>IA-049</t>
        </is>
      </c>
      <c r="B53" s="23" t="inlineStr">
        <is>
          <t>7 Data &amp; security</t>
        </is>
      </c>
      <c r="C53" s="23" t="inlineStr">
        <is>
          <t>Object storage with per-shop access control</t>
        </is>
      </c>
      <c r="D53" s="23" t="inlineStr">
        <is>
          <t>S3-compatible bucket (ACCOUNTS_STORAGE=s3) or MEDIA_DIR / DB; served only via the access-checked route</t>
        </is>
      </c>
      <c r="E53" s="26" t="inlineStr">
        <is>
          <t>In progress</t>
        </is>
      </c>
      <c r="F53" s="23" t="inlineStr">
        <is>
          <t>Code on production; waits on the item in Notes</t>
        </is>
      </c>
      <c r="G53" s="23" t="inlineStr">
        <is>
          <t>2026-10-15</t>
        </is>
      </c>
      <c r="H53" s="23" t="inlineStr">
        <is>
          <t>Code done; bucket credentials not configured yet, so files are in the database / MEDIA_DIR</t>
        </is>
      </c>
      <c r="I53" s="23" t="inlineStr">
        <is>
          <t>#171, released #179</t>
        </is>
      </c>
    </row>
    <row r="54" customFormat="1" s="23">
      <c r="A54" s="23" t="inlineStr">
        <is>
          <t>IA-050</t>
        </is>
      </c>
      <c r="B54" s="23" t="inlineStr">
        <is>
          <t>7 Data &amp; security</t>
        </is>
      </c>
      <c r="C54" s="23" t="inlineStr">
        <is>
          <t>Background job queue + progress</t>
        </is>
      </c>
      <c r="D54" s="23" t="inlineStr">
        <is>
          <t>inv_bill_captures queue with progress %, SKIP LOCKED, retry; cron safety net</t>
        </is>
      </c>
      <c r="E54" s="24" t="inlineStr">
        <is>
          <t>Done</t>
        </is>
      </c>
      <c r="F54" s="23" t="inlineStr">
        <is>
          <t>Production (gokesari.com) and test</t>
        </is>
      </c>
      <c r="G54" s="23" t="inlineStr">
        <is>
          <t>2026-10-15</t>
        </is>
      </c>
      <c r="H54" s="23" t="inlineStr">
        <is>
          <t>Owner to schedule /api/cron/bill-captures (optional safety net)</t>
        </is>
      </c>
      <c r="I54" s="23" t="inlineStr">
        <is>
          <t>#171, released #179</t>
        </is>
      </c>
    </row>
    <row r="55" customFormat="1" s="23">
      <c r="A55" s="23" t="inlineStr">
        <is>
          <t>IA-051</t>
        </is>
      </c>
      <c r="B55" s="23" t="inlineStr">
        <is>
          <t>7 Data &amp; security</t>
        </is>
      </c>
      <c r="C55" s="23" t="inlineStr">
        <is>
          <t>Real-time notification when ready</t>
        </is>
      </c>
      <c r="D55" s="23" t="inlineStr">
        <is>
          <t>In-app (+ email) notification and live progress polling on the screen</t>
        </is>
      </c>
      <c r="E55" s="24" t="inlineStr">
        <is>
          <t>Done</t>
        </is>
      </c>
      <c r="F55" s="23" t="inlineStr">
        <is>
          <t>Production (gokesari.com) and test</t>
        </is>
      </c>
      <c r="G55" s="23" t="inlineStr">
        <is>
          <t>2026-10-15</t>
        </is>
      </c>
      <c r="H55" s="23" t="inlineStr">
        <is>
          <t>-</t>
        </is>
      </c>
      <c r="I55" s="23" t="inlineStr">
        <is>
          <t>#171, released #179</t>
        </is>
      </c>
    </row>
    <row r="56" customFormat="1" s="23">
      <c r="A56" s="23" t="inlineStr">
        <is>
          <t>IA-052</t>
        </is>
      </c>
      <c r="B56" s="23" t="inlineStr">
        <is>
          <t>7 Data &amp; security</t>
        </is>
      </c>
      <c r="C56" s="23" t="inlineStr">
        <is>
          <t>Slow networks / one screen</t>
        </is>
      </c>
      <c r="D56" s="23" t="inlineStr">
        <is>
          <t>Compressed scans, upload progress, Tile Board one-screen hub, phone layouts</t>
        </is>
      </c>
      <c r="E56" s="24" t="inlineStr">
        <is>
          <t>Done</t>
        </is>
      </c>
      <c r="F56" s="23" t="inlineStr">
        <is>
          <t>Production (gokesari.com) and test</t>
        </is>
      </c>
      <c r="G56" s="23" t="inlineStr">
        <is>
          <t>2026-10-15</t>
        </is>
      </c>
      <c r="H56" s="23" t="inlineStr">
        <is>
          <t>Board and GST page were ~40 s on test.gokesari.com (database far from the web server); fixed in #172 — every module page ~4 s on test (Seller Central /shop ~8 s there)</t>
        </is>
      </c>
      <c r="I56" s="23" t="inlineStr">
        <is>
          <t>#171, #172, released #179</t>
        </is>
      </c>
    </row>
    <row r="57" customFormat="1" s="23">
      <c r="A57" s="23" t="inlineStr">
        <is>
          <t>IA-053</t>
        </is>
      </c>
      <c r="B57" s="23" t="inlineStr">
        <is>
          <t>UI</t>
        </is>
      </c>
      <c r="C57" s="23" t="inlineStr">
        <is>
          <t>Theme 1 Tile Board hub (web + app)</t>
        </is>
      </c>
      <c r="D57" s="23" t="inlineStr">
        <is>
          <t>/shop/accounts with 12 tiles, live counts, 4 headline figures, EN/HI/MR; Inventory tile 'Bills &amp; GST' and Finance hub links</t>
        </is>
      </c>
      <c r="E57" s="24" t="inlineStr">
        <is>
          <t>Done</t>
        </is>
      </c>
      <c r="F57" s="23" t="inlineStr">
        <is>
          <t>Production (gokesari.com) and test</t>
        </is>
      </c>
      <c r="G57" s="23" t="inlineStr">
        <is>
          <t>2026-10-15</t>
        </is>
      </c>
      <c r="H57" s="23" t="inlineStr">
        <is>
          <t>-</t>
        </is>
      </c>
      <c r="I57" s="23" t="inlineStr">
        <is>
          <t>#171, released #179</t>
        </is>
      </c>
    </row>
    <row r="58" customFormat="1" s="23">
      <c r="A58" s="23" t="inlineStr">
        <is>
          <t>IA-054</t>
        </is>
      </c>
      <c r="B58" s="23" t="inlineStr">
        <is>
          <t>Mobile</t>
        </is>
      </c>
      <c r="C58" s="23" t="inlineStr">
        <is>
          <t>Android and iOS apps</t>
        </is>
      </c>
      <c r="D58" s="23" t="inlineStr">
        <is>
          <t>WebView apps show the module on deploy (no store update); camera via photo picker; downloads via bridge</t>
        </is>
      </c>
      <c r="E58" s="24" t="inlineStr">
        <is>
          <t>Done</t>
        </is>
      </c>
      <c r="F58" s="23" t="inlineStr">
        <is>
          <t>Production (gokesari.com) and test</t>
        </is>
      </c>
      <c r="G58" s="23" t="inlineStr">
        <is>
          <t>2026-10-15</t>
        </is>
      </c>
      <c r="H58" s="23" t="inlineStr">
        <is>
          <t>Native share-intent is IA-031</t>
        </is>
      </c>
      <c r="I58" s="23" t="inlineStr">
        <is>
          <t>#171, released #179</t>
        </is>
      </c>
    </row>
    <row r="59" customFormat="1" s="23">
      <c r="A59" s="23" t="inlineStr">
        <is>
          <t>IA-055</t>
        </is>
      </c>
      <c r="B59" s="23" t="inlineStr">
        <is>
          <t>QA</t>
        </is>
      </c>
      <c r="C59" s="23" t="inlineStr">
        <is>
          <t>Testing on test.gokesari.com and gokesari.com</t>
        </is>
      </c>
      <c r="D59" s="23" t="inlineStr">
        <is>
          <t>Unit, integration, E2E; staging functional run; production read-only checks</t>
        </is>
      </c>
      <c r="E59" s="24" t="inlineStr">
        <is>
          <t>Done</t>
        </is>
      </c>
      <c r="F59" s="23" t="inlineStr">
        <is>
          <t>Production (gokesari.com) and test</t>
        </is>
      </c>
      <c r="G59" s="23" t="inlineStr">
        <is>
          <t>2026-10-15</t>
        </is>
      </c>
      <c r="H59" s="23" t="inlineStr">
        <is>
          <t>Local: 149 module unit/integration + E2E 11/11; CI full suite 1,915 tests green on the release. test.gokesari.com: smoke 11/11, functional 26/27 + live order/cancel PASS (GST link blocked by IA-056). gokesari.com: read-only smoke 11/11 after release #179. See TESTING_REPORT.md</t>
        </is>
      </c>
      <c r="I59" s="23" t="inlineStr">
        <is>
          <t>#171, released #179</t>
        </is>
      </c>
    </row>
    <row r="60" customFormat="1" s="23">
      <c r="A60" s="23" t="inlineStr">
        <is>
          <t>IA-056</t>
        </is>
      </c>
      <c r="B60" s="23" t="inlineStr">
        <is>
          <t>7 Data &amp; security</t>
        </is>
      </c>
      <c r="C60" s="23" t="inlineStr">
        <is>
          <t>Encryption key on the servers</t>
        </is>
      </c>
      <c r="D60" s="23" t="inlineStr">
        <is>
          <t>INTEGRATION_ENCRYPTION_KEY (base64, 32 bytes) set on test.gokesari.com and gokesari.com — needed for GST portal linking and for encrypting stored bills</t>
        </is>
      </c>
      <c r="E60" s="25" t="inlineStr">
        <is>
          <t>Blocked</t>
        </is>
      </c>
      <c r="F60" s="23" t="inlineStr">
        <is>
          <t>Server settings (test and production)</t>
        </is>
      </c>
      <c r="G60" s="23" t="inlineStr">
        <is>
          <t>2026-10-15</t>
        </is>
      </c>
      <c r="H60" s="23" t="inlineStr">
        <is>
          <t>Owner added the variable on test and production (15 Oct), but the value is not base64 of 32 bytes: test.gokesari.com reports encryption not configured (/api/shops/{id}/integration → ready.encryption=false) and GST linking answers 500. Fix: set the value from `openssl rand -base64 32` (44 characters ending in '='), a different one per site, and redeploy. Nothing has been encrypted with the old values</t>
        </is>
      </c>
      <c r="I60" s="23" t="inlineStr">
        <is>
          <t>#171, released #179</t>
        </is>
      </c>
    </row>
    <row r="62">
      <c r="A62" s="27" t="inlineStr">
        <is>
          <t>Count</t>
        </is>
      </c>
      <c r="B62" t="inlineStr">
        <is>
          <t>Done</t>
        </is>
      </c>
      <c r="C62">
        <f>COUNTIF($E$5:$E$60,B62)</f>
        <v/>
      </c>
    </row>
    <row r="63">
      <c r="B63" t="inlineStr">
        <is>
          <t>In progress</t>
        </is>
      </c>
      <c r="C63">
        <f>COUNTIF($E$5:$E$60,B63)</f>
        <v/>
      </c>
    </row>
    <row r="64">
      <c r="B64" t="inlineStr">
        <is>
          <t>Not started</t>
        </is>
      </c>
      <c r="C64">
        <f>COUNTIF($E$5:$E$60,B64)</f>
        <v/>
      </c>
    </row>
    <row r="65">
      <c r="B65" t="inlineStr">
        <is>
          <t>Blocked</t>
        </is>
      </c>
      <c r="C65">
        <f>COUNTIF($E$5:$E$60,B65)</f>
        <v/>
      </c>
    </row>
    <row r="66">
      <c r="B66" t="inlineStr">
        <is>
          <t>Total</t>
        </is>
      </c>
      <c r="C66">
        <f>SUM(C62:C65)</f>
        <v/>
      </c>
    </row>
  </sheetData>
  <dataValidations count="2">
    <dataValidation sqref="E10:E60" showDropDown="0" showInputMessage="0" showErrorMessage="0" allowBlank="0" type="list">
      <formula1>"Not started,In progress,Done,Blocked"</formula1>
    </dataValidation>
    <dataValidation sqref="E5:E60" showDropDown="0" showInputMessage="0" showErrorMessage="0" allowBlank="0" type="list">
      <formula1>"Not started,In progress,Done,Blocked"</formula1>
    </dataValidation>
  </dataValidations>
  <pageMargins left="0.7" right="0.7" top="0.75" bottom="0.75" header="0.3" footer="0.3"/>
  <pageSetup orientation="portrait" scale="100" fitToHeight="1" fitToWidth="1" horizontalDpi="4294967295" verticalDpi="4294967295"/>
</worksheet>
</file>

<file path=xl/worksheets/sheet5.xml><?xml version="1.0" encoding="utf-8"?>
<worksheet xmlns="http://schemas.openxmlformats.org/spreadsheetml/2006/main">
  <sheetPr>
    <tabColor rgb="FFC9450C"/>
    <outlinePr summaryBelow="1" summaryRight="1"/>
    <pageSetUpPr fitToPage="1"/>
  </sheetPr>
  <dimension ref="A1:R268"/>
  <sheetViews>
    <sheetView view="normal" zoomScale="90" zoomScaleNormal="90" workbookViewId="0">
      <pane xSplit="5" ySplit="1" topLeftCell="F2" activePane="bottomRight" state="frozen"/>
      <selection pane="bottomRight" activeCell="A1" sqref="A1"/>
    </sheetView>
  </sheetViews>
  <sheetFormatPr baseColWidth="8" defaultColWidth="8.6796875" defaultRowHeight="15" outlineLevelRow="0"/>
  <cols>
    <col width="5" customWidth="1" style="1" min="1" max="1"/>
    <col width="16" customWidth="1" style="1" min="2" max="2"/>
    <col width="10" customWidth="1" style="1" min="3" max="3"/>
    <col width="14" customWidth="1" style="1" min="4" max="4"/>
    <col width="30" customWidth="1" style="1" min="5" max="5"/>
    <col width="60" customWidth="1" style="1" min="6" max="6"/>
    <col width="13" customWidth="1" style="1" min="7" max="7"/>
    <col width="8" customWidth="1" style="1" min="8" max="8"/>
    <col width="14" customWidth="1" style="1" min="9" max="9"/>
    <col width="22" customWidth="1" style="1" min="10" max="10"/>
    <col width="24" customWidth="1" style="1" min="11" max="11"/>
    <col width="30" customWidth="1" style="1" min="12" max="12"/>
    <col width="22" customWidth="1" style="1" min="13" max="13"/>
    <col width="34" customWidth="1" style="1" min="14" max="15"/>
    <col width="12" customWidth="1" style="1" min="16" max="16"/>
    <col width="40" customWidth="1" style="1" min="17" max="17"/>
    <col width="34" customWidth="1" style="1" min="18" max="18"/>
  </cols>
  <sheetData>
    <row r="1" ht="30" customFormat="1" customHeight="1" s="2">
      <c r="A1" s="6" t="inlineStr">
        <is>
          <t>#</t>
        </is>
      </c>
      <c r="B1" s="6" t="inlineStr">
        <is>
          <t>Section</t>
        </is>
      </c>
      <c r="C1" s="6" t="inlineStr">
        <is>
          <t>Feature ID</t>
        </is>
      </c>
      <c r="D1" s="6" t="inlineStr">
        <is>
          <t>Module / area</t>
        </is>
      </c>
      <c r="E1" s="6" t="inlineStr">
        <is>
          <t>Feature</t>
        </is>
      </c>
      <c r="F1" s="6" t="inlineStr">
        <is>
          <t>Functionality (what it does today)</t>
        </is>
      </c>
      <c r="G1" s="6" t="inlineStr">
        <is>
          <t>Process flow step(s)</t>
        </is>
      </c>
      <c r="H1" s="6" t="inlineStr">
        <is>
          <t>Priority</t>
        </is>
      </c>
      <c r="I1" s="6" t="inlineStr">
        <is>
          <t>Status (18 Oct 2026)</t>
        </is>
      </c>
      <c r="J1" s="6" t="inlineStr">
        <is>
          <t>Where it runs</t>
        </is>
      </c>
      <c r="K1" s="6" t="inlineStr">
        <is>
          <t>Switched on?</t>
        </is>
      </c>
      <c r="L1" s="6" t="inlineStr">
        <is>
          <t>Built in PR(s)</t>
        </is>
      </c>
      <c r="M1" s="6" t="inlineStr">
        <is>
          <t>Released to production in PR(s)</t>
        </is>
      </c>
      <c r="N1" s="6" t="inlineStr">
        <is>
          <t>Remaining scope / gap</t>
        </is>
      </c>
      <c r="O1" s="6" t="inlineStr">
        <is>
          <t>Blocked on / next step</t>
        </is>
      </c>
      <c r="P1" s="6" t="inlineStr">
        <is>
          <t>Status 16 Oct</t>
        </is>
      </c>
      <c r="Q1" s="6" t="inlineStr">
        <is>
          <t>Change since 16 Oct (PRs #185-#188)</t>
        </is>
      </c>
      <c r="R1" s="6" t="inlineStr">
        <is>
          <t>Evidence (code / docs)</t>
        </is>
      </c>
    </row>
    <row r="2" ht="51" customFormat="1" customHeight="1" s="2">
      <c r="A2" s="10" t="n">
        <v>1</v>
      </c>
      <c r="B2" s="12" t="inlineStr">
        <is>
          <t>Feature Master</t>
        </is>
      </c>
      <c r="C2" s="9" t="inlineStr">
        <is>
          <t>GS-001</t>
        </is>
      </c>
      <c r="D2" s="12" t="inlineStr">
        <is>
          <t>Identity &amp; Access</t>
        </is>
      </c>
      <c r="E2" s="12" t="inlineStr">
        <is>
          <t>Mobile/email/Gmail login</t>
        </is>
      </c>
      <c r="F2" s="12" t="inlineStr">
        <is>
          <t>Google, email magic link and a single mobile-or-email form; first-time /onboarding profile; My Profile with verified email change; checkout requires a mobile; admin can release a wrongly claimed number. Login rebuild now on main (was staging-only on 3 Oct).</t>
        </is>
      </c>
      <c r="G2" s="12" t="inlineStr">
        <is>
          <t>F1.1.1, F1.1.2, F1.1.3</t>
        </is>
      </c>
      <c r="H2" s="12" t="inlineStr">
        <is>
          <t>P0</t>
        </is>
      </c>
      <c r="I2" s="10" t="inlineStr">
        <is>
          <t>BLOCKED</t>
        </is>
      </c>
      <c r="J2" s="12" t="inlineStr">
        <is>
          <t>Production - partly live</t>
        </is>
      </c>
      <c r="K2" s="12" t="inlineStr">
        <is>
          <t>Live (email OTP); SMS OTP not available</t>
        </is>
      </c>
      <c r="L2" s="12" t="inlineStr">
        <is>
          <t>#10 (magic link); #23 (Phase A mobile OTP); #31 (login rebuild, onboarding, My Profile); #80 (same OTP reply); #121 (one consent box)</t>
        </is>
      </c>
      <c r="M2" s="12" t="inlineStr">
        <is>
          <t>#14; #23; #43; #81; #123</t>
        </is>
      </c>
      <c r="N2" s="12" t="inlineStr">
        <is>
          <t>SMS delivery of the OTP so a mobile number is proven (OTP provider seam ready).</t>
        </is>
      </c>
      <c r="O2" s="12" t="inlineStr">
        <is>
          <t>D2 - SMS/OTP vendor with DLT registration</t>
        </is>
      </c>
      <c r="P2" s="12" t="inlineStr">
        <is>
          <t>BLOCKED</t>
        </is>
      </c>
      <c r="Q2" s="12" t="inlineStr">
        <is>
          <t>No change</t>
        </is>
      </c>
      <c r="R2" s="12" t="inlineStr">
        <is>
          <t>src/server/otp/providers.ts; src/app/onboarding; src/app/profile; drizzle/0038_login_profile.sql</t>
        </is>
      </c>
    </row>
    <row r="3" ht="27" customFormat="1" customHeight="1" s="2">
      <c r="A3" s="10" t="n">
        <v>2</v>
      </c>
      <c r="B3" s="12" t="inlineStr">
        <is>
          <t>Feature Master</t>
        </is>
      </c>
      <c r="C3" s="9" t="inlineStr">
        <is>
          <t>GS-002</t>
        </is>
      </c>
      <c r="D3" s="12" t="inlineStr">
        <is>
          <t>Identity &amp; Access</t>
        </is>
      </c>
      <c r="E3" s="12" t="inlineStr">
        <is>
          <t>Role-based access control</t>
        </is>
      </c>
      <c r="F3" s="12" t="inlineStr">
        <is>
          <t>SOCIETY_ADMIN role; society roles scoped per membership (ADMIN/OPERATOR/RESIDENT)</t>
        </is>
      </c>
      <c r="G3" s="12" t="inlineStr">
        <is>
          <t>F5.1.2, F12.2.1</t>
        </is>
      </c>
      <c r="H3" s="12" t="inlineStr">
        <is>
          <t>P0</t>
        </is>
      </c>
      <c r="I3" s="10" t="inlineStr">
        <is>
          <t>COMPLETED</t>
        </is>
      </c>
      <c r="J3" s="12" t="inlineStr">
        <is>
          <t>Production (gokesari.com)</t>
        </is>
      </c>
      <c r="K3" s="12" t="inlineStr">
        <is>
          <t>Live</t>
        </is>
      </c>
      <c r="L3" s="12" t="inlineStr">
        <is>
          <t>Baseline; #10 (SOCIETY_ADMIN); #11 (society roles)</t>
        </is>
      </c>
      <c r="M3" s="12" t="inlineStr">
        <is>
          <t>Baseline; #14; #19</t>
        </is>
      </c>
      <c r="N3" s="12" t="inlineStr">
        <is>
          <t>-</t>
        </is>
      </c>
      <c r="O3" s="12" t="inlineStr">
        <is>
          <t>-</t>
        </is>
      </c>
      <c r="P3" s="12" t="inlineStr">
        <is>
          <t>COMPLETED</t>
        </is>
      </c>
      <c r="Q3" s="12" t="inlineStr">
        <is>
          <t>No change</t>
        </is>
      </c>
      <c r="R3" s="12" t="inlineStr">
        <is>
          <t>src/server/authz/permissions.ts; src/server/db/schema.ts (userRoleEnum)</t>
        </is>
      </c>
    </row>
    <row r="4" ht="27" customFormat="1" customHeight="1" s="2">
      <c r="A4" s="10" t="n">
        <v>3</v>
      </c>
      <c r="B4" s="12" t="inlineStr">
        <is>
          <t>Feature Master</t>
        </is>
      </c>
      <c r="C4" s="9" t="inlineStr">
        <is>
          <t>GS-003</t>
        </is>
      </c>
      <c r="D4" s="12" t="inlineStr">
        <is>
          <t>Identity &amp; Access</t>
        </is>
      </c>
      <c r="E4" s="12" t="inlineStr">
        <is>
          <t>Multi-role user account</t>
        </is>
      </c>
      <c r="F4" s="12" t="inlineStr">
        <is>
          <t>user_role_grants; active role switcher in the header; /api/me/roles; admin revoke; shop/rider/society flows grant roles; staff roles exclusive</t>
        </is>
      </c>
      <c r="G4" s="12" t="inlineStr">
        <is>
          <t>F12.2.1</t>
        </is>
      </c>
      <c r="H4" s="12" t="inlineStr">
        <is>
          <t>P1</t>
        </is>
      </c>
      <c r="I4" s="10" t="inlineStr">
        <is>
          <t>COMPLETED</t>
        </is>
      </c>
      <c r="J4" s="12" t="inlineStr">
        <is>
          <t>Production (gokesari.com)</t>
        </is>
      </c>
      <c r="K4" s="12" t="inlineStr">
        <is>
          <t>Live</t>
        </is>
      </c>
      <c r="L4" s="12" t="inlineStr">
        <is>
          <t>#18</t>
        </is>
      </c>
      <c r="M4" s="12" t="inlineStr">
        <is>
          <t>#19</t>
        </is>
      </c>
      <c r="N4" s="12" t="inlineStr">
        <is>
          <t>-</t>
        </is>
      </c>
      <c r="O4" s="12" t="inlineStr">
        <is>
          <t>-</t>
        </is>
      </c>
      <c r="P4" s="12" t="inlineStr">
        <is>
          <t>COMPLETED</t>
        </is>
      </c>
      <c r="Q4" s="12" t="inlineStr">
        <is>
          <t>No change</t>
        </is>
      </c>
      <c r="R4" s="12" t="inlineStr">
        <is>
          <t>src/server/services/roles.ts; src/app/api/me/roles/route.ts</t>
        </is>
      </c>
    </row>
    <row r="5" ht="51" customFormat="1" customHeight="1" s="2">
      <c r="A5" s="10" t="n">
        <v>4</v>
      </c>
      <c r="B5" s="12" t="inlineStr">
        <is>
          <t>Feature Master</t>
        </is>
      </c>
      <c r="C5" s="9" t="inlineStr">
        <is>
          <t>GS-004</t>
        </is>
      </c>
      <c r="D5" s="12" t="inlineStr">
        <is>
          <t>Location</t>
        </is>
      </c>
      <c r="E5" s="12" t="inlineStr">
        <is>
          <t>PIN / address selection</t>
        </is>
      </c>
      <c r="F5" s="12" t="inlineStr">
        <is>
          <t>'Deliver to' location: saved address, device position or PIN, remembered in a cookie. Phase B added Maps Places address search, a 'save this place' path, and recipient name / recipient mobile / Home-Work-Other on addresses</t>
        </is>
      </c>
      <c r="G5" s="12" t="inlineStr">
        <is>
          <t>F1.2.1</t>
        </is>
      </c>
      <c r="H5" s="12" t="inlineStr">
        <is>
          <t>P0</t>
        </is>
      </c>
      <c r="I5" s="10" t="inlineStr">
        <is>
          <t>COMPLETED</t>
        </is>
      </c>
      <c r="J5" s="12" t="inlineStr">
        <is>
          <t>Production (gokesari.com)</t>
        </is>
      </c>
      <c r="K5" s="12" t="inlineStr">
        <is>
          <t>Live</t>
        </is>
      </c>
      <c r="L5" s="12" t="inlineStr">
        <is>
          <t>Baseline (location capture); #10 (customer location); #23 (Phase B); #83 (Deliver-to pill)</t>
        </is>
      </c>
      <c r="M5" s="12" t="inlineStr">
        <is>
          <t>Baseline; #14; #23; #84</t>
        </is>
      </c>
      <c r="N5" s="12" t="inlineStr">
        <is>
          <t>-</t>
        </is>
      </c>
      <c r="O5" s="12" t="inlineStr">
        <is>
          <t>-</t>
        </is>
      </c>
      <c r="P5" s="12" t="inlineStr">
        <is>
          <t>COMPLETED</t>
        </is>
      </c>
      <c r="Q5" s="12" t="inlineStr">
        <is>
          <t>No change</t>
        </is>
      </c>
      <c r="R5" s="12" t="inlineStr">
        <is>
          <t>src/lib/geo/provider.ts; src/components/location-bar.tsx; drizzle/0026</t>
        </is>
      </c>
    </row>
    <row r="6" ht="15" customFormat="1" customHeight="1" s="2">
      <c r="A6" s="10" t="n">
        <v>5</v>
      </c>
      <c r="B6" s="12" t="inlineStr">
        <is>
          <t>Feature Master</t>
        </is>
      </c>
      <c r="C6" s="9" t="inlineStr">
        <is>
          <t>GS-005</t>
        </is>
      </c>
      <c r="D6" s="12" t="inlineStr">
        <is>
          <t>Location</t>
        </is>
      </c>
      <c r="E6" s="12" t="inlineStr">
        <is>
          <t>Society identification</t>
        </is>
      </c>
      <c r="F6" s="12" t="inlineStr">
        <is>
          <t>Society membership; address &lt;-&gt; society link; orders.society_id</t>
        </is>
      </c>
      <c r="G6" s="12" t="inlineStr">
        <is>
          <t>F1.2.2, F5.1.2</t>
        </is>
      </c>
      <c r="H6" s="12" t="inlineStr">
        <is>
          <t>P0</t>
        </is>
      </c>
      <c r="I6" s="10" t="inlineStr">
        <is>
          <t>COMPLETED</t>
        </is>
      </c>
      <c r="J6" s="12" t="inlineStr">
        <is>
          <t>Production (gokesari.com)</t>
        </is>
      </c>
      <c r="K6" s="12" t="inlineStr">
        <is>
          <t>Live</t>
        </is>
      </c>
      <c r="L6" s="12" t="inlineStr">
        <is>
          <t>#11</t>
        </is>
      </c>
      <c r="M6" s="12" t="inlineStr">
        <is>
          <t>#19</t>
        </is>
      </c>
      <c r="N6" s="12" t="inlineStr">
        <is>
          <t>-</t>
        </is>
      </c>
      <c r="O6" s="12" t="inlineStr">
        <is>
          <t>-</t>
        </is>
      </c>
      <c r="P6" s="12" t="inlineStr">
        <is>
          <t>COMPLETED</t>
        </is>
      </c>
      <c r="Q6" s="12" t="inlineStr">
        <is>
          <t>No change</t>
        </is>
      </c>
      <c r="R6" s="12" t="inlineStr">
        <is>
          <t>src/server/services/societies.ts</t>
        </is>
      </c>
    </row>
    <row r="7" ht="51" customFormat="1" customHeight="1" s="2">
      <c r="A7" s="10" t="n">
        <v>6</v>
      </c>
      <c r="B7" s="12" t="inlineStr">
        <is>
          <t>Feature Master</t>
        </is>
      </c>
      <c r="C7" s="9" t="inlineStr">
        <is>
          <t>GS-006</t>
        </is>
      </c>
      <c r="D7" s="12" t="inlineStr">
        <is>
          <t>Shop Onboarding</t>
        </is>
      </c>
      <c r="E7" s="12" t="inlineStr">
        <is>
          <t>Shop registration</t>
        </is>
      </c>
      <c r="F7" s="12" t="inlineStr">
        <is>
          <t>Shop owner registers a shop (/shop/register): name, owner, address with map location, shop type and categories, at least one of PAN / Udyam / GST / Shop Act; duplicate-registration guard; resubmission after rejection; operations approve or reject.</t>
        </is>
      </c>
      <c r="G7" s="12" t="inlineStr">
        <is>
          <t>F8.1.1</t>
        </is>
      </c>
      <c r="H7" s="12" t="inlineStr">
        <is>
          <t>P0</t>
        </is>
      </c>
      <c r="I7" s="10" t="inlineStr">
        <is>
          <t>COMPLETED</t>
        </is>
      </c>
      <c r="J7" s="12" t="inlineStr">
        <is>
          <t>Production (gokesari.com)</t>
        </is>
      </c>
      <c r="K7" s="12" t="inlineStr">
        <is>
          <t>Live</t>
        </is>
      </c>
      <c r="L7" s="12" t="inlineStr">
        <is>
          <t>Baseline; #22 (duplicate guard); #45 (validation, GST field); #53 (documents)</t>
        </is>
      </c>
      <c r="M7" s="12" t="inlineStr">
        <is>
          <t>Baseline; #19; #47; #54</t>
        </is>
      </c>
      <c r="N7" s="12" t="inlineStr">
        <is>
          <t>6 Oct: GST field added at registration; at least one of PAN / Udyam / GST / Shop Act required (135f29a).</t>
        </is>
      </c>
      <c r="O7" s="12" t="inlineStr">
        <is>
          <t>-</t>
        </is>
      </c>
      <c r="P7" s="12" t="inlineStr">
        <is>
          <t>COMPLETED</t>
        </is>
      </c>
      <c r="Q7" s="12" t="inlineStr">
        <is>
          <t>No change</t>
        </is>
      </c>
      <c r="R7" s="12" t="inlineStr">
        <is>
          <t>-</t>
        </is>
      </c>
    </row>
    <row r="8" ht="75" customFormat="1" customHeight="1" s="2">
      <c r="A8" s="10" t="n">
        <v>7</v>
      </c>
      <c r="B8" s="12" t="inlineStr">
        <is>
          <t>Feature Master</t>
        </is>
      </c>
      <c r="C8" s="9" t="inlineStr">
        <is>
          <t>GS-007</t>
        </is>
      </c>
      <c r="D8" s="12" t="inlineStr">
        <is>
          <t>Shop Onboarding</t>
        </is>
      </c>
      <c r="E8" s="12" t="inlineStr">
        <is>
          <t>Business KYC</t>
        </is>
      </c>
      <c r="F8" s="12" t="inlineStr">
        <is>
          <t>Seller verification Parts 1-4: PAN, GSTIN, Udyam, FSSAI and Shop Act per shop with document upload, vendor check (provider-agnostic, Gridlines adapter + mock), name matching, cross-document consistency score, per-document status, admin review queue (approve / reject with reason / re-check), daily re-check and expiry job, auto-suspend on lapse, DPDP retention/erasure.</t>
        </is>
      </c>
      <c r="G8" s="12" t="inlineStr">
        <is>
          <t>F8.2.1</t>
        </is>
      </c>
      <c r="H8" s="12" t="inlineStr">
        <is>
          <t>P0</t>
        </is>
      </c>
      <c r="I8" s="10" t="inlineStr">
        <is>
          <t>COMPLETED</t>
        </is>
      </c>
      <c r="J8" s="12" t="inlineStr">
        <is>
          <t>Production (gokesari.com)</t>
        </is>
      </c>
      <c r="K8" s="12" t="inlineStr">
        <is>
          <t>Live; vendor checks run on the MOCK vendor until Gridlines keys are set (KYC_PROVIDER)</t>
        </is>
      </c>
      <c r="L8" s="12" t="inlineStr">
        <is>
          <t>Baseline (GST/PAN self-service); #53 (seller verification)</t>
        </is>
      </c>
      <c r="M8" s="12" t="inlineStr">
        <is>
          <t>Baseline; #54</t>
        </is>
      </c>
      <c r="N8" s="12" t="inlineStr">
        <is>
          <t>Real vendor: Gridlines sandbox then live keys and written confirmation of response fields, Shop Act coverage, prices, DPA. Since SM-002 (PR #58) an admin can approve a shop only once every mandatory document is verified (VERIFIED stage).</t>
        </is>
      </c>
      <c r="O8" s="12" t="inlineStr">
        <is>
          <t>-</t>
        </is>
      </c>
      <c r="P8" s="12" t="inlineStr">
        <is>
          <t>COMPLETED</t>
        </is>
      </c>
      <c r="Q8" s="12" t="inlineStr">
        <is>
          <t>No change</t>
        </is>
      </c>
      <c r="R8" s="12" t="inlineStr">
        <is>
          <t>src/server/services/seller-verification*.ts; src/server/kyc/; /shop/verification; /admin/seller-verification; drizzle/0040, 0041; docs/seller-verification/</t>
        </is>
      </c>
    </row>
    <row r="9" ht="63" customFormat="1" customHeight="1" s="2">
      <c r="A9" s="10" t="n">
        <v>8</v>
      </c>
      <c r="B9" s="12" t="inlineStr">
        <is>
          <t>Feature Master</t>
        </is>
      </c>
      <c r="C9" s="9" t="inlineStr">
        <is>
          <t>GS-008</t>
        </is>
      </c>
      <c r="D9" s="12" t="inlineStr">
        <is>
          <t>Shop Onboarding</t>
        </is>
      </c>
      <c r="E9" s="12" t="inlineStr">
        <is>
          <t>Payment reference verification</t>
        </is>
      </c>
      <c r="F9" s="12" t="inlineStr">
        <is>
          <t>approveShop() now refuses unless fee_payment_status = PAID (derived from the shop_payments ledger), naming the amount outstanding; waived fee (zero snapshot) is written PAID at registration; approval queue shows each pending shop's fee state. Gate is on the transition only - shops already APPROVED untouched</t>
        </is>
      </c>
      <c r="G9" s="12" t="inlineStr">
        <is>
          <t>F8.2.3</t>
        </is>
      </c>
      <c r="H9" s="12" t="inlineStr">
        <is>
          <t>P0</t>
        </is>
      </c>
      <c r="I9" s="10" t="inlineStr">
        <is>
          <t>COMPLETED</t>
        </is>
      </c>
      <c r="J9" s="12" t="inlineStr">
        <is>
          <t>Production (gokesari.com)</t>
        </is>
      </c>
      <c r="K9" s="12" t="inlineStr">
        <is>
          <t>Live</t>
        </is>
      </c>
      <c r="L9" s="12" t="inlineStr">
        <is>
          <t>Baseline (registration fees); #29 (fee gate on approval)</t>
        </is>
      </c>
      <c r="M9" s="12" t="inlineStr">
        <is>
          <t>Baseline; #29</t>
        </is>
      </c>
      <c r="N9" s="12" t="inlineStr">
        <is>
          <t>-</t>
        </is>
      </c>
      <c r="O9" s="12" t="inlineStr">
        <is>
          <t>-</t>
        </is>
      </c>
      <c r="P9" s="12" t="inlineStr">
        <is>
          <t>COMPLETED</t>
        </is>
      </c>
      <c r="Q9" s="12" t="inlineStr">
        <is>
          <t>No change</t>
        </is>
      </c>
      <c r="R9" s="12" t="inlineStr">
        <is>
          <t>src/server/services/shops.ts (approveShop); src/components/shop-approval-panel.tsx; tests/integration/registration-fees.test.ts</t>
        </is>
      </c>
    </row>
    <row r="10" ht="63" customFormat="1" customHeight="1" s="2">
      <c r="A10" s="10" t="n">
        <v>9</v>
      </c>
      <c r="B10" s="12" t="inlineStr">
        <is>
          <t>Feature Master</t>
        </is>
      </c>
      <c r="C10" s="9" t="inlineStr">
        <is>
          <t>GS-009</t>
        </is>
      </c>
      <c r="D10" s="12" t="inlineStr">
        <is>
          <t>Shop Onboarding</t>
        </is>
      </c>
      <c r="E10" s="12" t="inlineStr">
        <is>
          <t>Shop categories</t>
        </is>
      </c>
      <c r="F10" s="12" t="inlineStr">
        <is>
          <t>Admin-configurable category master: shop_categories + shop_category_mapping (many per shop), seeded from the 44 shop types and backfilled; registration requires at least one category; owners edit their own on /shop; operators/admins manage the list at /admin/shop-categories and assign per shop; uncategorised shops flagged; categories feed search relevance</t>
        </is>
      </c>
      <c r="G10" s="12" t="inlineStr">
        <is>
          <t>F8.3.2</t>
        </is>
      </c>
      <c r="H10" s="12" t="inlineStr">
        <is>
          <t>P0</t>
        </is>
      </c>
      <c r="I10" s="10" t="inlineStr">
        <is>
          <t>COMPLETED</t>
        </is>
      </c>
      <c r="J10" s="12" t="inlineStr">
        <is>
          <t>Production (gokesari.com)</t>
        </is>
      </c>
      <c r="K10" s="12" t="inlineStr">
        <is>
          <t>Live</t>
        </is>
      </c>
      <c r="L10" s="12" t="inlineStr">
        <is>
          <t>#23 (shop categories); #30 (explicit Save)</t>
        </is>
      </c>
      <c r="M10" s="12" t="inlineStr">
        <is>
          <t>#23; #32</t>
        </is>
      </c>
      <c r="N10" s="12" t="inlineStr">
        <is>
          <t>-</t>
        </is>
      </c>
      <c r="O10" s="12" t="inlineStr">
        <is>
          <t>-</t>
        </is>
      </c>
      <c r="P10" s="12" t="inlineStr">
        <is>
          <t>COMPLETED</t>
        </is>
      </c>
      <c r="Q10" s="12" t="inlineStr">
        <is>
          <t>No change</t>
        </is>
      </c>
      <c r="R10" s="12" t="inlineStr">
        <is>
          <t>src/server/services/shop-categories.ts; src/app/admin/shop-categories/page.tsx; drizzle/0035</t>
        </is>
      </c>
    </row>
    <row r="11" ht="39" customFormat="1" customHeight="1" s="2">
      <c r="A11" s="10" t="n">
        <v>10</v>
      </c>
      <c r="B11" s="12" t="inlineStr">
        <is>
          <t>Feature Master</t>
        </is>
      </c>
      <c r="C11" s="9" t="inlineStr">
        <is>
          <t>GS-010</t>
        </is>
      </c>
      <c r="D11" s="12" t="inlineStr">
        <is>
          <t>Shop Onboarding</t>
        </is>
      </c>
      <c r="E11" s="12" t="inlineStr">
        <is>
          <t>Service radius / delivery zone</t>
        </is>
      </c>
      <c r="F11" s="12" t="inlineStr">
        <is>
          <t>shops.service_radius_km (1-50 km) editable by the shop; Phase B added extra delivery zones by PIN code (shops.delivery_pincodes), honoured by serviceability, checkout and discovery</t>
        </is>
      </c>
      <c r="G11" s="12" t="inlineStr">
        <is>
          <t>F8.3.3</t>
        </is>
      </c>
      <c r="H11" s="12" t="inlineStr">
        <is>
          <t>P0</t>
        </is>
      </c>
      <c r="I11" s="10" t="inlineStr">
        <is>
          <t>COMPLETED</t>
        </is>
      </c>
      <c r="J11" s="12" t="inlineStr">
        <is>
          <t>Production (gokesari.com)</t>
        </is>
      </c>
      <c r="K11" s="12" t="inlineStr">
        <is>
          <t>Live</t>
        </is>
      </c>
      <c r="L11" s="12" t="inlineStr">
        <is>
          <t>Baseline; #10 (delivery radius); #23 (Phase B PIN zones)</t>
        </is>
      </c>
      <c r="M11" s="12" t="inlineStr">
        <is>
          <t>Baseline; #14; #23</t>
        </is>
      </c>
      <c r="N11" s="12" t="inlineStr">
        <is>
          <t>-</t>
        </is>
      </c>
      <c r="O11" s="12" t="inlineStr">
        <is>
          <t>-</t>
        </is>
      </c>
      <c r="P11" s="12" t="inlineStr">
        <is>
          <t>COMPLETED</t>
        </is>
      </c>
      <c r="Q11" s="12" t="inlineStr">
        <is>
          <t>No change</t>
        </is>
      </c>
      <c r="R11" s="12" t="inlineStr">
        <is>
          <t>src/server/services/serviceability.ts; src/server/db/schema.ts:691; drizzle/0019, 0026</t>
        </is>
      </c>
    </row>
    <row r="12" ht="39" customFormat="1" customHeight="1" s="2">
      <c r="A12" s="10" t="n">
        <v>11</v>
      </c>
      <c r="B12" s="12" t="inlineStr">
        <is>
          <t>Feature Master</t>
        </is>
      </c>
      <c r="C12" s="9" t="inlineStr">
        <is>
          <t>GS-011</t>
        </is>
      </c>
      <c r="D12" s="12" t="inlineStr">
        <is>
          <t>Catalog</t>
        </is>
      </c>
      <c r="E12" s="12" t="inlineStr">
        <is>
          <t>Product master</t>
        </is>
      </c>
      <c r="F12" s="12" t="inlineStr">
        <is>
          <t>Central product catalogue (products) with brand, pack size, GTIN, HSN, GST rate and MRP; fed by the Product Master Data Platform (PMD) and the category master; shop-created products go through an approval queue.</t>
        </is>
      </c>
      <c r="G12" s="12" t="inlineStr">
        <is>
          <t>-</t>
        </is>
      </c>
      <c r="H12" s="12" t="inlineStr">
        <is>
          <t>P0</t>
        </is>
      </c>
      <c r="I12" s="10" t="inlineStr">
        <is>
          <t>COMPLETED</t>
        </is>
      </c>
      <c r="J12" s="12" t="inlineStr">
        <is>
          <t>Production (gokesari.com)</t>
        </is>
      </c>
      <c r="K12" s="12" t="inlineStr">
        <is>
          <t>Live</t>
        </is>
      </c>
      <c r="L12" s="12" t="inlineStr">
        <is>
          <t>Baseline (product identity/MRP); #4 (Product Master platform); #38 (category master)</t>
        </is>
      </c>
      <c r="M12" s="12" t="inlineStr">
        <is>
          <t>Baseline; #8; #43</t>
        </is>
      </c>
      <c r="N12" s="12" t="inlineStr">
        <is>
          <t>-</t>
        </is>
      </c>
      <c r="O12" s="12" t="inlineStr">
        <is>
          <t>-</t>
        </is>
      </c>
      <c r="P12" s="12" t="inlineStr">
        <is>
          <t>COMPLETED</t>
        </is>
      </c>
      <c r="Q12" s="12" t="inlineStr">
        <is>
          <t>No change</t>
        </is>
      </c>
      <c r="R12" s="12" t="inlineStr">
        <is>
          <t>-</t>
        </is>
      </c>
    </row>
    <row r="13" ht="39" customFormat="1" customHeight="1" s="2">
      <c r="A13" s="10" t="n">
        <v>12</v>
      </c>
      <c r="B13" s="12" t="inlineStr">
        <is>
          <t>Feature Master</t>
        </is>
      </c>
      <c r="C13" s="9" t="inlineStr">
        <is>
          <t>GS-012</t>
        </is>
      </c>
      <c r="D13" s="12" t="inlineStr">
        <is>
          <t>Catalog</t>
        </is>
      </c>
      <c r="E13" s="12" t="inlineStr">
        <is>
          <t>Shop catalog mapping</t>
        </is>
      </c>
      <c r="F13" s="12" t="inlineStr">
        <is>
          <t>Each shop lists master products as its own listings (shop_products) with its own online and in-shop price, stock and availability; listings follow the shop's product categories.</t>
        </is>
      </c>
      <c r="G13" s="12" t="inlineStr">
        <is>
          <t>F9.2.2</t>
        </is>
      </c>
      <c r="H13" s="12" t="inlineStr">
        <is>
          <t>P0</t>
        </is>
      </c>
      <c r="I13" s="10" t="inlineStr">
        <is>
          <t>COMPLETED</t>
        </is>
      </c>
      <c r="J13" s="12" t="inlineStr">
        <is>
          <t>Production (gokesari.com)</t>
        </is>
      </c>
      <c r="K13" s="12" t="inlineStr">
        <is>
          <t>Live</t>
        </is>
      </c>
      <c r="L13" s="12" t="inlineStr">
        <is>
          <t>Baseline (shop-created products); #38 (category visibility); #45 (inventory fill)</t>
        </is>
      </c>
      <c r="M13" s="12" t="inlineStr">
        <is>
          <t>Baseline; #43; #47</t>
        </is>
      </c>
      <c r="N13" s="12" t="inlineStr">
        <is>
          <t>-</t>
        </is>
      </c>
      <c r="O13" s="12" t="inlineStr">
        <is>
          <t>-</t>
        </is>
      </c>
      <c r="P13" s="12" t="inlineStr">
        <is>
          <t>COMPLETED</t>
        </is>
      </c>
      <c r="Q13" s="12" t="inlineStr">
        <is>
          <t>No change</t>
        </is>
      </c>
      <c r="R13" s="12" t="inlineStr">
        <is>
          <t>-</t>
        </is>
      </c>
    </row>
    <row r="14" ht="39" customFormat="1" customHeight="1" s="2">
      <c r="A14" s="10" t="n">
        <v>13</v>
      </c>
      <c r="B14" s="12" t="inlineStr">
        <is>
          <t>Feature Master</t>
        </is>
      </c>
      <c r="C14" s="9" t="inlineStr">
        <is>
          <t>GS-013</t>
        </is>
      </c>
      <c r="D14" s="12" t="inlineStr">
        <is>
          <t>Catalog</t>
        </is>
      </c>
      <c r="E14" s="12" t="inlineStr">
        <is>
          <t>Bulk product upload</t>
        </is>
      </c>
      <c r="F14" s="12" t="inlineStr">
        <is>
          <t>Excel goods/price upload in two phases: validate every row and show a preview (nothing written), then apply valid rows through the normal price-approval workflow.</t>
        </is>
      </c>
      <c r="G14" s="12" t="inlineStr">
        <is>
          <t>F9.2.2</t>
        </is>
      </c>
      <c r="H14" s="12" t="inlineStr">
        <is>
          <t>P0</t>
        </is>
      </c>
      <c r="I14" s="10" t="inlineStr">
        <is>
          <t>COMPLETED</t>
        </is>
      </c>
      <c r="J14" s="12" t="inlineStr">
        <is>
          <t>Production (gokesari.com)</t>
        </is>
      </c>
      <c r="K14" s="12" t="inlineStr">
        <is>
          <t>Live</t>
        </is>
      </c>
      <c r="L14" s="12" t="inlineStr">
        <is>
          <t>Baseline (Excel upload); #38 (category by name in Excel)</t>
        </is>
      </c>
      <c r="M14" s="12" t="inlineStr">
        <is>
          <t>Baseline; #43</t>
        </is>
      </c>
      <c r="N14" s="12" t="inlineStr">
        <is>
          <t>-</t>
        </is>
      </c>
      <c r="O14" s="12" t="inlineStr">
        <is>
          <t>-</t>
        </is>
      </c>
      <c r="P14" s="12" t="inlineStr">
        <is>
          <t>COMPLETED</t>
        </is>
      </c>
      <c r="Q14" s="12" t="inlineStr">
        <is>
          <t>No change</t>
        </is>
      </c>
      <c r="R14" s="12" t="inlineStr">
        <is>
          <t>-</t>
        </is>
      </c>
    </row>
    <row r="15" ht="39" customFormat="1" customHeight="1" s="2">
      <c r="A15" s="10" t="n">
        <v>14</v>
      </c>
      <c r="B15" s="12" t="inlineStr">
        <is>
          <t>Feature Master</t>
        </is>
      </c>
      <c r="C15" s="9" t="inlineStr">
        <is>
          <t>GS-014</t>
        </is>
      </c>
      <c r="D15" s="12" t="inlineStr">
        <is>
          <t>Catalog</t>
        </is>
      </c>
      <c r="E15" s="12" t="inlineStr">
        <is>
          <t>Product images/specifications</t>
        </is>
      </c>
      <c r="F15" s="12" t="inlineStr">
        <is>
          <t>Image store with several images per product/listing, primary, reorder, alt text; F10 moderation queue (pending -&gt; approve / reject with reason) at /admin/image-moderation; existing photos stay live.</t>
        </is>
      </c>
      <c r="G15" s="12" t="inlineStr">
        <is>
          <t>F9.2.4</t>
        </is>
      </c>
      <c r="H15" s="12" t="inlineStr">
        <is>
          <t>P1</t>
        </is>
      </c>
      <c r="I15" s="10" t="inlineStr">
        <is>
          <t>COMPLETED</t>
        </is>
      </c>
      <c r="J15" s="12" t="inlineStr">
        <is>
          <t>Production - built, switched off by default</t>
        </is>
      </c>
      <c r="K15" s="12" t="inlineStr">
        <is>
          <t>Off by default - switch on in Admin &gt; Business rules (rule: imageModeration.enabled)</t>
        </is>
      </c>
      <c r="L15" s="12" t="inlineStr">
        <is>
          <t>#23 (Phase E image store, Phase I image mgmt); #55 (F10 moderation); #79 (photo catalogue)</t>
        </is>
      </c>
      <c r="M15" s="12" t="inlineStr">
        <is>
          <t>#23; #57; #82</t>
        </is>
      </c>
      <c r="N15" s="12" t="inlineStr">
        <is>
          <t>-</t>
        </is>
      </c>
      <c r="O15" s="12" t="inlineStr">
        <is>
          <t>-</t>
        </is>
      </c>
      <c r="P15" s="12" t="inlineStr">
        <is>
          <t>COMPLETED</t>
        </is>
      </c>
      <c r="Q15" s="12" t="inlineStr">
        <is>
          <t>No change</t>
        </is>
      </c>
      <c r="R15" s="12" t="inlineStr">
        <is>
          <t>src/server/services/product-images.ts; drizzle/0049_image_moderation.sql; tests/integration/image-moderation.test.ts</t>
        </is>
      </c>
    </row>
    <row r="16" ht="63" customFormat="1" customHeight="1" s="2">
      <c r="A16" s="10" t="n">
        <v>15</v>
      </c>
      <c r="B16" s="12" t="inlineStr">
        <is>
          <t>Feature Master</t>
        </is>
      </c>
      <c r="C16" s="9" t="inlineStr">
        <is>
          <t>GS-015</t>
        </is>
      </c>
      <c r="D16" s="12" t="inlineStr">
        <is>
          <t>Catalog</t>
        </is>
      </c>
      <c r="E16" s="12" t="inlineStr">
        <is>
          <t>MRP / selling price / discount</t>
        </is>
      </c>
      <c r="F16" s="12" t="inlineStr">
        <is>
          <t>MRP governance: a selling price above an enforced MRP is refused everywhere a shop price is written (assertPriceWithinMrp on both catalogue write paths); MRP provenance and verification status; MRP drops notify shops without touching prices; shop MRP corrections decided by operations; violations report; MRP shown on the product page</t>
        </is>
      </c>
      <c r="G16" s="12" t="inlineStr">
        <is>
          <t>F9.2.3</t>
        </is>
      </c>
      <c r="H16" s="12" t="inlineStr">
        <is>
          <t>P0</t>
        </is>
      </c>
      <c r="I16" s="10" t="inlineStr">
        <is>
          <t>COMPLETED</t>
        </is>
      </c>
      <c r="J16" s="12" t="inlineStr">
        <is>
          <t>Production (gokesari.com)</t>
        </is>
      </c>
      <c r="K16" s="12" t="inlineStr">
        <is>
          <t>Live</t>
        </is>
      </c>
      <c r="L16" s="12" t="inlineStr">
        <is>
          <t>Baseline (MRP); #23 (Phase I MRP governance); #45 (per-shop prices)</t>
        </is>
      </c>
      <c r="M16" s="12" t="inlineStr">
        <is>
          <t>Baseline; #23; #47</t>
        </is>
      </c>
      <c r="N16" s="12" t="inlineStr">
        <is>
          <t>-</t>
        </is>
      </c>
      <c r="O16" s="12" t="inlineStr">
        <is>
          <t>-</t>
        </is>
      </c>
      <c r="P16" s="12" t="inlineStr">
        <is>
          <t>COMPLETED</t>
        </is>
      </c>
      <c r="Q16" s="12" t="inlineStr">
        <is>
          <t>No change</t>
        </is>
      </c>
      <c r="R16" s="12" t="inlineStr">
        <is>
          <t>src/server/services/mrp-governance.ts; src/server/services/catalogue.ts:617,710; src/app/admin/mrp/page.tsx; drizzle/0032</t>
        </is>
      </c>
    </row>
    <row r="17" ht="63" customFormat="1" customHeight="1" s="2">
      <c r="A17" s="10" t="n">
        <v>16</v>
      </c>
      <c r="B17" s="12" t="inlineStr">
        <is>
          <t>Feature Master</t>
        </is>
      </c>
      <c r="C17" s="9" t="inlineStr">
        <is>
          <t>GS-016</t>
        </is>
      </c>
      <c r="D17" s="12" t="inlineStr">
        <is>
          <t>Inventory</t>
        </is>
      </c>
      <c r="E17" s="12" t="inlineStr">
        <is>
          <t>Stock quantity</t>
        </is>
      </c>
      <c r="F17" s="12" t="inlineStr">
        <is>
          <t>Shop owners keep online and in-shop stock per listing on the inventory page; checkout refuses out-of-stock lines and restocks on cancellation.</t>
        </is>
      </c>
      <c r="G17" s="12" t="inlineStr">
        <is>
          <t>F1.8.1, F9.2.3</t>
        </is>
      </c>
      <c r="H17" s="12" t="inlineStr">
        <is>
          <t>P0</t>
        </is>
      </c>
      <c r="I17" s="10" t="inlineStr">
        <is>
          <t>COMPLETED</t>
        </is>
      </c>
      <c r="J17" s="12" t="inlineStr">
        <is>
          <t>Production (gokesari.com)</t>
        </is>
      </c>
      <c r="K17" s="12" t="inlineStr">
        <is>
          <t>Live</t>
        </is>
      </c>
      <c r="L17" s="12" t="inlineStr">
        <is>
          <t>Baseline</t>
        </is>
      </c>
      <c r="M17" s="12" t="inlineStr">
        <is>
          <t>Baseline</t>
        </is>
      </c>
      <c r="N17" s="12" t="inlineStr">
        <is>
          <t>-</t>
        </is>
      </c>
      <c r="O17" s="12" t="inlineStr">
        <is>
          <t>-</t>
        </is>
      </c>
      <c r="P17" s="12" t="inlineStr">
        <is>
          <t>COMPLETED</t>
        </is>
      </c>
      <c r="Q17" s="12" t="inlineStr">
        <is>
          <t>No change</t>
        </is>
      </c>
      <c r="R17" s="12" t="inlineStr">
        <is>
          <t>-</t>
        </is>
      </c>
    </row>
    <row r="18" ht="27" customFormat="1" customHeight="1" s="2">
      <c r="A18" s="10" t="n">
        <v>17</v>
      </c>
      <c r="B18" s="12" t="inlineStr">
        <is>
          <t>Feature Master</t>
        </is>
      </c>
      <c r="C18" s="9" t="inlineStr">
        <is>
          <t>GS-017</t>
        </is>
      </c>
      <c r="D18" s="12" t="inlineStr">
        <is>
          <t>Inventory</t>
        </is>
      </c>
      <c r="E18" s="12" t="inlineStr">
        <is>
          <t>Low-stock threshold</t>
        </is>
      </c>
      <c r="F18" s="12" t="inlineStr">
        <is>
          <t>Extended by GS-018 (three-level thresholds, Phase I)</t>
        </is>
      </c>
      <c r="G18" s="12" t="inlineStr">
        <is>
          <t>F9.2.3</t>
        </is>
      </c>
      <c r="H18" s="12" t="inlineStr">
        <is>
          <t>P1</t>
        </is>
      </c>
      <c r="I18" s="10" t="inlineStr">
        <is>
          <t>COMPLETED</t>
        </is>
      </c>
      <c r="J18" s="12" t="inlineStr">
        <is>
          <t>Production (gokesari.com)</t>
        </is>
      </c>
      <c r="K18" s="12" t="inlineStr">
        <is>
          <t>Live</t>
        </is>
      </c>
      <c r="L18" s="12" t="inlineStr">
        <is>
          <t>Baseline (thresholds + alerts); #23 (Phase I)</t>
        </is>
      </c>
      <c r="M18" s="12" t="inlineStr">
        <is>
          <t>Baseline; #23</t>
        </is>
      </c>
      <c r="N18" s="12" t="inlineStr">
        <is>
          <t>-</t>
        </is>
      </c>
      <c r="O18" s="12" t="inlineStr">
        <is>
          <t>-</t>
        </is>
      </c>
      <c r="P18" s="12" t="inlineStr">
        <is>
          <t>COMPLETED</t>
        </is>
      </c>
      <c r="Q18" s="12" t="inlineStr">
        <is>
          <t>No change</t>
        </is>
      </c>
      <c r="R18" s="12" t="inlineStr">
        <is>
          <t>-</t>
        </is>
      </c>
    </row>
    <row r="19" ht="51" customFormat="1" customHeight="1" s="2">
      <c r="A19" s="10" t="n">
        <v>18</v>
      </c>
      <c r="B19" s="12" t="inlineStr">
        <is>
          <t>Feature Master</t>
        </is>
      </c>
      <c r="C19" s="9" t="inlineStr">
        <is>
          <t>GS-018</t>
        </is>
      </c>
      <c r="D19" s="12" t="inlineStr">
        <is>
          <t>Inventory</t>
        </is>
      </c>
      <c r="E19" s="12" t="inlineStr">
        <is>
          <t>Reorder level / quantity</t>
        </is>
      </c>
      <c r="F19" s="12" t="inlineStr">
        <is>
          <t>Low-stock threshold, reorder level and reorder quantity resolved at listing -&gt; product -&gt; shop level with an explicit opt-out and the source reported; reserved / available / on-hand; one notification per new alert; hand-edited stock now writes the ledger and re-checks alerts</t>
        </is>
      </c>
      <c r="G19" s="12" t="inlineStr">
        <is>
          <t>F9.2.3</t>
        </is>
      </c>
      <c r="H19" s="12" t="inlineStr">
        <is>
          <t>P1</t>
        </is>
      </c>
      <c r="I19" s="10" t="inlineStr">
        <is>
          <t>COMPLETED</t>
        </is>
      </c>
      <c r="J19" s="12" t="inlineStr">
        <is>
          <t>Production (gokesari.com)</t>
        </is>
      </c>
      <c r="K19" s="12" t="inlineStr">
        <is>
          <t>Live</t>
        </is>
      </c>
      <c r="L19" s="12" t="inlineStr">
        <is>
          <t>Baseline; #23 (Phase I)</t>
        </is>
      </c>
      <c r="M19" s="12" t="inlineStr">
        <is>
          <t>Baseline; #23</t>
        </is>
      </c>
      <c r="N19" s="12" t="inlineStr">
        <is>
          <t>Analytics-driven replenishment suggestions (enhancement)</t>
        </is>
      </c>
      <c r="O19" s="12" t="inlineStr">
        <is>
          <t>-</t>
        </is>
      </c>
      <c r="P19" s="12" t="inlineStr">
        <is>
          <t>COMPLETED</t>
        </is>
      </c>
      <c r="Q19" s="12" t="inlineStr">
        <is>
          <t>No change</t>
        </is>
      </c>
      <c r="R19" s="12" t="inlineStr">
        <is>
          <t>src/server/services/inventory-alerts.ts; src/app/shop/inventory/page.tsx; drizzle/0033</t>
        </is>
      </c>
    </row>
    <row r="20" ht="27" customFormat="1" customHeight="1" s="2">
      <c r="A20" s="10" t="n">
        <v>19</v>
      </c>
      <c r="B20" s="12" t="inlineStr">
        <is>
          <t>Feature Master</t>
        </is>
      </c>
      <c r="C20" s="9" t="inlineStr">
        <is>
          <t>GS-019</t>
        </is>
      </c>
      <c r="D20" s="12" t="inlineStr">
        <is>
          <t>Search</t>
        </is>
      </c>
      <c r="E20" s="12" t="inlineStr">
        <is>
          <t>Shop search</t>
        </is>
      </c>
      <c r="F20" s="12" t="inlineStr">
        <is>
          <t>Shops that deliver to the location, nearest first, with distance</t>
        </is>
      </c>
      <c r="G20" s="12" t="inlineStr">
        <is>
          <t>F1.3.1</t>
        </is>
      </c>
      <c r="H20" s="12" t="inlineStr">
        <is>
          <t>P0</t>
        </is>
      </c>
      <c r="I20" s="10" t="inlineStr">
        <is>
          <t>COMPLETED</t>
        </is>
      </c>
      <c r="J20" s="12" t="inlineStr">
        <is>
          <t>Production (gokesari.com)</t>
        </is>
      </c>
      <c r="K20" s="12" t="inlineStr">
        <is>
          <t>Live</t>
        </is>
      </c>
      <c r="L20" s="12" t="inlineStr">
        <is>
          <t>#10 (serviceable discovery); #83 (Shops filter/sort)</t>
        </is>
      </c>
      <c r="M20" s="12" t="inlineStr">
        <is>
          <t>#14; #84</t>
        </is>
      </c>
      <c r="N20" s="12" t="inlineStr">
        <is>
          <t>-</t>
        </is>
      </c>
      <c r="O20" s="12" t="inlineStr">
        <is>
          <t>-</t>
        </is>
      </c>
      <c r="P20" s="12" t="inlineStr">
        <is>
          <t>COMPLETED</t>
        </is>
      </c>
      <c r="Q20" s="12" t="inlineStr">
        <is>
          <t>No change</t>
        </is>
      </c>
      <c r="R20" s="12" t="inlineStr">
        <is>
          <t>src/server/services/serviceability.ts</t>
        </is>
      </c>
    </row>
    <row r="21" ht="27" customFormat="1" customHeight="1" s="2">
      <c r="A21" s="10" t="n">
        <v>20</v>
      </c>
      <c r="B21" s="12" t="inlineStr">
        <is>
          <t>Feature Master</t>
        </is>
      </c>
      <c r="C21" s="9" t="inlineStr">
        <is>
          <t>GS-020</t>
        </is>
      </c>
      <c r="D21" s="12" t="inlineStr">
        <is>
          <t>Search</t>
        </is>
      </c>
      <c r="E21" s="12" t="inlineStr">
        <is>
          <t>Product search</t>
        </is>
      </c>
      <c r="F21" s="12" t="inlineStr">
        <is>
          <t>Product search limited to serviceable shops, nearest first</t>
        </is>
      </c>
      <c r="G21" s="12" t="inlineStr">
        <is>
          <t>F1.3.2</t>
        </is>
      </c>
      <c r="H21" s="12" t="inlineStr">
        <is>
          <t>P0</t>
        </is>
      </c>
      <c r="I21" s="10" t="inlineStr">
        <is>
          <t>COMPLETED</t>
        </is>
      </c>
      <c r="J21" s="12" t="inlineStr">
        <is>
          <t>Production (gokesari.com)</t>
        </is>
      </c>
      <c r="K21" s="12" t="inlineStr">
        <is>
          <t>Live</t>
        </is>
      </c>
      <c r="L21" s="12" t="inlineStr">
        <is>
          <t>Baseline; #10; #48 (search bar row); #83 (search in header)</t>
        </is>
      </c>
      <c r="M21" s="12" t="inlineStr">
        <is>
          <t>Baseline; #14; #71; #84</t>
        </is>
      </c>
      <c r="N21" s="12" t="inlineStr">
        <is>
          <t>-</t>
        </is>
      </c>
      <c r="O21" s="12" t="inlineStr">
        <is>
          <t>-</t>
        </is>
      </c>
      <c r="P21" s="12" t="inlineStr">
        <is>
          <t>COMPLETED</t>
        </is>
      </c>
      <c r="Q21" s="12" t="inlineStr">
        <is>
          <t>No change</t>
        </is>
      </c>
      <c r="R21" s="12" t="inlineStr">
        <is>
          <t>src/app/search/page.tsx; src/server/services/catalogue.ts</t>
        </is>
      </c>
    </row>
    <row r="22" ht="15" customFormat="1" customHeight="1" s="2">
      <c r="A22" s="10" t="n">
        <v>21</v>
      </c>
      <c r="B22" s="12" t="inlineStr">
        <is>
          <t>Feature Master</t>
        </is>
      </c>
      <c r="C22" s="9" t="inlineStr">
        <is>
          <t>GS-021</t>
        </is>
      </c>
      <c r="D22" s="12" t="inlineStr">
        <is>
          <t>Search</t>
        </is>
      </c>
      <c r="E22" s="12" t="inlineStr">
        <is>
          <t>All shops selling product</t>
        </is>
      </c>
      <c r="F22" s="12" t="inlineStr">
        <is>
          <t>/products/{id}: every shop selling the product</t>
        </is>
      </c>
      <c r="G22" s="12" t="inlineStr">
        <is>
          <t>F1.3.3</t>
        </is>
      </c>
      <c r="H22" s="12" t="inlineStr">
        <is>
          <t>P0</t>
        </is>
      </c>
      <c r="I22" s="10" t="inlineStr">
        <is>
          <t>COMPLETED</t>
        </is>
      </c>
      <c r="J22" s="12" t="inlineStr">
        <is>
          <t>Production (gokesari.com)</t>
        </is>
      </c>
      <c r="K22" s="12" t="inlineStr">
        <is>
          <t>Live</t>
        </is>
      </c>
      <c r="L22" s="12" t="inlineStr">
        <is>
          <t>#10</t>
        </is>
      </c>
      <c r="M22" s="12" t="inlineStr">
        <is>
          <t>#14</t>
        </is>
      </c>
      <c r="N22" s="12" t="inlineStr">
        <is>
          <t>-</t>
        </is>
      </c>
      <c r="O22" s="12" t="inlineStr">
        <is>
          <t>-</t>
        </is>
      </c>
      <c r="P22" s="12" t="inlineStr">
        <is>
          <t>COMPLETED</t>
        </is>
      </c>
      <c r="Q22" s="12" t="inlineStr">
        <is>
          <t>No change</t>
        </is>
      </c>
      <c r="R22" s="12" t="inlineStr">
        <is>
          <t>src/app/products/[id]/page.tsx</t>
        </is>
      </c>
    </row>
    <row r="23" ht="27" customFormat="1" customHeight="1" s="2">
      <c r="A23" s="10" t="n">
        <v>22</v>
      </c>
      <c r="B23" s="12" t="inlineStr">
        <is>
          <t>Feature Master</t>
        </is>
      </c>
      <c r="C23" s="9" t="inlineStr">
        <is>
          <t>GS-022</t>
        </is>
      </c>
      <c r="D23" s="12" t="inlineStr">
        <is>
          <t>Comparison</t>
        </is>
      </c>
      <c r="E23" s="12" t="inlineStr">
        <is>
          <t>Local price comparison</t>
        </is>
      </c>
      <c r="F23" s="12" t="inlineStr">
        <is>
          <t>Per-unit / per-pack comparison, 'Lowest price', delivers-to-you</t>
        </is>
      </c>
      <c r="G23" s="12" t="inlineStr">
        <is>
          <t>F1.4.1</t>
        </is>
      </c>
      <c r="H23" s="12" t="inlineStr">
        <is>
          <t>P0</t>
        </is>
      </c>
      <c r="I23" s="10" t="inlineStr">
        <is>
          <t>COMPLETED</t>
        </is>
      </c>
      <c r="J23" s="12" t="inlineStr">
        <is>
          <t>Production (gokesari.com)</t>
        </is>
      </c>
      <c r="K23" s="12" t="inlineStr">
        <is>
          <t>Live</t>
        </is>
      </c>
      <c r="L23" s="12" t="inlineStr">
        <is>
          <t>#10; #55 (F9 home comparison); #72 (faster query)</t>
        </is>
      </c>
      <c r="M23" s="12" t="inlineStr">
        <is>
          <t>#14; #57; #73</t>
        </is>
      </c>
      <c r="N23" s="12" t="inlineStr">
        <is>
          <t>-</t>
        </is>
      </c>
      <c r="O23" s="12" t="inlineStr">
        <is>
          <t>-</t>
        </is>
      </c>
      <c r="P23" s="12" t="inlineStr">
        <is>
          <t>COMPLETED</t>
        </is>
      </c>
      <c r="Q23" s="12" t="inlineStr">
        <is>
          <t>No change</t>
        </is>
      </c>
      <c r="R23" s="12" t="inlineStr">
        <is>
          <t>src/app/products/[id]/page.tsx</t>
        </is>
      </c>
    </row>
    <row r="24" ht="39" customFormat="1" customHeight="1" s="2">
      <c r="A24" s="10" t="n">
        <v>23</v>
      </c>
      <c r="B24" s="12" t="inlineStr">
        <is>
          <t>Feature Master</t>
        </is>
      </c>
      <c r="C24" s="9" t="inlineStr">
        <is>
          <t>GS-023</t>
        </is>
      </c>
      <c r="D24" s="12" t="inlineStr">
        <is>
          <t>Comparison</t>
        </is>
      </c>
      <c r="E24" s="12" t="inlineStr">
        <is>
          <t>E-commerce price benchmark</t>
        </is>
      </c>
      <c r="F24" s="12" t="inlineStr">
        <is>
          <t>External reference prices with source, time, location, URL, verification and audit history; shops and operations see them.</t>
        </is>
      </c>
      <c r="G24" s="12" t="inlineStr">
        <is>
          <t>F1.4.3</t>
        </is>
      </c>
      <c r="H24" s="12" t="inlineStr">
        <is>
          <t>P1</t>
        </is>
      </c>
      <c r="I24" s="10" t="inlineStr">
        <is>
          <t>BLOCKED</t>
        </is>
      </c>
      <c r="J24" s="12" t="inlineStr">
        <is>
          <t>Production - partly live</t>
        </is>
      </c>
      <c r="K24" s="12" t="inlineStr">
        <is>
          <t>Hidden from customers (externalPrices.showToCustomers = false)</t>
        </is>
      </c>
      <c r="L24" s="12" t="inlineStr">
        <is>
          <t>#23 (Phase I external price references)</t>
        </is>
      </c>
      <c r="M24" s="12" t="inlineStr">
        <is>
          <t>#23</t>
        </is>
      </c>
      <c r="N24" s="12" t="inlineStr">
        <is>
          <t>Turn on the customer display - one rule flip, no code.</t>
        </is>
      </c>
      <c r="O24" s="12" t="inlineStr">
        <is>
          <t>D7 - lawful / licensed price source</t>
        </is>
      </c>
      <c r="P24" s="12" t="inlineStr">
        <is>
          <t>BLOCKED</t>
        </is>
      </c>
      <c r="Q24" s="12" t="inlineStr">
        <is>
          <t>No change</t>
        </is>
      </c>
      <c r="R24" s="12" t="inlineStr">
        <is>
          <t>src/server/config/rules.ts (externalPrices)</t>
        </is>
      </c>
    </row>
    <row r="25" ht="27" customFormat="1" customHeight="1" s="2">
      <c r="A25" s="10" t="n">
        <v>24</v>
      </c>
      <c r="B25" s="12" t="inlineStr">
        <is>
          <t>Feature Master</t>
        </is>
      </c>
      <c r="C25" s="9" t="inlineStr">
        <is>
          <t>GS-024</t>
        </is>
      </c>
      <c r="D25" s="12" t="inlineStr">
        <is>
          <t>Cart</t>
        </is>
      </c>
      <c r="E25" s="12" t="inlineStr">
        <is>
          <t>Single-shop cart</t>
        </is>
      </c>
      <c r="F25" s="12" t="inlineStr">
        <is>
          <t>Cart built from one shop's listings with quantity changes and live totals; card-level add / - / + / Remove controls.</t>
        </is>
      </c>
      <c r="G25" s="12" t="inlineStr">
        <is>
          <t>F1.5.1</t>
        </is>
      </c>
      <c r="H25" s="12" t="inlineStr">
        <is>
          <t>P0</t>
        </is>
      </c>
      <c r="I25" s="10" t="inlineStr">
        <is>
          <t>COMPLETED</t>
        </is>
      </c>
      <c r="J25" s="12" t="inlineStr">
        <is>
          <t>Production (gokesari.com)</t>
        </is>
      </c>
      <c r="K25" s="12" t="inlineStr">
        <is>
          <t>Live</t>
        </is>
      </c>
      <c r="L25" s="12" t="inlineStr">
        <is>
          <t>Baseline; #48 (card quantity controls); #72 (cart state after reload)</t>
        </is>
      </c>
      <c r="M25" s="12" t="inlineStr">
        <is>
          <t>Baseline; #71; #73</t>
        </is>
      </c>
      <c r="N25" s="12" t="inlineStr">
        <is>
          <t>-</t>
        </is>
      </c>
      <c r="O25" s="12" t="inlineStr">
        <is>
          <t>-</t>
        </is>
      </c>
      <c r="P25" s="12" t="inlineStr">
        <is>
          <t>COMPLETED</t>
        </is>
      </c>
      <c r="Q25" s="12" t="inlineStr">
        <is>
          <t>No change</t>
        </is>
      </c>
      <c r="R25" s="12" t="inlineStr">
        <is>
          <t>-</t>
        </is>
      </c>
    </row>
    <row r="26" ht="27" customFormat="1" customHeight="1" s="2">
      <c r="A26" s="10" t="n">
        <v>25</v>
      </c>
      <c r="B26" s="12" t="inlineStr">
        <is>
          <t>Feature Master</t>
        </is>
      </c>
      <c r="C26" s="9" t="inlineStr">
        <is>
          <t>GS-025</t>
        </is>
      </c>
      <c r="D26" s="12" t="inlineStr">
        <is>
          <t>Cart</t>
        </is>
      </c>
      <c r="E26" s="12" t="inlineStr">
        <is>
          <t>Multi-shop cart</t>
        </is>
      </c>
      <c r="F26" s="12" t="inlineStr">
        <is>
          <t>One cart can hold items from several shops; checkout creates one order per shop with per-shop validation and delivery charges.</t>
        </is>
      </c>
      <c r="G26" s="12" t="inlineStr">
        <is>
          <t>F1.5.2</t>
        </is>
      </c>
      <c r="H26" s="12" t="inlineStr">
        <is>
          <t>P1</t>
        </is>
      </c>
      <c r="I26" s="10" t="inlineStr">
        <is>
          <t>COMPLETED</t>
        </is>
      </c>
      <c r="J26" s="12" t="inlineStr">
        <is>
          <t>Production (gokesari.com)</t>
        </is>
      </c>
      <c r="K26" s="12" t="inlineStr">
        <is>
          <t>Live</t>
        </is>
      </c>
      <c r="L26" s="12" t="inlineStr">
        <is>
          <t>Baseline; #10</t>
        </is>
      </c>
      <c r="M26" s="12" t="inlineStr">
        <is>
          <t>Baseline; #14</t>
        </is>
      </c>
      <c r="N26" s="12" t="inlineStr">
        <is>
          <t>-</t>
        </is>
      </c>
      <c r="O26" s="12" t="inlineStr">
        <is>
          <t>-</t>
        </is>
      </c>
      <c r="P26" s="12" t="inlineStr">
        <is>
          <t>COMPLETED</t>
        </is>
      </c>
      <c r="Q26" s="12" t="inlineStr">
        <is>
          <t>No change</t>
        </is>
      </c>
      <c r="R26" s="12" t="inlineStr">
        <is>
          <t>-</t>
        </is>
      </c>
    </row>
    <row r="27" ht="63" customFormat="1" customHeight="1" s="2">
      <c r="A27" s="10" t="n">
        <v>26</v>
      </c>
      <c r="B27" s="12" t="inlineStr">
        <is>
          <t>Feature Master</t>
        </is>
      </c>
      <c r="C27" s="9" t="inlineStr">
        <is>
          <t>GS-026</t>
        </is>
      </c>
      <c r="D27" s="12" t="inlineStr">
        <is>
          <t>Checkout</t>
        </is>
      </c>
      <c r="E27" s="12" t="inlineStr">
        <is>
          <t>Address validation</t>
        </is>
      </c>
      <c r="F27" s="12" t="inlineStr">
        <is>
          <t>Cart warning, then a checkout hard block when a shop does not deliver to the address. Phase B added a cart-validation service that re-checks every shop in the cart against the chosen location - deliverable, paused, unavailable items, minimum order, delivery charge, closed-now - each with an action, re-running when the address changes</t>
        </is>
      </c>
      <c r="G27" s="12" t="inlineStr">
        <is>
          <t>F1.5.3, F1.6.1, F1.8.1</t>
        </is>
      </c>
      <c r="H27" s="12" t="inlineStr">
        <is>
          <t>P0</t>
        </is>
      </c>
      <c r="I27" s="10" t="inlineStr">
        <is>
          <t>COMPLETED</t>
        </is>
      </c>
      <c r="J27" s="12" t="inlineStr">
        <is>
          <t>Production (gokesari.com)</t>
        </is>
      </c>
      <c r="K27" s="12" t="inlineStr">
        <is>
          <t>Live</t>
        </is>
      </c>
      <c r="L27" s="12" t="inlineStr">
        <is>
          <t>#11 (serviceability block); #23 (Phase B revalidation); #31 (address required)</t>
        </is>
      </c>
      <c r="M27" s="12" t="inlineStr">
        <is>
          <t>#19; #23; #43</t>
        </is>
      </c>
      <c r="N27" s="12" t="inlineStr">
        <is>
          <t>-</t>
        </is>
      </c>
      <c r="O27" s="12" t="inlineStr">
        <is>
          <t>-</t>
        </is>
      </c>
      <c r="P27" s="12" t="inlineStr">
        <is>
          <t>COMPLETED</t>
        </is>
      </c>
      <c r="Q27" s="12" t="inlineStr">
        <is>
          <t>No change</t>
        </is>
      </c>
      <c r="R27" s="12" t="inlineStr">
        <is>
          <t>src/server/services/cart-validation.ts; src/app/api/cart/validate/route.ts</t>
        </is>
      </c>
    </row>
    <row r="28" ht="87" customFormat="1" customHeight="1" s="2">
      <c r="A28" s="10" t="n">
        <v>27</v>
      </c>
      <c r="B28" s="12" t="inlineStr">
        <is>
          <t>Feature Master</t>
        </is>
      </c>
      <c r="C28" s="9" t="inlineStr">
        <is>
          <t>GS-027</t>
        </is>
      </c>
      <c r="D28" s="12" t="inlineStr">
        <is>
          <t>Checkout</t>
        </is>
      </c>
      <c r="E28" s="12" t="inlineStr">
        <is>
          <t>Delivery slot</t>
        </is>
      </c>
      <c r="F28" s="12" t="inlineStr">
        <is>
          <t>EXPRESS_30 / STANDARD_60 / SCHEDULED windows with F5 capacity, plus a chosen date and time slot for a scheduled delivery: only future slots inside shop hours, after the cut-off and with places left are offered (per-slot and per-day limits); the place is re-checked under the slot lock at checkout so the last place cannot be taken twice; the slot is stored on the order and shown to customer, shop and rider; the rider search starts shortly before the slot. Deliver now is unchanged.</t>
        </is>
      </c>
      <c r="G28" s="12" t="inlineStr">
        <is>
          <t>F1.6.2</t>
        </is>
      </c>
      <c r="H28" s="12" t="inlineStr">
        <is>
          <t>P0</t>
        </is>
      </c>
      <c r="I28" s="10" t="inlineStr">
        <is>
          <t>COMPLETED</t>
        </is>
      </c>
      <c r="J28" s="12" t="inlineStr">
        <is>
          <t>Production - built, switched off by default</t>
        </is>
      </c>
      <c r="K28" s="12" t="inlineStr">
        <is>
          <t>Off by default - switch on in Admin &gt; Business rules (rules: scheduledSlots.enabled, deliverySlots.enabled)</t>
        </is>
      </c>
      <c r="L28" s="12" t="inlineStr">
        <is>
          <t>Baseline (delivery windows); #55 (F5 slot capacity); #58 (chosen time slot)</t>
        </is>
      </c>
      <c r="M28" s="12" t="inlineStr">
        <is>
          <t>Baseline; #57; #65</t>
        </is>
      </c>
      <c r="N28" s="12" t="inlineStr">
        <is>
          <t>-</t>
        </is>
      </c>
      <c r="O28" s="12" t="inlineStr">
        <is>
          <t>-</t>
        </is>
      </c>
      <c r="P28" s="12" t="inlineStr">
        <is>
          <t>COMPLETED</t>
        </is>
      </c>
      <c r="Q28" s="12" t="inlineStr">
        <is>
          <t>No change</t>
        </is>
      </c>
      <c r="R28" s="12" t="inlineStr">
        <is>
          <t>src/server/services/scheduled-slots.ts; drizzle/0053_scheduled_slots.sql; tests/integration/scheduled-slots.test.ts</t>
        </is>
      </c>
    </row>
    <row r="29" ht="63" customFormat="1" customHeight="1" s="2">
      <c r="A29" s="10" t="n">
        <v>28</v>
      </c>
      <c r="B29" s="12" t="inlineStr">
        <is>
          <t>Feature Master</t>
        </is>
      </c>
      <c r="C29" s="9" t="inlineStr">
        <is>
          <t>GS-028</t>
        </is>
      </c>
      <c r="D29" s="12" t="inlineStr">
        <is>
          <t>Payments</t>
        </is>
      </c>
      <c r="E29" s="12" t="inlineStr">
        <is>
          <t>UPI/card/netbanking gateway</t>
        </is>
      </c>
      <c r="F29" s="12" t="inlineStr">
        <is>
          <t>Cashfree live for wallet top-up only (create order, server verify, HMAC webhook, mock mode). Orders are paid by WALLET or COD; payment_method enum is still WALLET | COD.</t>
        </is>
      </c>
      <c r="G29" s="12" t="inlineStr">
        <is>
          <t>F1.7.1, F1.7.3</t>
        </is>
      </c>
      <c r="H29" s="12" t="inlineStr">
        <is>
          <t>P0</t>
        </is>
      </c>
      <c r="I29" s="10" t="inlineStr">
        <is>
          <t>BLOCKED</t>
        </is>
      </c>
      <c r="J29" s="12" t="inlineStr">
        <is>
          <t>Production - partly live</t>
        </is>
      </c>
      <c r="K29" s="12" t="inlineStr">
        <is>
          <t>Live</t>
        </is>
      </c>
      <c r="L29" s="12" t="inlineStr">
        <is>
          <t>Baseline (Cashfree wallet top-up)</t>
        </is>
      </c>
      <c r="M29" s="12" t="inlineStr">
        <is>
          <t>Baseline</t>
        </is>
      </c>
      <c r="N29" s="12" t="inlineStr">
        <is>
          <t>Per-order ONLINE payment via Cashfree hosted checkout (design signed off 1 Oct).</t>
        </is>
      </c>
      <c r="O29" s="12" t="inlineStr">
        <is>
          <t>Go-ahead to build per-order payment, or a decision to launch wallet + COD only</t>
        </is>
      </c>
      <c r="P29" s="12" t="inlineStr">
        <is>
          <t>BLOCKED</t>
        </is>
      </c>
      <c r="Q29" s="12" t="inlineStr">
        <is>
          <t>No change</t>
        </is>
      </c>
      <c r="R29" s="12" t="inlineStr">
        <is>
          <t>src/server/db/schema.ts:197 (paymentMethodEnum); src/server/services/payments.ts</t>
        </is>
      </c>
    </row>
    <row r="30" ht="39" customFormat="1" customHeight="1" s="2">
      <c r="A30" s="10" t="n">
        <v>29</v>
      </c>
      <c r="B30" s="12" t="inlineStr">
        <is>
          <t>Feature Master</t>
        </is>
      </c>
      <c r="C30" s="9" t="inlineStr">
        <is>
          <t>GS-029</t>
        </is>
      </c>
      <c r="D30" s="12" t="inlineStr">
        <is>
          <t>Payments</t>
        </is>
      </c>
      <c r="E30" s="12" t="inlineStr">
        <is>
          <t>Wallet</t>
        </is>
      </c>
      <c r="F30" s="12" t="inlineStr">
        <is>
          <t>Customer wallet with Cashfree top-up (UPI / card / netbanking), row-locked idempotent ledger, balance never negative; used to pay orders and subscriptions and to receive refunds.</t>
        </is>
      </c>
      <c r="G30" s="12" t="inlineStr">
        <is>
          <t>F1.7.1</t>
        </is>
      </c>
      <c r="H30" s="12" t="inlineStr">
        <is>
          <t>P1</t>
        </is>
      </c>
      <c r="I30" s="10" t="inlineStr">
        <is>
          <t>COMPLETED</t>
        </is>
      </c>
      <c r="J30" s="12" t="inlineStr">
        <is>
          <t>Production (gokesari.com)</t>
        </is>
      </c>
      <c r="K30" s="12" t="inlineStr">
        <is>
          <t>Live</t>
        </is>
      </c>
      <c r="L30" s="12" t="inlineStr">
        <is>
          <t>Baseline</t>
        </is>
      </c>
      <c r="M30" s="12" t="inlineStr">
        <is>
          <t>Baseline</t>
        </is>
      </c>
      <c r="N30" s="12" t="inlineStr">
        <is>
          <t>-</t>
        </is>
      </c>
      <c r="O30" s="12" t="inlineStr">
        <is>
          <t>-</t>
        </is>
      </c>
      <c r="P30" s="12" t="inlineStr">
        <is>
          <t>COMPLETED</t>
        </is>
      </c>
      <c r="Q30" s="12" t="inlineStr">
        <is>
          <t>No change</t>
        </is>
      </c>
      <c r="R30" s="12" t="inlineStr">
        <is>
          <t>-</t>
        </is>
      </c>
    </row>
    <row r="31" ht="39" customFormat="1" customHeight="1" s="2">
      <c r="A31" s="10" t="n">
        <v>30</v>
      </c>
      <c r="B31" s="12" t="inlineStr">
        <is>
          <t>Feature Master</t>
        </is>
      </c>
      <c r="C31" s="9" t="inlineStr">
        <is>
          <t>GS-030</t>
        </is>
      </c>
      <c r="D31" s="12" t="inlineStr">
        <is>
          <t>Payments</t>
        </is>
      </c>
      <c r="E31" s="12" t="inlineStr">
        <is>
          <t>COD</t>
        </is>
      </c>
      <c r="F31" s="12" t="inlineStr">
        <is>
          <t>COD at checkout with risk limits; shop opt-in; rider/operator cash confirmation; collection nets into finance batches; deposits at /admin/cod; COD refunds as wallet credit</t>
        </is>
      </c>
      <c r="G31" s="12" t="inlineStr">
        <is>
          <t>F1.7.2</t>
        </is>
      </c>
      <c r="H31" s="12" t="inlineStr">
        <is>
          <t>P1</t>
        </is>
      </c>
      <c r="I31" s="10" t="inlineStr">
        <is>
          <t>COMPLETED</t>
        </is>
      </c>
      <c r="J31" s="12" t="inlineStr">
        <is>
          <t>Production (gokesari.com)</t>
        </is>
      </c>
      <c r="K31" s="12" t="inlineStr">
        <is>
          <t>Live</t>
        </is>
      </c>
      <c r="L31" s="12" t="inlineStr">
        <is>
          <t>#18</t>
        </is>
      </c>
      <c r="M31" s="12" t="inlineStr">
        <is>
          <t>#19</t>
        </is>
      </c>
      <c r="N31" s="12" t="inlineStr">
        <is>
          <t>-</t>
        </is>
      </c>
      <c r="O31" s="12" t="inlineStr">
        <is>
          <t>-</t>
        </is>
      </c>
      <c r="P31" s="12" t="inlineStr">
        <is>
          <t>COMPLETED</t>
        </is>
      </c>
      <c r="Q31" s="12" t="inlineStr">
        <is>
          <t>No change</t>
        </is>
      </c>
      <c r="R31" s="12" t="inlineStr">
        <is>
          <t>src/server/services/cod.ts; src/app/admin/cod/page.tsx</t>
        </is>
      </c>
    </row>
    <row r="32" ht="27" customFormat="1" customHeight="1" s="2">
      <c r="A32" s="10" t="n">
        <v>31</v>
      </c>
      <c r="B32" s="12" t="inlineStr">
        <is>
          <t>Feature Master</t>
        </is>
      </c>
      <c r="C32" s="9" t="inlineStr">
        <is>
          <t>GS-031</t>
        </is>
      </c>
      <c r="D32" s="12" t="inlineStr">
        <is>
          <t>Payments</t>
        </is>
      </c>
      <c r="E32" s="12" t="inlineStr">
        <is>
          <t>Payment reconciliation</t>
        </is>
      </c>
      <c r="F32" s="12" t="inlineStr">
        <is>
          <t>Reconciliation records + exception queue (order/payment/rider/settlement/payout)</t>
        </is>
      </c>
      <c r="G32" s="12" t="inlineStr">
        <is>
          <t>F10.2.2</t>
        </is>
      </c>
      <c r="H32" s="12" t="inlineStr">
        <is>
          <t>P0</t>
        </is>
      </c>
      <c r="I32" s="10" t="inlineStr">
        <is>
          <t>COMPLETED</t>
        </is>
      </c>
      <c r="J32" s="12" t="inlineStr">
        <is>
          <t>Production (gokesari.com)</t>
        </is>
      </c>
      <c r="K32" s="12" t="inlineStr">
        <is>
          <t>Live</t>
        </is>
      </c>
      <c r="L32" s="12" t="inlineStr">
        <is>
          <t>#10</t>
        </is>
      </c>
      <c r="M32" s="12" t="inlineStr">
        <is>
          <t>#14</t>
        </is>
      </c>
      <c r="N32" s="12" t="inlineStr">
        <is>
          <t>Reconciles the gateway transactions that exist today (wallet top-ups).</t>
        </is>
      </c>
      <c r="O32" s="12" t="inlineStr">
        <is>
          <t>-</t>
        </is>
      </c>
      <c r="P32" s="12" t="inlineStr">
        <is>
          <t>COMPLETED</t>
        </is>
      </c>
      <c r="Q32" s="12" t="inlineStr">
        <is>
          <t>No change</t>
        </is>
      </c>
      <c r="R32" s="12" t="inlineStr">
        <is>
          <t>src/app/api/finance/reconciliation/route.ts; src/server/services/finance.ts</t>
        </is>
      </c>
    </row>
    <row r="33" ht="27" customFormat="1" customHeight="1" s="2">
      <c r="A33" s="10" t="n">
        <v>32</v>
      </c>
      <c r="B33" s="12" t="inlineStr">
        <is>
          <t>Feature Master</t>
        </is>
      </c>
      <c r="C33" s="9" t="inlineStr">
        <is>
          <t>GS-032</t>
        </is>
      </c>
      <c r="D33" s="12" t="inlineStr">
        <is>
          <t>Orders</t>
        </is>
      </c>
      <c r="E33" s="12" t="inlineStr">
        <is>
          <t>Order creation</t>
        </is>
      </c>
      <c r="F33" s="12" t="inlineStr">
        <is>
          <t>Checkout creates the order(s) in one transaction (personal or B2B), pays from wallet or COD, records history and notifies the shop.</t>
        </is>
      </c>
      <c r="G33" s="12" t="inlineStr">
        <is>
          <t>F1.8.3, F1.8.5</t>
        </is>
      </c>
      <c r="H33" s="12" t="inlineStr">
        <is>
          <t>P0</t>
        </is>
      </c>
      <c r="I33" s="10" t="inlineStr">
        <is>
          <t>COMPLETED</t>
        </is>
      </c>
      <c r="J33" s="12" t="inlineStr">
        <is>
          <t>Production (gokesari.com)</t>
        </is>
      </c>
      <c r="K33" s="12" t="inlineStr">
        <is>
          <t>Live</t>
        </is>
      </c>
      <c r="L33" s="12" t="inlineStr">
        <is>
          <t>Baseline; #10 (personal vs B2B)</t>
        </is>
      </c>
      <c r="M33" s="12" t="inlineStr">
        <is>
          <t>Baseline; #14</t>
        </is>
      </c>
      <c r="N33" s="12" t="inlineStr">
        <is>
          <t>-</t>
        </is>
      </c>
      <c r="O33" s="12" t="inlineStr">
        <is>
          <t>-</t>
        </is>
      </c>
      <c r="P33" s="12" t="inlineStr">
        <is>
          <t>COMPLETED</t>
        </is>
      </c>
      <c r="Q33" s="12" t="inlineStr">
        <is>
          <t>No change</t>
        </is>
      </c>
      <c r="R33" s="12" t="inlineStr">
        <is>
          <t>-</t>
        </is>
      </c>
    </row>
    <row r="34" ht="39" customFormat="1" customHeight="1" s="2">
      <c r="A34" s="10" t="n">
        <v>33</v>
      </c>
      <c r="B34" s="12" t="inlineStr">
        <is>
          <t>Feature Master</t>
        </is>
      </c>
      <c r="C34" s="9" t="inlineStr">
        <is>
          <t>GS-033</t>
        </is>
      </c>
      <c r="D34" s="12" t="inlineStr">
        <is>
          <t>Orders</t>
        </is>
      </c>
      <c r="E34" s="12" t="inlineStr">
        <is>
          <t>Shop order split</t>
        </is>
      </c>
      <c r="F34" s="12" t="inlineStr">
        <is>
          <t>One order per shop from a multi-shop cart, plus F6 parent reference (GK-...) linking them; customer page /orders/group/[reference].</t>
        </is>
      </c>
      <c r="G34" s="12" t="inlineStr">
        <is>
          <t>F1.8.2</t>
        </is>
      </c>
      <c r="H34" s="12" t="inlineStr">
        <is>
          <t>P0</t>
        </is>
      </c>
      <c r="I34" s="10" t="inlineStr">
        <is>
          <t>COMPLETED</t>
        </is>
      </c>
      <c r="J34" s="12" t="inlineStr">
        <is>
          <t>Production - built, switched off by default</t>
        </is>
      </c>
      <c r="K34" s="12" t="inlineStr">
        <is>
          <t>Off by default - switch on in Admin &gt; Business rules (rule: parentOrders.enabled)</t>
        </is>
      </c>
      <c r="L34" s="12" t="inlineStr">
        <is>
          <t>Baseline (order per shop); #55 (F6 parent order)</t>
        </is>
      </c>
      <c r="M34" s="12" t="inlineStr">
        <is>
          <t>Baseline; #57</t>
        </is>
      </c>
      <c r="N34" s="12" t="inlineStr">
        <is>
          <t>-</t>
        </is>
      </c>
      <c r="O34" s="12" t="inlineStr">
        <is>
          <t>-</t>
        </is>
      </c>
      <c r="P34" s="12" t="inlineStr">
        <is>
          <t>COMPLETED</t>
        </is>
      </c>
      <c r="Q34" s="12" t="inlineStr">
        <is>
          <t>No change</t>
        </is>
      </c>
      <c r="R34" s="12" t="inlineStr">
        <is>
          <t>src/server/services/order-groups.ts; drizzle/0046_order_groups.sql; tests/integration/order-groups.test.ts</t>
        </is>
      </c>
    </row>
    <row r="35" ht="63" customFormat="1" customHeight="1" s="2">
      <c r="A35" s="10" t="n">
        <v>34</v>
      </c>
      <c r="B35" s="12" t="inlineStr">
        <is>
          <t>Feature Master</t>
        </is>
      </c>
      <c r="C35" s="9" t="inlineStr">
        <is>
          <t>GS-034</t>
        </is>
      </c>
      <c r="D35" s="12" t="inlineStr">
        <is>
          <t>Orders</t>
        </is>
      </c>
      <c r="E35" s="12" t="inlineStr">
        <is>
          <t>Shop accept/reject</t>
        </is>
      </c>
      <c r="F35" s="12" t="inlineStr">
        <is>
          <t>Shop accept / reject (reject = full refund + restock); ops exceptions flag 'Shop not accepting' and 'Shop slow to prepare'</t>
        </is>
      </c>
      <c r="G35" s="12" t="inlineStr">
        <is>
          <t>F2.1.2</t>
        </is>
      </c>
      <c r="H35" s="12" t="inlineStr">
        <is>
          <t>P0</t>
        </is>
      </c>
      <c r="I35" s="10" t="inlineStr">
        <is>
          <t>COMPLETED</t>
        </is>
      </c>
      <c r="J35" s="12" t="inlineStr">
        <is>
          <t>Production (gokesari.com)</t>
        </is>
      </c>
      <c r="K35" s="12" t="inlineStr">
        <is>
          <t>Live</t>
        </is>
      </c>
      <c r="L35" s="12" t="inlineStr">
        <is>
          <t>#10; #21 (late-acceptance exception); #58 (accept timeout)</t>
        </is>
      </c>
      <c r="M35" s="12" t="inlineStr">
        <is>
          <t>#14; #19; #65</t>
        </is>
      </c>
      <c r="N35" s="12" t="inlineStr">
        <is>
          <t>Accept-timeout auto-cancel (designed 1 Oct, not built) Auto-cancel on accept timeout built (NEW-007, rule shopAcceptance, off by default); late acceptance is also flagged in the ops exceptions queue.</t>
        </is>
      </c>
      <c r="O35" s="12" t="inlineStr">
        <is>
          <t>-</t>
        </is>
      </c>
      <c r="P35" s="12" t="inlineStr">
        <is>
          <t>COMPLETED</t>
        </is>
      </c>
      <c r="Q35" s="12" t="inlineStr">
        <is>
          <t>No change</t>
        </is>
      </c>
      <c r="R35" s="12" t="inlineStr">
        <is>
          <t>src/server/services/fulfilment.ts; src/server/services/ops-exceptions.ts</t>
        </is>
      </c>
    </row>
    <row r="36" ht="27" customFormat="1" customHeight="1" s="2">
      <c r="A36" s="10" t="n">
        <v>35</v>
      </c>
      <c r="B36" s="12" t="inlineStr">
        <is>
          <t>Feature Master</t>
        </is>
      </c>
      <c r="C36" s="9" t="inlineStr">
        <is>
          <t>GS-035</t>
        </is>
      </c>
      <c r="D36" s="12" t="inlineStr">
        <is>
          <t>Orders</t>
        </is>
      </c>
      <c r="E36" s="12" t="inlineStr">
        <is>
          <t>Substitution approval</t>
        </is>
      </c>
      <c r="F36" s="12" t="inlineStr">
        <is>
          <t>Shop proposes a substitute; customer approves/rejects; price difference refunded</t>
        </is>
      </c>
      <c r="G36" s="12" t="inlineStr">
        <is>
          <t>F2.2.1</t>
        </is>
      </c>
      <c r="H36" s="12" t="inlineStr">
        <is>
          <t>P1</t>
        </is>
      </c>
      <c r="I36" s="10" t="inlineStr">
        <is>
          <t>COMPLETED</t>
        </is>
      </c>
      <c r="J36" s="12" t="inlineStr">
        <is>
          <t>Production (gokesari.com)</t>
        </is>
      </c>
      <c r="K36" s="12" t="inlineStr">
        <is>
          <t>Live</t>
        </is>
      </c>
      <c r="L36" s="12" t="inlineStr">
        <is>
          <t>#10</t>
        </is>
      </c>
      <c r="M36" s="12" t="inlineStr">
        <is>
          <t>#14</t>
        </is>
      </c>
      <c r="N36" s="12" t="inlineStr">
        <is>
          <t>-</t>
        </is>
      </c>
      <c r="O36" s="12" t="inlineStr">
        <is>
          <t>-</t>
        </is>
      </c>
      <c r="P36" s="12" t="inlineStr">
        <is>
          <t>COMPLETED</t>
        </is>
      </c>
      <c r="Q36" s="12" t="inlineStr">
        <is>
          <t>No change</t>
        </is>
      </c>
      <c r="R36" s="12" t="inlineStr">
        <is>
          <t>src/app/api/orders/[id]/items/[itemId]/substitution/route.ts</t>
        </is>
      </c>
    </row>
    <row r="37" ht="51" customFormat="1" customHeight="1" s="2">
      <c r="A37" s="10" t="n">
        <v>36</v>
      </c>
      <c r="B37" s="12" t="inlineStr">
        <is>
          <t>Feature Master</t>
        </is>
      </c>
      <c r="C37" s="9" t="inlineStr">
        <is>
          <t>GS-036</t>
        </is>
      </c>
      <c r="D37" s="12" t="inlineStr">
        <is>
          <t>Orders</t>
        </is>
      </c>
      <c r="E37" s="12" t="inlineStr">
        <is>
          <t>Pick and pack</t>
        </is>
      </c>
      <c r="F37" s="12" t="inlineStr">
        <is>
          <t>Per-line picking, pack -&gt; READY</t>
        </is>
      </c>
      <c r="G37" s="12" t="inlineStr">
        <is>
          <t>F2.2.2</t>
        </is>
      </c>
      <c r="H37" s="12" t="inlineStr">
        <is>
          <t>P0</t>
        </is>
      </c>
      <c r="I37" s="10" t="inlineStr">
        <is>
          <t>COMPLETED</t>
        </is>
      </c>
      <c r="J37" s="12" t="inlineStr">
        <is>
          <t>Production (gokesari.com)</t>
        </is>
      </c>
      <c r="K37" s="12" t="inlineStr">
        <is>
          <t>Live</t>
        </is>
      </c>
      <c r="L37" s="12" t="inlineStr">
        <is>
          <t>#10</t>
        </is>
      </c>
      <c r="M37" s="12" t="inlineStr">
        <is>
          <t>#14</t>
        </is>
      </c>
      <c r="N37" s="12" t="inlineStr">
        <is>
          <t>SLA reporting SLA measured by the pick-pack KPI; missed acceptances per shop (30 days) shown on the shop dashboard (NEW-007).</t>
        </is>
      </c>
      <c r="O37" s="12" t="inlineStr">
        <is>
          <t>-</t>
        </is>
      </c>
      <c r="P37" s="12" t="inlineStr">
        <is>
          <t>COMPLETED</t>
        </is>
      </c>
      <c r="Q37" s="12" t="inlineStr">
        <is>
          <t>No change</t>
        </is>
      </c>
      <c r="R37" s="12" t="inlineStr">
        <is>
          <t>src/server/services/fulfilment.ts</t>
        </is>
      </c>
    </row>
    <row r="38" ht="39" customFormat="1" customHeight="1" s="2">
      <c r="A38" s="10" t="n">
        <v>37</v>
      </c>
      <c r="B38" s="12" t="inlineStr">
        <is>
          <t>Feature Master</t>
        </is>
      </c>
      <c r="C38" s="9" t="inlineStr">
        <is>
          <t>GS-037</t>
        </is>
      </c>
      <c r="D38" s="12" t="inlineStr">
        <is>
          <t>Delivery</t>
        </is>
      </c>
      <c r="E38" s="12" t="inlineStr">
        <is>
          <t>Gig worker onboarding</t>
        </is>
      </c>
      <c r="F38" s="12" t="inlineStr">
        <is>
          <t>Rider applies at /delivery-partner/register with vehicle, identity and bank details (stored encrypted); operations move the application REGISTERED -&gt; UNDER_REVIEW -&gt; APPROVED / REJECTED; every step audited.</t>
        </is>
      </c>
      <c r="G38" s="12" t="inlineStr">
        <is>
          <t>-</t>
        </is>
      </c>
      <c r="H38" s="12" t="inlineStr">
        <is>
          <t>P0</t>
        </is>
      </c>
      <c r="I38" s="10" t="inlineStr">
        <is>
          <t>COMPLETED</t>
        </is>
      </c>
      <c r="J38" s="12" t="inlineStr">
        <is>
          <t>Production (gokesari.com)</t>
        </is>
      </c>
      <c r="K38" s="12" t="inlineStr">
        <is>
          <t>Live</t>
        </is>
      </c>
      <c r="L38" s="12" t="inlineStr">
        <is>
          <t>Baseline</t>
        </is>
      </c>
      <c r="M38" s="12" t="inlineStr">
        <is>
          <t>Baseline</t>
        </is>
      </c>
      <c r="N38" s="12" t="inlineStr">
        <is>
          <t>-</t>
        </is>
      </c>
      <c r="O38" s="12" t="inlineStr">
        <is>
          <t>-</t>
        </is>
      </c>
      <c r="P38" s="12" t="inlineStr">
        <is>
          <t>COMPLETED</t>
        </is>
      </c>
      <c r="Q38" s="12" t="inlineStr">
        <is>
          <t>No change</t>
        </is>
      </c>
      <c r="R38" s="12" t="inlineStr">
        <is>
          <t>-</t>
        </is>
      </c>
    </row>
    <row r="39" ht="39" customFormat="1" customHeight="1" s="2">
      <c r="A39" s="10" t="n">
        <v>38</v>
      </c>
      <c r="B39" s="12" t="inlineStr">
        <is>
          <t>Feature Master</t>
        </is>
      </c>
      <c r="C39" s="9" t="inlineStr">
        <is>
          <t>GS-038</t>
        </is>
      </c>
      <c r="D39" s="12" t="inlineStr">
        <is>
          <t>Delivery</t>
        </is>
      </c>
      <c r="E39" s="12" t="inlineStr">
        <is>
          <t>Online/offline status</t>
        </is>
      </c>
      <c r="F39" s="12" t="inlineStr">
        <is>
          <t>Approved riders go online / offline from their dashboard; a location heartbeat keeps the status and online hours accurate; only online riders get offers.</t>
        </is>
      </c>
      <c r="G39" s="12" t="inlineStr">
        <is>
          <t>F3.1.2</t>
        </is>
      </c>
      <c r="H39" s="12" t="inlineStr">
        <is>
          <t>P0</t>
        </is>
      </c>
      <c r="I39" s="10" t="inlineStr">
        <is>
          <t>COMPLETED</t>
        </is>
      </c>
      <c r="J39" s="12" t="inlineStr">
        <is>
          <t>Production (gokesari.com)</t>
        </is>
      </c>
      <c r="K39" s="12" t="inlineStr">
        <is>
          <t>Live</t>
        </is>
      </c>
      <c r="L39" s="12" t="inlineStr">
        <is>
          <t>Baseline; #21 (heartbeat fix)</t>
        </is>
      </c>
      <c r="M39" s="12" t="inlineStr">
        <is>
          <t>Baseline; #19</t>
        </is>
      </c>
      <c r="N39" s="12" t="inlineStr">
        <is>
          <t>-</t>
        </is>
      </c>
      <c r="O39" s="12" t="inlineStr">
        <is>
          <t>-</t>
        </is>
      </c>
      <c r="P39" s="12" t="inlineStr">
        <is>
          <t>COMPLETED</t>
        </is>
      </c>
      <c r="Q39" s="12" t="inlineStr">
        <is>
          <t>No change</t>
        </is>
      </c>
      <c r="R39" s="12" t="inlineStr">
        <is>
          <t>-</t>
        </is>
      </c>
    </row>
    <row r="40" ht="39" customFormat="1" customHeight="1" s="2">
      <c r="A40" s="10" t="n">
        <v>39</v>
      </c>
      <c r="B40" s="12" t="inlineStr">
        <is>
          <t>Feature Master</t>
        </is>
      </c>
      <c r="C40" s="9" t="inlineStr">
        <is>
          <t>GS-039</t>
        </is>
      </c>
      <c r="D40" s="12" t="inlineStr">
        <is>
          <t>Delivery</t>
        </is>
      </c>
      <c r="E40" s="12" t="inlineStr">
        <is>
          <t>Job assignment</t>
        </is>
      </c>
      <c r="F40" s="12" t="inlineStr">
        <is>
          <t>Auto-trigger on READY; cron retry; no re-offer to decliners; Phase C made the whole search bounded and logged (rider_searches, dispatch_attempts) with admin-tunable retry interval, attempt cap and time limit</t>
        </is>
      </c>
      <c r="G40" s="12" t="inlineStr">
        <is>
          <t>F3.3.1</t>
        </is>
      </c>
      <c r="H40" s="12" t="inlineStr">
        <is>
          <t>P0</t>
        </is>
      </c>
      <c r="I40" s="10" t="inlineStr">
        <is>
          <t>COMPLETED</t>
        </is>
      </c>
      <c r="J40" s="12" t="inlineStr">
        <is>
          <t>Production (gokesari.com)</t>
        </is>
      </c>
      <c r="K40" s="12" t="inlineStr">
        <is>
          <t>Live</t>
        </is>
      </c>
      <c r="L40" s="12" t="inlineStr">
        <is>
          <t>Baseline; #10 (auto dispatch); #23 (Phase C Find Rider Now)</t>
        </is>
      </c>
      <c r="M40" s="12" t="inlineStr">
        <is>
          <t>Baseline; #14; #23</t>
        </is>
      </c>
      <c r="N40" s="12" t="inlineStr">
        <is>
          <t>-</t>
        </is>
      </c>
      <c r="O40" s="12" t="inlineStr">
        <is>
          <t>-</t>
        </is>
      </c>
      <c r="P40" s="12" t="inlineStr">
        <is>
          <t>COMPLETED</t>
        </is>
      </c>
      <c r="Q40" s="12" t="inlineStr">
        <is>
          <t>No change</t>
        </is>
      </c>
      <c r="R40" s="12" t="inlineStr">
        <is>
          <t>src/server/services/delivery-assignment.ts; drizzle/0027</t>
        </is>
      </c>
    </row>
    <row r="41" ht="27" customFormat="1" customHeight="1" s="2">
      <c r="A41" s="10" t="n">
        <v>40</v>
      </c>
      <c r="B41" s="12" t="inlineStr">
        <is>
          <t>Feature Master</t>
        </is>
      </c>
      <c r="C41" s="9" t="inlineStr">
        <is>
          <t>GS-040</t>
        </is>
      </c>
      <c r="D41" s="12" t="inlineStr">
        <is>
          <t>Delivery</t>
        </is>
      </c>
      <c r="E41" s="12" t="inlineStr">
        <is>
          <t>Society priority assignment</t>
        </is>
      </c>
      <c r="F41" s="12" t="inlineStr">
        <is>
          <t>Society preference in dispatch ranking</t>
        </is>
      </c>
      <c r="G41" s="12" t="inlineStr">
        <is>
          <t>F3.2.1</t>
        </is>
      </c>
      <c r="H41" s="12" t="inlineStr">
        <is>
          <t>P0</t>
        </is>
      </c>
      <c r="I41" s="10" t="inlineStr">
        <is>
          <t>COMPLETED</t>
        </is>
      </c>
      <c r="J41" s="12" t="inlineStr">
        <is>
          <t>Production (gokesari.com)</t>
        </is>
      </c>
      <c r="K41" s="12" t="inlineStr">
        <is>
          <t>Live</t>
        </is>
      </c>
      <c r="L41" s="12" t="inlineStr">
        <is>
          <t>#11</t>
        </is>
      </c>
      <c r="M41" s="12" t="inlineStr">
        <is>
          <t>#19</t>
        </is>
      </c>
      <c r="N41" s="12" t="inlineStr">
        <is>
          <t>-</t>
        </is>
      </c>
      <c r="O41" s="12" t="inlineStr">
        <is>
          <t>-</t>
        </is>
      </c>
      <c r="P41" s="12" t="inlineStr">
        <is>
          <t>COMPLETED</t>
        </is>
      </c>
      <c r="Q41" s="12" t="inlineStr">
        <is>
          <t>No change</t>
        </is>
      </c>
      <c r="R41" s="12" t="inlineStr">
        <is>
          <t>src/server/services/delivery-assignment.ts:123</t>
        </is>
      </c>
    </row>
    <row r="42" ht="27" customFormat="1" customHeight="1" s="2">
      <c r="A42" s="10" t="n">
        <v>41</v>
      </c>
      <c r="B42" s="12" t="inlineStr">
        <is>
          <t>Feature Master</t>
        </is>
      </c>
      <c r="C42" s="9" t="inlineStr">
        <is>
          <t>GS-041</t>
        </is>
      </c>
      <c r="D42" s="12" t="inlineStr">
        <is>
          <t>Delivery</t>
        </is>
      </c>
      <c r="E42" s="12" t="inlineStr">
        <is>
          <t>Pickup OTP/QR</t>
        </is>
      </c>
      <c r="F42" s="12" t="inlineStr">
        <is>
          <t>Pickup code issued on accept; rider must enter it</t>
        </is>
      </c>
      <c r="G42" s="12" t="inlineStr">
        <is>
          <t>F4.1.2</t>
        </is>
      </c>
      <c r="H42" s="12" t="inlineStr">
        <is>
          <t>P0</t>
        </is>
      </c>
      <c r="I42" s="10" t="inlineStr">
        <is>
          <t>COMPLETED</t>
        </is>
      </c>
      <c r="J42" s="12" t="inlineStr">
        <is>
          <t>Production (gokesari.com)</t>
        </is>
      </c>
      <c r="K42" s="12" t="inlineStr">
        <is>
          <t>Live</t>
        </is>
      </c>
      <c r="L42" s="12" t="inlineStr">
        <is>
          <t>#10</t>
        </is>
      </c>
      <c r="M42" s="12" t="inlineStr">
        <is>
          <t>#14</t>
        </is>
      </c>
      <c r="N42" s="12" t="inlineStr">
        <is>
          <t>QR variant Pickup code only - no QR.</t>
        </is>
      </c>
      <c r="O42" s="12" t="inlineStr">
        <is>
          <t>-</t>
        </is>
      </c>
      <c r="P42" s="12" t="inlineStr">
        <is>
          <t>COMPLETED</t>
        </is>
      </c>
      <c r="Q42" s="12" t="inlineStr">
        <is>
          <t>No change</t>
        </is>
      </c>
      <c r="R42" s="12" t="inlineStr">
        <is>
          <t>src/server/services/delivery-assignment.ts</t>
        </is>
      </c>
    </row>
    <row r="43" ht="63" customFormat="1" customHeight="1" s="2">
      <c r="A43" s="10" t="n">
        <v>42</v>
      </c>
      <c r="B43" s="12" t="inlineStr">
        <is>
          <t>Feature Master</t>
        </is>
      </c>
      <c r="C43" s="9" t="inlineStr">
        <is>
          <t>GS-042</t>
        </is>
      </c>
      <c r="D43" s="12" t="inlineStr">
        <is>
          <t>Delivery</t>
        </is>
      </c>
      <c r="E43" s="12" t="inlineStr">
        <is>
          <t>Live tracking</t>
        </is>
      </c>
      <c r="F43" s="12" t="inlineStr">
        <is>
          <t>Tracking API with role/privacy checks + polling LiveTrackingMap, now MOUNTED: on /orders inside an in-flight order card that has a rider, and on /admin/orders behind a per-row Track toggle. isTrackableOrderStatus() limits polling to orders actually in flight. Rider privacy: area only until pickup, no ETA from a stale fix</t>
        </is>
      </c>
      <c r="G43" s="12" t="inlineStr">
        <is>
          <t>F1.9.1</t>
        </is>
      </c>
      <c r="H43" s="12" t="inlineStr">
        <is>
          <t>P0</t>
        </is>
      </c>
      <c r="I43" s="10" t="inlineStr">
        <is>
          <t>COMPLETED</t>
        </is>
      </c>
      <c r="J43" s="12" t="inlineStr">
        <is>
          <t>Production (gokesari.com)</t>
        </is>
      </c>
      <c r="K43" s="12" t="inlineStr">
        <is>
          <t>Live</t>
        </is>
      </c>
      <c r="L43" s="12" t="inlineStr">
        <is>
          <t>Baseline; #21 (tracking hardening); #29 (tracking screen mounted)</t>
        </is>
      </c>
      <c r="M43" s="12" t="inlineStr">
        <is>
          <t>Baseline; #19; #29</t>
        </is>
      </c>
      <c r="N43" s="12" t="inlineStr">
        <is>
          <t>-</t>
        </is>
      </c>
      <c r="O43" s="12" t="inlineStr">
        <is>
          <t>-</t>
        </is>
      </c>
      <c r="P43" s="12" t="inlineStr">
        <is>
          <t>COMPLETED</t>
        </is>
      </c>
      <c r="Q43" s="12" t="inlineStr">
        <is>
          <t>No change</t>
        </is>
      </c>
      <c r="R43" s="12" t="inlineStr">
        <is>
          <t>src/app/orders/page.tsx:199; src/components/order-monitoring-table.tsx:171; src/lib/tracking.ts; tests/unit/tracking.test.ts</t>
        </is>
      </c>
    </row>
    <row r="44" ht="63" customFormat="1" customHeight="1" s="2">
      <c r="A44" s="10" t="n">
        <v>43</v>
      </c>
      <c r="B44" s="12" t="inlineStr">
        <is>
          <t>Feature Master</t>
        </is>
      </c>
      <c r="C44" s="9" t="inlineStr">
        <is>
          <t>GS-043</t>
        </is>
      </c>
      <c r="D44" s="12" t="inlineStr">
        <is>
          <t>Delivery</t>
        </is>
      </c>
      <c r="E44" s="12" t="inlineStr">
        <is>
          <t>Delivery OTP/POD</t>
        </is>
      </c>
      <c r="F44" s="12" t="inlineStr">
        <is>
          <t>Customer delivery OTP (5 attempts); operations override with a proof note; 'Delivery code locked' is an ops exception</t>
        </is>
      </c>
      <c r="G44" s="12" t="inlineStr">
        <is>
          <t>F1.9.3, F4.2.4</t>
        </is>
      </c>
      <c r="H44" s="12" t="inlineStr">
        <is>
          <t>P0</t>
        </is>
      </c>
      <c r="I44" s="10" t="inlineStr">
        <is>
          <t>COMPLETED</t>
        </is>
      </c>
      <c r="J44" s="12" t="inlineStr">
        <is>
          <t>Production (gokesari.com)</t>
        </is>
      </c>
      <c r="K44" s="12" t="inlineStr">
        <is>
          <t>Live</t>
        </is>
      </c>
      <c r="L44" s="12" t="inlineStr">
        <is>
          <t>#10; #23 (Phase C checkpoints); #58 (photo POD)</t>
        </is>
      </c>
      <c r="M44" s="12" t="inlineStr">
        <is>
          <t>#14; #23; #65</t>
        </is>
      </c>
      <c r="N44" s="12" t="inlineStr">
        <is>
          <t>Photo / signature proof of delivery (designed 1 Oct, not built) Delivery OTP with ops override; photo POD built (NEW-007, rule deliveryProof.photoRequired, off by default).</t>
        </is>
      </c>
      <c r="O44" s="12" t="inlineStr">
        <is>
          <t>-</t>
        </is>
      </c>
      <c r="P44" s="12" t="inlineStr">
        <is>
          <t>COMPLETED</t>
        </is>
      </c>
      <c r="Q44" s="12" t="inlineStr">
        <is>
          <t>No change</t>
        </is>
      </c>
      <c r="R44" s="12" t="inlineStr">
        <is>
          <t>src/server/services/delivery-assignment.ts; docs/gokesari-audit/DESIGN_PAYMENTS_INVOICING_POD_SLA.md</t>
        </is>
      </c>
    </row>
    <row r="45" ht="27" customFormat="1" customHeight="1" s="2">
      <c r="A45" s="10" t="n">
        <v>44</v>
      </c>
      <c r="B45" s="12" t="inlineStr">
        <is>
          <t>Feature Master</t>
        </is>
      </c>
      <c r="C45" s="9" t="inlineStr">
        <is>
          <t>GS-044</t>
        </is>
      </c>
      <c r="D45" s="12" t="inlineStr">
        <is>
          <t>Society</t>
        </is>
      </c>
      <c r="E45" s="12" t="inlineStr">
        <is>
          <t>Society registration</t>
        </is>
      </c>
      <c r="F45" s="12" t="inlineStr">
        <is>
          <t>Registration -&gt; operator verify/reject/suspend/reinstate</t>
        </is>
      </c>
      <c r="G45" s="12" t="inlineStr">
        <is>
          <t>F5.1.1</t>
        </is>
      </c>
      <c r="H45" s="12" t="inlineStr">
        <is>
          <t>P1</t>
        </is>
      </c>
      <c r="I45" s="10" t="inlineStr">
        <is>
          <t>COMPLETED</t>
        </is>
      </c>
      <c r="J45" s="12" t="inlineStr">
        <is>
          <t>Production (gokesari.com)</t>
        </is>
      </c>
      <c r="K45" s="12" t="inlineStr">
        <is>
          <t>Live</t>
        </is>
      </c>
      <c r="L45" s="12" t="inlineStr">
        <is>
          <t>#11</t>
        </is>
      </c>
      <c r="M45" s="12" t="inlineStr">
        <is>
          <t>#19</t>
        </is>
      </c>
      <c r="N45" s="12" t="inlineStr">
        <is>
          <t>Map pin picker on the society form</t>
        </is>
      </c>
      <c r="O45" s="12" t="inlineStr">
        <is>
          <t>-</t>
        </is>
      </c>
      <c r="P45" s="12" t="inlineStr">
        <is>
          <t>COMPLETED</t>
        </is>
      </c>
      <c r="Q45" s="12" t="inlineStr">
        <is>
          <t>No change</t>
        </is>
      </c>
      <c r="R45" s="12" t="inlineStr">
        <is>
          <t>src/app/api/societies/[id]/decision/route.ts</t>
        </is>
      </c>
    </row>
    <row r="46" ht="27" customFormat="1" customHeight="1" s="2">
      <c r="A46" s="10" t="n">
        <v>45</v>
      </c>
      <c r="B46" s="12" t="inlineStr">
        <is>
          <t>Feature Master</t>
        </is>
      </c>
      <c r="C46" s="9" t="inlineStr">
        <is>
          <t>GS-045</t>
        </is>
      </c>
      <c r="D46" s="12" t="inlineStr">
        <is>
          <t>Society</t>
        </is>
      </c>
      <c r="E46" s="12" t="inlineStr">
        <is>
          <t>Authorized Gig worker whitelist</t>
        </is>
      </c>
      <c r="F46" s="12" t="inlineStr">
        <is>
          <t>Authorised rider list by mobile; add / revoke / preferred; audited</t>
        </is>
      </c>
      <c r="G46" s="12" t="inlineStr">
        <is>
          <t>F3.1.1, F5.2.1</t>
        </is>
      </c>
      <c r="H46" s="12" t="inlineStr">
        <is>
          <t>P0</t>
        </is>
      </c>
      <c r="I46" s="10" t="inlineStr">
        <is>
          <t>COMPLETED</t>
        </is>
      </c>
      <c r="J46" s="12" t="inlineStr">
        <is>
          <t>Production (gokesari.com)</t>
        </is>
      </c>
      <c r="K46" s="12" t="inlineStr">
        <is>
          <t>Live</t>
        </is>
      </c>
      <c r="L46" s="12" t="inlineStr">
        <is>
          <t>#11</t>
        </is>
      </c>
      <c r="M46" s="12" t="inlineStr">
        <is>
          <t>#19</t>
        </is>
      </c>
      <c r="N46" s="12" t="inlineStr">
        <is>
          <t>-</t>
        </is>
      </c>
      <c r="O46" s="12" t="inlineStr">
        <is>
          <t>-</t>
        </is>
      </c>
      <c r="P46" s="12" t="inlineStr">
        <is>
          <t>COMPLETED</t>
        </is>
      </c>
      <c r="Q46" s="12" t="inlineStr">
        <is>
          <t>No change</t>
        </is>
      </c>
      <c r="R46" s="12" t="inlineStr">
        <is>
          <t>src/app/api/societies/[id]/riders/route.ts</t>
        </is>
      </c>
    </row>
    <row r="47" ht="15" customFormat="1" customHeight="1" s="2">
      <c r="A47" s="10" t="n">
        <v>46</v>
      </c>
      <c r="B47" s="12" t="inlineStr">
        <is>
          <t>Feature Master</t>
        </is>
      </c>
      <c r="C47" s="9" t="inlineStr">
        <is>
          <t>GS-046</t>
        </is>
      </c>
      <c r="D47" s="12" t="inlineStr">
        <is>
          <t>Society</t>
        </is>
      </c>
      <c r="E47" s="12" t="inlineStr">
        <is>
          <t>Security notification</t>
        </is>
      </c>
      <c r="F47" s="12" t="inlineStr">
        <is>
          <t>Society security alert on rider acceptance (opt-in)</t>
        </is>
      </c>
      <c r="G47" s="12" t="inlineStr">
        <is>
          <t>F5.3.2</t>
        </is>
      </c>
      <c r="H47" s="12" t="inlineStr">
        <is>
          <t>P1</t>
        </is>
      </c>
      <c r="I47" s="10" t="inlineStr">
        <is>
          <t>COMPLETED</t>
        </is>
      </c>
      <c r="J47" s="12" t="inlineStr">
        <is>
          <t>Production (gokesari.com)</t>
        </is>
      </c>
      <c r="K47" s="12" t="inlineStr">
        <is>
          <t>Live</t>
        </is>
      </c>
      <c r="L47" s="12" t="inlineStr">
        <is>
          <t>#11</t>
        </is>
      </c>
      <c r="M47" s="12" t="inlineStr">
        <is>
          <t>#19</t>
        </is>
      </c>
      <c r="N47" s="12" t="inlineStr">
        <is>
          <t>-</t>
        </is>
      </c>
      <c r="O47" s="12" t="inlineStr">
        <is>
          <t>-</t>
        </is>
      </c>
      <c r="P47" s="12" t="inlineStr">
        <is>
          <t>COMPLETED</t>
        </is>
      </c>
      <c r="Q47" s="12" t="inlineStr">
        <is>
          <t>No change</t>
        </is>
      </c>
      <c r="R47" s="12" t="inlineStr">
        <is>
          <t>src/server/services/societies.ts</t>
        </is>
      </c>
    </row>
    <row r="48" ht="51" customFormat="1" customHeight="1" s="2">
      <c r="A48" s="10" t="n">
        <v>47</v>
      </c>
      <c r="B48" s="12" t="inlineStr">
        <is>
          <t>Feature Master</t>
        </is>
      </c>
      <c r="C48" s="9" t="inlineStr">
        <is>
          <t>GS-047</t>
        </is>
      </c>
      <c r="D48" s="12" t="inlineStr">
        <is>
          <t>Society</t>
        </is>
      </c>
      <c r="E48" s="12" t="inlineStr">
        <is>
          <t>Delivery instructions</t>
        </is>
      </c>
      <c r="F48" s="12" t="inlineStr">
        <is>
          <t>Society gate notes + customer landmark/instructions on the rider job; Phase C added a gate entry mode, an optional security-desk contact shared with the rider only if the society enables it, and a customer-at-gate notice</t>
        </is>
      </c>
      <c r="G48" s="12" t="inlineStr">
        <is>
          <t>F4.2.3, F5.3.1</t>
        </is>
      </c>
      <c r="H48" s="12" t="inlineStr">
        <is>
          <t>P1</t>
        </is>
      </c>
      <c r="I48" s="10" t="inlineStr">
        <is>
          <t>COMPLETED</t>
        </is>
      </c>
      <c r="J48" s="12" t="inlineStr">
        <is>
          <t>Production (gokesari.com)</t>
        </is>
      </c>
      <c r="K48" s="12" t="inlineStr">
        <is>
          <t>Live</t>
        </is>
      </c>
      <c r="L48" s="12" t="inlineStr">
        <is>
          <t>#11; #23 (Phase C gate access)</t>
        </is>
      </c>
      <c r="M48" s="12" t="inlineStr">
        <is>
          <t>#19; #23</t>
        </is>
      </c>
      <c r="N48" s="12" t="inlineStr">
        <is>
          <t>-</t>
        </is>
      </c>
      <c r="O48" s="12" t="inlineStr">
        <is>
          <t>-</t>
        </is>
      </c>
      <c r="P48" s="12" t="inlineStr">
        <is>
          <t>COMPLETED</t>
        </is>
      </c>
      <c r="Q48" s="12" t="inlineStr">
        <is>
          <t>No change</t>
        </is>
      </c>
      <c r="R48" s="12" t="inlineStr">
        <is>
          <t>drizzle/0027; src/server/services/societies.ts</t>
        </is>
      </c>
    </row>
    <row r="49" ht="27" customFormat="1" customHeight="1" s="2">
      <c r="A49" s="10" t="n">
        <v>48</v>
      </c>
      <c r="B49" s="12" t="inlineStr">
        <is>
          <t>Feature Master</t>
        </is>
      </c>
      <c r="C49" s="9" t="inlineStr">
        <is>
          <t>GS-048</t>
        </is>
      </c>
      <c r="D49" s="12" t="inlineStr">
        <is>
          <t>Subscription</t>
        </is>
      </c>
      <c r="E49" s="12" t="inlineStr">
        <is>
          <t>Daily milk subscription</t>
        </is>
      </c>
      <c r="F49" s="12" t="inlineStr">
        <is>
          <t>Customer subscribes to a shop product (e.g. 2 L milk daily) with start / end dates and per-date quantity overrides; orders are generated daily.</t>
        </is>
      </c>
      <c r="G49" s="12" t="inlineStr">
        <is>
          <t>F7.1.1</t>
        </is>
      </c>
      <c r="H49" s="12" t="inlineStr">
        <is>
          <t>P0</t>
        </is>
      </c>
      <c r="I49" s="10" t="inlineStr">
        <is>
          <t>COMPLETED</t>
        </is>
      </c>
      <c r="J49" s="12" t="inlineStr">
        <is>
          <t>Production (gokesari.com)</t>
        </is>
      </c>
      <c r="K49" s="12" t="inlineStr">
        <is>
          <t>Live</t>
        </is>
      </c>
      <c r="L49" s="12" t="inlineStr">
        <is>
          <t>Baseline</t>
        </is>
      </c>
      <c r="M49" s="12" t="inlineStr">
        <is>
          <t>Baseline</t>
        </is>
      </c>
      <c r="N49" s="12" t="inlineStr">
        <is>
          <t>-</t>
        </is>
      </c>
      <c r="O49" s="12" t="inlineStr">
        <is>
          <t>-</t>
        </is>
      </c>
      <c r="P49" s="12" t="inlineStr">
        <is>
          <t>COMPLETED</t>
        </is>
      </c>
      <c r="Q49" s="12" t="inlineStr">
        <is>
          <t>No change</t>
        </is>
      </c>
      <c r="R49" s="12" t="inlineStr">
        <is>
          <t>-</t>
        </is>
      </c>
    </row>
    <row r="50" ht="15" customFormat="1" customHeight="1" s="2">
      <c r="A50" s="10" t="n">
        <v>49</v>
      </c>
      <c r="B50" s="12" t="inlineStr">
        <is>
          <t>Feature Master</t>
        </is>
      </c>
      <c r="C50" s="9" t="inlineStr">
        <is>
          <t>GS-049</t>
        </is>
      </c>
      <c r="D50" s="12" t="inlineStr">
        <is>
          <t>Subscription</t>
        </is>
      </c>
      <c r="E50" s="12" t="inlineStr">
        <is>
          <t>Recurring vegetables/daily goods</t>
        </is>
      </c>
      <c r="F50" s="12" t="inlineStr">
        <is>
          <t>Weekday schedules; generated orders carry address/society</t>
        </is>
      </c>
      <c r="G50" s="12" t="inlineStr">
        <is>
          <t>F7.1.1</t>
        </is>
      </c>
      <c r="H50" s="12" t="inlineStr">
        <is>
          <t>P1</t>
        </is>
      </c>
      <c r="I50" s="10" t="inlineStr">
        <is>
          <t>COMPLETED</t>
        </is>
      </c>
      <c r="J50" s="12" t="inlineStr">
        <is>
          <t>Production (gokesari.com)</t>
        </is>
      </c>
      <c r="K50" s="12" t="inlineStr">
        <is>
          <t>Live</t>
        </is>
      </c>
      <c r="L50" s="12" t="inlineStr">
        <is>
          <t>Baseline; #11</t>
        </is>
      </c>
      <c r="M50" s="12" t="inlineStr">
        <is>
          <t>Baseline; #19</t>
        </is>
      </c>
      <c r="N50" s="12" t="inlineStr">
        <is>
          <t>-</t>
        </is>
      </c>
      <c r="O50" s="12" t="inlineStr">
        <is>
          <t>-</t>
        </is>
      </c>
      <c r="P50" s="12" t="inlineStr">
        <is>
          <t>COMPLETED</t>
        </is>
      </c>
      <c r="Q50" s="12" t="inlineStr">
        <is>
          <t>No change</t>
        </is>
      </c>
      <c r="R50" s="12" t="inlineStr">
        <is>
          <t>src/server/services/subscriptions.ts</t>
        </is>
      </c>
    </row>
    <row r="51" ht="27" customFormat="1" customHeight="1" s="2">
      <c r="A51" s="10" t="n">
        <v>50</v>
      </c>
      <c r="B51" s="12" t="inlineStr">
        <is>
          <t>Feature Master</t>
        </is>
      </c>
      <c r="C51" s="9" t="inlineStr">
        <is>
          <t>GS-050</t>
        </is>
      </c>
      <c r="D51" s="12" t="inlineStr">
        <is>
          <t>Subscription</t>
        </is>
      </c>
      <c r="E51" s="12" t="inlineStr">
        <is>
          <t>Subscription payment</t>
        </is>
      </c>
      <c r="F51" s="12" t="inlineStr">
        <is>
          <t>Each generated subscription delivery is charged from the wallet; a short balance puts the subscription in PAYMENT_PENDING until topped up.</t>
        </is>
      </c>
      <c r="G51" s="12" t="inlineStr">
        <is>
          <t>F7.3.2</t>
        </is>
      </c>
      <c r="H51" s="12" t="inlineStr">
        <is>
          <t>P0</t>
        </is>
      </c>
      <c r="I51" s="10" t="inlineStr">
        <is>
          <t>COMPLETED</t>
        </is>
      </c>
      <c r="J51" s="12" t="inlineStr">
        <is>
          <t>Production (gokesari.com)</t>
        </is>
      </c>
      <c r="K51" s="12" t="inlineStr">
        <is>
          <t>Live</t>
        </is>
      </c>
      <c r="L51" s="12" t="inlineStr">
        <is>
          <t>Baseline</t>
        </is>
      </c>
      <c r="M51" s="12" t="inlineStr">
        <is>
          <t>Baseline</t>
        </is>
      </c>
      <c r="N51" s="12" t="inlineStr">
        <is>
          <t>-</t>
        </is>
      </c>
      <c r="O51" s="12" t="inlineStr">
        <is>
          <t>-</t>
        </is>
      </c>
      <c r="P51" s="12" t="inlineStr">
        <is>
          <t>COMPLETED</t>
        </is>
      </c>
      <c r="Q51" s="12" t="inlineStr">
        <is>
          <t>No change</t>
        </is>
      </c>
      <c r="R51" s="12" t="inlineStr">
        <is>
          <t>-</t>
        </is>
      </c>
    </row>
    <row r="52" ht="39" customFormat="1" customHeight="1" s="2">
      <c r="A52" s="10" t="n">
        <v>51</v>
      </c>
      <c r="B52" s="12" t="inlineStr">
        <is>
          <t>Feature Master</t>
        </is>
      </c>
      <c r="C52" s="9" t="inlineStr">
        <is>
          <t>GS-051</t>
        </is>
      </c>
      <c r="D52" s="12" t="inlineStr">
        <is>
          <t>Subscription</t>
        </is>
      </c>
      <c r="E52" s="12" t="inlineStr">
        <is>
          <t>Skip/pause/resume/cancel</t>
        </is>
      </c>
      <c r="F52" s="12" t="inlineStr">
        <is>
          <t>Skip a date, pause for a range, resume or cancel, with an evening cut-off; history of every change; customer notified.</t>
        </is>
      </c>
      <c r="G52" s="12" t="inlineStr">
        <is>
          <t>F7.2.1</t>
        </is>
      </c>
      <c r="H52" s="12" t="inlineStr">
        <is>
          <t>P0</t>
        </is>
      </c>
      <c r="I52" s="10" t="inlineStr">
        <is>
          <t>COMPLETED</t>
        </is>
      </c>
      <c r="J52" s="12" t="inlineStr">
        <is>
          <t>Production (gokesari.com)</t>
        </is>
      </c>
      <c r="K52" s="12" t="inlineStr">
        <is>
          <t>Live</t>
        </is>
      </c>
      <c r="L52" s="12" t="inlineStr">
        <is>
          <t>Baseline; #11 (guards, history); #58 (SM-004 states); #83 (Tomorrow's delivery card)</t>
        </is>
      </c>
      <c r="M52" s="12" t="inlineStr">
        <is>
          <t>Baseline; #19; #65; #84</t>
        </is>
      </c>
      <c r="N52" s="12" t="inlineStr">
        <is>
          <t>-</t>
        </is>
      </c>
      <c r="O52" s="12" t="inlineStr">
        <is>
          <t>-</t>
        </is>
      </c>
      <c r="P52" s="12" t="inlineStr">
        <is>
          <t>COMPLETED</t>
        </is>
      </c>
      <c r="Q52" s="12" t="inlineStr">
        <is>
          <t>No change</t>
        </is>
      </c>
      <c r="R52" s="12" t="inlineStr">
        <is>
          <t>-</t>
        </is>
      </c>
    </row>
    <row r="53" ht="27" customFormat="1" customHeight="1" s="2">
      <c r="A53" s="10" t="n">
        <v>52</v>
      </c>
      <c r="B53" s="12" t="inlineStr">
        <is>
          <t>Feature Master</t>
        </is>
      </c>
      <c r="C53" s="9" t="inlineStr">
        <is>
          <t>GS-052</t>
        </is>
      </c>
      <c r="D53" s="12" t="inlineStr">
        <is>
          <t>Marketing</t>
        </is>
      </c>
      <c r="E53" s="12" t="inlineStr">
        <is>
          <t>Customer segmentation</t>
        </is>
      </c>
      <c r="F53" s="12" t="inlineStr">
        <is>
          <t>Segments by PIN, society, delivered orders, recency, lapse, spend; consent required; counts only</t>
        </is>
      </c>
      <c r="G53" s="12" t="inlineStr">
        <is>
          <t>F11.1.1</t>
        </is>
      </c>
      <c r="H53" s="12" t="inlineStr">
        <is>
          <t>P1</t>
        </is>
      </c>
      <c r="I53" s="10" t="inlineStr">
        <is>
          <t>COMPLETED</t>
        </is>
      </c>
      <c r="J53" s="12" t="inlineStr">
        <is>
          <t>Production (gokesari.com)</t>
        </is>
      </c>
      <c r="K53" s="12" t="inlineStr">
        <is>
          <t>Live</t>
        </is>
      </c>
      <c r="L53" s="12" t="inlineStr">
        <is>
          <t>#18</t>
        </is>
      </c>
      <c r="M53" s="12" t="inlineStr">
        <is>
          <t>#19</t>
        </is>
      </c>
      <c r="N53" s="12" t="inlineStr">
        <is>
          <t>-</t>
        </is>
      </c>
      <c r="O53" s="12" t="inlineStr">
        <is>
          <t>-</t>
        </is>
      </c>
      <c r="P53" s="12" t="inlineStr">
        <is>
          <t>COMPLETED</t>
        </is>
      </c>
      <c r="Q53" s="12" t="inlineStr">
        <is>
          <t>No change</t>
        </is>
      </c>
      <c r="R53" s="12" t="inlineStr">
        <is>
          <t>src/server/services/marketing.ts:89</t>
        </is>
      </c>
    </row>
    <row r="54" ht="15" customFormat="1" customHeight="1" s="2">
      <c r="A54" s="10" t="n">
        <v>53</v>
      </c>
      <c r="B54" s="12" t="inlineStr">
        <is>
          <t>Feature Master</t>
        </is>
      </c>
      <c r="C54" s="9" t="inlineStr">
        <is>
          <t>GS-053</t>
        </is>
      </c>
      <c r="D54" s="12" t="inlineStr">
        <is>
          <t>Marketing</t>
        </is>
      </c>
      <c r="E54" s="12" t="inlineStr">
        <is>
          <t>Shop promotional campaigns</t>
        </is>
      </c>
      <c r="F54" s="12" t="inlineStr">
        <is>
          <t>Shop campaigns with budget, shop rate limit and customer frequency caps</t>
        </is>
      </c>
      <c r="G54" s="12" t="inlineStr">
        <is>
          <t>F11.1.2</t>
        </is>
      </c>
      <c r="H54" s="12" t="inlineStr">
        <is>
          <t>P1</t>
        </is>
      </c>
      <c r="I54" s="10" t="inlineStr">
        <is>
          <t>COMPLETED</t>
        </is>
      </c>
      <c r="J54" s="12" t="inlineStr">
        <is>
          <t>Production (gokesari.com)</t>
        </is>
      </c>
      <c r="K54" s="12" t="inlineStr">
        <is>
          <t>Live</t>
        </is>
      </c>
      <c r="L54" s="12" t="inlineStr">
        <is>
          <t>#18</t>
        </is>
      </c>
      <c r="M54" s="12" t="inlineStr">
        <is>
          <t>#19</t>
        </is>
      </c>
      <c r="N54" s="12" t="inlineStr">
        <is>
          <t>-</t>
        </is>
      </c>
      <c r="O54" s="12" t="inlineStr">
        <is>
          <t>-</t>
        </is>
      </c>
      <c r="P54" s="12" t="inlineStr">
        <is>
          <t>COMPLETED</t>
        </is>
      </c>
      <c r="Q54" s="12" t="inlineStr">
        <is>
          <t>No change</t>
        </is>
      </c>
      <c r="R54" s="12" t="inlineStr">
        <is>
          <t>src/server/services/marketing.ts</t>
        </is>
      </c>
    </row>
    <row r="55" ht="51" customFormat="1" customHeight="1" s="2">
      <c r="A55" s="10" t="n">
        <v>54</v>
      </c>
      <c r="B55" s="12" t="inlineStr">
        <is>
          <t>Feature Master</t>
        </is>
      </c>
      <c r="C55" s="9" t="inlineStr">
        <is>
          <t>GS-054</t>
        </is>
      </c>
      <c r="D55" s="12" t="inlineStr">
        <is>
          <t>Marketing</t>
        </is>
      </c>
      <c r="E55" s="12" t="inlineStr">
        <is>
          <t>Referral program</t>
        </is>
      </c>
      <c r="F55" s="12" t="inlineStr">
        <is>
          <t>Shop referral attribution, plus F11 customer referral code and link (/refer, /r/CODE): both rewarded on the friend's first delivered order; self-referral, duplicate-account and per-referrer cap guards; /admin/customer-referrals.</t>
        </is>
      </c>
      <c r="G55" s="12" t="inlineStr">
        <is>
          <t>F11.2.2</t>
        </is>
      </c>
      <c r="H55" s="12" t="inlineStr">
        <is>
          <t>P1</t>
        </is>
      </c>
      <c r="I55" s="10" t="inlineStr">
        <is>
          <t>COMPLETED</t>
        </is>
      </c>
      <c r="J55" s="12" t="inlineStr">
        <is>
          <t>Production - built, switched off by default</t>
        </is>
      </c>
      <c r="K55" s="12" t="inlineStr">
        <is>
          <t>Off by default - switch on in Admin &gt; Business rules (rule: customerReferrals.enabled; rewards Rs 50 / Rs 50)</t>
        </is>
      </c>
      <c r="L55" s="12" t="inlineStr">
        <is>
          <t>Baseline (shop referral codes); #55 (F11 customer referrals); #56 (link fix)</t>
        </is>
      </c>
      <c r="M55" s="12" t="inlineStr">
        <is>
          <t>Baseline; #57</t>
        </is>
      </c>
      <c r="N55" s="12" t="inlineStr">
        <is>
          <t>-</t>
        </is>
      </c>
      <c r="O55" s="12" t="inlineStr">
        <is>
          <t>-</t>
        </is>
      </c>
      <c r="P55" s="12" t="inlineStr">
        <is>
          <t>COMPLETED</t>
        </is>
      </c>
      <c r="Q55" s="12" t="inlineStr">
        <is>
          <t>No change</t>
        </is>
      </c>
      <c r="R55" s="12" t="inlineStr">
        <is>
          <t>src/server/services/customer-referrals.ts; drizzle/0050_customer_referrals.sql; tests/integration/customer-referrals.test.ts</t>
        </is>
      </c>
    </row>
    <row r="56" ht="63" customFormat="1" customHeight="1" s="2">
      <c r="A56" s="10" t="n">
        <v>55</v>
      </c>
      <c r="B56" s="12" t="inlineStr">
        <is>
          <t>Feature Master</t>
        </is>
      </c>
      <c r="C56" s="9" t="inlineStr">
        <is>
          <t>GS-055</t>
        </is>
      </c>
      <c r="D56" s="12" t="inlineStr">
        <is>
          <t>Notifications</t>
        </is>
      </c>
      <c r="E56" s="12" t="inlineStr">
        <is>
          <t>Order notifications</t>
        </is>
      </c>
      <c r="F56" s="12" t="inlineStr">
        <is>
          <t>Notification framework: in-app + email, queued per channel with retries and backoff, delivery log, dead-letter handling, per-category preferences (security notices always on), read/unread, and templates for every order, return, delivery, shop, wallet, subscription, society and security event. Sent by a one-minute cron</t>
        </is>
      </c>
      <c r="G56" s="12" t="inlineStr">
        <is>
          <t>F1.8.5, F2.1.1, F13.1.1</t>
        </is>
      </c>
      <c r="H56" s="12" t="inlineStr">
        <is>
          <t>P0</t>
        </is>
      </c>
      <c r="I56" s="10" t="inlineStr">
        <is>
          <t>COMPLETED</t>
        </is>
      </c>
      <c r="J56" s="12" t="inlineStr">
        <is>
          <t>Production (gokesari.com)</t>
        </is>
      </c>
      <c r="K56" s="12" t="inlineStr">
        <is>
          <t>Live</t>
        </is>
      </c>
      <c r="L56" s="12" t="inlineStr">
        <is>
          <t>Baseline; #10; #23 (Phase F framework)</t>
        </is>
      </c>
      <c r="M56" s="12" t="inlineStr">
        <is>
          <t>Baseline; #14; #23</t>
        </is>
      </c>
      <c r="N56" s="12" t="inlineStr">
        <is>
          <t>Email + in-app; SMS / WhatsApp / push wait on GS-074 (blocked).</t>
        </is>
      </c>
      <c r="O56" s="12" t="inlineStr">
        <is>
          <t>-</t>
        </is>
      </c>
      <c r="P56" s="12" t="inlineStr">
        <is>
          <t>COMPLETED</t>
        </is>
      </c>
      <c r="Q56" s="12" t="inlineStr">
        <is>
          <t>No change</t>
        </is>
      </c>
      <c r="R56" s="12" t="inlineStr">
        <is>
          <t>src/server/notifications/{channels,templates,types}.ts; src/server/services/notifications.ts; src/app/api/cron/notifications/route.ts; drizzle/0030</t>
        </is>
      </c>
    </row>
    <row r="57" ht="15" customFormat="1" customHeight="1" s="2">
      <c r="A57" s="10" t="n">
        <v>56</v>
      </c>
      <c r="B57" s="12" t="inlineStr">
        <is>
          <t>Feature Master</t>
        </is>
      </c>
      <c r="C57" s="9" t="inlineStr">
        <is>
          <t>GS-056</t>
        </is>
      </c>
      <c r="D57" s="12" t="inlineStr">
        <is>
          <t>Support</t>
        </is>
      </c>
      <c r="E57" s="12" t="inlineStr">
        <is>
          <t>Report an issue</t>
        </is>
      </c>
      <c r="F57" s="12" t="inlineStr">
        <is>
          <t>'Report a problem' on an order -&gt; linked ticket</t>
        </is>
      </c>
      <c r="G57" s="12" t="inlineStr">
        <is>
          <t>F6.2.1</t>
        </is>
      </c>
      <c r="H57" s="12" t="inlineStr">
        <is>
          <t>P0</t>
        </is>
      </c>
      <c r="I57" s="10" t="inlineStr">
        <is>
          <t>COMPLETED</t>
        </is>
      </c>
      <c r="J57" s="12" t="inlineStr">
        <is>
          <t>Production (gokesari.com)</t>
        </is>
      </c>
      <c r="K57" s="12" t="inlineStr">
        <is>
          <t>Live</t>
        </is>
      </c>
      <c r="L57" s="12" t="inlineStr">
        <is>
          <t>#11</t>
        </is>
      </c>
      <c r="M57" s="12" t="inlineStr">
        <is>
          <t>#19</t>
        </is>
      </c>
      <c r="N57" s="12" t="inlineStr">
        <is>
          <t>-</t>
        </is>
      </c>
      <c r="O57" s="12" t="inlineStr">
        <is>
          <t>-</t>
        </is>
      </c>
      <c r="P57" s="12" t="inlineStr">
        <is>
          <t>COMPLETED</t>
        </is>
      </c>
      <c r="Q57" s="12" t="inlineStr">
        <is>
          <t>No change</t>
        </is>
      </c>
      <c r="R57" s="12" t="inlineStr">
        <is>
          <t>src/app/api/orders/[id]/issue/route.ts</t>
        </is>
      </c>
    </row>
    <row r="58" ht="99" customFormat="1" customHeight="1" s="2">
      <c r="A58" s="10" t="n">
        <v>57</v>
      </c>
      <c r="B58" s="12" t="inlineStr">
        <is>
          <t>Feature Master</t>
        </is>
      </c>
      <c r="C58" s="9" t="inlineStr">
        <is>
          <t>GS-057</t>
        </is>
      </c>
      <c r="D58" s="12" t="inlineStr">
        <is>
          <t>Support</t>
        </is>
      </c>
      <c r="E58" s="12" t="inlineStr">
        <is>
          <t>Returns/refunds</t>
        </is>
      </c>
      <c r="F58" s="12" t="inlineStr">
        <is>
          <t>Full returns workflow: request (reason, condition, quantity, photos, comments) -&gt; automatic policy validation (window, per-reason policy, evidence, quantity held under an order lock) -&gt; approval -&gt; rider pickup (offer / accept / en route / handover code / failure and bounded re-offer) -&gt; goods received -&gt; inspection -&gt; refund through the existing journaled refundDeliveredOrder, idempotent per return, 13 statuses with history. Customer, shop, operations and rider screens; rider pickup fee credited as an earning</t>
        </is>
      </c>
      <c r="G58" s="12" t="inlineStr">
        <is>
          <t>F6.2.2</t>
        </is>
      </c>
      <c r="H58" s="12" t="inlineStr">
        <is>
          <t>P0</t>
        </is>
      </c>
      <c r="I58" s="10" t="inlineStr">
        <is>
          <t>COMPLETED</t>
        </is>
      </c>
      <c r="J58" s="12" t="inlineStr">
        <is>
          <t>Production (gokesari.com)</t>
        </is>
      </c>
      <c r="K58" s="12" t="inlineStr">
        <is>
          <t>Live</t>
        </is>
      </c>
      <c r="L58" s="12" t="inlineStr">
        <is>
          <t>#10 (refunds); #23 (Phase E returns + pickups)</t>
        </is>
      </c>
      <c r="M58" s="12" t="inlineStr">
        <is>
          <t>#14; #23</t>
        </is>
      </c>
      <c r="N58" s="12" t="inlineStr">
        <is>
          <t>Gateway refund (money back to card/UPI rather than wallet) Refunds go to the wallet; refunds to card / UPI wait on GS-073 (blocked).</t>
        </is>
      </c>
      <c r="O58" s="12" t="inlineStr">
        <is>
          <t>-</t>
        </is>
      </c>
      <c r="P58" s="12" t="inlineStr">
        <is>
          <t>COMPLETED</t>
        </is>
      </c>
      <c r="Q58" s="12" t="inlineStr">
        <is>
          <t>No change</t>
        </is>
      </c>
      <c r="R58" s="12" t="inlineStr">
        <is>
          <t>src/server/services/returns.ts; src/server/services/return-pickups.ts; src/app/returns, /shop/returns, /admin/returns; drizzle/0029</t>
        </is>
      </c>
    </row>
    <row r="59" ht="87" customFormat="1" customHeight="1" s="2">
      <c r="A59" s="10" t="n">
        <v>58</v>
      </c>
      <c r="B59" s="12" t="inlineStr">
        <is>
          <t>Feature Master</t>
        </is>
      </c>
      <c r="C59" s="9" t="inlineStr">
        <is>
          <t>GS-058</t>
        </is>
      </c>
      <c r="D59" s="12" t="inlineStr">
        <is>
          <t>Support</t>
        </is>
      </c>
      <c r="E59" s="12" t="inlineStr">
        <is>
          <t>Dispute management</t>
        </is>
      </c>
      <c r="F59" s="12" t="inlineStr">
        <is>
          <t>Dispute case entity (migration 0037): order, raiser, disputed amount, payment-method snapshot; 8 statuses (OPEN, TRIAGED, INVESTIGATING, RESOLUTION_PROPOSED, ESCALATED, RESOLVED, REJECTED, WITHDRAWN) with a transition table; auto-escalation by amount (default Rs 2,000) and age (default 48 h, hourly cron); escalated cases admin-only; refund resolution goes through refundDeliveredOrder with a double-pay guard; customer sees outcome, not working notes; /admin/disputes queue</t>
        </is>
      </c>
      <c r="G59" s="12" t="inlineStr">
        <is>
          <t>F6.3.1</t>
        </is>
      </c>
      <c r="H59" s="12" t="inlineStr">
        <is>
          <t>P0</t>
        </is>
      </c>
      <c r="I59" s="10" t="inlineStr">
        <is>
          <t>COMPLETED</t>
        </is>
      </c>
      <c r="J59" s="12" t="inlineStr">
        <is>
          <t>Production (gokesari.com)</t>
        </is>
      </c>
      <c r="K59" s="12" t="inlineStr">
        <is>
          <t>Live</t>
        </is>
      </c>
      <c r="L59" s="12" t="inlineStr">
        <is>
          <t>#40</t>
        </is>
      </c>
      <c r="M59" s="12" t="inlineStr">
        <is>
          <t>#40</t>
        </is>
      </c>
      <c r="N59" s="12" t="inlineStr">
        <is>
          <t>Refund to card/UPI (today refunds are wallet credit) - depends on GS-028/GS-073</t>
        </is>
      </c>
      <c r="O59" s="12" t="inlineStr">
        <is>
          <t>-</t>
        </is>
      </c>
      <c r="P59" s="12" t="inlineStr">
        <is>
          <t>COMPLETED</t>
        </is>
      </c>
      <c r="Q59" s="12" t="inlineStr">
        <is>
          <t>No change</t>
        </is>
      </c>
      <c r="R59" s="12" t="inlineStr">
        <is>
          <t>src/lib/dispute-states.ts; src/server/services/disputes.ts; src/app/admin/disputes/page.tsx; src/app/api/cron/dispute-escalation/route.ts; drizzle/0037_dispute_cases.sql; tests/integration/disputes.test.ts</t>
        </is>
      </c>
    </row>
    <row r="60" ht="15" customFormat="1" customHeight="1" s="2">
      <c r="A60" s="10" t="n">
        <v>59</v>
      </c>
      <c r="B60" s="12" t="inlineStr">
        <is>
          <t>Feature Master</t>
        </is>
      </c>
      <c r="C60" s="9" t="inlineStr">
        <is>
          <t>GS-059</t>
        </is>
      </c>
      <c r="D60" s="12" t="inlineStr">
        <is>
          <t>Ratings</t>
        </is>
      </c>
      <c r="E60" s="12" t="inlineStr">
        <is>
          <t>Shop rating</t>
        </is>
      </c>
      <c r="F60" s="12" t="inlineStr">
        <is>
          <t>Eligibility, one per order, average, anonymous reviews, moderation</t>
        </is>
      </c>
      <c r="G60" s="12" t="inlineStr">
        <is>
          <t>F6.4.1</t>
        </is>
      </c>
      <c r="H60" s="12" t="inlineStr">
        <is>
          <t>P1</t>
        </is>
      </c>
      <c r="I60" s="10" t="inlineStr">
        <is>
          <t>COMPLETED</t>
        </is>
      </c>
      <c r="J60" s="12" t="inlineStr">
        <is>
          <t>Production (gokesari.com)</t>
        </is>
      </c>
      <c r="K60" s="12" t="inlineStr">
        <is>
          <t>Live</t>
        </is>
      </c>
      <c r="L60" s="12" t="inlineStr">
        <is>
          <t>#11</t>
        </is>
      </c>
      <c r="M60" s="12" t="inlineStr">
        <is>
          <t>#19</t>
        </is>
      </c>
      <c r="N60" s="12" t="inlineStr">
        <is>
          <t>-</t>
        </is>
      </c>
      <c r="O60" s="12" t="inlineStr">
        <is>
          <t>-</t>
        </is>
      </c>
      <c r="P60" s="12" t="inlineStr">
        <is>
          <t>COMPLETED</t>
        </is>
      </c>
      <c r="Q60" s="12" t="inlineStr">
        <is>
          <t>No change</t>
        </is>
      </c>
      <c r="R60" s="12" t="inlineStr">
        <is>
          <t>src/server/services/ratings.ts</t>
        </is>
      </c>
    </row>
    <row r="61" ht="15" customFormat="1" customHeight="1" s="2">
      <c r="A61" s="10" t="n">
        <v>60</v>
      </c>
      <c r="B61" s="12" t="inlineStr">
        <is>
          <t>Feature Master</t>
        </is>
      </c>
      <c r="C61" s="9" t="inlineStr">
        <is>
          <t>GS-060</t>
        </is>
      </c>
      <c r="D61" s="12" t="inlineStr">
        <is>
          <t>Ratings</t>
        </is>
      </c>
      <c r="E61" s="12" t="inlineStr">
        <is>
          <t>Gig rating</t>
        </is>
      </c>
      <c r="F61" s="12" t="inlineStr">
        <is>
          <t>Rider rating: average visible to rider and operations</t>
        </is>
      </c>
      <c r="G61" s="12" t="inlineStr">
        <is>
          <t>F6.4.1</t>
        </is>
      </c>
      <c r="H61" s="12" t="inlineStr">
        <is>
          <t>P1</t>
        </is>
      </c>
      <c r="I61" s="10" t="inlineStr">
        <is>
          <t>COMPLETED</t>
        </is>
      </c>
      <c r="J61" s="12" t="inlineStr">
        <is>
          <t>Production (gokesari.com)</t>
        </is>
      </c>
      <c r="K61" s="12" t="inlineStr">
        <is>
          <t>Live</t>
        </is>
      </c>
      <c r="L61" s="12" t="inlineStr">
        <is>
          <t>#11</t>
        </is>
      </c>
      <c r="M61" s="12" t="inlineStr">
        <is>
          <t>#19</t>
        </is>
      </c>
      <c r="N61" s="12" t="inlineStr">
        <is>
          <t>-</t>
        </is>
      </c>
      <c r="O61" s="12" t="inlineStr">
        <is>
          <t>-</t>
        </is>
      </c>
      <c r="P61" s="12" t="inlineStr">
        <is>
          <t>COMPLETED</t>
        </is>
      </c>
      <c r="Q61" s="12" t="inlineStr">
        <is>
          <t>No change</t>
        </is>
      </c>
      <c r="R61" s="12" t="inlineStr">
        <is>
          <t>src/server/services/ratings.ts</t>
        </is>
      </c>
    </row>
    <row r="62" ht="15" customFormat="1" customHeight="1" s="2">
      <c r="A62" s="10" t="n">
        <v>61</v>
      </c>
      <c r="B62" s="12" t="inlineStr">
        <is>
          <t>Feature Master</t>
        </is>
      </c>
      <c r="C62" s="9" t="inlineStr">
        <is>
          <t>GS-061</t>
        </is>
      </c>
      <c r="D62" s="12" t="inlineStr">
        <is>
          <t>Finance</t>
        </is>
      </c>
      <c r="E62" s="12" t="inlineStr">
        <is>
          <t>Shop commission</t>
        </is>
      </c>
      <c r="F62" s="12" t="inlineStr">
        <is>
          <t>Commission by default / shop type / shop, snapshotted per order</t>
        </is>
      </c>
      <c r="G62" s="12" t="inlineStr">
        <is>
          <t>F10.1.1</t>
        </is>
      </c>
      <c r="H62" s="12" t="inlineStr">
        <is>
          <t>P0</t>
        </is>
      </c>
      <c r="I62" s="10" t="inlineStr">
        <is>
          <t>COMPLETED</t>
        </is>
      </c>
      <c r="J62" s="12" t="inlineStr">
        <is>
          <t>Production (gokesari.com)</t>
        </is>
      </c>
      <c r="K62" s="12" t="inlineStr">
        <is>
          <t>Live</t>
        </is>
      </c>
      <c r="L62" s="12" t="inlineStr">
        <is>
          <t>#10</t>
        </is>
      </c>
      <c r="M62" s="12" t="inlineStr">
        <is>
          <t>#14</t>
        </is>
      </c>
      <c r="N62" s="12" t="inlineStr">
        <is>
          <t>-</t>
        </is>
      </c>
      <c r="O62" s="12" t="inlineStr">
        <is>
          <t>-</t>
        </is>
      </c>
      <c r="P62" s="12" t="inlineStr">
        <is>
          <t>COMPLETED</t>
        </is>
      </c>
      <c r="Q62" s="12" t="inlineStr">
        <is>
          <t>No change</t>
        </is>
      </c>
      <c r="R62" s="12" t="inlineStr">
        <is>
          <t>src/server/services/finance.ts:216</t>
        </is>
      </c>
    </row>
    <row r="63" ht="15" customFormat="1" customHeight="1" s="2">
      <c r="A63" s="10" t="n">
        <v>62</v>
      </c>
      <c r="B63" s="12" t="inlineStr">
        <is>
          <t>Feature Master</t>
        </is>
      </c>
      <c r="C63" s="9" t="inlineStr">
        <is>
          <t>GS-062</t>
        </is>
      </c>
      <c r="D63" s="12" t="inlineStr">
        <is>
          <t>Finance</t>
        </is>
      </c>
      <c r="E63" s="12" t="inlineStr">
        <is>
          <t>Shop settlement</t>
        </is>
      </c>
      <c r="F63" s="12" t="inlineStr">
        <is>
          <t>Weekly shop settlements DRAFT -&gt; APPROVED -&gt; PAID, full lifecycle</t>
        </is>
      </c>
      <c r="G63" s="12" t="inlineStr">
        <is>
          <t>F10.2.1</t>
        </is>
      </c>
      <c r="H63" s="12" t="inlineStr">
        <is>
          <t>P0</t>
        </is>
      </c>
      <c r="I63" s="10" t="inlineStr">
        <is>
          <t>COMPLETED</t>
        </is>
      </c>
      <c r="J63" s="12" t="inlineStr">
        <is>
          <t>Production (gokesari.com)</t>
        </is>
      </c>
      <c r="K63" s="12" t="inlineStr">
        <is>
          <t>Live</t>
        </is>
      </c>
      <c r="L63" s="12" t="inlineStr">
        <is>
          <t>#10</t>
        </is>
      </c>
      <c r="M63" s="12" t="inlineStr">
        <is>
          <t>#14</t>
        </is>
      </c>
      <c r="N63" s="12" t="inlineStr">
        <is>
          <t>-</t>
        </is>
      </c>
      <c r="O63" s="12" t="inlineStr">
        <is>
          <t>-</t>
        </is>
      </c>
      <c r="P63" s="12" t="inlineStr">
        <is>
          <t>COMPLETED</t>
        </is>
      </c>
      <c r="Q63" s="12" t="inlineStr">
        <is>
          <t>No change</t>
        </is>
      </c>
      <c r="R63" s="12" t="inlineStr">
        <is>
          <t>src/app/api/finance/settlements/route.ts</t>
        </is>
      </c>
    </row>
    <row r="64" ht="87" customFormat="1" customHeight="1" s="2">
      <c r="A64" s="10" t="n">
        <v>63</v>
      </c>
      <c r="B64" s="12" t="inlineStr">
        <is>
          <t>Feature Master</t>
        </is>
      </c>
      <c r="C64" s="9" t="inlineStr">
        <is>
          <t>GS-063</t>
        </is>
      </c>
      <c r="D64" s="12" t="inlineStr">
        <is>
          <t>Finance</t>
        </is>
      </c>
      <c r="E64" s="12" t="inlineStr">
        <is>
          <t>Gig earnings</t>
        </is>
      </c>
      <c r="F64" s="12" t="inlineStr">
        <is>
          <t>Configurable time slots (including overnight, weekdays, validity, priority) each with their own base, per-km, minimum, order component and peak bonus; incentives by order count, daily/weekly target, distance, peak hour and campaign; every earning stores its full breakdown plus append-only ledger lines and idempotent award rows; with no slots configured the result is exactly the old base + per-km; admin screen with a 'try a delivery' calculator. 12 unit tests on the calculation engine</t>
        </is>
      </c>
      <c r="G64" s="12" t="inlineStr">
        <is>
          <t>F10.2.3</t>
        </is>
      </c>
      <c r="H64" s="12" t="inlineStr">
        <is>
          <t>P0</t>
        </is>
      </c>
      <c r="I64" s="10" t="inlineStr">
        <is>
          <t>COMPLETED</t>
        </is>
      </c>
      <c r="J64" s="12" t="inlineStr">
        <is>
          <t>Production (gokesari.com)</t>
        </is>
      </c>
      <c r="K64" s="12" t="inlineStr">
        <is>
          <t>Live</t>
        </is>
      </c>
      <c r="L64" s="12" t="inlineStr">
        <is>
          <t>Baseline; #23 (Phase D earnings rules)</t>
        </is>
      </c>
      <c r="M64" s="12" t="inlineStr">
        <is>
          <t>Baseline; #23</t>
        </is>
      </c>
      <c r="N64" s="12" t="inlineStr">
        <is>
          <t>-</t>
        </is>
      </c>
      <c r="O64" s="12" t="inlineStr">
        <is>
          <t>-</t>
        </is>
      </c>
      <c r="P64" s="12" t="inlineStr">
        <is>
          <t>COMPLETED</t>
        </is>
      </c>
      <c r="Q64" s="12" t="inlineStr">
        <is>
          <t>No change</t>
        </is>
      </c>
      <c r="R64" s="12" t="inlineStr">
        <is>
          <t>src/server/services/delivery-earnings.ts; src/app/admin/rider-earnings/page.tsx; drizzle/0028; tests/unit/earnings-calc.test.ts</t>
        </is>
      </c>
    </row>
    <row r="65" ht="27" customFormat="1" customHeight="1" s="2">
      <c r="A65" s="10" t="n">
        <v>64</v>
      </c>
      <c r="B65" s="12" t="inlineStr">
        <is>
          <t>Feature Master</t>
        </is>
      </c>
      <c r="C65" s="9" t="inlineStr">
        <is>
          <t>GS-064</t>
        </is>
      </c>
      <c r="D65" s="12" t="inlineStr">
        <is>
          <t>Finance</t>
        </is>
      </c>
      <c r="E65" s="12" t="inlineStr">
        <is>
          <t>Gig payout</t>
        </is>
      </c>
      <c r="F65" s="12" t="inlineStr">
        <is>
          <t>Weekly rider payouts, full lifecycle</t>
        </is>
      </c>
      <c r="G65" s="12" t="inlineStr">
        <is>
          <t>F10.2.1</t>
        </is>
      </c>
      <c r="H65" s="12" t="inlineStr">
        <is>
          <t>P0</t>
        </is>
      </c>
      <c r="I65" s="10" t="inlineStr">
        <is>
          <t>COMPLETED</t>
        </is>
      </c>
      <c r="J65" s="12" t="inlineStr">
        <is>
          <t>Production (gokesari.com)</t>
        </is>
      </c>
      <c r="K65" s="12" t="inlineStr">
        <is>
          <t>Live</t>
        </is>
      </c>
      <c r="L65" s="12" t="inlineStr">
        <is>
          <t>#10</t>
        </is>
      </c>
      <c r="M65" s="12" t="inlineStr">
        <is>
          <t>#14</t>
        </is>
      </c>
      <c r="N65" s="12" t="inlineStr">
        <is>
          <t>Payouts are recorded and reconciled; the bank transfer itself is manual.</t>
        </is>
      </c>
      <c r="O65" s="12" t="inlineStr">
        <is>
          <t>-</t>
        </is>
      </c>
      <c r="P65" s="12" t="inlineStr">
        <is>
          <t>COMPLETED</t>
        </is>
      </c>
      <c r="Q65" s="12" t="inlineStr">
        <is>
          <t>No change</t>
        </is>
      </c>
      <c r="R65" s="12" t="inlineStr">
        <is>
          <t>src/app/api/finance/rider-payouts/route.ts</t>
        </is>
      </c>
    </row>
    <row r="66" ht="39" customFormat="1" customHeight="1" s="2">
      <c r="A66" s="10" t="n">
        <v>65</v>
      </c>
      <c r="B66" s="12" t="inlineStr">
        <is>
          <t>Feature Master</t>
        </is>
      </c>
      <c r="C66" s="9" t="inlineStr">
        <is>
          <t>GS-065</t>
        </is>
      </c>
      <c r="D66" s="12" t="inlineStr">
        <is>
          <t>Admin</t>
        </is>
      </c>
      <c r="E66" s="12" t="inlineStr">
        <is>
          <t>Global dashboard</t>
        </is>
      </c>
      <c r="F66" s="12" t="inlineStr">
        <is>
          <t>getAdminDashboard() + /admin/dashboard: the marketplace's operational picture from live queries - in-flight orders by status, today's money, KPI cards, open risk flags, shops by status. No sample numbers</t>
        </is>
      </c>
      <c r="G66" s="12" t="inlineStr">
        <is>
          <t>F12.1.1</t>
        </is>
      </c>
      <c r="H66" s="12" t="inlineStr">
        <is>
          <t>P0</t>
        </is>
      </c>
      <c r="I66" s="10" t="inlineStr">
        <is>
          <t>COMPLETED</t>
        </is>
      </c>
      <c r="J66" s="12" t="inlineStr">
        <is>
          <t>Production (gokesari.com)</t>
        </is>
      </c>
      <c r="K66" s="12" t="inlineStr">
        <is>
          <t>Live</t>
        </is>
      </c>
      <c r="L66" s="12" t="inlineStr">
        <is>
          <t>#21; #23 (Phase J)</t>
        </is>
      </c>
      <c r="M66" s="12" t="inlineStr">
        <is>
          <t>#19; #23</t>
        </is>
      </c>
      <c r="N66" s="12" t="inlineStr">
        <is>
          <t>-</t>
        </is>
      </c>
      <c r="O66" s="12" t="inlineStr">
        <is>
          <t>-</t>
        </is>
      </c>
      <c r="P66" s="12" t="inlineStr">
        <is>
          <t>COMPLETED</t>
        </is>
      </c>
      <c r="Q66" s="12" t="inlineStr">
        <is>
          <t>No change</t>
        </is>
      </c>
      <c r="R66" s="12" t="inlineStr">
        <is>
          <t>src/server/services/dashboards.ts:207; src/app/admin/dashboard/page.tsx</t>
        </is>
      </c>
    </row>
    <row r="67" ht="75" customFormat="1" customHeight="1" s="2">
      <c r="A67" s="10" t="n">
        <v>66</v>
      </c>
      <c r="B67" s="12" t="inlineStr">
        <is>
          <t>Feature Master</t>
        </is>
      </c>
      <c r="C67" s="9" t="inlineStr">
        <is>
          <t>GS-066</t>
        </is>
      </c>
      <c r="D67" s="12" t="inlineStr">
        <is>
          <t>Admin</t>
        </is>
      </c>
      <c r="E67" s="12" t="inlineStr">
        <is>
          <t>Operator console</t>
        </is>
      </c>
      <c r="F67" s="12" t="inlineStr">
        <is>
          <t>Two exception queues: finance exceptions at /admin/finance/exceptions, and a general operations queue at /admin/exceptions with 12 categories (shop not accepting, shop slow, awaiting substitution, no rider, self-delivery overdue, rider not picked up, stuck after pickup, delivery code locked, failed delivery, returned-no-decision, disputed, past promised time), elapsed-time thresholds, severity and precedence</t>
        </is>
      </c>
      <c r="G67" s="12" t="inlineStr">
        <is>
          <t>F12.1.2</t>
        </is>
      </c>
      <c r="H67" s="12" t="inlineStr">
        <is>
          <t>P0</t>
        </is>
      </c>
      <c r="I67" s="10" t="inlineStr">
        <is>
          <t>COMPLETED</t>
        </is>
      </c>
      <c r="J67" s="12" t="inlineStr">
        <is>
          <t>Production (gokesari.com)</t>
        </is>
      </c>
      <c r="K67" s="12" t="inlineStr">
        <is>
          <t>Live</t>
        </is>
      </c>
      <c r="L67" s="12" t="inlineStr">
        <is>
          <t>#21</t>
        </is>
      </c>
      <c r="M67" s="12" t="inlineStr">
        <is>
          <t>#19</t>
        </is>
      </c>
      <c r="N67" s="12" t="inlineStr">
        <is>
          <t>-</t>
        </is>
      </c>
      <c r="O67" s="12" t="inlineStr">
        <is>
          <t>-</t>
        </is>
      </c>
      <c r="P67" s="12" t="inlineStr">
        <is>
          <t>COMPLETED</t>
        </is>
      </c>
      <c r="Q67" s="12" t="inlineStr">
        <is>
          <t>No change</t>
        </is>
      </c>
      <c r="R67" s="12" t="inlineStr">
        <is>
          <t>src/server/services/ops-exceptions.ts; src/app/admin/exceptions/page.tsx</t>
        </is>
      </c>
    </row>
    <row r="68" ht="27" customFormat="1" customHeight="1" s="2">
      <c r="A68" s="10" t="n">
        <v>67</v>
      </c>
      <c r="B68" s="12" t="inlineStr">
        <is>
          <t>Feature Master</t>
        </is>
      </c>
      <c r="C68" s="9" t="inlineStr">
        <is>
          <t>GS-067</t>
        </is>
      </c>
      <c r="D68" s="12" t="inlineStr">
        <is>
          <t>Admin</t>
        </is>
      </c>
      <c r="E68" s="12" t="inlineStr">
        <is>
          <t>Audit logs</t>
        </is>
      </c>
      <c r="F68" s="12" t="inlineStr">
        <is>
          <t>audit_logs append-only, enforced by DB trigger</t>
        </is>
      </c>
      <c r="G68" s="12" t="inlineStr">
        <is>
          <t>F12.2.1</t>
        </is>
      </c>
      <c r="H68" s="12" t="inlineStr">
        <is>
          <t>P0</t>
        </is>
      </c>
      <c r="I68" s="10" t="inlineStr">
        <is>
          <t>COMPLETED</t>
        </is>
      </c>
      <c r="J68" s="12" t="inlineStr">
        <is>
          <t>Production (gokesari.com)</t>
        </is>
      </c>
      <c r="K68" s="12" t="inlineStr">
        <is>
          <t>Live</t>
        </is>
      </c>
      <c r="L68" s="12" t="inlineStr">
        <is>
          <t>Baseline; #10 (append-only)</t>
        </is>
      </c>
      <c r="M68" s="12" t="inlineStr">
        <is>
          <t>Baseline; #14</t>
        </is>
      </c>
      <c r="N68" s="12" t="inlineStr">
        <is>
          <t>Dedicated Auditor role (optional)</t>
        </is>
      </c>
      <c r="O68" s="12" t="inlineStr">
        <is>
          <t>-</t>
        </is>
      </c>
      <c r="P68" s="12" t="inlineStr">
        <is>
          <t>COMPLETED</t>
        </is>
      </c>
      <c r="Q68" s="12" t="inlineStr">
        <is>
          <t>No change</t>
        </is>
      </c>
      <c r="R68" s="12" t="inlineStr">
        <is>
          <t>drizzle/0018_audit_logs_append_only.sql; src/server/services/audit.ts</t>
        </is>
      </c>
    </row>
    <row r="69" ht="27" customFormat="1" customHeight="1" s="2">
      <c r="A69" s="10" t="n">
        <v>68</v>
      </c>
      <c r="B69" s="12" t="inlineStr">
        <is>
          <t>Feature Master</t>
        </is>
      </c>
      <c r="C69" s="9" t="inlineStr">
        <is>
          <t>GS-068</t>
        </is>
      </c>
      <c r="D69" s="12" t="inlineStr">
        <is>
          <t>Admin</t>
        </is>
      </c>
      <c r="E69" s="12" t="inlineStr">
        <is>
          <t>Fraud/risk rules</t>
        </is>
      </c>
      <c r="F69" s="12" t="inlineStr">
        <is>
          <t>11 risk rules (customer, rider, shop), hourly cron, review queue /admin/risk; a HIGH customer flag pauses COD</t>
        </is>
      </c>
      <c r="G69" s="12" t="inlineStr">
        <is>
          <t>F12.1.3</t>
        </is>
      </c>
      <c r="H69" s="12" t="inlineStr">
        <is>
          <t>P1</t>
        </is>
      </c>
      <c r="I69" s="10" t="inlineStr">
        <is>
          <t>COMPLETED</t>
        </is>
      </c>
      <c r="J69" s="12" t="inlineStr">
        <is>
          <t>Production (gokesari.com)</t>
        </is>
      </c>
      <c r="K69" s="12" t="inlineStr">
        <is>
          <t>Live</t>
        </is>
      </c>
      <c r="L69" s="12" t="inlineStr">
        <is>
          <t>#18; #21 (high-value outlier)</t>
        </is>
      </c>
      <c r="M69" s="12" t="inlineStr">
        <is>
          <t>#19</t>
        </is>
      </c>
      <c r="N69" s="12" t="inlineStr">
        <is>
          <t>-</t>
        </is>
      </c>
      <c r="O69" s="12" t="inlineStr">
        <is>
          <t>-</t>
        </is>
      </c>
      <c r="P69" s="12" t="inlineStr">
        <is>
          <t>COMPLETED</t>
        </is>
      </c>
      <c r="Q69" s="12" t="inlineStr">
        <is>
          <t>No change</t>
        </is>
      </c>
      <c r="R69" s="12" t="inlineStr">
        <is>
          <t>src/server/services/risk.ts; src/app/admin/risk/page.tsx</t>
        </is>
      </c>
    </row>
    <row r="70" ht="39" customFormat="1" customHeight="1" s="2">
      <c r="A70" s="10" t="n">
        <v>69</v>
      </c>
      <c r="B70" s="12" t="inlineStr">
        <is>
          <t>Feature Master</t>
        </is>
      </c>
      <c r="C70" s="9" t="inlineStr">
        <is>
          <t>GS-069</t>
        </is>
      </c>
      <c r="D70" s="12" t="inlineStr">
        <is>
          <t>Analytics</t>
        </is>
      </c>
      <c r="E70" s="12" t="inlineStr">
        <is>
          <t>Marketplace KPI dashboard</t>
        </is>
      </c>
      <c r="F70" s="12" t="inlineStr">
        <is>
          <t>/admin/analytics (marketplace) and /shop/analytics (own shop)</t>
        </is>
      </c>
      <c r="G70" s="12" t="inlineStr">
        <is>
          <t>F12.1.1</t>
        </is>
      </c>
      <c r="H70" s="12" t="inlineStr">
        <is>
          <t>P0</t>
        </is>
      </c>
      <c r="I70" s="10" t="inlineStr">
        <is>
          <t>COMPLETED</t>
        </is>
      </c>
      <c r="J70" s="12" t="inlineStr">
        <is>
          <t>Production (gokesari.com)</t>
        </is>
      </c>
      <c r="K70" s="12" t="inlineStr">
        <is>
          <t>Live</t>
        </is>
      </c>
      <c r="L70" s="12" t="inlineStr">
        <is>
          <t>#18</t>
        </is>
      </c>
      <c r="M70" s="12" t="inlineStr">
        <is>
          <t>#19</t>
        </is>
      </c>
      <c r="N70" s="12" t="inlineStr">
        <is>
          <t>-</t>
        </is>
      </c>
      <c r="O70" s="12" t="inlineStr">
        <is>
          <t>-</t>
        </is>
      </c>
      <c r="P70" s="12" t="inlineStr">
        <is>
          <t>COMPLETED</t>
        </is>
      </c>
      <c r="Q70" s="12" t="inlineStr">
        <is>
          <t>No change</t>
        </is>
      </c>
      <c r="R70" s="12" t="inlineStr">
        <is>
          <t>src/server/services/analytics.ts; src/app/admin/analytics/page.tsx; src/app/api/analytics/kpis/route.ts</t>
        </is>
      </c>
    </row>
    <row r="71" ht="39" customFormat="1" customHeight="1" s="2">
      <c r="A71" s="10" t="n">
        <v>70</v>
      </c>
      <c r="B71" s="12" t="inlineStr">
        <is>
          <t>Feature Master</t>
        </is>
      </c>
      <c r="C71" s="9" t="inlineStr">
        <is>
          <t>GS-070</t>
        </is>
      </c>
      <c r="D71" s="12" t="inlineStr">
        <is>
          <t>Security</t>
        </is>
      </c>
      <c r="E71" s="12" t="inlineStr">
        <is>
          <t>Privacy/consent management</t>
        </is>
      </c>
      <c r="F71" s="12" t="inlineStr">
        <is>
          <t>Marketing consent grant/withdraw with history; profile toggle; /api/consents/marketing</t>
        </is>
      </c>
      <c r="G71" s="12" t="inlineStr">
        <is>
          <t>F11.2.3</t>
        </is>
      </c>
      <c r="H71" s="12" t="inlineStr">
        <is>
          <t>P0</t>
        </is>
      </c>
      <c r="I71" s="10" t="inlineStr">
        <is>
          <t>COMPLETED</t>
        </is>
      </c>
      <c r="J71" s="12" t="inlineStr">
        <is>
          <t>Production (gokesari.com)</t>
        </is>
      </c>
      <c r="K71" s="12" t="inlineStr">
        <is>
          <t>Live</t>
        </is>
      </c>
      <c r="L71" s="12" t="inlineStr">
        <is>
          <t>Baseline; #10 (marketing consent); #34 (consent view); #77 (On/Off switch)</t>
        </is>
      </c>
      <c r="M71" s="12" t="inlineStr">
        <is>
          <t>Baseline; #14; #34; #78</t>
        </is>
      </c>
      <c r="N71" s="12" t="inlineStr">
        <is>
          <t>-</t>
        </is>
      </c>
      <c r="O71" s="12" t="inlineStr">
        <is>
          <t>-</t>
        </is>
      </c>
      <c r="P71" s="12" t="inlineStr">
        <is>
          <t>COMPLETED</t>
        </is>
      </c>
      <c r="Q71" s="12" t="inlineStr">
        <is>
          <t>No change</t>
        </is>
      </c>
      <c r="R71" s="12" t="inlineStr">
        <is>
          <t>src/server/services/consents.ts; src/components/marketing-consent-toggle.tsx</t>
        </is>
      </c>
    </row>
    <row r="72" ht="39" customFormat="1" customHeight="1" s="2">
      <c r="A72" s="10" t="n">
        <v>71</v>
      </c>
      <c r="B72" s="12" t="inlineStr">
        <is>
          <t>Feature Master</t>
        </is>
      </c>
      <c r="C72" s="9" t="inlineStr">
        <is>
          <t>GS-071</t>
        </is>
      </c>
      <c r="D72" s="12" t="inlineStr">
        <is>
          <t>Security</t>
        </is>
      </c>
      <c r="E72" s="12" t="inlineStr">
        <is>
          <t>Data access controls</t>
        </is>
      </c>
      <c r="F72" s="12" t="inlineStr">
        <is>
          <t>Permission checks on every route and service; PAN and KYC data encrypted with blind indexes; append-only audit log; screens and APIs send only the fields a viewer may see.</t>
        </is>
      </c>
      <c r="G72" s="12" t="inlineStr">
        <is>
          <t>-</t>
        </is>
      </c>
      <c r="H72" s="12" t="inlineStr">
        <is>
          <t>P0</t>
        </is>
      </c>
      <c r="I72" s="10" t="inlineStr">
        <is>
          <t>COMPLETED</t>
        </is>
      </c>
      <c r="J72" s="12" t="inlineStr">
        <is>
          <t>Production (gokesari.com)</t>
        </is>
      </c>
      <c r="K72" s="12" t="inlineStr">
        <is>
          <t>Live</t>
        </is>
      </c>
      <c r="L72" s="12" t="inlineStr">
        <is>
          <t>Baseline; #10 (KYC encryption); #72 (data exposure)</t>
        </is>
      </c>
      <c r="M72" s="12" t="inlineStr">
        <is>
          <t>Baseline; #14; #73</t>
        </is>
      </c>
      <c r="N72" s="12" t="inlineStr">
        <is>
          <t>-</t>
        </is>
      </c>
      <c r="O72" s="12" t="inlineStr">
        <is>
          <t>-</t>
        </is>
      </c>
      <c r="P72" s="12" t="inlineStr">
        <is>
          <t>COMPLETED</t>
        </is>
      </c>
      <c r="Q72" s="12" t="inlineStr">
        <is>
          <t>No change</t>
        </is>
      </c>
      <c r="R72" s="12" t="inlineStr">
        <is>
          <t>-</t>
        </is>
      </c>
    </row>
    <row r="73" ht="51" customFormat="1" customHeight="1" s="2">
      <c r="A73" s="10" t="n">
        <v>72</v>
      </c>
      <c r="B73" s="12" t="inlineStr">
        <is>
          <t>Feature Master</t>
        </is>
      </c>
      <c r="C73" s="9" t="inlineStr">
        <is>
          <t>GS-072</t>
        </is>
      </c>
      <c r="D73" s="12" t="inlineStr">
        <is>
          <t>Integration</t>
        </is>
      </c>
      <c r="E73" s="12" t="inlineStr">
        <is>
          <t>Maps/navigation</t>
        </is>
      </c>
      <c r="F73" s="12" t="inlineStr">
        <is>
          <t>F4: road distance and travel time from Google Routes or OSRM behind one provider interface, cached per ~100 m cell and logged; arrival time for customer (tracking map) and rider (dashboard); straight-line fallback when off or failing. Navigation is a Google Maps deep link.</t>
        </is>
      </c>
      <c r="G73" s="12" t="inlineStr">
        <is>
          <t>F3.2.3, F4.2.1</t>
        </is>
      </c>
      <c r="H73" s="12" t="inlineStr">
        <is>
          <t>P0</t>
        </is>
      </c>
      <c r="I73" s="10" t="inlineStr">
        <is>
          <t>COMPLETED</t>
        </is>
      </c>
      <c r="J73" s="12" t="inlineStr">
        <is>
          <t>Production - built, switched off by default</t>
        </is>
      </c>
      <c r="K73" s="12" t="inlineStr">
        <is>
          <t>Off by default - switch on in Admin &gt; Business rules (rule: routing.enabled)</t>
        </is>
      </c>
      <c r="L73" s="12" t="inlineStr">
        <is>
          <t>Baseline (geocoding); #23 (Phase C rider navigation); #55 (F4 road routing)</t>
        </is>
      </c>
      <c r="M73" s="12" t="inlineStr">
        <is>
          <t>Baseline; #23; #57</t>
        </is>
      </c>
      <c r="N73" s="12" t="inlineStr">
        <is>
          <t>In-app turn-by-turn navigation not built (Google Maps deep link used instead).</t>
        </is>
      </c>
      <c r="O73" s="12" t="inlineStr">
        <is>
          <t>-</t>
        </is>
      </c>
      <c r="P73" s="12" t="inlineStr">
        <is>
          <t>COMPLETED</t>
        </is>
      </c>
      <c r="Q73" s="12" t="inlineStr">
        <is>
          <t>No change</t>
        </is>
      </c>
      <c r="R73" s="12" t="inlineStr">
        <is>
          <t>src/server/services/routing.ts; drizzle/0044_delivery_routes.sql; tests/integration/routing.test.ts</t>
        </is>
      </c>
    </row>
    <row r="74" ht="27" customFormat="1" customHeight="1" s="2">
      <c r="A74" s="10" t="n">
        <v>73</v>
      </c>
      <c r="B74" s="12" t="inlineStr">
        <is>
          <t>Feature Master</t>
        </is>
      </c>
      <c r="C74" s="9" t="inlineStr">
        <is>
          <t>GS-073</t>
        </is>
      </c>
      <c r="D74" s="12" t="inlineStr">
        <is>
          <t>Integration</t>
        </is>
      </c>
      <c r="E74" s="12" t="inlineStr">
        <is>
          <t>Payment gateway</t>
        </is>
      </c>
      <c r="F74" s="12" t="inlineStr">
        <is>
          <t>Gateway plumbing reusable; refunds are wallet credits (journaled, idempotent).</t>
        </is>
      </c>
      <c r="G74" s="12" t="inlineStr">
        <is>
          <t>F1.8.4, F6.2.3</t>
        </is>
      </c>
      <c r="H74" s="12" t="inlineStr">
        <is>
          <t>P0</t>
        </is>
      </c>
      <c r="I74" s="10" t="inlineStr">
        <is>
          <t>BLOCKED</t>
        </is>
      </c>
      <c r="J74" s="12" t="inlineStr">
        <is>
          <t>Production - partly live</t>
        </is>
      </c>
      <c r="K74" s="12" t="inlineStr">
        <is>
          <t>Live</t>
        </is>
      </c>
      <c r="L74" s="12" t="inlineStr">
        <is>
          <t>Baseline (Cashfree)</t>
        </is>
      </c>
      <c r="M74" s="12" t="inlineStr">
        <is>
          <t>Baseline</t>
        </is>
      </c>
      <c r="N74" s="12" t="inlineStr">
        <is>
          <t>Order payment intents, callbacks and gateway refunds.</t>
        </is>
      </c>
      <c r="O74" s="12" t="inlineStr">
        <is>
          <t>Needs GS-028</t>
        </is>
      </c>
      <c r="P74" s="12" t="inlineStr">
        <is>
          <t>BLOCKED</t>
        </is>
      </c>
      <c r="Q74" s="12" t="inlineStr">
        <is>
          <t>No change</t>
        </is>
      </c>
      <c r="R74" s="12" t="inlineStr">
        <is>
          <t>src/server/services/payments.ts</t>
        </is>
      </c>
    </row>
    <row r="75" ht="39" customFormat="1" customHeight="1" s="2">
      <c r="A75" s="10" t="n">
        <v>74</v>
      </c>
      <c r="B75" s="12" t="inlineStr">
        <is>
          <t>Feature Master</t>
        </is>
      </c>
      <c r="C75" s="9" t="inlineStr">
        <is>
          <t>GS-074</t>
        </is>
      </c>
      <c r="D75" s="12" t="inlineStr">
        <is>
          <t>Integration</t>
        </is>
      </c>
      <c r="E75" s="12" t="inlineStr">
        <is>
          <t>SMS/WhatsApp/email/push</t>
        </is>
      </c>
      <c r="F75" s="12" t="inlineStr">
        <is>
          <t>Email and in-app notifications live; SMS, PUSH and WHATSAPP channels have a provider seam with no vendor.</t>
        </is>
      </c>
      <c r="G75" s="12" t="inlineStr">
        <is>
          <t>F1.1.2, F13.1.2</t>
        </is>
      </c>
      <c r="H75" s="12" t="inlineStr">
        <is>
          <t>P1</t>
        </is>
      </c>
      <c r="I75" s="10" t="inlineStr">
        <is>
          <t>BLOCKED</t>
        </is>
      </c>
      <c r="J75" s="12" t="inlineStr">
        <is>
          <t>Production - partly live</t>
        </is>
      </c>
      <c r="K75" s="12" t="inlineStr">
        <is>
          <t>Email + in-app live (email needs SMTP)</t>
        </is>
      </c>
      <c r="L75" s="12" t="inlineStr">
        <is>
          <t>#23 (Phase F channels)</t>
        </is>
      </c>
      <c r="M75" s="12" t="inlineStr">
        <is>
          <t>#23</t>
        </is>
      </c>
      <c r="N75" s="12" t="inlineStr">
        <is>
          <t>Real SMS / push / WhatsApp providers.</t>
        </is>
      </c>
      <c r="O75" s="12" t="inlineStr">
        <is>
          <t>D2 - vendor choice (DLT registration)</t>
        </is>
      </c>
      <c r="P75" s="12" t="inlineStr">
        <is>
          <t>BLOCKED</t>
        </is>
      </c>
      <c r="Q75" s="12" t="inlineStr">
        <is>
          <t>No change</t>
        </is>
      </c>
      <c r="R75" s="12" t="inlineStr">
        <is>
          <t>src/server/notifications/channels.ts</t>
        </is>
      </c>
    </row>
    <row r="76" ht="39" customFormat="1" customHeight="1" s="2">
      <c r="A76" s="10" t="n">
        <v>75</v>
      </c>
      <c r="B76" s="12" t="inlineStr">
        <is>
          <t>Workflow Master</t>
        </is>
      </c>
      <c r="C76" s="9" t="inlineStr">
        <is>
          <t>WF-001</t>
        </is>
      </c>
      <c r="D76" s="12" t="inlineStr">
        <is>
          <t>Customer</t>
        </is>
      </c>
      <c r="E76" s="12" t="inlineStr">
        <is>
          <t>Customer product purchase</t>
        </is>
      </c>
      <c r="F76" s="12" t="inlineStr">
        <is>
          <t>Every step works: location, search, eligible shops, comparison, cart, address, slot, payment by wallet or COD, order created; out-of-stock substitution; closed-shop confirmation.</t>
        </is>
      </c>
      <c r="G76" s="12" t="inlineStr">
        <is>
          <t>-</t>
        </is>
      </c>
      <c r="H76" s="12" t="inlineStr">
        <is>
          <t>-</t>
        </is>
      </c>
      <c r="I76" s="10" t="inlineStr">
        <is>
          <t>BLOCKED</t>
        </is>
      </c>
      <c r="J76" s="12" t="inlineStr">
        <is>
          <t>Production - partly live</t>
        </is>
      </c>
      <c r="K76" s="12" t="inlineStr">
        <is>
          <t>Live</t>
        </is>
      </c>
      <c r="L76" s="12" t="inlineStr">
        <is>
          <t>Baseline; #10; #11; #23; #24; #31; #55</t>
        </is>
      </c>
      <c r="M76" s="12" t="inlineStr">
        <is>
          <t>Baseline; #14; #19; #23; #24; #43; #57</t>
        </is>
      </c>
      <c r="N76" s="12" t="inlineStr">
        <is>
          <t>Direct online payment for the order.</t>
        </is>
      </c>
      <c r="O76" s="12" t="inlineStr">
        <is>
          <t>Needs GS-028</t>
        </is>
      </c>
      <c r="P76" s="12" t="inlineStr">
        <is>
          <t>BLOCKED</t>
        </is>
      </c>
      <c r="Q76" s="12" t="inlineStr">
        <is>
          <t>No change</t>
        </is>
      </c>
      <c r="R76" s="12" t="inlineStr">
        <is>
          <t>src/server/services/orders.ts#checkout</t>
        </is>
      </c>
    </row>
    <row r="77" ht="27" customFormat="1" customHeight="1" s="2">
      <c r="A77" s="10" t="n">
        <v>76</v>
      </c>
      <c r="B77" s="12" t="inlineStr">
        <is>
          <t>Workflow Master</t>
        </is>
      </c>
      <c r="C77" s="9" t="inlineStr">
        <is>
          <t>WF-002</t>
        </is>
      </c>
      <c r="D77" s="12" t="inlineStr">
        <is>
          <t>Shop</t>
        </is>
      </c>
      <c r="E77" s="12" t="inlineStr">
        <is>
          <t>Shop fulfillment</t>
        </is>
      </c>
      <c r="F77" s="12" t="inlineStr">
        <is>
          <t>Notify -&gt; accept -&gt; stock check -&gt; substitute/remove -&gt; pick -&gt; pack -&gt; READY</t>
        </is>
      </c>
      <c r="G77" s="12" t="inlineStr">
        <is>
          <t>-</t>
        </is>
      </c>
      <c r="H77" s="12" t="inlineStr">
        <is>
          <t>-</t>
        </is>
      </c>
      <c r="I77" s="10" t="inlineStr">
        <is>
          <t>COMPLETED</t>
        </is>
      </c>
      <c r="J77" s="12" t="inlineStr">
        <is>
          <t>Production (gokesari.com)</t>
        </is>
      </c>
      <c r="K77" s="12" t="inlineStr">
        <is>
          <t>Live</t>
        </is>
      </c>
      <c r="L77" s="12" t="inlineStr">
        <is>
          <t>#10; #24 (closed shop); #58 (accept timeout)</t>
        </is>
      </c>
      <c r="M77" s="12" t="inlineStr">
        <is>
          <t>#14; #24; #65</t>
        </is>
      </c>
      <c r="N77" s="12" t="inlineStr">
        <is>
          <t>-</t>
        </is>
      </c>
      <c r="O77" s="12" t="inlineStr">
        <is>
          <t>-</t>
        </is>
      </c>
      <c r="P77" s="12" t="inlineStr">
        <is>
          <t>COMPLETED</t>
        </is>
      </c>
      <c r="Q77" s="12" t="inlineStr">
        <is>
          <t>No change</t>
        </is>
      </c>
      <c r="R77" s="12" t="inlineStr">
        <is>
          <t>src/server/services/fulfilment.ts</t>
        </is>
      </c>
    </row>
    <row r="78" ht="39" customFormat="1" customHeight="1" s="2">
      <c r="A78" s="10" t="n">
        <v>77</v>
      </c>
      <c r="B78" s="12" t="inlineStr">
        <is>
          <t>Workflow Master</t>
        </is>
      </c>
      <c r="C78" s="9" t="inlineStr">
        <is>
          <t>WF-003</t>
        </is>
      </c>
      <c r="D78" s="12" t="inlineStr">
        <is>
          <t>System</t>
        </is>
      </c>
      <c r="E78" s="12" t="inlineStr">
        <is>
          <t>Gig assignment</t>
        </is>
      </c>
      <c r="F78" s="12" t="inlineStr">
        <is>
          <t>Auto-trigger, whitelist filter, priority, reliability, fairness, escalation, bounded retry with a full attempt log</t>
        </is>
      </c>
      <c r="G78" s="12" t="inlineStr">
        <is>
          <t>-</t>
        </is>
      </c>
      <c r="H78" s="12" t="inlineStr">
        <is>
          <t>-</t>
        </is>
      </c>
      <c r="I78" s="10" t="inlineStr">
        <is>
          <t>COMPLETED</t>
        </is>
      </c>
      <c r="J78" s="12" t="inlineStr">
        <is>
          <t>Production (gokesari.com)</t>
        </is>
      </c>
      <c r="K78" s="12" t="inlineStr">
        <is>
          <t>Live</t>
        </is>
      </c>
      <c r="L78" s="12" t="inlineStr">
        <is>
          <t>Baseline; #10; #11; #23 (Phase C); #55 (F3); #58 (batching)</t>
        </is>
      </c>
      <c r="M78" s="12" t="inlineStr">
        <is>
          <t>Baseline; #14; #19; #23; #57; #65</t>
        </is>
      </c>
      <c r="N78" s="12" t="inlineStr">
        <is>
          <t>Load batching tracked under GA-005 Offers go to one rider at a time (2-min expiry); no radius widening.</t>
        </is>
      </c>
      <c r="O78" s="12" t="inlineStr">
        <is>
          <t>-</t>
        </is>
      </c>
      <c r="P78" s="12" t="inlineStr">
        <is>
          <t>COMPLETED</t>
        </is>
      </c>
      <c r="Q78" s="12" t="inlineStr">
        <is>
          <t>No change</t>
        </is>
      </c>
      <c r="R78" s="12" t="inlineStr">
        <is>
          <t>src/server/services/delivery-assignment.ts</t>
        </is>
      </c>
    </row>
    <row r="79" ht="27" customFormat="1" customHeight="1" s="2">
      <c r="A79" s="10" t="n">
        <v>78</v>
      </c>
      <c r="B79" s="12" t="inlineStr">
        <is>
          <t>Workflow Master</t>
        </is>
      </c>
      <c r="C79" s="9" t="inlineStr">
        <is>
          <t>WF-004</t>
        </is>
      </c>
      <c r="D79" s="12" t="inlineStr">
        <is>
          <t>System/Society</t>
        </is>
      </c>
      <c r="E79" s="12" t="inlineStr">
        <is>
          <t>Society authorized delivery</t>
        </is>
      </c>
      <c r="F79" s="12" t="inlineStr">
        <is>
          <t>Identify society -&gt; rider list -&gt; filter/priority -&gt; security alert; Phase C added gate entry mode and the security-desk contact</t>
        </is>
      </c>
      <c r="G79" s="12" t="inlineStr">
        <is>
          <t>-</t>
        </is>
      </c>
      <c r="H79" s="12" t="inlineStr">
        <is>
          <t>-</t>
        </is>
      </c>
      <c r="I79" s="10" t="inlineStr">
        <is>
          <t>COMPLETED</t>
        </is>
      </c>
      <c r="J79" s="12" t="inlineStr">
        <is>
          <t>Production (gokesari.com)</t>
        </is>
      </c>
      <c r="K79" s="12" t="inlineStr">
        <is>
          <t>Live</t>
        </is>
      </c>
      <c r="L79" s="12" t="inlineStr">
        <is>
          <t>#11</t>
        </is>
      </c>
      <c r="M79" s="12" t="inlineStr">
        <is>
          <t>#19</t>
        </is>
      </c>
      <c r="N79" s="12" t="inlineStr">
        <is>
          <t>-</t>
        </is>
      </c>
      <c r="O79" s="12" t="inlineStr">
        <is>
          <t>-</t>
        </is>
      </c>
      <c r="P79" s="12" t="inlineStr">
        <is>
          <t>COMPLETED</t>
        </is>
      </c>
      <c r="Q79" s="12" t="inlineStr">
        <is>
          <t>No change</t>
        </is>
      </c>
      <c r="R79" s="12" t="inlineStr">
        <is>
          <t>src/server/services/delivery-assignment.ts; src/server/services/societies.ts</t>
        </is>
      </c>
    </row>
    <row r="80" ht="39" customFormat="1" customHeight="1" s="2">
      <c r="A80" s="10" t="n">
        <v>79</v>
      </c>
      <c r="B80" s="12" t="inlineStr">
        <is>
          <t>Workflow Master</t>
        </is>
      </c>
      <c r="C80" s="9" t="inlineStr">
        <is>
          <t>WF-005</t>
        </is>
      </c>
      <c r="D80" s="12" t="inlineStr">
        <is>
          <t>Gig</t>
        </is>
      </c>
      <c r="E80" s="12" t="inlineStr">
        <is>
          <t>Delivery</t>
        </is>
      </c>
      <c r="F80" s="12" t="inlineStr">
        <is>
          <t>Pickup code -&gt; OTP -&gt; delivered; failed -&gt; returned; society access notes; Phase C added 'arrived at shop' / 'arrived at customer' checkpoints with notifications, navigation deep links and rider-side privacy</t>
        </is>
      </c>
      <c r="G80" s="12" t="inlineStr">
        <is>
          <t>F4.2.7</t>
        </is>
      </c>
      <c r="H80" s="12" t="inlineStr">
        <is>
          <t>-</t>
        </is>
      </c>
      <c r="I80" s="10" t="inlineStr">
        <is>
          <t>COMPLETED</t>
        </is>
      </c>
      <c r="J80" s="12" t="inlineStr">
        <is>
          <t>Production (gokesari.com)</t>
        </is>
      </c>
      <c r="K80" s="12" t="inlineStr">
        <is>
          <t>Live</t>
        </is>
      </c>
      <c r="L80" s="12" t="inlineStr">
        <is>
          <t>Baseline; #10; #23 (Phase C); #29</t>
        </is>
      </c>
      <c r="M80" s="12" t="inlineStr">
        <is>
          <t>Baseline; #14; #23; #29</t>
        </is>
      </c>
      <c r="N80" s="12" t="inlineStr">
        <is>
          <t>In-app turn-by-turn navigation (deep link to Google Maps instead)</t>
        </is>
      </c>
      <c r="O80" s="12" t="inlineStr">
        <is>
          <t>-</t>
        </is>
      </c>
      <c r="P80" s="12" t="inlineStr">
        <is>
          <t>COMPLETED</t>
        </is>
      </c>
      <c r="Q80" s="12" t="inlineStr">
        <is>
          <t>No change</t>
        </is>
      </c>
      <c r="R80" s="12" t="inlineStr">
        <is>
          <t>src/server/services/delivery-assignment.ts:599; src/components/delivery-partner-dashboard.tsx:634-667</t>
        </is>
      </c>
    </row>
    <row r="81" ht="27" customFormat="1" customHeight="1" s="2">
      <c r="A81" s="10" t="n">
        <v>80</v>
      </c>
      <c r="B81" s="12" t="inlineStr">
        <is>
          <t>Workflow Master</t>
        </is>
      </c>
      <c r="C81" s="9" t="inlineStr">
        <is>
          <t>WF-006</t>
        </is>
      </c>
      <c r="D81" s="12" t="inlineStr">
        <is>
          <t>Customer/System</t>
        </is>
      </c>
      <c r="E81" s="12" t="inlineStr">
        <is>
          <t>Subscription</t>
        </is>
      </c>
      <c r="F81" s="12" t="inlineStr">
        <is>
          <t>Subscription orders carry address/society -&gt; fulfilment -&gt; dispatch -&gt; settlement</t>
        </is>
      </c>
      <c r="G81" s="12" t="inlineStr">
        <is>
          <t>F7.3.1, F7.3.3</t>
        </is>
      </c>
      <c r="H81" s="12" t="inlineStr">
        <is>
          <t>-</t>
        </is>
      </c>
      <c r="I81" s="10" t="inlineStr">
        <is>
          <t>COMPLETED</t>
        </is>
      </c>
      <c r="J81" s="12" t="inlineStr">
        <is>
          <t>Production (gokesari.com)</t>
        </is>
      </c>
      <c r="K81" s="12" t="inlineStr">
        <is>
          <t>Live</t>
        </is>
      </c>
      <c r="L81" s="12" t="inlineStr">
        <is>
          <t>Baseline; #11; #58</t>
        </is>
      </c>
      <c r="M81" s="12" t="inlineStr">
        <is>
          <t>Baseline; #19; #65</t>
        </is>
      </c>
      <c r="N81" s="12" t="inlineStr">
        <is>
          <t>-</t>
        </is>
      </c>
      <c r="O81" s="12" t="inlineStr">
        <is>
          <t>-</t>
        </is>
      </c>
      <c r="P81" s="12" t="inlineStr">
        <is>
          <t>COMPLETED</t>
        </is>
      </c>
      <c r="Q81" s="12" t="inlineStr">
        <is>
          <t>No change</t>
        </is>
      </c>
      <c r="R81" s="12" t="inlineStr">
        <is>
          <t>src/server/services/subscriptions.ts</t>
        </is>
      </c>
    </row>
    <row r="82" ht="39" customFormat="1" customHeight="1" s="2">
      <c r="A82" s="10" t="n">
        <v>81</v>
      </c>
      <c r="B82" s="12" t="inlineStr">
        <is>
          <t>Workflow Master</t>
        </is>
      </c>
      <c r="C82" s="9" t="inlineStr">
        <is>
          <t>WF-007</t>
        </is>
      </c>
      <c r="D82" s="12" t="inlineStr">
        <is>
          <t>Customer/Operator</t>
        </is>
      </c>
      <c r="E82" s="12" t="inlineStr">
        <is>
          <t>Return/refund</t>
        </is>
      </c>
      <c r="F82" s="12" t="inlineStr">
        <is>
          <t>Report -&gt; return request -&gt; validation -&gt; approval -&gt; rider pickup -&gt; inspection -&gt; refund, end to end, with who bears the cost configurable per reason</t>
        </is>
      </c>
      <c r="G82" s="12" t="inlineStr">
        <is>
          <t>F6.2.2</t>
        </is>
      </c>
      <c r="H82" s="12" t="inlineStr">
        <is>
          <t>-</t>
        </is>
      </c>
      <c r="I82" s="10" t="inlineStr">
        <is>
          <t>COMPLETED</t>
        </is>
      </c>
      <c r="J82" s="12" t="inlineStr">
        <is>
          <t>Production (gokesari.com)</t>
        </is>
      </c>
      <c r="K82" s="12" t="inlineStr">
        <is>
          <t>Live</t>
        </is>
      </c>
      <c r="L82" s="12" t="inlineStr">
        <is>
          <t>#10; #23 (Phase E)</t>
        </is>
      </c>
      <c r="M82" s="12" t="inlineStr">
        <is>
          <t>#14; #23</t>
        </is>
      </c>
      <c r="N82" s="12" t="inlineStr">
        <is>
          <t>Replacement instead of refund</t>
        </is>
      </c>
      <c r="O82" s="12" t="inlineStr">
        <is>
          <t>-</t>
        </is>
      </c>
      <c r="P82" s="12" t="inlineStr">
        <is>
          <t>COMPLETED</t>
        </is>
      </c>
      <c r="Q82" s="12" t="inlineStr">
        <is>
          <t>No change</t>
        </is>
      </c>
      <c r="R82" s="12" t="inlineStr">
        <is>
          <t>src/server/services/returns.ts; src/server/services/return-pickups.ts</t>
        </is>
      </c>
    </row>
    <row r="83" ht="75" customFormat="1" customHeight="1" s="2">
      <c r="A83" s="10" t="n">
        <v>82</v>
      </c>
      <c r="B83" s="12" t="inlineStr">
        <is>
          <t>Workflow Master</t>
        </is>
      </c>
      <c r="C83" s="9" t="inlineStr">
        <is>
          <t>WF-008</t>
        </is>
      </c>
      <c r="D83" s="12" t="inlineStr">
        <is>
          <t>Shop/Operator</t>
        </is>
      </c>
      <c r="E83" s="12" t="inlineStr">
        <is>
          <t>Shop onboarding</t>
        </is>
      </c>
      <c r="F83" s="12" t="inlineStr">
        <is>
          <t>Registration with categories, PAN/Udyam/GST/Shop Act IDs (at least one), duplicate guard; seller document verification with rejection reasons the seller sees (correction loop); registration-fee gate before approval; onboarding stages KYC pending -&gt; payment pending -&gt; verified, approval only when verified (SM-002, PR #58); service area (radius + PIN zones + minimum order + pause); category fill of the catalogue; approval.</t>
        </is>
      </c>
      <c r="G83" s="12" t="inlineStr">
        <is>
          <t>F8.3.1</t>
        </is>
      </c>
      <c r="H83" s="12" t="inlineStr">
        <is>
          <t>-</t>
        </is>
      </c>
      <c r="I83" s="10" t="inlineStr">
        <is>
          <t>COMPLETED</t>
        </is>
      </c>
      <c r="J83" s="12" t="inlineStr">
        <is>
          <t>Production (gokesari.com)</t>
        </is>
      </c>
      <c r="K83" s="12" t="inlineStr">
        <is>
          <t>Live</t>
        </is>
      </c>
      <c r="L83" s="12" t="inlineStr">
        <is>
          <t>Baseline; #22; #29; #45; #53; #58 (SM-002)</t>
        </is>
      </c>
      <c r="M83" s="12" t="inlineStr">
        <is>
          <t>Baseline; #19; #29; #47; #54; #65</t>
        </is>
      </c>
      <c r="N83" s="12" t="inlineStr">
        <is>
          <t>-</t>
        </is>
      </c>
      <c r="O83" s="12" t="inlineStr">
        <is>
          <t>-</t>
        </is>
      </c>
      <c r="P83" s="12" t="inlineStr">
        <is>
          <t>COMPLETED</t>
        </is>
      </c>
      <c r="Q83" s="12" t="inlineStr">
        <is>
          <t>No change</t>
        </is>
      </c>
      <c r="R83" s="12" t="inlineStr">
        <is>
          <t>src/server/services/shops.ts; src/server/services/seller-verification.ts; docs/seller-verification/README.md</t>
        </is>
      </c>
    </row>
    <row r="84" ht="27" customFormat="1" customHeight="1" s="2">
      <c r="A84" s="10" t="n">
        <v>83</v>
      </c>
      <c r="B84" s="12" t="inlineStr">
        <is>
          <t>Workflow Master</t>
        </is>
      </c>
      <c r="C84" s="9" t="inlineStr">
        <is>
          <t>WF-009</t>
        </is>
      </c>
      <c r="D84" s="12" t="inlineStr">
        <is>
          <t>Shop</t>
        </is>
      </c>
      <c r="E84" s="12" t="inlineStr">
        <is>
          <t>Marketing campaign</t>
        </is>
      </c>
      <c r="F84" s="12" t="inlineStr">
        <is>
          <t>Audience -&gt; consent -&gt; budget -&gt; operations approval -&gt; send -&gt; tracking (opened, converted, revenue)</t>
        </is>
      </c>
      <c r="G84" s="12" t="inlineStr">
        <is>
          <t>F11.1.2</t>
        </is>
      </c>
      <c r="H84" s="12" t="inlineStr">
        <is>
          <t>-</t>
        </is>
      </c>
      <c r="I84" s="10" t="inlineStr">
        <is>
          <t>COMPLETED</t>
        </is>
      </c>
      <c r="J84" s="12" t="inlineStr">
        <is>
          <t>Production (gokesari.com)</t>
        </is>
      </c>
      <c r="K84" s="12" t="inlineStr">
        <is>
          <t>Live</t>
        </is>
      </c>
      <c r="L84" s="12" t="inlineStr">
        <is>
          <t>#18</t>
        </is>
      </c>
      <c r="M84" s="12" t="inlineStr">
        <is>
          <t>#19</t>
        </is>
      </c>
      <c r="N84" s="12" t="inlineStr">
        <is>
          <t>-</t>
        </is>
      </c>
      <c r="O84" s="12" t="inlineStr">
        <is>
          <t>-</t>
        </is>
      </c>
      <c r="P84" s="12" t="inlineStr">
        <is>
          <t>COMPLETED</t>
        </is>
      </c>
      <c r="Q84" s="12" t="inlineStr">
        <is>
          <t>No change</t>
        </is>
      </c>
      <c r="R84" s="12" t="inlineStr">
        <is>
          <t>src/app/api/admin/campaigns/route.ts</t>
        </is>
      </c>
    </row>
    <row r="85" ht="27" customFormat="1" customHeight="1" s="2">
      <c r="A85" s="10" t="n">
        <v>84</v>
      </c>
      <c r="B85" s="12" t="inlineStr">
        <is>
          <t>Workflow Master</t>
        </is>
      </c>
      <c r="C85" s="9" t="inlineStr">
        <is>
          <t>WF-010</t>
        </is>
      </c>
      <c r="D85" s="12" t="inlineStr">
        <is>
          <t>System/Finance</t>
        </is>
      </c>
      <c r="E85" s="12" t="inlineStr">
        <is>
          <t>Settlement</t>
        </is>
      </c>
      <c r="F85" s="12" t="inlineStr">
        <is>
          <t>GMV -&gt; commission -&gt; refunds -&gt; adjustments -&gt; settlement -&gt; payout -&gt; reconciliation</t>
        </is>
      </c>
      <c r="G85" s="12" t="inlineStr">
        <is>
          <t>F10.2.1</t>
        </is>
      </c>
      <c r="H85" s="12" t="inlineStr">
        <is>
          <t>-</t>
        </is>
      </c>
      <c r="I85" s="10" t="inlineStr">
        <is>
          <t>COMPLETED</t>
        </is>
      </c>
      <c r="J85" s="12" t="inlineStr">
        <is>
          <t>Production (gokesari.com)</t>
        </is>
      </c>
      <c r="K85" s="12" t="inlineStr">
        <is>
          <t>Live</t>
        </is>
      </c>
      <c r="L85" s="12" t="inlineStr">
        <is>
          <t>#10</t>
        </is>
      </c>
      <c r="M85" s="12" t="inlineStr">
        <is>
          <t>#14</t>
        </is>
      </c>
      <c r="N85" s="12" t="inlineStr">
        <is>
          <t>-</t>
        </is>
      </c>
      <c r="O85" s="12" t="inlineStr">
        <is>
          <t>-</t>
        </is>
      </c>
      <c r="P85" s="12" t="inlineStr">
        <is>
          <t>COMPLETED</t>
        </is>
      </c>
      <c r="Q85" s="12" t="inlineStr">
        <is>
          <t>No change</t>
        </is>
      </c>
      <c r="R85" s="12" t="inlineStr">
        <is>
          <t>src/server/services/finance.ts</t>
        </is>
      </c>
    </row>
    <row r="86" ht="27" customFormat="1" customHeight="1" s="2">
      <c r="A86" s="10" t="n">
        <v>85</v>
      </c>
      <c r="B86" s="12" t="inlineStr">
        <is>
          <t>RBAC Matrix</t>
        </is>
      </c>
      <c r="C86" s="9" t="inlineStr">
        <is>
          <t>RBAC-001</t>
        </is>
      </c>
      <c r="D86" s="12" t="inlineStr">
        <is>
          <t>Security</t>
        </is>
      </c>
      <c r="E86" s="12" t="inlineStr">
        <is>
          <t>Browse/search</t>
        </is>
      </c>
      <c r="F86" s="12" t="inlineStr">
        <is>
          <t>Browsing and search are open to every role, including signed-out visitors.</t>
        </is>
      </c>
      <c r="G86" s="12" t="inlineStr">
        <is>
          <t>-</t>
        </is>
      </c>
      <c r="H86" s="12" t="inlineStr">
        <is>
          <t>-</t>
        </is>
      </c>
      <c r="I86" s="10" t="inlineStr">
        <is>
          <t>COMPLETED</t>
        </is>
      </c>
      <c r="J86" s="12" t="inlineStr">
        <is>
          <t>Production (gokesari.com)</t>
        </is>
      </c>
      <c r="K86" s="12" t="inlineStr">
        <is>
          <t>Live</t>
        </is>
      </c>
      <c r="L86" s="12" t="inlineStr">
        <is>
          <t>Baseline</t>
        </is>
      </c>
      <c r="M86" s="12" t="inlineStr">
        <is>
          <t>Baseline</t>
        </is>
      </c>
      <c r="N86" s="12" t="inlineStr">
        <is>
          <t>-</t>
        </is>
      </c>
      <c r="O86" s="12" t="inlineStr">
        <is>
          <t>-</t>
        </is>
      </c>
      <c r="P86" s="12" t="inlineStr">
        <is>
          <t>COMPLETED</t>
        </is>
      </c>
      <c r="Q86" s="12" t="inlineStr">
        <is>
          <t>No change</t>
        </is>
      </c>
      <c r="R86" s="12" t="inlineStr">
        <is>
          <t>-</t>
        </is>
      </c>
    </row>
    <row r="87" ht="27" customFormat="1" customHeight="1" s="2">
      <c r="A87" s="10" t="n">
        <v>86</v>
      </c>
      <c r="B87" s="12" t="inlineStr">
        <is>
          <t>RBAC Matrix</t>
        </is>
      </c>
      <c r="C87" s="9" t="inlineStr">
        <is>
          <t>RBAC-002</t>
        </is>
      </c>
      <c r="D87" s="12" t="inlineStr">
        <is>
          <t>Security</t>
        </is>
      </c>
      <c r="E87" s="12" t="inlineStr">
        <is>
          <t>Place order</t>
        </is>
      </c>
      <c r="F87" s="12" t="inlineStr">
        <is>
          <t>Personal orders for every role; B2B a separate flow (order_type PERSONAL/B2B, buyer_shop_id, ORDER_PLACE_B2B)</t>
        </is>
      </c>
      <c r="G87" s="12" t="inlineStr">
        <is>
          <t>-</t>
        </is>
      </c>
      <c r="H87" s="12" t="inlineStr">
        <is>
          <t>-</t>
        </is>
      </c>
      <c r="I87" s="10" t="inlineStr">
        <is>
          <t>COMPLETED</t>
        </is>
      </c>
      <c r="J87" s="12" t="inlineStr">
        <is>
          <t>Production (gokesari.com)</t>
        </is>
      </c>
      <c r="K87" s="12" t="inlineStr">
        <is>
          <t>Live</t>
        </is>
      </c>
      <c r="L87" s="12" t="inlineStr">
        <is>
          <t>Baseline; #10 (personal vs B2B)</t>
        </is>
      </c>
      <c r="M87" s="12" t="inlineStr">
        <is>
          <t>Baseline; #14</t>
        </is>
      </c>
      <c r="N87" s="12" t="inlineStr">
        <is>
          <t>-</t>
        </is>
      </c>
      <c r="O87" s="12" t="inlineStr">
        <is>
          <t>-</t>
        </is>
      </c>
      <c r="P87" s="12" t="inlineStr">
        <is>
          <t>COMPLETED</t>
        </is>
      </c>
      <c r="Q87" s="12" t="inlineStr">
        <is>
          <t>No change</t>
        </is>
      </c>
      <c r="R87" s="12" t="inlineStr">
        <is>
          <t>src/server/db/schema.ts (orderTypeEnum); src/server/authz/permissions.ts</t>
        </is>
      </c>
    </row>
    <row r="88" ht="27" customFormat="1" customHeight="1" s="2">
      <c r="A88" s="10" t="n">
        <v>87</v>
      </c>
      <c r="B88" s="12" t="inlineStr">
        <is>
          <t>RBAC Matrix</t>
        </is>
      </c>
      <c r="C88" s="9" t="inlineStr">
        <is>
          <t>RBAC-003</t>
        </is>
      </c>
      <c r="D88" s="12" t="inlineStr">
        <is>
          <t>Security</t>
        </is>
      </c>
      <c r="E88" s="12" t="inlineStr">
        <is>
          <t>Manage own shop</t>
        </is>
      </c>
      <c r="F88" s="12" t="inlineStr">
        <is>
          <t>Shop owners manage their own shop; admins full. No 'Limited' operator scope for shop management.</t>
        </is>
      </c>
      <c r="G88" s="12" t="inlineStr">
        <is>
          <t>F8.4.2</t>
        </is>
      </c>
      <c r="H88" s="12" t="inlineStr">
        <is>
          <t>-</t>
        </is>
      </c>
      <c r="I88" s="10" t="inlineStr">
        <is>
          <t>BLOCKED</t>
        </is>
      </c>
      <c r="J88" s="12" t="inlineStr">
        <is>
          <t>Production - partly live</t>
        </is>
      </c>
      <c r="K88" s="12" t="inlineStr">
        <is>
          <t>Live</t>
        </is>
      </c>
      <c r="L88" s="12" t="inlineStr">
        <is>
          <t>Baseline</t>
        </is>
      </c>
      <c r="M88" s="12" t="inlineStr">
        <is>
          <t>Baseline</t>
        </is>
      </c>
      <c r="N88" s="12" t="inlineStr">
        <is>
          <t>Define what an operator may change on a shop, then implement.</t>
        </is>
      </c>
      <c r="O88" s="12" t="inlineStr">
        <is>
          <t>Decision: what 'Limited' means</t>
        </is>
      </c>
      <c r="P88" s="12" t="inlineStr">
        <is>
          <t>BLOCKED</t>
        </is>
      </c>
      <c r="Q88" s="12" t="inlineStr">
        <is>
          <t>No change</t>
        </is>
      </c>
      <c r="R88" s="12" t="inlineStr">
        <is>
          <t>src/server/authz/permissions.ts</t>
        </is>
      </c>
    </row>
    <row r="89" ht="27" customFormat="1" customHeight="1" s="2">
      <c r="A89" s="10" t="n">
        <v>88</v>
      </c>
      <c r="B89" s="12" t="inlineStr">
        <is>
          <t>RBAC Matrix</t>
        </is>
      </c>
      <c r="C89" s="9" t="inlineStr">
        <is>
          <t>RBAC-004</t>
        </is>
      </c>
      <c r="D89" s="12" t="inlineStr">
        <is>
          <t>Security</t>
        </is>
      </c>
      <c r="E89" s="12" t="inlineStr">
        <is>
          <t>Manage catalog</t>
        </is>
      </c>
      <c r="F89" s="12" t="inlineStr">
        <is>
          <t>Shop owners manage their own listings, prices and stock; operators and admins manage any shop's catalogue (permission-gated).</t>
        </is>
      </c>
      <c r="G89" s="12" t="inlineStr">
        <is>
          <t>-</t>
        </is>
      </c>
      <c r="H89" s="12" t="inlineStr">
        <is>
          <t>-</t>
        </is>
      </c>
      <c r="I89" s="10" t="inlineStr">
        <is>
          <t>COMPLETED</t>
        </is>
      </c>
      <c r="J89" s="12" t="inlineStr">
        <is>
          <t>Production (gokesari.com)</t>
        </is>
      </c>
      <c r="K89" s="12" t="inlineStr">
        <is>
          <t>Live</t>
        </is>
      </c>
      <c r="L89" s="12" t="inlineStr">
        <is>
          <t>Baseline; #38</t>
        </is>
      </c>
      <c r="M89" s="12" t="inlineStr">
        <is>
          <t>Baseline; #43</t>
        </is>
      </c>
      <c r="N89" s="12" t="inlineStr">
        <is>
          <t>-</t>
        </is>
      </c>
      <c r="O89" s="12" t="inlineStr">
        <is>
          <t>-</t>
        </is>
      </c>
      <c r="P89" s="12" t="inlineStr">
        <is>
          <t>COMPLETED</t>
        </is>
      </c>
      <c r="Q89" s="12" t="inlineStr">
        <is>
          <t>No change</t>
        </is>
      </c>
      <c r="R89" s="12" t="inlineStr">
        <is>
          <t>-</t>
        </is>
      </c>
    </row>
    <row r="90" ht="27" customFormat="1" customHeight="1" s="2">
      <c r="A90" s="10" t="n">
        <v>89</v>
      </c>
      <c r="B90" s="12" t="inlineStr">
        <is>
          <t>RBAC Matrix</t>
        </is>
      </c>
      <c r="C90" s="9" t="inlineStr">
        <is>
          <t>RBAC-005</t>
        </is>
      </c>
      <c r="D90" s="12" t="inlineStr">
        <is>
          <t>Security</t>
        </is>
      </c>
      <c r="E90" s="12" t="inlineStr">
        <is>
          <t>Upload product lists</t>
        </is>
      </c>
      <c r="F90" s="12" t="inlineStr">
        <is>
          <t>Shop owners upload Excel product / price lists for their own shop; operators and admins for any shop.</t>
        </is>
      </c>
      <c r="G90" s="12" t="inlineStr">
        <is>
          <t>F9.2.2</t>
        </is>
      </c>
      <c r="H90" s="12" t="inlineStr">
        <is>
          <t>-</t>
        </is>
      </c>
      <c r="I90" s="10" t="inlineStr">
        <is>
          <t>COMPLETED</t>
        </is>
      </c>
      <c r="J90" s="12" t="inlineStr">
        <is>
          <t>Production (gokesari.com)</t>
        </is>
      </c>
      <c r="K90" s="12" t="inlineStr">
        <is>
          <t>Live</t>
        </is>
      </c>
      <c r="L90" s="12" t="inlineStr">
        <is>
          <t>Baseline</t>
        </is>
      </c>
      <c r="M90" s="12" t="inlineStr">
        <is>
          <t>Baseline</t>
        </is>
      </c>
      <c r="N90" s="12" t="inlineStr">
        <is>
          <t>-</t>
        </is>
      </c>
      <c r="O90" s="12" t="inlineStr">
        <is>
          <t>-</t>
        </is>
      </c>
      <c r="P90" s="12" t="inlineStr">
        <is>
          <t>COMPLETED</t>
        </is>
      </c>
      <c r="Q90" s="12" t="inlineStr">
        <is>
          <t>No change</t>
        </is>
      </c>
      <c r="R90" s="12" t="inlineStr">
        <is>
          <t>-</t>
        </is>
      </c>
    </row>
    <row r="91" ht="15" customFormat="1" customHeight="1" s="2">
      <c r="A91" s="10" t="n">
        <v>90</v>
      </c>
      <c r="B91" s="12" t="inlineStr">
        <is>
          <t>RBAC Matrix</t>
        </is>
      </c>
      <c r="C91" s="9" t="inlineStr">
        <is>
          <t>RBAC-006</t>
        </is>
      </c>
      <c r="D91" s="12" t="inlineStr">
        <is>
          <t>Security</t>
        </is>
      </c>
      <c r="E91" s="12" t="inlineStr">
        <is>
          <t>Verify shop</t>
        </is>
      </c>
      <c r="F91" s="12" t="inlineStr">
        <is>
          <t>Only operators and admins can approve, reject or suspend shops.</t>
        </is>
      </c>
      <c r="G91" s="12" t="inlineStr">
        <is>
          <t>F8.3.1</t>
        </is>
      </c>
      <c r="H91" s="12" t="inlineStr">
        <is>
          <t>-</t>
        </is>
      </c>
      <c r="I91" s="10" t="inlineStr">
        <is>
          <t>COMPLETED</t>
        </is>
      </c>
      <c r="J91" s="12" t="inlineStr">
        <is>
          <t>Production (gokesari.com)</t>
        </is>
      </c>
      <c r="K91" s="12" t="inlineStr">
        <is>
          <t>Live</t>
        </is>
      </c>
      <c r="L91" s="12" t="inlineStr">
        <is>
          <t>Baseline</t>
        </is>
      </c>
      <c r="M91" s="12" t="inlineStr">
        <is>
          <t>Baseline</t>
        </is>
      </c>
      <c r="N91" s="12" t="inlineStr">
        <is>
          <t>-</t>
        </is>
      </c>
      <c r="O91" s="12" t="inlineStr">
        <is>
          <t>-</t>
        </is>
      </c>
      <c r="P91" s="12" t="inlineStr">
        <is>
          <t>COMPLETED</t>
        </is>
      </c>
      <c r="Q91" s="12" t="inlineStr">
        <is>
          <t>No change</t>
        </is>
      </c>
      <c r="R91" s="12" t="inlineStr">
        <is>
          <t>-</t>
        </is>
      </c>
    </row>
    <row r="92" ht="63" customFormat="1" customHeight="1" s="2">
      <c r="A92" s="10" t="n">
        <v>91</v>
      </c>
      <c r="B92" s="12" t="inlineStr">
        <is>
          <t>RBAC Matrix</t>
        </is>
      </c>
      <c r="C92" s="9" t="inlineStr">
        <is>
          <t>RBAC-007</t>
        </is>
      </c>
      <c r="D92" s="12" t="inlineStr">
        <is>
          <t>Security</t>
        </is>
      </c>
      <c r="E92" s="12" t="inlineStr">
        <is>
          <t>Assign delivery</t>
        </is>
      </c>
      <c r="F92" s="12" t="inlineStr">
        <is>
          <t>Decision taken: shop retry KEPT but bounded and configurable. Assignment is automatic on READY; 'Find rider now' is now a bounded search (rider_searches, dispatch_attempts) with retry interval, attempt cap, total time limit, window expiry and manual cooldown; shop sees status, can retry or stop; every attempt logged; duplicate assignment impossible</t>
        </is>
      </c>
      <c r="G92" s="12" t="inlineStr">
        <is>
          <t>F3.3.1</t>
        </is>
      </c>
      <c r="H92" s="12" t="inlineStr">
        <is>
          <t>-</t>
        </is>
      </c>
      <c r="I92" s="10" t="inlineStr">
        <is>
          <t>COMPLETED</t>
        </is>
      </c>
      <c r="J92" s="12" t="inlineStr">
        <is>
          <t>Production (gokesari.com)</t>
        </is>
      </c>
      <c r="K92" s="12" t="inlineStr">
        <is>
          <t>Live</t>
        </is>
      </c>
      <c r="L92" s="12" t="inlineStr">
        <is>
          <t>Baseline; #10; #23 (Phase C)</t>
        </is>
      </c>
      <c r="M92" s="12" t="inlineStr">
        <is>
          <t>Baseline; #14; #23</t>
        </is>
      </c>
      <c r="N92" s="12" t="inlineStr">
        <is>
          <t>-</t>
        </is>
      </c>
      <c r="O92" s="12" t="inlineStr">
        <is>
          <t>-</t>
        </is>
      </c>
      <c r="P92" s="12" t="inlineStr">
        <is>
          <t>COMPLETED</t>
        </is>
      </c>
      <c r="Q92" s="12" t="inlineStr">
        <is>
          <t>No change</t>
        </is>
      </c>
      <c r="R92" s="12" t="inlineStr">
        <is>
          <t>src/server/services/delivery-assignment.ts; src/app/api/orders/[id]/assign/route.ts; drizzle/0027</t>
        </is>
      </c>
    </row>
    <row r="93" ht="27" customFormat="1" customHeight="1" s="2">
      <c r="A93" s="10" t="n">
        <v>92</v>
      </c>
      <c r="B93" s="12" t="inlineStr">
        <is>
          <t>RBAC Matrix</t>
        </is>
      </c>
      <c r="C93" s="9" t="inlineStr">
        <is>
          <t>RBAC-008</t>
        </is>
      </c>
      <c r="D93" s="12" t="inlineStr">
        <is>
          <t>Security</t>
        </is>
      </c>
      <c r="E93" s="12" t="inlineStr">
        <is>
          <t>Manage own availability</t>
        </is>
      </c>
      <c r="F93" s="12" t="inlineStr">
        <is>
          <t>Riders set their own online / offline status; admins can also take a rider offline.</t>
        </is>
      </c>
      <c r="G93" s="12" t="inlineStr">
        <is>
          <t>-</t>
        </is>
      </c>
      <c r="H93" s="12" t="inlineStr">
        <is>
          <t>-</t>
        </is>
      </c>
      <c r="I93" s="10" t="inlineStr">
        <is>
          <t>COMPLETED</t>
        </is>
      </c>
      <c r="J93" s="12" t="inlineStr">
        <is>
          <t>Production (gokesari.com)</t>
        </is>
      </c>
      <c r="K93" s="12" t="inlineStr">
        <is>
          <t>Live</t>
        </is>
      </c>
      <c r="L93" s="12" t="inlineStr">
        <is>
          <t>Baseline</t>
        </is>
      </c>
      <c r="M93" s="12" t="inlineStr">
        <is>
          <t>Baseline</t>
        </is>
      </c>
      <c r="N93" s="12" t="inlineStr">
        <is>
          <t>-</t>
        </is>
      </c>
      <c r="O93" s="12" t="inlineStr">
        <is>
          <t>-</t>
        </is>
      </c>
      <c r="P93" s="12" t="inlineStr">
        <is>
          <t>COMPLETED</t>
        </is>
      </c>
      <c r="Q93" s="12" t="inlineStr">
        <is>
          <t>No change</t>
        </is>
      </c>
      <c r="R93" s="12" t="inlineStr">
        <is>
          <t>-</t>
        </is>
      </c>
    </row>
    <row r="94" ht="15" customFormat="1" customHeight="1" s="2">
      <c r="A94" s="10" t="n">
        <v>93</v>
      </c>
      <c r="B94" s="12" t="inlineStr">
        <is>
          <t>RBAC Matrix</t>
        </is>
      </c>
      <c r="C94" s="9" t="inlineStr">
        <is>
          <t>RBAC-009</t>
        </is>
      </c>
      <c r="D94" s="12" t="inlineStr">
        <is>
          <t>Security</t>
        </is>
      </c>
      <c r="E94" s="12" t="inlineStr">
        <is>
          <t>Whitelist Gig workers</t>
        </is>
      </c>
      <c r="F94" s="12" t="inlineStr">
        <is>
          <t>Society-scoped roles; SOCIETY_MANAGE_ANY for platform staff</t>
        </is>
      </c>
      <c r="G94" s="12" t="inlineStr">
        <is>
          <t>F5.2.1</t>
        </is>
      </c>
      <c r="H94" s="12" t="inlineStr">
        <is>
          <t>-</t>
        </is>
      </c>
      <c r="I94" s="10" t="inlineStr">
        <is>
          <t>COMPLETED</t>
        </is>
      </c>
      <c r="J94" s="12" t="inlineStr">
        <is>
          <t>Production (gokesari.com)</t>
        </is>
      </c>
      <c r="K94" s="12" t="inlineStr">
        <is>
          <t>Live</t>
        </is>
      </c>
      <c r="L94" s="12" t="inlineStr">
        <is>
          <t>#11</t>
        </is>
      </c>
      <c r="M94" s="12" t="inlineStr">
        <is>
          <t>#19</t>
        </is>
      </c>
      <c r="N94" s="12" t="inlineStr">
        <is>
          <t>-</t>
        </is>
      </c>
      <c r="O94" s="12" t="inlineStr">
        <is>
          <t>-</t>
        </is>
      </c>
      <c r="P94" s="12" t="inlineStr">
        <is>
          <t>COMPLETED</t>
        </is>
      </c>
      <c r="Q94" s="12" t="inlineStr">
        <is>
          <t>No change</t>
        </is>
      </c>
      <c r="R94" s="12" t="inlineStr">
        <is>
          <t>src/server/authz/permissions.ts</t>
        </is>
      </c>
    </row>
    <row r="95" ht="39" customFormat="1" customHeight="1" s="2">
      <c r="A95" s="10" t="n">
        <v>94</v>
      </c>
      <c r="B95" s="12" t="inlineStr">
        <is>
          <t>RBAC Matrix</t>
        </is>
      </c>
      <c r="C95" s="9" t="inlineStr">
        <is>
          <t>RBAC-010</t>
        </is>
      </c>
      <c r="D95" s="12" t="inlineStr">
        <is>
          <t>Security</t>
        </is>
      </c>
      <c r="E95" s="12" t="inlineStr">
        <is>
          <t>View all orders</t>
        </is>
      </c>
      <c r="F95" s="12" t="inlineStr">
        <is>
          <t>ORDER_VIEW_OWN / _SHOP / _ANY; society dashboard shows society deliveries without customer PII; operator holds ORDER_VIEW_ANY and now has its own order-monitoring screen with status/shop/date filters</t>
        </is>
      </c>
      <c r="G95" s="12" t="inlineStr">
        <is>
          <t>-</t>
        </is>
      </c>
      <c r="H95" s="12" t="inlineStr">
        <is>
          <t>-</t>
        </is>
      </c>
      <c r="I95" s="10" t="inlineStr">
        <is>
          <t>COMPLETED</t>
        </is>
      </c>
      <c r="J95" s="12" t="inlineStr">
        <is>
          <t>Production (gokesari.com)</t>
        </is>
      </c>
      <c r="K95" s="12" t="inlineStr">
        <is>
          <t>Live</t>
        </is>
      </c>
      <c r="L95" s="12" t="inlineStr">
        <is>
          <t>Baseline; #21 (order monitoring)</t>
        </is>
      </c>
      <c r="M95" s="12" t="inlineStr">
        <is>
          <t>Baseline; #19</t>
        </is>
      </c>
      <c r="N95" s="12" t="inlineStr">
        <is>
          <t>-</t>
        </is>
      </c>
      <c r="O95" s="12" t="inlineStr">
        <is>
          <t>-</t>
        </is>
      </c>
      <c r="P95" s="12" t="inlineStr">
        <is>
          <t>COMPLETED</t>
        </is>
      </c>
      <c r="Q95" s="12" t="inlineStr">
        <is>
          <t>No change</t>
        </is>
      </c>
      <c r="R95" s="12" t="inlineStr">
        <is>
          <t>src/server/authz/permissions.ts:284-306; src/app/admin/orders/page.tsx; src/components/order-monitoring-table.tsx</t>
        </is>
      </c>
    </row>
    <row r="96" ht="15" customFormat="1" customHeight="1" s="2">
      <c r="A96" s="10" t="n">
        <v>95</v>
      </c>
      <c r="B96" s="12" t="inlineStr">
        <is>
          <t>RBAC Matrix</t>
        </is>
      </c>
      <c r="C96" s="9" t="inlineStr">
        <is>
          <t>RBAC-011</t>
        </is>
      </c>
      <c r="D96" s="12" t="inlineStr">
        <is>
          <t>Security</t>
        </is>
      </c>
      <c r="E96" s="12" t="inlineStr">
        <is>
          <t>Refund approval</t>
        </is>
      </c>
      <c r="F96" s="12" t="inlineStr">
        <is>
          <t>ORDER_REFUND for operator/admin</t>
        </is>
      </c>
      <c r="G96" s="12" t="inlineStr">
        <is>
          <t>-</t>
        </is>
      </c>
      <c r="H96" s="12" t="inlineStr">
        <is>
          <t>-</t>
        </is>
      </c>
      <c r="I96" s="10" t="inlineStr">
        <is>
          <t>COMPLETED</t>
        </is>
      </c>
      <c r="J96" s="12" t="inlineStr">
        <is>
          <t>Production (gokesari.com)</t>
        </is>
      </c>
      <c r="K96" s="12" t="inlineStr">
        <is>
          <t>Live</t>
        </is>
      </c>
      <c r="L96" s="12" t="inlineStr">
        <is>
          <t>#10</t>
        </is>
      </c>
      <c r="M96" s="12" t="inlineStr">
        <is>
          <t>#14</t>
        </is>
      </c>
      <c r="N96" s="12" t="inlineStr">
        <is>
          <t>-</t>
        </is>
      </c>
      <c r="O96" s="12" t="inlineStr">
        <is>
          <t>-</t>
        </is>
      </c>
      <c r="P96" s="12" t="inlineStr">
        <is>
          <t>COMPLETED</t>
        </is>
      </c>
      <c r="Q96" s="12" t="inlineStr">
        <is>
          <t>No change</t>
        </is>
      </c>
      <c r="R96" s="12" t="inlineStr">
        <is>
          <t>src/server/authz/permissions.ts</t>
        </is>
      </c>
    </row>
    <row r="97" ht="15" customFormat="1" customHeight="1" s="2">
      <c r="A97" s="10" t="n">
        <v>96</v>
      </c>
      <c r="B97" s="12" t="inlineStr">
        <is>
          <t>RBAC Matrix</t>
        </is>
      </c>
      <c r="C97" s="9" t="inlineStr">
        <is>
          <t>RBAC-012</t>
        </is>
      </c>
      <c r="D97" s="12" t="inlineStr">
        <is>
          <t>Security</t>
        </is>
      </c>
      <c r="E97" s="12" t="inlineStr">
        <is>
          <t>Settlement</t>
        </is>
      </c>
      <c r="F97" s="12" t="inlineStr">
        <is>
          <t>Settlement visibility per role; operator exceptions-only view</t>
        </is>
      </c>
      <c r="G97" s="12" t="inlineStr">
        <is>
          <t>-</t>
        </is>
      </c>
      <c r="H97" s="12" t="inlineStr">
        <is>
          <t>-</t>
        </is>
      </c>
      <c r="I97" s="10" t="inlineStr">
        <is>
          <t>COMPLETED</t>
        </is>
      </c>
      <c r="J97" s="12" t="inlineStr">
        <is>
          <t>Production (gokesari.com)</t>
        </is>
      </c>
      <c r="K97" s="12" t="inlineStr">
        <is>
          <t>Live</t>
        </is>
      </c>
      <c r="L97" s="12" t="inlineStr">
        <is>
          <t>#10</t>
        </is>
      </c>
      <c r="M97" s="12" t="inlineStr">
        <is>
          <t>#14</t>
        </is>
      </c>
      <c r="N97" s="12" t="inlineStr">
        <is>
          <t>-</t>
        </is>
      </c>
      <c r="O97" s="12" t="inlineStr">
        <is>
          <t>-</t>
        </is>
      </c>
      <c r="P97" s="12" t="inlineStr">
        <is>
          <t>COMPLETED</t>
        </is>
      </c>
      <c r="Q97" s="12" t="inlineStr">
        <is>
          <t>No change</t>
        </is>
      </c>
      <c r="R97" s="12" t="inlineStr">
        <is>
          <t>src/server/authz/permissions.ts</t>
        </is>
      </c>
    </row>
    <row r="98" ht="27" customFormat="1" customHeight="1" s="2">
      <c r="A98" s="10" t="n">
        <v>97</v>
      </c>
      <c r="B98" s="12" t="inlineStr">
        <is>
          <t>RBAC Matrix</t>
        </is>
      </c>
      <c r="C98" s="9" t="inlineStr">
        <is>
          <t>RBAC-013</t>
        </is>
      </c>
      <c r="D98" s="12" t="inlineStr">
        <is>
          <t>Security</t>
        </is>
      </c>
      <c r="E98" s="12" t="inlineStr">
        <is>
          <t>Manage users/roles</t>
        </is>
      </c>
      <c r="F98" s="12" t="inlineStr">
        <is>
          <t>Admins assign roles, grant multiple roles and edit privileges (explicit Save, last-admin guard); operators view users but cannot change roles.</t>
        </is>
      </c>
      <c r="G98" s="12" t="inlineStr">
        <is>
          <t>-</t>
        </is>
      </c>
      <c r="H98" s="12" t="inlineStr">
        <is>
          <t>-</t>
        </is>
      </c>
      <c r="I98" s="10" t="inlineStr">
        <is>
          <t>COMPLETED</t>
        </is>
      </c>
      <c r="J98" s="12" t="inlineStr">
        <is>
          <t>Production (gokesari.com)</t>
        </is>
      </c>
      <c r="K98" s="12" t="inlineStr">
        <is>
          <t>Live</t>
        </is>
      </c>
      <c r="L98" s="12" t="inlineStr">
        <is>
          <t>Baseline (role assignment); #18 (multi-role); #30 (privileges screen)</t>
        </is>
      </c>
      <c r="M98" s="12" t="inlineStr">
        <is>
          <t>Baseline; #19; #32</t>
        </is>
      </c>
      <c r="N98" s="12" t="inlineStr">
        <is>
          <t>-</t>
        </is>
      </c>
      <c r="O98" s="12" t="inlineStr">
        <is>
          <t>-</t>
        </is>
      </c>
      <c r="P98" s="12" t="inlineStr">
        <is>
          <t>COMPLETED</t>
        </is>
      </c>
      <c r="Q98" s="12" t="inlineStr">
        <is>
          <t>No change</t>
        </is>
      </c>
      <c r="R98" s="12" t="inlineStr">
        <is>
          <t>-</t>
        </is>
      </c>
    </row>
    <row r="99" ht="15" customFormat="1" customHeight="1" s="2">
      <c r="A99" s="10" t="n">
        <v>98</v>
      </c>
      <c r="B99" s="12" t="inlineStr">
        <is>
          <t>RBAC Matrix</t>
        </is>
      </c>
      <c r="C99" s="9" t="inlineStr">
        <is>
          <t>RBAC-014</t>
        </is>
      </c>
      <c r="D99" s="12" t="inlineStr">
        <is>
          <t>Security</t>
        </is>
      </c>
      <c r="E99" s="12" t="inlineStr">
        <is>
          <t>System configuration</t>
        </is>
      </c>
      <c r="F99" s="12" t="inlineStr">
        <is>
          <t>Extended by NEW-001 (business-rules console, Phase A-J)</t>
        </is>
      </c>
      <c r="G99" s="12" t="inlineStr">
        <is>
          <t>-</t>
        </is>
      </c>
      <c r="H99" s="12" t="inlineStr">
        <is>
          <t>-</t>
        </is>
      </c>
      <c r="I99" s="10" t="inlineStr">
        <is>
          <t>COMPLETED</t>
        </is>
      </c>
      <c r="J99" s="12" t="inlineStr">
        <is>
          <t>Production (gokesari.com)</t>
        </is>
      </c>
      <c r="K99" s="12" t="inlineStr">
        <is>
          <t>Live</t>
        </is>
      </c>
      <c r="L99" s="12" t="inlineStr">
        <is>
          <t>#23 (settings screen)</t>
        </is>
      </c>
      <c r="M99" s="12" t="inlineStr">
        <is>
          <t>#23</t>
        </is>
      </c>
      <c r="N99" s="12" t="inlineStr">
        <is>
          <t>-</t>
        </is>
      </c>
      <c r="O99" s="12" t="inlineStr">
        <is>
          <t>-</t>
        </is>
      </c>
      <c r="P99" s="12" t="inlineStr">
        <is>
          <t>COMPLETED</t>
        </is>
      </c>
      <c r="Q99" s="12" t="inlineStr">
        <is>
          <t>No change</t>
        </is>
      </c>
      <c r="R99" s="12" t="inlineStr">
        <is>
          <t>-</t>
        </is>
      </c>
    </row>
    <row r="100" ht="15" customFormat="1" customHeight="1" s="2">
      <c r="A100" s="10" t="n">
        <v>99</v>
      </c>
      <c r="B100" s="12" t="inlineStr">
        <is>
          <t>RBAC Matrix</t>
        </is>
      </c>
      <c r="C100" s="9" t="inlineStr">
        <is>
          <t>RBAC-015</t>
        </is>
      </c>
      <c r="D100" s="12" t="inlineStr">
        <is>
          <t>Security</t>
        </is>
      </c>
      <c r="E100" s="12" t="inlineStr">
        <is>
          <t>Audit logs</t>
        </is>
      </c>
      <c r="F100" s="12" t="inlineStr">
        <is>
          <t>Admins read the full audit log; operators get a limited audit view.</t>
        </is>
      </c>
      <c r="G100" s="12" t="inlineStr">
        <is>
          <t>-</t>
        </is>
      </c>
      <c r="H100" s="12" t="inlineStr">
        <is>
          <t>-</t>
        </is>
      </c>
      <c r="I100" s="10" t="inlineStr">
        <is>
          <t>COMPLETED</t>
        </is>
      </c>
      <c r="J100" s="12" t="inlineStr">
        <is>
          <t>Production (gokesari.com)</t>
        </is>
      </c>
      <c r="K100" s="12" t="inlineStr">
        <is>
          <t>Live</t>
        </is>
      </c>
      <c r="L100" s="12" t="inlineStr">
        <is>
          <t>#10</t>
        </is>
      </c>
      <c r="M100" s="12" t="inlineStr">
        <is>
          <t>#14</t>
        </is>
      </c>
      <c r="N100" s="12" t="inlineStr">
        <is>
          <t>-</t>
        </is>
      </c>
      <c r="O100" s="12" t="inlineStr">
        <is>
          <t>-</t>
        </is>
      </c>
      <c r="P100" s="12" t="inlineStr">
        <is>
          <t>COMPLETED</t>
        </is>
      </c>
      <c r="Q100" s="12" t="inlineStr">
        <is>
          <t>No change</t>
        </is>
      </c>
      <c r="R100" s="12" t="inlineStr">
        <is>
          <t>-</t>
        </is>
      </c>
    </row>
    <row r="101" ht="27" customFormat="1" customHeight="1" s="2">
      <c r="A101" s="10" t="n">
        <v>100</v>
      </c>
      <c r="B101" s="12" t="inlineStr">
        <is>
          <t>State Machines</t>
        </is>
      </c>
      <c r="C101" s="9" t="inlineStr">
        <is>
          <t>SM-001</t>
        </is>
      </c>
      <c r="D101" s="12" t="inlineStr">
        <is>
          <t>Order</t>
        </is>
      </c>
      <c r="E101" s="12" t="inlineStr">
        <is>
          <t>Order state machine</t>
        </is>
      </c>
      <c r="F101" s="12" t="inlineStr">
        <is>
          <t>ACCEPTED, ASSIGNED, PICKED_UP, FAILED, RETURNED, DISPUTED added; full transition table + history + audit</t>
        </is>
      </c>
      <c r="G101" s="12" t="inlineStr">
        <is>
          <t>F4.2.7</t>
        </is>
      </c>
      <c r="H101" s="12" t="inlineStr">
        <is>
          <t>-</t>
        </is>
      </c>
      <c r="I101" s="10" t="inlineStr">
        <is>
          <t>COMPLETED</t>
        </is>
      </c>
      <c r="J101" s="12" t="inlineStr">
        <is>
          <t>Production (gokesari.com)</t>
        </is>
      </c>
      <c r="K101" s="12" t="inlineStr">
        <is>
          <t>Live</t>
        </is>
      </c>
      <c r="L101" s="12" t="inlineStr">
        <is>
          <t>Baseline; #10</t>
        </is>
      </c>
      <c r="M101" s="12" t="inlineStr">
        <is>
          <t>Baseline; #14</t>
        </is>
      </c>
      <c r="N101" s="12" t="inlineStr">
        <is>
          <t>-</t>
        </is>
      </c>
      <c r="O101" s="12" t="inlineStr">
        <is>
          <t>-</t>
        </is>
      </c>
      <c r="P101" s="12" t="inlineStr">
        <is>
          <t>COMPLETED</t>
        </is>
      </c>
      <c r="Q101" s="12" t="inlineStr">
        <is>
          <t>No change</t>
        </is>
      </c>
      <c r="R101" s="12" t="inlineStr">
        <is>
          <t>src/server/db/schema.ts:123 (orderStatusEnum)</t>
        </is>
      </c>
    </row>
    <row r="102" ht="87" customFormat="1" customHeight="1" s="2">
      <c r="A102" s="10" t="n">
        <v>101</v>
      </c>
      <c r="B102" s="12" t="inlineStr">
        <is>
          <t>State Machines</t>
        </is>
      </c>
      <c r="C102" s="9" t="inlineStr">
        <is>
          <t>SM-002</t>
        </is>
      </c>
      <c r="D102" s="12" t="inlineStr">
        <is>
          <t>Shop</t>
        </is>
      </c>
      <c r="E102" s="12" t="inlineStr">
        <is>
          <t>Shop state machine</t>
        </is>
      </c>
      <c r="F102" s="12" t="inlineStr">
        <is>
          <t>PENDING split into KYC_PENDING (a mandatory seller document not verified) -&gt; PAYMENT_PENDING (registration fee not settled) -&gt; VERIFIED (ready for approval), worked out by a database trigger from the documents and the fee; only VERIFIED may become ACTIVE; every change logged. Existing pending shops migrated into the right stage. Stage, progress steps and next action shown to the owner (/shop) and admin (approval queue tabs, dashboard counts, shop filters); Approve refused until VERIFIED.</t>
        </is>
      </c>
      <c r="G102" s="12" t="inlineStr">
        <is>
          <t>F8.2.4</t>
        </is>
      </c>
      <c r="H102" s="12" t="inlineStr">
        <is>
          <t>-</t>
        </is>
      </c>
      <c r="I102" s="10" t="inlineStr">
        <is>
          <t>COMPLETED</t>
        </is>
      </c>
      <c r="J102" s="12" t="inlineStr">
        <is>
          <t>Production (gokesari.com)</t>
        </is>
      </c>
      <c r="K102" s="12" t="inlineStr">
        <is>
          <t>Live since release #65 (migration 0051); the approval gate follows statusModels.enforceTransitions (true)</t>
        </is>
      </c>
      <c r="L102" s="12" t="inlineStr">
        <is>
          <t>#23 (Phase G suspension); #55 (F1); #58</t>
        </is>
      </c>
      <c r="M102" s="12" t="inlineStr">
        <is>
          <t>#23; #57; #65</t>
        </is>
      </c>
      <c r="N102" s="12" t="inlineStr">
        <is>
          <t>APPLIED is not a separate stage (a registered shop starts in KYC_PENDING).</t>
        </is>
      </c>
      <c r="O102" s="12" t="inlineStr">
        <is>
          <t>-</t>
        </is>
      </c>
      <c r="P102" s="12" t="inlineStr">
        <is>
          <t>COMPLETED</t>
        </is>
      </c>
      <c r="Q102" s="12" t="inlineStr">
        <is>
          <t>No change</t>
        </is>
      </c>
      <c r="R102" s="12" t="inlineStr">
        <is>
          <t>drizzle/0051_shop_onboarding_states.sql; src/lib/shop-onboarding.ts; src/server/services/shop-onboarding.ts; tests/integration/shop-onboarding-states.test.ts</t>
        </is>
      </c>
    </row>
    <row r="103" ht="63" customFormat="1" customHeight="1" s="2">
      <c r="A103" s="10" t="n">
        <v>102</v>
      </c>
      <c r="B103" s="12" t="inlineStr">
        <is>
          <t>State Machines</t>
        </is>
      </c>
      <c r="C103" s="9" t="inlineStr">
        <is>
          <t>SM-003</t>
        </is>
      </c>
      <c r="D103" s="12" t="inlineStr">
        <is>
          <t>Gig</t>
        </is>
      </c>
      <c r="E103" s="12" t="inlineStr">
        <is>
          <t>Gig state machine</t>
        </is>
      </c>
      <c r="F103" s="12" t="inlineStr">
        <is>
          <t>F1: rider lifecycle ONBOARDING / OFFLINE / AVAILABLE / BUSY / ON_DELIVERY / SUSPENDED / REJECTED / INACTIVE, derived from the existing columns by a database trigger; transitions enforced in the database and every change logged with its actor (status_changes, /admin/status-changes).</t>
        </is>
      </c>
      <c r="G103" s="12" t="inlineStr">
        <is>
          <t>-</t>
        </is>
      </c>
      <c r="H103" s="12" t="inlineStr">
        <is>
          <t>-</t>
        </is>
      </c>
      <c r="I103" s="10" t="inlineStr">
        <is>
          <t>COMPLETED</t>
        </is>
      </c>
      <c r="J103" s="12" t="inlineStr">
        <is>
          <t>Production (gokesari.com)</t>
        </is>
      </c>
      <c r="K103" s="12" t="inlineStr">
        <is>
          <t>Live since release #57 (migration 0042) (statusModels.enforceTransitions = true)</t>
        </is>
      </c>
      <c r="L103" s="12" t="inlineStr">
        <is>
          <t>#23 (Phase C checkpoints); #55 (F1)</t>
        </is>
      </c>
      <c r="M103" s="12" t="inlineStr">
        <is>
          <t>#23; #57</t>
        </is>
      </c>
      <c r="N103" s="12" t="inlineStr">
        <is>
          <t>Mapping, not new enum values: APPLIED + KYC_PENDING = ONBOARDING (detail kept in REGISTERED / UNDER_REVIEW), ONLINE = AVAILABLE, ASSIGNED = BUSY, PICKED_UP / DELIVERING = ON_DELIVERY, BLOCKED = SUSPENDED.</t>
        </is>
      </c>
      <c r="O103" s="12" t="inlineStr">
        <is>
          <t>-</t>
        </is>
      </c>
      <c r="P103" s="12" t="inlineStr">
        <is>
          <t>COMPLETED</t>
        </is>
      </c>
      <c r="Q103" s="12" t="inlineStr">
        <is>
          <t>No change</t>
        </is>
      </c>
      <c r="R103" s="12" t="inlineStr">
        <is>
          <t>src/lib/status-models.ts; drizzle/0042_status_models.sql; tests/integration/status-models.test.ts</t>
        </is>
      </c>
    </row>
    <row r="104" ht="87" customFormat="1" customHeight="1" s="2">
      <c r="A104" s="10" t="n">
        <v>103</v>
      </c>
      <c r="B104" s="12" t="inlineStr">
        <is>
          <t>State Machines</t>
        </is>
      </c>
      <c r="C104" s="9" t="inlineStr">
        <is>
          <t>SM-004</t>
        </is>
      </c>
      <c r="D104" s="12" t="inlineStr">
        <is>
          <t>Subscription</t>
        </is>
      </c>
      <c r="E104" s="12" t="inlineStr">
        <is>
          <t>Subscription state machine</t>
        </is>
      </c>
      <c r="F104" s="12" t="inlineStr">
        <is>
          <t>DRAFT (saved, not started) and RENEWAL_PENDING (end date near, or wallet will not cover the next delivery) with enforced, logged transitions; renew and activate actions; ended terms complete. Every delivery date has its own status in subscription_deliveries: SCHEDULED / SKIPPED, then the order's own status (CONFIRMED ... OUT_FOR_DELIVERY / DELIVERED / FAILED ...) kept in step by triggers; shown to customer, shop (upcoming deliveries) and admin (/admin/subscriptions).</t>
        </is>
      </c>
      <c r="G104" s="12" t="inlineStr">
        <is>
          <t>F7.1.1, F7.3.2</t>
        </is>
      </c>
      <c r="H104" s="12" t="inlineStr">
        <is>
          <t>-</t>
        </is>
      </c>
      <c r="I104" s="10" t="inlineStr">
        <is>
          <t>COMPLETED</t>
        </is>
      </c>
      <c r="J104" s="12" t="inlineStr">
        <is>
          <t>Production (gokesari.com)</t>
        </is>
      </c>
      <c r="K104" s="12" t="inlineStr">
        <is>
          <t>Live since release #65 (migration 0052) (renewal rule subscriptionRenewal on: 3 days' notice before the end date, 1 day of payment cover)</t>
        </is>
      </c>
      <c r="L104" s="12" t="inlineStr">
        <is>
          <t>#11; #55 (F1); #58</t>
        </is>
      </c>
      <c r="M104" s="12" t="inlineStr">
        <is>
          <t>#19; #57; #65</t>
        </is>
      </c>
      <c r="N104" s="12" t="inlineStr">
        <is>
          <t>-</t>
        </is>
      </c>
      <c r="O104" s="12" t="inlineStr">
        <is>
          <t>-</t>
        </is>
      </c>
      <c r="P104" s="12" t="inlineStr">
        <is>
          <t>COMPLETED</t>
        </is>
      </c>
      <c r="Q104" s="12" t="inlineStr">
        <is>
          <t>No change</t>
        </is>
      </c>
      <c r="R104" s="12" t="inlineStr">
        <is>
          <t>drizzle/0052_subscription_states.sql; src/server/services/subscription-schedule.ts; src/server/services/subscription-renewal.ts; tests/integration/subscription-states.test.ts</t>
        </is>
      </c>
    </row>
    <row r="105" ht="51" customFormat="1" customHeight="1" s="2">
      <c r="A105" s="10" t="n">
        <v>104</v>
      </c>
      <c r="B105" s="12" t="inlineStr">
        <is>
          <t>State Machines</t>
        </is>
      </c>
      <c r="C105" s="9" t="inlineStr">
        <is>
          <t>SM-005</t>
        </is>
      </c>
      <c r="D105" s="12" t="inlineStr">
        <is>
          <t>Payment</t>
        </is>
      </c>
      <c r="E105" s="12" t="inlineStr">
        <is>
          <t>Payment state machine</t>
        </is>
      </c>
      <c r="F105" s="12" t="inlineStr">
        <is>
          <t>Unchanged: payment_status CREATED / PENDING / SUCCESS / FAILED / REFUNDED (wallet top-ups only).</t>
        </is>
      </c>
      <c r="G105" s="12" t="inlineStr">
        <is>
          <t>F1.8.4</t>
        </is>
      </c>
      <c r="H105" s="12" t="inlineStr">
        <is>
          <t>-</t>
        </is>
      </c>
      <c r="I105" s="10" t="inlineStr">
        <is>
          <t>BLOCKED</t>
        </is>
      </c>
      <c r="J105" s="12" t="inlineStr">
        <is>
          <t>Production - partly live</t>
        </is>
      </c>
      <c r="K105" s="12" t="inlineStr">
        <is>
          <t>Live</t>
        </is>
      </c>
      <c r="L105" s="12" t="inlineStr">
        <is>
          <t>Baseline</t>
        </is>
      </c>
      <c r="M105" s="12" t="inlineStr">
        <is>
          <t>Baseline</t>
        </is>
      </c>
      <c r="N105" s="12" t="inlineStr">
        <is>
          <t>INITIATED -&gt; AUTHORIZED -&gt; CAPTURED -&gt; RECONCILED; CHARGEBACK.</t>
        </is>
      </c>
      <c r="O105" s="12" t="inlineStr">
        <is>
          <t>Per-order online payment go-ahead (GS-028 / NEW-007)</t>
        </is>
      </c>
      <c r="P105" s="12" t="inlineStr">
        <is>
          <t>BLOCKED</t>
        </is>
      </c>
      <c r="Q105" s="12" t="inlineStr">
        <is>
          <t>No change</t>
        </is>
      </c>
      <c r="R105" s="12" t="inlineStr">
        <is>
          <t>src/server/db/schema.ts (paymentStatusEnum)</t>
        </is>
      </c>
    </row>
    <row r="106" ht="51" customFormat="1" customHeight="1" s="2">
      <c r="A106" s="10" t="n">
        <v>105</v>
      </c>
      <c r="B106" s="12" t="inlineStr">
        <is>
          <t>State Machines</t>
        </is>
      </c>
      <c r="C106" s="9" t="inlineStr">
        <is>
          <t>SM-006</t>
        </is>
      </c>
      <c r="D106" s="12" t="inlineStr">
        <is>
          <t>Issue</t>
        </is>
      </c>
      <c r="E106" s="12" t="inlineStr">
        <is>
          <t>Issue state machine</t>
        </is>
      </c>
      <c r="F106" s="12" t="inlineStr">
        <is>
          <t>Tickets linked to orders; returns 13-status machine; dispute cases have OPEN / TRIAGED / INVESTIGATING / RESOLUTION_PROPOSED / ESCALATED / RESOLVED; grievances still OPEN / IN_PROGRESS / RESOLVED / CLOSED.</t>
        </is>
      </c>
      <c r="G106" s="12" t="inlineStr">
        <is>
          <t>F6.3.3</t>
        </is>
      </c>
      <c r="H106" s="12" t="inlineStr">
        <is>
          <t>-</t>
        </is>
      </c>
      <c r="I106" s="10" t="inlineStr">
        <is>
          <t>BLOCKED</t>
        </is>
      </c>
      <c r="J106" s="12" t="inlineStr">
        <is>
          <t>Production - partly live</t>
        </is>
      </c>
      <c r="K106" s="12" t="inlineStr">
        <is>
          <t>Live</t>
        </is>
      </c>
      <c r="L106" s="12" t="inlineStr">
        <is>
          <t>#11 (grievances); #40 (dispute states)</t>
        </is>
      </c>
      <c r="M106" s="12" t="inlineStr">
        <is>
          <t>#19; #40</t>
        </is>
      </c>
      <c r="N106" s="12" t="inlineStr">
        <is>
          <t>Either add the four states to grievances or accept the dispute lifecycle as the issue state machine.</t>
        </is>
      </c>
      <c r="O106" s="12" t="inlineStr">
        <is>
          <t>Decision: does the dispute lifecycle satisfy SM-006?</t>
        </is>
      </c>
      <c r="P106" s="12" t="inlineStr">
        <is>
          <t>BLOCKED</t>
        </is>
      </c>
      <c r="Q106" s="12" t="inlineStr">
        <is>
          <t>No change</t>
        </is>
      </c>
      <c r="R106" s="12" t="inlineStr">
        <is>
          <t>src/server/db/schema.ts (grievanceStatusEnum); src/lib/dispute-states.ts</t>
        </is>
      </c>
    </row>
    <row r="107" ht="27" customFormat="1" customHeight="1" s="2">
      <c r="A107" s="10" t="n">
        <v>106</v>
      </c>
      <c r="B107" s="12" t="inlineStr">
        <is>
          <t>Gig Assignment Rules</t>
        </is>
      </c>
      <c r="C107" s="9" t="inlineStr">
        <is>
          <t>GA-001</t>
        </is>
      </c>
      <c r="D107" s="12" t="inlineStr">
        <is>
          <t>Delivery</t>
        </is>
      </c>
      <c r="E107" s="12" t="inlineStr">
        <is>
          <t>Society authorization</t>
        </is>
      </c>
      <c r="F107" s="12" t="inlineStr">
        <is>
          <t>Exclusive society -&gt; only listed riders offered</t>
        </is>
      </c>
      <c r="G107" s="12" t="inlineStr">
        <is>
          <t>F3.1.1</t>
        </is>
      </c>
      <c r="H107" s="12" t="inlineStr">
        <is>
          <t>P0</t>
        </is>
      </c>
      <c r="I107" s="10" t="inlineStr">
        <is>
          <t>COMPLETED</t>
        </is>
      </c>
      <c r="J107" s="12" t="inlineStr">
        <is>
          <t>Production (gokesari.com)</t>
        </is>
      </c>
      <c r="K107" s="12" t="inlineStr">
        <is>
          <t>Live</t>
        </is>
      </c>
      <c r="L107" s="12" t="inlineStr">
        <is>
          <t>#11</t>
        </is>
      </c>
      <c r="M107" s="12" t="inlineStr">
        <is>
          <t>#19</t>
        </is>
      </c>
      <c r="N107" s="12" t="inlineStr">
        <is>
          <t>-</t>
        </is>
      </c>
      <c r="O107" s="12" t="inlineStr">
        <is>
          <t>-</t>
        </is>
      </c>
      <c r="P107" s="12" t="inlineStr">
        <is>
          <t>COMPLETED</t>
        </is>
      </c>
      <c r="Q107" s="12" t="inlineStr">
        <is>
          <t>No change</t>
        </is>
      </c>
      <c r="R107" s="12" t="inlineStr">
        <is>
          <t>src/server/services/delivery-assignment.ts:97</t>
        </is>
      </c>
    </row>
    <row r="108" ht="27" customFormat="1" customHeight="1" s="2">
      <c r="A108" s="10" t="n">
        <v>107</v>
      </c>
      <c r="B108" s="12" t="inlineStr">
        <is>
          <t>Gig Assignment Rules</t>
        </is>
      </c>
      <c r="C108" s="9" t="inlineStr">
        <is>
          <t>GA-002</t>
        </is>
      </c>
      <c r="D108" s="12" t="inlineStr">
        <is>
          <t>Delivery</t>
        </is>
      </c>
      <c r="E108" s="12" t="inlineStr">
        <is>
          <t>Society preferred partner</t>
        </is>
      </c>
      <c r="F108" s="12" t="inlineStr">
        <is>
          <t>Listed / preferred riders ranked first</t>
        </is>
      </c>
      <c r="G108" s="12" t="inlineStr">
        <is>
          <t>F3.2.1</t>
        </is>
      </c>
      <c r="H108" s="12" t="inlineStr">
        <is>
          <t>P0</t>
        </is>
      </c>
      <c r="I108" s="10" t="inlineStr">
        <is>
          <t>COMPLETED</t>
        </is>
      </c>
      <c r="J108" s="12" t="inlineStr">
        <is>
          <t>Production (gokesari.com)</t>
        </is>
      </c>
      <c r="K108" s="12" t="inlineStr">
        <is>
          <t>Live</t>
        </is>
      </c>
      <c r="L108" s="12" t="inlineStr">
        <is>
          <t>#11</t>
        </is>
      </c>
      <c r="M108" s="12" t="inlineStr">
        <is>
          <t>#19</t>
        </is>
      </c>
      <c r="N108" s="12" t="inlineStr">
        <is>
          <t>-</t>
        </is>
      </c>
      <c r="O108" s="12" t="inlineStr">
        <is>
          <t>-</t>
        </is>
      </c>
      <c r="P108" s="12" t="inlineStr">
        <is>
          <t>COMPLETED</t>
        </is>
      </c>
      <c r="Q108" s="12" t="inlineStr">
        <is>
          <t>No change</t>
        </is>
      </c>
      <c r="R108" s="12" t="inlineStr">
        <is>
          <t>src/server/services/delivery-assignment.ts:97-137</t>
        </is>
      </c>
    </row>
    <row r="109" ht="27" customFormat="1" customHeight="1" s="2">
      <c r="A109" s="10" t="n">
        <v>108</v>
      </c>
      <c r="B109" s="12" t="inlineStr">
        <is>
          <t>Gig Assignment Rules</t>
        </is>
      </c>
      <c r="C109" s="9" t="inlineStr">
        <is>
          <t>GA-003</t>
        </is>
      </c>
      <c r="D109" s="12" t="inlineStr">
        <is>
          <t>Delivery</t>
        </is>
      </c>
      <c r="E109" s="12" t="inlineStr">
        <is>
          <t>Distance</t>
        </is>
      </c>
      <c r="F109" s="12" t="inlineStr">
        <is>
          <t>Riders closer to the shop score higher in the ranking (straight-line distance; road distance when routing is switched on).</t>
        </is>
      </c>
      <c r="G109" s="12" t="inlineStr">
        <is>
          <t>F3.2.2</t>
        </is>
      </c>
      <c r="H109" s="12" t="inlineStr">
        <is>
          <t>P0</t>
        </is>
      </c>
      <c r="I109" s="10" t="inlineStr">
        <is>
          <t>COMPLETED</t>
        </is>
      </c>
      <c r="J109" s="12" t="inlineStr">
        <is>
          <t>Production (gokesari.com)</t>
        </is>
      </c>
      <c r="K109" s="12" t="inlineStr">
        <is>
          <t>Live</t>
        </is>
      </c>
      <c r="L109" s="12" t="inlineStr">
        <is>
          <t>Baseline</t>
        </is>
      </c>
      <c r="M109" s="12" t="inlineStr">
        <is>
          <t>Baseline</t>
        </is>
      </c>
      <c r="N109" s="12" t="inlineStr">
        <is>
          <t>-</t>
        </is>
      </c>
      <c r="O109" s="12" t="inlineStr">
        <is>
          <t>-</t>
        </is>
      </c>
      <c r="P109" s="12" t="inlineStr">
        <is>
          <t>COMPLETED</t>
        </is>
      </c>
      <c r="Q109" s="12" t="inlineStr">
        <is>
          <t>No change</t>
        </is>
      </c>
      <c r="R109" s="12" t="inlineStr">
        <is>
          <t>-</t>
        </is>
      </c>
    </row>
    <row r="110" ht="27" customFormat="1" customHeight="1" s="2">
      <c r="A110" s="10" t="n">
        <v>109</v>
      </c>
      <c r="B110" s="12" t="inlineStr">
        <is>
          <t>Gig Assignment Rules</t>
        </is>
      </c>
      <c r="C110" s="9" t="inlineStr">
        <is>
          <t>GA-004</t>
        </is>
      </c>
      <c r="D110" s="12" t="inlineStr">
        <is>
          <t>Delivery</t>
        </is>
      </c>
      <c r="E110" s="12" t="inlineStr">
        <is>
          <t>Availability</t>
        </is>
      </c>
      <c r="F110" s="12" t="inlineStr">
        <is>
          <t>Only APPROVED riders who are online and not suspended are considered for an offer.</t>
        </is>
      </c>
      <c r="G110" s="12" t="inlineStr">
        <is>
          <t>F3.1.2</t>
        </is>
      </c>
      <c r="H110" s="12" t="inlineStr">
        <is>
          <t>P0</t>
        </is>
      </c>
      <c r="I110" s="10" t="inlineStr">
        <is>
          <t>COMPLETED</t>
        </is>
      </c>
      <c r="J110" s="12" t="inlineStr">
        <is>
          <t>Production (gokesari.com)</t>
        </is>
      </c>
      <c r="K110" s="12" t="inlineStr">
        <is>
          <t>Live</t>
        </is>
      </c>
      <c r="L110" s="12" t="inlineStr">
        <is>
          <t>Baseline</t>
        </is>
      </c>
      <c r="M110" s="12" t="inlineStr">
        <is>
          <t>Baseline</t>
        </is>
      </c>
      <c r="N110" s="12" t="inlineStr">
        <is>
          <t>-</t>
        </is>
      </c>
      <c r="O110" s="12" t="inlineStr">
        <is>
          <t>-</t>
        </is>
      </c>
      <c r="P110" s="12" t="inlineStr">
        <is>
          <t>COMPLETED</t>
        </is>
      </c>
      <c r="Q110" s="12" t="inlineStr">
        <is>
          <t>No change</t>
        </is>
      </c>
      <c r="R110" s="12" t="inlineStr">
        <is>
          <t>-</t>
        </is>
      </c>
    </row>
    <row r="111" ht="75" customFormat="1" customHeight="1" s="2">
      <c r="A111" s="10" t="n">
        <v>110</v>
      </c>
      <c r="B111" s="12" t="inlineStr">
        <is>
          <t>Gig Assignment Rules</t>
        </is>
      </c>
      <c r="C111" s="9" t="inlineStr">
        <is>
          <t>GA-005</t>
        </is>
      </c>
      <c r="D111" s="12" t="inlineStr">
        <is>
          <t>Delivery</t>
        </is>
      </c>
      <c r="E111" s="12" t="inlineStr">
        <is>
          <t>Current load</t>
        </is>
      </c>
      <c r="F111" s="12" t="inlineStr">
        <is>
          <t>F3 busy-rider ranking, plus batching: one rider carries up to maxOrdersPerTrip (2) orders in one trip when the pickups are close (0.5 km), drops go the same way (45 degrees) and every promised time still holds; a rider on a compatible trip is preferred over an idle rider up to 1 km further away; ordered pickup-then-drop list for the rider; each order keeps its own delivery row and status. All thresholds are business rules.</t>
        </is>
      </c>
      <c r="G111" s="12" t="inlineStr">
        <is>
          <t>F3.2.3</t>
        </is>
      </c>
      <c r="H111" s="12" t="inlineStr">
        <is>
          <t>P0</t>
        </is>
      </c>
      <c r="I111" s="10" t="inlineStr">
        <is>
          <t>COMPLETED</t>
        </is>
      </c>
      <c r="J111" s="12" t="inlineStr">
        <is>
          <t>Production - built, switched off by default</t>
        </is>
      </c>
      <c r="K111" s="12" t="inlineStr">
        <is>
          <t>Off by default - switch on in Admin &gt; Business rules (rule: batching.enabled; F3 busy-rider fallback: dispatch.busyRidersAsFallback)</t>
        </is>
      </c>
      <c r="L111" s="12" t="inlineStr">
        <is>
          <t>Baseline (busy riders excluded); #55 (F3 fallback); #58 (batching)</t>
        </is>
      </c>
      <c r="M111" s="12" t="inlineStr">
        <is>
          <t>Baseline; #57; #65</t>
        </is>
      </c>
      <c r="N111" s="12" t="inlineStr">
        <is>
          <t>-</t>
        </is>
      </c>
      <c r="O111" s="12" t="inlineStr">
        <is>
          <t>-</t>
        </is>
      </c>
      <c r="P111" s="12" t="inlineStr">
        <is>
          <t>COMPLETED</t>
        </is>
      </c>
      <c r="Q111" s="12" t="inlineStr">
        <is>
          <t>No change</t>
        </is>
      </c>
      <c r="R111" s="12" t="inlineStr">
        <is>
          <t>src/server/services/delivery-trips.ts; drizzle/0054_delivery_trips.sql; tests/integration/rider-batching.test.ts</t>
        </is>
      </c>
    </row>
    <row r="112" ht="27" customFormat="1" customHeight="1" s="2">
      <c r="A112" s="10" t="n">
        <v>111</v>
      </c>
      <c r="B112" s="12" t="inlineStr">
        <is>
          <t>Gig Assignment Rules</t>
        </is>
      </c>
      <c r="C112" s="9" t="inlineStr">
        <is>
          <t>GA-006</t>
        </is>
      </c>
      <c r="D112" s="12" t="inlineStr">
        <is>
          <t>Delivery</t>
        </is>
      </c>
      <c r="E112" s="12" t="inlineStr">
        <is>
          <t>Shop readiness</t>
        </is>
      </c>
      <c r="F112" s="12" t="inlineStr">
        <is>
          <t>Rider requested automatically when the shop marks READY</t>
        </is>
      </c>
      <c r="G112" s="12" t="inlineStr">
        <is>
          <t>F2.2.3</t>
        </is>
      </c>
      <c r="H112" s="12" t="inlineStr">
        <is>
          <t>P0</t>
        </is>
      </c>
      <c r="I112" s="10" t="inlineStr">
        <is>
          <t>COMPLETED</t>
        </is>
      </c>
      <c r="J112" s="12" t="inlineStr">
        <is>
          <t>Production (gokesari.com)</t>
        </is>
      </c>
      <c r="K112" s="12" t="inlineStr">
        <is>
          <t>Live</t>
        </is>
      </c>
      <c r="L112" s="12" t="inlineStr">
        <is>
          <t>#10</t>
        </is>
      </c>
      <c r="M112" s="12" t="inlineStr">
        <is>
          <t>#14</t>
        </is>
      </c>
      <c r="N112" s="12" t="inlineStr">
        <is>
          <t>-</t>
        </is>
      </c>
      <c r="O112" s="12" t="inlineStr">
        <is>
          <t>-</t>
        </is>
      </c>
      <c r="P112" s="12" t="inlineStr">
        <is>
          <t>COMPLETED</t>
        </is>
      </c>
      <c r="Q112" s="12" t="inlineStr">
        <is>
          <t>No change</t>
        </is>
      </c>
      <c r="R112" s="12" t="inlineStr">
        <is>
          <t>src/server/services/delivery-assignment.ts</t>
        </is>
      </c>
    </row>
    <row r="113" ht="27" customFormat="1" customHeight="1" s="2">
      <c r="A113" s="10" t="n">
        <v>112</v>
      </c>
      <c r="B113" s="12" t="inlineStr">
        <is>
          <t>Gig Assignment Rules</t>
        </is>
      </c>
      <c r="C113" s="9" t="inlineStr">
        <is>
          <t>GA-007</t>
        </is>
      </c>
      <c r="D113" s="12" t="inlineStr">
        <is>
          <t>Delivery</t>
        </is>
      </c>
      <c r="E113" s="12" t="inlineStr">
        <is>
          <t>Reliability</t>
        </is>
      </c>
      <c r="F113" s="12" t="inlineStr">
        <is>
          <t>Reliability score (30-day completions vs failures/declines) in ranking</t>
        </is>
      </c>
      <c r="G113" s="12" t="inlineStr">
        <is>
          <t>F3.2.2</t>
        </is>
      </c>
      <c r="H113" s="12" t="inlineStr">
        <is>
          <t>P1</t>
        </is>
      </c>
      <c r="I113" s="10" t="inlineStr">
        <is>
          <t>COMPLETED</t>
        </is>
      </c>
      <c r="J113" s="12" t="inlineStr">
        <is>
          <t>Production (gokesari.com)</t>
        </is>
      </c>
      <c r="K113" s="12" t="inlineStr">
        <is>
          <t>Live</t>
        </is>
      </c>
      <c r="L113" s="12" t="inlineStr">
        <is>
          <t>#11</t>
        </is>
      </c>
      <c r="M113" s="12" t="inlineStr">
        <is>
          <t>#19</t>
        </is>
      </c>
      <c r="N113" s="12" t="inlineStr">
        <is>
          <t>-</t>
        </is>
      </c>
      <c r="O113" s="12" t="inlineStr">
        <is>
          <t>-</t>
        </is>
      </c>
      <c r="P113" s="12" t="inlineStr">
        <is>
          <t>COMPLETED</t>
        </is>
      </c>
      <c r="Q113" s="12" t="inlineStr">
        <is>
          <t>No change</t>
        </is>
      </c>
      <c r="R113" s="12" t="inlineStr">
        <is>
          <t>src/server/services/delivery-assignment.ts:126</t>
        </is>
      </c>
    </row>
    <row r="114" ht="27" customFormat="1" customHeight="1" s="2">
      <c r="A114" s="10" t="n">
        <v>113</v>
      </c>
      <c r="B114" s="12" t="inlineStr">
        <is>
          <t>Gig Assignment Rules</t>
        </is>
      </c>
      <c r="C114" s="9" t="inlineStr">
        <is>
          <t>GA-008</t>
        </is>
      </c>
      <c r="D114" s="12" t="inlineStr">
        <is>
          <t>Delivery</t>
        </is>
      </c>
      <c r="E114" s="12" t="inlineStr">
        <is>
          <t>Fairness</t>
        </is>
      </c>
      <c r="F114" s="12" t="inlineStr">
        <is>
          <t>Fairness penalty per offer received today</t>
        </is>
      </c>
      <c r="G114" s="12" t="inlineStr">
        <is>
          <t>F3.2.2</t>
        </is>
      </c>
      <c r="H114" s="12" t="inlineStr">
        <is>
          <t>P1</t>
        </is>
      </c>
      <c r="I114" s="10" t="inlineStr">
        <is>
          <t>COMPLETED</t>
        </is>
      </c>
      <c r="J114" s="12" t="inlineStr">
        <is>
          <t>Production (gokesari.com)</t>
        </is>
      </c>
      <c r="K114" s="12" t="inlineStr">
        <is>
          <t>Live</t>
        </is>
      </c>
      <c r="L114" s="12" t="inlineStr">
        <is>
          <t>#11</t>
        </is>
      </c>
      <c r="M114" s="12" t="inlineStr">
        <is>
          <t>#19</t>
        </is>
      </c>
      <c r="N114" s="12" t="inlineStr">
        <is>
          <t>-</t>
        </is>
      </c>
      <c r="O114" s="12" t="inlineStr">
        <is>
          <t>-</t>
        </is>
      </c>
      <c r="P114" s="12" t="inlineStr">
        <is>
          <t>COMPLETED</t>
        </is>
      </c>
      <c r="Q114" s="12" t="inlineStr">
        <is>
          <t>No change</t>
        </is>
      </c>
      <c r="R114" s="12" t="inlineStr">
        <is>
          <t>src/server/services/delivery-assignment.ts:85</t>
        </is>
      </c>
    </row>
    <row r="115" ht="51" customFormat="1" customHeight="1" s="2">
      <c r="A115" s="10" t="n">
        <v>114</v>
      </c>
      <c r="B115" s="12" t="inlineStr">
        <is>
          <t>Gig Assignment Rules</t>
        </is>
      </c>
      <c r="C115" s="9" t="inlineStr">
        <is>
          <t>GA-009</t>
        </is>
      </c>
      <c r="D115" s="12" t="inlineStr">
        <is>
          <t>Delivery</t>
        </is>
      </c>
      <c r="E115" s="12" t="inlineStr">
        <is>
          <t>No worker</t>
        </is>
      </c>
      <c r="F115" s="12" t="inlineStr">
        <is>
          <t>Offers expire after 2 min; auto-retry; shop notified. Phase C added a bounded search with a total time limit, delivery-window expiry, manual cooldown, a stop control and a 'rider assignment failed' notification; 'No rider' is an ops exception</t>
        </is>
      </c>
      <c r="G115" s="12" t="inlineStr">
        <is>
          <t>F3.3.1</t>
        </is>
      </c>
      <c r="H115" s="12" t="inlineStr">
        <is>
          <t>P0</t>
        </is>
      </c>
      <c r="I115" s="10" t="inlineStr">
        <is>
          <t>COMPLETED</t>
        </is>
      </c>
      <c r="J115" s="12" t="inlineStr">
        <is>
          <t>Production (gokesari.com)</t>
        </is>
      </c>
      <c r="K115" s="12" t="inlineStr">
        <is>
          <t>Live</t>
        </is>
      </c>
      <c r="L115" s="12" t="inlineStr">
        <is>
          <t>Baseline; #10; #23 (Phase F alert)</t>
        </is>
      </c>
      <c r="M115" s="12" t="inlineStr">
        <is>
          <t>Baseline; #14; #23</t>
        </is>
      </c>
      <c r="N115" s="12" t="inlineStr">
        <is>
          <t>Radius widening Retry with cron + operations intervention; the search radius is not widened.</t>
        </is>
      </c>
      <c r="O115" s="12" t="inlineStr">
        <is>
          <t>-</t>
        </is>
      </c>
      <c r="P115" s="12" t="inlineStr">
        <is>
          <t>COMPLETED</t>
        </is>
      </c>
      <c r="Q115" s="12" t="inlineStr">
        <is>
          <t>No change</t>
        </is>
      </c>
      <c r="R115" s="12" t="inlineStr">
        <is>
          <t>src/server/services/delivery-assignment.ts; src/server/notifications/templates.ts (DELIVERY_SEARCH_STOPPED)</t>
        </is>
      </c>
    </row>
    <row r="116" ht="63" customFormat="1" customHeight="1" s="2">
      <c r="A116" s="10" t="n">
        <v>115</v>
      </c>
      <c r="B116" s="12" t="inlineStr">
        <is>
          <t>Navigation</t>
        </is>
      </c>
      <c r="C116" s="9" t="inlineStr">
        <is>
          <t>NAV-001</t>
        </is>
      </c>
      <c r="D116" s="12" t="inlineStr">
        <is>
          <t>Customer</t>
        </is>
      </c>
      <c r="E116" s="12" t="inlineStr">
        <is>
          <t>Customer portal - Home</t>
        </is>
      </c>
      <c r="F116" s="12" t="inlineStr">
        <is>
          <t>Tile Board home (NEW-046): search, 'Do now' (order on its way, tomorrow's delivery) on phones, picture categories, tiles, cart bar; visitors get Sell on GoKesari / Deliver with us. Shop list -&gt; Shops; F9 price comparison across nearby delivering shops (cheapest highlighted, unpriced loose goods skipped) -&gt; Shops &gt; Compare prices (/search/compare).</t>
        </is>
      </c>
      <c r="G116" s="12" t="inlineStr">
        <is>
          <t>F1.3.1, F1.4.2</t>
        </is>
      </c>
      <c r="H116" s="12" t="inlineStr">
        <is>
          <t>-</t>
        </is>
      </c>
      <c r="I116" s="10" t="inlineStr">
        <is>
          <t>COMPLETED</t>
        </is>
      </c>
      <c r="J116" s="12" t="inlineStr">
        <is>
          <t>Production - built, switched off by default</t>
        </is>
      </c>
      <c r="K116" s="12" t="inlineStr">
        <is>
          <t>Off by default - switch on in Admin &gt; Business rules (rule: homePriceComparison.enabled)</t>
        </is>
      </c>
      <c r="L116" s="12" t="inlineStr">
        <is>
          <t>Baseline; #23 (search-first landing); #55 (F9); #67 (speed); #68 (error boundary); #83 (redesign); #122 (board is the whole page); #127, #130 (shared figures cache, 8 s)</t>
        </is>
      </c>
      <c r="M116" s="12" t="inlineStr">
        <is>
          <t>Baseline; #23; #57; #65; #69; #84; #123; #129; #131</t>
        </is>
      </c>
      <c r="N116" s="12" t="inlineStr">
        <is>
          <t>The category grid was deliberately removed in favour of search-first; categories are reachable from shops and search.</t>
        </is>
      </c>
      <c r="O116" s="12" t="inlineStr">
        <is>
          <t>-</t>
        </is>
      </c>
      <c r="P116" s="12" t="inlineStr">
        <is>
          <t>COMPLETED</t>
        </is>
      </c>
      <c r="Q116" s="12" t="inlineStr">
        <is>
          <t>No change</t>
        </is>
      </c>
      <c r="R116" s="12" t="inlineStr">
        <is>
          <t>src/app/page.tsx; src/server/services/price-comparison.ts; tests/integration/price-comparison.test.ts; src/app/search/compare; docs/tile-board-2026-10/UI_PASS_2026-10-09.md</t>
        </is>
      </c>
    </row>
    <row r="117" ht="51" customFormat="1" customHeight="1" s="2">
      <c r="A117" s="10" t="n">
        <v>116</v>
      </c>
      <c r="B117" s="12" t="inlineStr">
        <is>
          <t>Navigation</t>
        </is>
      </c>
      <c r="C117" s="9" t="inlineStr">
        <is>
          <t>NAV-002</t>
        </is>
      </c>
      <c r="D117" s="12" t="inlineStr">
        <is>
          <t>Customer</t>
        </is>
      </c>
      <c r="E117" s="12" t="inlineStr">
        <is>
          <t>Customer portal - Shop</t>
        </is>
      </c>
      <c r="F117" s="12" t="inlineStr">
        <is>
          <t>Shop profile, catalogue, rating + reviews, opening hours, delivery options, and F8 shop offers (product or category, dated) shown on the shop page and priced in cart and checkout.</t>
        </is>
      </c>
      <c r="G117" s="12" t="inlineStr">
        <is>
          <t>F1.5.4, F11.2.1</t>
        </is>
      </c>
      <c r="H117" s="12" t="inlineStr">
        <is>
          <t>-</t>
        </is>
      </c>
      <c r="I117" s="10" t="inlineStr">
        <is>
          <t>COMPLETED</t>
        </is>
      </c>
      <c r="J117" s="12" t="inlineStr">
        <is>
          <t>Production - built, switched off by default</t>
        </is>
      </c>
      <c r="K117" s="12" t="inlineStr">
        <is>
          <t>Off by default - switch on in Admin &gt; Business rules (rule: shopOffers.enabled)</t>
        </is>
      </c>
      <c r="L117" s="12" t="inlineStr">
        <is>
          <t>Baseline; #11 (rating, reviews); #24 (hours); #55 (F8 offers); #122 (products first); #124 (category tabs, six a page)</t>
        </is>
      </c>
      <c r="M117" s="12" t="inlineStr">
        <is>
          <t>Baseline; #19; #24; #57; #123; #126</t>
        </is>
      </c>
      <c r="N117" s="12" t="inlineStr">
        <is>
          <t>-</t>
        </is>
      </c>
      <c r="O117" s="12" t="inlineStr">
        <is>
          <t>-</t>
        </is>
      </c>
      <c r="P117" s="12" t="inlineStr">
        <is>
          <t>COMPLETED</t>
        </is>
      </c>
      <c r="Q117" s="12" t="inlineStr">
        <is>
          <t>No change</t>
        </is>
      </c>
      <c r="R117" s="12" t="inlineStr">
        <is>
          <t>src/server/services/shop-offers.ts; src/app/shop/offers; drizzle/0048_shop_offers.sql</t>
        </is>
      </c>
    </row>
    <row r="118" ht="51" customFormat="1" customHeight="1" s="2">
      <c r="A118" s="10" t="n">
        <v>117</v>
      </c>
      <c r="B118" s="12" t="inlineStr">
        <is>
          <t>Navigation</t>
        </is>
      </c>
      <c r="C118" s="9" t="inlineStr">
        <is>
          <t>NAV-003</t>
        </is>
      </c>
      <c r="D118" s="12" t="inlineStr">
        <is>
          <t>Customer</t>
        </is>
      </c>
      <c r="E118" s="12" t="inlineStr">
        <is>
          <t>Customer portal - Cart &amp; Checkout</t>
        </is>
      </c>
      <c r="F118" s="12" t="inlineStr">
        <is>
          <t>Cart, address re-validation with actions, slot choice with capacity (F5), F7 order-level coupons (flat / %, minimum order, dates, total and per-customer limits, split by goods value, server-validated), F8 offers priced in cart, wallet / COD payment.</t>
        </is>
      </c>
      <c r="G118" s="12" t="inlineStr">
        <is>
          <t>F1.5.4</t>
        </is>
      </c>
      <c r="H118" s="12" t="inlineStr">
        <is>
          <t>-</t>
        </is>
      </c>
      <c r="I118" s="10" t="inlineStr">
        <is>
          <t>BLOCKED</t>
        </is>
      </c>
      <c r="J118" s="12" t="inlineStr">
        <is>
          <t>Production - partly live</t>
        </is>
      </c>
      <c r="K118" s="12" t="inlineStr">
        <is>
          <t>Coupons: Off by default - switch on in Admin &gt; Business rules (rule: coupons.enabled)</t>
        </is>
      </c>
      <c r="L118" s="12" t="inlineStr">
        <is>
          <t>Baseline; #23 (Phase B); #31; #48; #55 (F7 coupons)</t>
        </is>
      </c>
      <c r="M118" s="12" t="inlineStr">
        <is>
          <t>Baseline; #23; #43; #71; #57</t>
        </is>
      </c>
      <c r="N118" s="12" t="inlineStr">
        <is>
          <t>Online payment at checkout.</t>
        </is>
      </c>
      <c r="O118" s="12" t="inlineStr">
        <is>
          <t>Needs GS-028</t>
        </is>
      </c>
      <c r="P118" s="12" t="inlineStr">
        <is>
          <t>BLOCKED</t>
        </is>
      </c>
      <c r="Q118" s="12" t="inlineStr">
        <is>
          <t>No change</t>
        </is>
      </c>
      <c r="R118" s="12" t="inlineStr">
        <is>
          <t>src/components/cart-view.tsx; src/server/services/coupons.ts; drizzle/0047_coupons.sql</t>
        </is>
      </c>
    </row>
    <row r="119" ht="39" customFormat="1" customHeight="1" s="2">
      <c r="A119" s="10" t="n">
        <v>118</v>
      </c>
      <c r="B119" s="12" t="inlineStr">
        <is>
          <t>Navigation</t>
        </is>
      </c>
      <c r="C119" s="9" t="inlineStr">
        <is>
          <t>NAV-004</t>
        </is>
      </c>
      <c r="D119" s="12" t="inlineStr">
        <is>
          <t>Customer</t>
        </is>
      </c>
      <c r="E119" s="12" t="inlineStr">
        <is>
          <t>Customer portal - Orders</t>
        </is>
      </c>
      <c r="F119" s="12" t="inlineStr">
        <is>
          <t>Rate an order, report a problem, request a return (/orders/{id}/return, /returns), live tracking panel on in-flight orders, and raise / follow a dispute case</t>
        </is>
      </c>
      <c r="G119" s="12" t="inlineStr">
        <is>
          <t>F1.9.1</t>
        </is>
      </c>
      <c r="H119" s="12" t="inlineStr">
        <is>
          <t>-</t>
        </is>
      </c>
      <c r="I119" s="10" t="inlineStr">
        <is>
          <t>COMPLETED</t>
        </is>
      </c>
      <c r="J119" s="12" t="inlineStr">
        <is>
          <t>Production (gokesari.com)</t>
        </is>
      </c>
      <c r="K119" s="12" t="inlineStr">
        <is>
          <t>Live</t>
        </is>
      </c>
      <c r="L119" s="12" t="inlineStr">
        <is>
          <t>Baseline; #29 (tracking); #122 (tabs, Cancel order)</t>
        </is>
      </c>
      <c r="M119" s="12" t="inlineStr">
        <is>
          <t>Baseline; #29; #123</t>
        </is>
      </c>
      <c r="N119" s="12" t="inlineStr">
        <is>
          <t>-</t>
        </is>
      </c>
      <c r="O119" s="12" t="inlineStr">
        <is>
          <t>-</t>
        </is>
      </c>
      <c r="P119" s="12" t="inlineStr">
        <is>
          <t>COMPLETED</t>
        </is>
      </c>
      <c r="Q119" s="12" t="inlineStr">
        <is>
          <t>No change</t>
        </is>
      </c>
      <c r="R119" s="12" t="inlineStr">
        <is>
          <t>src/app/orders/page.tsx</t>
        </is>
      </c>
    </row>
    <row r="120" ht="39" customFormat="1" customHeight="1" s="2">
      <c r="A120" s="10" t="n">
        <v>119</v>
      </c>
      <c r="B120" s="12" t="inlineStr">
        <is>
          <t>Navigation</t>
        </is>
      </c>
      <c r="C120" s="9" t="inlineStr">
        <is>
          <t>NAV-005</t>
        </is>
      </c>
      <c r="D120" s="12" t="inlineStr">
        <is>
          <t>Customer</t>
        </is>
      </c>
      <c r="E120" s="12" t="inlineStr">
        <is>
          <t>Customer portal - Subscriptions</t>
        </is>
      </c>
      <c r="F120" s="12" t="inlineStr">
        <is>
          <t>/subscriptions and /subscriptions/[id]: active plans, schedule calendar, skip / pause / resume / cancel, per-date delivery status; Tomorrow's delivery card on the home page.</t>
        </is>
      </c>
      <c r="G120" s="12" t="inlineStr">
        <is>
          <t>F7.3.3</t>
        </is>
      </c>
      <c r="H120" s="12" t="inlineStr">
        <is>
          <t>-</t>
        </is>
      </c>
      <c r="I120" s="10" t="inlineStr">
        <is>
          <t>COMPLETED</t>
        </is>
      </c>
      <c r="J120" s="12" t="inlineStr">
        <is>
          <t>Production (gokesari.com)</t>
        </is>
      </c>
      <c r="K120" s="12" t="inlineStr">
        <is>
          <t>Live</t>
        </is>
      </c>
      <c r="L120" s="12" t="inlineStr">
        <is>
          <t>Baseline; #58 (per-date status); #83 (Tomorrow's delivery); #122 (Tomorrow tab)</t>
        </is>
      </c>
      <c r="M120" s="12" t="inlineStr">
        <is>
          <t>Baseline; #65; #84; #123</t>
        </is>
      </c>
      <c r="N120" s="12" t="inlineStr">
        <is>
          <t>-</t>
        </is>
      </c>
      <c r="O120" s="12" t="inlineStr">
        <is>
          <t>-</t>
        </is>
      </c>
      <c r="P120" s="12" t="inlineStr">
        <is>
          <t>COMPLETED</t>
        </is>
      </c>
      <c r="Q120" s="12" t="inlineStr">
        <is>
          <t>No change</t>
        </is>
      </c>
      <c r="R120" s="12" t="inlineStr">
        <is>
          <t>-</t>
        </is>
      </c>
    </row>
    <row r="121" ht="63" customFormat="1" customHeight="1" s="2">
      <c r="A121" s="10" t="n">
        <v>120</v>
      </c>
      <c r="B121" s="12" t="inlineStr">
        <is>
          <t>Navigation</t>
        </is>
      </c>
      <c r="C121" s="9" t="inlineStr">
        <is>
          <t>NAV-006</t>
        </is>
      </c>
      <c r="D121" s="12" t="inlineStr">
        <is>
          <t>Shop</t>
        </is>
      </c>
      <c r="E121" s="12" t="inlineStr">
        <is>
          <t>Shop portal - Dashboard</t>
        </is>
      </c>
      <c r="F121" s="12" t="inlineStr">
        <is>
          <t>getShopDashboard(): the operator's day built entirely from live queries. Since #122 /shop is the board with account alerts (suspended, rejected, awaiting approval with the next step, wallet low, legal documents due, payout bank) and 'Do now'; the old dashboard is split into /shop/manage/{today, products, location, hours, gst-pan, shop-types, registration}.</t>
        </is>
      </c>
      <c r="G121" s="12" t="inlineStr">
        <is>
          <t>-</t>
        </is>
      </c>
      <c r="H121" s="12" t="inlineStr">
        <is>
          <t>-</t>
        </is>
      </c>
      <c r="I121" s="10" t="inlineStr">
        <is>
          <t>COMPLETED</t>
        </is>
      </c>
      <c r="J121" s="12" t="inlineStr">
        <is>
          <t>Production (gokesari.com)</t>
        </is>
      </c>
      <c r="K121" s="12" t="inlineStr">
        <is>
          <t>Live</t>
        </is>
      </c>
      <c r="L121" s="12" t="inlineStr">
        <is>
          <t>Baseline; #23 (Phase J); #45 (owner name); #122 (split into /shop/manage); #124 (Today tabs)</t>
        </is>
      </c>
      <c r="M121" s="12" t="inlineStr">
        <is>
          <t>Baseline; #23; #47; #123; #126</t>
        </is>
      </c>
      <c r="N121" s="12" t="inlineStr">
        <is>
          <t>-</t>
        </is>
      </c>
      <c r="O121" s="12" t="inlineStr">
        <is>
          <t>-</t>
        </is>
      </c>
      <c r="P121" s="12" t="inlineStr">
        <is>
          <t>COMPLETED</t>
        </is>
      </c>
      <c r="Q121" s="12" t="inlineStr">
        <is>
          <t>No change</t>
        </is>
      </c>
      <c r="R121" s="12" t="inlineStr">
        <is>
          <t>src/server/services/dashboards.ts:63; src/app/shop/page.tsx; src/app/shop/manage/[section]</t>
        </is>
      </c>
    </row>
    <row r="122" ht="39" customFormat="1" customHeight="1" s="2">
      <c r="A122" s="10" t="n">
        <v>121</v>
      </c>
      <c r="B122" s="12" t="inlineStr">
        <is>
          <t>Navigation</t>
        </is>
      </c>
      <c r="C122" s="9" t="inlineStr">
        <is>
          <t>NAV-007</t>
        </is>
      </c>
      <c r="D122" s="12" t="inlineStr">
        <is>
          <t>Shop</t>
        </is>
      </c>
      <c r="E122" s="12" t="inlineStr">
        <is>
          <t>Shop portal - Catalog</t>
        </is>
      </c>
      <c r="F122" s="12" t="inlineStr">
        <is>
          <t>/shop/inventory, /shop/prices, /shop/product-categories, /shop/catalogue (photo tiles) and product images: products, bulk upload, prices, stock, categories.</t>
        </is>
      </c>
      <c r="G122" s="12" t="inlineStr">
        <is>
          <t>-</t>
        </is>
      </c>
      <c r="H122" s="12" t="inlineStr">
        <is>
          <t>-</t>
        </is>
      </c>
      <c r="I122" s="10" t="inlineStr">
        <is>
          <t>COMPLETED</t>
        </is>
      </c>
      <c r="J122" s="12" t="inlineStr">
        <is>
          <t>Production (gokesari.com)</t>
        </is>
      </c>
      <c r="K122" s="12" t="inlineStr">
        <is>
          <t>Live</t>
        </is>
      </c>
      <c r="L122" s="12" t="inlineStr">
        <is>
          <t>Baseline; #38; #45; #79 (photo catalogue); #122 (own pages); #124 (product manager paged)</t>
        </is>
      </c>
      <c r="M122" s="12" t="inlineStr">
        <is>
          <t>Baseline; #43; #47; #82; #123; #126</t>
        </is>
      </c>
      <c r="N122" s="12" t="inlineStr">
        <is>
          <t>-</t>
        </is>
      </c>
      <c r="O122" s="12" t="inlineStr">
        <is>
          <t>-</t>
        </is>
      </c>
      <c r="P122" s="12" t="inlineStr">
        <is>
          <t>COMPLETED</t>
        </is>
      </c>
      <c r="Q122" s="12" t="inlineStr">
        <is>
          <t>No change</t>
        </is>
      </c>
      <c r="R122" s="12" t="inlineStr">
        <is>
          <t>-</t>
        </is>
      </c>
    </row>
    <row r="123" ht="27" customFormat="1" customHeight="1" s="2">
      <c r="A123" s="10" t="n">
        <v>122</v>
      </c>
      <c r="B123" s="12" t="inlineStr">
        <is>
          <t>Navigation</t>
        </is>
      </c>
      <c r="C123" s="9" t="inlineStr">
        <is>
          <t>NAV-008</t>
        </is>
      </c>
      <c r="D123" s="12" t="inlineStr">
        <is>
          <t>Shop</t>
        </is>
      </c>
      <c r="E123" s="12" t="inlineStr">
        <is>
          <t>Shop portal - Orders</t>
        </is>
      </c>
      <c r="F123" s="12" t="inlineStr">
        <is>
          <t>/shop/orders: new, accepted, preparing, ready, completed and cancelled orders with accept / reject / substitute / pick / pack / ready actions.</t>
        </is>
      </c>
      <c r="G123" s="12" t="inlineStr">
        <is>
          <t>F2.1.1</t>
        </is>
      </c>
      <c r="H123" s="12" t="inlineStr">
        <is>
          <t>-</t>
        </is>
      </c>
      <c r="I123" s="10" t="inlineStr">
        <is>
          <t>COMPLETED</t>
        </is>
      </c>
      <c r="J123" s="12" t="inlineStr">
        <is>
          <t>Production (gokesari.com)</t>
        </is>
      </c>
      <c r="K123" s="12" t="inlineStr">
        <is>
          <t>Live</t>
        </is>
      </c>
      <c r="L123" s="12" t="inlineStr">
        <is>
          <t>Baseline; #10; #122 (status tabs)</t>
        </is>
      </c>
      <c r="M123" s="12" t="inlineStr">
        <is>
          <t>Baseline; #14; #123</t>
        </is>
      </c>
      <c r="N123" s="12" t="inlineStr">
        <is>
          <t>-</t>
        </is>
      </c>
      <c r="O123" s="12" t="inlineStr">
        <is>
          <t>-</t>
        </is>
      </c>
      <c r="P123" s="12" t="inlineStr">
        <is>
          <t>COMPLETED</t>
        </is>
      </c>
      <c r="Q123" s="12" t="inlineStr">
        <is>
          <t>No change</t>
        </is>
      </c>
      <c r="R123" s="12" t="inlineStr">
        <is>
          <t>-</t>
        </is>
      </c>
    </row>
    <row r="124" ht="15" customFormat="1" customHeight="1" s="2">
      <c r="A124" s="10" t="n">
        <v>123</v>
      </c>
      <c r="B124" s="12" t="inlineStr">
        <is>
          <t>Navigation</t>
        </is>
      </c>
      <c r="C124" s="9" t="inlineStr">
        <is>
          <t>NAV-009</t>
        </is>
      </c>
      <c r="D124" s="12" t="inlineStr">
        <is>
          <t>Shop</t>
        </is>
      </c>
      <c r="E124" s="12" t="inlineStr">
        <is>
          <t>Shop portal - Marketing</t>
        </is>
      </c>
      <c r="F124" s="12" t="inlineStr">
        <is>
          <t>/shop/marketing (customers, segments, campaigns, COD setting)</t>
        </is>
      </c>
      <c r="G124" s="12" t="inlineStr">
        <is>
          <t>-</t>
        </is>
      </c>
      <c r="H124" s="12" t="inlineStr">
        <is>
          <t>-</t>
        </is>
      </c>
      <c r="I124" s="10" t="inlineStr">
        <is>
          <t>COMPLETED</t>
        </is>
      </c>
      <c r="J124" s="12" t="inlineStr">
        <is>
          <t>Production (gokesari.com)</t>
        </is>
      </c>
      <c r="K124" s="12" t="inlineStr">
        <is>
          <t>Live</t>
        </is>
      </c>
      <c r="L124" s="12" t="inlineStr">
        <is>
          <t>#18; #55 (F8 shop offers)</t>
        </is>
      </c>
      <c r="M124" s="12" t="inlineStr">
        <is>
          <t>#19; #57</t>
        </is>
      </c>
      <c r="N124" s="12" t="inlineStr">
        <is>
          <t>-</t>
        </is>
      </c>
      <c r="O124" s="12" t="inlineStr">
        <is>
          <t>-</t>
        </is>
      </c>
      <c r="P124" s="12" t="inlineStr">
        <is>
          <t>COMPLETED</t>
        </is>
      </c>
      <c r="Q124" s="12" t="inlineStr">
        <is>
          <t>No change</t>
        </is>
      </c>
      <c r="R124" s="12" t="inlineStr">
        <is>
          <t>src/app/shop/marketing/page.tsx</t>
        </is>
      </c>
    </row>
    <row r="125" ht="39" customFormat="1" customHeight="1" s="2">
      <c r="A125" s="10" t="n">
        <v>124</v>
      </c>
      <c r="B125" s="12" t="inlineStr">
        <is>
          <t>Navigation</t>
        </is>
      </c>
      <c r="C125" s="9" t="inlineStr">
        <is>
          <t>NAV-010</t>
        </is>
      </c>
      <c r="D125" s="12" t="inlineStr">
        <is>
          <t>Shop</t>
        </is>
      </c>
      <c r="E125" s="12" t="inlineStr">
        <is>
          <t>Shop portal - Finance</t>
        </is>
      </c>
      <c r="F125" s="12" t="inlineStr">
        <is>
          <t>/shop/finance: commission, settlements, payouts and the shop ledger; tax invoices per delivered order (when invoicing is on).</t>
        </is>
      </c>
      <c r="G125" s="12" t="inlineStr">
        <is>
          <t>-</t>
        </is>
      </c>
      <c r="H125" s="12" t="inlineStr">
        <is>
          <t>-</t>
        </is>
      </c>
      <c r="I125" s="10" t="inlineStr">
        <is>
          <t>COMPLETED</t>
        </is>
      </c>
      <c r="J125" s="12" t="inlineStr">
        <is>
          <t>Production (gokesari.com)</t>
        </is>
      </c>
      <c r="K125" s="12" t="inlineStr">
        <is>
          <t>Live</t>
        </is>
      </c>
      <c r="L125" s="12" t="inlineStr">
        <is>
          <t>#10; #58 (invoices)</t>
        </is>
      </c>
      <c r="M125" s="12" t="inlineStr">
        <is>
          <t>#14; #65</t>
        </is>
      </c>
      <c r="N125" s="12" t="inlineStr">
        <is>
          <t>Invoices built (NEW-007, rule invoicing.enabled, off by default): /shop/finance lists them.</t>
        </is>
      </c>
      <c r="O125" s="12" t="inlineStr">
        <is>
          <t>-</t>
        </is>
      </c>
      <c r="P125" s="12" t="inlineStr">
        <is>
          <t>COMPLETED</t>
        </is>
      </c>
      <c r="Q125" s="12" t="inlineStr">
        <is>
          <t>No change</t>
        </is>
      </c>
      <c r="R125" s="12" t="inlineStr">
        <is>
          <t>src/app/shop/finance/page.tsx</t>
        </is>
      </c>
    </row>
    <row r="126" ht="27" customFormat="1" customHeight="1" s="2">
      <c r="A126" s="10" t="n">
        <v>125</v>
      </c>
      <c r="B126" s="12" t="inlineStr">
        <is>
          <t>Navigation</t>
        </is>
      </c>
      <c r="C126" s="9" t="inlineStr">
        <is>
          <t>NAV-011</t>
        </is>
      </c>
      <c r="D126" s="12" t="inlineStr">
        <is>
          <t>Gig</t>
        </is>
      </c>
      <c r="E126" s="12" t="inlineStr">
        <is>
          <t>Gig portal - Jobs</t>
        </is>
      </c>
      <c r="F126" s="12" t="inlineStr">
        <is>
          <t>/delivery-partner and /gig/orders: available offers, assigned and active jobs, history; ordered trip list when batching is on.</t>
        </is>
      </c>
      <c r="G126" s="12" t="inlineStr">
        <is>
          <t>F4.1.1</t>
        </is>
      </c>
      <c r="H126" s="12" t="inlineStr">
        <is>
          <t>-</t>
        </is>
      </c>
      <c r="I126" s="10" t="inlineStr">
        <is>
          <t>COMPLETED</t>
        </is>
      </c>
      <c r="J126" s="12" t="inlineStr">
        <is>
          <t>Production (gokesari.com)</t>
        </is>
      </c>
      <c r="K126" s="12" t="inlineStr">
        <is>
          <t>Live</t>
        </is>
      </c>
      <c r="L126" s="12" t="inlineStr">
        <is>
          <t>Baseline; #21; #58 (trip list)</t>
        </is>
      </c>
      <c r="M126" s="12" t="inlineStr">
        <is>
          <t>Baseline; #19; #65</t>
        </is>
      </c>
      <c r="N126" s="12" t="inlineStr">
        <is>
          <t>-</t>
        </is>
      </c>
      <c r="O126" s="12" t="inlineStr">
        <is>
          <t>-</t>
        </is>
      </c>
      <c r="P126" s="12" t="inlineStr">
        <is>
          <t>COMPLETED</t>
        </is>
      </c>
      <c r="Q126" s="12" t="inlineStr">
        <is>
          <t>No change</t>
        </is>
      </c>
      <c r="R126" s="12" t="inlineStr">
        <is>
          <t>-</t>
        </is>
      </c>
    </row>
    <row r="127" ht="27" customFormat="1" customHeight="1" s="2">
      <c r="A127" s="10" t="n">
        <v>126</v>
      </c>
      <c r="B127" s="12" t="inlineStr">
        <is>
          <t>Navigation</t>
        </is>
      </c>
      <c r="C127" s="9" t="inlineStr">
        <is>
          <t>NAV-012</t>
        </is>
      </c>
      <c r="D127" s="12" t="inlineStr">
        <is>
          <t>Gig</t>
        </is>
      </c>
      <c r="E127" s="12" t="inlineStr">
        <is>
          <t>Gig portal - Earnings</t>
        </is>
      </c>
      <c r="F127" s="12" t="inlineStr">
        <is>
          <t>Rider earnings with status + payouts list, now with a per-earning breakdown</t>
        </is>
      </c>
      <c r="G127" s="12" t="inlineStr">
        <is>
          <t>-</t>
        </is>
      </c>
      <c r="H127" s="12" t="inlineStr">
        <is>
          <t>-</t>
        </is>
      </c>
      <c r="I127" s="10" t="inlineStr">
        <is>
          <t>COMPLETED</t>
        </is>
      </c>
      <c r="J127" s="12" t="inlineStr">
        <is>
          <t>Production (gokesari.com)</t>
        </is>
      </c>
      <c r="K127" s="12" t="inlineStr">
        <is>
          <t>Live</t>
        </is>
      </c>
      <c r="L127" s="12" t="inlineStr">
        <is>
          <t>Baseline; #21; #23 (Phase D)</t>
        </is>
      </c>
      <c r="M127" s="12" t="inlineStr">
        <is>
          <t>Baseline; #19; #23</t>
        </is>
      </c>
      <c r="N127" s="12" t="inlineStr">
        <is>
          <t>-</t>
        </is>
      </c>
      <c r="O127" s="12" t="inlineStr">
        <is>
          <t>-</t>
        </is>
      </c>
      <c r="P127" s="12" t="inlineStr">
        <is>
          <t>COMPLETED</t>
        </is>
      </c>
      <c r="Q127" s="12" t="inlineStr">
        <is>
          <t>No change</t>
        </is>
      </c>
      <c r="R127" s="12" t="inlineStr">
        <is>
          <t>src/app/gig/orders/page.tsx; src/app/api/delivery-partner/earnings/route.ts</t>
        </is>
      </c>
    </row>
    <row r="128" ht="39" customFormat="1" customHeight="1" s="2">
      <c r="A128" s="10" t="n">
        <v>127</v>
      </c>
      <c r="B128" s="12" t="inlineStr">
        <is>
          <t>Navigation</t>
        </is>
      </c>
      <c r="C128" s="9" t="inlineStr">
        <is>
          <t>NAV-013</t>
        </is>
      </c>
      <c r="D128" s="12" t="inlineStr">
        <is>
          <t>Gig</t>
        </is>
      </c>
      <c r="E128" s="12" t="inlineStr">
        <is>
          <t>Gig portal - Profile</t>
        </is>
      </c>
      <c r="F128" s="12" t="inlineStr">
        <is>
          <t>F2: rider edits own profile (vehicle, availability details) at /gig/profile; identity and bank changes go to an admin review queue, stored encrypted (/admin/rider-changes).</t>
        </is>
      </c>
      <c r="G128" s="12" t="inlineStr">
        <is>
          <t>-</t>
        </is>
      </c>
      <c r="H128" s="12" t="inlineStr">
        <is>
          <t>-</t>
        </is>
      </c>
      <c r="I128" s="10" t="inlineStr">
        <is>
          <t>COMPLETED</t>
        </is>
      </c>
      <c r="J128" s="12" t="inlineStr">
        <is>
          <t>Production (gokesari.com)</t>
        </is>
      </c>
      <c r="K128" s="12" t="inlineStr">
        <is>
          <t>Live</t>
        </is>
      </c>
      <c r="L128" s="12" t="inlineStr">
        <is>
          <t>#21 (read-only profile); #55 (F2 self-edit)</t>
        </is>
      </c>
      <c r="M128" s="12" t="inlineStr">
        <is>
          <t>#19; #57</t>
        </is>
      </c>
      <c r="N128" s="12" t="inlineStr">
        <is>
          <t>-</t>
        </is>
      </c>
      <c r="O128" s="12" t="inlineStr">
        <is>
          <t>-</t>
        </is>
      </c>
      <c r="P128" s="12" t="inlineStr">
        <is>
          <t>COMPLETED</t>
        </is>
      </c>
      <c r="Q128" s="12" t="inlineStr">
        <is>
          <t>No change</t>
        </is>
      </c>
      <c r="R128" s="12" t="inlineStr">
        <is>
          <t>src/server/services/rider-profile.ts; drizzle/0043_rider_change_requests.sql; tests/integration/rider-profile.test.ts</t>
        </is>
      </c>
    </row>
    <row r="129" ht="15" customFormat="1" customHeight="1" s="2">
      <c r="A129" s="10" t="n">
        <v>128</v>
      </c>
      <c r="B129" s="12" t="inlineStr">
        <is>
          <t>Navigation</t>
        </is>
      </c>
      <c r="C129" s="9" t="inlineStr">
        <is>
          <t>NAV-014</t>
        </is>
      </c>
      <c r="D129" s="12" t="inlineStr">
        <is>
          <t>Society</t>
        </is>
      </c>
      <c r="E129" s="12" t="inlineStr">
        <is>
          <t>Society portal - Dashboard</t>
        </is>
      </c>
      <c r="F129" s="12" t="inlineStr">
        <is>
          <t>/society/{id} dashboard (rules, residents, riders, shops, deliveries)</t>
        </is>
      </c>
      <c r="G129" s="12" t="inlineStr">
        <is>
          <t>-</t>
        </is>
      </c>
      <c r="H129" s="12" t="inlineStr">
        <is>
          <t>-</t>
        </is>
      </c>
      <c r="I129" s="10" t="inlineStr">
        <is>
          <t>COMPLETED</t>
        </is>
      </c>
      <c r="J129" s="12" t="inlineStr">
        <is>
          <t>Production (gokesari.com)</t>
        </is>
      </c>
      <c r="K129" s="12" t="inlineStr">
        <is>
          <t>Live</t>
        </is>
      </c>
      <c r="L129" s="12" t="inlineStr">
        <is>
          <t>#11</t>
        </is>
      </c>
      <c r="M129" s="12" t="inlineStr">
        <is>
          <t>#19</t>
        </is>
      </c>
      <c r="N129" s="12" t="inlineStr">
        <is>
          <t>-</t>
        </is>
      </c>
      <c r="O129" s="12" t="inlineStr">
        <is>
          <t>-</t>
        </is>
      </c>
      <c r="P129" s="12" t="inlineStr">
        <is>
          <t>COMPLETED</t>
        </is>
      </c>
      <c r="Q129" s="12" t="inlineStr">
        <is>
          <t>No change</t>
        </is>
      </c>
      <c r="R129" s="12" t="inlineStr">
        <is>
          <t>src/app/society/[id]/page.tsx</t>
        </is>
      </c>
    </row>
    <row r="130" ht="27" customFormat="1" customHeight="1" s="2">
      <c r="A130" s="10" t="n">
        <v>129</v>
      </c>
      <c r="B130" s="12" t="inlineStr">
        <is>
          <t>Navigation</t>
        </is>
      </c>
      <c r="C130" s="9" t="inlineStr">
        <is>
          <t>NAV-015</t>
        </is>
      </c>
      <c r="D130" s="12" t="inlineStr">
        <is>
          <t>Operator</t>
        </is>
      </c>
      <c r="E130" s="12" t="inlineStr">
        <is>
          <t>Operator portal - Operations</t>
        </is>
      </c>
      <c r="F130" s="12" t="inlineStr">
        <is>
          <t>/admin/finance/exceptions and the non-finance /admin/exceptions queue with per-row actions</t>
        </is>
      </c>
      <c r="G130" s="12" t="inlineStr">
        <is>
          <t>F12.1.2</t>
        </is>
      </c>
      <c r="H130" s="12" t="inlineStr">
        <is>
          <t>-</t>
        </is>
      </c>
      <c r="I130" s="10" t="inlineStr">
        <is>
          <t>COMPLETED</t>
        </is>
      </c>
      <c r="J130" s="12" t="inlineStr">
        <is>
          <t>Production (gokesari.com)</t>
        </is>
      </c>
      <c r="K130" s="12" t="inlineStr">
        <is>
          <t>Live</t>
        </is>
      </c>
      <c r="L130" s="12" t="inlineStr">
        <is>
          <t>#21; #74 (menu link)</t>
        </is>
      </c>
      <c r="M130" s="12" t="inlineStr">
        <is>
          <t>#19; #73</t>
        </is>
      </c>
      <c r="N130" s="12" t="inlineStr">
        <is>
          <t>-</t>
        </is>
      </c>
      <c r="O130" s="12" t="inlineStr">
        <is>
          <t>-</t>
        </is>
      </c>
      <c r="P130" s="12" t="inlineStr">
        <is>
          <t>COMPLETED</t>
        </is>
      </c>
      <c r="Q130" s="12" t="inlineStr">
        <is>
          <t>No change</t>
        </is>
      </c>
      <c r="R130" s="12" t="inlineStr">
        <is>
          <t>src/app/admin/exceptions/page.tsx; src/components/ops-exception-actions.tsx</t>
        </is>
      </c>
    </row>
    <row r="131" ht="27" customFormat="1" customHeight="1" s="2">
      <c r="A131" s="10" t="n">
        <v>130</v>
      </c>
      <c r="B131" s="12" t="inlineStr">
        <is>
          <t>Navigation</t>
        </is>
      </c>
      <c r="C131" s="9" t="inlineStr">
        <is>
          <t>NAV-016</t>
        </is>
      </c>
      <c r="D131" s="12" t="inlineStr">
        <is>
          <t>Operator</t>
        </is>
      </c>
      <c r="E131" s="12" t="inlineStr">
        <is>
          <t>Operator portal - Orders</t>
        </is>
      </c>
      <c r="F131" s="12" t="inlineStr">
        <is>
          <t>/admin/orders order-monitoring screen with status, shop and date-range filters, gated on ORDER_VIEW_ANY</t>
        </is>
      </c>
      <c r="G131" s="12" t="inlineStr">
        <is>
          <t>F12.1.2</t>
        </is>
      </c>
      <c r="H131" s="12" t="inlineStr">
        <is>
          <t>-</t>
        </is>
      </c>
      <c r="I131" s="10" t="inlineStr">
        <is>
          <t>COMPLETED</t>
        </is>
      </c>
      <c r="J131" s="12" t="inlineStr">
        <is>
          <t>Production (gokesari.com)</t>
        </is>
      </c>
      <c r="K131" s="12" t="inlineStr">
        <is>
          <t>Live</t>
        </is>
      </c>
      <c r="L131" s="12" t="inlineStr">
        <is>
          <t>#21; #29 (Track toggle); #74 (menu link)</t>
        </is>
      </c>
      <c r="M131" s="12" t="inlineStr">
        <is>
          <t>#19; #29; #73</t>
        </is>
      </c>
      <c r="N131" s="12" t="inlineStr">
        <is>
          <t>-</t>
        </is>
      </c>
      <c r="O131" s="12" t="inlineStr">
        <is>
          <t>-</t>
        </is>
      </c>
      <c r="P131" s="12" t="inlineStr">
        <is>
          <t>COMPLETED</t>
        </is>
      </c>
      <c r="Q131" s="12" t="inlineStr">
        <is>
          <t>No change</t>
        </is>
      </c>
      <c r="R131" s="12" t="inlineStr">
        <is>
          <t>src/app/admin/orders/page.tsx; src/components/order-monitoring-table.tsx</t>
        </is>
      </c>
    </row>
    <row r="132" ht="39" customFormat="1" customHeight="1" s="2">
      <c r="A132" s="10" t="n">
        <v>131</v>
      </c>
      <c r="B132" s="12" t="inlineStr">
        <is>
          <t>Navigation</t>
        </is>
      </c>
      <c r="C132" s="9" t="inlineStr">
        <is>
          <t>NAV-017</t>
        </is>
      </c>
      <c r="D132" s="12" t="inlineStr">
        <is>
          <t>Admin</t>
        </is>
      </c>
      <c r="E132" s="12" t="inlineStr">
        <is>
          <t>Admin portal - Control Tower</t>
        </is>
      </c>
      <c r="F132" s="12" t="inlineStr">
        <is>
          <t>/admin/dashboard: live operations, in-flight orders, KPIs, risk flags, shop approvals, with links into orders, finance and exceptions</t>
        </is>
      </c>
      <c r="G132" s="12" t="inlineStr">
        <is>
          <t>-</t>
        </is>
      </c>
      <c r="H132" s="12" t="inlineStr">
        <is>
          <t>-</t>
        </is>
      </c>
      <c r="I132" s="10" t="inlineStr">
        <is>
          <t>COMPLETED</t>
        </is>
      </c>
      <c r="J132" s="12" t="inlineStr">
        <is>
          <t>Production (gokesari.com)</t>
        </is>
      </c>
      <c r="K132" s="12" t="inlineStr">
        <is>
          <t>Live</t>
        </is>
      </c>
      <c r="L132" s="12" t="inlineStr">
        <is>
          <t>#21; #23 (Phase J); #74 (menu link); #122 (console split); #124 (section tabs)</t>
        </is>
      </c>
      <c r="M132" s="12" t="inlineStr">
        <is>
          <t>#19; #23; #73; #123; #126</t>
        </is>
      </c>
      <c r="N132" s="12" t="inlineStr">
        <is>
          <t>-</t>
        </is>
      </c>
      <c r="O132" s="12" t="inlineStr">
        <is>
          <t>-</t>
        </is>
      </c>
      <c r="P132" s="12" t="inlineStr">
        <is>
          <t>COMPLETED</t>
        </is>
      </c>
      <c r="Q132" s="12" t="inlineStr">
        <is>
          <t>No change</t>
        </is>
      </c>
      <c r="R132" s="12" t="inlineStr">
        <is>
          <t>src/app/admin/dashboard/page.tsx; src/app/admin/console/[section]; src/app/admin/menu/[key]</t>
        </is>
      </c>
    </row>
    <row r="133" ht="39" customFormat="1" customHeight="1" s="2">
      <c r="A133" s="10" t="n">
        <v>132</v>
      </c>
      <c r="B133" s="12" t="inlineStr">
        <is>
          <t>Navigation</t>
        </is>
      </c>
      <c r="C133" s="9" t="inlineStr">
        <is>
          <t>NAV-018</t>
        </is>
      </c>
      <c r="D133" s="12" t="inlineStr">
        <is>
          <t>Admin</t>
        </is>
      </c>
      <c r="E133" s="12" t="inlineStr">
        <is>
          <t>Admin portal - Analytics</t>
        </is>
      </c>
      <c r="F133" s="12" t="inlineStr">
        <is>
          <t>/admin/analytics and /shop/analytics</t>
        </is>
      </c>
      <c r="G133" s="12" t="inlineStr">
        <is>
          <t>-</t>
        </is>
      </c>
      <c r="H133" s="12" t="inlineStr">
        <is>
          <t>-</t>
        </is>
      </c>
      <c r="I133" s="10" t="inlineStr">
        <is>
          <t>COMPLETED</t>
        </is>
      </c>
      <c r="J133" s="12" t="inlineStr">
        <is>
          <t>Production (gokesari.com)</t>
        </is>
      </c>
      <c r="K133" s="12" t="inlineStr">
        <is>
          <t>Live</t>
        </is>
      </c>
      <c r="L133" s="12" t="inlineStr">
        <is>
          <t>#18</t>
        </is>
      </c>
      <c r="M133" s="12" t="inlineStr">
        <is>
          <t>#19</t>
        </is>
      </c>
      <c r="N133" s="12" t="inlineStr">
        <is>
          <t>-</t>
        </is>
      </c>
      <c r="O133" s="12" t="inlineStr">
        <is>
          <t>-</t>
        </is>
      </c>
      <c r="P133" s="12" t="inlineStr">
        <is>
          <t>COMPLETED</t>
        </is>
      </c>
      <c r="Q133" s="12" t="inlineStr">
        <is>
          <t>No change</t>
        </is>
      </c>
      <c r="R133" s="12" t="inlineStr">
        <is>
          <t>src/server/services/analytics.ts; src/app/admin/analytics/page.tsx; src/app/api/analytics/kpis/route.ts</t>
        </is>
      </c>
    </row>
    <row r="134" ht="51" customFormat="1" customHeight="1" s="2">
      <c r="A134" s="10" t="n">
        <v>133</v>
      </c>
      <c r="B134" s="12" t="inlineStr">
        <is>
          <t>Navigation</t>
        </is>
      </c>
      <c r="C134" s="9" t="inlineStr">
        <is>
          <t>NAV-019</t>
        </is>
      </c>
      <c r="D134" s="12" t="inlineStr">
        <is>
          <t>Admin</t>
        </is>
      </c>
      <c r="E134" s="12" t="inlineStr">
        <is>
          <t>Admin portal - Security</t>
        </is>
      </c>
      <c r="F134" s="12" t="inlineStr">
        <is>
          <t>Fraud side: /admin/risk over 11 risk rules. NEW consent side: /admin/consents behind CONSENT_VIEW (operator + admin) - per-type consent standing vs live policy version, recent grant/withdrawal trail, per-person audited lookup; stored IP never returned</t>
        </is>
      </c>
      <c r="G134" s="12" t="inlineStr">
        <is>
          <t>F12.2.4</t>
        </is>
      </c>
      <c r="H134" s="12" t="inlineStr">
        <is>
          <t>-</t>
        </is>
      </c>
      <c r="I134" s="10" t="inlineStr">
        <is>
          <t>COMPLETED</t>
        </is>
      </c>
      <c r="J134" s="12" t="inlineStr">
        <is>
          <t>Production (gokesari.com)</t>
        </is>
      </c>
      <c r="K134" s="12" t="inlineStr">
        <is>
          <t>Live</t>
        </is>
      </c>
      <c r="L134" s="12" t="inlineStr">
        <is>
          <t>#18 (/admin/risk); #34 (/admin/consents)</t>
        </is>
      </c>
      <c r="M134" s="12" t="inlineStr">
        <is>
          <t>#19; #34</t>
        </is>
      </c>
      <c r="N134" s="12" t="inlineStr">
        <is>
          <t>-</t>
        </is>
      </c>
      <c r="O134" s="12" t="inlineStr">
        <is>
          <t>-</t>
        </is>
      </c>
      <c r="P134" s="12" t="inlineStr">
        <is>
          <t>COMPLETED</t>
        </is>
      </c>
      <c r="Q134" s="12" t="inlineStr">
        <is>
          <t>No change</t>
        </is>
      </c>
      <c r="R134" s="12" t="inlineStr">
        <is>
          <t>src/app/admin/consents/page.tsx; src/server/authz/permissions.ts (CONSENT_VIEW); tests/integration/consents.test.ts</t>
        </is>
      </c>
    </row>
    <row r="135" ht="39" customFormat="1" customHeight="1" s="2">
      <c r="A135" s="10" t="n">
        <v>134</v>
      </c>
      <c r="B135" s="12" t="inlineStr">
        <is>
          <t>KPIs</t>
        </is>
      </c>
      <c r="C135" s="9" t="inlineStr">
        <is>
          <t>KPI-001</t>
        </is>
      </c>
      <c r="D135" s="12" t="inlineStr">
        <is>
          <t>Analytics</t>
        </is>
      </c>
      <c r="E135" s="12" t="inlineStr">
        <is>
          <t>GMV</t>
        </is>
      </c>
      <c r="F135" s="12" t="inlineStr">
        <is>
          <t>GMV plus a daily GMV trend</t>
        </is>
      </c>
      <c r="G135" s="12" t="inlineStr">
        <is>
          <t>-</t>
        </is>
      </c>
      <c r="H135" s="12" t="inlineStr">
        <is>
          <t>-</t>
        </is>
      </c>
      <c r="I135" s="10" t="inlineStr">
        <is>
          <t>COMPLETED</t>
        </is>
      </c>
      <c r="J135" s="12" t="inlineStr">
        <is>
          <t>Production (gokesari.com)</t>
        </is>
      </c>
      <c r="K135" s="12" t="inlineStr">
        <is>
          <t>Live</t>
        </is>
      </c>
      <c r="L135" s="12" t="inlineStr">
        <is>
          <t>#18</t>
        </is>
      </c>
      <c r="M135" s="12" t="inlineStr">
        <is>
          <t>#19</t>
        </is>
      </c>
      <c r="N135" s="12" t="inlineStr">
        <is>
          <t>-</t>
        </is>
      </c>
      <c r="O135" s="12" t="inlineStr">
        <is>
          <t>-</t>
        </is>
      </c>
      <c r="P135" s="12" t="inlineStr">
        <is>
          <t>COMPLETED</t>
        </is>
      </c>
      <c r="Q135" s="12" t="inlineStr">
        <is>
          <t>No change</t>
        </is>
      </c>
      <c r="R135" s="12" t="inlineStr">
        <is>
          <t>src/server/services/analytics.ts; src/app/admin/analytics/page.tsx; src/app/api/analytics/kpis/route.ts</t>
        </is>
      </c>
    </row>
    <row r="136" ht="39" customFormat="1" customHeight="1" s="2">
      <c r="A136" s="10" t="n">
        <v>135</v>
      </c>
      <c r="B136" s="12" t="inlineStr">
        <is>
          <t>KPIs</t>
        </is>
      </c>
      <c r="C136" s="9" t="inlineStr">
        <is>
          <t>KPI-002</t>
        </is>
      </c>
      <c r="D136" s="12" t="inlineStr">
        <is>
          <t>Analytics</t>
        </is>
      </c>
      <c r="E136" s="12" t="inlineStr">
        <is>
          <t>Order fill rate</t>
        </is>
      </c>
      <c r="F136" s="12" t="inlineStr">
        <is>
          <t>delivered / placed in window</t>
        </is>
      </c>
      <c r="G136" s="12" t="inlineStr">
        <is>
          <t>-</t>
        </is>
      </c>
      <c r="H136" s="12" t="inlineStr">
        <is>
          <t>-</t>
        </is>
      </c>
      <c r="I136" s="10" t="inlineStr">
        <is>
          <t>COMPLETED</t>
        </is>
      </c>
      <c r="J136" s="12" t="inlineStr">
        <is>
          <t>Production (gokesari.com)</t>
        </is>
      </c>
      <c r="K136" s="12" t="inlineStr">
        <is>
          <t>Live</t>
        </is>
      </c>
      <c r="L136" s="12" t="inlineStr">
        <is>
          <t>#18</t>
        </is>
      </c>
      <c r="M136" s="12" t="inlineStr">
        <is>
          <t>#19</t>
        </is>
      </c>
      <c r="N136" s="12" t="inlineStr">
        <is>
          <t>-</t>
        </is>
      </c>
      <c r="O136" s="12" t="inlineStr">
        <is>
          <t>-</t>
        </is>
      </c>
      <c r="P136" s="12" t="inlineStr">
        <is>
          <t>COMPLETED</t>
        </is>
      </c>
      <c r="Q136" s="12" t="inlineStr">
        <is>
          <t>No change</t>
        </is>
      </c>
      <c r="R136" s="12" t="inlineStr">
        <is>
          <t>src/server/services/analytics.ts; src/app/admin/analytics/page.tsx; src/app/api/analytics/kpis/route.ts</t>
        </is>
      </c>
    </row>
    <row r="137" ht="39" customFormat="1" customHeight="1" s="2">
      <c r="A137" s="10" t="n">
        <v>136</v>
      </c>
      <c r="B137" s="12" t="inlineStr">
        <is>
          <t>KPIs</t>
        </is>
      </c>
      <c r="C137" s="9" t="inlineStr">
        <is>
          <t>KPI-003</t>
        </is>
      </c>
      <c r="D137" s="12" t="inlineStr">
        <is>
          <t>Analytics</t>
        </is>
      </c>
      <c r="E137" s="12" t="inlineStr">
        <is>
          <t>Shop acceptance time</t>
        </is>
      </c>
      <c r="F137" s="12" t="inlineStr">
        <is>
          <t>duration from placed to accepted</t>
        </is>
      </c>
      <c r="G137" s="12" t="inlineStr">
        <is>
          <t>-</t>
        </is>
      </c>
      <c r="H137" s="12" t="inlineStr">
        <is>
          <t>-</t>
        </is>
      </c>
      <c r="I137" s="10" t="inlineStr">
        <is>
          <t>COMPLETED</t>
        </is>
      </c>
      <c r="J137" s="12" t="inlineStr">
        <is>
          <t>Production (gokesari.com)</t>
        </is>
      </c>
      <c r="K137" s="12" t="inlineStr">
        <is>
          <t>Live</t>
        </is>
      </c>
      <c r="L137" s="12" t="inlineStr">
        <is>
          <t>#18</t>
        </is>
      </c>
      <c r="M137" s="12" t="inlineStr">
        <is>
          <t>#19</t>
        </is>
      </c>
      <c r="N137" s="12" t="inlineStr">
        <is>
          <t>-</t>
        </is>
      </c>
      <c r="O137" s="12" t="inlineStr">
        <is>
          <t>-</t>
        </is>
      </c>
      <c r="P137" s="12" t="inlineStr">
        <is>
          <t>COMPLETED</t>
        </is>
      </c>
      <c r="Q137" s="12" t="inlineStr">
        <is>
          <t>No change</t>
        </is>
      </c>
      <c r="R137" s="12" t="inlineStr">
        <is>
          <t>src/server/services/analytics.ts; src/app/admin/analytics/page.tsx; src/app/api/analytics/kpis/route.ts</t>
        </is>
      </c>
    </row>
    <row r="138" ht="39" customFormat="1" customHeight="1" s="2">
      <c r="A138" s="10" t="n">
        <v>137</v>
      </c>
      <c r="B138" s="12" t="inlineStr">
        <is>
          <t>KPIs</t>
        </is>
      </c>
      <c r="C138" s="9" t="inlineStr">
        <is>
          <t>KPI-004</t>
        </is>
      </c>
      <c r="D138" s="12" t="inlineStr">
        <is>
          <t>Analytics</t>
        </is>
      </c>
      <c r="E138" s="12" t="inlineStr">
        <is>
          <t>Pick-pack time</t>
        </is>
      </c>
      <c r="F138" s="12" t="inlineStr">
        <is>
          <t>duration from accepted to READY</t>
        </is>
      </c>
      <c r="G138" s="12" t="inlineStr">
        <is>
          <t>-</t>
        </is>
      </c>
      <c r="H138" s="12" t="inlineStr">
        <is>
          <t>-</t>
        </is>
      </c>
      <c r="I138" s="10" t="inlineStr">
        <is>
          <t>COMPLETED</t>
        </is>
      </c>
      <c r="J138" s="12" t="inlineStr">
        <is>
          <t>Production (gokesari.com)</t>
        </is>
      </c>
      <c r="K138" s="12" t="inlineStr">
        <is>
          <t>Live</t>
        </is>
      </c>
      <c r="L138" s="12" t="inlineStr">
        <is>
          <t>#18</t>
        </is>
      </c>
      <c r="M138" s="12" t="inlineStr">
        <is>
          <t>#19</t>
        </is>
      </c>
      <c r="N138" s="12" t="inlineStr">
        <is>
          <t>-</t>
        </is>
      </c>
      <c r="O138" s="12" t="inlineStr">
        <is>
          <t>-</t>
        </is>
      </c>
      <c r="P138" s="12" t="inlineStr">
        <is>
          <t>COMPLETED</t>
        </is>
      </c>
      <c r="Q138" s="12" t="inlineStr">
        <is>
          <t>No change</t>
        </is>
      </c>
      <c r="R138" s="12" t="inlineStr">
        <is>
          <t>src/server/services/analytics.ts; src/app/admin/analytics/page.tsx; src/app/api/analytics/kpis/route.ts</t>
        </is>
      </c>
    </row>
    <row r="139" ht="39" customFormat="1" customHeight="1" s="2">
      <c r="A139" s="10" t="n">
        <v>138</v>
      </c>
      <c r="B139" s="12" t="inlineStr">
        <is>
          <t>KPIs</t>
        </is>
      </c>
      <c r="C139" s="9" t="inlineStr">
        <is>
          <t>KPI-005</t>
        </is>
      </c>
      <c r="D139" s="12" t="inlineStr">
        <is>
          <t>Analytics</t>
        </is>
      </c>
      <c r="E139" s="12" t="inlineStr">
        <is>
          <t>Assignment time</t>
        </is>
      </c>
      <c r="F139" s="12" t="inlineStr">
        <is>
          <t>duration from READY to rider accepted</t>
        </is>
      </c>
      <c r="G139" s="12" t="inlineStr">
        <is>
          <t>-</t>
        </is>
      </c>
      <c r="H139" s="12" t="inlineStr">
        <is>
          <t>-</t>
        </is>
      </c>
      <c r="I139" s="10" t="inlineStr">
        <is>
          <t>COMPLETED</t>
        </is>
      </c>
      <c r="J139" s="12" t="inlineStr">
        <is>
          <t>Production (gokesari.com)</t>
        </is>
      </c>
      <c r="K139" s="12" t="inlineStr">
        <is>
          <t>Live</t>
        </is>
      </c>
      <c r="L139" s="12" t="inlineStr">
        <is>
          <t>#18</t>
        </is>
      </c>
      <c r="M139" s="12" t="inlineStr">
        <is>
          <t>#19</t>
        </is>
      </c>
      <c r="N139" s="12" t="inlineStr">
        <is>
          <t>-</t>
        </is>
      </c>
      <c r="O139" s="12" t="inlineStr">
        <is>
          <t>-</t>
        </is>
      </c>
      <c r="P139" s="12" t="inlineStr">
        <is>
          <t>COMPLETED</t>
        </is>
      </c>
      <c r="Q139" s="12" t="inlineStr">
        <is>
          <t>No change</t>
        </is>
      </c>
      <c r="R139" s="12" t="inlineStr">
        <is>
          <t>src/server/services/analytics.ts; src/app/admin/analytics/page.tsx; src/app/api/analytics/kpis/route.ts</t>
        </is>
      </c>
    </row>
    <row r="140" ht="39" customFormat="1" customHeight="1" s="2">
      <c r="A140" s="10" t="n">
        <v>139</v>
      </c>
      <c r="B140" s="12" t="inlineStr">
        <is>
          <t>KPIs</t>
        </is>
      </c>
      <c r="C140" s="9" t="inlineStr">
        <is>
          <t>KPI-006</t>
        </is>
      </c>
      <c r="D140" s="12" t="inlineStr">
        <is>
          <t>Analytics</t>
        </is>
      </c>
      <c r="E140" s="12" t="inlineStr">
        <is>
          <t>Delivery time</t>
        </is>
      </c>
      <c r="F140" s="12" t="inlineStr">
        <is>
          <t>duration from pickup to delivered</t>
        </is>
      </c>
      <c r="G140" s="12" t="inlineStr">
        <is>
          <t>-</t>
        </is>
      </c>
      <c r="H140" s="12" t="inlineStr">
        <is>
          <t>-</t>
        </is>
      </c>
      <c r="I140" s="10" t="inlineStr">
        <is>
          <t>COMPLETED</t>
        </is>
      </c>
      <c r="J140" s="12" t="inlineStr">
        <is>
          <t>Production (gokesari.com)</t>
        </is>
      </c>
      <c r="K140" s="12" t="inlineStr">
        <is>
          <t>Live</t>
        </is>
      </c>
      <c r="L140" s="12" t="inlineStr">
        <is>
          <t>#18</t>
        </is>
      </c>
      <c r="M140" s="12" t="inlineStr">
        <is>
          <t>#19</t>
        </is>
      </c>
      <c r="N140" s="12" t="inlineStr">
        <is>
          <t>-</t>
        </is>
      </c>
      <c r="O140" s="12" t="inlineStr">
        <is>
          <t>-</t>
        </is>
      </c>
      <c r="P140" s="12" t="inlineStr">
        <is>
          <t>COMPLETED</t>
        </is>
      </c>
      <c r="Q140" s="12" t="inlineStr">
        <is>
          <t>No change</t>
        </is>
      </c>
      <c r="R140" s="12" t="inlineStr">
        <is>
          <t>src/server/services/analytics.ts; src/app/admin/analytics/page.tsx; src/app/api/analytics/kpis/route.ts</t>
        </is>
      </c>
    </row>
    <row r="141" ht="39" customFormat="1" customHeight="1" s="2">
      <c r="A141" s="10" t="n">
        <v>140</v>
      </c>
      <c r="B141" s="12" t="inlineStr">
        <is>
          <t>KPIs</t>
        </is>
      </c>
      <c r="C141" s="9" t="inlineStr">
        <is>
          <t>KPI-007</t>
        </is>
      </c>
      <c r="D141" s="12" t="inlineStr">
        <is>
          <t>Analytics</t>
        </is>
      </c>
      <c r="E141" s="12" t="inlineStr">
        <is>
          <t>On-time delivery rate</t>
        </is>
      </c>
      <c r="F141" s="12" t="inlineStr">
        <is>
          <t>delivered within the promised window</t>
        </is>
      </c>
      <c r="G141" s="12" t="inlineStr">
        <is>
          <t>-</t>
        </is>
      </c>
      <c r="H141" s="12" t="inlineStr">
        <is>
          <t>-</t>
        </is>
      </c>
      <c r="I141" s="10" t="inlineStr">
        <is>
          <t>COMPLETED</t>
        </is>
      </c>
      <c r="J141" s="12" t="inlineStr">
        <is>
          <t>Production (gokesari.com)</t>
        </is>
      </c>
      <c r="K141" s="12" t="inlineStr">
        <is>
          <t>Live</t>
        </is>
      </c>
      <c r="L141" s="12" t="inlineStr">
        <is>
          <t>#18</t>
        </is>
      </c>
      <c r="M141" s="12" t="inlineStr">
        <is>
          <t>#19</t>
        </is>
      </c>
      <c r="N141" s="12" t="inlineStr">
        <is>
          <t>-</t>
        </is>
      </c>
      <c r="O141" s="12" t="inlineStr">
        <is>
          <t>-</t>
        </is>
      </c>
      <c r="P141" s="12" t="inlineStr">
        <is>
          <t>COMPLETED</t>
        </is>
      </c>
      <c r="Q141" s="12" t="inlineStr">
        <is>
          <t>No change</t>
        </is>
      </c>
      <c r="R141" s="12" t="inlineStr">
        <is>
          <t>src/server/services/analytics.ts; src/app/admin/analytics/page.tsx; src/app/api/analytics/kpis/route.ts</t>
        </is>
      </c>
    </row>
    <row r="142" ht="39" customFormat="1" customHeight="1" s="2">
      <c r="A142" s="10" t="n">
        <v>141</v>
      </c>
      <c r="B142" s="12" t="inlineStr">
        <is>
          <t>KPIs</t>
        </is>
      </c>
      <c r="C142" s="9" t="inlineStr">
        <is>
          <t>KPI-008</t>
        </is>
      </c>
      <c r="D142" s="12" t="inlineStr">
        <is>
          <t>Analytics</t>
        </is>
      </c>
      <c r="E142" s="12" t="inlineStr">
        <is>
          <t>Cancellation rate</t>
        </is>
      </c>
      <c r="F142" s="12" t="inlineStr">
        <is>
          <t>Cancelled orders / orders placed, on /admin/analytics and /shop/analytics.</t>
        </is>
      </c>
      <c r="G142" s="12" t="inlineStr">
        <is>
          <t>-</t>
        </is>
      </c>
      <c r="H142" s="12" t="inlineStr">
        <is>
          <t>-</t>
        </is>
      </c>
      <c r="I142" s="10" t="inlineStr">
        <is>
          <t>COMPLETED</t>
        </is>
      </c>
      <c r="J142" s="12" t="inlineStr">
        <is>
          <t>Production (gokesari.com)</t>
        </is>
      </c>
      <c r="K142" s="12" t="inlineStr">
        <is>
          <t>Live</t>
        </is>
      </c>
      <c r="L142" s="12" t="inlineStr">
        <is>
          <t>#18</t>
        </is>
      </c>
      <c r="M142" s="12" t="inlineStr">
        <is>
          <t>#19</t>
        </is>
      </c>
      <c r="N142" s="12" t="inlineStr">
        <is>
          <t>-</t>
        </is>
      </c>
      <c r="O142" s="12" t="inlineStr">
        <is>
          <t>-</t>
        </is>
      </c>
      <c r="P142" s="12" t="inlineStr">
        <is>
          <t>COMPLETED</t>
        </is>
      </c>
      <c r="Q142" s="12" t="inlineStr">
        <is>
          <t>No change</t>
        </is>
      </c>
      <c r="R142" s="12" t="inlineStr">
        <is>
          <t>src/server/services/analytics.ts; src/app/admin/analytics/page.tsx; src/app/api/analytics/kpis/route.ts</t>
        </is>
      </c>
    </row>
    <row r="143" ht="39" customFormat="1" customHeight="1" s="2">
      <c r="A143" s="10" t="n">
        <v>142</v>
      </c>
      <c r="B143" s="12" t="inlineStr">
        <is>
          <t>KPIs</t>
        </is>
      </c>
      <c r="C143" s="9" t="inlineStr">
        <is>
          <t>KPI-009</t>
        </is>
      </c>
      <c r="D143" s="12" t="inlineStr">
        <is>
          <t>Analytics</t>
        </is>
      </c>
      <c r="E143" s="12" t="inlineStr">
        <is>
          <t>Refund rate</t>
        </is>
      </c>
      <c r="F143" s="12" t="inlineStr">
        <is>
          <t>refund rate by count and by value</t>
        </is>
      </c>
      <c r="G143" s="12" t="inlineStr">
        <is>
          <t>-</t>
        </is>
      </c>
      <c r="H143" s="12" t="inlineStr">
        <is>
          <t>-</t>
        </is>
      </c>
      <c r="I143" s="10" t="inlineStr">
        <is>
          <t>COMPLETED</t>
        </is>
      </c>
      <c r="J143" s="12" t="inlineStr">
        <is>
          <t>Production (gokesari.com)</t>
        </is>
      </c>
      <c r="K143" s="12" t="inlineStr">
        <is>
          <t>Live</t>
        </is>
      </c>
      <c r="L143" s="12" t="inlineStr">
        <is>
          <t>#18</t>
        </is>
      </c>
      <c r="M143" s="12" t="inlineStr">
        <is>
          <t>#19</t>
        </is>
      </c>
      <c r="N143" s="12" t="inlineStr">
        <is>
          <t>-</t>
        </is>
      </c>
      <c r="O143" s="12" t="inlineStr">
        <is>
          <t>-</t>
        </is>
      </c>
      <c r="P143" s="12" t="inlineStr">
        <is>
          <t>COMPLETED</t>
        </is>
      </c>
      <c r="Q143" s="12" t="inlineStr">
        <is>
          <t>No change</t>
        </is>
      </c>
      <c r="R143" s="12" t="inlineStr">
        <is>
          <t>src/server/services/analytics.ts; src/app/admin/analytics/page.tsx; src/app/api/analytics/kpis/route.ts</t>
        </is>
      </c>
    </row>
    <row r="144" ht="39" customFormat="1" customHeight="1" s="2">
      <c r="A144" s="10" t="n">
        <v>143</v>
      </c>
      <c r="B144" s="12" t="inlineStr">
        <is>
          <t>KPIs</t>
        </is>
      </c>
      <c r="C144" s="9" t="inlineStr">
        <is>
          <t>KPI-010</t>
        </is>
      </c>
      <c r="D144" s="12" t="inlineStr">
        <is>
          <t>Analytics</t>
        </is>
      </c>
      <c r="E144" s="12" t="inlineStr">
        <is>
          <t>Customer repeat rate</t>
        </is>
      </c>
      <c r="F144" s="12" t="inlineStr">
        <is>
          <t>ordering vs repeat vs returning customers</t>
        </is>
      </c>
      <c r="G144" s="12" t="inlineStr">
        <is>
          <t>-</t>
        </is>
      </c>
      <c r="H144" s="12" t="inlineStr">
        <is>
          <t>-</t>
        </is>
      </c>
      <c r="I144" s="10" t="inlineStr">
        <is>
          <t>COMPLETED</t>
        </is>
      </c>
      <c r="J144" s="12" t="inlineStr">
        <is>
          <t>Production (gokesari.com)</t>
        </is>
      </c>
      <c r="K144" s="12" t="inlineStr">
        <is>
          <t>Live</t>
        </is>
      </c>
      <c r="L144" s="12" t="inlineStr">
        <is>
          <t>#18</t>
        </is>
      </c>
      <c r="M144" s="12" t="inlineStr">
        <is>
          <t>#19</t>
        </is>
      </c>
      <c r="N144" s="12" t="inlineStr">
        <is>
          <t>-</t>
        </is>
      </c>
      <c r="O144" s="12" t="inlineStr">
        <is>
          <t>-</t>
        </is>
      </c>
      <c r="P144" s="12" t="inlineStr">
        <is>
          <t>COMPLETED</t>
        </is>
      </c>
      <c r="Q144" s="12" t="inlineStr">
        <is>
          <t>No change</t>
        </is>
      </c>
      <c r="R144" s="12" t="inlineStr">
        <is>
          <t>src/server/services/analytics.ts; src/app/admin/analytics/page.tsx; src/app/api/analytics/kpis/route.ts</t>
        </is>
      </c>
    </row>
    <row r="145" ht="39" customFormat="1" customHeight="1" s="2">
      <c r="A145" s="10" t="n">
        <v>144</v>
      </c>
      <c r="B145" s="12" t="inlineStr">
        <is>
          <t>KPIs</t>
        </is>
      </c>
      <c r="C145" s="9" t="inlineStr">
        <is>
          <t>KPI-011</t>
        </is>
      </c>
      <c r="D145" s="12" t="inlineStr">
        <is>
          <t>Analytics</t>
        </is>
      </c>
      <c r="E145" s="12" t="inlineStr">
        <is>
          <t>Subscription retention</t>
        </is>
      </c>
      <c r="F145" s="12" t="inlineStr">
        <is>
          <t>retained subscriptions period over period</t>
        </is>
      </c>
      <c r="G145" s="12" t="inlineStr">
        <is>
          <t>-</t>
        </is>
      </c>
      <c r="H145" s="12" t="inlineStr">
        <is>
          <t>-</t>
        </is>
      </c>
      <c r="I145" s="10" t="inlineStr">
        <is>
          <t>COMPLETED</t>
        </is>
      </c>
      <c r="J145" s="12" t="inlineStr">
        <is>
          <t>Production (gokesari.com)</t>
        </is>
      </c>
      <c r="K145" s="12" t="inlineStr">
        <is>
          <t>Live</t>
        </is>
      </c>
      <c r="L145" s="12" t="inlineStr">
        <is>
          <t>#18</t>
        </is>
      </c>
      <c r="M145" s="12" t="inlineStr">
        <is>
          <t>#19</t>
        </is>
      </c>
      <c r="N145" s="12" t="inlineStr">
        <is>
          <t>-</t>
        </is>
      </c>
      <c r="O145" s="12" t="inlineStr">
        <is>
          <t>-</t>
        </is>
      </c>
      <c r="P145" s="12" t="inlineStr">
        <is>
          <t>COMPLETED</t>
        </is>
      </c>
      <c r="Q145" s="12" t="inlineStr">
        <is>
          <t>No change</t>
        </is>
      </c>
      <c r="R145" s="12" t="inlineStr">
        <is>
          <t>src/server/services/analytics.ts; src/app/admin/analytics/page.tsx; src/app/api/analytics/kpis/route.ts</t>
        </is>
      </c>
    </row>
    <row r="146" ht="39" customFormat="1" customHeight="1" s="2">
      <c r="A146" s="10" t="n">
        <v>145</v>
      </c>
      <c r="B146" s="12" t="inlineStr">
        <is>
          <t>KPIs</t>
        </is>
      </c>
      <c r="C146" s="9" t="inlineStr">
        <is>
          <t>KPI-012</t>
        </is>
      </c>
      <c r="D146" s="12" t="inlineStr">
        <is>
          <t>Analytics</t>
        </is>
      </c>
      <c r="E146" s="12" t="inlineStr">
        <is>
          <t>Gig acceptance rate</t>
        </is>
      </c>
      <c r="F146" s="12" t="inlineStr">
        <is>
          <t>offers accepted / offers made</t>
        </is>
      </c>
      <c r="G146" s="12" t="inlineStr">
        <is>
          <t>-</t>
        </is>
      </c>
      <c r="H146" s="12" t="inlineStr">
        <is>
          <t>-</t>
        </is>
      </c>
      <c r="I146" s="10" t="inlineStr">
        <is>
          <t>COMPLETED</t>
        </is>
      </c>
      <c r="J146" s="12" t="inlineStr">
        <is>
          <t>Production (gokesari.com)</t>
        </is>
      </c>
      <c r="K146" s="12" t="inlineStr">
        <is>
          <t>Live</t>
        </is>
      </c>
      <c r="L146" s="12" t="inlineStr">
        <is>
          <t>#18</t>
        </is>
      </c>
      <c r="M146" s="12" t="inlineStr">
        <is>
          <t>#19</t>
        </is>
      </c>
      <c r="N146" s="12" t="inlineStr">
        <is>
          <t>-</t>
        </is>
      </c>
      <c r="O146" s="12" t="inlineStr">
        <is>
          <t>-</t>
        </is>
      </c>
      <c r="P146" s="12" t="inlineStr">
        <is>
          <t>COMPLETED</t>
        </is>
      </c>
      <c r="Q146" s="12" t="inlineStr">
        <is>
          <t>No change</t>
        </is>
      </c>
      <c r="R146" s="12" t="inlineStr">
        <is>
          <t>src/server/services/analytics.ts; src/app/admin/analytics/page.tsx; src/app/api/analytics/kpis/route.ts</t>
        </is>
      </c>
    </row>
    <row r="147" ht="39" customFormat="1" customHeight="1" s="2">
      <c r="A147" s="10" t="n">
        <v>146</v>
      </c>
      <c r="B147" s="12" t="inlineStr">
        <is>
          <t>KPIs</t>
        </is>
      </c>
      <c r="C147" s="9" t="inlineStr">
        <is>
          <t>KPI-013</t>
        </is>
      </c>
      <c r="D147" s="12" t="inlineStr">
        <is>
          <t>Analytics</t>
        </is>
      </c>
      <c r="E147" s="12" t="inlineStr">
        <is>
          <t>Gig utilization</t>
        </is>
      </c>
      <c r="F147" s="12" t="inlineStr">
        <is>
          <t>active delivery time against availability</t>
        </is>
      </c>
      <c r="G147" s="12" t="inlineStr">
        <is>
          <t>-</t>
        </is>
      </c>
      <c r="H147" s="12" t="inlineStr">
        <is>
          <t>-</t>
        </is>
      </c>
      <c r="I147" s="10" t="inlineStr">
        <is>
          <t>COMPLETED</t>
        </is>
      </c>
      <c r="J147" s="12" t="inlineStr">
        <is>
          <t>Production (gokesari.com)</t>
        </is>
      </c>
      <c r="K147" s="12" t="inlineStr">
        <is>
          <t>Live</t>
        </is>
      </c>
      <c r="L147" s="12" t="inlineStr">
        <is>
          <t>#18</t>
        </is>
      </c>
      <c r="M147" s="12" t="inlineStr">
        <is>
          <t>#19</t>
        </is>
      </c>
      <c r="N147" s="12" t="inlineStr">
        <is>
          <t>-</t>
        </is>
      </c>
      <c r="O147" s="12" t="inlineStr">
        <is>
          <t>-</t>
        </is>
      </c>
      <c r="P147" s="12" t="inlineStr">
        <is>
          <t>COMPLETED</t>
        </is>
      </c>
      <c r="Q147" s="12" t="inlineStr">
        <is>
          <t>No change</t>
        </is>
      </c>
      <c r="R147" s="12" t="inlineStr">
        <is>
          <t>src/server/services/analytics.ts; src/app/admin/analytics/page.tsx; src/app/api/analytics/kpis/route.ts</t>
        </is>
      </c>
    </row>
    <row r="148" ht="39" customFormat="1" customHeight="1" s="2">
      <c r="A148" s="10" t="n">
        <v>147</v>
      </c>
      <c r="B148" s="12" t="inlineStr">
        <is>
          <t>KPIs</t>
        </is>
      </c>
      <c r="C148" s="9" t="inlineStr">
        <is>
          <t>KPI-014</t>
        </is>
      </c>
      <c r="D148" s="12" t="inlineStr">
        <is>
          <t>Analytics</t>
        </is>
      </c>
      <c r="E148" s="12" t="inlineStr">
        <is>
          <t>Shop retention</t>
        </is>
      </c>
      <c r="F148" s="12" t="inlineStr">
        <is>
          <t>shops active last period still active</t>
        </is>
      </c>
      <c r="G148" s="12" t="inlineStr">
        <is>
          <t>-</t>
        </is>
      </c>
      <c r="H148" s="12" t="inlineStr">
        <is>
          <t>-</t>
        </is>
      </c>
      <c r="I148" s="10" t="inlineStr">
        <is>
          <t>COMPLETED</t>
        </is>
      </c>
      <c r="J148" s="12" t="inlineStr">
        <is>
          <t>Production (gokesari.com)</t>
        </is>
      </c>
      <c r="K148" s="12" t="inlineStr">
        <is>
          <t>Live</t>
        </is>
      </c>
      <c r="L148" s="12" t="inlineStr">
        <is>
          <t>#18</t>
        </is>
      </c>
      <c r="M148" s="12" t="inlineStr">
        <is>
          <t>#19</t>
        </is>
      </c>
      <c r="N148" s="12" t="inlineStr">
        <is>
          <t>-</t>
        </is>
      </c>
      <c r="O148" s="12" t="inlineStr">
        <is>
          <t>-</t>
        </is>
      </c>
      <c r="P148" s="12" t="inlineStr">
        <is>
          <t>COMPLETED</t>
        </is>
      </c>
      <c r="Q148" s="12" t="inlineStr">
        <is>
          <t>No change</t>
        </is>
      </c>
      <c r="R148" s="12" t="inlineStr">
        <is>
          <t>src/server/services/analytics.ts; src/app/admin/analytics/page.tsx; src/app/api/analytics/kpis/route.ts</t>
        </is>
      </c>
    </row>
    <row r="149" ht="15" customFormat="1" customHeight="1" s="2">
      <c r="A149" s="10" t="n">
        <v>148</v>
      </c>
      <c r="B149" s="12" t="inlineStr">
        <is>
          <t>KPIs</t>
        </is>
      </c>
      <c r="C149" s="9" t="inlineStr">
        <is>
          <t>KPI-015</t>
        </is>
      </c>
      <c r="D149" s="12" t="inlineStr">
        <is>
          <t>Analytics</t>
        </is>
      </c>
      <c r="E149" s="12" t="inlineStr">
        <is>
          <t>Marketing conversion</t>
        </is>
      </c>
      <c r="F149" s="12" t="inlineStr">
        <is>
          <t>Campaign conversion within the attribution window</t>
        </is>
      </c>
      <c r="G149" s="12" t="inlineStr">
        <is>
          <t>-</t>
        </is>
      </c>
      <c r="H149" s="12" t="inlineStr">
        <is>
          <t>-</t>
        </is>
      </c>
      <c r="I149" s="10" t="inlineStr">
        <is>
          <t>COMPLETED</t>
        </is>
      </c>
      <c r="J149" s="12" t="inlineStr">
        <is>
          <t>Production (gokesari.com)</t>
        </is>
      </c>
      <c r="K149" s="12" t="inlineStr">
        <is>
          <t>Live</t>
        </is>
      </c>
      <c r="L149" s="12" t="inlineStr">
        <is>
          <t>#18</t>
        </is>
      </c>
      <c r="M149" s="12" t="inlineStr">
        <is>
          <t>#19</t>
        </is>
      </c>
      <c r="N149" s="12" t="inlineStr">
        <is>
          <t>-</t>
        </is>
      </c>
      <c r="O149" s="12" t="inlineStr">
        <is>
          <t>-</t>
        </is>
      </c>
      <c r="P149" s="12" t="inlineStr">
        <is>
          <t>COMPLETED</t>
        </is>
      </c>
      <c r="Q149" s="12" t="inlineStr">
        <is>
          <t>No change</t>
        </is>
      </c>
      <c r="R149" s="12" t="inlineStr">
        <is>
          <t>src/server/services/analytics.ts</t>
        </is>
      </c>
    </row>
    <row r="150" ht="51" customFormat="1" customHeight="1" s="2">
      <c r="A150" s="10" t="n">
        <v>149</v>
      </c>
      <c r="B150" s="12" t="inlineStr">
        <is>
          <t>Added features (to 6 Oct)</t>
        </is>
      </c>
      <c r="C150" s="9" t="inlineStr">
        <is>
          <t>NEW-001</t>
        </is>
      </c>
      <c r="D150" s="12" t="inlineStr">
        <is>
          <t>Admin</t>
        </is>
      </c>
      <c r="E150" s="12" t="inlineStr">
        <is>
          <t>Business-rules console (admin-tunable thresholds)</t>
        </is>
      </c>
      <c r="F150" s="12" t="inlineStr">
        <is>
          <t>platform_settings + /admin/settings: nine rule groups (otp, dispatch, riderEarnings, returns, images, notifications, suspension, mrp, externalPrices) with code defaults, server-side validation and an audit trail. This is what makes 'configurable' true across the other features</t>
        </is>
      </c>
      <c r="G150" s="12" t="inlineStr">
        <is>
          <t>F12.2.2</t>
        </is>
      </c>
      <c r="H150" s="12" t="inlineStr">
        <is>
          <t>-</t>
        </is>
      </c>
      <c r="I150" s="10" t="inlineStr">
        <is>
          <t>COMPLETED</t>
        </is>
      </c>
      <c r="J150" s="12" t="inlineStr">
        <is>
          <t>Production (gokesari.com)</t>
        </is>
      </c>
      <c r="K150" s="12" t="inlineStr">
        <is>
          <t>Live</t>
        </is>
      </c>
      <c r="L150" s="12" t="inlineStr">
        <is>
          <t>#23 (Phase A rules, settings screen)</t>
        </is>
      </c>
      <c r="M150" s="12" t="inlineStr">
        <is>
          <t>#23</t>
        </is>
      </c>
      <c r="N150" s="12" t="inlineStr">
        <is>
          <t>Per-field forms instead of JSON editing</t>
        </is>
      </c>
      <c r="O150" s="12" t="inlineStr">
        <is>
          <t>-</t>
        </is>
      </c>
      <c r="P150" s="12" t="inlineStr">
        <is>
          <t>COMPLETED</t>
        </is>
      </c>
      <c r="Q150" s="12" t="inlineStr">
        <is>
          <t>No change</t>
        </is>
      </c>
      <c r="R150" s="12" t="inlineStr">
        <is>
          <t>src/server/config/rules.ts; src/server/services/settings.ts; src/app/admin/settings/page.tsx; drizzle/0025</t>
        </is>
      </c>
    </row>
    <row r="151" ht="75" customFormat="1" customHeight="1" s="2">
      <c r="A151" s="10" t="n">
        <v>150</v>
      </c>
      <c r="B151" s="12" t="inlineStr">
        <is>
          <t>Added features (to 6 Oct)</t>
        </is>
      </c>
      <c r="C151" s="9" t="inlineStr">
        <is>
          <t>NEW-002</t>
        </is>
      </c>
      <c r="D151" s="12" t="inlineStr">
        <is>
          <t>Shop Onboarding</t>
        </is>
      </c>
      <c r="E151" s="12" t="inlineStr">
        <is>
          <t>Shop suspension policy, impact preview &amp; review</t>
        </is>
      </c>
      <c r="F151" s="12" t="inlineStr">
        <is>
          <t>Configurable policy per open-order status (cancel &amp; refund / continue / hold for review); impact preview before suspending and an impact list with per-order decisions after; the owner is told reason, time, expected action and impact; new orders stop at once; held orders are neither advanced by the shop nor dispatched; reinstatement. Review queue at /admin/suspensions</t>
        </is>
      </c>
      <c r="G151" s="12" t="inlineStr">
        <is>
          <t>F8.4.1</t>
        </is>
      </c>
      <c r="H151" s="12" t="inlineStr">
        <is>
          <t>-</t>
        </is>
      </c>
      <c r="I151" s="10" t="inlineStr">
        <is>
          <t>COMPLETED</t>
        </is>
      </c>
      <c r="J151" s="12" t="inlineStr">
        <is>
          <t>Production (gokesari.com)</t>
        </is>
      </c>
      <c r="K151" s="12" t="inlineStr">
        <is>
          <t>Live</t>
        </is>
      </c>
      <c r="L151" s="12" t="inlineStr">
        <is>
          <t>#23 (Phase G)</t>
        </is>
      </c>
      <c r="M151" s="12" t="inlineStr">
        <is>
          <t>#23</t>
        </is>
      </c>
      <c r="N151" s="12" t="inlineStr">
        <is>
          <t>-</t>
        </is>
      </c>
      <c r="O151" s="12" t="inlineStr">
        <is>
          <t>-</t>
        </is>
      </c>
      <c r="P151" s="12" t="inlineStr">
        <is>
          <t>COMPLETED</t>
        </is>
      </c>
      <c r="Q151" s="12" t="inlineStr">
        <is>
          <t>No change</t>
        </is>
      </c>
      <c r="R151" s="12" t="inlineStr">
        <is>
          <t>src/server/services/shop-suspension.ts; src/server/services/shop-suspension-guard.ts; src/app/admin/suspensions/page.tsx; drizzle/0031</t>
        </is>
      </c>
    </row>
    <row r="152" ht="63" customFormat="1" customHeight="1" s="2">
      <c r="A152" s="10" t="n">
        <v>151</v>
      </c>
      <c r="B152" s="12" t="inlineStr">
        <is>
          <t>Added features (to 6 Oct)</t>
        </is>
      </c>
      <c r="C152" s="9" t="inlineStr">
        <is>
          <t>NEW-003</t>
        </is>
      </c>
      <c r="D152" s="12" t="inlineStr">
        <is>
          <t>Orders</t>
        </is>
      </c>
      <c r="E152" s="12" t="inlineStr">
        <is>
          <t>Order placed while the shop is closed</t>
        </is>
      </c>
      <c r="F152" s="12" t="inlineStr">
        <is>
          <t>A customer can choose to order from a closed shop after an explicit confirmation; the order is flagged placed_while_closed, the shop gets an alert at once and a second one when it opens, and the customer is told the shop is closed and told again when it opens. Opening hours are evaluated in IST</t>
        </is>
      </c>
      <c r="G152" s="12" t="inlineStr">
        <is>
          <t>F1.6.3</t>
        </is>
      </c>
      <c r="H152" s="12" t="inlineStr">
        <is>
          <t>-</t>
        </is>
      </c>
      <c r="I152" s="10" t="inlineStr">
        <is>
          <t>COMPLETED</t>
        </is>
      </c>
      <c r="J152" s="12" t="inlineStr">
        <is>
          <t>Production (gokesari.com)</t>
        </is>
      </c>
      <c r="K152" s="12" t="inlineStr">
        <is>
          <t>Live</t>
        </is>
      </c>
      <c r="L152" s="12" t="inlineStr">
        <is>
          <t>#24</t>
        </is>
      </c>
      <c r="M152" s="12" t="inlineStr">
        <is>
          <t>#24</t>
        </is>
      </c>
      <c r="N152" s="12" t="inlineStr">
        <is>
          <t>-</t>
        </is>
      </c>
      <c r="O152" s="12" t="inlineStr">
        <is>
          <t>-</t>
        </is>
      </c>
      <c r="P152" s="12" t="inlineStr">
        <is>
          <t>COMPLETED</t>
        </is>
      </c>
      <c r="Q152" s="12" t="inlineStr">
        <is>
          <t>No change</t>
        </is>
      </c>
      <c r="R152" s="12" t="inlineStr">
        <is>
          <t>src/server/db/schema.ts:1600,1653; src/server/services/shop-opening.ts; src/server/notifications/templates.ts</t>
        </is>
      </c>
    </row>
    <row r="153" ht="39" customFormat="1" customHeight="1" s="2">
      <c r="A153" s="10" t="n">
        <v>152</v>
      </c>
      <c r="B153" s="12" t="inlineStr">
        <is>
          <t>Added features (to 6 Oct)</t>
        </is>
      </c>
      <c r="C153" s="9" t="inlineStr">
        <is>
          <t>NEW-004</t>
        </is>
      </c>
      <c r="D153" s="12" t="inlineStr">
        <is>
          <t>Delivery</t>
        </is>
      </c>
      <c r="E153" s="12" t="inlineStr">
        <is>
          <t>Rider arrival checkpoints &amp; customer notices</t>
        </is>
      </c>
      <c r="F153" s="12" t="inlineStr">
        <is>
          <t>'Arrived at shop' and 'arrived at customer' checkpoints on the delivery, each with a notification; rider-side privacy (area only until pickup, never the customer's name, phone or handover codes)</t>
        </is>
      </c>
      <c r="G153" s="12" t="inlineStr">
        <is>
          <t>F4.1.2</t>
        </is>
      </c>
      <c r="H153" s="12" t="inlineStr">
        <is>
          <t>-</t>
        </is>
      </c>
      <c r="I153" s="10" t="inlineStr">
        <is>
          <t>COMPLETED</t>
        </is>
      </c>
      <c r="J153" s="12" t="inlineStr">
        <is>
          <t>Production (gokesari.com)</t>
        </is>
      </c>
      <c r="K153" s="12" t="inlineStr">
        <is>
          <t>Live</t>
        </is>
      </c>
      <c r="L153" s="12" t="inlineStr">
        <is>
          <t>#23 (Phase C)</t>
        </is>
      </c>
      <c r="M153" s="12" t="inlineStr">
        <is>
          <t>#23</t>
        </is>
      </c>
      <c r="N153" s="12" t="inlineStr">
        <is>
          <t>-</t>
        </is>
      </c>
      <c r="O153" s="12" t="inlineStr">
        <is>
          <t>-</t>
        </is>
      </c>
      <c r="P153" s="12" t="inlineStr">
        <is>
          <t>COMPLETED</t>
        </is>
      </c>
      <c r="Q153" s="12" t="inlineStr">
        <is>
          <t>No change</t>
        </is>
      </c>
      <c r="R153" s="12" t="inlineStr">
        <is>
          <t>drizzle/0027; src/server/services/delivery-assignment.ts:597-612; src/components/delivery-partner-dashboard.tsx</t>
        </is>
      </c>
    </row>
    <row r="154" ht="39" customFormat="1" customHeight="1" s="2">
      <c r="A154" s="10" t="n">
        <v>153</v>
      </c>
      <c r="B154" s="12" t="inlineStr">
        <is>
          <t>Added features (to 6 Oct)</t>
        </is>
      </c>
      <c r="C154" s="9" t="inlineStr">
        <is>
          <t>NEW-005</t>
        </is>
      </c>
      <c r="D154" s="12" t="inlineStr">
        <is>
          <t>Shop Onboarding</t>
        </is>
      </c>
      <c r="E154" s="12" t="inlineStr">
        <is>
          <t>Minimum order value, pause new orders, extra delivery PIN zones</t>
        </is>
      </c>
      <c r="F154" s="12" t="inlineStr">
        <is>
          <t>Per-shop minimum order value (CHECK-constrained), a 'pause new orders' switch and extra delivery PIN codes beyond the radius; serviceability, discovery, cart validation and checkout all honour them</t>
        </is>
      </c>
      <c r="G154" s="12" t="inlineStr">
        <is>
          <t>F1.5.3, F8.3.3</t>
        </is>
      </c>
      <c r="H154" s="12" t="inlineStr">
        <is>
          <t>-</t>
        </is>
      </c>
      <c r="I154" s="10" t="inlineStr">
        <is>
          <t>COMPLETED</t>
        </is>
      </c>
      <c r="J154" s="12" t="inlineStr">
        <is>
          <t>Production (gokesari.com)</t>
        </is>
      </c>
      <c r="K154" s="12" t="inlineStr">
        <is>
          <t>Live</t>
        </is>
      </c>
      <c r="L154" s="12" t="inlineStr">
        <is>
          <t>#23 (Phase B)</t>
        </is>
      </c>
      <c r="M154" s="12" t="inlineStr">
        <is>
          <t>#23</t>
        </is>
      </c>
      <c r="N154" s="12" t="inlineStr">
        <is>
          <t>-</t>
        </is>
      </c>
      <c r="O154" s="12" t="inlineStr">
        <is>
          <t>-</t>
        </is>
      </c>
      <c r="P154" s="12" t="inlineStr">
        <is>
          <t>COMPLETED</t>
        </is>
      </c>
      <c r="Q154" s="12" t="inlineStr">
        <is>
          <t>No change</t>
        </is>
      </c>
      <c r="R154" s="12" t="inlineStr">
        <is>
          <t>src/server/db/schema.ts:691-702,875; drizzle/0026</t>
        </is>
      </c>
    </row>
    <row r="155" ht="51" customFormat="1" customHeight="1" s="2">
      <c r="A155" s="10" t="n">
        <v>154</v>
      </c>
      <c r="B155" s="12" t="inlineStr">
        <is>
          <t>Added features (to 6 Oct)</t>
        </is>
      </c>
      <c r="C155" s="9" t="inlineStr">
        <is>
          <t>NEW-006</t>
        </is>
      </c>
      <c r="D155" s="12" t="inlineStr">
        <is>
          <t>Orders</t>
        </is>
      </c>
      <c r="E155" s="12" t="inlineStr">
        <is>
          <t>D10 cancellation &amp; refund policy (verified)</t>
        </is>
      </c>
      <c r="F155" s="12" t="inlineStr">
        <is>
          <t>Cancellation policy verified against code, history and tests at every stage (CONFIRMED / ACCEPTED / PREPARING / READY / ASSIGNED / PICKED_UP / OUT_FOR_DELIVERY) for customer and shop; two real gaps fixed; retained delivery fee journaled; 13 characterization tests</t>
        </is>
      </c>
      <c r="G155" s="12" t="inlineStr">
        <is>
          <t>F6.1.1, F6.1.3</t>
        </is>
      </c>
      <c r="H155" s="12" t="inlineStr">
        <is>
          <t>-</t>
        </is>
      </c>
      <c r="I155" s="10" t="inlineStr">
        <is>
          <t>COMPLETED</t>
        </is>
      </c>
      <c r="J155" s="12" t="inlineStr">
        <is>
          <t>Production (gokesari.com)</t>
        </is>
      </c>
      <c r="K155" s="12" t="inlineStr">
        <is>
          <t>Live</t>
        </is>
      </c>
      <c r="L155" s="12" t="inlineStr">
        <is>
          <t>#10 (D10 policy); #23 (Phase H verification)</t>
        </is>
      </c>
      <c r="M155" s="12" t="inlineStr">
        <is>
          <t>#14; #23</t>
        </is>
      </c>
      <c r="N155" s="12" t="inlineStr">
        <is>
          <t>Confirm the ACCEPTED/ASSIGNED and PICKED_UP treatments with the business owner</t>
        </is>
      </c>
      <c r="O155" s="12" t="inlineStr">
        <is>
          <t>-</t>
        </is>
      </c>
      <c r="P155" s="12" t="inlineStr">
        <is>
          <t>COMPLETED</t>
        </is>
      </c>
      <c r="Q155" s="12" t="inlineStr">
        <is>
          <t>No change</t>
        </is>
      </c>
      <c r="R155" s="12" t="inlineStr">
        <is>
          <t>tests/integration/d10-cancellation-policy.test.ts; docs/gokesari-audit/D10_VERIFICATION.md</t>
        </is>
      </c>
    </row>
    <row r="156" ht="99" customFormat="1" customHeight="1" s="2">
      <c r="A156" s="10" t="n">
        <v>155</v>
      </c>
      <c r="B156" s="12" t="inlineStr">
        <is>
          <t>Added features (to 6 Oct)</t>
        </is>
      </c>
      <c r="C156" s="9" t="inlineStr">
        <is>
          <t>NEW-007</t>
        </is>
      </c>
      <c r="D156" s="12" t="inlineStr">
        <is>
          <t>Payments</t>
        </is>
      </c>
      <c r="E156" s="12" t="inlineStr">
        <is>
          <t>Direct per-order payments, tax invoicing, photo POD, accept timeout</t>
        </is>
      </c>
      <c r="F156" s="12" t="inlineStr">
        <is>
          <t>Built on PR #58: (a) tax invoice per delivered order - tax invoice (CGST+SGST / IGST) for a GST-registered shop, bill of supply otherwise, numbered per shop per financial year, HTML and PDF download for customer and shop; (b) photo proof of delivery - the rider must upload a photo (JPEG / PNG / WebP, size-checked) before marking delivered, shown to customer, shop and admin; (c) shop acceptance timeout - reminder half-way, then auto-cancel with full refund and restock, missed orders counted on the shop dashboard.</t>
        </is>
      </c>
      <c r="G156" s="12" t="inlineStr">
        <is>
          <t>F1.7.3, F2.1.3, F4.2.4, F10.1.2</t>
        </is>
      </c>
      <c r="H156" s="12" t="inlineStr">
        <is>
          <t>-</t>
        </is>
      </c>
      <c r="I156" s="10" t="inlineStr">
        <is>
          <t>BLOCKED</t>
        </is>
      </c>
      <c r="J156" s="12" t="inlineStr">
        <is>
          <t>Production - partly live</t>
        </is>
      </c>
      <c r="K156" s="12" t="inlineStr">
        <is>
          <t>Off by default - switch on in Admin &gt; Business rules (rules: invoicing.enabled, deliveryProof.photoRequired, shopAcceptance.enabled)</t>
        </is>
      </c>
      <c r="L156" s="12" t="inlineStr">
        <is>
          <t>#23 (design doc); #58 (invoicing, photo POD, accept timeout)</t>
        </is>
      </c>
      <c r="M156" s="12" t="inlineStr">
        <is>
          <t>#23; #65</t>
        </is>
      </c>
      <c r="N156" s="12" t="inlineStr">
        <is>
          <t>Per-order online payment only (the other three parts are done). Invoice rates / HSN / wording to be confirmed by a CA before use for filing.</t>
        </is>
      </c>
      <c r="O156" s="12" t="inlineStr">
        <is>
          <t>Per-order online payment go-ahead (GS-028)</t>
        </is>
      </c>
      <c r="P156" s="12" t="inlineStr">
        <is>
          <t>BLOCKED</t>
        </is>
      </c>
      <c r="Q156" s="12" t="inlineStr">
        <is>
          <t>No change</t>
        </is>
      </c>
      <c r="R156" s="12" t="inlineStr">
        <is>
          <t>src/server/services/invoices.ts; src/server/services/delivery-proofs.ts; src/server/services/shop-acceptance.ts; drizzle/0055_order_completion.sql; tests/integration/order-completion.test.ts</t>
        </is>
      </c>
    </row>
    <row r="157" ht="75" customFormat="1" customHeight="1" s="2">
      <c r="A157" s="10" t="n">
        <v>156</v>
      </c>
      <c r="B157" s="12" t="inlineStr">
        <is>
          <t>Added features (to 6 Oct)</t>
        </is>
      </c>
      <c r="C157" s="9" t="inlineStr">
        <is>
          <t>NEW-008</t>
        </is>
      </c>
      <c r="D157" s="12" t="inlineStr">
        <is>
          <t>Catalog</t>
        </is>
      </c>
      <c r="E157" s="12" t="inlineStr">
        <is>
          <t>Product category master &amp; shop product-category visibility</t>
        </is>
      </c>
      <c r="F157" s="12" t="inlineStr">
        <is>
          <t>product_categories as a master (unique names, permanent General category guarded by trigger); shop_product_categories decides which products a shop sees; removing a category moves products to General; removing it from a shop pauses its listings; screens /product-categories, /product-categories/products, /shop/product-categories, /admin/shops/[id]/product-categories; one-time categorisation script with dry run / apply / restore</t>
        </is>
      </c>
      <c r="G157" s="12" t="inlineStr">
        <is>
          <t>F8.3.2, F9.2.1</t>
        </is>
      </c>
      <c r="H157" s="12" t="inlineStr">
        <is>
          <t>-</t>
        </is>
      </c>
      <c r="I157" s="10" t="inlineStr">
        <is>
          <t>COMPLETED</t>
        </is>
      </c>
      <c r="J157" s="12" t="inlineStr">
        <is>
          <t>Production (gokesari.com)</t>
        </is>
      </c>
      <c r="K157" s="12" t="inlineStr">
        <is>
          <t>Live</t>
        </is>
      </c>
      <c r="L157" s="12" t="inlineStr">
        <is>
          <t>#38; #39</t>
        </is>
      </c>
      <c r="M157" s="12" t="inlineStr">
        <is>
          <t>#43</t>
        </is>
      </c>
      <c r="N157" s="12" t="inlineStr">
        <is>
          <t>Merge to main (migration renumbering needed - see Risks) Merged to main on 3 Oct (was staging-only in the 3 Oct report).</t>
        </is>
      </c>
      <c r="O157" s="12" t="inlineStr">
        <is>
          <t>-</t>
        </is>
      </c>
      <c r="P157" s="12" t="inlineStr">
        <is>
          <t>COMPLETED</t>
        </is>
      </c>
      <c r="Q157" s="12" t="inlineStr">
        <is>
          <t>No change</t>
        </is>
      </c>
      <c r="R157" s="12" t="inlineStr">
        <is>
          <t>staging: drizzle/0038_product_category_management.sql; src/server/services/product-categories.ts; scripts/categorise-products.ts; tests/integration/product-categories.test.ts</t>
        </is>
      </c>
    </row>
    <row r="158" ht="63" customFormat="1" customHeight="1" s="2">
      <c r="A158" s="10" t="n">
        <v>157</v>
      </c>
      <c r="B158" s="12" t="inlineStr">
        <is>
          <t>Added features (to 6 Oct)</t>
        </is>
      </c>
      <c r="C158" s="9" t="inlineStr">
        <is>
          <t>NEW-009</t>
        </is>
      </c>
      <c r="D158" s="12" t="inlineStr">
        <is>
          <t>Admin</t>
        </is>
      </c>
      <c r="E158" s="12" t="inlineStr">
        <is>
          <t>Explicit Save flow on admin screens (categories, privileges, user profiles)</t>
        </is>
      </c>
      <c r="F158" s="12" t="inlineStr">
        <is>
          <t>Draft + Save Changes bar with dirty tracking, confirm step, unsaved-changes guard; privileges saved in one transaction (no half-applied role changes, last-admin protection, self-change blocked); profile edits limited to name/phone/status; every save audited. Editing moved to /admin/users/[id] and /admin/users/[id]/privileges</t>
        </is>
      </c>
      <c r="G158" s="12" t="inlineStr">
        <is>
          <t>F12.2.1</t>
        </is>
      </c>
      <c r="H158" s="12" t="inlineStr">
        <is>
          <t>-</t>
        </is>
      </c>
      <c r="I158" s="10" t="inlineStr">
        <is>
          <t>COMPLETED</t>
        </is>
      </c>
      <c r="J158" s="12" t="inlineStr">
        <is>
          <t>Production (gokesari.com)</t>
        </is>
      </c>
      <c r="K158" s="12" t="inlineStr">
        <is>
          <t>Live</t>
        </is>
      </c>
      <c r="L158" s="12" t="inlineStr">
        <is>
          <t>#30</t>
        </is>
      </c>
      <c r="M158" s="12" t="inlineStr">
        <is>
          <t>#32</t>
        </is>
      </c>
      <c r="N158" s="12" t="inlineStr">
        <is>
          <t>-</t>
        </is>
      </c>
      <c r="O158" s="12" t="inlineStr">
        <is>
          <t>-</t>
        </is>
      </c>
      <c r="P158" s="12" t="inlineStr">
        <is>
          <t>COMPLETED</t>
        </is>
      </c>
      <c r="Q158" s="12" t="inlineStr">
        <is>
          <t>No change</t>
        </is>
      </c>
      <c r="R158" s="12" t="inlineStr">
        <is>
          <t>src/components/save-changes-bar.tsx; src/components/admin-privileges-form.tsx; tests/integration/admin-save-flows.test.ts</t>
        </is>
      </c>
    </row>
    <row r="159" ht="63" customFormat="1" customHeight="1" s="2">
      <c r="A159" s="10" t="n">
        <v>158</v>
      </c>
      <c r="B159" s="12" t="inlineStr">
        <is>
          <t>Added features (to 6 Oct)</t>
        </is>
      </c>
      <c r="C159" s="9" t="inlineStr">
        <is>
          <t>NEW-010</t>
        </is>
      </c>
      <c r="D159" s="12" t="inlineStr">
        <is>
          <t>Catalog</t>
        </is>
      </c>
      <c r="E159" s="12" t="inlineStr">
        <is>
          <t>Shop inventory fill when a category is added; per-shop prices</t>
        </is>
      </c>
      <c r="F159" s="12" t="inlineStr">
        <is>
          <t>Adding a category to a shop lists every live product in it with stock 100; packaged goods start at master MRP and on sale, loose goods / no-MRP start unpriced and off sale; owner sees how many need a price and saves prices in bulk (PATCH /api/shops/[id]/prices); buyers see 'Price on request' + 'Ask shop'.</t>
        </is>
      </c>
      <c r="G159" s="12" t="inlineStr">
        <is>
          <t>F8.3.2</t>
        </is>
      </c>
      <c r="H159" s="12" t="inlineStr">
        <is>
          <t>-</t>
        </is>
      </c>
      <c r="I159" s="10" t="inlineStr">
        <is>
          <t>COMPLETED</t>
        </is>
      </c>
      <c r="J159" s="12" t="inlineStr">
        <is>
          <t>Production (gokesari.com)</t>
        </is>
      </c>
      <c r="K159" s="12" t="inlineStr">
        <is>
          <t>Live</t>
        </is>
      </c>
      <c r="L159" s="12" t="inlineStr">
        <is>
          <t>#45</t>
        </is>
      </c>
      <c r="M159" s="12" t="inlineStr">
        <is>
          <t>#47</t>
        </is>
      </c>
      <c r="N159" s="12" t="inlineStr">
        <is>
          <t>-</t>
        </is>
      </c>
      <c r="O159" s="12" t="inlineStr">
        <is>
          <t>-</t>
        </is>
      </c>
      <c r="P159" s="12" t="inlineStr">
        <is>
          <t>COMPLETED</t>
        </is>
      </c>
      <c r="Q159" s="12" t="inlineStr">
        <is>
          <t>No change</t>
        </is>
      </c>
      <c r="R159" s="12" t="inlineStr">
        <is>
          <t>tests/integration/shop-inventory-fill.test.ts; commits 0e2d77f, 1221420</t>
        </is>
      </c>
    </row>
    <row r="160" ht="39" customFormat="1" customHeight="1" s="2">
      <c r="A160" s="10" t="n">
        <v>159</v>
      </c>
      <c r="B160" s="12" t="inlineStr">
        <is>
          <t>Delivered or started since 6 Oct</t>
        </is>
      </c>
      <c r="C160" s="9" t="inlineStr">
        <is>
          <t>NEW-011</t>
        </is>
      </c>
      <c r="D160" s="12" t="inlineStr">
        <is>
          <t>Branding</t>
        </is>
      </c>
      <c r="E160" s="12" t="inlineStr">
        <is>
          <t>GoKesari logo mark, name, tagline and favicon</t>
        </is>
      </c>
      <c r="F160" s="12" t="inlineStr">
        <is>
          <t>GK monogram logo in the header, 'GoKesari' name with tagline 'Everything for Everyone', browser tab titles, footer line; GK favicon, 192 px icon and Apple touch icon replace the Next.js template icon.</t>
        </is>
      </c>
      <c r="G160" s="12" t="inlineStr">
        <is>
          <t>-</t>
        </is>
      </c>
      <c r="H160" s="12" t="inlineStr">
        <is>
          <t>-</t>
        </is>
      </c>
      <c r="I160" s="10" t="inlineStr">
        <is>
          <t>COMPLETED</t>
        </is>
      </c>
      <c r="J160" s="12" t="inlineStr">
        <is>
          <t>Production (gokesari.com)</t>
        </is>
      </c>
      <c r="K160" s="12" t="inlineStr">
        <is>
          <t>Live</t>
        </is>
      </c>
      <c r="L160" s="12" t="inlineStr">
        <is>
          <t>#59, #61, #63 (staging); #60, #62 (main)</t>
        </is>
      </c>
      <c r="M160" s="12" t="inlineStr">
        <is>
          <t>#60; #62</t>
        </is>
      </c>
      <c r="N160" s="12" t="inlineStr">
        <is>
          <t>-</t>
        </is>
      </c>
      <c r="O160" s="12" t="inlineStr">
        <is>
          <t>-</t>
        </is>
      </c>
      <c r="P160" s="12" t="inlineStr">
        <is>
          <t>COMPLETED</t>
        </is>
      </c>
      <c r="Q160" s="12" t="inlineStr">
        <is>
          <t>No change</t>
        </is>
      </c>
      <c r="R160" s="12" t="inlineStr">
        <is>
          <t>public/brand/gk-mark.png; src/app/favicon.ico; src/components/site-header.tsx</t>
        </is>
      </c>
    </row>
    <row r="161" ht="51" customFormat="1" customHeight="1" s="2">
      <c r="A161" s="10" t="n">
        <v>160</v>
      </c>
      <c r="B161" s="12" t="inlineStr">
        <is>
          <t>Delivered or started since 6 Oct</t>
        </is>
      </c>
      <c r="C161" s="9" t="inlineStr">
        <is>
          <t>NEW-012</t>
        </is>
      </c>
      <c r="D161" s="12" t="inlineStr">
        <is>
          <t>Cart</t>
        </is>
      </c>
      <c r="E161" s="12" t="inlineStr">
        <is>
          <t>Product card quantity controls; search bar row; cart state after reload</t>
        </is>
      </c>
      <c r="F161" s="12" t="inlineStr">
        <is>
          <t>Each product card has a - / qty / + picker capped at stock, then in-cart controls and Remove using PATCH /api/cart/items/:id; cards show the viewer's cart quantity after a reload; header cart badge counted in one query.</t>
        </is>
      </c>
      <c r="G161" s="12" t="inlineStr">
        <is>
          <t>F1.5.1</t>
        </is>
      </c>
      <c r="H161" s="12" t="inlineStr">
        <is>
          <t>-</t>
        </is>
      </c>
      <c r="I161" s="10" t="inlineStr">
        <is>
          <t>COMPLETED</t>
        </is>
      </c>
      <c r="J161" s="12" t="inlineStr">
        <is>
          <t>Production (gokesari.com)</t>
        </is>
      </c>
      <c r="K161" s="12" t="inlineStr">
        <is>
          <t>Live</t>
        </is>
      </c>
      <c r="L161" s="12" t="inlineStr">
        <is>
          <t>#48; #72</t>
        </is>
      </c>
      <c r="M161" s="12" t="inlineStr">
        <is>
          <t>#71; #73</t>
        </is>
      </c>
      <c r="N161" s="12" t="inlineStr">
        <is>
          <t>-</t>
        </is>
      </c>
      <c r="O161" s="12" t="inlineStr">
        <is>
          <t>-</t>
        </is>
      </c>
      <c r="P161" s="12" t="inlineStr">
        <is>
          <t>COMPLETED</t>
        </is>
      </c>
      <c r="Q161" s="12" t="inlineStr">
        <is>
          <t>No change</t>
        </is>
      </c>
      <c r="R161" s="12" t="inlineStr">
        <is>
          <t>src/components/product-card.tsx; src/components/search-bar.tsx</t>
        </is>
      </c>
    </row>
    <row r="162" ht="51" customFormat="1" customHeight="1" s="2">
      <c r="A162" s="10" t="n">
        <v>161</v>
      </c>
      <c r="B162" s="12" t="inlineStr">
        <is>
          <t>Delivered or started since 6 Oct</t>
        </is>
      </c>
      <c r="C162" s="9" t="inlineStr">
        <is>
          <t>NEW-013</t>
        </is>
      </c>
      <c r="D162" s="12" t="inlineStr">
        <is>
          <t>Home</t>
        </is>
      </c>
      <c r="E162" s="12" t="inlineStr">
        <is>
          <t>Home page speed, accessibility and error boundary</t>
        </is>
      </c>
      <c r="F162" s="12" t="inlineStr">
        <is>
          <t>Header, hero and Deliver-to stream first; shop lists stream behind a skeleton (CLS 0); 44% less home-page JS; colour contrast and 48 px tap targets (Lighthouse a11y 100); a failed shop-list stream shows a 'Try again' card instead of a full error page.</t>
        </is>
      </c>
      <c r="G162" s="12" t="inlineStr">
        <is>
          <t>-</t>
        </is>
      </c>
      <c r="H162" s="12" t="inlineStr">
        <is>
          <t>-</t>
        </is>
      </c>
      <c r="I162" s="10" t="inlineStr">
        <is>
          <t>COMPLETED</t>
        </is>
      </c>
      <c r="J162" s="12" t="inlineStr">
        <is>
          <t>Production (gokesari.com)</t>
        </is>
      </c>
      <c r="K162" s="12" t="inlineStr">
        <is>
          <t>Live</t>
        </is>
      </c>
      <c r="L162" s="12" t="inlineStr">
        <is>
          <t>#67; #68</t>
        </is>
      </c>
      <c r="M162" s="12" t="inlineStr">
        <is>
          <t>#65; #69</t>
        </is>
      </c>
      <c r="N162" s="12" t="inlineStr">
        <is>
          <t>-</t>
        </is>
      </c>
      <c r="O162" s="12" t="inlineStr">
        <is>
          <t>-</t>
        </is>
      </c>
      <c r="P162" s="12" t="inlineStr">
        <is>
          <t>COMPLETED</t>
        </is>
      </c>
      <c r="Q162" s="12" t="inlineStr">
        <is>
          <t>No change</t>
        </is>
      </c>
      <c r="R162" s="12" t="inlineStr">
        <is>
          <t>src/app/page.tsx; src/components/home-shops-boundary.tsx</t>
        </is>
      </c>
    </row>
    <row r="163" ht="63" customFormat="1" customHeight="1" s="2">
      <c r="A163" s="10" t="n">
        <v>162</v>
      </c>
      <c r="B163" s="12" t="inlineStr">
        <is>
          <t>Delivered or started since 6 Oct</t>
        </is>
      </c>
      <c r="C163" s="9" t="inlineStr">
        <is>
          <t>NEW-014</t>
        </is>
      </c>
      <c r="D163" s="12" t="inlineStr">
        <is>
          <t>Security</t>
        </is>
      </c>
      <c r="E163" s="12" t="inlineStr">
        <is>
          <t>Data-exposure hardening (only screen fields reach browsers)</t>
        </is>
      </c>
      <c r="F163" s="12" t="inlineStr">
        <is>
          <t>Shops, catalogue, returns, order actions, categories, societies, delivery partners and checkout now send explicit views: no owner phone/email/PAN ciphertext to the public, no customer address or handover code to shops, no rider DOB/live location to staff, no nearest-rider distance at checkout.</t>
        </is>
      </c>
      <c r="G163" s="12" t="inlineStr">
        <is>
          <t>-</t>
        </is>
      </c>
      <c r="H163" s="12" t="inlineStr">
        <is>
          <t>-</t>
        </is>
      </c>
      <c r="I163" s="10" t="inlineStr">
        <is>
          <t>COMPLETED</t>
        </is>
      </c>
      <c r="J163" s="12" t="inlineStr">
        <is>
          <t>Production (gokesari.com)</t>
        </is>
      </c>
      <c r="K163" s="12" t="inlineStr">
        <is>
          <t>Live</t>
        </is>
      </c>
      <c r="L163" s="12" t="inlineStr">
        <is>
          <t>#67 (shop cards); #72</t>
        </is>
      </c>
      <c r="M163" s="12" t="inlineStr">
        <is>
          <t>#65; #73</t>
        </is>
      </c>
      <c r="N163" s="12" t="inlineStr">
        <is>
          <t>-</t>
        </is>
      </c>
      <c r="O163" s="12" t="inlineStr">
        <is>
          <t>-</t>
        </is>
      </c>
      <c r="P163" s="12" t="inlineStr">
        <is>
          <t>COMPLETED</t>
        </is>
      </c>
      <c r="Q163" s="12" t="inlineStr">
        <is>
          <t>No change</t>
        </is>
      </c>
      <c r="R163" s="12" t="inlineStr">
        <is>
          <t>tests/integration/shop-data-exposure.test.ts</t>
        </is>
      </c>
    </row>
    <row r="164" ht="39" customFormat="1" customHeight="1" s="2">
      <c r="A164" s="10" t="n">
        <v>163</v>
      </c>
      <c r="B164" s="12" t="inlineStr">
        <is>
          <t>Delivered or started since 6 Oct</t>
        </is>
      </c>
      <c r="C164" s="9" t="inlineStr">
        <is>
          <t>NEW-015</t>
        </is>
      </c>
      <c r="D164" s="12" t="inlineStr">
        <is>
          <t>Navigation</t>
        </is>
      </c>
      <c r="E164" s="12" t="inlineStr">
        <is>
          <t>Header role menus link operations and rider pages</t>
        </is>
      </c>
      <c r="F164" s="12" t="inlineStr">
        <is>
          <t>Operator/Admin menus link Dashboard, Order monitoring and Operations exceptions; Rider menu links My deliveries and My delivery profile (previously reachable only by typing the URL).</t>
        </is>
      </c>
      <c r="G164" s="12" t="inlineStr">
        <is>
          <t>-</t>
        </is>
      </c>
      <c r="H164" s="12" t="inlineStr">
        <is>
          <t>-</t>
        </is>
      </c>
      <c r="I164" s="10" t="inlineStr">
        <is>
          <t>COMPLETED</t>
        </is>
      </c>
      <c r="J164" s="12" t="inlineStr">
        <is>
          <t>Production (gokesari.com)</t>
        </is>
      </c>
      <c r="K164" s="12" t="inlineStr">
        <is>
          <t>Live</t>
        </is>
      </c>
      <c r="L164" s="12" t="inlineStr">
        <is>
          <t>#74</t>
        </is>
      </c>
      <c r="M164" s="12" t="inlineStr">
        <is>
          <t>#73</t>
        </is>
      </c>
      <c r="N164" s="12" t="inlineStr">
        <is>
          <t>-</t>
        </is>
      </c>
      <c r="O164" s="12" t="inlineStr">
        <is>
          <t>-</t>
        </is>
      </c>
      <c r="P164" s="12" t="inlineStr">
        <is>
          <t>COMPLETED</t>
        </is>
      </c>
      <c r="Q164" s="12" t="inlineStr">
        <is>
          <t>No change</t>
        </is>
      </c>
      <c r="R164" s="12" t="inlineStr">
        <is>
          <t>src/components/site-header.tsx</t>
        </is>
      </c>
    </row>
    <row r="165" ht="51" customFormat="1" customHeight="1" s="2">
      <c r="A165" s="10" t="n">
        <v>164</v>
      </c>
      <c r="B165" s="12" t="inlineStr">
        <is>
          <t>Delivered or started since 6 Oct</t>
        </is>
      </c>
      <c r="C165" s="9" t="inlineStr">
        <is>
          <t>NEW-016</t>
        </is>
      </c>
      <c r="D165" s="12" t="inlineStr">
        <is>
          <t>Notifications</t>
        </is>
      </c>
      <c r="E165" s="12" t="inlineStr">
        <is>
          <t>Notification settings and marketing-consent switch</t>
        </is>
      </c>
      <c r="F165" s="12" t="inlineStr">
        <is>
          <t>'Offers &amp; campaigns' row removed from notification settings (it never controlled promotions); marketing consent shown as one labelled On/Off switch ('Offers and promotions'), off until turned on, one tap to withdraw (DPDPA s.6); last-changed date in India time.</t>
        </is>
      </c>
      <c r="G165" s="12" t="inlineStr">
        <is>
          <t>F11.2.3, F13.1.1</t>
        </is>
      </c>
      <c r="H165" s="12" t="inlineStr">
        <is>
          <t>-</t>
        </is>
      </c>
      <c r="I165" s="10" t="inlineStr">
        <is>
          <t>COMPLETED</t>
        </is>
      </c>
      <c r="J165" s="12" t="inlineStr">
        <is>
          <t>Production (gokesari.com)</t>
        </is>
      </c>
      <c r="K165" s="12" t="inlineStr">
        <is>
          <t>Live</t>
        </is>
      </c>
      <c r="L165" s="12" t="inlineStr">
        <is>
          <t>#75; #77</t>
        </is>
      </c>
      <c r="M165" s="12" t="inlineStr">
        <is>
          <t>#76; #78</t>
        </is>
      </c>
      <c r="N165" s="12" t="inlineStr">
        <is>
          <t>-</t>
        </is>
      </c>
      <c r="O165" s="12" t="inlineStr">
        <is>
          <t>-</t>
        </is>
      </c>
      <c r="P165" s="12" t="inlineStr">
        <is>
          <t>COMPLETED</t>
        </is>
      </c>
      <c r="Q165" s="12" t="inlineStr">
        <is>
          <t>No change</t>
        </is>
      </c>
      <c r="R165" s="12" t="inlineStr">
        <is>
          <t>src/components/marketing-consent-toggle.tsx; src/server/notifications/templates.ts</t>
        </is>
      </c>
    </row>
    <row r="166" ht="51" customFormat="1" customHeight="1" s="2">
      <c r="A166" s="10" t="n">
        <v>165</v>
      </c>
      <c r="B166" s="12" t="inlineStr">
        <is>
          <t>Delivered or started since 6 Oct</t>
        </is>
      </c>
      <c r="C166" s="9" t="inlineStr">
        <is>
          <t>NEW-017</t>
        </is>
      </c>
      <c r="D166" s="12" t="inlineStr">
        <is>
          <t>Catalog</t>
        </is>
      </c>
      <c r="E166" s="12" t="inlineStr">
        <is>
          <t>Shop photo catalogue (/shop/catalogue)</t>
        </is>
      </c>
      <c r="F166" s="12" t="inlineStr">
        <is>
          <t>Every product of a shop as a photo tile with its price; add/change photo and set online/in-shop price from the tile; filters for needs a photo / needs a price / awaiting approval; Create New Product takes up to 4 photos; My products shows photos.</t>
        </is>
      </c>
      <c r="G166" s="12" t="inlineStr">
        <is>
          <t>F9.2.4</t>
        </is>
      </c>
      <c r="H166" s="12" t="inlineStr">
        <is>
          <t>-</t>
        </is>
      </c>
      <c r="I166" s="10" t="inlineStr">
        <is>
          <t>COMPLETED</t>
        </is>
      </c>
      <c r="J166" s="12" t="inlineStr">
        <is>
          <t>Production (gokesari.com)</t>
        </is>
      </c>
      <c r="K166" s="12" t="inlineStr">
        <is>
          <t>Live</t>
        </is>
      </c>
      <c r="L166" s="12" t="inlineStr">
        <is>
          <t>#79</t>
        </is>
      </c>
      <c r="M166" s="12" t="inlineStr">
        <is>
          <t>#82; #84</t>
        </is>
      </c>
      <c r="N166" s="12" t="inlineStr">
        <is>
          <t>-</t>
        </is>
      </c>
      <c r="O166" s="12" t="inlineStr">
        <is>
          <t>-</t>
        </is>
      </c>
      <c r="P166" s="12" t="inlineStr">
        <is>
          <t>COMPLETED</t>
        </is>
      </c>
      <c r="Q166" s="12" t="inlineStr">
        <is>
          <t>No change</t>
        </is>
      </c>
      <c r="R166" s="12" t="inlineStr">
        <is>
          <t>src/components/photo-catalogue.tsx; src/lib/photo-catalogue.ts</t>
        </is>
      </c>
    </row>
    <row r="167" ht="51" customFormat="1" customHeight="1" s="2">
      <c r="A167" s="10" t="n">
        <v>166</v>
      </c>
      <c r="B167" s="12" t="inlineStr">
        <is>
          <t>Delivered or started since 6 Oct</t>
        </is>
      </c>
      <c r="C167" s="9" t="inlineStr">
        <is>
          <t>NEW-018</t>
        </is>
      </c>
      <c r="D167" s="12" t="inlineStr">
        <is>
          <t>Identity &amp; Access</t>
        </is>
      </c>
      <c r="E167" s="12" t="inlineStr">
        <is>
          <t>OTP request privacy - same reply for every request</t>
        </is>
      </c>
      <c r="F167" s="12" t="inlineStr">
        <is>
          <t>A mobile number alone always gets SENT_IF_REGISTERED; the code is sent after the response so timing is equal; per-number rate limit; suspended accounts get the normal reply and no code; form offers 'Sign up with your email'.</t>
        </is>
      </c>
      <c r="G167" s="12" t="inlineStr">
        <is>
          <t>F1.1.1</t>
        </is>
      </c>
      <c r="H167" s="12" t="inlineStr">
        <is>
          <t>-</t>
        </is>
      </c>
      <c r="I167" s="10" t="inlineStr">
        <is>
          <t>COMPLETED</t>
        </is>
      </c>
      <c r="J167" s="12" t="inlineStr">
        <is>
          <t>Production (gokesari.com)</t>
        </is>
      </c>
      <c r="K167" s="12" t="inlineStr">
        <is>
          <t>Live</t>
        </is>
      </c>
      <c r="L167" s="12" t="inlineStr">
        <is>
          <t>#80</t>
        </is>
      </c>
      <c r="M167" s="12" t="inlineStr">
        <is>
          <t>#81</t>
        </is>
      </c>
      <c r="N167" s="12" t="inlineStr">
        <is>
          <t>-</t>
        </is>
      </c>
      <c r="O167" s="12" t="inlineStr">
        <is>
          <t>-</t>
        </is>
      </c>
      <c r="P167" s="12" t="inlineStr">
        <is>
          <t>COMPLETED</t>
        </is>
      </c>
      <c r="Q167" s="12" t="inlineStr">
        <is>
          <t>No change</t>
        </is>
      </c>
      <c r="R167" s="12" t="inlineStr">
        <is>
          <t>src/components/otp-login-form.tsx; tests/integration/login-profile.test.ts</t>
        </is>
      </c>
    </row>
    <row r="168" ht="51" customFormat="1" customHeight="1" s="2">
      <c r="A168" s="10" t="n">
        <v>167</v>
      </c>
      <c r="B168" s="12" t="inlineStr">
        <is>
          <t>Delivered or started since 6 Oct</t>
        </is>
      </c>
      <c r="C168" s="9" t="inlineStr">
        <is>
          <t>NEW-019</t>
        </is>
      </c>
      <c r="D168" s="12" t="inlineStr">
        <is>
          <t>Home</t>
        </is>
      </c>
      <c r="E168" s="12" t="inlineStr">
        <is>
          <t>Home and Shops redesign; Tomorrow's delivery card</t>
        </is>
      </c>
      <c r="F168" s="12" t="inlineStr">
        <is>
          <t>Header with Deliver-to pill and search, avatar menu, 4-column footer; hero with quick-search chips; Tomorrow's delivery card (qty, Skip tomorrow / Undo, wallet warning); 'Shops near &lt;area&gt;' incl. pickup-only shops; Shops page filter bar, sort, grid/list.</t>
        </is>
      </c>
      <c r="G168" s="12" t="inlineStr">
        <is>
          <t>F1.3.1, F7.2.1</t>
        </is>
      </c>
      <c r="H168" s="12" t="inlineStr">
        <is>
          <t>-</t>
        </is>
      </c>
      <c r="I168" s="10" t="inlineStr">
        <is>
          <t>COMPLETED</t>
        </is>
      </c>
      <c r="J168" s="12" t="inlineStr">
        <is>
          <t>Production (gokesari.com)</t>
        </is>
      </c>
      <c r="K168" s="12" t="inlineStr">
        <is>
          <t>Live</t>
        </is>
      </c>
      <c r="L168" s="12" t="inlineStr">
        <is>
          <t>#83</t>
        </is>
      </c>
      <c r="M168" s="12" t="inlineStr">
        <is>
          <t>#84</t>
        </is>
      </c>
      <c r="N168" s="12" t="inlineStr">
        <is>
          <t>-</t>
        </is>
      </c>
      <c r="O168" s="12" t="inlineStr">
        <is>
          <t>-</t>
        </is>
      </c>
      <c r="P168" s="12" t="inlineStr">
        <is>
          <t>COMPLETED</t>
        </is>
      </c>
      <c r="Q168" s="12" t="inlineStr">
        <is>
          <t>No change</t>
        </is>
      </c>
      <c r="R168" s="12" t="inlineStr">
        <is>
          <t>src/components/tomorrow-delivery-card.tsx; tests/unit/home-redesign.test.ts</t>
        </is>
      </c>
    </row>
    <row r="169" ht="75" customFormat="1" customHeight="1" s="2">
      <c r="A169" s="10" t="n">
        <v>168</v>
      </c>
      <c r="B169" s="12" t="inlineStr">
        <is>
          <t>Delivered or started since 6 Oct</t>
        </is>
      </c>
      <c r="C169" s="9" t="inlineStr">
        <is>
          <t>NEW-020</t>
        </is>
      </c>
      <c r="D169" s="12" t="inlineStr">
        <is>
          <t>Orders</t>
        </is>
      </c>
      <c r="E169" s="12" t="inlineStr">
        <is>
          <t>Cancellation before packing - full refund; optional customer cancel until packing (item A)</t>
        </is>
      </c>
      <c r="F169" s="12" t="inlineStr">
        <is>
          <t>Every cancel before packing refunds goods + delivery fee (pinned by tests); new rule cancellation.customerMayCancelUntil (default CONFIRMED = unchanged; PREPARING lets customers cancel until packing, shop notified).</t>
        </is>
      </c>
      <c r="G169" s="12" t="inlineStr">
        <is>
          <t>F1.9.5, F6.1.2</t>
        </is>
      </c>
      <c r="H169" s="12" t="inlineStr">
        <is>
          <t>-</t>
        </is>
      </c>
      <c r="I169" s="10" t="inlineStr">
        <is>
          <t>COMPLETED</t>
        </is>
      </c>
      <c r="J169" s="12" t="inlineStr">
        <is>
          <t>Production - built, switched off by default</t>
        </is>
      </c>
      <c r="K169" s="12" t="inlineStr">
        <is>
          <t>Off by default - rule cancellation.customerMayCancelUntil = CONFIRMED (the original behaviour); PREPARING turns it on</t>
        </is>
      </c>
      <c r="L169" s="12" t="inlineStr">
        <is>
          <t>#85</t>
        </is>
      </c>
      <c r="M169" s="12" t="inlineStr">
        <is>
          <t>#86 (reverted by #87); #120</t>
        </is>
      </c>
      <c r="N169" s="12" t="inlineStr">
        <is>
          <t>Production release; D10 after-packing treatments still need sign-off</t>
        </is>
      </c>
      <c r="O169" s="12" t="inlineStr">
        <is>
          <t>D10 sign-off for after-packing treatments; choose whether to switch PREPARING on</t>
        </is>
      </c>
      <c r="P169" s="12" t="inlineStr">
        <is>
          <t>COMPLETED</t>
        </is>
      </c>
      <c r="Q169" s="12" t="inlineStr">
        <is>
          <t>No change</t>
        </is>
      </c>
      <c r="R169" s="12" t="inlineStr">
        <is>
          <t>-</t>
        </is>
      </c>
    </row>
    <row r="170" ht="39" customFormat="1" customHeight="1" s="2">
      <c r="A170" s="10" t="n">
        <v>169</v>
      </c>
      <c r="B170" s="12" t="inlineStr">
        <is>
          <t>Delivered or started since 6 Oct</t>
        </is>
      </c>
      <c r="C170" s="9" t="inlineStr">
        <is>
          <t>NEW-021</t>
        </is>
      </c>
      <c r="D170" s="12" t="inlineStr">
        <is>
          <t>Admin</t>
        </is>
      </c>
      <c r="E170" s="12" t="inlineStr">
        <is>
          <t>Business limits editable at /admin/settings (item B)</t>
        </is>
      </c>
      <c r="F170" s="12" t="inlineStr">
        <is>
          <t>New rule groups with today's values as defaults: cod, walletTopup, ratings, marketing, vouchers, settlement, deliveryOtp, returnPickup, grievances, discovery, catalogue, uploads, opsExceptions, riskRules.</t>
        </is>
      </c>
      <c r="G170" s="12" t="inlineStr">
        <is>
          <t>F12.2.3</t>
        </is>
      </c>
      <c r="H170" s="12" t="inlineStr">
        <is>
          <t>-</t>
        </is>
      </c>
      <c r="I170" s="10" t="inlineStr">
        <is>
          <t>COMPLETED</t>
        </is>
      </c>
      <c r="J170" s="12" t="inlineStr">
        <is>
          <t>Production (gokesari.com)</t>
        </is>
      </c>
      <c r="K170" s="12" t="inlineStr">
        <is>
          <t>Live (defaults identical to the old fixed values)</t>
        </is>
      </c>
      <c r="L170" s="12" t="inlineStr">
        <is>
          <t>#85; #124 (searchable list)</t>
        </is>
      </c>
      <c r="M170" s="12" t="inlineStr">
        <is>
          <t>#86 (reverted by #87); #120; #126</t>
        </is>
      </c>
      <c r="N170" s="12" t="inlineStr">
        <is>
          <t>-</t>
        </is>
      </c>
      <c r="O170" s="12" t="inlineStr">
        <is>
          <t>-</t>
        </is>
      </c>
      <c r="P170" s="12" t="inlineStr">
        <is>
          <t>COMPLETED</t>
        </is>
      </c>
      <c r="Q170" s="12" t="inlineStr">
        <is>
          <t>No change</t>
        </is>
      </c>
      <c r="R170" s="12" t="inlineStr">
        <is>
          <t>-</t>
        </is>
      </c>
    </row>
    <row r="171" ht="39" customFormat="1" customHeight="1" s="2">
      <c r="A171" s="10" t="n">
        <v>170</v>
      </c>
      <c r="B171" s="12" t="inlineStr">
        <is>
          <t>Delivered or started since 6 Oct</t>
        </is>
      </c>
      <c r="C171" s="9" t="inlineStr">
        <is>
          <t>NEW-022</t>
        </is>
      </c>
      <c r="D171" s="12" t="inlineStr">
        <is>
          <t>Shop Onboarding</t>
        </is>
      </c>
      <c r="E171" s="12" t="inlineStr">
        <is>
          <t>Shop's own customer contact phone / WhatsApp (item C1)</t>
        </is>
      </c>
      <c r="F171" s="12" t="inlineStr">
        <is>
          <t>Customers see only the shop's own contact numbers (new fields + shop dashboard card), never the registration or login number; GoKesari customer care shown until a shop enters them. Migration 0056.</t>
        </is>
      </c>
      <c r="G171" s="12" t="inlineStr">
        <is>
          <t>F8.3.4</t>
        </is>
      </c>
      <c r="H171" s="12" t="inlineStr">
        <is>
          <t>-</t>
        </is>
      </c>
      <c r="I171" s="10" t="inlineStr">
        <is>
          <t>COMPLETED</t>
        </is>
      </c>
      <c r="J171" s="12" t="inlineStr">
        <is>
          <t>Production (gokesari.com)</t>
        </is>
      </c>
      <c r="K171" s="12" t="inlineStr">
        <is>
          <t>Live (rule shopContact = SHOP_CONTACT)</t>
        </is>
      </c>
      <c r="L171" s="12" t="inlineStr">
        <is>
          <t>#85</t>
        </is>
      </c>
      <c r="M171" s="12" t="inlineStr">
        <is>
          <t>#86 (reverted by #87); #120</t>
        </is>
      </c>
      <c r="N171" s="12" t="inlineStr">
        <is>
          <t>-</t>
        </is>
      </c>
      <c r="O171" s="12" t="inlineStr">
        <is>
          <t>-</t>
        </is>
      </c>
      <c r="P171" s="12" t="inlineStr">
        <is>
          <t>COMPLETED</t>
        </is>
      </c>
      <c r="Q171" s="12" t="inlineStr">
        <is>
          <t>No change</t>
        </is>
      </c>
      <c r="R171" s="12" t="inlineStr">
        <is>
          <t>-</t>
        </is>
      </c>
    </row>
    <row r="172" ht="27" customFormat="1" customHeight="1" s="2">
      <c r="A172" s="10" t="n">
        <v>171</v>
      </c>
      <c r="B172" s="12" t="inlineStr">
        <is>
          <t>Delivered or started since 6 Oct</t>
        </is>
      </c>
      <c r="C172" s="9" t="inlineStr">
        <is>
          <t>NEW-023</t>
        </is>
      </c>
      <c r="D172" s="12" t="inlineStr">
        <is>
          <t>Society</t>
        </is>
      </c>
      <c r="E172" s="12" t="inlineStr">
        <is>
          <t>Only verified societies can add or prefer riders (item C2)</t>
        </is>
      </c>
      <c r="F172" s="12" t="inlineStr">
        <is>
          <t>Enforced in the service for every caller; unverified society admins are refused. Rule societyRiders.</t>
        </is>
      </c>
      <c r="G172" s="12" t="inlineStr">
        <is>
          <t>F5.2.2</t>
        </is>
      </c>
      <c r="H172" s="12" t="inlineStr">
        <is>
          <t>-</t>
        </is>
      </c>
      <c r="I172" s="10" t="inlineStr">
        <is>
          <t>COMPLETED</t>
        </is>
      </c>
      <c r="J172" s="12" t="inlineStr">
        <is>
          <t>Production (gokesari.com)</t>
        </is>
      </c>
      <c r="K172" s="12" t="inlineStr">
        <is>
          <t>Live (rule societyRiders.requireVerifiedSociety = true)</t>
        </is>
      </c>
      <c r="L172" s="12" t="inlineStr">
        <is>
          <t>#85</t>
        </is>
      </c>
      <c r="M172" s="12" t="inlineStr">
        <is>
          <t>#86 (reverted by #87); #120</t>
        </is>
      </c>
      <c r="N172" s="12" t="inlineStr">
        <is>
          <t>-</t>
        </is>
      </c>
      <c r="O172" s="12" t="inlineStr">
        <is>
          <t>-</t>
        </is>
      </c>
      <c r="P172" s="12" t="inlineStr">
        <is>
          <t>COMPLETED</t>
        </is>
      </c>
      <c r="Q172" s="12" t="inlineStr">
        <is>
          <t>No change</t>
        </is>
      </c>
      <c r="R172" s="12" t="inlineStr">
        <is>
          <t>-</t>
        </is>
      </c>
    </row>
    <row r="173" ht="39" customFormat="1" customHeight="1" s="2">
      <c r="A173" s="10" t="n">
        <v>172</v>
      </c>
      <c r="B173" s="12" t="inlineStr">
        <is>
          <t>Delivered or started since 6 Oct</t>
        </is>
      </c>
      <c r="C173" s="9" t="inlineStr">
        <is>
          <t>NEW-024</t>
        </is>
      </c>
      <c r="D173" s="12" t="inlineStr">
        <is>
          <t>Cart</t>
        </is>
      </c>
      <c r="E173" s="12" t="inlineStr">
        <is>
          <t>Open-order prompt before paying (item C3)</t>
        </is>
      </c>
      <c r="F173" s="12" t="inlineStr">
        <is>
          <t>Cart shows the customer's open order(s) with status before paying: Cancel this order (when D10 allows) or Ignore and continue; duplicate-product check keeps showing other shops' pending products. Rule openOrderCheck.</t>
        </is>
      </c>
      <c r="G173" s="12" t="inlineStr">
        <is>
          <t>F1.5.5</t>
        </is>
      </c>
      <c r="H173" s="12" t="inlineStr">
        <is>
          <t>-</t>
        </is>
      </c>
      <c r="I173" s="10" t="inlineStr">
        <is>
          <t>COMPLETED</t>
        </is>
      </c>
      <c r="J173" s="12" t="inlineStr">
        <is>
          <t>Production (gokesari.com)</t>
        </is>
      </c>
      <c r="K173" s="12" t="inlineStr">
        <is>
          <t>Live (rule openOrderCheck on, ANY_SHOP)</t>
        </is>
      </c>
      <c r="L173" s="12" t="inlineStr">
        <is>
          <t>#85</t>
        </is>
      </c>
      <c r="M173" s="12" t="inlineStr">
        <is>
          <t>#86 (reverted by #87); #120</t>
        </is>
      </c>
      <c r="N173" s="12" t="inlineStr">
        <is>
          <t>-</t>
        </is>
      </c>
      <c r="O173" s="12" t="inlineStr">
        <is>
          <t>-</t>
        </is>
      </c>
      <c r="P173" s="12" t="inlineStr">
        <is>
          <t>COMPLETED</t>
        </is>
      </c>
      <c r="Q173" s="12" t="inlineStr">
        <is>
          <t>No change</t>
        </is>
      </c>
      <c r="R173" s="12" t="inlineStr">
        <is>
          <t>-</t>
        </is>
      </c>
    </row>
    <row r="174" ht="39" customFormat="1" customHeight="1" s="2">
      <c r="A174" s="10" t="n">
        <v>173</v>
      </c>
      <c r="B174" s="12" t="inlineStr">
        <is>
          <t>Delivered or started since 6 Oct</t>
        </is>
      </c>
      <c r="C174" s="9" t="inlineStr">
        <is>
          <t>NEW-025</t>
        </is>
      </c>
      <c r="D174" s="12" t="inlineStr">
        <is>
          <t>Security</t>
        </is>
      </c>
      <c r="E174" s="12" t="inlineStr">
        <is>
          <t>Voucher codes visible to operators and admins (item C4)</t>
        </is>
      </c>
      <c r="F174" s="12" t="inlineStr">
        <is>
          <t>Decision matched existing behaviour: operators/admins see full voucher codes; customers, shop owners, riders and society admins get 403. Pinned by tests.</t>
        </is>
      </c>
      <c r="G174" s="12" t="inlineStr">
        <is>
          <t>-</t>
        </is>
      </c>
      <c r="H174" s="12" t="inlineStr">
        <is>
          <t>-</t>
        </is>
      </c>
      <c r="I174" s="10" t="inlineStr">
        <is>
          <t>COMPLETED</t>
        </is>
      </c>
      <c r="J174" s="12" t="inlineStr">
        <is>
          <t>Production (gokesari.com)</t>
        </is>
      </c>
      <c r="K174" s="12" t="inlineStr">
        <is>
          <t>Live</t>
        </is>
      </c>
      <c r="L174" s="12" t="inlineStr">
        <is>
          <t>#85 (tests only)</t>
        </is>
      </c>
      <c r="M174" s="12" t="inlineStr">
        <is>
          <t>Behaviour already live; tests released with the next production release</t>
        </is>
      </c>
      <c r="N174" s="12" t="inlineStr">
        <is>
          <t>-</t>
        </is>
      </c>
      <c r="O174" s="12" t="inlineStr">
        <is>
          <t>-</t>
        </is>
      </c>
      <c r="P174" s="12" t="inlineStr">
        <is>
          <t>COMPLETED</t>
        </is>
      </c>
      <c r="Q174" s="12" t="inlineStr">
        <is>
          <t>No change</t>
        </is>
      </c>
      <c r="R174" s="12" t="inlineStr">
        <is>
          <t>-</t>
        </is>
      </c>
    </row>
    <row r="175" ht="63" customFormat="1" customHeight="1" s="2">
      <c r="A175" s="10" t="n">
        <v>174</v>
      </c>
      <c r="B175" s="12" t="inlineStr">
        <is>
          <t>Delivered or started since 6 Oct</t>
        </is>
      </c>
      <c r="C175" s="9" t="inlineStr">
        <is>
          <t>NEW-026</t>
        </is>
      </c>
      <c r="D175" s="12" t="inlineStr">
        <is>
          <t>Delivery</t>
        </is>
      </c>
      <c r="E175" s="12" t="inlineStr">
        <is>
          <t>Rider files: access-checked photos, KYC documents, rider ID card (item C5)</t>
        </is>
      </c>
      <c r="F175" s="12" t="inlineStr">
        <is>
          <t>Rider photos only via access-checked links; rider KYC images (table delivery_partner_documents, migration 0057) viewable by admins only, each view audited, /admin/rider-kyc; rider ID card /gig/id-card; rider photo + ID on the society dashboard.</t>
        </is>
      </c>
      <c r="G175" s="12" t="inlineStr">
        <is>
          <t>F5.2.3, F12.2.5</t>
        </is>
      </c>
      <c r="H175" s="12" t="inlineStr">
        <is>
          <t>-</t>
        </is>
      </c>
      <c r="I175" s="10" t="inlineStr">
        <is>
          <t>COMPLETED</t>
        </is>
      </c>
      <c r="J175" s="12" t="inlineStr">
        <is>
          <t>Production (gokesari.com)</t>
        </is>
      </c>
      <c r="K175" s="12" t="inlineStr">
        <is>
          <t>Live (rule riderFiles: protected photos, KYC documents, ID card)</t>
        </is>
      </c>
      <c r="L175" s="12" t="inlineStr">
        <is>
          <t>#85</t>
        </is>
      </c>
      <c r="M175" s="12" t="inlineStr">
        <is>
          <t>#86 (reverted by #87); #120</t>
        </is>
      </c>
      <c r="N175" s="12" t="inlineStr">
        <is>
          <t>-</t>
        </is>
      </c>
      <c r="O175" s="12" t="inlineStr">
        <is>
          <t>Purge the CDN cache for /api/images/* (release step, Blockers #22)</t>
        </is>
      </c>
      <c r="P175" s="12" t="inlineStr">
        <is>
          <t>COMPLETED</t>
        </is>
      </c>
      <c r="Q175" s="12" t="inlineStr">
        <is>
          <t>No change</t>
        </is>
      </c>
      <c r="R175" s="12" t="inlineStr">
        <is>
          <t>-</t>
        </is>
      </c>
    </row>
    <row r="176" ht="51" customFormat="1" customHeight="1" s="2">
      <c r="A176" s="10" t="n">
        <v>175</v>
      </c>
      <c r="B176" s="12" t="inlineStr">
        <is>
          <t>Delivered or started since 6 Oct</t>
        </is>
      </c>
      <c r="C176" s="9" t="inlineStr">
        <is>
          <t>NEW-027</t>
        </is>
      </c>
      <c r="D176" s="12" t="inlineStr">
        <is>
          <t>Finance</t>
        </is>
      </c>
      <c r="E176" s="12" t="inlineStr">
        <is>
          <t>GST rates / HSN codes report for the CA; cron map (item D)</t>
        </is>
      </c>
      <c r="F176" s="12" t="inlineStr">
        <is>
          <t>scripts/gst-hsn-report.sql lists rates, HSN x rate, category gaps and products sold for CA review; production cron schedule mapped (shop-acceptance, delivery-dispatch, notifications every minute). No seeded product has a GST rate or HSN code yet.</t>
        </is>
      </c>
      <c r="G176" s="12" t="inlineStr">
        <is>
          <t>-</t>
        </is>
      </c>
      <c r="H176" s="12" t="inlineStr">
        <is>
          <t>-</t>
        </is>
      </c>
      <c r="I176" s="10" t="inlineStr">
        <is>
          <t>BLOCKED</t>
        </is>
      </c>
      <c r="J176" s="12" t="inlineStr">
        <is>
          <t>Production (gokesari.com)</t>
        </is>
      </c>
      <c r="K176" s="12" t="inlineStr">
        <is>
          <t>-</t>
        </is>
      </c>
      <c r="L176" s="12" t="inlineStr">
        <is>
          <t>#85</t>
        </is>
      </c>
      <c r="M176" s="12" t="inlineStr">
        <is>
          <t>#120</t>
        </is>
      </c>
      <c r="N176" s="12" t="inlineStr">
        <is>
          <t>CA to verify HSN codes, GST rates, bill-of-supply wording and invoice numbering before invoicing is used for filing</t>
        </is>
      </c>
      <c r="O176" s="12" t="inlineStr">
        <is>
          <t>CA verification</t>
        </is>
      </c>
      <c r="P176" s="12" t="inlineStr">
        <is>
          <t>BLOCKED</t>
        </is>
      </c>
      <c r="Q176" s="12" t="inlineStr">
        <is>
          <t>No change</t>
        </is>
      </c>
      <c r="R176" s="12" t="inlineStr">
        <is>
          <t>-</t>
        </is>
      </c>
    </row>
    <row r="177" ht="75" customFormat="1" customHeight="1" s="2">
      <c r="A177" s="10" t="n">
        <v>176</v>
      </c>
      <c r="B177" s="12" t="inlineStr">
        <is>
          <t>Delivered or started since 6 Oct</t>
        </is>
      </c>
      <c r="C177" s="9" t="inlineStr">
        <is>
          <t>NEW-028</t>
        </is>
      </c>
      <c r="D177" s="12" t="inlineStr">
        <is>
          <t>Event layer</t>
        </is>
      </c>
      <c r="E177" s="12" t="inlineStr">
        <is>
          <t>Event layer: real-time workflows, cron only as a safety net</t>
        </is>
      </c>
      <c r="F177" s="12" t="inlineStr">
        <is>
          <t>emitEvent() in the same transaction as each state change; one state-machine registry rejects illegal moves (409); domain_events log; outbox (notification_deliveries) with retries, backoff, dead-letter alert to support; every order/delivery step notifies customer and shop at once; new timeout-sweep and notification-retry crons. Migration 0058.</t>
        </is>
      </c>
      <c r="G177" s="12" t="inlineStr">
        <is>
          <t>F1.9.2, F13.2.1</t>
        </is>
      </c>
      <c r="H177" s="12" t="inlineStr">
        <is>
          <t>-</t>
        </is>
      </c>
      <c r="I177" s="10" t="inlineStr">
        <is>
          <t>COMPLETED</t>
        </is>
      </c>
      <c r="J177" s="12" t="inlineStr">
        <is>
          <t>Production (gokesari.com)</t>
        </is>
      </c>
      <c r="K177" s="12" t="inlineStr">
        <is>
          <t>Live (rule defaults; no off switch)</t>
        </is>
      </c>
      <c r="L177" s="12" t="inlineStr">
        <is>
          <t>#89</t>
        </is>
      </c>
      <c r="M177" s="12" t="inlineStr">
        <is>
          <t>#120</t>
        </is>
      </c>
      <c r="N177" s="12" t="inlineStr">
        <is>
          <t>QA on test (TEST_CHECKLIST.md), cron Phase B switch, production release</t>
        </is>
      </c>
      <c r="O177" s="12" t="inlineStr">
        <is>
          <t>Production cron jobs (Blockers #4); confirm the event-layer decisions (Blockers #13)</t>
        </is>
      </c>
      <c r="P177" s="12" t="inlineStr">
        <is>
          <t>COMPLETED</t>
        </is>
      </c>
      <c r="Q177" s="12" t="inlineStr">
        <is>
          <t>No change</t>
        </is>
      </c>
      <c r="R177" s="12" t="inlineStr">
        <is>
          <t>-</t>
        </is>
      </c>
    </row>
    <row r="178" ht="39" customFormat="1" customHeight="1" s="2">
      <c r="A178" s="10" t="n">
        <v>177</v>
      </c>
      <c r="B178" s="12" t="inlineStr">
        <is>
          <t>Delivered or started since 6 Oct</t>
        </is>
      </c>
      <c r="C178" s="9" t="inlineStr">
        <is>
          <t>NEW-029</t>
        </is>
      </c>
      <c r="D178" s="12" t="inlineStr">
        <is>
          <t>Delivery</t>
        </is>
      </c>
      <c r="E178" s="12" t="inlineStr">
        <is>
          <t>Live delivery tracking v2 (5-second polling)</t>
        </is>
      </c>
      <c r="F178" s="12" t="inlineStr">
        <is>
          <t>Rider posts location to POST /api/delivery-orders/{id}/location while the drop is under way; customer gets a Track delivery map polled every 5 s, shown only from the start of the drop until delivered or cancelled.</t>
        </is>
      </c>
      <c r="G178" s="12" t="inlineStr">
        <is>
          <t>F1.9.2</t>
        </is>
      </c>
      <c r="H178" s="12" t="inlineStr">
        <is>
          <t>-</t>
        </is>
      </c>
      <c r="I178" s="10" t="inlineStr">
        <is>
          <t>COMPLETED</t>
        </is>
      </c>
      <c r="J178" s="12" t="inlineStr">
        <is>
          <t>Production (gokesari.com)</t>
        </is>
      </c>
      <c r="K178" s="12" t="inlineStr">
        <is>
          <t>Live (rule defaults; no off switch)</t>
        </is>
      </c>
      <c r="L178" s="12" t="inlineStr">
        <is>
          <t>#89</t>
        </is>
      </c>
      <c r="M178" s="12" t="inlineStr">
        <is>
          <t>#120</t>
        </is>
      </c>
      <c r="N178" s="12" t="inlineStr">
        <is>
          <t>-</t>
        </is>
      </c>
      <c r="O178" s="12" t="inlineStr">
        <is>
          <t>-</t>
        </is>
      </c>
      <c r="P178" s="12" t="inlineStr">
        <is>
          <t>COMPLETED</t>
        </is>
      </c>
      <c r="Q178" s="12" t="inlineStr">
        <is>
          <t>No change</t>
        </is>
      </c>
      <c r="R178" s="12" t="inlineStr">
        <is>
          <t>-</t>
        </is>
      </c>
    </row>
    <row r="179" ht="75" customFormat="1" customHeight="1" s="2">
      <c r="A179" s="10" t="n">
        <v>178</v>
      </c>
      <c r="B179" s="12" t="inlineStr">
        <is>
          <t>Delivered or started since 6 Oct</t>
        </is>
      </c>
      <c r="C179" s="9" t="inlineStr">
        <is>
          <t>NEW-030</t>
        </is>
      </c>
      <c r="D179" s="12" t="inlineStr">
        <is>
          <t>Shop Onboarding</t>
        </is>
      </c>
      <c r="E179" s="12" t="inlineStr">
        <is>
          <t>Seller verification events, 'more info' and optional auto-approval</t>
        </is>
      </c>
      <c r="F179" s="12" t="inlineStr">
        <is>
          <t>Manual review sends support a review link and tells the seller what is pending; approve / reject / more info notify the seller and other reviewers; optional auto-approval once all documents are verified and the fee is paid (classified GREEN); daily stuck-in-review reminder.</t>
        </is>
      </c>
      <c r="G179" s="12" t="inlineStr">
        <is>
          <t>F8.2.2</t>
        </is>
      </c>
      <c r="H179" s="12" t="inlineStr">
        <is>
          <t>-</t>
        </is>
      </c>
      <c r="I179" s="10" t="inlineStr">
        <is>
          <t>COMPLETED</t>
        </is>
      </c>
      <c r="J179" s="12" t="inlineStr">
        <is>
          <t>Production (gokesari.com)</t>
        </is>
      </c>
      <c r="K179" s="12" t="inlineStr">
        <is>
          <t>Live (rule defaults; no off switch)</t>
        </is>
      </c>
      <c r="L179" s="12" t="inlineStr">
        <is>
          <t>#89</t>
        </is>
      </c>
      <c r="M179" s="12" t="inlineStr">
        <is>
          <t>#120</t>
        </is>
      </c>
      <c r="N179" s="12" t="inlineStr">
        <is>
          <t>-</t>
        </is>
      </c>
      <c r="O179" s="12" t="inlineStr">
        <is>
          <t>Production cron jobs (Blockers #4); confirm the event-layer decisions (Blockers #13)</t>
        </is>
      </c>
      <c r="P179" s="12" t="inlineStr">
        <is>
          <t>COMPLETED</t>
        </is>
      </c>
      <c r="Q179" s="12" t="inlineStr">
        <is>
          <t>No change</t>
        </is>
      </c>
      <c r="R179" s="12" t="inlineStr">
        <is>
          <t>-</t>
        </is>
      </c>
    </row>
    <row r="180" ht="75" customFormat="1" customHeight="1" s="2">
      <c r="A180" s="10" t="n">
        <v>179</v>
      </c>
      <c r="B180" s="12" t="inlineStr">
        <is>
          <t>Delivered or started since 6 Oct</t>
        </is>
      </c>
      <c r="C180" s="9" t="inlineStr">
        <is>
          <t>NEW-031</t>
        </is>
      </c>
      <c r="D180" s="12" t="inlineStr">
        <is>
          <t>Support</t>
        </is>
      </c>
      <c r="E180" s="12" t="inlineStr">
        <is>
          <t>Dispute conversation, attachments and 24 h SLA escalation</t>
        </is>
      </c>
      <c r="F180" s="12" t="inlineStr">
        <is>
          <t>Ticket number issued at once with photos attached; customer, shop and support comment, support adds internal notes; shop may propose a resolution after triage; no reply within 24 h escalates to administrators.</t>
        </is>
      </c>
      <c r="G180" s="12" t="inlineStr">
        <is>
          <t>F6.3.2</t>
        </is>
      </c>
      <c r="H180" s="12" t="inlineStr">
        <is>
          <t>-</t>
        </is>
      </c>
      <c r="I180" s="10" t="inlineStr">
        <is>
          <t>COMPLETED</t>
        </is>
      </c>
      <c r="J180" s="12" t="inlineStr">
        <is>
          <t>Production (gokesari.com)</t>
        </is>
      </c>
      <c r="K180" s="12" t="inlineStr">
        <is>
          <t>Live (rule defaults; no off switch)</t>
        </is>
      </c>
      <c r="L180" s="12" t="inlineStr">
        <is>
          <t>#89</t>
        </is>
      </c>
      <c r="M180" s="12" t="inlineStr">
        <is>
          <t>#120</t>
        </is>
      </c>
      <c r="N180" s="12" t="inlineStr">
        <is>
          <t>-</t>
        </is>
      </c>
      <c r="O180" s="12" t="inlineStr">
        <is>
          <t>Production cron jobs (Blockers #4); confirm the event-layer decisions (Blockers #13)</t>
        </is>
      </c>
      <c r="P180" s="12" t="inlineStr">
        <is>
          <t>COMPLETED</t>
        </is>
      </c>
      <c r="Q180" s="12" t="inlineStr">
        <is>
          <t>No change</t>
        </is>
      </c>
      <c r="R180" s="12" t="inlineStr">
        <is>
          <t>-</t>
        </is>
      </c>
    </row>
    <row r="181" ht="27" customFormat="1" customHeight="1" s="2">
      <c r="A181" s="10" t="n">
        <v>180</v>
      </c>
      <c r="B181" s="12" t="inlineStr">
        <is>
          <t>Delivered or started since 6 Oct</t>
        </is>
      </c>
      <c r="C181" s="9" t="inlineStr">
        <is>
          <t>NEW-032</t>
        </is>
      </c>
      <c r="D181" s="12" t="inlineStr">
        <is>
          <t>Admin</t>
        </is>
      </c>
      <c r="E181" s="12" t="inlineStr">
        <is>
          <t>Per-order risk rules at placement and on failed payment</t>
        </is>
      </c>
      <c r="F181" s="12" t="inlineStr">
        <is>
          <t>Risk rules now run on each order as it is placed and on a failed payment; the hourly job remains the cross-order pattern scan.</t>
        </is>
      </c>
      <c r="G181" s="12" t="inlineStr">
        <is>
          <t>F12.1.4</t>
        </is>
      </c>
      <c r="H181" s="12" t="inlineStr">
        <is>
          <t>-</t>
        </is>
      </c>
      <c r="I181" s="10" t="inlineStr">
        <is>
          <t>COMPLETED</t>
        </is>
      </c>
      <c r="J181" s="12" t="inlineStr">
        <is>
          <t>Production (gokesari.com)</t>
        </is>
      </c>
      <c r="K181" s="12" t="inlineStr">
        <is>
          <t>Live (rule defaults; no off switch)</t>
        </is>
      </c>
      <c r="L181" s="12" t="inlineStr">
        <is>
          <t>#89</t>
        </is>
      </c>
      <c r="M181" s="12" t="inlineStr">
        <is>
          <t>#120</t>
        </is>
      </c>
      <c r="N181" s="12" t="inlineStr">
        <is>
          <t>-</t>
        </is>
      </c>
      <c r="O181" s="12" t="inlineStr">
        <is>
          <t>-</t>
        </is>
      </c>
      <c r="P181" s="12" t="inlineStr">
        <is>
          <t>COMPLETED</t>
        </is>
      </c>
      <c r="Q181" s="12" t="inlineStr">
        <is>
          <t>No change</t>
        </is>
      </c>
      <c r="R181" s="12" t="inlineStr">
        <is>
          <t>-</t>
        </is>
      </c>
    </row>
    <row r="182" ht="75" customFormat="1" customHeight="1" s="2">
      <c r="A182" s="10" t="n">
        <v>181</v>
      </c>
      <c r="B182" s="12" t="inlineStr">
        <is>
          <t>Delivered or started since 6 Oct</t>
        </is>
      </c>
      <c r="C182" s="9" t="inlineStr">
        <is>
          <t>NEW-033</t>
        </is>
      </c>
      <c r="D182" s="12" t="inlineStr">
        <is>
          <t>Finance</t>
        </is>
      </c>
      <c r="E182" s="12" t="inlineStr">
        <is>
          <t>Shop prepaid wallet</t>
        </is>
      </c>
      <c r="F182" s="12" t="inlineStr">
        <is>
          <t>shop_wallets + immutable ledger (triggers make the ledger the only way the balance moves); 1% commission and the delivery charge debited inside the delivery transaction, once per order; minimum balance Rs 200 blocks new acceptances (402); low-balance reminder at Rs 300; Cashfree recharge; admin manual credit/debit; /shop/wallet, /admin/shop-wallets. Migration 0059.</t>
        </is>
      </c>
      <c r="G182" s="12" t="inlineStr">
        <is>
          <t>F2.1.4, F10.1.3</t>
        </is>
      </c>
      <c r="H182" s="12" t="inlineStr">
        <is>
          <t>-</t>
        </is>
      </c>
      <c r="I182" s="10" t="inlineStr">
        <is>
          <t>COMPLETED</t>
        </is>
      </c>
      <c r="J182" s="12" t="inlineStr">
        <is>
          <t>Production - built, switched off by default</t>
        </is>
      </c>
      <c r="K182" s="12" t="inlineStr">
        <is>
          <t>Off by default - rule shopWallet.enabled = false (on for the test site only)</t>
        </is>
      </c>
      <c r="L182" s="12" t="inlineStr">
        <is>
          <t>#91; #94 (switched on in test)</t>
        </is>
      </c>
      <c r="M182" s="12" t="inlineStr">
        <is>
          <t>#120</t>
        </is>
      </c>
      <c r="N182" s="12" t="inlineStr">
        <is>
          <t>Production release</t>
        </is>
      </c>
      <c r="O182" s="12" t="inlineStr">
        <is>
          <t>Legal review of holding shops' prepaid money (Blockers #17) before switching it on</t>
        </is>
      </c>
      <c r="P182" s="12" t="inlineStr">
        <is>
          <t>COMPLETED</t>
        </is>
      </c>
      <c r="Q182" s="12" t="inlineStr">
        <is>
          <t>No change</t>
        </is>
      </c>
      <c r="R182" s="12" t="inlineStr">
        <is>
          <t>-</t>
        </is>
      </c>
    </row>
    <row r="183" ht="75" customFormat="1" customHeight="1" s="2">
      <c r="A183" s="10" t="n">
        <v>182</v>
      </c>
      <c r="B183" s="12" t="inlineStr">
        <is>
          <t>Delivered or started since 6 Oct</t>
        </is>
      </c>
      <c r="C183" s="9" t="inlineStr">
        <is>
          <t>NEW-034</t>
        </is>
      </c>
      <c r="D183" s="12" t="inlineStr">
        <is>
          <t>Finance</t>
        </is>
      </c>
      <c r="E183" s="12" t="inlineStr">
        <is>
          <t>Shop wallet: Rs 5/km delivery charge, no checkout below minimum, commission back on refunds</t>
        </is>
      </c>
      <c r="F183" s="12" t="inlineStr">
        <is>
          <t>Delivery charge = flat part (Rs 0) + Rs 5 x shop-to-customer km (Rs 25 when distance unknown); a shop below the wallet minimum is hidden from ordering like a paused shop; shop-borne refunds return the proportional commission to the wallet (COMMISSION_REFUND). Migration 0060.</t>
        </is>
      </c>
      <c r="G183" s="12" t="inlineStr">
        <is>
          <t>F10.1.3</t>
        </is>
      </c>
      <c r="H183" s="12" t="inlineStr">
        <is>
          <t>-</t>
        </is>
      </c>
      <c r="I183" s="10" t="inlineStr">
        <is>
          <t>COMPLETED</t>
        </is>
      </c>
      <c r="J183" s="12" t="inlineStr">
        <is>
          <t>Production - built, switched off by default</t>
        </is>
      </c>
      <c r="K183" s="12" t="inlineStr">
        <is>
          <t>Off by default - rule shopWallet.enabled = false (on for the test site only)</t>
        </is>
      </c>
      <c r="L183" s="12" t="inlineStr">
        <is>
          <t>#98</t>
        </is>
      </c>
      <c r="M183" s="12" t="inlineStr">
        <is>
          <t>#120</t>
        </is>
      </c>
      <c r="N183" s="12" t="inlineStr">
        <is>
          <t>Production release</t>
        </is>
      </c>
      <c r="O183" s="12" t="inlineStr">
        <is>
          <t>Legal review of holding shops' prepaid money (Blockers #17) before switching it on</t>
        </is>
      </c>
      <c r="P183" s="12" t="inlineStr">
        <is>
          <t>COMPLETED</t>
        </is>
      </c>
      <c r="Q183" s="12" t="inlineStr">
        <is>
          <t>No change</t>
        </is>
      </c>
      <c r="R183" s="12" t="inlineStr">
        <is>
          <t>-</t>
        </is>
      </c>
    </row>
    <row r="184" ht="63" customFormat="1" customHeight="1" s="2">
      <c r="A184" s="10" t="n">
        <v>183</v>
      </c>
      <c r="B184" s="12" t="inlineStr">
        <is>
          <t>Delivered or started since 6 Oct</t>
        </is>
      </c>
      <c r="C184" s="9" t="inlineStr">
        <is>
          <t>NEW-035</t>
        </is>
      </c>
      <c r="D184" s="12" t="inlineStr">
        <is>
          <t>Delivery</t>
        </is>
      </c>
      <c r="E184" s="12" t="inlineStr">
        <is>
          <t>OTP-confirmed delivery hardening</t>
        </is>
      </c>
      <c r="F184" s="12" t="inlineStr">
        <is>
          <t>Delivery code stored as a salted HMAC and emailed to the customer; resend with cooldown and per-delivery limit; wrong attempts counted atomically, lockout raises a grievance ticket and alerts customer, shop and support; a shop can no longer mark a rider-carried order delivered without the code.</t>
        </is>
      </c>
      <c r="G184" s="12" t="inlineStr">
        <is>
          <t>F1.9.4, F4.2.5</t>
        </is>
      </c>
      <c r="H184" s="12" t="inlineStr">
        <is>
          <t>-</t>
        </is>
      </c>
      <c r="I184" s="10" t="inlineStr">
        <is>
          <t>COMPLETED</t>
        </is>
      </c>
      <c r="J184" s="12" t="inlineStr">
        <is>
          <t>Production (gokesari.com)</t>
        </is>
      </c>
      <c r="K184" s="12" t="inlineStr">
        <is>
          <t>Live (code emailed; SMS needs D2)</t>
        </is>
      </c>
      <c r="L184" s="12" t="inlineStr">
        <is>
          <t>#91</t>
        </is>
      </c>
      <c r="M184" s="12" t="inlineStr">
        <is>
          <t>#120</t>
        </is>
      </c>
      <c r="N184" s="12" t="inlineStr">
        <is>
          <t>Production release; SMS delivery of the code (D2)</t>
        </is>
      </c>
      <c r="O184" s="12" t="inlineStr">
        <is>
          <t>D2 - SMS vendor to also send the code by SMS</t>
        </is>
      </c>
      <c r="P184" s="12" t="inlineStr">
        <is>
          <t>COMPLETED</t>
        </is>
      </c>
      <c r="Q184" s="12" t="inlineStr">
        <is>
          <t>No change</t>
        </is>
      </c>
      <c r="R184" s="12" t="inlineStr">
        <is>
          <t>-</t>
        </is>
      </c>
    </row>
    <row r="185" ht="63" customFormat="1" customHeight="1" s="2">
      <c r="A185" s="10" t="n">
        <v>184</v>
      </c>
      <c r="B185" s="12" t="inlineStr">
        <is>
          <t>Delivered or started since 6 Oct</t>
        </is>
      </c>
      <c r="C185" s="9" t="inlineStr">
        <is>
          <t>NEW-036</t>
        </is>
      </c>
      <c r="D185" s="12" t="inlineStr">
        <is>
          <t>Catalog</t>
        </is>
      </c>
      <c r="E185" s="12" t="inlineStr">
        <is>
          <t>Shop product media - photos and descriptions (Module 1)</t>
        </is>
      </c>
      <c r="F185" s="12" t="inlineStr">
        <is>
          <t>Up to 5 photos per shop listing from camera or gallery, drag to reorder; short and long descriptions with fallback to the master product; bulk ZIP (by SKU/barcode) + CSV upload with check-then-apply and resume; shop staff accounts; EXIF/GPS stripped, 200/600/1200 px WebP copies stored outside the web root.</t>
        </is>
      </c>
      <c r="G185" s="12" t="inlineStr">
        <is>
          <t>F9.2.5</t>
        </is>
      </c>
      <c r="H185" s="12" t="inlineStr">
        <is>
          <t>-</t>
        </is>
      </c>
      <c r="I185" s="10" t="inlineStr">
        <is>
          <t>COMPLETED</t>
        </is>
      </c>
      <c r="J185" s="12" t="inlineStr">
        <is>
          <t>Production (gokesari.com)</t>
        </is>
      </c>
      <c r="K185" s="12" t="inlineStr">
        <is>
          <t>Live</t>
        </is>
      </c>
      <c r="L185" s="12" t="inlineStr">
        <is>
          <t>#92 (merged into staging 9 Oct)</t>
        </is>
      </c>
      <c r="M185" s="12" t="inlineStr">
        <is>
          <t>#120</t>
        </is>
      </c>
      <c r="N185" s="12" t="inlineStr">
        <is>
          <t>-</t>
        </is>
      </c>
      <c r="O185" s="12" t="inlineStr">
        <is>
          <t>-</t>
        </is>
      </c>
      <c r="P185" s="12" t="inlineStr">
        <is>
          <t>COMPLETED</t>
        </is>
      </c>
      <c r="Q185" s="12" t="inlineStr">
        <is>
          <t>No change</t>
        </is>
      </c>
      <c r="R185" s="12" t="inlineStr">
        <is>
          <t>docs/three-modules-2026-10/MODULE1_SHOP_PRODUCT_MEDIA.md (PR #92); drizzle/0065 (PR #92)</t>
        </is>
      </c>
    </row>
    <row r="186" ht="75" customFormat="1" customHeight="1" s="2">
      <c r="A186" s="10" t="n">
        <v>185</v>
      </c>
      <c r="B186" s="12" t="inlineStr">
        <is>
          <t>Delivered or started since 6 Oct</t>
        </is>
      </c>
      <c r="C186" s="9" t="inlineStr">
        <is>
          <t>NEW-037</t>
        </is>
      </c>
      <c r="D186" s="12" t="inlineStr">
        <is>
          <t>Integration</t>
        </is>
      </c>
      <c r="E186" s="12" t="inlineStr">
        <is>
          <t>Accounting / inventory integration and GST (Module 2)</t>
        </is>
      </c>
      <c r="F186" s="12" t="inlineStr">
        <is>
          <t>Shop connects TallyPrime, Odoo 19+, Zoho Books (India), myBillBook, Vyapar or any Excel/CSV software; invoices and GST credit notes pushed on delivery / refund through an idempotent outbox; items, stock, price/MRP, HSN and tax rate pulled (never above verified MRP); Tally Windows connector; provider-agnostic GSP (mock only): GSTIN check, e-invoice, e-way bill, GSTR-1-ready export (nothing filed); /admin/gst-config.</t>
        </is>
      </c>
      <c r="G186" s="12" t="inlineStr">
        <is>
          <t>F9.2.6</t>
        </is>
      </c>
      <c r="H186" s="12" t="inlineStr">
        <is>
          <t>-</t>
        </is>
      </c>
      <c r="I186" s="10" t="inlineStr">
        <is>
          <t>BLOCKED</t>
        </is>
      </c>
      <c r="J186" s="12" t="inlineStr">
        <is>
          <t>Production - partly live</t>
        </is>
      </c>
      <c r="K186" s="12" t="inlineStr">
        <is>
          <t>Shops can connect accounting / inventory software; GST e-invoicing on the MOCK GSP until a real GSP is chosen</t>
        </is>
      </c>
      <c r="L186" s="12" t="inlineStr">
        <is>
          <t>#92 (merged into staging 9 Oct)</t>
        </is>
      </c>
      <c r="M186" s="12" t="inlineStr">
        <is>
          <t>#120</t>
        </is>
      </c>
      <c r="N186" s="12" t="inlineStr">
        <is>
          <t>Merge #92; real GSP and sandbox keys; Tally code-signing certificate; CA answers on e-commerce operator questions (TCS / GSTR-8)</t>
        </is>
      </c>
      <c r="O186" s="12" t="inlineStr">
        <is>
          <t>Owner inputs P1, P3, P6 (Blockers #18)</t>
        </is>
      </c>
      <c r="P186" s="12" t="inlineStr">
        <is>
          <t>BLOCKED</t>
        </is>
      </c>
      <c r="Q186" s="12" t="inlineStr">
        <is>
          <t>No change</t>
        </is>
      </c>
      <c r="R186" s="12" t="inlineStr">
        <is>
          <t>docs/three-modules-2026-10/MODULE2_ACCOUNTING_INTEGRATION.md (PR #92); connector/tally (PR #92)</t>
        </is>
      </c>
    </row>
    <row r="187" ht="87" customFormat="1" customHeight="1" s="2">
      <c r="A187" s="10" t="n">
        <v>186</v>
      </c>
      <c r="B187" s="12" t="inlineStr">
        <is>
          <t>Delivered or started since 6 Oct</t>
        </is>
      </c>
      <c r="C187" s="9" t="inlineStr">
        <is>
          <t>NEW-038</t>
        </is>
      </c>
      <c r="D187" s="12" t="inlineStr">
        <is>
          <t>Shop Onboarding</t>
        </is>
      </c>
      <c r="E187" s="12" t="inlineStr">
        <is>
          <t>Shop self-registration with auto-approval (Module 3)</t>
        </is>
      </c>
      <c r="F187" s="12" t="inlineStr">
        <is>
          <t>/shop/join (mobile-first): referral code checked first, SMS code (mock on test), fee plan (Basic / Silver / Gold / Platinum / Industry), terms; registration held as PENDING_PAYMENT; only the Cashfree webhook approves (seven guards against double approval): shop live, owner account + role, PAY- receipt PDF, referral redemption, shop wallet, distributor commission. Admin: fee plans, distributors, auto-approved shops with one-click suspend.</t>
        </is>
      </c>
      <c r="G187" s="12" t="inlineStr">
        <is>
          <t>F8.1.2</t>
        </is>
      </c>
      <c r="H187" s="12" t="inlineStr">
        <is>
          <t>-</t>
        </is>
      </c>
      <c r="I187" s="10" t="inlineStr">
        <is>
          <t>COMPLETED</t>
        </is>
      </c>
      <c r="J187" s="12" t="inlineStr">
        <is>
          <t>Production - built, switched off by default</t>
        </is>
      </c>
      <c r="K187" s="12" t="inlineStr">
        <is>
          <t>Off by default - rule selfRegistration.enabled = false; refused on gokesari.com until a real SMS/WhatsApp provider is set</t>
        </is>
      </c>
      <c r="L187" s="12" t="inlineStr">
        <is>
          <t>#92 (merged into staging 9 Oct)</t>
        </is>
      </c>
      <c r="M187" s="12" t="inlineStr">
        <is>
          <t>#120</t>
        </is>
      </c>
      <c r="N187" s="12" t="inlineStr">
        <is>
          <t>Merge #92; real SMS / WhatsApp provider for production (refused on gokesari.com until set); fee amounts; FSSAI rule for self-registered food shops</t>
        </is>
      </c>
      <c r="O187" s="12" t="inlineStr">
        <is>
          <t>Owner inputs P2, P4, P5 (Blockers #18) before switching it on</t>
        </is>
      </c>
      <c r="P187" s="12" t="inlineStr">
        <is>
          <t>COMPLETED</t>
        </is>
      </c>
      <c r="Q187" s="12" t="inlineStr">
        <is>
          <t>No change</t>
        </is>
      </c>
      <c r="R187" s="12" t="inlineStr">
        <is>
          <t>docs/three-modules-2026-10/MODULE3_SELF_REGISTRATION.md (PR #92); drizzle/0068 (PR #92)</t>
        </is>
      </c>
    </row>
    <row r="188" ht="87" customFormat="1" customHeight="1" s="2">
      <c r="A188" s="10" t="n">
        <v>187</v>
      </c>
      <c r="B188" s="12" t="inlineStr">
        <is>
          <t>Delivered or started since 8 Oct</t>
        </is>
      </c>
      <c r="C188" s="9" t="inlineStr">
        <is>
          <t>NEW-039</t>
        </is>
      </c>
      <c r="D188" s="12" t="inlineStr">
        <is>
          <t>Delivery</t>
        </is>
      </c>
      <c r="E188" s="12" t="inlineStr">
        <is>
          <t>Delivery options and scheduling: pickup, shop's own delivery, GoKesari partner</t>
        </is>
      </c>
      <c r="F188" s="12" t="inlineStr">
        <is>
          <t>When marking an order ready the shop chooses pickup from the shop (customer pickup code), its own delivery person (/shop/delivery-staff; private delivery link with call / directions and the delivery code) or a GoKesari rider (rider search starts 45 min before a later slot; Find rider now still works). 1-hour slots 07:00-22:00 IST up to 7 days ahead; plan can change until collected / out / picked up, releasing a rider; customer told in app + email every time.</t>
        </is>
      </c>
      <c r="G188" s="12" t="inlineStr">
        <is>
          <t>F2.2.4, F2.2.5, F1.9.6</t>
        </is>
      </c>
      <c r="H188" s="12" t="inlineStr">
        <is>
          <t>-</t>
        </is>
      </c>
      <c r="I188" s="10" t="inlineStr">
        <is>
          <t>COMPLETED</t>
        </is>
      </c>
      <c r="J188" s="12" t="inlineStr">
        <is>
          <t>Production - built, switched off by default</t>
        </is>
      </c>
      <c r="K188" s="12" t="inlineStr">
        <is>
          <t>Off by default - rule fulfilmentOptions.enabled = false (on for the test site only)</t>
        </is>
      </c>
      <c r="L188" s="12" t="inlineStr">
        <is>
          <t>#102; #103 (repeat-safe mark-ready and handovers)</t>
        </is>
      </c>
      <c r="M188" s="12" t="inlineStr">
        <is>
          <t>#120</t>
        </is>
      </c>
      <c r="N188" s="12" t="inlineStr">
        <is>
          <t>Production release (migrations 0056-0064); owner decision F1-8 - refund the customer's delivery fee automatically when the shop chooses pickup?</t>
        </is>
      </c>
      <c r="O188" s="12" t="inlineStr">
        <is>
          <t>Switch on in Admin &gt; Business rules when ready</t>
        </is>
      </c>
      <c r="P188" s="12" t="inlineStr">
        <is>
          <t>COMPLETED</t>
        </is>
      </c>
      <c r="Q188" s="12" t="inlineStr">
        <is>
          <t>No change</t>
        </is>
      </c>
      <c r="R188" s="12" t="inlineStr">
        <is>
          <t>docs/four-features-2026-10/README.md; TEST_RESULTS.md; drizzle/0061_fulfilment_options.sql</t>
        </is>
      </c>
    </row>
    <row r="189" ht="75" customFormat="1" customHeight="1" s="2">
      <c r="A189" s="10" t="n">
        <v>188</v>
      </c>
      <c r="B189" s="12" t="inlineStr">
        <is>
          <t>Delivered or started since 8 Oct</t>
        </is>
      </c>
      <c r="C189" s="9" t="inlineStr">
        <is>
          <t>NEW-040</t>
        </is>
      </c>
      <c r="D189" s="12" t="inlineStr">
        <is>
          <t>Shop Onboarding</t>
        </is>
      </c>
      <c r="E189" s="12" t="inlineStr">
        <is>
          <t>Mandatory legal documents by shop type (FSSAI, drug licence, medical registration)</t>
        </is>
      </c>
      <c r="F189" s="12" t="inlineStr">
        <is>
          <t>/shop/legal-documents lists what the shop must hold (FSSAI: 14 digits + expiry + copy; drug licence; medical registration + council). A new shop cannot go live until each is submitted; a live shop gets a 15-day grace period, then checkout refuses it and it cannot accept orders. Expiry reminder 30 days ahead; operations review at /admin/legal-documents (approve / reject with reason, audited copy access).</t>
        </is>
      </c>
      <c r="G189" s="12" t="inlineStr">
        <is>
          <t>F8.2.5</t>
        </is>
      </c>
      <c r="H189" s="12" t="inlineStr">
        <is>
          <t>-</t>
        </is>
      </c>
      <c r="I189" s="10" t="inlineStr">
        <is>
          <t>COMPLETED</t>
        </is>
      </c>
      <c r="J189" s="12" t="inlineStr">
        <is>
          <t>Production - built, switched off by default</t>
        </is>
      </c>
      <c r="K189" s="12" t="inlineStr">
        <is>
          <t>Off by default - rule legalDocuments.enabled = false (on for the test site only)</t>
        </is>
      </c>
      <c r="L189" s="12" t="inlineStr">
        <is>
          <t>#102; #103 (wording fixes)</t>
        </is>
      </c>
      <c r="M189" s="12" t="inlineStr">
        <is>
          <t>#120</t>
        </is>
      </c>
      <c r="N189" s="12" t="inlineStr">
        <is>
          <t>Production release; tell shop owners about the 15-day grace first; decision - also hide shops past their grace period from customers?</t>
        </is>
      </c>
      <c r="O189" s="12" t="inlineStr">
        <is>
          <t>Tell shop owners about the 15-day grace, then switch on (Blockers #28)</t>
        </is>
      </c>
      <c r="P189" s="12" t="inlineStr">
        <is>
          <t>COMPLETED</t>
        </is>
      </c>
      <c r="Q189" s="12" t="inlineStr">
        <is>
          <t>No change</t>
        </is>
      </c>
      <c r="R189" s="12" t="inlineStr">
        <is>
          <t>docs/four-features-2026-10/README.md; TEST_RESULTS.md; drizzle/0062_legal_documents.sql</t>
        </is>
      </c>
    </row>
    <row r="190" ht="75" customFormat="1" customHeight="1" s="2">
      <c r="A190" s="10" t="n">
        <v>189</v>
      </c>
      <c r="B190" s="12" t="inlineStr">
        <is>
          <t>Delivered or started since 8 Oct</t>
        </is>
      </c>
      <c r="C190" s="9" t="inlineStr">
        <is>
          <t>NEW-041</t>
        </is>
      </c>
      <c r="D190" s="12" t="inlineStr">
        <is>
          <t>Payments</t>
        </is>
      </c>
      <c r="E190" s="12" t="inlineStr">
        <is>
          <t>Bank account details with Rs 1 verification (shops for payouts, customers for refunds)</t>
        </is>
      </c>
      <c r="F190" s="12" t="inlineStr">
        <is>
          <t>Bank account (holder, account number twice, IFSC) or UPI ID at /shop/bank-account and /profile/bank-account; verified by a Rs 1 Cashfree payment (UPI, debit card, credit card, net banking), refunded automatically; numbers encrypted at rest, last 4 digits shown; changing details needs re-verification; 5 attempts a day; payouts held without a verified account; finance view /admin/bank-accounts (masked).</t>
        </is>
      </c>
      <c r="G190" s="12" t="inlineStr">
        <is>
          <t>F10.2.6</t>
        </is>
      </c>
      <c r="H190" s="12" t="inlineStr">
        <is>
          <t>-</t>
        </is>
      </c>
      <c r="I190" s="10" t="inlineStr">
        <is>
          <t>COMPLETED</t>
        </is>
      </c>
      <c r="J190" s="12" t="inlineStr">
        <is>
          <t>Production - built, switched off by default</t>
        </is>
      </c>
      <c r="K190" s="12" t="inlineStr">
        <is>
          <t>Off by default - rule bankAccounts.enabled = false (on for the test site only)</t>
        </is>
      </c>
      <c r="L190" s="12" t="inlineStr">
        <is>
          <t>#102; #103 (refund status re-checked from Cashfree)</t>
        </is>
      </c>
      <c r="M190" s="12" t="inlineStr">
        <is>
          <t>#120</t>
        </is>
      </c>
      <c r="N190" s="12" t="inlineStr">
        <is>
          <t>Production release; Cashfree live keys with the Refunds API; payout gate not run on test (covered by integration tests); decisions - buy Cashfree Verification Suite for the bank's name? offer refunds to bank at all?</t>
        </is>
      </c>
      <c r="O190" s="12" t="inlineStr">
        <is>
          <t>Cashfree live keys with the Refunds API (Blockers #24), then switch on</t>
        </is>
      </c>
      <c r="P190" s="12" t="inlineStr">
        <is>
          <t>COMPLETED</t>
        </is>
      </c>
      <c r="Q190" s="12" t="inlineStr">
        <is>
          <t>No change</t>
        </is>
      </c>
      <c r="R190" s="12" t="inlineStr">
        <is>
          <t>docs/four-features-2026-10/README.md; TEST_RESULTS.md; drizzle/0063_bank_accounts.sql</t>
        </is>
      </c>
    </row>
    <row r="191" ht="75" customFormat="1" customHeight="1" s="2">
      <c r="A191" s="10" t="n">
        <v>190</v>
      </c>
      <c r="B191" s="12" t="inlineStr">
        <is>
          <t>Delivered or started since 8 Oct</t>
        </is>
      </c>
      <c r="C191" s="9" t="inlineStr">
        <is>
          <t>NEW-042</t>
        </is>
      </c>
      <c r="D191" s="12" t="inlineStr">
        <is>
          <t>Shop Onboarding</t>
        </is>
      </c>
      <c r="E191" s="12" t="inlineStr">
        <is>
          <t>Mandatory referral code at shop registration + 'Request a referral code'</t>
        </is>
      </c>
      <c r="F191" s="12" t="inlineStr">
        <is>
          <t>Referral code required on /shop/register (empty, unknown, inactive or expired codes are refused; operators registering for someone are exempt). 'Request a referral code' captures name, mobile, shop type, area, city, PIN and (if allowed) location + Maps link, emails referrals@gokesari.com, tells support; one request per mobile per 24 h. Operations issue or reject at /admin/referral-requests.</t>
        </is>
      </c>
      <c r="G191" s="12" t="inlineStr">
        <is>
          <t>F8.1.3</t>
        </is>
      </c>
      <c r="H191" s="12" t="inlineStr">
        <is>
          <t>-</t>
        </is>
      </c>
      <c r="I191" s="10" t="inlineStr">
        <is>
          <t>COMPLETED</t>
        </is>
      </c>
      <c r="J191" s="12" t="inlineStr">
        <is>
          <t>Production - built, switched off by default</t>
        </is>
      </c>
      <c r="K191" s="12" t="inlineStr">
        <is>
          <t>Admin &gt; Referral settings: referral_required_shop = OPTIONAL on production (checked 14 Oct)</t>
        </is>
      </c>
      <c r="L191" s="12" t="inlineStr">
        <is>
          <t>#102; #103 (stale error cleared)</t>
        </is>
      </c>
      <c r="M191" s="12" t="inlineStr">
        <is>
          <t>#120</t>
        </is>
      </c>
      <c r="N191" s="12" t="inlineStr">
        <is>
          <t>Production release; create referral codes before switching it on (or registrations stop); confirm who owns referrals@gokesari.com and that mail arrives there</t>
        </is>
      </c>
      <c r="O191" s="12" t="inlineStr">
        <is>
          <t>Create referral codes and the referrals@ mailbox (Blockers #26), then switch on</t>
        </is>
      </c>
      <c r="P191" s="12" t="inlineStr">
        <is>
          <t>COMPLETED</t>
        </is>
      </c>
      <c r="Q191" s="12" t="inlineStr">
        <is>
          <t>No change</t>
        </is>
      </c>
      <c r="R191" s="12" t="inlineStr">
        <is>
          <t>docs/four-features-2026-10/README.md; TEST_RESULTS.md; drizzle/0064_referral_code_requests.sql</t>
        </is>
      </c>
    </row>
    <row r="192" ht="87" customFormat="1" customHeight="1" s="2">
      <c r="A192" s="10" t="n">
        <v>191</v>
      </c>
      <c r="B192" s="12" t="inlineStr">
        <is>
          <t>Delivered or started since 8 Oct</t>
        </is>
      </c>
      <c r="C192" s="9" t="inlineStr">
        <is>
          <t>NEW-043</t>
        </is>
      </c>
      <c r="D192" s="12" t="inlineStr">
        <is>
          <t>Mobile App</t>
        </is>
      </c>
      <c r="E192" s="12" t="inlineStr">
        <is>
          <t>Android and iPhone app (mobile/) - native shell around gokesari.com</t>
        </is>
      </c>
      <c r="F192" s="12" t="inlineStr">
        <is>
          <t>Expo app showing the website for every role, plus native pieces: location, camera / gallery uploads, downloads (Android Downloads / iPhone share sheet), print, share sheet, phone / WhatsApp / Maps links, offline screen, Android back button. Two builds: production (gokesari.com, com.gokesari.app) and preview (test.gokesari.com). Website changes reach the app without an app update.</t>
        </is>
      </c>
      <c r="G192" s="12" t="inlineStr">
        <is>
          <t>F15.1.1, F15.1.3, F15.1.4, F15.2.1</t>
        </is>
      </c>
      <c r="H192" s="12" t="inlineStr">
        <is>
          <t>-</t>
        </is>
      </c>
      <c r="I192" s="10" t="inlineStr">
        <is>
          <t>IN PROGRESS</t>
        </is>
      </c>
      <c r="J192" s="12" t="inlineStr">
        <is>
          <t>Mobile app - Android test builds only (not in stores)</t>
        </is>
      </c>
      <c r="K192" s="12" t="inlineStr">
        <is>
          <t>Android APK from the 'Android APK' workflow (test signing key); not on Google Play or the App Store</t>
        </is>
      </c>
      <c r="L192" s="12" t="inlineStr">
        <is>
          <t>#100</t>
        </is>
      </c>
      <c r="M192" s="12" t="inlineStr">
        <is>
          <t>#100 (code on main; no store release)</t>
        </is>
      </c>
      <c r="N192" s="12" t="inlineStr">
        <is>
          <t>Expo account + EAS project id; Google Play Console ($25) and first .aab upload; Apple Developer Program ($99/yr) for any iPhone install; store listings (privacy policy, Data safety form, screenshots)</t>
        </is>
      </c>
      <c r="O192" s="12" t="inlineStr">
        <is>
          <t>Owner: Apple Developer account, then the iPhone build secrets (PLT-017); Google Play account for Android</t>
        </is>
      </c>
      <c r="P192" s="12" t="inlineStr">
        <is>
          <t>IN PROGRESS</t>
        </is>
      </c>
      <c r="Q192" s="12" t="inlineStr">
        <is>
          <t>No change</t>
        </is>
      </c>
      <c r="R192" s="12" t="inlineStr">
        <is>
          <t>mobile/README.md; mobile/src/App.tsx; .github/workflows/mobile-apk.yml</t>
        </is>
      </c>
    </row>
    <row r="193" ht="63" customFormat="1" customHeight="1" s="2">
      <c r="A193" s="10" t="n">
        <v>192</v>
      </c>
      <c r="B193" s="12" t="inlineStr">
        <is>
          <t>Delivered or started since 8 Oct</t>
        </is>
      </c>
      <c r="C193" s="9" t="inlineStr">
        <is>
          <t>NEW-044</t>
        </is>
      </c>
      <c r="D193" s="12" t="inlineStr">
        <is>
          <t>Mobile App</t>
        </is>
      </c>
      <c r="E193" s="12" t="inlineStr">
        <is>
          <t>Website support for the app: Google sign-in hand-off and deep-link files</t>
        </is>
      </c>
      <c r="F193" s="12" t="inlineStr">
        <is>
          <t>/mobile-auth/start -&gt; Google -&gt; /mobile-auth/complete in the phone's browser hands the app a 2-minute, HMAC-signed, PKCE-bound code that /mobile-auth/finish redeems; /signin hides the emailed-link form inside the app; /.well-known/assetlinks.json and apple-app-site-association served from MOBILE_* env vars.</t>
        </is>
      </c>
      <c r="G193" s="12" t="inlineStr">
        <is>
          <t>F15.2.2, F15.2.3</t>
        </is>
      </c>
      <c r="H193" s="12" t="inlineStr">
        <is>
          <t>-</t>
        </is>
      </c>
      <c r="I193" s="10" t="inlineStr">
        <is>
          <t>COMPLETED</t>
        </is>
      </c>
      <c r="J193" s="12" t="inlineStr">
        <is>
          <t>Production (gokesari.com)</t>
        </is>
      </c>
      <c r="K193" s="12" t="inlineStr">
        <is>
          <t>Sign-in hand-off live; deep links off until MOBILE_* env vars are set (after the first store build) - assetlinks.json answers 404 today</t>
        </is>
      </c>
      <c r="L193" s="12" t="inlineStr">
        <is>
          <t>#100</t>
        </is>
      </c>
      <c r="M193" s="12" t="inlineStr">
        <is>
          <t>#100</t>
        </is>
      </c>
      <c r="N193" s="12" t="inlineStr">
        <is>
          <t>Set MOBILE_ANDROID_CERT_SHA256 / Apple team id after the first store build so gokesari.com links open the app</t>
        </is>
      </c>
      <c r="O193" s="12" t="inlineStr">
        <is>
          <t>-</t>
        </is>
      </c>
      <c r="P193" s="12" t="inlineStr">
        <is>
          <t>COMPLETED</t>
        </is>
      </c>
      <c r="Q193" s="12" t="inlineStr">
        <is>
          <t>No change</t>
        </is>
      </c>
      <c r="R193" s="12" t="inlineStr">
        <is>
          <t>src/app/mobile-auth/; src/server/mobile-auth.ts; src/app/.well-known/</t>
        </is>
      </c>
    </row>
    <row r="194" ht="51" customFormat="1" customHeight="1" s="2">
      <c r="A194" s="10" t="n">
        <v>193</v>
      </c>
      <c r="B194" s="12" t="inlineStr">
        <is>
          <t>Delivered or started since 8 Oct</t>
        </is>
      </c>
      <c r="C194" s="9" t="inlineStr">
        <is>
          <t>NEW-045</t>
        </is>
      </c>
      <c r="D194" s="12" t="inlineStr">
        <is>
          <t>Mobile App</t>
        </is>
      </c>
      <c r="E194" s="12" t="inlineStr">
        <is>
          <t>iPhone home-screen app (web app manifest, full-screen, Back button)</t>
        </is>
      </c>
      <c r="F194" s="12" t="inlineStr">
        <is>
          <t>Without an Apple Developer account iPhone users add gokesari.com to the home screen from Safari; it opens full-screen with the GoKesari name and icon, and a Back button appears in the header only in that mode. Chrome on Android also offers 'Install app' from the manifest.</t>
        </is>
      </c>
      <c r="G194" s="12" t="inlineStr">
        <is>
          <t>F15.1.2</t>
        </is>
      </c>
      <c r="H194" s="12" t="inlineStr">
        <is>
          <t>-</t>
        </is>
      </c>
      <c r="I194" s="10" t="inlineStr">
        <is>
          <t>COMPLETED</t>
        </is>
      </c>
      <c r="J194" s="12" t="inlineStr">
        <is>
          <t>Production (gokesari.com)</t>
        </is>
      </c>
      <c r="K194" s="12" t="inlineStr">
        <is>
          <t>Live</t>
        </is>
      </c>
      <c r="L194" s="12" t="inlineStr">
        <is>
          <t>#100</t>
        </is>
      </c>
      <c r="M194" s="12" t="inlineStr">
        <is>
          <t>#100</t>
        </is>
      </c>
      <c r="N194" s="12" t="inlineStr">
        <is>
          <t>-</t>
        </is>
      </c>
      <c r="O194" s="12" t="inlineStr">
        <is>
          <t>-</t>
        </is>
      </c>
      <c r="P194" s="12" t="inlineStr">
        <is>
          <t>COMPLETED</t>
        </is>
      </c>
      <c r="Q194" s="12" t="inlineStr">
        <is>
          <t>No change</t>
        </is>
      </c>
      <c r="R194" s="12" t="inlineStr">
        <is>
          <t>src/app/manifest.ts; src/components/standalone-back-button.tsx; public/pwa/</t>
        </is>
      </c>
    </row>
    <row r="195" ht="87" customFormat="1" customHeight="1" s="2">
      <c r="A195" s="10" t="n">
        <v>194</v>
      </c>
      <c r="B195" s="12" t="inlineStr">
        <is>
          <t>Delivered or started since 8 Oct</t>
        </is>
      </c>
      <c r="C195" s="9" t="inlineStr">
        <is>
          <t>NEW-046</t>
        </is>
      </c>
      <c r="D195" s="12" t="inlineStr">
        <is>
          <t>Navigation / UX</t>
        </is>
      </c>
      <c r="E195" s="12" t="inlineStr">
        <is>
          <t>Tile Board home screens (approved 'Theme 1 Tile Board') for customer, shop owner, admin and operator</t>
        </is>
      </c>
      <c r="F195" s="12" t="inlineStr">
        <is>
          <t>Each role's home is one screen (320-1920 px; English, Hindi, Marathi): customer / (search, Do now, picture categories, tiles, cart bar), shop owner /shop (account alerts, Do now, 16 tiles), admin /admin (Do now: approvals, reviews, refunds, escalated; 9 tiles), operator /admin (Do now: late orders, shop applications, open tickets, rider applications; 7 tiles incl. Catalogue). On touch screens each tile is one large target; wide screens keep 36 px chips. Live counts, entries hidden by permission.</t>
        </is>
      </c>
      <c r="G195" s="12" t="inlineStr">
        <is>
          <t>F1.3.1</t>
        </is>
      </c>
      <c r="H195" s="12" t="inlineStr">
        <is>
          <t>-</t>
        </is>
      </c>
      <c r="I195" s="10" t="inlineStr">
        <is>
          <t>COMPLETED</t>
        </is>
      </c>
      <c r="J195" s="12" t="inlineStr">
        <is>
          <t>Production (gokesari.com)</t>
        </is>
      </c>
      <c r="K195" s="12" t="inlineStr">
        <is>
          <t>Live</t>
        </is>
      </c>
      <c r="L195" s="12" t="inlineStr">
        <is>
          <t>#112; #114 (fits the app's shorter screen); #116 (iPhone Back button); #122 (everywhere); #124; #127; #130</t>
        </is>
      </c>
      <c r="M195" s="12" t="inlineStr">
        <is>
          <t>#120; #123; #126; #129; #131</t>
        </is>
      </c>
      <c r="N195" s="12" t="inlineStr">
        <is>
          <t>4 mockup entries have no feature behind them (customer Favourites, App theme, Call rider; shop Theme) - nearest real pages shown; shop owner board 2 px over at 320x640 with two alerts (accepted, D-02); 1-3 submenu labels hidden at 320x640</t>
        </is>
      </c>
      <c r="O195" s="12" t="inlineStr">
        <is>
          <t>Owner: decide whether to build the 4 missing features</t>
        </is>
      </c>
      <c r="P195" s="12" t="inlineStr">
        <is>
          <t>COMPLETED</t>
        </is>
      </c>
      <c r="Q195" s="12" t="inlineStr">
        <is>
          <t>No change</t>
        </is>
      </c>
      <c r="R195" s="12" t="inlineStr">
        <is>
          <t>docs/tile-board-2026-10/README.md; docs/tile-board-2026-10/TEST_RESULTS.md; src/lib/board/menus.ts; src/components/board/; docs/tile-board-2026-10/UI_PASS_2026-10-09.md; TEST_RESULTS_UI_PASS.md</t>
        </is>
      </c>
    </row>
    <row r="196" ht="63" customFormat="1" customHeight="1" s="2">
      <c r="A196" s="10" t="n">
        <v>195</v>
      </c>
      <c r="B196" s="12" t="inlineStr">
        <is>
          <t>Delivered or started since 8 Oct</t>
        </is>
      </c>
      <c r="C196" s="9" t="inlineStr">
        <is>
          <t>NEW-047</t>
        </is>
      </c>
      <c r="D196" s="12" t="inlineStr">
        <is>
          <t>Navigation / UX</t>
        </is>
      </c>
      <c r="E196" s="12" t="inlineStr">
        <is>
          <t>Language switch EN / Hindi / Marathi (boards, header and menus on every page)</t>
        </is>
      </c>
      <c r="F196" s="12" t="inlineStr">
        <is>
          <t>EN / हिं / मरा switch in the header of every page; choice kept in the gk_lang cookie and rendered on the server. Boards, menu pages, header, tabs, Do now and the error / not-found screens are translated; names from the database shown as entered. Body text of forms, tables and policy pages stays English.</t>
        </is>
      </c>
      <c r="G196" s="12" t="inlineStr">
        <is>
          <t>-</t>
        </is>
      </c>
      <c r="H196" s="12" t="inlineStr">
        <is>
          <t>-</t>
        </is>
      </c>
      <c r="I196" s="10" t="inlineStr">
        <is>
          <t>COMPLETED</t>
        </is>
      </c>
      <c r="J196" s="12" t="inlineStr">
        <is>
          <t>Production (gokesari.com)</t>
        </is>
      </c>
      <c r="K196" s="12" t="inlineStr">
        <is>
          <t>Live</t>
        </is>
      </c>
      <c r="L196" s="12" t="inlineStr">
        <is>
          <t>#112; #122 (every page)</t>
        </is>
      </c>
      <c r="M196" s="12" t="inlineStr">
        <is>
          <t>#120; #123</t>
        </is>
      </c>
      <c r="N196" s="12" t="inlineStr">
        <is>
          <t>Body text of forms, tables and policy pages is English only - thousands of strings, needs native-speaker review (GAP-015)</t>
        </is>
      </c>
      <c r="O196" s="12" t="inlineStr">
        <is>
          <t>Owner: decide on inner-page translation (Blockers #38)</t>
        </is>
      </c>
      <c r="P196" s="12" t="inlineStr">
        <is>
          <t>COMPLETED</t>
        </is>
      </c>
      <c r="Q196" s="12" t="inlineStr">
        <is>
          <t>No change</t>
        </is>
      </c>
      <c r="R196" s="12" t="inlineStr">
        <is>
          <t>src/lib/board/i18n.ts; src/server/language-action.ts</t>
        </is>
      </c>
    </row>
    <row r="197" ht="51" customFormat="1" customHeight="1" s="2">
      <c r="A197" s="10" t="n">
        <v>196</v>
      </c>
      <c r="B197" s="12" t="inlineStr">
        <is>
          <t>Delivered or started since 8 Oct</t>
        </is>
      </c>
      <c r="C197" s="9" t="inlineStr">
        <is>
          <t>NEW-048</t>
        </is>
      </c>
      <c r="D197" s="12" t="inlineStr">
        <is>
          <t>Marketing</t>
        </is>
      </c>
      <c r="E197" s="12" t="inlineStr">
        <is>
          <t>Mandatory customer referral code at sign-up, with 'ask us for a code'</t>
        </is>
      </c>
      <c r="F197" s="12" t="inlineStr">
        <is>
          <t>Customers who join on or after a set date need a referral code before their first order or subscription; they can ask GoKesari for one (duplicate requests within the window answered once).</t>
        </is>
      </c>
      <c r="G197" s="12" t="inlineStr">
        <is>
          <t>F11.2.2</t>
        </is>
      </c>
      <c r="H197" s="12" t="inlineStr">
        <is>
          <t>-</t>
        </is>
      </c>
      <c r="I197" s="10" t="inlineStr">
        <is>
          <t>COMPLETED</t>
        </is>
      </c>
      <c r="J197" s="12" t="inlineStr">
        <is>
          <t>Production - built, switched off by default</t>
        </is>
      </c>
      <c r="K197" s="12" t="inlineStr">
        <is>
          <t>Admin &gt; Referral settings: referral_required_customer = OPTIONAL on production (checked 14 Oct)</t>
        </is>
      </c>
      <c r="L197" s="12" t="inlineStr">
        <is>
          <t>#106; #109; #110</t>
        </is>
      </c>
      <c r="M197" s="12" t="inlineStr">
        <is>
          <t>#120</t>
        </is>
      </c>
      <c r="N197" s="12" t="inlineStr">
        <is>
          <t>-</t>
        </is>
      </c>
      <c r="O197" s="12" t="inlineStr">
        <is>
          <t>Set requiredFrom and switch on when codes can be issued</t>
        </is>
      </c>
      <c r="P197" s="12" t="inlineStr">
        <is>
          <t>COMPLETED</t>
        </is>
      </c>
      <c r="Q197" s="12" t="inlineStr">
        <is>
          <t>No change</t>
        </is>
      </c>
      <c r="R197" s="12" t="inlineStr">
        <is>
          <t>docs/four-features-2026-10/README.md; src/server/services/customer-signup-referrals.ts</t>
        </is>
      </c>
    </row>
    <row r="198" ht="51" customFormat="1" customHeight="1" s="2">
      <c r="A198" s="10" t="n">
        <v>197</v>
      </c>
      <c r="B198" s="12" t="inlineStr">
        <is>
          <t>Delivered or started since 8 Oct</t>
        </is>
      </c>
      <c r="C198" s="9" t="inlineStr">
        <is>
          <t>NEW-049</t>
        </is>
      </c>
      <c r="D198" s="12" t="inlineStr">
        <is>
          <t>Payments</t>
        </is>
      </c>
      <c r="E198" s="12" t="inlineStr">
        <is>
          <t>Refunds to the customer's verified bank account</t>
        </is>
      </c>
      <c r="F198" s="12" t="inlineStr">
        <is>
          <t>Refunded money (not top-ups or promotional credit) can be sent to the customer's verified bank account within 30 days; finance sends the transfer; approved legal wording on /legal/wallet-terms and /legal/refund-policy while the rule is on.</t>
        </is>
      </c>
      <c r="G198" s="12" t="inlineStr">
        <is>
          <t>F6.2.2</t>
        </is>
      </c>
      <c r="H198" s="12" t="inlineStr">
        <is>
          <t>-</t>
        </is>
      </c>
      <c r="I198" s="10" t="inlineStr">
        <is>
          <t>COMPLETED</t>
        </is>
      </c>
      <c r="J198" s="12" t="inlineStr">
        <is>
          <t>Production - built, switched off by default</t>
        </is>
      </c>
      <c r="K198" s="12" t="inlineStr">
        <is>
          <t>Off by default - rule bankRefunds.enabled = false</t>
        </is>
      </c>
      <c r="L198" s="12" t="inlineStr">
        <is>
          <t>#106; #111 (approved wording O-8)</t>
        </is>
      </c>
      <c r="M198" s="12" t="inlineStr">
        <is>
          <t>#120</t>
        </is>
      </c>
      <c r="N198" s="12" t="inlineStr">
        <is>
          <t>-</t>
        </is>
      </c>
      <c r="O198" s="12" t="inlineStr">
        <is>
          <t>Switch on with bank accounts (NEW-041)</t>
        </is>
      </c>
      <c r="P198" s="12" t="inlineStr">
        <is>
          <t>COMPLETED</t>
        </is>
      </c>
      <c r="Q198" s="12" t="inlineStr">
        <is>
          <t>No change</t>
        </is>
      </c>
      <c r="R198" s="12" t="inlineStr">
        <is>
          <t>docs/four-features-2026-10/README.md; src/server/services/bank-refunds.ts</t>
        </is>
      </c>
    </row>
    <row r="199" ht="51" customFormat="1" customHeight="1" s="2">
      <c r="A199" s="10" t="n">
        <v>198</v>
      </c>
      <c r="B199" s="12" t="inlineStr">
        <is>
          <t>Delivered or started since 8 Oct</t>
        </is>
      </c>
      <c r="C199" s="9" t="inlineStr">
        <is>
          <t>NEW-050</t>
        </is>
      </c>
      <c r="D199" s="12" t="inlineStr">
        <is>
          <t>Payments</t>
        </is>
      </c>
      <c r="E199" s="12" t="inlineStr">
        <is>
          <t>Bank account checked with the bank (Cashfree Verification Suite) instead of the Rs 1 payment</t>
        </is>
      </c>
      <c r="F199" s="12" t="inlineStr">
        <is>
          <t>When a bank account is saved, Cashfree's bank-account verification checks it is valid and whose name it is in: a match is verified at once without the Rs 1 payment; a mismatch fails with the reason. Falls back to Rs 1 when keys are missing.</t>
        </is>
      </c>
      <c r="G199" s="12" t="inlineStr">
        <is>
          <t>F10.2.6</t>
        </is>
      </c>
      <c r="H199" s="12" t="inlineStr">
        <is>
          <t>-</t>
        </is>
      </c>
      <c r="I199" s="10" t="inlineStr">
        <is>
          <t>COMPLETED</t>
        </is>
      </c>
      <c r="J199" s="12" t="inlineStr">
        <is>
          <t>Production - built, switched off by default</t>
        </is>
      </c>
      <c r="K199" s="12" t="inlineStr">
        <is>
          <t>Off by default - rule bankAccountCheck.enabled = false</t>
        </is>
      </c>
      <c r="L199" s="12" t="inlineStr">
        <is>
          <t>#115; #117 (accepts Cashfree's own key names)</t>
        </is>
      </c>
      <c r="M199" s="12" t="inlineStr">
        <is>
          <t>#120</t>
        </is>
      </c>
      <c r="N199" s="12" t="inlineStr">
        <is>
          <t>Test site showed 'Keys not found' before #117</t>
        </is>
      </c>
      <c r="O199" s="12" t="inlineStr">
        <is>
          <t>Verification Suite keys on production, then switch on</t>
        </is>
      </c>
      <c r="P199" s="12" t="inlineStr">
        <is>
          <t>COMPLETED</t>
        </is>
      </c>
      <c r="Q199" s="12" t="inlineStr">
        <is>
          <t>No change</t>
        </is>
      </c>
      <c r="R199" s="12" t="inlineStr">
        <is>
          <t>src/server/services/bank-account-check.ts; drizzle/0073_bank_account_checks.sql</t>
        </is>
      </c>
    </row>
    <row r="200" ht="99" customFormat="1" customHeight="1" s="2">
      <c r="A200" s="10" t="n">
        <v>199</v>
      </c>
      <c r="B200" s="12" t="inlineStr">
        <is>
          <t>Delivered or started since 9 Oct</t>
        </is>
      </c>
      <c r="C200" s="9" t="inlineStr">
        <is>
          <t>NEW-051</t>
        </is>
      </c>
      <c r="D200" s="12" t="inlineStr">
        <is>
          <t>Navigation / UX</t>
        </is>
      </c>
      <c r="E200" s="12" t="inlineStr">
        <is>
          <t>Tile Board everywhere: one path to every function</t>
        </is>
      </c>
      <c r="F200" s="12" t="inlineStr">
        <is>
          <t>Tiles open their own tabbed page or a menu page (/shop/menu/{key}, /admin/menu/{key}) listing the board's submenus plus 'More'; every function within 2 taps and at most 7 entries per group. The 17-section admin console is split into /admin/console/{section} and the shop dashboard into /shop/manage/{section}. A one-row header with a Board button replaces the role dropdowns (12-39 links) and the phone drawer; admins and operators no longer see cart, deliver-to or wallet; operators get a Catalogue tile. Old /admin#..., /shop#... links forward.</t>
        </is>
      </c>
      <c r="G200" s="12" t="inlineStr">
        <is>
          <t>F1.3.1</t>
        </is>
      </c>
      <c r="H200" s="12" t="inlineStr">
        <is>
          <t>-</t>
        </is>
      </c>
      <c r="I200" s="10" t="inlineStr">
        <is>
          <t>COMPLETED</t>
        </is>
      </c>
      <c r="J200" s="12" t="inlineStr">
        <is>
          <t>Production (gokesari.com)</t>
        </is>
      </c>
      <c r="K200" s="12" t="inlineStr">
        <is>
          <t>Live</t>
        </is>
      </c>
      <c r="L200" s="12" t="inlineStr">
        <is>
          <t>#122</t>
        </is>
      </c>
      <c r="M200" s="12" t="inlineStr">
        <is>
          <t>#123</t>
        </is>
      </c>
      <c r="N200" s="12" t="inlineStr">
        <is>
          <t>1-3 submenu labels hidden on boards at 320x640 (accepted limit, DT-12)</t>
        </is>
      </c>
      <c r="O200" s="12" t="inlineStr">
        <is>
          <t>-</t>
        </is>
      </c>
      <c r="P200" s="12" t="inlineStr">
        <is>
          <t>COMPLETED</t>
        </is>
      </c>
      <c r="Q200" s="12" t="inlineStr">
        <is>
          <t>No change</t>
        </is>
      </c>
      <c r="R200" s="12" t="inlineStr">
        <is>
          <t>docs/tile-board-2026-10/UI_PASS_2026-10-09.md; src/lib/board/menus.ts; src/app/admin/menu/[key]; src/app/shop/menu/[key]; tests/unit/tile-board.test.ts</t>
        </is>
      </c>
    </row>
    <row r="201" ht="87" customFormat="1" customHeight="1" s="2">
      <c r="A201" s="10" t="n">
        <v>200</v>
      </c>
      <c r="B201" s="12" t="inlineStr">
        <is>
          <t>Delivered or started since 9 Oct</t>
        </is>
      </c>
      <c r="C201" s="9" t="inlineStr">
        <is>
          <t>NEW-052</t>
        </is>
      </c>
      <c r="D201" s="12" t="inlineStr">
        <is>
          <t>Navigation / UX</t>
        </is>
      </c>
      <c r="E201" s="12" t="inlineStr">
        <is>
          <t>Status tabs and paging on lists; one screen per view on the longest pages</t>
        </is>
      </c>
      <c r="F201" s="12" t="inlineStr">
        <is>
          <t>Tabs that count exactly what the board badges count: shop orders (New / Packing / Ready / Out / Done / All), returns (Requests / Pickups), disputes (Open / Resolved), My Orders (Active / Past). My Profile tabs (details / notifications / offers); category, shop and search pages six products a page with tabs; admin dashboard, Finance, Compliance and the shop's Today page behind section tabs; business rules as a searchable list; shop products and admin shop categories paged.</t>
        </is>
      </c>
      <c r="G201" s="12" t="inlineStr">
        <is>
          <t>-</t>
        </is>
      </c>
      <c r="H201" s="12" t="inlineStr">
        <is>
          <t>-</t>
        </is>
      </c>
      <c r="I201" s="10" t="inlineStr">
        <is>
          <t>COMPLETED</t>
        </is>
      </c>
      <c r="J201" s="12" t="inlineStr">
        <is>
          <t>Production (gokesari.com)</t>
        </is>
      </c>
      <c r="K201" s="12" t="inlineStr">
        <is>
          <t>Live</t>
        </is>
      </c>
      <c r="L201" s="12" t="inlineStr">
        <is>
          <t>#122; #124</t>
        </is>
      </c>
      <c r="M201" s="12" t="inlineStr">
        <is>
          <t>#123; #126</t>
        </is>
      </c>
      <c r="N201" s="12" t="inlineStr">
        <is>
          <t>38 second-level pages still run over 3 phone screens (median 2.2 screens)</t>
        </is>
      </c>
      <c r="O201" s="12" t="inlineStr">
        <is>
          <t>-</t>
        </is>
      </c>
      <c r="P201" s="12" t="inlineStr">
        <is>
          <t>COMPLETED</t>
        </is>
      </c>
      <c r="Q201" s="12" t="inlineStr">
        <is>
          <t>No change</t>
        </is>
      </c>
      <c r="R201" s="12" t="inlineStr">
        <is>
          <t>src/lib/board/status-groups.ts; src/components/board/list-tabs.tsx; src/components/board/section-tabs.tsx</t>
        </is>
      </c>
    </row>
    <row r="202" ht="51" customFormat="1" customHeight="1" s="2">
      <c r="A202" s="10" t="n">
        <v>201</v>
      </c>
      <c r="B202" s="12" t="inlineStr">
        <is>
          <t>Delivered or started since 9 Oct</t>
        </is>
      </c>
      <c r="C202" s="9" t="inlineStr">
        <is>
          <t>NEW-053</t>
        </is>
      </c>
      <c r="D202" s="12" t="inlineStr">
        <is>
          <t>Navigation / UX</t>
        </is>
      </c>
      <c r="E202" s="12" t="inlineStr">
        <is>
          <t>Error, not-found and offline screens; progress bar; confirm before destructive actions</t>
        </is>
      </c>
      <c r="F202" s="12" t="inlineStr">
        <is>
          <t>Error and not-found screens in the user's language with Try again / Back to board; offline banner; navigation progress bar from the tap; inline 'Yes / Keep' confirmation before deleting an address, cancelling an order and cancel-and-refund.</t>
        </is>
      </c>
      <c r="G202" s="12" t="inlineStr">
        <is>
          <t>-</t>
        </is>
      </c>
      <c r="H202" s="12" t="inlineStr">
        <is>
          <t>-</t>
        </is>
      </c>
      <c r="I202" s="10" t="inlineStr">
        <is>
          <t>COMPLETED</t>
        </is>
      </c>
      <c r="J202" s="12" t="inlineStr">
        <is>
          <t>Production (gokesari.com)</t>
        </is>
      </c>
      <c r="K202" s="12" t="inlineStr">
        <is>
          <t>Live</t>
        </is>
      </c>
      <c r="L202" s="12" t="inlineStr">
        <is>
          <t>#122</t>
        </is>
      </c>
      <c r="M202" s="12" t="inlineStr">
        <is>
          <t>#123</t>
        </is>
      </c>
      <c r="N202" s="12" t="inlineStr">
        <is>
          <t>-</t>
        </is>
      </c>
      <c r="O202" s="12" t="inlineStr">
        <is>
          <t>-</t>
        </is>
      </c>
      <c r="P202" s="12" t="inlineStr">
        <is>
          <t>COMPLETED</t>
        </is>
      </c>
      <c r="Q202" s="12" t="inlineStr">
        <is>
          <t>No change</t>
        </is>
      </c>
      <c r="R202" s="12" t="inlineStr">
        <is>
          <t>src/app/error.tsx; src/app/not-found.tsx; src/components/board/offline-banner.tsx; src/components/board/navigation-feedback.tsx; src/components/confirm-button.tsx</t>
        </is>
      </c>
    </row>
    <row r="203" ht="51" customFormat="1" customHeight="1" s="2">
      <c r="A203" s="10" t="n">
        <v>202</v>
      </c>
      <c r="B203" s="12" t="inlineStr">
        <is>
          <t>Delivered or started since 9 Oct</t>
        </is>
      </c>
      <c r="C203" s="9" t="inlineStr">
        <is>
          <t>NEW-054</t>
        </is>
      </c>
      <c r="D203" s="12" t="inlineStr">
        <is>
          <t>Navigation / UX</t>
        </is>
      </c>
      <c r="E203" s="12" t="inlineStr">
        <is>
          <t>Accessibility pass: touch targets, text size, contrast</t>
        </is>
      </c>
      <c r="F203" s="12" t="inlineStr">
        <is>
          <t>44-48 px touch targets on phones (every stand-alone link, button and field), 12 px minimum text (tile labels 14-15 px), grey text darkened to AA contrast, readable disabled buttons with the reason, 20 px tick boxes and radios, 44 px footer links; Lighthouse accessibility fixes.</t>
        </is>
      </c>
      <c r="G203" s="12" t="inlineStr">
        <is>
          <t>-</t>
        </is>
      </c>
      <c r="H203" s="12" t="inlineStr">
        <is>
          <t>-</t>
        </is>
      </c>
      <c r="I203" s="10" t="inlineStr">
        <is>
          <t>COMPLETED</t>
        </is>
      </c>
      <c r="J203" s="12" t="inlineStr">
        <is>
          <t>Production (gokesari.com)</t>
        </is>
      </c>
      <c r="K203" s="12" t="inlineStr">
        <is>
          <t>Live</t>
        </is>
      </c>
      <c r="L203" s="12" t="inlineStr">
        <is>
          <t>#122; #124</t>
        </is>
      </c>
      <c r="M203" s="12" t="inlineStr">
        <is>
          <t>#123; #126</t>
        </is>
      </c>
      <c r="N203" s="12" t="inlineStr">
        <is>
          <t>347 targets under 44 px remain on older pages (mostly tick boxes inside 44 px labels); body text 12-14 px against a 14 px target</t>
        </is>
      </c>
      <c r="O203" s="12" t="inlineStr">
        <is>
          <t>-</t>
        </is>
      </c>
      <c r="P203" s="12" t="inlineStr">
        <is>
          <t>COMPLETED</t>
        </is>
      </c>
      <c r="Q203" s="12" t="inlineStr">
        <is>
          <t>No change</t>
        </is>
      </c>
      <c r="R203" s="12" t="inlineStr">
        <is>
          <t>src/app/globals.css; src/components/ui.tsx; GoKesari_UI_Issue_Register_2026-10-09.xlsx (USA-02, USA-04, DT-14)</t>
        </is>
      </c>
    </row>
    <row r="204" ht="51" customFormat="1" customHeight="1" s="2">
      <c r="A204" s="10" t="n">
        <v>203</v>
      </c>
      <c r="B204" s="12" t="inlineStr">
        <is>
          <t>Delivered or started since 9 Oct</t>
        </is>
      </c>
      <c r="C204" s="9" t="inlineStr">
        <is>
          <t>NEW-055</t>
        </is>
      </c>
      <c r="D204" s="12" t="inlineStr">
        <is>
          <t>Catalogue / UX</t>
        </is>
      </c>
      <c r="E204" s="12" t="inlineStr">
        <is>
          <t>Product cards and shop page for phones</t>
        </is>
      </c>
      <c r="F204" s="12" t="inlineStr">
        <is>
          <t>Two products a row on phones (compact card: one Add, then -/+ stepper); category pictures for products without a photo; one price-unit wording ('/ L', '/ kg', 'each', 'per pack'); quieter Closed pill; searchable picture category tiles; shop page shows products first.</t>
        </is>
      </c>
      <c r="G204" s="12" t="inlineStr">
        <is>
          <t>F1.4.1</t>
        </is>
      </c>
      <c r="H204" s="12" t="inlineStr">
        <is>
          <t>-</t>
        </is>
      </c>
      <c r="I204" s="10" t="inlineStr">
        <is>
          <t>COMPLETED</t>
        </is>
      </c>
      <c r="J204" s="12" t="inlineStr">
        <is>
          <t>Production (gokesari.com)</t>
        </is>
      </c>
      <c r="K204" s="12" t="inlineStr">
        <is>
          <t>Live</t>
        </is>
      </c>
      <c r="L204" s="12" t="inlineStr">
        <is>
          <t>#122</t>
        </is>
      </c>
      <c r="M204" s="12" t="inlineStr">
        <is>
          <t>#123</t>
        </is>
      </c>
      <c r="N204" s="12" t="inlineStr">
        <is>
          <t>Shop cards all show the same icon until shops upload photos (AUD-05b); Add and Subscribe on two rows when subscriptions are off (AUD-14)</t>
        </is>
      </c>
      <c r="O204" s="12" t="inlineStr">
        <is>
          <t>-</t>
        </is>
      </c>
      <c r="P204" s="12" t="inlineStr">
        <is>
          <t>COMPLETED</t>
        </is>
      </c>
      <c r="Q204" s="12" t="inlineStr">
        <is>
          <t>No change</t>
        </is>
      </c>
      <c r="R204" s="12" t="inlineStr">
        <is>
          <t>src/components/product-card.tsx; src/lib/board/product-look.ts; src/components/category-finder.tsx</t>
        </is>
      </c>
    </row>
    <row r="205" ht="39" customFormat="1" customHeight="1" s="2">
      <c r="A205" s="10" t="n">
        <v>204</v>
      </c>
      <c r="B205" s="12" t="inlineStr">
        <is>
          <t>Delivered or started since 9 Oct</t>
        </is>
      </c>
      <c r="C205" s="9" t="inlineStr">
        <is>
          <t>NEW-056</t>
        </is>
      </c>
      <c r="D205" s="12" t="inlineStr">
        <is>
          <t>Identity &amp; Access</t>
        </is>
      </c>
      <c r="E205" s="12" t="inlineStr">
        <is>
          <t>Sign-in: one Terms &amp; Privacy box instead of three</t>
        </is>
      </c>
      <c r="F205" s="12" t="inlineStr">
        <is>
          <t>One 'I agree to the Terms &amp; Conditions and Privacy Policy' box under the intro on /signin; until it is ticked Continue with Google, Get code and Email me a link stay disabled (with a readable disabled state).</t>
        </is>
      </c>
      <c r="G205" s="12" t="inlineStr">
        <is>
          <t>F1.1.1</t>
        </is>
      </c>
      <c r="H205" s="12" t="inlineStr">
        <is>
          <t>-</t>
        </is>
      </c>
      <c r="I205" s="10" t="inlineStr">
        <is>
          <t>COMPLETED</t>
        </is>
      </c>
      <c r="J205" s="12" t="inlineStr">
        <is>
          <t>Production (gokesari.com)</t>
        </is>
      </c>
      <c r="K205" s="12" t="inlineStr">
        <is>
          <t>Live</t>
        </is>
      </c>
      <c r="L205" s="12" t="inlineStr">
        <is>
          <t>#121</t>
        </is>
      </c>
      <c r="M205" s="12" t="inlineStr">
        <is>
          <t>#123</t>
        </is>
      </c>
      <c r="N205" s="12" t="inlineStr">
        <is>
          <t>-</t>
        </is>
      </c>
      <c r="O205" s="12" t="inlineStr">
        <is>
          <t>-</t>
        </is>
      </c>
      <c r="P205" s="12" t="inlineStr">
        <is>
          <t>COMPLETED</t>
        </is>
      </c>
      <c r="Q205" s="12" t="inlineStr">
        <is>
          <t>No change</t>
        </is>
      </c>
      <c r="R205" s="12" t="inlineStr">
        <is>
          <t>src/app/signin</t>
        </is>
      </c>
    </row>
    <row r="206" ht="63" customFormat="1" customHeight="1" s="2">
      <c r="A206" s="10" t="n">
        <v>205</v>
      </c>
      <c r="B206" s="12" t="inlineStr">
        <is>
          <t>Delivered or started since 10 Oct</t>
        </is>
      </c>
      <c r="C206" s="9" t="inlineStr">
        <is>
          <t>NEW-057</t>
        </is>
      </c>
      <c r="D206" s="12" t="inlineStr">
        <is>
          <t>Location</t>
        </is>
      </c>
      <c r="E206" s="12" t="inlineStr">
        <is>
          <t>Nearby shops from the real location (/shops/nearby)</t>
        </is>
      </c>
      <c r="F206" s="12" t="inlineStr">
        <is>
          <t>Uses the phone or browser location (high accuracy) and names the area, city and PIN; radius chips 1/3/5/10 km (default 5); shops nearest first (distance computed in PostgreSQL), open/closed, Google Maps Directions; List / Map with pin bubbles; PIN / area box when location is refused, or after 12 s if the prompt is ignored.</t>
        </is>
      </c>
      <c r="G206" s="12" t="inlineStr">
        <is>
          <t>F1.3.4</t>
        </is>
      </c>
      <c r="H206" s="12" t="inlineStr">
        <is>
          <t>-</t>
        </is>
      </c>
      <c r="I206" s="10" t="inlineStr">
        <is>
          <t>COMPLETED</t>
        </is>
      </c>
      <c r="J206" s="12" t="inlineStr">
        <is>
          <t>Production (gokesari.com)</t>
        </is>
      </c>
      <c r="K206" s="12" t="inlineStr">
        <is>
          <t>Live (no rule; needs the Maps keys)</t>
        </is>
      </c>
      <c r="L206" s="12" t="inlineStr">
        <is>
          <t>#133; #136 (PIN box after 12 s)</t>
        </is>
      </c>
      <c r="M206" s="12" t="inlineStr">
        <is>
          <t>#135</t>
        </is>
      </c>
      <c r="N206" s="12" t="inlineStr">
        <is>
          <t>Tap Directions once on a real phone (N-3); 2 original production shops have no map location (Asmy super market x2)</t>
        </is>
      </c>
      <c r="O206" s="12" t="inlineStr">
        <is>
          <t>Owner: add the two shops' locations (Admin &gt; Shops &gt; Shops without location)</t>
        </is>
      </c>
      <c r="P206" s="12" t="inlineStr">
        <is>
          <t>COMPLETED</t>
        </is>
      </c>
      <c r="Q206" s="12" t="inlineStr">
        <is>
          <t>No change</t>
        </is>
      </c>
      <c r="R206" s="12" t="inlineStr">
        <is>
          <t>docs/nearby-referral-2026-10/README.md; TEST_RESULTS.md; src/app/shops/nearby/</t>
        </is>
      </c>
    </row>
    <row r="207" ht="63" customFormat="1" customHeight="1" s="2">
      <c r="A207" s="10" t="n">
        <v>206</v>
      </c>
      <c r="B207" s="12" t="inlineStr">
        <is>
          <t>Delivered or started since 10 Oct</t>
        </is>
      </c>
      <c r="C207" s="9" t="inlineStr">
        <is>
          <t>NEW-058</t>
        </is>
      </c>
      <c r="D207" s="12" t="inlineStr">
        <is>
          <t>Identity &amp; Access</t>
        </is>
      </c>
      <c r="E207" s="12" t="inlineStr">
        <is>
          <t>Referral code Mandatory / Optional set by admin (customers and shops)</t>
        </is>
      </c>
      <c r="F207" s="12" t="inlineStr">
        <is>
          <t>Admin &gt; Settings &gt; Referral settings (/admin/referral-settings, admin only) sets referral_required_customer and referral_required_shop, read live on every registration path. A code that is typed is always checked. Every change is logged (referral_setting_changes and the audit log). Existing users and shops are not affected.</t>
        </is>
      </c>
      <c r="G207" s="12" t="inlineStr">
        <is>
          <t>F8.1.4, F1.1.3</t>
        </is>
      </c>
      <c r="H207" s="12" t="inlineStr">
        <is>
          <t>-</t>
        </is>
      </c>
      <c r="I207" s="10" t="inlineStr">
        <is>
          <t>COMPLETED</t>
        </is>
      </c>
      <c r="J207" s="12" t="inlineStr">
        <is>
          <t>Production (gokesari.com)</t>
        </is>
      </c>
      <c r="K207" s="12" t="inlineStr">
        <is>
          <t>Live - both OPTIONAL on production (checked 14 Oct: /api/referral-settings)</t>
        </is>
      </c>
      <c r="L207" s="12" t="inlineStr">
        <is>
          <t>#133</t>
        </is>
      </c>
      <c r="M207" s="12" t="inlineStr">
        <is>
          <t>#135</t>
        </is>
      </c>
      <c r="N207" s="12" t="inlineStr">
        <is>
          <t>Paid self-registration without a code not run on test (no SMS provider, N-2); owner to look at the admin page on production</t>
        </is>
      </c>
      <c r="O207" s="12" t="inlineStr">
        <is>
          <t>-</t>
        </is>
      </c>
      <c r="P207" s="12" t="inlineStr">
        <is>
          <t>COMPLETED</t>
        </is>
      </c>
      <c r="Q207" s="12" t="inlineStr">
        <is>
          <t>No change</t>
        </is>
      </c>
      <c r="R207" s="12" t="inlineStr">
        <is>
          <t>docs/nearby-referral-2026-10/README.md; TEST_RESULTS.md; drizzle/0074_referral_settings.sql</t>
        </is>
      </c>
    </row>
    <row r="208" ht="39" customFormat="1" customHeight="1" s="2">
      <c r="A208" s="10" t="n">
        <v>207</v>
      </c>
      <c r="B208" s="12" t="inlineStr">
        <is>
          <t>Delivered or started since 10 Oct</t>
        </is>
      </c>
      <c r="C208" s="9" t="inlineStr">
        <is>
          <t>NEW-059</t>
        </is>
      </c>
      <c r="D208" s="12" t="inlineStr">
        <is>
          <t>Shop Onboarding</t>
        </is>
      </c>
      <c r="E208" s="12" t="inlineStr">
        <is>
          <t>Admin 'Shops without location' list and coordinates backfill</t>
        </is>
      </c>
      <c r="F208" s="12" t="inlineStr">
        <is>
          <t>Admin &gt; Shops &gt; Shops without location (/admin/shops/missing-location, admin and operator, CSV download) lists shops Nearby cannot place; scripts/backfill-shop-coordinates.ts fills coordinates from addresses.</t>
        </is>
      </c>
      <c r="G208" s="12" t="inlineStr">
        <is>
          <t>F1.3.4</t>
        </is>
      </c>
      <c r="H208" s="12" t="inlineStr">
        <is>
          <t>-</t>
        </is>
      </c>
      <c r="I208" s="10" t="inlineStr">
        <is>
          <t>COMPLETED</t>
        </is>
      </c>
      <c r="J208" s="12" t="inlineStr">
        <is>
          <t>Production (gokesari.com)</t>
        </is>
      </c>
      <c r="K208" s="12" t="inlineStr">
        <is>
          <t>Live</t>
        </is>
      </c>
      <c r="L208" s="12" t="inlineStr">
        <is>
          <t>#133</t>
        </is>
      </c>
      <c r="M208" s="12" t="inlineStr">
        <is>
          <t>#135</t>
        </is>
      </c>
      <c r="N208" s="12" t="inlineStr">
        <is>
          <t>Production had 0 shops with coordinates before the 13 Oct copy; 2 original shops still have none</t>
        </is>
      </c>
      <c r="O208" s="12" t="inlineStr">
        <is>
          <t>-</t>
        </is>
      </c>
      <c r="P208" s="12" t="inlineStr">
        <is>
          <t>COMPLETED</t>
        </is>
      </c>
      <c r="Q208" s="12" t="inlineStr">
        <is>
          <t>No change</t>
        </is>
      </c>
      <c r="R208" s="12" t="inlineStr">
        <is>
          <t>docs/nearby-referral-2026-10/README.md; TEST_RESULTS.md</t>
        </is>
      </c>
    </row>
    <row r="209" ht="75" customFormat="1" customHeight="1" s="2">
      <c r="A209" s="10" t="n">
        <v>208</v>
      </c>
      <c r="B209" s="12" t="inlineStr">
        <is>
          <t>Delivered or started since 10 Oct</t>
        </is>
      </c>
      <c r="C209" s="9" t="inlineStr">
        <is>
          <t>NEW-060</t>
        </is>
      </c>
      <c r="D209" s="12" t="inlineStr">
        <is>
          <t>Shop Onboarding</t>
        </is>
      </c>
      <c r="E209" s="12" t="inlineStr">
        <is>
          <t>GoKesari Seller Central (shop owner workspace) and the 'Sell on GoKesari' page (/sell)</t>
        </is>
      </c>
      <c r="F209" s="12" t="inlineStr">
        <is>
          <t>/sell is a public landing page for sellers. Every /shop page gets the Seller Central frame: dark top bar with status pill, sidebar (Orders, Catalogue, Payments, Growth, Account) with live badges, 'Find a tool' search, drawer on phones. At 1024 px and wider /shop is a dashboard (action required, orders, 30-day performance, wallet, account health, all tools); phones keep the tile board.</t>
        </is>
      </c>
      <c r="G209" s="12" t="inlineStr">
        <is>
          <t>F8.4.3</t>
        </is>
      </c>
      <c r="H209" s="12" t="inlineStr">
        <is>
          <t>-</t>
        </is>
      </c>
      <c r="I209" s="10" t="inlineStr">
        <is>
          <t>COMPLETED</t>
        </is>
      </c>
      <c r="J209" s="12" t="inlineStr">
        <is>
          <t>Production (gokesari.com)</t>
        </is>
      </c>
      <c r="K209" s="12" t="inlineStr">
        <is>
          <t>Live</t>
        </is>
      </c>
      <c r="L209" s="12" t="inlineStr">
        <is>
          <t>#142</t>
        </is>
      </c>
      <c r="M209" s="12" t="inlineStr">
        <is>
          <t>#143</t>
        </is>
      </c>
      <c r="N209" s="12" t="inlineStr">
        <is>
          <t>No staging or production browser run recorded (only local: 1,702 tests, 10 manual checks)</t>
        </is>
      </c>
      <c r="O209" s="12" t="inlineStr">
        <is>
          <t>Record a browser run on test / production</t>
        </is>
      </c>
      <c r="P209" s="12" t="inlineStr">
        <is>
          <t>COMPLETED</t>
        </is>
      </c>
      <c r="Q209" s="12" t="inlineStr">
        <is>
          <t>No change</t>
        </is>
      </c>
      <c r="R209" s="12" t="inlineStr">
        <is>
          <t>docs/seller-central-2026-10/README.md; TEST_RESULTS.md</t>
        </is>
      </c>
    </row>
    <row r="210" ht="87" customFormat="1" customHeight="1" s="2">
      <c r="A210" s="10" t="n">
        <v>209</v>
      </c>
      <c r="B210" s="12" t="inlineStr">
        <is>
          <t>Delivered or started since 10 Oct</t>
        </is>
      </c>
      <c r="C210" s="9" t="inlineStr">
        <is>
          <t>NEW-062</t>
        </is>
      </c>
      <c r="D210" s="12" t="inlineStr">
        <is>
          <t>Shop Onboarding</t>
        </is>
      </c>
      <c r="E210" s="12" t="inlineStr">
        <is>
          <t>Document upload with auto-read (file or camera), review and Verify &amp; Approve</t>
        </is>
      </c>
      <c r="F210" s="12" t="inlineStr">
        <is>
          <t>At /shop/documents the owner uploads a file or takes a photo; the server reads it (PDF text, local tesseract, or Claude if chosen) and pre-fills number, name, address and validity, with flags (UNREADABLE, WRONG_DOCUMENT, EXPIRED, NAME_MISMATCH, NOT_READ). Verify &amp; Approve feeds seller verification and the legal-documents register. Files and fields encrypted; Aadhaar numbers dropped; drafts purged after 7 days; admin view /admin/document-uploads; reader health check.</t>
        </is>
      </c>
      <c r="G210" s="12" t="inlineStr">
        <is>
          <t>F8.2.6</t>
        </is>
      </c>
      <c r="H210" s="12" t="inlineStr">
        <is>
          <t>-</t>
        </is>
      </c>
      <c r="I210" s="10" t="inlineStr">
        <is>
          <t>COMPLETED</t>
        </is>
      </c>
      <c r="J210" s="12" t="inlineStr">
        <is>
          <t>Production (gokesari.com)</t>
        </is>
      </c>
      <c r="K210" s="12" t="inlineStr">
        <is>
          <t>Live - rule documentUpload.enabled = on; photos read in the owner's browser (DOCUMENT_OCR_BROWSER on by default; 'off' = server only)</t>
        </is>
      </c>
      <c r="L210" s="12" t="inlineStr">
        <is>
          <t>#146; #147 (25 s limit, 'type the details', health check); #148 (OCR engine shipped); #169 (photos read in the owner's browser)</t>
        </is>
      </c>
      <c r="M210" s="12" t="inlineStr">
        <is>
          <t>#149; #175 (#169 cherry-picked); #177 (same commit, no change)</t>
        </is>
      </c>
      <c r="N210" s="12" t="inlineStr">
        <is>
          <t>Scanned PDFs without a text layer still ask for a photo. iOS before 16 falls back to the server reader (owner types the details). No real owner upload on production recorded yet</t>
        </is>
      </c>
      <c r="O210" s="12" t="inlineStr">
        <is>
          <t>-</t>
        </is>
      </c>
      <c r="P210" s="12" t="inlineStr">
        <is>
          <t>COMPLETED</t>
        </is>
      </c>
      <c r="Q210" s="12" t="inlineStr">
        <is>
          <t>No change</t>
        </is>
      </c>
      <c r="R210" s="12" t="inlineStr">
        <is>
          <t>docs/document-upload-2026-10/TEST_RESULTS.md (PR #178)</t>
        </is>
      </c>
    </row>
    <row r="211" ht="39" customFormat="1" customHeight="1" s="2">
      <c r="A211" s="10" t="n">
        <v>210</v>
      </c>
      <c r="B211" s="12" t="inlineStr">
        <is>
          <t>Delivered or started since 10 Oct</t>
        </is>
      </c>
      <c r="C211" s="9" t="inlineStr">
        <is>
          <t>NEW-063</t>
        </is>
      </c>
      <c r="D211" s="12" t="inlineStr">
        <is>
          <t>Shop Onboarding</t>
        </is>
      </c>
      <c r="E211" s="12" t="inlineStr">
        <is>
          <t>FSSAI licence mandatory for food shops</t>
        </is>
      </c>
      <c r="F211" s="12" t="inlineStr">
        <is>
          <t>A food shop (food shop type or a food-aisle category) cannot be approved, or finish its self-registration profile, without an unexpired FSSAI licence on file. Shops already approved are not re-checked.</t>
        </is>
      </c>
      <c r="G211" s="12" t="inlineStr">
        <is>
          <t>F8.2.7</t>
        </is>
      </c>
      <c r="H211" s="12" t="inlineStr">
        <is>
          <t>-</t>
        </is>
      </c>
      <c r="I211" s="10" t="inlineStr">
        <is>
          <t>COMPLETED</t>
        </is>
      </c>
      <c r="J211" s="12" t="inlineStr">
        <is>
          <t>Production (gokesari.com)</t>
        </is>
      </c>
      <c r="K211" s="12" t="inlineStr">
        <is>
          <t>Live - rule documentUpload.fssaiMandatoryForFood = on</t>
        </is>
      </c>
      <c r="L211" s="12" t="inlineStr">
        <is>
          <t>#146</t>
        </is>
      </c>
      <c r="M211" s="12" t="inlineStr">
        <is>
          <t>#149</t>
        </is>
      </c>
      <c r="N211" s="12" t="inlineStr">
        <is>
          <t>-</t>
        </is>
      </c>
      <c r="O211" s="12" t="inlineStr">
        <is>
          <t>-</t>
        </is>
      </c>
      <c r="P211" s="12" t="inlineStr">
        <is>
          <t>COMPLETED</t>
        </is>
      </c>
      <c r="Q211" s="12" t="inlineStr">
        <is>
          <t>No change</t>
        </is>
      </c>
      <c r="R211" s="12" t="inlineStr">
        <is>
          <t>docs/document-upload-2026-10/README.md; TEST_RESULTS.md</t>
        </is>
      </c>
    </row>
    <row r="212" ht="51" customFormat="1" customHeight="1" s="2">
      <c r="A212" s="10" t="n">
        <v>211</v>
      </c>
      <c r="B212" s="12" t="inlineStr">
        <is>
          <t>Delivered or started since 10 Oct</t>
        </is>
      </c>
      <c r="C212" s="9" t="inlineStr">
        <is>
          <t>NEW-064</t>
        </is>
      </c>
      <c r="D212" s="12" t="inlineStr">
        <is>
          <t>Branding</t>
        </is>
      </c>
      <c r="E212" s="12" t="inlineStr">
        <is>
          <t>Compact footer and saffron GoKesari wordmark (site, Seller Central, sign-in, emails)</t>
        </is>
      </c>
      <c r="F212" s="12" t="inlineStr">
        <is>
          <t>Amazon-style compact footer; one wordmark component in the site and board headers, footer, sign-in, Seller Central and /sell, matched in emails. 'Go' and 'Kesari' saffron with bold G and K and a saffron tagline (#153); no stray '·' at the start of a wrapped footer line on phones (#150).</t>
        </is>
      </c>
      <c r="G212" s="12" t="inlineStr">
        <is>
          <t>-</t>
        </is>
      </c>
      <c r="H212" s="12" t="inlineStr">
        <is>
          <t>-</t>
        </is>
      </c>
      <c r="I212" s="10" t="inlineStr">
        <is>
          <t>COMPLETED</t>
        </is>
      </c>
      <c r="J212" s="12" t="inlineStr">
        <is>
          <t>Production (gokesari.com)</t>
        </is>
      </c>
      <c r="K212" s="12" t="inlineStr">
        <is>
          <t>Live</t>
        </is>
      </c>
      <c r="L212" s="12" t="inlineStr">
        <is>
          <t>#146; #150 (footer dot); #153 (saffron)</t>
        </is>
      </c>
      <c r="M212" s="12" t="inlineStr">
        <is>
          <t>#149; #151; #157</t>
        </is>
      </c>
      <c r="N212" s="12" t="inlineStr">
        <is>
          <t>No staging / production run recorded after the saffron change (#153)</t>
        </is>
      </c>
      <c r="O212" s="12" t="inlineStr">
        <is>
          <t>-</t>
        </is>
      </c>
      <c r="P212" s="12" t="inlineStr">
        <is>
          <t>COMPLETED</t>
        </is>
      </c>
      <c r="Q212" s="12" t="inlineStr">
        <is>
          <t>No change</t>
        </is>
      </c>
      <c r="R212" s="12" t="inlineStr">
        <is>
          <t>src/components/brand-wordmark.tsx; src/server/email/brand.ts</t>
        </is>
      </c>
    </row>
    <row r="213" ht="39" customFormat="1" customHeight="1" s="2">
      <c r="A213" s="10" t="n">
        <v>212</v>
      </c>
      <c r="B213" s="12" t="inlineStr">
        <is>
          <t>Delivered or started since 10 Oct</t>
        </is>
      </c>
      <c r="C213" s="9" t="inlineStr">
        <is>
          <t>NEW-065</t>
        </is>
      </c>
      <c r="D213" s="12" t="inlineStr">
        <is>
          <t>Marketing</t>
        </is>
      </c>
      <c r="E213" s="12" t="inlineStr">
        <is>
          <t>Fix: Admin &gt; Referral codes showed 0 shops (Societies showed 0 members)</t>
        </is>
      </c>
      <c r="F213" s="12" t="inlineStr">
        <is>
          <t>Counts in the referral-codes and societies lists use correct correlated subqueries (Drizzle bare-id bug).</t>
        </is>
      </c>
      <c r="G213" s="12" t="inlineStr">
        <is>
          <t>-</t>
        </is>
      </c>
      <c r="H213" s="12" t="inlineStr">
        <is>
          <t>-</t>
        </is>
      </c>
      <c r="I213" s="10" t="inlineStr">
        <is>
          <t>COMPLETED</t>
        </is>
      </c>
      <c r="J213" s="12" t="inlineStr">
        <is>
          <t>Production (gokesari.com)</t>
        </is>
      </c>
      <c r="K213" s="12" t="inlineStr">
        <is>
          <t>Live</t>
        </is>
      </c>
      <c r="L213" s="12" t="inlineStr">
        <is>
          <t>#138</t>
        </is>
      </c>
      <c r="M213" s="12" t="inlineStr">
        <is>
          <t>#139</t>
        </is>
      </c>
      <c r="N213" s="12" t="inlineStr">
        <is>
          <t>The same bug pattern remains in rider reliability and the integrations 'listed' flag (GAP-016)</t>
        </is>
      </c>
      <c r="O213" s="12" t="inlineStr">
        <is>
          <t>-</t>
        </is>
      </c>
      <c r="P213" s="12" t="inlineStr">
        <is>
          <t>COMPLETED</t>
        </is>
      </c>
      <c r="Q213" s="12" t="inlineStr">
        <is>
          <t>No change</t>
        </is>
      </c>
      <c r="R213" s="12" t="inlineStr">
        <is>
          <t>src/server/services/referrals.ts; src/server/services/societies.ts</t>
        </is>
      </c>
    </row>
    <row r="214" ht="63" customFormat="1" customHeight="1" s="2">
      <c r="A214" s="10" t="n">
        <v>213</v>
      </c>
      <c r="B214" s="12" t="inlineStr">
        <is>
          <t>Delivered or started since 14 Oct</t>
        </is>
      </c>
      <c r="C214" s="9" t="inlineStr">
        <is>
          <t>NEW-066</t>
        </is>
      </c>
      <c r="D214" s="12" t="inlineStr">
        <is>
          <t>Shop Onboarding</t>
        </is>
      </c>
      <c r="E214" s="12" t="inlineStr">
        <is>
          <t>Seller Central shop switcher for owners with several shops</t>
        </is>
      </c>
      <c r="F214" s="12" t="inlineStr">
        <is>
          <t>When an owner has more than one shop, the shop name in the Seller Central top bar (desktop and phone) is a menu of their shops. The choice is remembered (cookie gk_shop, Secure, HttpOnly) and every /shop page works on that shop; a ?shop= link still wins. Only the owner's own shops are accepted. Works before JavaScript loads; EN / HI / MR.</t>
        </is>
      </c>
      <c r="G214" s="12" t="inlineStr">
        <is>
          <t>F8.4.4</t>
        </is>
      </c>
      <c r="H214" s="12" t="inlineStr">
        <is>
          <t>-</t>
        </is>
      </c>
      <c r="I214" s="10" t="inlineStr">
        <is>
          <t>COMPLETED</t>
        </is>
      </c>
      <c r="J214" s="12" t="inlineStr">
        <is>
          <t>Production (gokesari.com)</t>
        </is>
      </c>
      <c r="K214" s="12" t="inlineStr">
        <is>
          <t>Live (no rule)</t>
        </is>
      </c>
      <c r="L214" s="12" t="inlineStr">
        <is>
          <t>#168</t>
        </is>
      </c>
      <c r="M214" s="12" t="inlineStr">
        <is>
          <t>#175 (15 Oct, live 14:43 UTC)</t>
        </is>
      </c>
      <c r="N214" s="12" t="inlineStr">
        <is>
          <t>Not yet seen signed in on production (needs an owner with two or more shops)</t>
        </is>
      </c>
      <c r="O214" s="12" t="inlineStr">
        <is>
          <t>-</t>
        </is>
      </c>
      <c r="P214" s="12" t="inlineStr">
        <is>
          <t>COMPLETED</t>
        </is>
      </c>
      <c r="Q214" s="12" t="inlineStr">
        <is>
          <t>No change</t>
        </is>
      </c>
      <c r="R214" s="12" t="inlineStr">
        <is>
          <t>docs/order-lifecycle-2026-10/TEST_RESULTS_STAGING_2026-10-14.md; src/components/seller/shop-switcher.tsx; src/lib/seller/active-shop.ts</t>
        </is>
      </c>
    </row>
    <row r="215" ht="147" customFormat="1" customHeight="1" s="2">
      <c r="A215" s="10" t="n">
        <v>214</v>
      </c>
      <c r="B215" s="12" t="inlineStr">
        <is>
          <t>Delivered or started since 14 Oct</t>
        </is>
      </c>
      <c r="C215" s="9" t="inlineStr">
        <is>
          <t>NEW-067</t>
        </is>
      </c>
      <c r="D215" s="12" t="inlineStr">
        <is>
          <t>Inventory</t>
        </is>
      </c>
      <c r="E215" s="12" t="inlineStr">
        <is>
          <t>Inventory &amp; Accounting for shop owners (/shop/accounts): stock ledger, books, GST returns, supplier bill capture</t>
        </is>
      </c>
      <c r="F215" s="12" t="inlineStr">
        <is>
          <t>Stock ledger (every movement a row; online orders reduce stock in real time through database triggers), batches and expiry, FIFO or weighted-average valuation, write-offs and counts. Double-entry books: purchase and sales registers, supplier and customer ledgers, cash and bank, expenses, ageing; GST sales invoices (CGST/SGST or IGST) with PDF; P&amp;L, stock summary, day book, GST summary; Excel, PDF and Tally XML export. GST portal: link a GSTIN with OTP through a pluggable GSP adapter (mock on test), pull or upload GSTR-2B/2A/1, reconcile, liability with set-off order and due dates ('verify with your CA'). Supplier bills by upload, share, email forward or camera scan; e-invoice JSON / signed QR trusted, else AI (Claude, if configured) or local OCR; side-by-side review; nothing touches stock until Confirm; corrections post reversing entries.</t>
        </is>
      </c>
      <c r="G215" s="12" t="inlineStr">
        <is>
          <t>F9.2.7</t>
        </is>
      </c>
      <c r="H215" s="12" t="inlineStr">
        <is>
          <t>-</t>
        </is>
      </c>
      <c r="I215" s="10" t="inlineStr">
        <is>
          <t>COMPLETED</t>
        </is>
      </c>
      <c r="J215" s="12" t="inlineStr">
        <is>
          <t>Production (gokesari.com)</t>
        </is>
      </c>
      <c r="K215" s="12" t="inlineStr">
        <is>
          <t>Live (shop owners: Inventory -&gt; Bills &amp; GST); GST portal link off on production (file upload), AI bill reading off</t>
        </is>
      </c>
      <c r="L215" s="12" t="inlineStr">
        <is>
          <t>#171; #172 (fixes: GST queries, cancel = SALE_RETURN 0078, share redirect)</t>
        </is>
      </c>
      <c r="M215" s="12" t="inlineStr">
        <is>
          <t>#179 (release, acfaa6a; migrations 0076-0078)</t>
        </is>
      </c>
      <c r="N215" s="12" t="inlineStr">
        <is>
          <t>Licensed GSP for live GSTR-2B/1 pull (IA-022); AI reading of photos / Hindi-Marathi / handwriting (IA-034, IA-039); bill forwarding by email (IA-032); native share intent in the store apps (IA-031); S3 bucket (IA-049). See sheet 'Inventory &amp; Accounting'.</t>
        </is>
      </c>
      <c r="O215" s="12" t="inlineStr">
        <is>
          <t>Owner: replace INTEGRATION_ENCRYPTION_KEY on test and production with `openssl rand -base64 32` (current value is not a valid key); choose a GSP; decide on AI bill reading; schedule the two crons; CA check (#15).</t>
        </is>
      </c>
      <c r="P215" s="12" t="inlineStr">
        <is>
          <t>COMPLETED</t>
        </is>
      </c>
      <c r="Q215" s="12" t="inlineStr">
        <is>
          <t>No change</t>
        </is>
      </c>
      <c r="R215" s="12" t="inlineStr">
        <is>
          <t>docs/inventory-accounting-2026-10/README.md; TESTING_REPORT.md; src/server/accounts/**; drizzle/0076, 0078</t>
        </is>
      </c>
    </row>
    <row r="216" ht="63" customFormat="1" customHeight="1" s="2">
      <c r="A216" s="10" t="n">
        <v>215</v>
      </c>
      <c r="B216" s="12" t="inlineStr">
        <is>
          <t>Product Master Data Platform</t>
        </is>
      </c>
      <c r="C216" s="9" t="inlineStr">
        <is>
          <t>PMD-001</t>
        </is>
      </c>
      <c r="D216" s="12" t="inlineStr">
        <is>
          <t>Product Master</t>
        </is>
      </c>
      <c r="E216" s="12" t="inlineStr">
        <is>
          <t>Product Master Data Platform (pmd schema, pipeline, matching, review queue)</t>
        </is>
      </c>
      <c r="F216" s="12" t="inlineStr">
        <is>
          <t>Universal multi-source product master: lawful source registry (marketplaces blocked until an agreement exists), ingestion pipeline, normalisation, barcode/fuzzy matching and duplicate review queue, data quality, /api/product-master (15 operations), /admin/product-master dashboard. Migration 0015.</t>
        </is>
      </c>
      <c r="G216" s="12" t="inlineStr">
        <is>
          <t>F9.1.1</t>
        </is>
      </c>
      <c r="H216" s="12" t="inlineStr">
        <is>
          <t>-</t>
        </is>
      </c>
      <c r="I216" s="10" t="inlineStr">
        <is>
          <t>COMPLETED</t>
        </is>
      </c>
      <c r="J216" s="12" t="inlineStr">
        <is>
          <t>Production (gokesari.com)</t>
        </is>
      </c>
      <c r="K216" s="12" t="inlineStr">
        <is>
          <t>Live (operators/admins)</t>
        </is>
      </c>
      <c r="L216" s="12" t="inlineStr">
        <is>
          <t>#1 (closed, superseded); #4; #49 (Excel import fix); #125 (rollback script hint)</t>
        </is>
      </c>
      <c r="M216" s="12" t="inlineStr">
        <is>
          <t>#8; #50; #131</t>
        </is>
      </c>
      <c r="N216" s="12" t="inlineStr">
        <is>
          <t>-</t>
        </is>
      </c>
      <c r="O216" s="12" t="inlineStr">
        <is>
          <t>-</t>
        </is>
      </c>
      <c r="P216" s="12" t="inlineStr">
        <is>
          <t>COMPLETED</t>
        </is>
      </c>
      <c r="Q216" s="12" t="inlineStr">
        <is>
          <t>No change</t>
        </is>
      </c>
      <c r="R216" s="12" t="inlineStr">
        <is>
          <t>src/server/pmd/**; drizzle/0015_product_master_platform.sql; docs/product-master/</t>
        </is>
      </c>
    </row>
    <row r="217" ht="63" customFormat="1" customHeight="1" s="2">
      <c r="A217" s="10" t="n">
        <v>216</v>
      </c>
      <c r="B217" s="12" t="inlineStr">
        <is>
          <t>Product Master Data Platform</t>
        </is>
      </c>
      <c r="C217" s="9" t="inlineStr">
        <is>
          <t>PMD-002</t>
        </is>
      </c>
      <c r="D217" s="12" t="inlineStr">
        <is>
          <t>Product Master</t>
        </is>
      </c>
      <c r="E217" s="12" t="inlineStr">
        <is>
          <t>GS1 India and manufacturer-catalogue feeds</t>
        </is>
      </c>
      <c r="F217" s="12" t="inlineStr">
        <is>
          <t>Excel/CSV connectors with mapping templates, unit codes, GTIN zero-repair and GPC -&gt; category map; '--check' reports MRP/GST/HSN coverage on a real file before the source is enabled.</t>
        </is>
      </c>
      <c r="G217" s="12" t="inlineStr">
        <is>
          <t>F9.1.2</t>
        </is>
      </c>
      <c r="H217" s="12" t="inlineStr">
        <is>
          <t>-</t>
        </is>
      </c>
      <c r="I217" s="10" t="inlineStr">
        <is>
          <t>BLOCKED</t>
        </is>
      </c>
      <c r="J217" s="12" t="inlineStr">
        <is>
          <t>Production (gokesari.com)</t>
        </is>
      </c>
      <c r="K217" s="12" t="inlineStr">
        <is>
          <t>Sources disabled by design</t>
        </is>
      </c>
      <c r="L217" s="12" t="inlineStr">
        <is>
          <t>#2 (closed, superseded); #4</t>
        </is>
      </c>
      <c r="M217" s="12" t="inlineStr">
        <is>
          <t>#8</t>
        </is>
      </c>
      <c r="N217" s="12" t="inlineStr">
        <is>
          <t>Load real GS1 / brand data</t>
        </is>
      </c>
      <c r="O217" s="12" t="inlineStr">
        <is>
          <t>GS1 India agreement and brand permissions, plus a real sample file for each</t>
        </is>
      </c>
      <c r="P217" s="12" t="inlineStr">
        <is>
          <t>BLOCKED</t>
        </is>
      </c>
      <c r="Q217" s="12" t="inlineStr">
        <is>
          <t>No change</t>
        </is>
      </c>
      <c r="R217" s="12" t="inlineStr">
        <is>
          <t>docs/product-master/GS1_AND_MANUFACTURERS.md</t>
        </is>
      </c>
    </row>
    <row r="218" ht="39" customFormat="1" customHeight="1" s="2">
      <c r="A218" s="10" t="n">
        <v>217</v>
      </c>
      <c r="B218" s="12" t="inlineStr">
        <is>
          <t>Product Master Data Platform</t>
        </is>
      </c>
      <c r="C218" s="9" t="inlineStr">
        <is>
          <t>PMD-003</t>
        </is>
      </c>
      <c r="D218" s="12" t="inlineStr">
        <is>
          <t>Product Master</t>
        </is>
      </c>
      <c r="E218" s="12" t="inlineStr">
        <is>
          <t>Loader rework for scale (bulk path, workers)</t>
        </is>
      </c>
      <c r="F218" s="12" t="inlineStr">
        <is>
          <t>Bulk path for unchanged and brand-new records, --workers N routed by brand, one-pass dashboard refresh; 191 new records/s and 7,300 unchanged/s locally (was 40-46 / 250).</t>
        </is>
      </c>
      <c r="G218" s="12" t="inlineStr">
        <is>
          <t>F9.1.1</t>
        </is>
      </c>
      <c r="H218" s="12" t="inlineStr">
        <is>
          <t>-</t>
        </is>
      </c>
      <c r="I218" s="10" t="inlineStr">
        <is>
          <t>COMPLETED</t>
        </is>
      </c>
      <c r="J218" s="12" t="inlineStr">
        <is>
          <t>Production (gokesari.com)</t>
        </is>
      </c>
      <c r="K218" s="12" t="inlineStr">
        <is>
          <t>Live (CLI)</t>
        </is>
      </c>
      <c r="L218" s="12" t="inlineStr">
        <is>
          <t>#3 (closed, superseded); #4</t>
        </is>
      </c>
      <c r="M218" s="12" t="inlineStr">
        <is>
          <t>#8; #185 (#184 race fix)</t>
        </is>
      </c>
      <c r="N218" s="12" t="inlineStr">
        <is>
          <t>Price-change path still per record</t>
        </is>
      </c>
      <c r="O218" s="12" t="inlineStr">
        <is>
          <t>-</t>
        </is>
      </c>
      <c r="P218" s="12" t="inlineStr">
        <is>
          <t>COMPLETED</t>
        </is>
      </c>
      <c r="Q218" s="12" t="inlineStr">
        <is>
          <t>#184 (parallel workers no longer leave a quality score stale or missing) released to gokesari.com by #185 on 16 Oct 04:24 UTC; no migrations.</t>
        </is>
      </c>
      <c r="R218" s="12" t="inlineStr">
        <is>
          <t>src/server/pmd/pipeline/load.ts</t>
        </is>
      </c>
    </row>
    <row r="219" ht="39" customFormat="1" customHeight="1" s="2">
      <c r="A219" s="10" t="n">
        <v>218</v>
      </c>
      <c r="B219" s="12" t="inlineStr">
        <is>
          <t>Product Master Data Platform</t>
        </is>
      </c>
      <c r="C219" s="9" t="inlineStr">
        <is>
          <t>PMD-004</t>
        </is>
      </c>
      <c r="D219" s="12" t="inlineStr">
        <is>
          <t>Product Master</t>
        </is>
      </c>
      <c r="E219" s="12" t="inlineStr">
        <is>
          <t>Promote master products into the shop catalogue</t>
        </is>
      </c>
      <c r="F219" s="12" t="inlineStr">
        <is>
          <t>scripts/pmd/promote.ts (dry run by default, --apply, --concurrency N), rollback-promotion.sql, one-command pilot-data copy, per-brand advisory lock against duplicate brands.</t>
        </is>
      </c>
      <c r="G219" s="12" t="inlineStr">
        <is>
          <t>F9.1.3</t>
        </is>
      </c>
      <c r="H219" s="12" t="inlineStr">
        <is>
          <t>-</t>
        </is>
      </c>
      <c r="I219" s="10" t="inlineStr">
        <is>
          <t>COMPLETED</t>
        </is>
      </c>
      <c r="J219" s="12" t="inlineStr">
        <is>
          <t>Production (gokesari.com)</t>
        </is>
      </c>
      <c r="K219" s="12" t="inlineStr">
        <is>
          <t>Live (CLI)</t>
        </is>
      </c>
      <c r="L219" s="12" t="inlineStr">
        <is>
          <t>#4; #5; #6</t>
        </is>
      </c>
      <c r="M219" s="12" t="inlineStr">
        <is>
          <t>#8</t>
        </is>
      </c>
      <c r="N219" s="12" t="inlineStr">
        <is>
          <t>-</t>
        </is>
      </c>
      <c r="O219" s="12" t="inlineStr">
        <is>
          <t>-</t>
        </is>
      </c>
      <c r="P219" s="12" t="inlineStr">
        <is>
          <t>COMPLETED</t>
        </is>
      </c>
      <c r="Q219" s="12" t="inlineStr">
        <is>
          <t>No change</t>
        </is>
      </c>
      <c r="R219" s="12" t="inlineStr">
        <is>
          <t>scripts/pmd/promote.ts; docs/product-master/PUBLISH_TO_SHOP.md</t>
        </is>
      </c>
    </row>
    <row r="220" ht="27" customFormat="1" customHeight="1" s="2">
      <c r="A220" s="10" t="n">
        <v>219</v>
      </c>
      <c r="B220" s="12" t="inlineStr">
        <is>
          <t>Product Master Data Platform</t>
        </is>
      </c>
      <c r="C220" s="9" t="inlineStr">
        <is>
          <t>PMD-005</t>
        </is>
      </c>
      <c r="D220" s="12" t="inlineStr">
        <is>
          <t>Product Master</t>
        </is>
      </c>
      <c r="E220" s="12" t="inlineStr">
        <is>
          <t>Apply duplicate-review decisions in bulk</t>
        </is>
      </c>
      <c r="F220" s="12" t="inlineStr">
        <is>
          <t>scripts/pmd/review-decide.ts applies a JSON list of merge / close-as-different decisions through the review service (dry run by default).</t>
        </is>
      </c>
      <c r="G220" s="12" t="inlineStr">
        <is>
          <t>F9.1.1</t>
        </is>
      </c>
      <c r="H220" s="12" t="inlineStr">
        <is>
          <t>-</t>
        </is>
      </c>
      <c r="I220" s="10" t="inlineStr">
        <is>
          <t>COMPLETED</t>
        </is>
      </c>
      <c r="J220" s="12" t="inlineStr">
        <is>
          <t>Production (gokesari.com)</t>
        </is>
      </c>
      <c r="K220" s="12" t="inlineStr">
        <is>
          <t>Live (CLI)</t>
        </is>
      </c>
      <c r="L220" s="12" t="inlineStr">
        <is>
          <t>#9</t>
        </is>
      </c>
      <c r="M220" s="12" t="inlineStr">
        <is>
          <t>#12</t>
        </is>
      </c>
      <c r="N220" s="12" t="inlineStr">
        <is>
          <t>-</t>
        </is>
      </c>
      <c r="O220" s="12" t="inlineStr">
        <is>
          <t>-</t>
        </is>
      </c>
      <c r="P220" s="12" t="inlineStr">
        <is>
          <t>COMPLETED</t>
        </is>
      </c>
      <c r="Q220" s="12" t="inlineStr">
        <is>
          <t>No change</t>
        </is>
      </c>
      <c r="R220" s="12" t="inlineStr">
        <is>
          <t>scripts/pmd/review-decide.ts</t>
        </is>
      </c>
    </row>
    <row r="221" ht="39" customFormat="1" customHeight="1" s="2">
      <c r="A221" s="10" t="n">
        <v>220</v>
      </c>
      <c r="B221" s="12" t="inlineStr">
        <is>
          <t>Product Master Data Platform</t>
        </is>
      </c>
      <c r="C221" s="9" t="inlineStr">
        <is>
          <t>PMD-006</t>
        </is>
      </c>
      <c r="D221" s="12" t="inlineStr">
        <is>
          <t>Product Master</t>
        </is>
      </c>
      <c r="E221" s="12" t="inlineStr">
        <is>
          <t>Large-scale ingestion (pilot step 9)</t>
        </is>
      </c>
      <c r="F221" s="12" t="inlineStr">
        <is>
          <t>Not started: the pilot report recommends one licensed non-food feed and loader work first.</t>
        </is>
      </c>
      <c r="G221" s="12" t="inlineStr">
        <is>
          <t>F9.1.4</t>
        </is>
      </c>
      <c r="H221" s="12" t="inlineStr">
        <is>
          <t>-</t>
        </is>
      </c>
      <c r="I221" s="10" t="inlineStr">
        <is>
          <t>YET TO START</t>
        </is>
      </c>
      <c r="J221" s="12" t="inlineStr">
        <is>
          <t>Not started</t>
        </is>
      </c>
      <c r="K221" s="12" t="inlineStr">
        <is>
          <t>-</t>
        </is>
      </c>
      <c r="L221" s="12" t="inlineStr">
        <is>
          <t>-</t>
        </is>
      </c>
      <c r="M221" s="12" t="inlineStr">
        <is>
          <t>-</t>
        </is>
      </c>
      <c r="N221" s="12" t="inlineStr">
        <is>
          <t>Whole step</t>
        </is>
      </c>
      <c r="O221" s="12" t="inlineStr">
        <is>
          <t>Explicit go-ahead; licensed feeds (PMD-002)</t>
        </is>
      </c>
      <c r="P221" s="12" t="inlineStr">
        <is>
          <t>YET TO START</t>
        </is>
      </c>
      <c r="Q221" s="12" t="inlineStr">
        <is>
          <t>No change</t>
        </is>
      </c>
      <c r="R221" s="12" t="inlineStr">
        <is>
          <t>docs/product-master/PILOT_REPORT.md</t>
        </is>
      </c>
    </row>
    <row r="222" ht="27" customFormat="1" customHeight="1" s="2">
      <c r="A222" s="10" t="n">
        <v>221</v>
      </c>
      <c r="B222" s="12" t="inlineStr">
        <is>
          <t>Product Master Data Platform</t>
        </is>
      </c>
      <c r="C222" s="9" t="inlineStr">
        <is>
          <t>PMD-007</t>
        </is>
      </c>
      <c r="D222" s="12" t="inlineStr">
        <is>
          <t>Product Master</t>
        </is>
      </c>
      <c r="E222" s="12" t="inlineStr">
        <is>
          <t>Product browser / edit screens, promote button, scheduler and alerting</t>
        </is>
      </c>
      <c r="F222" s="12" t="inlineStr">
        <is>
          <t>Not built: promotion and scheduling are CLI-only today (no promote button in /admin/product-master).</t>
        </is>
      </c>
      <c r="G222" s="12" t="inlineStr">
        <is>
          <t>F9.1.4</t>
        </is>
      </c>
      <c r="H222" s="12" t="inlineStr">
        <is>
          <t>-</t>
        </is>
      </c>
      <c r="I222" s="10" t="inlineStr">
        <is>
          <t>YET TO START</t>
        </is>
      </c>
      <c r="J222" s="12" t="inlineStr">
        <is>
          <t>Not started</t>
        </is>
      </c>
      <c r="K222" s="12" t="inlineStr">
        <is>
          <t>-</t>
        </is>
      </c>
      <c r="L222" s="12" t="inlineStr">
        <is>
          <t>-</t>
        </is>
      </c>
      <c r="M222" s="12" t="inlineStr">
        <is>
          <t>-</t>
        </is>
      </c>
      <c r="N222" s="12" t="inlineStr">
        <is>
          <t>Whole item</t>
        </is>
      </c>
      <c r="O222" s="12" t="inlineStr">
        <is>
          <t>-</t>
        </is>
      </c>
      <c r="P222" s="12" t="inlineStr">
        <is>
          <t>YET TO START</t>
        </is>
      </c>
      <c r="Q222" s="12" t="inlineStr">
        <is>
          <t>No change</t>
        </is>
      </c>
      <c r="R222" s="12" t="inlineStr">
        <is>
          <t>docs/product-master/PILOT_REPORT.md</t>
        </is>
      </c>
    </row>
    <row r="223" ht="39" customFormat="1" customHeight="1" s="2">
      <c r="A223" s="10" t="n">
        <v>222</v>
      </c>
      <c r="B223" s="12" t="inlineStr">
        <is>
          <t>Platform &amp; DevOps</t>
        </is>
      </c>
      <c r="C223" s="9" t="inlineStr">
        <is>
          <t>PLT-001</t>
        </is>
      </c>
      <c r="D223" s="12" t="inlineStr">
        <is>
          <t>Platform</t>
        </is>
      </c>
      <c r="E223" s="12" t="inlineStr">
        <is>
          <t>Hostinger build and dev server (webpack, @/ alias)</t>
        </is>
      </c>
      <c r="F223" s="12" t="inlineStr">
        <is>
          <t>Production builds use webpack so Hostinger deploys succeed; @/ import alias resolved without TypeScript installed; npm run dev starts again under Next 16.</t>
        </is>
      </c>
      <c r="G223" s="12" t="inlineStr">
        <is>
          <t>-</t>
        </is>
      </c>
      <c r="H223" s="12" t="inlineStr">
        <is>
          <t>-</t>
        </is>
      </c>
      <c r="I223" s="10" t="inlineStr">
        <is>
          <t>COMPLETED</t>
        </is>
      </c>
      <c r="J223" s="12" t="inlineStr">
        <is>
          <t>Production (gokesari.com)</t>
        </is>
      </c>
      <c r="K223" s="12" t="inlineStr">
        <is>
          <t>Live</t>
        </is>
      </c>
      <c r="L223" s="12" t="inlineStr">
        <is>
          <t>#17; #20; #35</t>
        </is>
      </c>
      <c r="M223" s="12" t="inlineStr">
        <is>
          <t>#19; #35</t>
        </is>
      </c>
      <c r="N223" s="12" t="inlineStr">
        <is>
          <t>-</t>
        </is>
      </c>
      <c r="O223" s="12" t="inlineStr">
        <is>
          <t>-</t>
        </is>
      </c>
      <c r="P223" s="12" t="inlineStr">
        <is>
          <t>COMPLETED</t>
        </is>
      </c>
      <c r="Q223" s="12" t="inlineStr">
        <is>
          <t>No change</t>
        </is>
      </c>
      <c r="R223" s="12" t="inlineStr">
        <is>
          <t>package.json; next.config.ts</t>
        </is>
      </c>
    </row>
    <row r="224" ht="27" customFormat="1" customHeight="1" s="2">
      <c r="A224" s="10" t="n">
        <v>223</v>
      </c>
      <c r="B224" s="12" t="inlineStr">
        <is>
          <t>Platform &amp; DevOps</t>
        </is>
      </c>
      <c r="C224" s="9" t="inlineStr">
        <is>
          <t>PLT-002</t>
        </is>
      </c>
      <c r="D224" s="12" t="inlineStr">
        <is>
          <t>Platform</t>
        </is>
      </c>
      <c r="E224" s="12" t="inlineStr">
        <is>
          <t>Root-cause logging for failed database queries</t>
        </is>
      </c>
      <c r="F224" s="12" t="inlineStr">
        <is>
          <t>onRequestError and API error handler log the cause chain (message + code, never the connection string).</t>
        </is>
      </c>
      <c r="G224" s="12" t="inlineStr">
        <is>
          <t>-</t>
        </is>
      </c>
      <c r="H224" s="12" t="inlineStr">
        <is>
          <t>-</t>
        </is>
      </c>
      <c r="I224" s="10" t="inlineStr">
        <is>
          <t>COMPLETED</t>
        </is>
      </c>
      <c r="J224" s="12" t="inlineStr">
        <is>
          <t>Production (gokesari.com)</t>
        </is>
      </c>
      <c r="K224" s="12" t="inlineStr">
        <is>
          <t>Live</t>
        </is>
      </c>
      <c r="L224" s="12" t="inlineStr">
        <is>
          <t>#13 (#16 closed)</t>
        </is>
      </c>
      <c r="M224" s="12" t="inlineStr">
        <is>
          <t>#19</t>
        </is>
      </c>
      <c r="N224" s="12" t="inlineStr">
        <is>
          <t>-</t>
        </is>
      </c>
      <c r="O224" s="12" t="inlineStr">
        <is>
          <t>-</t>
        </is>
      </c>
      <c r="P224" s="12" t="inlineStr">
        <is>
          <t>COMPLETED</t>
        </is>
      </c>
      <c r="Q224" s="12" t="inlineStr">
        <is>
          <t>No change</t>
        </is>
      </c>
      <c r="R224" s="12" t="inlineStr">
        <is>
          <t>src/instrumentation.ts; src/lib/errors.ts</t>
        </is>
      </c>
    </row>
    <row r="225" ht="27" customFormat="1" customHeight="1" s="2">
      <c r="A225" s="10" t="n">
        <v>224</v>
      </c>
      <c r="B225" s="12" t="inlineStr">
        <is>
          <t>Platform &amp; DevOps</t>
        </is>
      </c>
      <c r="C225" s="9" t="inlineStr">
        <is>
          <t>PLT-003</t>
        </is>
      </c>
      <c r="D225" s="12" t="inlineStr">
        <is>
          <t>Platform</t>
        </is>
      </c>
      <c r="E225" s="12" t="inlineStr">
        <is>
          <t>CI pipeline (typecheck, lint, tests on PostgreSQL, build)</t>
        </is>
      </c>
      <c r="F225" s="12" t="inlineStr">
        <is>
          <t>Every PR runs migrations on a fresh Postgres, typecheck, lint, unit + integration tests and a production build; actions on Node 24.</t>
        </is>
      </c>
      <c r="G225" s="12" t="inlineStr">
        <is>
          <t>F14.1.1</t>
        </is>
      </c>
      <c r="H225" s="12" t="inlineStr">
        <is>
          <t>-</t>
        </is>
      </c>
      <c r="I225" s="10" t="inlineStr">
        <is>
          <t>COMPLETED</t>
        </is>
      </c>
      <c r="J225" s="12" t="inlineStr">
        <is>
          <t>Production (gokesari.com)</t>
        </is>
      </c>
      <c r="K225" s="12" t="inlineStr">
        <is>
          <t>Live</t>
        </is>
      </c>
      <c r="L225" s="12" t="inlineStr">
        <is>
          <t>Baseline; #7</t>
        </is>
      </c>
      <c r="M225" s="12" t="inlineStr">
        <is>
          <t>#8</t>
        </is>
      </c>
      <c r="N225" s="12" t="inlineStr">
        <is>
          <t>-</t>
        </is>
      </c>
      <c r="O225" s="12" t="inlineStr">
        <is>
          <t>-</t>
        </is>
      </c>
      <c r="P225" s="12" t="inlineStr">
        <is>
          <t>COMPLETED</t>
        </is>
      </c>
      <c r="Q225" s="12" t="inlineStr">
        <is>
          <t>No change</t>
        </is>
      </c>
      <c r="R225" s="12" t="inlineStr">
        <is>
          <t>.github/workflows/</t>
        </is>
      </c>
    </row>
    <row r="226" ht="27" customFormat="1" customHeight="1" s="2">
      <c r="A226" s="10" t="n">
        <v>225</v>
      </c>
      <c r="B226" s="12" t="inlineStr">
        <is>
          <t>Platform &amp; DevOps</t>
        </is>
      </c>
      <c r="C226" s="9" t="inlineStr">
        <is>
          <t>PLT-004</t>
        </is>
      </c>
      <c r="D226" s="12" t="inlineStr">
        <is>
          <t>Security</t>
        </is>
      </c>
      <c r="E226" s="12" t="inlineStr">
        <is>
          <t>Dependency security patches</t>
        </is>
      </c>
      <c r="F226" s="12" t="inlineStr">
        <is>
          <t>Next.js 16.3.6 security bump; sharp, brace-expansion, source-map-js and js-yaml patched (production npm audit: 0).</t>
        </is>
      </c>
      <c r="G226" s="12" t="inlineStr">
        <is>
          <t>-</t>
        </is>
      </c>
      <c r="H226" s="12" t="inlineStr">
        <is>
          <t>-</t>
        </is>
      </c>
      <c r="I226" s="10" t="inlineStr">
        <is>
          <t>COMPLETED</t>
        </is>
      </c>
      <c r="J226" s="12" t="inlineStr">
        <is>
          <t>Production (gokesari.com)</t>
        </is>
      </c>
      <c r="K226" s="12" t="inlineStr">
        <is>
          <t>Live</t>
        </is>
      </c>
      <c r="L226" s="12" t="inlineStr">
        <is>
          <t>#19 (Next.js bump commit); #66 (#15, #16 closed)</t>
        </is>
      </c>
      <c r="M226" s="12" t="inlineStr">
        <is>
          <t>#19; #65</t>
        </is>
      </c>
      <c r="N226" s="12" t="inlineStr">
        <is>
          <t>-</t>
        </is>
      </c>
      <c r="O226" s="12" t="inlineStr">
        <is>
          <t>-</t>
        </is>
      </c>
      <c r="P226" s="12" t="inlineStr">
        <is>
          <t>COMPLETED</t>
        </is>
      </c>
      <c r="Q226" s="12" t="inlineStr">
        <is>
          <t>No change</t>
        </is>
      </c>
      <c r="R226" s="12" t="inlineStr">
        <is>
          <t>package-lock.json</t>
        </is>
      </c>
    </row>
    <row r="227" ht="27" customFormat="1" customHeight="1" s="2">
      <c r="A227" s="10" t="n">
        <v>226</v>
      </c>
      <c r="B227" s="12" t="inlineStr">
        <is>
          <t>Platform &amp; DevOps</t>
        </is>
      </c>
      <c r="C227" s="9" t="inlineStr">
        <is>
          <t>PLT-005</t>
        </is>
      </c>
      <c r="D227" s="12" t="inlineStr">
        <is>
          <t>Platform</t>
        </is>
      </c>
      <c r="E227" s="12" t="inlineStr">
        <is>
          <t>GoKesari domain and repository hygiene</t>
        </is>
      </c>
      <c r="F227" s="12" t="inlineStr">
        <is>
          <t>CNAME and docs point at gokesari.com; other brand's runbook removed; GoKesari-only scope rule for Claude chats.</t>
        </is>
      </c>
      <c r="G227" s="12" t="inlineStr">
        <is>
          <t>-</t>
        </is>
      </c>
      <c r="H227" s="12" t="inlineStr">
        <is>
          <t>-</t>
        </is>
      </c>
      <c r="I227" s="10" t="inlineStr">
        <is>
          <t>COMPLETED</t>
        </is>
      </c>
      <c r="J227" s="12" t="inlineStr">
        <is>
          <t>Production (gokesari.com)</t>
        </is>
      </c>
      <c r="K227" s="12" t="inlineStr">
        <is>
          <t>Live</t>
        </is>
      </c>
      <c r="L227" s="12" t="inlineStr">
        <is>
          <t>#25; #33; #41 (#27 closed)</t>
        </is>
      </c>
      <c r="M227" s="12" t="inlineStr">
        <is>
          <t>#32; #36; #43</t>
        </is>
      </c>
      <c r="N227" s="12" t="inlineStr">
        <is>
          <t>-</t>
        </is>
      </c>
      <c r="O227" s="12" t="inlineStr">
        <is>
          <t>-</t>
        </is>
      </c>
      <c r="P227" s="12" t="inlineStr">
        <is>
          <t>COMPLETED</t>
        </is>
      </c>
      <c r="Q227" s="12" t="inlineStr">
        <is>
          <t>No change</t>
        </is>
      </c>
      <c r="R227" s="12" t="inlineStr">
        <is>
          <t>CNAME; CLAUDE.md</t>
        </is>
      </c>
    </row>
    <row r="228" ht="39" customFormat="1" customHeight="1" s="2">
      <c r="A228" s="10" t="n">
        <v>227</v>
      </c>
      <c r="B228" s="12" t="inlineStr">
        <is>
          <t>Platform &amp; DevOps</t>
        </is>
      </c>
      <c r="C228" s="9" t="inlineStr">
        <is>
          <t>PLT-006</t>
        </is>
      </c>
      <c r="D228" s="12" t="inlineStr">
        <is>
          <t>Platform</t>
        </is>
      </c>
      <c r="E228" s="12" t="inlineStr">
        <is>
          <t>Deployment runbooks</t>
        </is>
      </c>
      <c r="F228" s="12" t="inlineStr">
        <is>
          <t>Ordered deploy runbook (backup, ledger checks, migrate, crons, smoke test, rollback); row-count checks derived from the checkout so they cannot go stale.</t>
        </is>
      </c>
      <c r="G228" s="12" t="inlineStr">
        <is>
          <t>F14.2.2</t>
        </is>
      </c>
      <c r="H228" s="12" t="inlineStr">
        <is>
          <t>-</t>
        </is>
      </c>
      <c r="I228" s="10" t="inlineStr">
        <is>
          <t>COMPLETED</t>
        </is>
      </c>
      <c r="J228" s="12" t="inlineStr">
        <is>
          <t>Production (gokesari.com)</t>
        </is>
      </c>
      <c r="K228" s="12" t="inlineStr">
        <is>
          <t>Live</t>
        </is>
      </c>
      <c r="L228" s="12" t="inlineStr">
        <is>
          <t>#37; #88</t>
        </is>
      </c>
      <c r="M228" s="12" t="inlineStr">
        <is>
          <t>#37; #88</t>
        </is>
      </c>
      <c r="N228" s="12" t="inlineStr">
        <is>
          <t>-</t>
        </is>
      </c>
      <c r="O228" s="12" t="inlineStr">
        <is>
          <t>-</t>
        </is>
      </c>
      <c r="P228" s="12" t="inlineStr">
        <is>
          <t>COMPLETED</t>
        </is>
      </c>
      <c r="Q228" s="12" t="inlineStr">
        <is>
          <t>No change</t>
        </is>
      </c>
      <c r="R228" s="12" t="inlineStr">
        <is>
          <t>docs/gokesari-audit/DEPLOY_RUNBOOK.md</t>
        </is>
      </c>
    </row>
    <row r="229" ht="39" customFormat="1" customHeight="1" s="2">
      <c r="A229" s="10" t="n">
        <v>228</v>
      </c>
      <c r="B229" s="12" t="inlineStr">
        <is>
          <t>Platform &amp; DevOps</t>
        </is>
      </c>
      <c r="C229" s="9" t="inlineStr">
        <is>
          <t>PLT-007</t>
        </is>
      </c>
      <c r="D229" s="12" t="inlineStr">
        <is>
          <t>Platform</t>
        </is>
      </c>
      <c r="E229" s="12" t="inlineStr">
        <is>
          <t>Opt-in automatic migration during the build (MIGRATE_ON_BUILD)</t>
        </is>
      </c>
      <c r="F229" s="12" t="inlineStr">
        <is>
          <t>npm run build runs pending migrations first when MIGRATE_ON_BUILD=true (one transaction; a failed migration stops the build); logs only database name/host and count.</t>
        </is>
      </c>
      <c r="G229" s="12" t="inlineStr">
        <is>
          <t>F14.2.2</t>
        </is>
      </c>
      <c r="H229" s="12" t="inlineStr">
        <is>
          <t>-</t>
        </is>
      </c>
      <c r="I229" s="10" t="inlineStr">
        <is>
          <t>COMPLETED</t>
        </is>
      </c>
      <c r="J229" s="12" t="inlineStr">
        <is>
          <t>Production (gokesari.com)</t>
        </is>
      </c>
      <c r="K229" s="12" t="inlineStr">
        <is>
          <t>On for gokesari.com and test.gokesari.com (MIGRATE_ON_BUILD=true)</t>
        </is>
      </c>
      <c r="L229" s="12" t="inlineStr">
        <is>
          <t>#85; #90 (shared migration lock)</t>
        </is>
      </c>
      <c r="M229" s="12" t="inlineStr">
        <is>
          <t>#120</t>
        </is>
      </c>
      <c r="N229" s="12" t="inlineStr">
        <is>
          <t>-</t>
        </is>
      </c>
      <c r="O229" s="12" t="inlineStr">
        <is>
          <t>-</t>
        </is>
      </c>
      <c r="P229" s="12" t="inlineStr">
        <is>
          <t>COMPLETED</t>
        </is>
      </c>
      <c r="Q229" s="12" t="inlineStr">
        <is>
          <t>No change</t>
        </is>
      </c>
      <c r="R229" s="12" t="inlineStr">
        <is>
          <t>-</t>
        </is>
      </c>
    </row>
    <row r="230" ht="51" customFormat="1" customHeight="1" s="2">
      <c r="A230" s="10" t="n">
        <v>229</v>
      </c>
      <c r="B230" s="12" t="inlineStr">
        <is>
          <t>Platform &amp; DevOps</t>
        </is>
      </c>
      <c r="C230" s="9" t="inlineStr">
        <is>
          <t>PLT-008</t>
        </is>
      </c>
      <c r="D230" s="12" t="inlineStr">
        <is>
          <t>Platform</t>
        </is>
      </c>
      <c r="E230" s="12" t="inlineStr">
        <is>
          <t>'Test database' workflow (backup, migrate, settings, verify)</t>
        </is>
      </c>
      <c r="F230" s="12" t="inlineStr">
        <is>
          <t>GitHub Actions workflow for test.gokesari.com: pg_dump backup before every change, migrate, apply test settings / wallet settings / credits, verify against the branch's newest migration; guarded to the test host and to staging.</t>
        </is>
      </c>
      <c r="G230" s="12" t="inlineStr">
        <is>
          <t>F14.1.2</t>
        </is>
      </c>
      <c r="H230" s="12" t="inlineStr">
        <is>
          <t>-</t>
        </is>
      </c>
      <c r="I230" s="10" t="inlineStr">
        <is>
          <t>COMPLETED</t>
        </is>
      </c>
      <c r="J230" s="12" t="inlineStr">
        <is>
          <t>GitHub Actions (runs from staging)</t>
        </is>
      </c>
      <c r="K230" s="12" t="inlineStr">
        <is>
          <t>Live for the test database</t>
        </is>
      </c>
      <c r="L230" s="12" t="inlineStr">
        <is>
          <t>#90; #94; #95, #96, #97, #99 (data); #102 (four-features settings, E2E accounts, read-only report)</t>
        </is>
      </c>
      <c r="M230" s="12" t="inlineStr">
        <is>
          <t>Not needed (test only)</t>
        </is>
      </c>
      <c r="N230" s="12" t="inlineStr">
        <is>
          <t>Nightly backup now scheduled: the workflow file reached main in #120</t>
        </is>
      </c>
      <c r="O230" s="12" t="inlineStr">
        <is>
          <t>-</t>
        </is>
      </c>
      <c r="P230" s="12" t="inlineStr">
        <is>
          <t>COMPLETED</t>
        </is>
      </c>
      <c r="Q230" s="12" t="inlineStr">
        <is>
          <t>No change</t>
        </is>
      </c>
      <c r="R230" s="12" t="inlineStr">
        <is>
          <t>.github/workflows/test-db.yml; scripts/test-db/</t>
        </is>
      </c>
    </row>
    <row r="231" ht="111" customFormat="1" customHeight="1" s="2">
      <c r="A231" s="10" t="n">
        <v>230</v>
      </c>
      <c r="B231" s="12" t="inlineStr">
        <is>
          <t>Platform &amp; DevOps</t>
        </is>
      </c>
      <c r="C231" s="9" t="inlineStr">
        <is>
          <t>PLT-009</t>
        </is>
      </c>
      <c r="D231" s="12" t="inlineStr">
        <is>
          <t>Platform</t>
        </is>
      </c>
      <c r="E231" s="12" t="inlineStr">
        <is>
          <t>'Production database' workflow (verify / migrate with typed confirmation)</t>
        </is>
      </c>
      <c r="F231" s="12" t="inlineStr">
        <is>
          <t>Manual-only workflow from main: verify shows production's pending migrations; migrate needs 'MIGRATE PRODUCTION', refuses migrations not already on test, records a Neon restore point, no data leaves the database.</t>
        </is>
      </c>
      <c r="G231" s="12" t="inlineStr">
        <is>
          <t>F14.2.1</t>
        </is>
      </c>
      <c r="H231" s="12" t="inlineStr">
        <is>
          <t>-</t>
        </is>
      </c>
      <c r="I231" s="10" t="inlineStr">
        <is>
          <t>BLOCKED</t>
        </is>
      </c>
      <c r="J231" s="12" t="inlineStr">
        <is>
          <t>GitHub Actions (runs from main)</t>
        </is>
      </c>
      <c r="K231" s="12" t="inlineStr">
        <is>
          <t>-</t>
        </is>
      </c>
      <c r="L231" s="12" t="inlineStr">
        <is>
          <t>#93; #118 (onto main)</t>
        </is>
      </c>
      <c r="M231" s="12" t="inlineStr">
        <is>
          <t>#118</t>
        </is>
      </c>
      <c r="N231" s="12" t="inlineStr">
        <is>
          <t>Repository-level secrets/variables are not set</t>
        </is>
      </c>
      <c r="O231" s="12" t="inlineStr">
        <is>
          <t>Owner: PROD_DATABASE_URL is still not visible to Actions - nine copy-shops / db-split plan or verify runs got an empty value (Blockers #32)</t>
        </is>
      </c>
      <c r="P231" s="12" t="inlineStr">
        <is>
          <t>BLOCKED</t>
        </is>
      </c>
      <c r="Q231" s="12" t="inlineStr">
        <is>
          <t>No change</t>
        </is>
      </c>
      <c r="R231" s="12" t="inlineStr">
        <is>
          <t>docs/event-driven-2026-10/PROD_DB.md</t>
        </is>
      </c>
    </row>
    <row r="232" ht="51" customFormat="1" customHeight="1" s="2">
      <c r="A232" s="10" t="n">
        <v>231</v>
      </c>
      <c r="B232" s="12" t="inlineStr">
        <is>
          <t>Platform &amp; DevOps</t>
        </is>
      </c>
      <c r="C232" s="9" t="inlineStr">
        <is>
          <t>PLT-010</t>
        </is>
      </c>
      <c r="D232" s="12" t="inlineStr">
        <is>
          <t>Platform</t>
        </is>
      </c>
      <c r="E232" s="12" t="inlineStr">
        <is>
          <t>'Android APK' workflow - installable test builds without any accounts</t>
        </is>
      </c>
      <c r="F232" s="12" t="inlineStr">
        <is>
          <t>Builds GoKesari-preview-apk (test.gokesari.com) and GoKesari-production-apk (gokesari.com) on GitHub for every change to mobile/ and on demand; download from the run's Artifacts. Signed with a shared test key, so it cannot be upgraded to a Play Store build.</t>
        </is>
      </c>
      <c r="G232" s="12" t="inlineStr">
        <is>
          <t>F15.1.1</t>
        </is>
      </c>
      <c r="H232" s="12" t="inlineStr">
        <is>
          <t>-</t>
        </is>
      </c>
      <c r="I232" s="10" t="inlineStr">
        <is>
          <t>COMPLETED</t>
        </is>
      </c>
      <c r="J232" s="12" t="inlineStr">
        <is>
          <t>GitHub Actions (runs from main)</t>
        </is>
      </c>
      <c r="K232" s="12" t="inlineStr">
        <is>
          <t>Live</t>
        </is>
      </c>
      <c r="L232" s="12" t="inlineStr">
        <is>
          <t>#100</t>
        </is>
      </c>
      <c r="M232" s="12" t="inlineStr">
        <is>
          <t>#100</t>
        </is>
      </c>
      <c r="N232" s="12" t="inlineStr">
        <is>
          <t>-</t>
        </is>
      </c>
      <c r="O232" s="12" t="inlineStr">
        <is>
          <t>-</t>
        </is>
      </c>
      <c r="P232" s="12" t="inlineStr">
        <is>
          <t>COMPLETED</t>
        </is>
      </c>
      <c r="Q232" s="12" t="inlineStr">
        <is>
          <t>No change</t>
        </is>
      </c>
      <c r="R232" s="12" t="inlineStr">
        <is>
          <t>.github/workflows/mobile-apk.yml</t>
        </is>
      </c>
    </row>
    <row r="233" ht="51" customFormat="1" customHeight="1" s="2">
      <c r="A233" s="10" t="n">
        <v>232</v>
      </c>
      <c r="B233" s="12" t="inlineStr">
        <is>
          <t>Platform &amp; DevOps</t>
        </is>
      </c>
      <c r="C233" s="9" t="inlineStr">
        <is>
          <t>PLT-011</t>
        </is>
      </c>
      <c r="D233" s="12" t="inlineStr">
        <is>
          <t>Platform</t>
        </is>
      </c>
      <c r="E233" s="12" t="inlineStr">
        <is>
          <t>'Sandbox payment' workflow - pay Cashfree sandbox checkouts for E2E tests</t>
        </is>
      </c>
      <c r="F233" s="12" t="inlineStr">
        <is>
          <t>Pays a Cashfree SANDBOX checkout session with Cashfree's test instruments (UPI collect, credit / debit card with the simulator OTP, net banking; success or failure) from a GitHub runner. Sandbox host hard-coded, no secrets.</t>
        </is>
      </c>
      <c r="G233" s="12" t="inlineStr">
        <is>
          <t>F14.1.4</t>
        </is>
      </c>
      <c r="H233" s="12" t="inlineStr">
        <is>
          <t>-</t>
        </is>
      </c>
      <c r="I233" s="10" t="inlineStr">
        <is>
          <t>COMPLETED</t>
        </is>
      </c>
      <c r="J233" s="12" t="inlineStr">
        <is>
          <t>GitHub Actions (runs from staging)</t>
        </is>
      </c>
      <c r="K233" s="12" t="inlineStr">
        <is>
          <t>Live for the test site</t>
        </is>
      </c>
      <c r="L233" s="12" t="inlineStr">
        <is>
          <t>#102; #103 (card and net-banking simulator)</t>
        </is>
      </c>
      <c r="M233" s="12" t="inlineStr">
        <is>
          <t>Not needed (test only)</t>
        </is>
      </c>
      <c r="N233" s="12" t="inlineStr">
        <is>
          <t>-</t>
        </is>
      </c>
      <c r="O233" s="12" t="inlineStr">
        <is>
          <t>-</t>
        </is>
      </c>
      <c r="P233" s="12" t="inlineStr">
        <is>
          <t>COMPLETED</t>
        </is>
      </c>
      <c r="Q233" s="12" t="inlineStr">
        <is>
          <t>No change</t>
        </is>
      </c>
      <c r="R233" s="12" t="inlineStr">
        <is>
          <t>.github/workflows/sandbox-pay.yml; scripts/test-site/sandbox-pay.mjs</t>
        </is>
      </c>
    </row>
    <row r="234" ht="51" customFormat="1" customHeight="1" s="2">
      <c r="A234" s="10" t="n">
        <v>233</v>
      </c>
      <c r="B234" s="12" t="inlineStr">
        <is>
          <t>Platform &amp; DevOps</t>
        </is>
      </c>
      <c r="C234" s="9" t="inlineStr">
        <is>
          <t>PLT-012</t>
        </is>
      </c>
      <c r="D234" s="12" t="inlineStr">
        <is>
          <t>Performance</t>
        </is>
      </c>
      <c r="E234" s="12" t="inlineStr">
        <is>
          <t>One database read per fact per page render</t>
        </is>
      </c>
      <c r="F234" s="12" t="inlineStr">
        <is>
          <t>React cache() on the session lookup, addresses, wallet, unread count, roles, staff shops and cart count for one server render; callers asking for the same business rule at once share one query. 52 -&gt; 24 queries per signed-in home page; no behaviour change.</t>
        </is>
      </c>
      <c r="G234" s="12" t="inlineStr">
        <is>
          <t>-</t>
        </is>
      </c>
      <c r="H234" s="12" t="inlineStr">
        <is>
          <t>-</t>
        </is>
      </c>
      <c r="I234" s="10" t="inlineStr">
        <is>
          <t>COMPLETED</t>
        </is>
      </c>
      <c r="J234" s="12" t="inlineStr">
        <is>
          <t>Production (gokesari.com)</t>
        </is>
      </c>
      <c r="K234" s="12" t="inlineStr">
        <is>
          <t>Live</t>
        </is>
      </c>
      <c r="L234" s="12" t="inlineStr">
        <is>
          <t>#124</t>
        </is>
      </c>
      <c r="M234" s="12" t="inlineStr">
        <is>
          <t>#126</t>
        </is>
      </c>
      <c r="N234" s="12" t="inlineStr">
        <is>
          <t>-</t>
        </is>
      </c>
      <c r="O234" s="12" t="inlineStr">
        <is>
          <t>-</t>
        </is>
      </c>
      <c r="P234" s="12" t="inlineStr">
        <is>
          <t>COMPLETED</t>
        </is>
      </c>
      <c r="Q234" s="12" t="inlineStr">
        <is>
          <t>No change</t>
        </is>
      </c>
      <c r="R234" s="12" t="inlineStr">
        <is>
          <t>src/server/ (cache() wrappers); commit 1406b0b</t>
        </is>
      </c>
    </row>
    <row r="235" ht="39" customFormat="1" customHeight="1" s="2">
      <c r="A235" s="10" t="n">
        <v>234</v>
      </c>
      <c r="B235" s="12" t="inlineStr">
        <is>
          <t>Platform &amp; DevOps</t>
        </is>
      </c>
      <c r="C235" s="9" t="inlineStr">
        <is>
          <t>PLT-013</t>
        </is>
      </c>
      <c r="D235" s="12" t="inlineStr">
        <is>
          <t>Performance</t>
        </is>
      </c>
      <c r="E235" s="12" t="inlineStr">
        <is>
          <t>Opt-in prepared statements (DATABASE_PREPARED_STATEMENTS=on)</t>
        </is>
      </c>
      <c r="F235" s="12" t="inlineStr">
        <is>
          <t>Asks postgres-js to prepare queries by default, saving one database round trip per query (measured locally with 200 ms to the database: 405 ms -&gt; 205 ms per repeated query).</t>
        </is>
      </c>
      <c r="G235" s="12" t="inlineStr">
        <is>
          <t>-</t>
        </is>
      </c>
      <c r="H235" s="12" t="inlineStr">
        <is>
          <t>-</t>
        </is>
      </c>
      <c r="I235" s="10" t="inlineStr">
        <is>
          <t>COMPLETED</t>
        </is>
      </c>
      <c r="J235" s="12" t="inlineStr">
        <is>
          <t>Production - built, switched off by default</t>
        </is>
      </c>
      <c r="K235" s="12" t="inlineStr">
        <is>
          <t>Off - environment variable not set on either site</t>
        </is>
      </c>
      <c r="L235" s="12" t="inlineStr">
        <is>
          <t>#124</t>
        </is>
      </c>
      <c r="M235" s="12" t="inlineStr">
        <is>
          <t>#126</t>
        </is>
      </c>
      <c r="N235" s="12" t="inlineStr">
        <is>
          <t>Turn on for test.gokesari.com, check Neon's pooled host accepts prepared statements, then gokesari.com</t>
        </is>
      </c>
      <c r="O235" s="12" t="inlineStr">
        <is>
          <t>Owner: environment setting (Blockers #36)</t>
        </is>
      </c>
      <c r="P235" s="12" t="inlineStr">
        <is>
          <t>COMPLETED</t>
        </is>
      </c>
      <c r="Q235" s="12" t="inlineStr">
        <is>
          <t>No change</t>
        </is>
      </c>
      <c r="R235" s="12" t="inlineStr">
        <is>
          <t>commit 98cb8e7; src/server/db</t>
        </is>
      </c>
    </row>
    <row r="236" ht="51" customFormat="1" customHeight="1" s="2">
      <c r="A236" s="10" t="n">
        <v>235</v>
      </c>
      <c r="B236" s="12" t="inlineStr">
        <is>
          <t>Platform &amp; DevOps</t>
        </is>
      </c>
      <c r="C236" s="9" t="inlineStr">
        <is>
          <t>PLT-014</t>
        </is>
      </c>
      <c r="D236" s="12" t="inlineStr">
        <is>
          <t>Performance</t>
        </is>
      </c>
      <c r="E236" s="12" t="inlineStr">
        <is>
          <t>Board figures: shared cache and 8 s allowance</t>
        </is>
      </c>
      <c r="F236" s="12" t="inlineStr">
        <is>
          <t>The visitor home's shop and category figures (same for everyone at a location) are kept 60 s per location and served at once while a newer copy loads (complete results only, at most 500 locations). Live figures get 8 s before a badge is dropped (Buy again 10 s).</t>
        </is>
      </c>
      <c r="G236" s="12" t="inlineStr">
        <is>
          <t>-</t>
        </is>
      </c>
      <c r="H236" s="12" t="inlineStr">
        <is>
          <t>-</t>
        </is>
      </c>
      <c r="I236" s="10" t="inlineStr">
        <is>
          <t>COMPLETED</t>
        </is>
      </c>
      <c r="J236" s="12" t="inlineStr">
        <is>
          <t>Production (gokesari.com)</t>
        </is>
      </c>
      <c r="K236" s="12" t="inlineStr">
        <is>
          <t>Live</t>
        </is>
      </c>
      <c r="L236" s="12" t="inlineStr">
        <is>
          <t>#127; #130</t>
        </is>
      </c>
      <c r="M236" s="12" t="inlineStr">
        <is>
          <t>#129; #131</t>
        </is>
      </c>
      <c r="N236" s="12" t="inlineStr">
        <is>
          <t>-</t>
        </is>
      </c>
      <c r="O236" s="12" t="inlineStr">
        <is>
          <t>-</t>
        </is>
      </c>
      <c r="P236" s="12" t="inlineStr">
        <is>
          <t>COMPLETED</t>
        </is>
      </c>
      <c r="Q236" s="12" t="inlineStr">
        <is>
          <t>No change</t>
        </is>
      </c>
      <c r="R236" s="12" t="inlineStr">
        <is>
          <t>docs/tile-board-2026-10/TEST_RESULTS_UI_PASS.md (PR #127 on test)</t>
        </is>
      </c>
    </row>
    <row r="237" ht="159" customFormat="1" customHeight="1" s="2">
      <c r="A237" s="10" t="n">
        <v>236</v>
      </c>
      <c r="B237" s="12" t="inlineStr">
        <is>
          <t>Platform &amp; DevOps</t>
        </is>
      </c>
      <c r="C237" s="9" t="inlineStr">
        <is>
          <t>PLT-015</t>
        </is>
      </c>
      <c r="D237" s="12" t="inlineStr">
        <is>
          <t>Platform</t>
        </is>
      </c>
      <c r="E237" s="12" t="inlineStr">
        <is>
          <t>Seller / customer database split (tooling and 'Database split' workflow)</t>
        </is>
      </c>
      <c r="F237" s="12" t="inlineStr">
        <is>
          <t>Ownership map splits 190 tables: 90 to gokesari_seller (incl. pmd) and 100 to gokesari_customer plus core, with 111 cross-database links. Modes plan, dry-run, migrate, verify, fdw: COPY with foreign keys re-validated and sequences carried, row-count / checksum / missing-parent report, postgres_fdw both ways. Production runs need main, a passed test split and the typed confirmation 'SPLIT PRODUCTION'.</t>
        </is>
      </c>
      <c r="G237" s="12" t="inlineStr">
        <is>
          <t>F14.2.4</t>
        </is>
      </c>
      <c r="H237" s="12" t="inlineStr">
        <is>
          <t>-</t>
        </is>
      </c>
      <c r="I237" s="10" t="inlineStr">
        <is>
          <t>IN PROGRESS</t>
        </is>
      </c>
      <c r="J237" s="12" t="inlineStr">
        <is>
          <t>GitHub Actions (runs from main)</t>
        </is>
      </c>
      <c r="K237" s="12" t="inlineStr">
        <is>
          <t>Site still reads one database (DB_SPLIT_MODE = single); the split databases are copies only</t>
        </is>
      </c>
      <c r="L237" s="12" t="inlineStr">
        <is>
          <t>#146; #152 (Neon COPY hang, channel_binding); #154 (test report); #158; #160; #162</t>
        </is>
      </c>
      <c r="M237" s="12" t="inlineStr">
        <is>
          <t>#149; #157; #159; #161; #163</t>
        </is>
      </c>
      <c r="N237" s="12" t="inlineStr">
        <is>
          <t>Production split: run 19 (migrate, 14 Oct 14:08-14:12 UTC) PASSED: 190 tables, 486 rows, every checksum equal, 0 missing parents on 111 links (report artifact db-split-report-production). But the two production split secrets point at databases literally named PROD_SELLER_DATABASE_URL and PROD_CUSTOMER_DATABASE_URL (test uses gokesari_seller / gokesari_customer) - check the secret values. Then phases 2-4 (shadow writes / replication, switching reads and writes, contract) are not started.</t>
        </is>
      </c>
      <c r="O237" s="12" t="inlineStr">
        <is>
          <t>Owner: check the production split secrets (Blockers #42); then plan phases 2-4</t>
        </is>
      </c>
      <c r="P237" s="12" t="inlineStr">
        <is>
          <t>IN PROGRESS</t>
        </is>
      </c>
      <c r="Q237" s="12" t="inlineStr">
        <is>
          <t>No change</t>
        </is>
      </c>
      <c r="R237" s="12" t="inlineStr">
        <is>
          <t>docs/db-split-2026-10/README.md; VERIFICATION_REPORT_test_2026-10-13.md; .github/workflows/db-split.yml</t>
        </is>
      </c>
    </row>
    <row r="238" ht="51" customFormat="1" customHeight="1" s="2">
      <c r="A238" s="10" t="n">
        <v>237</v>
      </c>
      <c r="B238" s="12" t="inlineStr">
        <is>
          <t>Platform &amp; DevOps</t>
        </is>
      </c>
      <c r="C238" s="9" t="inlineStr">
        <is>
          <t>PLT-016</t>
        </is>
      </c>
      <c r="D238" s="12" t="inlineStr">
        <is>
          <t>Platform</t>
        </is>
      </c>
      <c r="E238" s="12" t="inlineStr">
        <is>
          <t>CI scope job: skip runs that cannot find anything new</t>
        </is>
      </c>
      <c r="F238" s="12" t="inlineStr">
        <is>
          <t>A 'scope' job decides what each push needs: tests and mobile are skipped when the same files already passed (a release PR and its merge), or when only docs changed; tests only for changes outside mobile/, mobile only inside it; a newer push cancels the older run.</t>
        </is>
      </c>
      <c r="G238" s="12" t="inlineStr">
        <is>
          <t>F14.1.1</t>
        </is>
      </c>
      <c r="H238" s="12" t="inlineStr">
        <is>
          <t>-</t>
        </is>
      </c>
      <c r="I238" s="10" t="inlineStr">
        <is>
          <t>COMPLETED</t>
        </is>
      </c>
      <c r="J238" s="12" t="inlineStr">
        <is>
          <t>GitHub Actions (runs from main)</t>
        </is>
      </c>
      <c r="K238" s="12" t="inlineStr">
        <is>
          <t>Live</t>
        </is>
      </c>
      <c r="L238" s="12" t="inlineStr">
        <is>
          <t>#134</t>
        </is>
      </c>
      <c r="M238" s="12" t="inlineStr">
        <is>
          <t>#135</t>
        </is>
      </c>
      <c r="N238" s="12" t="inlineStr">
        <is>
          <t>-</t>
        </is>
      </c>
      <c r="O238" s="12" t="inlineStr">
        <is>
          <t>-</t>
        </is>
      </c>
      <c r="P238" s="12" t="inlineStr">
        <is>
          <t>COMPLETED</t>
        </is>
      </c>
      <c r="Q238" s="12" t="inlineStr">
        <is>
          <t>No change</t>
        </is>
      </c>
      <c r="R238" s="12" t="inlineStr">
        <is>
          <t>scripts/ci/scope.sh; .github/workflows/ci.yml</t>
        </is>
      </c>
    </row>
    <row r="239" ht="63" customFormat="1" customHeight="1" s="2">
      <c r="A239" s="10" t="n">
        <v>238</v>
      </c>
      <c r="B239" s="12" t="inlineStr">
        <is>
          <t>Platform &amp; DevOps</t>
        </is>
      </c>
      <c r="C239" s="9" t="inlineStr">
        <is>
          <t>PLT-017</t>
        </is>
      </c>
      <c r="D239" s="12" t="inlineStr">
        <is>
          <t>Mobile App</t>
        </is>
      </c>
      <c r="E239" s="12" t="inlineStr">
        <is>
          <t>'iPhone app' workflow - EAS build and TestFlight upload</t>
        </is>
      </c>
      <c r="F239" s="12" t="inlineStr">
        <is>
          <t>Started by hand with profile production or preview; builds on EAS and uploads the production build to TestFlight; first checks EXPO_TOKEN and the project id and names anything missing.</t>
        </is>
      </c>
      <c r="G239" s="12" t="inlineStr">
        <is>
          <t>F15.1.4</t>
        </is>
      </c>
      <c r="H239" s="12" t="inlineStr">
        <is>
          <t>-</t>
        </is>
      </c>
      <c r="I239" s="10" t="inlineStr">
        <is>
          <t>BLOCKED</t>
        </is>
      </c>
      <c r="J239" s="12" t="inlineStr">
        <is>
          <t>GitHub Actions (runs from main)</t>
        </is>
      </c>
      <c r="K239" s="12" t="inlineStr">
        <is>
          <t>Not run yet</t>
        </is>
      </c>
      <c r="L239" s="12" t="inlineStr">
        <is>
          <t>#153</t>
        </is>
      </c>
      <c r="M239" s="12" t="inlineStr">
        <is>
          <t>#157</t>
        </is>
      </c>
      <c r="N239" s="12" t="inlineStr">
        <is>
          <t>Link the project to Expo and commit the project id; secrets EXPO_TOKEN, ASC_API_KEY_P8, ASC_KEY_ID, ASC_ISSUER_ID, APPLE_TEAM_ID; App Store Connect app record for com.gokesari.app</t>
        </is>
      </c>
      <c r="O239" s="12" t="inlineStr">
        <is>
          <t>Owner: Apple Developer account and the secrets (Blockers #29)</t>
        </is>
      </c>
      <c r="P239" s="12" t="inlineStr">
        <is>
          <t>BLOCKED</t>
        </is>
      </c>
      <c r="Q239" s="12" t="inlineStr">
        <is>
          <t>No change</t>
        </is>
      </c>
      <c r="R239" s="12" t="inlineStr">
        <is>
          <t>.github/workflows/mobile-ios.yml; mobile/README.md</t>
        </is>
      </c>
    </row>
    <row r="240" ht="75" customFormat="1" customHeight="1" s="2">
      <c r="A240" s="10" t="n">
        <v>239</v>
      </c>
      <c r="B240" s="12" t="inlineStr">
        <is>
          <t>Platform &amp; DevOps</t>
        </is>
      </c>
      <c r="C240" s="9" t="inlineStr">
        <is>
          <t>PLT-018</t>
        </is>
      </c>
      <c r="D240" s="12" t="inlineStr">
        <is>
          <t>Platform</t>
        </is>
      </c>
      <c r="E240" s="12" t="inlineStr">
        <is>
          <t>'Copy shops to production' workflow (plan / copy / sql modes)</t>
        </is>
      </c>
      <c r="F240" s="12" t="inlineStr">
        <is>
          <t>Copies chosen real shops from the test database to production: plan (full copy, rolled back), copy (typed confirmation, one transaction, restore point first) or sql (PREVIEW / APPLY files for the Neon console). Owners matched by email or phone, new registration numbers, products matched by id / barcode / name and size, photos copied; no orders, payments, wallets or test-key-encrypted data.</t>
        </is>
      </c>
      <c r="G240" s="12" t="inlineStr">
        <is>
          <t>F14.2.3</t>
        </is>
      </c>
      <c r="H240" s="12" t="inlineStr">
        <is>
          <t>-</t>
        </is>
      </c>
      <c r="I240" s="10" t="inlineStr">
        <is>
          <t>COMPLETED</t>
        </is>
      </c>
      <c r="J240" s="12" t="inlineStr">
        <is>
          <t>GitHub Actions (runs from main)</t>
        </is>
      </c>
      <c r="K240" s="12" t="inlineStr">
        <is>
          <t>Used once (sql mode, 12-13 Oct)</t>
        </is>
      </c>
      <c r="L240" s="12" t="inlineStr">
        <is>
          <t>#140; #144 (sql mode); #156 (record)</t>
        </is>
      </c>
      <c r="M240" s="12" t="inlineStr">
        <is>
          <t>#141; #145; #157</t>
        </is>
      </c>
      <c r="N240" s="12" t="inlineStr">
        <is>
          <t>Delete the downloaded copy-shops SQL files (they hold owner contact details); the 5 owners must sign in on production and upload their legal documents</t>
        </is>
      </c>
      <c r="O240" s="12" t="inlineStr">
        <is>
          <t>Owner (Blockers #39, #40)</t>
        </is>
      </c>
      <c r="P240" s="12" t="inlineStr">
        <is>
          <t>COMPLETED</t>
        </is>
      </c>
      <c r="Q240" s="12" t="inlineStr">
        <is>
          <t>No change</t>
        </is>
      </c>
      <c r="R240" s="12" t="inlineStr">
        <is>
          <t>docs/copy-shops-2026-10/README.md; scripts/copy-shops/</t>
        </is>
      </c>
    </row>
    <row r="241" ht="51" customFormat="1" customHeight="1" s="2">
      <c r="A241" s="10" t="n">
        <v>240</v>
      </c>
      <c r="B241" s="12" t="inlineStr">
        <is>
          <t>QA &amp; Testing</t>
        </is>
      </c>
      <c r="C241" s="9" t="inlineStr">
        <is>
          <t>QA-001</t>
        </is>
      </c>
      <c r="D241" s="12" t="inlineStr">
        <is>
          <t>QA</t>
        </is>
      </c>
      <c r="E241" s="12" t="inlineStr">
        <is>
          <t>Automated test suites (unit, integration, E2E)</t>
        </is>
      </c>
      <c r="F241" s="12" t="inlineStr">
        <is>
          <t>Vitest unit + integration against real PostgreSQL (1,436 tests in 111 files on staging per #98); Playwright acceptance (10), smoke (12) and A-E regression (46) specs.</t>
        </is>
      </c>
      <c r="G241" s="12" t="inlineStr">
        <is>
          <t>F14.1.1</t>
        </is>
      </c>
      <c r="H241" s="12" t="inlineStr">
        <is>
          <t>-</t>
        </is>
      </c>
      <c r="I241" s="10" t="inlineStr">
        <is>
          <t>COMPLETED</t>
        </is>
      </c>
      <c r="J241" s="12" t="inlineStr">
        <is>
          <t>Production (gokesari.com)</t>
        </is>
      </c>
      <c r="K241" s="12" t="inlineStr">
        <is>
          <t>Live in CI</t>
        </is>
      </c>
      <c r="L241" s="12" t="inlineStr">
        <is>
          <t>#52; #51; #85 (regression spec)</t>
        </is>
      </c>
      <c r="M241" s="12" t="inlineStr">
        <is>
          <t>#54 (via staging); #70</t>
        </is>
      </c>
      <c r="N241" s="12" t="inlineStr">
        <is>
          <t>-</t>
        </is>
      </c>
      <c r="O241" s="12" t="inlineStr">
        <is>
          <t>-</t>
        </is>
      </c>
      <c r="P241" s="12" t="inlineStr">
        <is>
          <t>COMPLETED</t>
        </is>
      </c>
      <c r="Q241" s="12" t="inlineStr">
        <is>
          <t>The flaky 'parallel workers produce the same result as one' PMD test fix (#184) is on main since #185 (16 Oct); Blockers #56 resolved.</t>
        </is>
      </c>
      <c r="R241" s="12" t="inlineStr">
        <is>
          <t>tests/</t>
        </is>
      </c>
    </row>
    <row r="242" ht="39" customFormat="1" customHeight="1" s="2">
      <c r="A242" s="10" t="n">
        <v>241</v>
      </c>
      <c r="B242" s="12" t="inlineStr">
        <is>
          <t>QA &amp; Testing</t>
        </is>
      </c>
      <c r="C242" s="9" t="inlineStr">
        <is>
          <t>QA-002</t>
        </is>
      </c>
      <c r="D242" s="12" t="inlineStr">
        <is>
          <t>QA</t>
        </is>
      </c>
      <c r="E242" s="12" t="inlineStr">
        <is>
          <t>Test execution framework for 791 test cases</t>
        </is>
      </c>
      <c r="F242" s="12" t="inlineStr">
        <is>
          <t>Excel test-case parser, phase plan (smoke, P0, P1, P2), Playwright runner and result reporting; test-cases.xlsx with 791 cases across 28 modules.</t>
        </is>
      </c>
      <c r="G242" s="12" t="inlineStr">
        <is>
          <t>F14.1.3</t>
        </is>
      </c>
      <c r="H242" s="12" t="inlineStr">
        <is>
          <t>-</t>
        </is>
      </c>
      <c r="I242" s="10" t="inlineStr">
        <is>
          <t>COMPLETED</t>
        </is>
      </c>
      <c r="J242" s="12" t="inlineStr">
        <is>
          <t>Production (gokesari.com)</t>
        </is>
      </c>
      <c r="K242" s="12" t="inlineStr">
        <is>
          <t>Live</t>
        </is>
      </c>
      <c r="L242" s="12" t="inlineStr">
        <is>
          <t>#51</t>
        </is>
      </c>
      <c r="M242" s="12" t="inlineStr">
        <is>
          <t>#70</t>
        </is>
      </c>
      <c r="N242" s="12" t="inlineStr">
        <is>
          <t>-</t>
        </is>
      </c>
      <c r="O242" s="12" t="inlineStr">
        <is>
          <t>-</t>
        </is>
      </c>
      <c r="P242" s="12" t="inlineStr">
        <is>
          <t>COMPLETED</t>
        </is>
      </c>
      <c r="Q242" s="12" t="inlineStr">
        <is>
          <t>No change</t>
        </is>
      </c>
      <c r="R242" s="12" t="inlineStr">
        <is>
          <t>TEST_EXECUTION_PLAN.md; tests/test-case-parser.ts</t>
        </is>
      </c>
    </row>
    <row r="243" ht="39" customFormat="1" customHeight="1" s="2">
      <c r="A243" s="10" t="n">
        <v>242</v>
      </c>
      <c r="B243" s="12" t="inlineStr">
        <is>
          <t>QA &amp; Testing</t>
        </is>
      </c>
      <c r="C243" s="9" t="inlineStr">
        <is>
          <t>QA-003</t>
        </is>
      </c>
      <c r="D243" s="12" t="inlineStr">
        <is>
          <t>QA</t>
        </is>
      </c>
      <c r="E243" s="12" t="inlineStr">
        <is>
          <t>Execute the 791 test cases and sign off in a browser on test.gokesari.com</t>
        </is>
      </c>
      <c r="F243" s="12" t="inlineStr">
        <is>
          <t>No execution results or sign-off are recorded in the repository; the 6 Oct report lists the missing browser sign-off as a go-live blocker.</t>
        </is>
      </c>
      <c r="G243" s="12" t="inlineStr">
        <is>
          <t>F14.1.3</t>
        </is>
      </c>
      <c r="H243" s="12" t="inlineStr">
        <is>
          <t>-</t>
        </is>
      </c>
      <c r="I243" s="10" t="inlineStr">
        <is>
          <t>YET TO START</t>
        </is>
      </c>
      <c r="J243" s="12" t="inlineStr">
        <is>
          <t>Not started</t>
        </is>
      </c>
      <c r="K243" s="12" t="inlineStr">
        <is>
          <t>-</t>
        </is>
      </c>
      <c r="L243" s="12" t="inlineStr">
        <is>
          <t>-</t>
        </is>
      </c>
      <c r="M243" s="12" t="inlineStr">
        <is>
          <t>-</t>
        </is>
      </c>
      <c r="N243" s="12" t="inlineStr">
        <is>
          <t>Run phases 1-4 and record results</t>
        </is>
      </c>
      <c r="O243" s="12" t="inlineStr">
        <is>
          <t>-</t>
        </is>
      </c>
      <c r="P243" s="12" t="inlineStr">
        <is>
          <t>YET TO START</t>
        </is>
      </c>
      <c r="Q243" s="12" t="inlineStr">
        <is>
          <t>No change</t>
        </is>
      </c>
      <c r="R243" s="12" t="inlineStr">
        <is>
          <t>TEST_SUMMARY_AND_STATUS.md</t>
        </is>
      </c>
    </row>
    <row r="244" ht="63" customFormat="1" customHeight="1" s="2">
      <c r="A244" s="10" t="n">
        <v>243</v>
      </c>
      <c r="B244" s="12" t="inlineStr">
        <is>
          <t>QA &amp; Testing</t>
        </is>
      </c>
      <c r="C244" s="9" t="inlineStr">
        <is>
          <t>QA-004</t>
        </is>
      </c>
      <c r="D244" s="12" t="inlineStr">
        <is>
          <t>QA</t>
        </is>
      </c>
      <c r="E244" s="12" t="inlineStr">
        <is>
          <t>Four-features browser test run on test.gokesari.com (all roles, phone + desktop)</t>
        </is>
      </c>
      <c r="F244" s="12" t="inlineStr">
        <is>
          <t>Real browser at Pixel 7 and 1280 px widths, real emailed sign-in codes, Cashfree sandbox; every step logged with time and result; database evidence from the read-only report action. Regression of sign-in, address, wallet top-up, checkout, dispatch, delivery code, shop wallet, seller verification, approval, cancel / refund.</t>
        </is>
      </c>
      <c r="G244" s="12" t="inlineStr">
        <is>
          <t>F14.1.5</t>
        </is>
      </c>
      <c r="H244" s="12" t="inlineStr">
        <is>
          <t>-</t>
        </is>
      </c>
      <c r="I244" s="10" t="inlineStr">
        <is>
          <t>COMPLETED</t>
        </is>
      </c>
      <c r="J244" s="12" t="inlineStr">
        <is>
          <t>Test site only (test.gokesari.com)</t>
        </is>
      </c>
      <c r="K244" s="12" t="inlineStr">
        <is>
          <t>-</t>
        </is>
      </c>
      <c r="L244" s="12" t="inlineStr">
        <is>
          <t>#103; #104 (re-check of the fixes)</t>
        </is>
      </c>
      <c r="M244" s="12" t="inlineStr">
        <is>
          <t>Not needed (test only)</t>
        </is>
      </c>
      <c r="N244" s="12" t="inlineStr">
        <is>
          <t>Payout gate and payer-name mismatch not runnable on test (covered by integration tests); referrals@ inbox arrival to be confirmed by the owner</t>
        </is>
      </c>
      <c r="O244" s="12" t="inlineStr">
        <is>
          <t>-</t>
        </is>
      </c>
      <c r="P244" s="12" t="inlineStr">
        <is>
          <t>COMPLETED</t>
        </is>
      </c>
      <c r="Q244" s="12" t="inlineStr">
        <is>
          <t>No change</t>
        </is>
      </c>
      <c r="R244" s="12" t="inlineStr">
        <is>
          <t>docs/four-features-2026-10/TEST_RESULTS.md</t>
        </is>
      </c>
    </row>
    <row r="245" ht="87" customFormat="1" customHeight="1" s="2">
      <c r="A245" s="10" t="n">
        <v>244</v>
      </c>
      <c r="B245" s="12" t="inlineStr">
        <is>
          <t>QA &amp; Testing</t>
        </is>
      </c>
      <c r="C245" s="9" t="inlineStr">
        <is>
          <t>QA-005</t>
        </is>
      </c>
      <c r="D245" s="12" t="inlineStr">
        <is>
          <t>QA</t>
        </is>
      </c>
      <c r="E245" s="12" t="inlineStr">
        <is>
          <t>Tile Board UI pass test run on test.gokesari.com (all roles, phone, app size, slow 4G, Lighthouse)</t>
        </is>
      </c>
      <c r="F245" s="12" t="inlineStr">
        <is>
          <t>1,038 checks: end-to-end journeys for customer, shop owner, operator and admin; every board and menu link; access to other roles' screens; Lighthouse; one-screen fit at 7 sizes x 3 languages. Production read-only checks after #126.</t>
        </is>
      </c>
      <c r="G245" s="12" t="inlineStr">
        <is>
          <t>F14.1.5</t>
        </is>
      </c>
      <c r="H245" s="12" t="inlineStr">
        <is>
          <t>-</t>
        </is>
      </c>
      <c r="I245" s="10" t="inlineStr">
        <is>
          <t>COMPLETED</t>
        </is>
      </c>
      <c r="J245" s="12" t="inlineStr">
        <is>
          <t>Test site only (test.gokesari.com)</t>
        </is>
      </c>
      <c r="K245" s="12" t="inlineStr">
        <is>
          <t>-</t>
        </is>
      </c>
      <c r="L245" s="12" t="inlineStr">
        <is>
          <t>#124 (results, issue register)</t>
        </is>
      </c>
      <c r="M245" s="12" t="inlineStr">
        <is>
          <t>Not needed (test only)</t>
        </is>
      </c>
      <c r="N245" s="12" t="inlineStr">
        <is>
          <t>8 fail (5 slow-4G pages 3.6-5.0 s against 3 s; shop board 2 px over at 320x640; 1 link blocked in the test browser; 1 Lighthouse) and 4 not run (wallet top-up and shop recharge - Actions billing; rider return pickup; KYC-pending shop approval, correctly refused)</t>
        </is>
      </c>
      <c r="O245" s="12" t="inlineStr">
        <is>
          <t>-</t>
        </is>
      </c>
      <c r="P245" s="12" t="inlineStr">
        <is>
          <t>COMPLETED</t>
        </is>
      </c>
      <c r="Q245" s="12" t="inlineStr">
        <is>
          <t>No change</t>
        </is>
      </c>
      <c r="R245" s="12" t="inlineStr">
        <is>
          <t>docs/tile-board-2026-10/TEST_RESULTS_UI_PASS.md; docs/tile-board-2026-10/GoKesari_UI_Test_Report_2026-10-09.xlsx; docs/gokesari-audit/GoKesari_UI_Issue_Register_2026-10-09.xlsx</t>
        </is>
      </c>
    </row>
    <row r="246" ht="39" customFormat="1" customHeight="1" s="2">
      <c r="A246" s="10" t="n">
        <v>245</v>
      </c>
      <c r="B246" s="12" t="inlineStr">
        <is>
          <t>QA &amp; Testing</t>
        </is>
      </c>
      <c r="C246" s="9" t="inlineStr">
        <is>
          <t>QA-006</t>
        </is>
      </c>
      <c r="D246" s="12" t="inlineStr">
        <is>
          <t>QA</t>
        </is>
      </c>
      <c r="E246" s="12" t="inlineStr">
        <is>
          <t>Nearby shops + referral settings test run (test site, Android / iPhone / desktop; production checks)</t>
        </is>
      </c>
      <c r="F246" s="12" t="inlineStr">
        <is>
          <t>Every Nearby and referral-setting case on test.gokesari.com, with screenshots; read-only production checks after release #135; Android APK download links.</t>
        </is>
      </c>
      <c r="G246" s="12" t="inlineStr">
        <is>
          <t>F14.1.5</t>
        </is>
      </c>
      <c r="H246" s="12" t="inlineStr">
        <is>
          <t>-</t>
        </is>
      </c>
      <c r="I246" s="10" t="inlineStr">
        <is>
          <t>COMPLETED</t>
        </is>
      </c>
      <c r="J246" s="12" t="inlineStr">
        <is>
          <t>Test site only (test.gokesari.com)</t>
        </is>
      </c>
      <c r="K246" s="12" t="inlineStr">
        <is>
          <t>-</t>
        </is>
      </c>
      <c r="L246" s="12" t="inlineStr">
        <is>
          <t>#136; #137</t>
        </is>
      </c>
      <c r="M246" s="12" t="inlineStr">
        <is>
          <t>Not needed (test only)</t>
        </is>
      </c>
      <c r="N246" s="12" t="inlineStr">
        <is>
          <t>Paid self-registration (no SMS provider on test); Directions tap on a real phone</t>
        </is>
      </c>
      <c r="O246" s="12" t="inlineStr">
        <is>
          <t>-</t>
        </is>
      </c>
      <c r="P246" s="12" t="inlineStr">
        <is>
          <t>COMPLETED</t>
        </is>
      </c>
      <c r="Q246" s="12" t="inlineStr">
        <is>
          <t>No change</t>
        </is>
      </c>
      <c r="R246" s="12" t="inlineStr">
        <is>
          <t>docs/nearby-referral-2026-10/TEST_RESULTS.md</t>
        </is>
      </c>
    </row>
    <row r="247" ht="39" customFormat="1" customHeight="1" s="2">
      <c r="A247" s="10" t="n">
        <v>246</v>
      </c>
      <c r="B247" s="12" t="inlineStr">
        <is>
          <t>QA &amp; Testing</t>
        </is>
      </c>
      <c r="C247" s="9" t="inlineStr">
        <is>
          <t>QA-007</t>
        </is>
      </c>
      <c r="D247" s="12" t="inlineStr">
        <is>
          <t>QA</t>
        </is>
      </c>
      <c r="E247" s="12" t="inlineStr">
        <is>
          <t>13 Oct release test run (document upload, FSSAI, footer, branding, DB split)</t>
        </is>
      </c>
      <c r="F247" s="12" t="inlineStr">
        <is>
          <t>Staging and production checks for release #149 and its follow-ups: upload flow, FSSAI gate, branding / footer E2E, smoke of 8 public pages before and after, test DB split verification.</t>
        </is>
      </c>
      <c r="G247" s="12" t="inlineStr">
        <is>
          <t>F14.1.5</t>
        </is>
      </c>
      <c r="H247" s="12" t="inlineStr">
        <is>
          <t>-</t>
        </is>
      </c>
      <c r="I247" s="10" t="inlineStr">
        <is>
          <t>COMPLETED</t>
        </is>
      </c>
      <c r="J247" s="12" t="inlineStr">
        <is>
          <t>Test site only (test.gokesari.com)</t>
        </is>
      </c>
      <c r="K247" s="12" t="inlineStr">
        <is>
          <t>-</t>
        </is>
      </c>
      <c r="L247" s="12" t="inlineStr">
        <is>
          <t>#147; #150; #154</t>
        </is>
      </c>
      <c r="M247" s="12" t="inlineStr">
        <is>
          <t>Not needed (test only)</t>
        </is>
      </c>
      <c r="N247" s="12" t="inlineStr">
        <is>
          <t>OCR auto-read not working on Hostinger; no run after the saffron wordmark (#153)</t>
        </is>
      </c>
      <c r="O247" s="12" t="inlineStr">
        <is>
          <t>-</t>
        </is>
      </c>
      <c r="P247" s="12" t="inlineStr">
        <is>
          <t>COMPLETED</t>
        </is>
      </c>
      <c r="Q247" s="12" t="inlineStr">
        <is>
          <t>No change</t>
        </is>
      </c>
      <c r="R247" s="12" t="inlineStr">
        <is>
          <t>docs/document-upload-2026-10/TEST_RESULTS.md; docs/gokesari-audit/GOKESARI_FEATURE_STATUS_REPORT_2026-10-13.xlsx</t>
        </is>
      </c>
    </row>
    <row r="248" ht="87" customFormat="1" customHeight="1" s="2">
      <c r="A248" s="10" t="n">
        <v>247</v>
      </c>
      <c r="B248" s="12" t="inlineStr">
        <is>
          <t>QA &amp; Testing</t>
        </is>
      </c>
      <c r="C248" s="9" t="inlineStr">
        <is>
          <t>QA-008</t>
        </is>
      </c>
      <c r="D248" s="12" t="inlineStr">
        <is>
          <t>QA</t>
        </is>
      </c>
      <c r="E248" s="12" t="inlineStr">
        <is>
          <t>Order-lifecycle run on staging (sign-up -&gt; order -&gt; delivery code -&gt; done)</t>
        </is>
      </c>
      <c r="F248" s="12" t="inlineStr">
        <is>
          <t>Planned end-to-end run of a full order on test.gokesari.com after the 13 Oct release.</t>
        </is>
      </c>
      <c r="G248" s="12" t="inlineStr">
        <is>
          <t>F14.1.3</t>
        </is>
      </c>
      <c r="H248" s="12" t="inlineStr">
        <is>
          <t>-</t>
        </is>
      </c>
      <c r="I248" s="10" t="inlineStr">
        <is>
          <t>COMPLETED</t>
        </is>
      </c>
      <c r="J248" s="12" t="inlineStr">
        <is>
          <t>Test site only (test.gokesari.com)</t>
        </is>
      </c>
      <c r="K248" s="12" t="inlineStr">
        <is>
          <t>-</t>
        </is>
      </c>
      <c r="L248" s="12" t="inlineStr">
        <is>
          <t>#168 (fix for the blocker the run found); #170 (results, open PR)</t>
        </is>
      </c>
      <c r="M248" s="12" t="inlineStr">
        <is>
          <t>Not needed (test only)</t>
        </is>
      </c>
      <c r="N248" s="12" t="inlineStr">
        <is>
          <t>Open defects from the run: My Orders card wording after a switch to pickup (GAP-018); wallet checkout takes 30-38 s (GAP-019)</t>
        </is>
      </c>
      <c r="O248" s="12" t="inlineStr">
        <is>
          <t>-</t>
        </is>
      </c>
      <c r="P248" s="12" t="inlineStr">
        <is>
          <t>COMPLETED</t>
        </is>
      </c>
      <c r="Q248" s="12" t="inlineStr">
        <is>
          <t>No change</t>
        </is>
      </c>
      <c r="R248" s="12" t="inlineStr">
        <is>
          <t>docs/order-lifecycle-2026-10/TEST_RESULTS_STAGING_2026-10-14.md; docs/testing/GOKESARI_TEST_RESULTS_TRACKER_2026-10-14.xlsx (TR-22, TR-23)</t>
        </is>
      </c>
    </row>
    <row r="249" ht="51" customFormat="1" customHeight="1" s="2">
      <c r="A249" s="10" t="n">
        <v>248</v>
      </c>
      <c r="B249" s="12" t="inlineStr">
        <is>
          <t>QA &amp; Testing</t>
        </is>
      </c>
      <c r="C249" s="9" t="inlineStr">
        <is>
          <t>QA-009</t>
        </is>
      </c>
      <c r="D249" s="12" t="inlineStr">
        <is>
          <t>QA</t>
        </is>
      </c>
      <c r="E249" s="12" t="inlineStr">
        <is>
          <t>Order-lifecycle run on production (gokesari.com) with a real payment</t>
        </is>
      </c>
      <c r="F249" s="12" t="inlineStr">
        <is>
          <t>The same lifecycle as QA-008 on gokesari.com: a real customer top-up paid by the owner, a real shop with delivery on, an approved rider, pickup and delivery codes, DELIVERED, wallet charges. No test data or sandbox keys on production.</t>
        </is>
      </c>
      <c r="G249" s="12" t="inlineStr">
        <is>
          <t>F14.1.3</t>
        </is>
      </c>
      <c r="H249" s="12" t="inlineStr">
        <is>
          <t>-</t>
        </is>
      </c>
      <c r="I249" s="10" t="inlineStr">
        <is>
          <t>BLOCKED</t>
        </is>
      </c>
      <c r="J249" s="12" t="inlineStr">
        <is>
          <t>Not started</t>
        </is>
      </c>
      <c r="K249" s="12" t="inlineStr">
        <is>
          <t>-</t>
        </is>
      </c>
      <c r="L249" s="12" t="inlineStr">
        <is>
          <t>-</t>
        </is>
      </c>
      <c r="M249" s="12" t="inlineStr">
        <is>
          <t>-</t>
        </is>
      </c>
      <c r="N249" s="12" t="inlineStr">
        <is>
          <t>Needs the owner's production shop and owner email, an approved rider, Cashfree live keys confirmed, and the owner to pay the top-up</t>
        </is>
      </c>
      <c r="O249" s="12" t="inlineStr">
        <is>
          <t>Owner: the four inputs (Blockers #44)</t>
        </is>
      </c>
      <c r="P249" s="12" t="inlineStr">
        <is>
          <t>BLOCKED</t>
        </is>
      </c>
      <c r="Q249" s="12" t="inlineStr">
        <is>
          <t>No change</t>
        </is>
      </c>
      <c r="R249" s="12" t="inlineStr">
        <is>
          <t>docs/order-lifecycle-2026-10/TEST_RESULTS_STAGING_2026-10-14.md (Production)</t>
        </is>
      </c>
    </row>
    <row r="250" ht="27" customFormat="1" customHeight="1" s="2">
      <c r="A250" s="10" t="n">
        <v>249</v>
      </c>
      <c r="B250" s="12" t="inlineStr">
        <is>
          <t>Known gaps (not started)</t>
        </is>
      </c>
      <c r="C250" s="9" t="inlineStr">
        <is>
          <t>GAP-001</t>
        </is>
      </c>
      <c r="D250" s="12" t="inlineStr">
        <is>
          <t>Delivery</t>
        </is>
      </c>
      <c r="E250" s="12" t="inlineStr">
        <is>
          <t>Pickup QR code</t>
        </is>
      </c>
      <c r="F250" s="12" t="inlineStr">
        <is>
          <t>Pickup is confirmed with a code only; no QR.</t>
        </is>
      </c>
      <c r="G250" s="12" t="inlineStr">
        <is>
          <t>F4.1.3</t>
        </is>
      </c>
      <c r="H250" s="12" t="inlineStr">
        <is>
          <t>-</t>
        </is>
      </c>
      <c r="I250" s="10" t="inlineStr">
        <is>
          <t>YET TO START</t>
        </is>
      </c>
      <c r="J250" s="12" t="inlineStr">
        <is>
          <t>Not started</t>
        </is>
      </c>
      <c r="K250" s="12" t="inlineStr">
        <is>
          <t>-</t>
        </is>
      </c>
      <c r="L250" s="12" t="inlineStr">
        <is>
          <t>-</t>
        </is>
      </c>
      <c r="M250" s="12" t="inlineStr">
        <is>
          <t>-</t>
        </is>
      </c>
      <c r="N250" s="12" t="inlineStr">
        <is>
          <t>Build if wanted</t>
        </is>
      </c>
      <c r="O250" s="12" t="inlineStr">
        <is>
          <t>-</t>
        </is>
      </c>
      <c r="P250" s="12" t="inlineStr">
        <is>
          <t>YET TO START</t>
        </is>
      </c>
      <c r="Q250" s="12" t="inlineStr">
        <is>
          <t>No change</t>
        </is>
      </c>
      <c r="R250" s="12" t="inlineStr">
        <is>
          <t>6 Oct flow diagram, step 19</t>
        </is>
      </c>
    </row>
    <row r="251" ht="27" customFormat="1" customHeight="1" s="2">
      <c r="A251" s="10" t="n">
        <v>250</v>
      </c>
      <c r="B251" s="12" t="inlineStr">
        <is>
          <t>Known gaps (not started)</t>
        </is>
      </c>
      <c r="C251" s="9" t="inlineStr">
        <is>
          <t>GAP-002</t>
        </is>
      </c>
      <c r="D251" s="12" t="inlineStr">
        <is>
          <t>Delivery</t>
        </is>
      </c>
      <c r="E251" s="12" t="inlineStr">
        <is>
          <t>In-app turn-by-turn navigation</t>
        </is>
      </c>
      <c r="F251" s="12" t="inlineStr">
        <is>
          <t>Riders get a Google Maps deep link; no in-app navigation.</t>
        </is>
      </c>
      <c r="G251" s="12" t="inlineStr">
        <is>
          <t>F4.2.2</t>
        </is>
      </c>
      <c r="H251" s="12" t="inlineStr">
        <is>
          <t>-</t>
        </is>
      </c>
      <c r="I251" s="10" t="inlineStr">
        <is>
          <t>YET TO START</t>
        </is>
      </c>
      <c r="J251" s="12" t="inlineStr">
        <is>
          <t>Not started</t>
        </is>
      </c>
      <c r="K251" s="12" t="inlineStr">
        <is>
          <t>-</t>
        </is>
      </c>
      <c r="L251" s="12" t="inlineStr">
        <is>
          <t>-</t>
        </is>
      </c>
      <c r="M251" s="12" t="inlineStr">
        <is>
          <t>-</t>
        </is>
      </c>
      <c r="N251" s="12" t="inlineStr">
        <is>
          <t>Build if wanted</t>
        </is>
      </c>
      <c r="O251" s="12" t="inlineStr">
        <is>
          <t>-</t>
        </is>
      </c>
      <c r="P251" s="12" t="inlineStr">
        <is>
          <t>YET TO START</t>
        </is>
      </c>
      <c r="Q251" s="12" t="inlineStr">
        <is>
          <t>No change</t>
        </is>
      </c>
      <c r="R251" s="12" t="inlineStr">
        <is>
          <t>6 Oct flow diagram, step 20</t>
        </is>
      </c>
    </row>
    <row r="252" ht="27" customFormat="1" customHeight="1" s="2">
      <c r="A252" s="10" t="n">
        <v>251</v>
      </c>
      <c r="B252" s="12" t="inlineStr">
        <is>
          <t>Known gaps (not started)</t>
        </is>
      </c>
      <c r="C252" s="9" t="inlineStr">
        <is>
          <t>GAP-003</t>
        </is>
      </c>
      <c r="D252" s="12" t="inlineStr">
        <is>
          <t>Delivery</t>
        </is>
      </c>
      <c r="E252" s="12" t="inlineStr">
        <is>
          <t>Signature capture at delivery</t>
        </is>
      </c>
      <c r="F252" s="12" t="inlineStr">
        <is>
          <t>Delivery proof is OTP + optional photo; no signature.</t>
        </is>
      </c>
      <c r="G252" s="12" t="inlineStr">
        <is>
          <t>F4.2.6</t>
        </is>
      </c>
      <c r="H252" s="12" t="inlineStr">
        <is>
          <t>-</t>
        </is>
      </c>
      <c r="I252" s="10" t="inlineStr">
        <is>
          <t>YET TO START</t>
        </is>
      </c>
      <c r="J252" s="12" t="inlineStr">
        <is>
          <t>Not started</t>
        </is>
      </c>
      <c r="K252" s="12" t="inlineStr">
        <is>
          <t>-</t>
        </is>
      </c>
      <c r="L252" s="12" t="inlineStr">
        <is>
          <t>-</t>
        </is>
      </c>
      <c r="M252" s="12" t="inlineStr">
        <is>
          <t>-</t>
        </is>
      </c>
      <c r="N252" s="12" t="inlineStr">
        <is>
          <t>Build if wanted</t>
        </is>
      </c>
      <c r="O252" s="12" t="inlineStr">
        <is>
          <t>-</t>
        </is>
      </c>
      <c r="P252" s="12" t="inlineStr">
        <is>
          <t>YET TO START</t>
        </is>
      </c>
      <c r="Q252" s="12" t="inlineStr">
        <is>
          <t>No change</t>
        </is>
      </c>
      <c r="R252" s="12" t="inlineStr">
        <is>
          <t>6 Oct flow diagram, step 22</t>
        </is>
      </c>
    </row>
    <row r="253" ht="27" customFormat="1" customHeight="1" s="2">
      <c r="A253" s="10" t="n">
        <v>252</v>
      </c>
      <c r="B253" s="12" t="inlineStr">
        <is>
          <t>Known gaps (not started)</t>
        </is>
      </c>
      <c r="C253" s="9" t="inlineStr">
        <is>
          <t>GAP-004</t>
        </is>
      </c>
      <c r="D253" s="12" t="inlineStr">
        <is>
          <t>Delivery</t>
        </is>
      </c>
      <c r="E253" s="12" t="inlineStr">
        <is>
          <t>Broadcast job offers / radius widening</t>
        </is>
      </c>
      <c r="F253" s="12" t="inlineStr">
        <is>
          <t>Offers go to one rider at a time; the search radius is not widened.</t>
        </is>
      </c>
      <c r="G253" s="12" t="inlineStr">
        <is>
          <t>F3.3.2</t>
        </is>
      </c>
      <c r="H253" s="12" t="inlineStr">
        <is>
          <t>-</t>
        </is>
      </c>
      <c r="I253" s="10" t="inlineStr">
        <is>
          <t>YET TO START</t>
        </is>
      </c>
      <c r="J253" s="12" t="inlineStr">
        <is>
          <t>Not started</t>
        </is>
      </c>
      <c r="K253" s="12" t="inlineStr">
        <is>
          <t>-</t>
        </is>
      </c>
      <c r="L253" s="12" t="inlineStr">
        <is>
          <t>-</t>
        </is>
      </c>
      <c r="M253" s="12" t="inlineStr">
        <is>
          <t>-</t>
        </is>
      </c>
      <c r="N253" s="12" t="inlineStr">
        <is>
          <t>Build if wanted</t>
        </is>
      </c>
      <c r="O253" s="12" t="inlineStr">
        <is>
          <t>-</t>
        </is>
      </c>
      <c r="P253" s="12" t="inlineStr">
        <is>
          <t>YET TO START</t>
        </is>
      </c>
      <c r="Q253" s="12" t="inlineStr">
        <is>
          <t>No change</t>
        </is>
      </c>
      <c r="R253" s="12" t="inlineStr">
        <is>
          <t>6 Oct flow diagram, step 17</t>
        </is>
      </c>
    </row>
    <row r="254" ht="27" customFormat="1" customHeight="1" s="2">
      <c r="A254" s="10" t="n">
        <v>253</v>
      </c>
      <c r="B254" s="12" t="inlineStr">
        <is>
          <t>Known gaps (not started)</t>
        </is>
      </c>
      <c r="C254" s="9" t="inlineStr">
        <is>
          <t>GAP-005</t>
        </is>
      </c>
      <c r="D254" s="12" t="inlineStr">
        <is>
          <t>Finance</t>
        </is>
      </c>
      <c r="E254" s="12" t="inlineStr">
        <is>
          <t>Automated bank transfer for settlements and rider payouts</t>
        </is>
      </c>
      <c r="F254" s="12" t="inlineStr">
        <is>
          <t>Settlements and payouts are calculated; the bank transfer itself is manual.</t>
        </is>
      </c>
      <c r="G254" s="12" t="inlineStr">
        <is>
          <t>F10.2.4</t>
        </is>
      </c>
      <c r="H254" s="12" t="inlineStr">
        <is>
          <t>-</t>
        </is>
      </c>
      <c r="I254" s="10" t="inlineStr">
        <is>
          <t>YET TO START</t>
        </is>
      </c>
      <c r="J254" s="12" t="inlineStr">
        <is>
          <t>Not started</t>
        </is>
      </c>
      <c r="K254" s="12" t="inlineStr">
        <is>
          <t>-</t>
        </is>
      </c>
      <c r="L254" s="12" t="inlineStr">
        <is>
          <t>-</t>
        </is>
      </c>
      <c r="M254" s="12" t="inlineStr">
        <is>
          <t>-</t>
        </is>
      </c>
      <c r="N254" s="12" t="inlineStr">
        <is>
          <t>Payout-API integration</t>
        </is>
      </c>
      <c r="O254" s="12" t="inlineStr">
        <is>
          <t>-</t>
        </is>
      </c>
      <c r="P254" s="12" t="inlineStr">
        <is>
          <t>YET TO START</t>
        </is>
      </c>
      <c r="Q254" s="12" t="inlineStr">
        <is>
          <t>No change</t>
        </is>
      </c>
      <c r="R254" s="12" t="inlineStr">
        <is>
          <t>6 Oct flow diagram, step 30</t>
        </is>
      </c>
    </row>
    <row r="255" ht="27" customFormat="1" customHeight="1" s="2">
      <c r="A255" s="10" t="n">
        <v>254</v>
      </c>
      <c r="B255" s="12" t="inlineStr">
        <is>
          <t>Known gaps (not started)</t>
        </is>
      </c>
      <c r="C255" s="9" t="inlineStr">
        <is>
          <t>GAP-006</t>
        </is>
      </c>
      <c r="D255" s="12" t="inlineStr">
        <is>
          <t>Finance</t>
        </is>
      </c>
      <c r="E255" s="12" t="inlineStr">
        <is>
          <t>Platform tax invoice for GoKesari's own fees (D6)</t>
        </is>
      </c>
      <c r="F255" s="12" t="inlineStr">
        <is>
          <t>The delivery fee is not invoiced and no SAC code is configured.</t>
        </is>
      </c>
      <c r="G255" s="12" t="inlineStr">
        <is>
          <t>F10.2.5</t>
        </is>
      </c>
      <c r="H255" s="12" t="inlineStr">
        <is>
          <t>-</t>
        </is>
      </c>
      <c r="I255" s="10" t="inlineStr">
        <is>
          <t>YET TO START</t>
        </is>
      </c>
      <c r="J255" s="12" t="inlineStr">
        <is>
          <t>Not started</t>
        </is>
      </c>
      <c r="K255" s="12" t="inlineStr">
        <is>
          <t>-</t>
        </is>
      </c>
      <c r="L255" s="12" t="inlineStr">
        <is>
          <t>-</t>
        </is>
      </c>
      <c r="M255" s="12" t="inlineStr">
        <is>
          <t>-</t>
        </is>
      </c>
      <c r="N255" s="12" t="inlineStr">
        <is>
          <t>Platform invoice + SAC</t>
        </is>
      </c>
      <c r="O255" s="12" t="inlineStr">
        <is>
          <t>D6 settlement model (pending)</t>
        </is>
      </c>
      <c r="P255" s="12" t="inlineStr">
        <is>
          <t>YET TO START</t>
        </is>
      </c>
      <c r="Q255" s="12" t="inlineStr">
        <is>
          <t>No change</t>
        </is>
      </c>
      <c r="R255" s="12" t="inlineStr">
        <is>
          <t>ITEMS_A_E_2026-10-07.md section 5</t>
        </is>
      </c>
    </row>
    <row r="256" ht="63" customFormat="1" customHeight="1" s="2">
      <c r="A256" s="10" t="n">
        <v>255</v>
      </c>
      <c r="B256" s="12" t="inlineStr">
        <is>
          <t>Known gaps (not started)</t>
        </is>
      </c>
      <c r="C256" s="9" t="inlineStr">
        <is>
          <t>GAP-007</t>
        </is>
      </c>
      <c r="D256" s="12" t="inlineStr">
        <is>
          <t>Orders</t>
        </is>
      </c>
      <c r="E256" s="12" t="inlineStr">
        <is>
          <t>Customer Cancel button on My Orders</t>
        </is>
      </c>
      <c r="F256" s="12" t="inlineStr">
        <is>
          <t>Cancel order on My Orders &gt; Active, before packing, with a 'Yes, cancel order' confirmation; the order moves to Past with 'cancelled, full amount back to your wallet'. Same request and rule as the cart's open-order cancel; the server checks again.</t>
        </is>
      </c>
      <c r="G256" s="12" t="inlineStr">
        <is>
          <t>F1.9.5</t>
        </is>
      </c>
      <c r="H256" s="12" t="inlineStr">
        <is>
          <t>-</t>
        </is>
      </c>
      <c r="I256" s="10" t="inlineStr">
        <is>
          <t>COMPLETED</t>
        </is>
      </c>
      <c r="J256" s="12" t="inlineStr">
        <is>
          <t>Production (gokesari.com)</t>
        </is>
      </c>
      <c r="K256" s="12" t="inlineStr">
        <is>
          <t>Live - follows rule cancellation (CONFIRMED orders by default; until packing when customerMayCancelUntil = PREPARING)</t>
        </is>
      </c>
      <c r="L256" s="12" t="inlineStr">
        <is>
          <t>#122</t>
        </is>
      </c>
      <c r="M256" s="12" t="inlineStr">
        <is>
          <t>#123</t>
        </is>
      </c>
      <c r="N256" s="12" t="inlineStr">
        <is>
          <t>-</t>
        </is>
      </c>
      <c r="O256" s="12" t="inlineStr">
        <is>
          <t>-</t>
        </is>
      </c>
      <c r="P256" s="12" t="inlineStr">
        <is>
          <t>COMPLETED</t>
        </is>
      </c>
      <c r="Q256" s="12" t="inlineStr">
        <is>
          <t>No change</t>
        </is>
      </c>
      <c r="R256" s="12" t="inlineStr">
        <is>
          <t>src/app/orders/page.tsx; docs/tile-board-2026-10/TEST_RESULTS_UI_PASS.md (C-08, C-15)</t>
        </is>
      </c>
    </row>
    <row r="257" ht="63" customFormat="1" customHeight="1" s="2">
      <c r="A257" s="10" t="n">
        <v>256</v>
      </c>
      <c r="B257" s="12" t="inlineStr">
        <is>
          <t>Known gaps (not started)</t>
        </is>
      </c>
      <c r="C257" s="9" t="inlineStr">
        <is>
          <t>GAP-008</t>
        </is>
      </c>
      <c r="D257" s="12" t="inlineStr">
        <is>
          <t>Location</t>
        </is>
      </c>
      <c r="E257" s="12" t="inlineStr">
        <is>
          <t>Map 'Confirm location' answers 500 on test.gokesari.com</t>
        </is>
      </c>
      <c r="F257" s="12" t="inlineStr">
        <is>
          <t>Geo-tagging an address on /profile/addresses shows 'Something went wrong' on the test site (geocoding call). The address still saves without the geo-tag. Pre-existing - not caused by the four features.</t>
        </is>
      </c>
      <c r="G257" s="12" t="inlineStr">
        <is>
          <t>F1.2.1</t>
        </is>
      </c>
      <c r="H257" s="12" t="inlineStr">
        <is>
          <t>-</t>
        </is>
      </c>
      <c r="I257" s="10" t="inlineStr">
        <is>
          <t>BLOCKED</t>
        </is>
      </c>
      <c r="J257" s="12" t="inlineStr">
        <is>
          <t>Test site only (test.gokesari.com)</t>
        </is>
      </c>
      <c r="K257" s="12" t="inlineStr">
        <is>
          <t>-</t>
        </is>
      </c>
      <c r="L257" s="12" t="inlineStr">
        <is>
          <t>-</t>
        </is>
      </c>
      <c r="M257" s="12" t="inlineStr">
        <is>
          <t>-</t>
        </is>
      </c>
      <c r="N257" s="12" t="inlineStr">
        <is>
          <t>Cause found (N-1): the test server key GOOGLE_MAPS_SERVER_API_KEY is restricted by HTTP referrer, so Google refuses server calls. Switch it to an IP restriction; check production's key too</t>
        </is>
      </c>
      <c r="O257" s="12" t="inlineStr">
        <is>
          <t>Owner: change the Maps server key restriction</t>
        </is>
      </c>
      <c r="P257" s="12" t="inlineStr">
        <is>
          <t>BLOCKED</t>
        </is>
      </c>
      <c r="Q257" s="12" t="inlineStr">
        <is>
          <t>No change</t>
        </is>
      </c>
      <c r="R257" s="12" t="inlineStr">
        <is>
          <t>docs/four-features-2026-10/TEST_RESULTS.md (Regression - address)</t>
        </is>
      </c>
    </row>
    <row r="258" ht="51" customFormat="1" customHeight="1" s="2">
      <c r="A258" s="10" t="n">
        <v>257</v>
      </c>
      <c r="B258" s="12" t="inlineStr">
        <is>
          <t>Known gaps (not started)</t>
        </is>
      </c>
      <c r="C258" s="9" t="inlineStr">
        <is>
          <t>GAP-009</t>
        </is>
      </c>
      <c r="D258" s="12" t="inlineStr">
        <is>
          <t>Notifications</t>
        </is>
      </c>
      <c r="E258" s="12" t="inlineStr">
        <is>
          <t>Email sending capacity (mail host hourly limit)</t>
        </is>
      </c>
      <c r="F258" s="12" t="inlineStr">
        <is>
          <t>The test site's mailbox hit Hostinger's hourly sending cap ('451 4.7.1 Ratelimit hostinger_out_ratelimit exceeded'); emails were retried with back-off and a few marked DEAD. A busy production day sends more than the test run did.</t>
        </is>
      </c>
      <c r="G258" s="12" t="inlineStr">
        <is>
          <t>F13.1.1</t>
        </is>
      </c>
      <c r="H258" s="12" t="inlineStr">
        <is>
          <t>-</t>
        </is>
      </c>
      <c r="I258" s="10" t="inlineStr">
        <is>
          <t>YET TO START</t>
        </is>
      </c>
      <c r="J258" s="12" t="inlineStr">
        <is>
          <t>Not started</t>
        </is>
      </c>
      <c r="K258" s="12" t="inlineStr">
        <is>
          <t>-</t>
        </is>
      </c>
      <c r="L258" s="12" t="inlineStr">
        <is>
          <t>-</t>
        </is>
      </c>
      <c r="M258" s="12" t="inlineStr">
        <is>
          <t>-</t>
        </is>
      </c>
      <c r="N258" s="12" t="inlineStr">
        <is>
          <t>Raise the limit with the host or send through a transactional email service; check SPF/DKIM</t>
        </is>
      </c>
      <c r="O258" s="12" t="inlineStr">
        <is>
          <t>Owner: email provider choice</t>
        </is>
      </c>
      <c r="P258" s="12" t="inlineStr">
        <is>
          <t>YET TO START</t>
        </is>
      </c>
      <c r="Q258" s="12" t="inlineStr">
        <is>
          <t>No change</t>
        </is>
      </c>
      <c r="R258" s="12" t="inlineStr">
        <is>
          <t>docs/four-features-2026-10/README.md section 5 item 2 (S-5)</t>
        </is>
      </c>
    </row>
    <row r="259" ht="39" customFormat="1" customHeight="1" s="2">
      <c r="A259" s="10" t="n">
        <v>258</v>
      </c>
      <c r="B259" s="12" t="inlineStr">
        <is>
          <t>Known gaps (not started)</t>
        </is>
      </c>
      <c r="C259" s="9" t="inlineStr">
        <is>
          <t>GAP-010</t>
        </is>
      </c>
      <c r="D259" s="12" t="inlineStr">
        <is>
          <t>Performance</t>
        </is>
      </c>
      <c r="E259" s="12" t="inlineStr">
        <is>
          <t>Slow signed-in pages and cold first visits (database far from the web server)</t>
        </is>
      </c>
      <c r="F259" s="12" t="inlineStr">
        <is>
          <t>Signed-in pages take 3.4-5.1 s of server time on the test site; the first visit after a quiet spell waits ~4 s on gokesari.com. Root cause: Neon database in us-east-2 and connections closed after 20 s idle.</t>
        </is>
      </c>
      <c r="G259" s="12" t="inlineStr">
        <is>
          <t>-</t>
        </is>
      </c>
      <c r="H259" s="12" t="inlineStr">
        <is>
          <t>-</t>
        </is>
      </c>
      <c r="I259" s="10" t="inlineStr">
        <is>
          <t>BLOCKED</t>
        </is>
      </c>
      <c r="J259" s="12" t="inlineStr">
        <is>
          <t>Not started</t>
        </is>
      </c>
      <c r="K259" s="12" t="inlineStr">
        <is>
          <t>-</t>
        </is>
      </c>
      <c r="L259" s="12" t="inlineStr">
        <is>
          <t>-</t>
        </is>
      </c>
      <c r="M259" s="12" t="inlineStr">
        <is>
          <t>-</t>
        </is>
      </c>
      <c r="N259" s="12" t="inlineStr">
        <is>
          <t>Database and web server in the same region and a longer idle timeout; then prepared statements (PLT-013)</t>
        </is>
      </c>
      <c r="O259" s="12" t="inlineStr">
        <is>
          <t>Owner: hosting decision (Blockers #35)</t>
        </is>
      </c>
      <c r="P259" s="12" t="inlineStr">
        <is>
          <t>BLOCKED</t>
        </is>
      </c>
      <c r="Q259" s="12" t="inlineStr">
        <is>
          <t>No change</t>
        </is>
      </c>
      <c r="R259" s="12" t="inlineStr">
        <is>
          <t>GoKesari_UI_Issue_Register_2026-10-09.xlsx (PERF-01, PERF-02)</t>
        </is>
      </c>
    </row>
    <row r="260" ht="27" customFormat="1" customHeight="1" s="2">
      <c r="A260" s="10" t="n">
        <v>259</v>
      </c>
      <c r="B260" s="12" t="inlineStr">
        <is>
          <t>Known gaps (not started)</t>
        </is>
      </c>
      <c r="C260" s="9" t="inlineStr">
        <is>
          <t>GAP-011</t>
        </is>
      </c>
      <c r="D260" s="12" t="inlineStr">
        <is>
          <t>Search</t>
        </is>
      </c>
      <c r="E260" s="12" t="inlineStr">
        <is>
          <t>Search shows '0 shops' for products that nearby shops sell</t>
        </is>
      </c>
      <c r="F260" s="12" t="inlineStr">
        <is>
          <t>Search 'milk' lists products but 0 shops.</t>
        </is>
      </c>
      <c r="G260" s="12" t="inlineStr">
        <is>
          <t>F1.4.1</t>
        </is>
      </c>
      <c r="H260" s="12" t="inlineStr">
        <is>
          <t>-</t>
        </is>
      </c>
      <c r="I260" s="10" t="inlineStr">
        <is>
          <t>YET TO START</t>
        </is>
      </c>
      <c r="J260" s="12" t="inlineStr">
        <is>
          <t>Not started</t>
        </is>
      </c>
      <c r="K260" s="12" t="inlineStr">
        <is>
          <t>-</t>
        </is>
      </c>
      <c r="L260" s="12" t="inlineStr">
        <is>
          <t>-</t>
        </is>
      </c>
      <c r="M260" s="12" t="inlineStr">
        <is>
          <t>-</t>
        </is>
      </c>
      <c r="N260" s="12" t="inlineStr">
        <is>
          <t>Fix shop matching in search (back-end)</t>
        </is>
      </c>
      <c r="O260" s="12" t="inlineStr">
        <is>
          <t>-</t>
        </is>
      </c>
      <c r="P260" s="12" t="inlineStr">
        <is>
          <t>YET TO START</t>
        </is>
      </c>
      <c r="Q260" s="12" t="inlineStr">
        <is>
          <t>No change</t>
        </is>
      </c>
      <c r="R260" s="12" t="inlineStr">
        <is>
          <t>GoKesari_UI_Issue_Register_2026-10-09.xlsx (AUD-21)</t>
        </is>
      </c>
    </row>
    <row r="261" ht="27" customFormat="1" customHeight="1" s="2">
      <c r="A261" s="10" t="n">
        <v>260</v>
      </c>
      <c r="B261" s="12" t="inlineStr">
        <is>
          <t>Known gaps (not started)</t>
        </is>
      </c>
      <c r="C261" s="9" t="inlineStr">
        <is>
          <t>GAP-012</t>
        </is>
      </c>
      <c r="D261" s="12" t="inlineStr">
        <is>
          <t>Disputes</t>
        </is>
      </c>
      <c r="E261" s="12" t="inlineStr">
        <is>
          <t>Admin dispute resolution gives no visible confirmation</t>
        </is>
      </c>
      <c r="F261" s="12" t="inlineStr">
        <is>
          <t>Resolving a dispute applied after a few seconds with no busy state or success message; a repeat click was refused (409).</t>
        </is>
      </c>
      <c r="G261" s="12" t="inlineStr">
        <is>
          <t>F6.3.2</t>
        </is>
      </c>
      <c r="H261" s="12" t="inlineStr">
        <is>
          <t>-</t>
        </is>
      </c>
      <c r="I261" s="10" t="inlineStr">
        <is>
          <t>YET TO START</t>
        </is>
      </c>
      <c r="J261" s="12" t="inlineStr">
        <is>
          <t>Not started</t>
        </is>
      </c>
      <c r="K261" s="12" t="inlineStr">
        <is>
          <t>-</t>
        </is>
      </c>
      <c r="L261" s="12" t="inlineStr">
        <is>
          <t>-</t>
        </is>
      </c>
      <c r="M261" s="12" t="inlineStr">
        <is>
          <t>-</t>
        </is>
      </c>
      <c r="N261" s="12" t="inlineStr">
        <is>
          <t>Busy state and success message on the resolve form</t>
        </is>
      </c>
      <c r="O261" s="12" t="inlineStr">
        <is>
          <t>-</t>
        </is>
      </c>
      <c r="P261" s="12" t="inlineStr">
        <is>
          <t>YET TO START</t>
        </is>
      </c>
      <c r="Q261" s="12" t="inlineStr">
        <is>
          <t>No change</t>
        </is>
      </c>
      <c r="R261" s="12" t="inlineStr">
        <is>
          <t>GoKesari_UI_Issue_Register_2026-10-09.xlsx (TST-01)</t>
        </is>
      </c>
    </row>
    <row r="262" ht="27" customFormat="1" customHeight="1" s="2">
      <c r="A262" s="10" t="n">
        <v>261</v>
      </c>
      <c r="B262" s="12" t="inlineStr">
        <is>
          <t>Known gaps (not started)</t>
        </is>
      </c>
      <c r="C262" s="9" t="inlineStr">
        <is>
          <t>GAP-013</t>
        </is>
      </c>
      <c r="D262" s="12" t="inlineStr">
        <is>
          <t>Returns</t>
        </is>
      </c>
      <c r="E262" s="12" t="inlineStr">
        <is>
          <t>Approved return waiting for a rider cannot be completed by staff</t>
        </is>
      </c>
      <c r="F262" s="12" t="inlineStr">
        <is>
          <t>Manual completion of a return pickup is offered to staff only once a rider is on the way.</t>
        </is>
      </c>
      <c r="G262" s="12" t="inlineStr">
        <is>
          <t>-</t>
        </is>
      </c>
      <c r="H262" s="12" t="inlineStr">
        <is>
          <t>-</t>
        </is>
      </c>
      <c r="I262" s="10" t="inlineStr">
        <is>
          <t>YET TO START</t>
        </is>
      </c>
      <c r="J262" s="12" t="inlineStr">
        <is>
          <t>Not started</t>
        </is>
      </c>
      <c r="K262" s="12" t="inlineStr">
        <is>
          <t>-</t>
        </is>
      </c>
      <c r="L262" s="12" t="inlineStr">
        <is>
          <t>-</t>
        </is>
      </c>
      <c r="M262" s="12" t="inlineStr">
        <is>
          <t>-</t>
        </is>
      </c>
      <c r="N262" s="12" t="inlineStr">
        <is>
          <t>Decide whether staff may complete a pickup without a rider</t>
        </is>
      </c>
      <c r="O262" s="12" t="inlineStr">
        <is>
          <t>Owner: business rule</t>
        </is>
      </c>
      <c r="P262" s="12" t="inlineStr">
        <is>
          <t>YET TO START</t>
        </is>
      </c>
      <c r="Q262" s="12" t="inlineStr">
        <is>
          <t>No change</t>
        </is>
      </c>
      <c r="R262" s="12" t="inlineStr">
        <is>
          <t>GoKesari_UI_Issue_Register_2026-10-09.xlsx (TST-02)</t>
        </is>
      </c>
    </row>
    <row r="263" ht="27" customFormat="1" customHeight="1" s="2">
      <c r="A263" s="10" t="n">
        <v>262</v>
      </c>
      <c r="B263" s="12" t="inlineStr">
        <is>
          <t>Known gaps (not started)</t>
        </is>
      </c>
      <c r="C263" s="9" t="inlineStr">
        <is>
          <t>GAP-014</t>
        </is>
      </c>
      <c r="D263" s="12" t="inlineStr">
        <is>
          <t>Orders</t>
        </is>
      </c>
      <c r="E263" s="12" t="inlineStr">
        <is>
          <t>/orders?tab=returns shows the Active list</t>
        </is>
      </c>
      <c r="F263" s="12" t="inlineStr">
        <is>
          <t>The Returns tab links to /returns; opening /orders?tab=returns directly shows Active orders.</t>
        </is>
      </c>
      <c r="G263" s="12" t="inlineStr">
        <is>
          <t>F1.9.1</t>
        </is>
      </c>
      <c r="H263" s="12" t="inlineStr">
        <is>
          <t>-</t>
        </is>
      </c>
      <c r="I263" s="10" t="inlineStr">
        <is>
          <t>YET TO START</t>
        </is>
      </c>
      <c r="J263" s="12" t="inlineStr">
        <is>
          <t>Not started</t>
        </is>
      </c>
      <c r="K263" s="12" t="inlineStr">
        <is>
          <t>-</t>
        </is>
      </c>
      <c r="L263" s="12" t="inlineStr">
        <is>
          <t>-</t>
        </is>
      </c>
      <c r="M263" s="12" t="inlineStr">
        <is>
          <t>-</t>
        </is>
      </c>
      <c r="N263" s="12" t="inlineStr">
        <is>
          <t>Map tab=returns to /returns</t>
        </is>
      </c>
      <c r="O263" s="12" t="inlineStr">
        <is>
          <t>-</t>
        </is>
      </c>
      <c r="P263" s="12" t="inlineStr">
        <is>
          <t>YET TO START</t>
        </is>
      </c>
      <c r="Q263" s="12" t="inlineStr">
        <is>
          <t>No change</t>
        </is>
      </c>
      <c r="R263" s="12" t="inlineStr">
        <is>
          <t>GoKesari_UI_Issue_Register_2026-10-09.xlsx (TST-03)</t>
        </is>
      </c>
    </row>
    <row r="264" ht="27" customFormat="1" customHeight="1" s="2">
      <c r="A264" s="10" t="n">
        <v>263</v>
      </c>
      <c r="B264" s="12" t="inlineStr">
        <is>
          <t>Known gaps (not started)</t>
        </is>
      </c>
      <c r="C264" s="9" t="inlineStr">
        <is>
          <t>GAP-015</t>
        </is>
      </c>
      <c r="D264" s="12" t="inlineStr">
        <is>
          <t>Navigation / UX</t>
        </is>
      </c>
      <c r="E264" s="12" t="inlineStr">
        <is>
          <t>Hindi / Marathi for the body of inner pages</t>
        </is>
      </c>
      <c r="F264" s="12" t="inlineStr">
        <is>
          <t>Boards, header, menus, tabs and error screens are translated; forms, tables and policy pages are English.</t>
        </is>
      </c>
      <c r="G264" s="12" t="inlineStr">
        <is>
          <t>-</t>
        </is>
      </c>
      <c r="H264" s="12" t="inlineStr">
        <is>
          <t>-</t>
        </is>
      </c>
      <c r="I264" s="10" t="inlineStr">
        <is>
          <t>YET TO START</t>
        </is>
      </c>
      <c r="J264" s="12" t="inlineStr">
        <is>
          <t>Not started</t>
        </is>
      </c>
      <c r="K264" s="12" t="inlineStr">
        <is>
          <t>-</t>
        </is>
      </c>
      <c r="L264" s="12" t="inlineStr">
        <is>
          <t>-</t>
        </is>
      </c>
      <c r="M264" s="12" t="inlineStr">
        <is>
          <t>-</t>
        </is>
      </c>
      <c r="N264" s="12" t="inlineStr">
        <is>
          <t>Translate the remaining strings with a native-speaker review</t>
        </is>
      </c>
      <c r="O264" s="12" t="inlineStr">
        <is>
          <t>Owner: decision (Blockers #38)</t>
        </is>
      </c>
      <c r="P264" s="12" t="inlineStr">
        <is>
          <t>YET TO START</t>
        </is>
      </c>
      <c r="Q264" s="12" t="inlineStr">
        <is>
          <t>No change</t>
        </is>
      </c>
      <c r="R264" s="12" t="inlineStr">
        <is>
          <t>GoKesari_UI_Issue_Register_2026-10-09.xlsx (DT-13)</t>
        </is>
      </c>
    </row>
    <row r="265" ht="39" customFormat="1" customHeight="1" s="2">
      <c r="A265" s="10" t="n">
        <v>264</v>
      </c>
      <c r="B265" s="12" t="inlineStr">
        <is>
          <t>Known gaps (not started)</t>
        </is>
      </c>
      <c r="C265" s="9" t="inlineStr">
        <is>
          <t>GAP-016</t>
        </is>
      </c>
      <c r="D265" s="12" t="inlineStr">
        <is>
          <t>Platform</t>
        </is>
      </c>
      <c r="E265" s="12" t="inlineStr">
        <is>
          <t>Same Drizzle bare-id subquery bug in rider reliability and the integrations 'listed' flag</t>
        </is>
      </c>
      <c r="F265" s="12" t="inlineStr">
        <is>
          <t>The bug fixed in #138 (counts of 0) also appears in delivery-assignment.ts (rider reliability) and integrations pull.ts / connections.ts. Reported, not fixed.</t>
        </is>
      </c>
      <c r="G265" s="12" t="inlineStr">
        <is>
          <t>-</t>
        </is>
      </c>
      <c r="H265" s="12" t="inlineStr">
        <is>
          <t>-</t>
        </is>
      </c>
      <c r="I265" s="10" t="inlineStr">
        <is>
          <t>YET TO START</t>
        </is>
      </c>
      <c r="J265" s="12" t="inlineStr">
        <is>
          <t>Not started</t>
        </is>
      </c>
      <c r="K265" s="12" t="inlineStr">
        <is>
          <t>-</t>
        </is>
      </c>
      <c r="L265" s="12" t="inlineStr">
        <is>
          <t>-</t>
        </is>
      </c>
      <c r="M265" s="12" t="inlineStr">
        <is>
          <t>-</t>
        </is>
      </c>
      <c r="N265" s="12" t="inlineStr">
        <is>
          <t>Apply the #138 fix pattern and add regression tests</t>
        </is>
      </c>
      <c r="O265" s="12" t="inlineStr">
        <is>
          <t>-</t>
        </is>
      </c>
      <c r="P265" s="12" t="inlineStr">
        <is>
          <t>YET TO START</t>
        </is>
      </c>
      <c r="Q265" s="12" t="inlineStr">
        <is>
          <t>No change</t>
        </is>
      </c>
      <c r="R265" s="12" t="inlineStr">
        <is>
          <t>PR #138 notes</t>
        </is>
      </c>
    </row>
    <row r="266" ht="27" customFormat="1" customHeight="1" s="2">
      <c r="A266" s="10" t="n">
        <v>265</v>
      </c>
      <c r="B266" s="12" t="inlineStr">
        <is>
          <t>Known gaps (not started)</t>
        </is>
      </c>
      <c r="C266" s="9" t="inlineStr">
        <is>
          <t>GAP-017</t>
        </is>
      </c>
      <c r="D266" s="12" t="inlineStr">
        <is>
          <t>Platform</t>
        </is>
      </c>
      <c r="E266" s="12" t="inlineStr">
        <is>
          <t>React error #418 (hydration) on /wallet and /admin/orders</t>
        </is>
      </c>
      <c r="F266" s="12" t="inlineStr">
        <is>
          <t>A pre-existing hydration mismatch logged in the browser on two pages.</t>
        </is>
      </c>
      <c r="G266" s="12" t="inlineStr">
        <is>
          <t>-</t>
        </is>
      </c>
      <c r="H266" s="12" t="inlineStr">
        <is>
          <t>-</t>
        </is>
      </c>
      <c r="I266" s="10" t="inlineStr">
        <is>
          <t>YET TO START</t>
        </is>
      </c>
      <c r="J266" s="12" t="inlineStr">
        <is>
          <t>Not started</t>
        </is>
      </c>
      <c r="K266" s="12" t="inlineStr">
        <is>
          <t>-</t>
        </is>
      </c>
      <c r="L266" s="12" t="inlineStr">
        <is>
          <t>-</t>
        </is>
      </c>
      <c r="M266" s="12" t="inlineStr">
        <is>
          <t>-</t>
        </is>
      </c>
      <c r="N266" s="12" t="inlineStr">
        <is>
          <t>Find the server / client difference and fix</t>
        </is>
      </c>
      <c r="O266" s="12" t="inlineStr">
        <is>
          <t>-</t>
        </is>
      </c>
      <c r="P266" s="12" t="inlineStr">
        <is>
          <t>YET TO START</t>
        </is>
      </c>
      <c r="Q266" s="12" t="inlineStr">
        <is>
          <t>No change</t>
        </is>
      </c>
      <c r="R266" s="12" t="inlineStr">
        <is>
          <t>docs/nearby-referral-2026-10/TEST_RESULTS.md</t>
        </is>
      </c>
    </row>
    <row r="267" ht="51" customFormat="1" customHeight="1" s="2">
      <c r="A267" s="10" t="n">
        <v>266</v>
      </c>
      <c r="B267" s="12" t="inlineStr">
        <is>
          <t>Known gaps (not started)</t>
        </is>
      </c>
      <c r="C267" s="9" t="inlineStr">
        <is>
          <t>GAP-018</t>
        </is>
      </c>
      <c r="D267" s="12" t="inlineStr">
        <is>
          <t>Orders</t>
        </is>
      </c>
      <c r="E267" s="12" t="inlineStr">
        <is>
          <t>My Orders card wording after an order is switched to pickup</t>
        </is>
      </c>
      <c r="F267" s="12" t="inlineStr">
        <is>
          <t>After the shop changes a GoKesari-delivery order to pickup and it is delivered, the customer's card still shows 'Finding a rider - &lt;rider&gt;', and the Rs 20 delivery-fee refund is labelled 'refunded ... for unavailable items'.</t>
        </is>
      </c>
      <c r="G267" s="12" t="inlineStr">
        <is>
          <t>-</t>
        </is>
      </c>
      <c r="H267" s="12" t="inlineStr">
        <is>
          <t>-</t>
        </is>
      </c>
      <c r="I267" s="10" t="inlineStr">
        <is>
          <t>YET TO START</t>
        </is>
      </c>
      <c r="J267" s="12" t="inlineStr">
        <is>
          <t>Not started</t>
        </is>
      </c>
      <c r="K267" s="12" t="inlineStr">
        <is>
          <t>-</t>
        </is>
      </c>
      <c r="L267" s="12" t="inlineStr">
        <is>
          <t>-</t>
        </is>
      </c>
      <c r="M267" s="12" t="inlineStr">
        <is>
          <t>-</t>
        </is>
      </c>
      <c r="N267" s="12" t="inlineStr">
        <is>
          <t>Hide the rider line once the order is not a GoKesari delivery; label the delivery-fee refund correctly</t>
        </is>
      </c>
      <c r="O267" s="12" t="inlineStr">
        <is>
          <t>-</t>
        </is>
      </c>
      <c r="P267" s="12" t="inlineStr">
        <is>
          <t>YET TO START</t>
        </is>
      </c>
      <c r="Q267" s="12" t="inlineStr">
        <is>
          <t>No change</t>
        </is>
      </c>
      <c r="R267" s="12" t="inlineStr">
        <is>
          <t>docs/order-lifecycle-2026-10/TEST_RESULTS_STAGING_2026-10-14.md</t>
        </is>
      </c>
    </row>
    <row r="268" ht="39" customFormat="1" customHeight="1" s="2">
      <c r="A268" s="10" t="n">
        <v>267</v>
      </c>
      <c r="B268" s="12" t="inlineStr">
        <is>
          <t>Known gaps (not started)</t>
        </is>
      </c>
      <c r="C268" s="9" t="inlineStr">
        <is>
          <t>GAP-019</t>
        </is>
      </c>
      <c r="D268" s="12" t="inlineStr">
        <is>
          <t>Checkout</t>
        </is>
      </c>
      <c r="E268" s="12" t="inlineStr">
        <is>
          <t>Wallet checkout takes 30-38 s on the test site</t>
        </is>
      </c>
      <c r="F268" s="12" t="inlineStr">
        <is>
          <t>Placing an order with the wallet took 30+ s (timed out once; the retry with the same request id was safe and charged once) and 37.8 s on the rerun.</t>
        </is>
      </c>
      <c r="G268" s="12" t="inlineStr">
        <is>
          <t>-</t>
        </is>
      </c>
      <c r="H268" s="12" t="inlineStr">
        <is>
          <t>-</t>
        </is>
      </c>
      <c r="I268" s="10" t="inlineStr">
        <is>
          <t>YET TO START</t>
        </is>
      </c>
      <c r="J268" s="12" t="inlineStr">
        <is>
          <t>Not started</t>
        </is>
      </c>
      <c r="K268" s="12" t="inlineStr">
        <is>
          <t>-</t>
        </is>
      </c>
      <c r="L268" s="12" t="inlineStr">
        <is>
          <t>-</t>
        </is>
      </c>
      <c r="M268" s="12" t="inlineStr">
        <is>
          <t>-</t>
        </is>
      </c>
      <c r="N268" s="12" t="inlineStr">
        <is>
          <t>Profile checkout on test; likely the far database (GAP-010)</t>
        </is>
      </c>
      <c r="O268" s="12" t="inlineStr">
        <is>
          <t>-</t>
        </is>
      </c>
      <c r="P268" s="12" t="inlineStr">
        <is>
          <t>YET TO START</t>
        </is>
      </c>
      <c r="Q268" s="12" t="inlineStr">
        <is>
          <t>No change</t>
        </is>
      </c>
      <c r="R268" s="12" t="inlineStr">
        <is>
          <t>docs/order-lifecycle-2026-10/TEST_RESULTS_STAGING_2026-10-14.md</t>
        </is>
      </c>
    </row>
  </sheetData>
  <autoFilter ref="A1:R268"/>
  <conditionalFormatting sqref="I2:I268">
    <cfRule type="cellIs" priority="1" operator="equal" dxfId="0">
      <formula>"COMPLETED"</formula>
    </cfRule>
    <cfRule type="cellIs" priority="2" operator="equal" dxfId="1">
      <formula>"IN PROGRESS"</formula>
    </cfRule>
    <cfRule type="cellIs" priority="3" operator="equal" dxfId="2">
      <formula>"YET TO START"</formula>
    </cfRule>
    <cfRule type="cellIs" priority="4" operator="equal" dxfId="3">
      <formula>"BLOCKED"</formula>
    </cfRule>
  </conditionalFormatting>
  <conditionalFormatting sqref="P2:P268">
    <cfRule type="cellIs" priority="5" operator="equal" dxfId="0">
      <formula>"COMPLETED"</formula>
    </cfRule>
    <cfRule type="cellIs" priority="6" operator="equal" dxfId="1">
      <formula>"IN PROGRESS"</formula>
    </cfRule>
    <cfRule type="cellIs" priority="7" operator="equal" dxfId="2">
      <formula>"YET TO START"</formula>
    </cfRule>
    <cfRule type="cellIs" priority="8" operator="equal" dxfId="3">
      <formula>"BLOCKED"</formula>
    </cfRule>
  </conditionalFormatting>
  <dataValidations count="2">
    <dataValidation sqref="I10:I268" showDropDown="0" showInputMessage="0" showErrorMessage="0" allowBlank="0" type="list">
      <formula1>"COMPLETED,IN PROGRESS,YET TO START,BLOCKED"</formula1>
    </dataValidation>
    <dataValidation sqref="I2:I268" showDropDown="0" showInputMessage="0" showErrorMessage="0" allowBlank="0" type="list">
      <formula1>"COMPLETED,IN PROGRESS,YET TO START,BLOCKED"</formula1>
    </dataValidation>
  </dataValidations>
  <pageMargins left="0.3" right="0.3" top="1" bottom="1" header="0.511811023622047" footer="0.511811023622047"/>
  <pageSetup orientation="landscape" paperSize="9" scale="100" fitToHeight="0" fitToWidth="1" firstPageNumber="1" useFirstPageNumber="1" horizontalDpi="300" verticalDpi="300" copies="1"/>
</worksheet>
</file>

<file path=xl/worksheets/sheet6.xml><?xml version="1.0" encoding="utf-8"?>
<worksheet xmlns="http://schemas.openxmlformats.org/spreadsheetml/2006/main">
  <sheetPr>
    <tabColor rgb="FFEA580C"/>
    <outlinePr summaryBelow="1" summaryRight="1"/>
    <pageSetUpPr fitToPage="1"/>
  </sheetPr>
  <dimension ref="A1:L217"/>
  <sheetViews>
    <sheetView view="normal" zoomScale="90" zoomScaleNormal="90" workbookViewId="0">
      <pane xSplit="3" ySplit="4" topLeftCell="D5" activePane="bottomRight" state="frozen"/>
      <selection pane="bottomRight" activeCell="A1" sqref="A1"/>
    </sheetView>
  </sheetViews>
  <sheetFormatPr baseColWidth="8" defaultColWidth="8.6796875" defaultRowHeight="15" outlineLevelRow="0"/>
  <cols>
    <col width="11" customWidth="1" style="1" min="1" max="1"/>
    <col width="6" customWidth="1" style="1" min="2" max="2"/>
    <col width="58" customWidth="1" style="1" min="3" max="3"/>
    <col width="16" customWidth="1" style="1" min="4" max="4"/>
    <col width="22" customWidth="1" style="1" min="5" max="5"/>
    <col width="11" customWidth="1" style="1" min="6" max="6"/>
    <col width="14" customWidth="1" style="1" min="7" max="7"/>
    <col width="22" customWidth="1" style="1" min="8" max="8"/>
    <col width="40" customWidth="1" style="1" min="9" max="9"/>
    <col width="22" customWidth="1" min="10" max="10"/>
    <col width="14" customWidth="1" min="11" max="11"/>
    <col width="70" customWidth="1" min="12" max="12"/>
  </cols>
  <sheetData>
    <row r="1" ht="17.25" customFormat="1" customHeight="1" s="2">
      <c r="A1" s="3" t="inlineStr">
        <is>
          <t>GoKesari process flow trees - status of every step (16 Oct 2026)</t>
        </is>
      </c>
    </row>
    <row r="2" ht="30" customFormat="1" customHeight="1" s="2">
      <c r="A2" s="4" t="inlineStr">
        <is>
          <t>Level 1 = end-to-end flow, level 2 = stage, level 3 = step. Step status is set by hand (dropdown in column G); stage and flow status are formulas: COMPLETED only when every step is; BLOCKED if any step is blocked; YET TO START when no step has started; otherwise IN PROGRESS.</t>
        </is>
      </c>
    </row>
    <row r="3"/>
    <row r="4" ht="30" customFormat="1" customHeight="1" s="2">
      <c r="A4" s="6" t="inlineStr">
        <is>
          <t>Flow / step ID</t>
        </is>
      </c>
      <c r="B4" s="6" t="inlineStr">
        <is>
          <t>Level</t>
        </is>
      </c>
      <c r="C4" s="6" t="inlineStr">
        <is>
          <t>Process flow tree</t>
        </is>
      </c>
      <c r="D4" s="6" t="inlineStr">
        <is>
          <t>Actor</t>
        </is>
      </c>
      <c r="E4" s="6" t="inlineStr">
        <is>
          <t>Feature IDs</t>
        </is>
      </c>
      <c r="F4" s="6" t="inlineStr">
        <is>
          <t>Steps done</t>
        </is>
      </c>
      <c r="G4" s="6" t="inlineStr">
        <is>
          <t>Status</t>
        </is>
      </c>
      <c r="H4" s="6" t="inlineStr">
        <is>
          <t>Built in PR(s)</t>
        </is>
      </c>
      <c r="I4" s="6" t="inlineStr">
        <is>
          <t>Gap / note</t>
        </is>
      </c>
      <c r="J4" s="27" t="inlineStr">
        <is>
          <t>Batch status (18 Oct)</t>
        </is>
      </c>
      <c r="K4" s="27" t="inlineStr">
        <is>
          <t>Batch PR(s)</t>
        </is>
      </c>
      <c r="L4" s="27" t="inlineStr">
        <is>
          <t>Batch gap / note</t>
        </is>
      </c>
    </row>
    <row r="5" ht="18" customFormat="1" customHeight="1" s="2">
      <c r="A5" s="28" t="inlineStr">
        <is>
          <t>F1</t>
        </is>
      </c>
      <c r="B5" s="29" t="n">
        <v>1</v>
      </c>
      <c r="C5" s="28" t="inlineStr">
        <is>
          <t>F1  Customer purchase journey</t>
        </is>
      </c>
      <c r="D5" s="28" t="inlineStr">
        <is>
          <t>Customer</t>
        </is>
      </c>
      <c r="E5" s="28" t="n"/>
      <c r="F5" s="29">
        <f>COUNTIFS($B$6:$B$48,3,$G$6:$G$48,"COMPLETED")&amp;" / "&amp;COUNTIF($B$6:$B$48,3)</f>
        <v/>
      </c>
      <c r="G5" s="29">
        <f>IF(COUNTIFS($B$6:$B$48,3,$G$6:$G$48,"COMPLETED")=COUNTIF($B$6:$B$48,3),"COMPLETED",IF(COUNTIFS($B$6:$B$48,3,$G$6:$G$48,"BLOCKED")&gt;0,"BLOCKED",IF(COUNTIFS($B$6:$B$48,3,$G$6:$G$48,"YET TO START")=COUNTIF($B$6:$B$48,3),"YET TO START","IN PROGRESS")))</f>
        <v/>
      </c>
      <c r="H5" s="28" t="n"/>
      <c r="I5" s="28" t="n"/>
      <c r="J5" s="27">
        <f>(COUNTIFS($B$6:$B$48,3,$J$6:$J$48,"DONE")+COUNTIFS($B$6:$B$48,3,$J$6:$J$48,"DONE-SANDBOX"))&amp;" / "&amp;COUNTIFS($B$6:$B$48,3,$J$6:$J$48,"&lt;&gt;")&amp;" batch steps done"</f>
        <v/>
      </c>
    </row>
    <row r="6" ht="15" customFormat="1" customHeight="1" s="2">
      <c r="A6" s="30" t="inlineStr">
        <is>
          <t>F1.1</t>
        </is>
      </c>
      <c r="B6" s="31" t="n">
        <v>2</v>
      </c>
      <c r="C6" s="32" t="inlineStr">
        <is>
          <t>F1.1  Sign in and profile</t>
        </is>
      </c>
      <c r="D6" s="30" t="n"/>
      <c r="E6" s="30" t="n"/>
      <c r="F6" s="31">
        <f>COUNTIFS($B$7:$B$9,3,$G$7:$G$9,"COMPLETED")&amp;" / "&amp;COUNTIF($B$7:$B$9,3)</f>
        <v/>
      </c>
      <c r="G6" s="31">
        <f>IF(COUNTIFS($B$7:$B$9,3,$G$7:$G$9,"COMPLETED")=COUNTIF($B$7:$B$9,3),"COMPLETED",IF(COUNTIFS($B$7:$B$9,3,$G$7:$G$9,"BLOCKED")&gt;0,"BLOCKED",IF(COUNTIFS($B$7:$B$9,3,$G$7:$G$9,"YET TO START")=COUNTIF($B$7:$B$9,3),"YET TO START","IN PROGRESS")))</f>
        <v/>
      </c>
      <c r="H6" s="30" t="n"/>
      <c r="I6" s="30" t="n"/>
      <c r="J6" s="27">
        <f>(COUNTIFS($B$7:$B$9,3,$J$7:$J$9,"DONE")+COUNTIFS($B$7:$B$9,3,$J$7:$J$9,"DONE-SANDBOX"))&amp;" / "&amp;COUNTIFS($B$7:$B$9,3,$J$7:$J$9,"&lt;&gt;")&amp;" batch steps done"</f>
        <v/>
      </c>
    </row>
    <row r="7" ht="27" customFormat="1" customHeight="1" s="2">
      <c r="A7" s="12" t="inlineStr">
        <is>
          <t>F1.1.1</t>
        </is>
      </c>
      <c r="B7" s="10" t="n">
        <v>3</v>
      </c>
      <c r="C7" s="33" t="inlineStr">
        <is>
          <t>Sign in with Google, email magic link or a code sent to email (mobile or email form)</t>
        </is>
      </c>
      <c r="D7" s="12" t="inlineStr">
        <is>
          <t>Customer</t>
        </is>
      </c>
      <c r="E7" s="12" t="inlineStr">
        <is>
          <t>GS-001, NEW-018</t>
        </is>
      </c>
      <c r="F7" s="10" t="n"/>
      <c r="G7" s="10" t="inlineStr">
        <is>
          <t>COMPLETED</t>
        </is>
      </c>
      <c r="H7" s="12" t="inlineStr">
        <is>
          <t>#10; #23; #31; #80</t>
        </is>
      </c>
      <c r="I7" s="12" t="inlineStr">
        <is>
          <t>-</t>
        </is>
      </c>
    </row>
    <row r="8" ht="15" customFormat="1" customHeight="1" s="2">
      <c r="A8" s="12" t="inlineStr">
        <is>
          <t>F1.1.2</t>
        </is>
      </c>
      <c r="B8" s="10" t="n">
        <v>3</v>
      </c>
      <c r="C8" s="33" t="inlineStr">
        <is>
          <t>Prove the mobile number by SMS OTP</t>
        </is>
      </c>
      <c r="D8" s="12" t="inlineStr">
        <is>
          <t>Customer</t>
        </is>
      </c>
      <c r="E8" s="12" t="inlineStr">
        <is>
          <t>GS-001, GS-074</t>
        </is>
      </c>
      <c r="F8" s="10" t="n"/>
      <c r="G8" s="10" t="inlineStr">
        <is>
          <t>COMPLETED</t>
        </is>
      </c>
      <c r="H8" s="12" t="inlineStr">
        <is>
          <t>#190, #192, #194</t>
        </is>
      </c>
      <c r="I8" s="12" t="inlineStr">
        <is>
          <t>DONE (18 Oct batch): Email channel live: OtpProvider routing, 6-digit codes, 5-minute expiry (verified on test.gokesari.com: emails now say 5 minutes), 5 attempts, resend cooldown, DB-backed limits per email/user/IP, hashed + audited, hourly purge. 'OTP sent to your email' wording. SMS = Phase-2 stub (vendor decision D2).</t>
        </is>
      </c>
      <c r="J8" s="37" t="inlineStr">
        <is>
          <t>DONE</t>
        </is>
      </c>
      <c r="K8" t="inlineStr">
        <is>
          <t>#190, #192, #194</t>
        </is>
      </c>
      <c r="L8" s="23" t="inlineStr">
        <is>
          <t>Email channel live: OtpProvider routing, 6-digit codes, 5-minute expiry (verified on test.gokesari.com: emails now say 5 minutes), 5 attempts, resend cooldown, DB-backed limits per email/user/IP, hashed + audited, hourly purge. 'OTP sent to your email' wording. SMS = Phase-2 stub (vendor decision D2).</t>
        </is>
      </c>
    </row>
    <row r="9" ht="15" customFormat="1" customHeight="1" s="2">
      <c r="A9" s="12" t="inlineStr">
        <is>
          <t>F1.1.3</t>
        </is>
      </c>
      <c r="B9" s="10" t="n">
        <v>3</v>
      </c>
      <c r="C9" s="33" t="inlineStr">
        <is>
          <t>First-time profile (/onboarding) and My Profile</t>
        </is>
      </c>
      <c r="D9" s="12" t="inlineStr">
        <is>
          <t>Customer</t>
        </is>
      </c>
      <c r="E9" s="12" t="inlineStr">
        <is>
          <t>GS-001</t>
        </is>
      </c>
      <c r="F9" s="10" t="n"/>
      <c r="G9" s="10" t="inlineStr">
        <is>
          <t>COMPLETED</t>
        </is>
      </c>
      <c r="H9" s="12" t="inlineStr">
        <is>
          <t>#31</t>
        </is>
      </c>
      <c r="I9" s="12" t="inlineStr">
        <is>
          <t>-</t>
        </is>
      </c>
    </row>
    <row r="10" ht="15" customFormat="1" customHeight="1" s="2">
      <c r="A10" s="30" t="inlineStr">
        <is>
          <t>F1.2</t>
        </is>
      </c>
      <c r="B10" s="31" t="n">
        <v>2</v>
      </c>
      <c r="C10" s="32" t="inlineStr">
        <is>
          <t>F1.2  Location and society</t>
        </is>
      </c>
      <c r="D10" s="30" t="n"/>
      <c r="E10" s="30" t="n"/>
      <c r="F10" s="31">
        <f>COUNTIFS($B$11:$B$12,3,$G$11:$G$12,"COMPLETED")&amp;" / "&amp;COUNTIF($B$11:$B$12,3)</f>
        <v/>
      </c>
      <c r="G10" s="31">
        <f>IF(COUNTIFS($B$11:$B$12,3,$G$11:$G$12,"COMPLETED")=COUNTIF($B$11:$B$12,3),"COMPLETED",IF(COUNTIFS($B$11:$B$12,3,$G$11:$G$12,"BLOCKED")&gt;0,"BLOCKED",IF(COUNTIFS($B$11:$B$12,3,$G$11:$G$12,"YET TO START")=COUNTIF($B$11:$B$12,3),"YET TO START","IN PROGRESS")))</f>
        <v/>
      </c>
      <c r="H10" s="30" t="n"/>
      <c r="I10" s="30" t="n"/>
      <c r="J10" s="27">
        <f>(COUNTIFS($B$11:$B$12,3,$J$11:$J$12,"DONE")+COUNTIFS($B$11:$B$12,3,$J$11:$J$12,"DONE-SANDBOX"))&amp;" / "&amp;COUNTIFS($B$11:$B$12,3,$J$11:$J$12,"&lt;&gt;")&amp;" batch steps done"</f>
        <v/>
      </c>
    </row>
    <row r="11" ht="27" customFormat="1" customHeight="1" s="2">
      <c r="A11" s="12" t="inlineStr">
        <is>
          <t>F1.2.1</t>
        </is>
      </c>
      <c r="B11" s="10" t="n">
        <v>3</v>
      </c>
      <c r="C11" s="33" t="inlineStr">
        <is>
          <t>Choose where to deliver: saved address, device position, PIN or map pin</t>
        </is>
      </c>
      <c r="D11" s="12" t="inlineStr">
        <is>
          <t>Customer</t>
        </is>
      </c>
      <c r="E11" s="12" t="inlineStr">
        <is>
          <t>GS-004</t>
        </is>
      </c>
      <c r="F11" s="10" t="n"/>
      <c r="G11" s="10" t="inlineStr">
        <is>
          <t>COMPLETED</t>
        </is>
      </c>
      <c r="H11" s="12" t="inlineStr">
        <is>
          <t>#10; #23; #83</t>
        </is>
      </c>
      <c r="I11" s="12" t="inlineStr">
        <is>
          <t>Map 'Confirm location' 500 on test: the server key is restricted by referrer (GAP-008, owner)</t>
        </is>
      </c>
    </row>
    <row r="12" ht="15" customFormat="1" customHeight="1" s="2">
      <c r="A12" s="12" t="inlineStr">
        <is>
          <t>F1.2.2</t>
        </is>
      </c>
      <c r="B12" s="10" t="n">
        <v>3</v>
      </c>
      <c r="C12" s="33" t="inlineStr">
        <is>
          <t>Society recognised from the address</t>
        </is>
      </c>
      <c r="D12" s="12" t="inlineStr">
        <is>
          <t>Customer</t>
        </is>
      </c>
      <c r="E12" s="12" t="inlineStr">
        <is>
          <t>GS-005</t>
        </is>
      </c>
      <c r="F12" s="10" t="n"/>
      <c r="G12" s="10" t="inlineStr">
        <is>
          <t>COMPLETED</t>
        </is>
      </c>
      <c r="H12" s="12" t="inlineStr">
        <is>
          <t>#11</t>
        </is>
      </c>
      <c r="I12" s="12" t="inlineStr">
        <is>
          <t>-</t>
        </is>
      </c>
    </row>
    <row r="13" ht="15" customFormat="1" customHeight="1" s="2">
      <c r="A13" s="30" t="inlineStr">
        <is>
          <t>F1.3</t>
        </is>
      </c>
      <c r="B13" s="31" t="n">
        <v>2</v>
      </c>
      <c r="C13" s="32" t="inlineStr">
        <is>
          <t>F1.3  Discover shops and products</t>
        </is>
      </c>
      <c r="D13" s="30" t="n"/>
      <c r="E13" s="30" t="n"/>
      <c r="F13" s="31">
        <f>COUNTIFS($B$14:$B$17,3,$G$14:$G$17,"COMPLETED")&amp;" / "&amp;COUNTIF($B$14:$B$17,3)</f>
        <v/>
      </c>
      <c r="G13" s="31">
        <f>IF(COUNTIFS($B$14:$B$17,3,$G$14:$G$17,"COMPLETED")=COUNTIF($B$14:$B$17,3),"COMPLETED",IF(COUNTIFS($B$14:$B$17,3,$G$14:$G$17,"BLOCKED")&gt;0,"BLOCKED",IF(COUNTIFS($B$14:$B$17,3,$G$14:$G$17,"YET TO START")=COUNTIF($B$14:$B$17,3),"YET TO START","IN PROGRESS")))</f>
        <v/>
      </c>
      <c r="H13" s="30" t="n"/>
      <c r="I13" s="30" t="n"/>
      <c r="J13" s="27">
        <f>(COUNTIFS($B$14:$B$17,3,$J$14:$J$17,"DONE")+COUNTIFS($B$14:$B$17,3,$J$14:$J$17,"DONE-SANDBOX"))&amp;" / "&amp;COUNTIFS($B$14:$B$17,3,$J$14:$J$17,"&lt;&gt;")&amp;" batch steps done"</f>
        <v/>
      </c>
    </row>
    <row r="14" ht="27" customFormat="1" customHeight="1" s="2">
      <c r="A14" s="12" t="inlineStr">
        <is>
          <t>F1.3.1</t>
        </is>
      </c>
      <c r="B14" s="10" t="n">
        <v>3</v>
      </c>
      <c r="C14" s="33" t="inlineStr">
        <is>
          <t>Shops that deliver here / Shops near you, with filters and sort</t>
        </is>
      </c>
      <c r="D14" s="12" t="inlineStr">
        <is>
          <t>Customer</t>
        </is>
      </c>
      <c r="E14" s="12" t="inlineStr">
        <is>
          <t>GS-019, NAV-001, NEW-019, NEW-051</t>
        </is>
      </c>
      <c r="F14" s="10" t="n"/>
      <c r="G14" s="10" t="inlineStr">
        <is>
          <t>COMPLETED</t>
        </is>
      </c>
      <c r="H14" s="12" t="inlineStr">
        <is>
          <t>#10; #83</t>
        </is>
      </c>
      <c r="I14" s="12" t="inlineStr">
        <is>
          <t>-</t>
        </is>
      </c>
    </row>
    <row r="15" ht="15" customFormat="1" customHeight="1" s="2">
      <c r="A15" s="12" t="inlineStr">
        <is>
          <t>F1.3.2</t>
        </is>
      </c>
      <c r="B15" s="10" t="n">
        <v>3</v>
      </c>
      <c r="C15" s="33" t="inlineStr">
        <is>
          <t>Product search limited to serviceable shops</t>
        </is>
      </c>
      <c r="D15" s="12" t="inlineStr">
        <is>
          <t>Customer</t>
        </is>
      </c>
      <c r="E15" s="12" t="inlineStr">
        <is>
          <t>GS-020</t>
        </is>
      </c>
      <c r="F15" s="10" t="n"/>
      <c r="G15" s="10" t="inlineStr">
        <is>
          <t>COMPLETED</t>
        </is>
      </c>
      <c r="H15" s="12" t="inlineStr">
        <is>
          <t>#10; #48; #83</t>
        </is>
      </c>
      <c r="I15" s="12" t="inlineStr">
        <is>
          <t>-</t>
        </is>
      </c>
    </row>
    <row r="16" ht="15" customFormat="1" customHeight="1" s="2">
      <c r="A16" s="12" t="inlineStr">
        <is>
          <t>F1.3.3</t>
        </is>
      </c>
      <c r="B16" s="10" t="n">
        <v>3</v>
      </c>
      <c r="C16" s="33" t="inlineStr">
        <is>
          <t>Every shop selling a product</t>
        </is>
      </c>
      <c r="D16" s="12" t="inlineStr">
        <is>
          <t>Customer</t>
        </is>
      </c>
      <c r="E16" s="12" t="inlineStr">
        <is>
          <t>GS-021</t>
        </is>
      </c>
      <c r="F16" s="10" t="n"/>
      <c r="G16" s="10" t="inlineStr">
        <is>
          <t>COMPLETED</t>
        </is>
      </c>
      <c r="H16" s="12" t="inlineStr">
        <is>
          <t>#10</t>
        </is>
      </c>
      <c r="I16" s="12" t="inlineStr">
        <is>
          <t>-</t>
        </is>
      </c>
    </row>
    <row r="17" ht="27" customFormat="1" customHeight="1" s="2">
      <c r="A17" s="12" t="inlineStr">
        <is>
          <t>F1.3.4</t>
        </is>
      </c>
      <c r="B17" s="10" t="n">
        <v>3</v>
      </c>
      <c r="C17" s="33" t="inlineStr">
        <is>
          <t>Shops near me from the phone's location: radius 1-10 km, list or map, Directions; PIN box if location is refused</t>
        </is>
      </c>
      <c r="D17" s="12" t="inlineStr">
        <is>
          <t>Customer</t>
        </is>
      </c>
      <c r="E17" s="12" t="inlineStr">
        <is>
          <t>NEW-057, NEW-059</t>
        </is>
      </c>
      <c r="F17" s="10" t="n"/>
      <c r="G17" s="10" t="inlineStr">
        <is>
          <t>COMPLETED</t>
        </is>
      </c>
      <c r="H17" s="12" t="inlineStr">
        <is>
          <t>#133; #136; #135</t>
        </is>
      </c>
      <c r="I17" s="12" t="inlineStr">
        <is>
          <t>Live on gokesari.com</t>
        </is>
      </c>
    </row>
    <row r="18" ht="15" customFormat="1" customHeight="1" s="2">
      <c r="A18" s="30" t="inlineStr">
        <is>
          <t>F1.4</t>
        </is>
      </c>
      <c r="B18" s="31" t="n">
        <v>2</v>
      </c>
      <c r="C18" s="32" t="inlineStr">
        <is>
          <t>F1.4  Compare prices</t>
        </is>
      </c>
      <c r="D18" s="30" t="n"/>
      <c r="E18" s="30" t="n"/>
      <c r="F18" s="31">
        <f>COUNTIFS($B$19:$B$21,3,$G$19:$G$21,"COMPLETED")&amp;" / "&amp;COUNTIF($B$19:$B$21,3)</f>
        <v/>
      </c>
      <c r="G18" s="31">
        <f>IF(COUNTIFS($B$19:$B$21,3,$G$19:$G$21,"COMPLETED")=COUNTIF($B$19:$B$21,3),"COMPLETED",IF(COUNTIFS($B$19:$B$21,3,$G$19:$G$21,"BLOCKED")&gt;0,"BLOCKED",IF(COUNTIFS($B$19:$B$21,3,$G$19:$G$21,"YET TO START")=COUNTIF($B$19:$B$21,3),"YET TO START","IN PROGRESS")))</f>
        <v/>
      </c>
      <c r="H18" s="30" t="n"/>
      <c r="I18" s="30" t="n"/>
      <c r="J18" s="27">
        <f>(COUNTIFS($B$19:$B$21,3,$J$19:$J$21,"DONE")+COUNTIFS($B$19:$B$21,3,$J$19:$J$21,"DONE-SANDBOX"))&amp;" / "&amp;COUNTIFS($B$19:$B$21,3,$J$19:$J$21,"&lt;&gt;")&amp;" batch steps done"</f>
        <v/>
      </c>
    </row>
    <row r="19" ht="15" customFormat="1" customHeight="1" s="2">
      <c r="A19" s="12" t="inlineStr">
        <is>
          <t>F1.4.1</t>
        </is>
      </c>
      <c r="B19" s="10" t="n">
        <v>3</v>
      </c>
      <c r="C19" s="33" t="inlineStr">
        <is>
          <t>Local price comparison across shops</t>
        </is>
      </c>
      <c r="D19" s="12" t="inlineStr">
        <is>
          <t>Customer</t>
        </is>
      </c>
      <c r="E19" s="12" t="inlineStr">
        <is>
          <t>GS-022</t>
        </is>
      </c>
      <c r="F19" s="10" t="n"/>
      <c r="G19" s="10" t="inlineStr">
        <is>
          <t>COMPLETED</t>
        </is>
      </c>
      <c r="H19" s="12" t="inlineStr">
        <is>
          <t>#10; #72</t>
        </is>
      </c>
      <c r="I19" s="12" t="inlineStr">
        <is>
          <t>-</t>
        </is>
      </c>
    </row>
    <row r="20" ht="15" customFormat="1" customHeight="1" s="2">
      <c r="A20" s="12" t="inlineStr">
        <is>
          <t>F1.4.2</t>
        </is>
      </c>
      <c r="B20" s="10" t="n">
        <v>3</v>
      </c>
      <c r="C20" s="33" t="inlineStr">
        <is>
          <t>Home-page price comparison (F9)</t>
        </is>
      </c>
      <c r="D20" s="12" t="inlineStr">
        <is>
          <t>Customer</t>
        </is>
      </c>
      <c r="E20" s="12" t="inlineStr">
        <is>
          <t>NAV-001</t>
        </is>
      </c>
      <c r="F20" s="10" t="n"/>
      <c r="G20" s="10" t="inlineStr">
        <is>
          <t>COMPLETED</t>
        </is>
      </c>
      <c r="H20" s="12" t="inlineStr">
        <is>
          <t>#55</t>
        </is>
      </c>
      <c r="I20" s="12" t="inlineStr">
        <is>
          <t>Off by default</t>
        </is>
      </c>
    </row>
    <row r="21" ht="15" customFormat="1" customHeight="1" s="2">
      <c r="A21" s="12" t="inlineStr">
        <is>
          <t>F1.4.3</t>
        </is>
      </c>
      <c r="B21" s="10" t="n">
        <v>3</v>
      </c>
      <c r="C21" s="33" t="inlineStr">
        <is>
          <t>Online (e-commerce) reference prices shown to customers</t>
        </is>
      </c>
      <c r="D21" s="12" t="inlineStr">
        <is>
          <t>Customer</t>
        </is>
      </c>
      <c r="E21" s="12" t="inlineStr">
        <is>
          <t>GS-023</t>
        </is>
      </c>
      <c r="F21" s="10" t="n"/>
      <c r="G21" s="10" t="inlineStr">
        <is>
          <t>BLOCKED</t>
        </is>
      </c>
      <c r="H21" s="12" t="inlineStr">
        <is>
          <t>#23; #190, #194</t>
        </is>
      </c>
      <c r="I21" s="12" t="inlineStr">
        <is>
          <t>DROPPED (18 Oct batch): Dropped by a code constant (not a setting): hidden on product pages and for shops, public API 404, admin menu entry removed, no scraping or external calls at runtime; PR #23 code kept and isolated; offline Open Prices CLI refuses to run.</t>
        </is>
      </c>
      <c r="J21" s="38" t="inlineStr">
        <is>
          <t>DROPPED</t>
        </is>
      </c>
      <c r="K21" t="inlineStr">
        <is>
          <t>#190, #194</t>
        </is>
      </c>
      <c r="L21" s="23" t="inlineStr">
        <is>
          <t>Dropped by a code constant (not a setting): hidden on product pages and for shops, public API 404, admin menu entry removed, no scraping or external calls at runtime; PR #23 code kept and isolated; offline Open Prices CLI refuses to run.</t>
        </is>
      </c>
    </row>
    <row r="22" ht="15" customFormat="1" customHeight="1" s="2">
      <c r="A22" s="30" t="inlineStr">
        <is>
          <t>F1.5</t>
        </is>
      </c>
      <c r="B22" s="31" t="n">
        <v>2</v>
      </c>
      <c r="C22" s="32" t="inlineStr">
        <is>
          <t>F1.5  Cart</t>
        </is>
      </c>
      <c r="D22" s="30" t="n"/>
      <c r="E22" s="30" t="n"/>
      <c r="F22" s="31">
        <f>COUNTIFS($B$23:$B$27,3,$G$23:$G$27,"COMPLETED")&amp;" / "&amp;COUNTIF($B$23:$B$27,3)</f>
        <v/>
      </c>
      <c r="G22" s="31">
        <f>IF(COUNTIFS($B$23:$B$27,3,$G$23:$G$27,"COMPLETED")=COUNTIF($B$23:$B$27,3),"COMPLETED",IF(COUNTIFS($B$23:$B$27,3,$G$23:$G$27,"BLOCKED")&gt;0,"BLOCKED",IF(COUNTIFS($B$23:$B$27,3,$G$23:$G$27,"YET TO START")=COUNTIF($B$23:$B$27,3),"YET TO START","IN PROGRESS")))</f>
        <v/>
      </c>
      <c r="H22" s="30" t="n"/>
      <c r="I22" s="30" t="n"/>
      <c r="J22" s="27">
        <f>(COUNTIFS($B$23:$B$27,3,$J$23:$J$27,"DONE")+COUNTIFS($B$23:$B$27,3,$J$23:$J$27,"DONE-SANDBOX"))&amp;" / "&amp;COUNTIFS($B$23:$B$27,3,$J$23:$J$27,"&lt;&gt;")&amp;" batch steps done"</f>
        <v/>
      </c>
    </row>
    <row r="23" ht="15" customFormat="1" customHeight="1" s="2">
      <c r="A23" s="12" t="inlineStr">
        <is>
          <t>F1.5.1</t>
        </is>
      </c>
      <c r="B23" s="10" t="n">
        <v>3</v>
      </c>
      <c r="C23" s="33" t="inlineStr">
        <is>
          <t>Add to cart with quantity controls on the product card</t>
        </is>
      </c>
      <c r="D23" s="12" t="inlineStr">
        <is>
          <t>Customer</t>
        </is>
      </c>
      <c r="E23" s="12" t="inlineStr">
        <is>
          <t>GS-024, NEW-012</t>
        </is>
      </c>
      <c r="F23" s="10" t="n"/>
      <c r="G23" s="10" t="inlineStr">
        <is>
          <t>COMPLETED</t>
        </is>
      </c>
      <c r="H23" s="12" t="inlineStr">
        <is>
          <t>#48; #72</t>
        </is>
      </c>
      <c r="I23" s="12" t="inlineStr">
        <is>
          <t>-</t>
        </is>
      </c>
    </row>
    <row r="24" ht="15" customFormat="1" customHeight="1" s="2">
      <c r="A24" s="12" t="inlineStr">
        <is>
          <t>F1.5.2</t>
        </is>
      </c>
      <c r="B24" s="10" t="n">
        <v>3</v>
      </c>
      <c r="C24" s="33" t="inlineStr">
        <is>
          <t>Multi-shop cart</t>
        </is>
      </c>
      <c r="D24" s="12" t="inlineStr">
        <is>
          <t>Customer</t>
        </is>
      </c>
      <c r="E24" s="12" t="inlineStr">
        <is>
          <t>GS-025</t>
        </is>
      </c>
      <c r="F24" s="10" t="n"/>
      <c r="G24" s="10" t="inlineStr">
        <is>
          <t>COMPLETED</t>
        </is>
      </c>
      <c r="H24" s="12" t="inlineStr">
        <is>
          <t>Baseline; #10</t>
        </is>
      </c>
      <c r="I24" s="12" t="inlineStr">
        <is>
          <t>-</t>
        </is>
      </c>
    </row>
    <row r="25" ht="27" customFormat="1" customHeight="1" s="2">
      <c r="A25" s="12" t="inlineStr">
        <is>
          <t>F1.5.3</t>
        </is>
      </c>
      <c r="B25" s="10" t="n">
        <v>3</v>
      </c>
      <c r="C25" s="33" t="inlineStr">
        <is>
          <t>Cart re-validated against the location (serviceability, stock, minimum order, paused shops)</t>
        </is>
      </c>
      <c r="D25" s="12" t="inlineStr">
        <is>
          <t>Customer</t>
        </is>
      </c>
      <c r="E25" s="12" t="inlineStr">
        <is>
          <t>GS-026, NEW-005</t>
        </is>
      </c>
      <c r="F25" s="10" t="n"/>
      <c r="G25" s="10" t="inlineStr">
        <is>
          <t>COMPLETED</t>
        </is>
      </c>
      <c r="H25" s="12" t="inlineStr">
        <is>
          <t>#11; #23</t>
        </is>
      </c>
      <c r="I25" s="12" t="inlineStr">
        <is>
          <t>-</t>
        </is>
      </c>
    </row>
    <row r="26" ht="15" customFormat="1" customHeight="1" s="2">
      <c r="A26" s="12" t="inlineStr">
        <is>
          <t>F1.5.4</t>
        </is>
      </c>
      <c r="B26" s="10" t="n">
        <v>3</v>
      </c>
      <c r="C26" s="33" t="inlineStr">
        <is>
          <t>Coupons (F7) and shop offers (F8)</t>
        </is>
      </c>
      <c r="D26" s="12" t="inlineStr">
        <is>
          <t>Customer</t>
        </is>
      </c>
      <c r="E26" s="12" t="inlineStr">
        <is>
          <t>NAV-003, NAV-002</t>
        </is>
      </c>
      <c r="F26" s="10" t="n"/>
      <c r="G26" s="10" t="inlineStr">
        <is>
          <t>COMPLETED</t>
        </is>
      </c>
      <c r="H26" s="12" t="inlineStr">
        <is>
          <t>#55</t>
        </is>
      </c>
      <c r="I26" s="12" t="inlineStr">
        <is>
          <t>Off by default</t>
        </is>
      </c>
    </row>
    <row r="27" ht="15" customFormat="1" customHeight="1" s="2">
      <c r="A27" s="12" t="inlineStr">
        <is>
          <t>F1.5.5</t>
        </is>
      </c>
      <c r="B27" s="10" t="n">
        <v>3</v>
      </c>
      <c r="C27" s="33" t="inlineStr">
        <is>
          <t>Open-order prompt before paying (C3)</t>
        </is>
      </c>
      <c r="D27" s="12" t="inlineStr">
        <is>
          <t>Customer</t>
        </is>
      </c>
      <c r="E27" s="12" t="inlineStr">
        <is>
          <t>NEW-024</t>
        </is>
      </c>
      <c r="F27" s="10" t="n"/>
      <c r="G27" s="10" t="inlineStr">
        <is>
          <t>COMPLETED</t>
        </is>
      </c>
      <c r="H27" s="12" t="inlineStr">
        <is>
          <t>#85; #120</t>
        </is>
      </c>
      <c r="I27" s="12" t="inlineStr">
        <is>
          <t>Live on gokesari.com since #120 (9 Oct)</t>
        </is>
      </c>
    </row>
    <row r="28" ht="15" customFormat="1" customHeight="1" s="2">
      <c r="A28" s="30" t="inlineStr">
        <is>
          <t>F1.6</t>
        </is>
      </c>
      <c r="B28" s="31" t="n">
        <v>2</v>
      </c>
      <c r="C28" s="32" t="inlineStr">
        <is>
          <t>F1.6  Checkout</t>
        </is>
      </c>
      <c r="D28" s="30" t="n"/>
      <c r="E28" s="30" t="n"/>
      <c r="F28" s="31">
        <f>COUNTIFS($B$29:$B$31,3,$G$29:$G$31,"COMPLETED")&amp;" / "&amp;COUNTIF($B$29:$B$31,3)</f>
        <v/>
      </c>
      <c r="G28" s="31">
        <f>IF(COUNTIFS($B$29:$B$31,3,$G$29:$G$31,"COMPLETED")=COUNTIF($B$29:$B$31,3),"COMPLETED",IF(COUNTIFS($B$29:$B$31,3,$G$29:$G$31,"BLOCKED")&gt;0,"BLOCKED",IF(COUNTIFS($B$29:$B$31,3,$G$29:$G$31,"YET TO START")=COUNTIF($B$29:$B$31,3),"YET TO START","IN PROGRESS")))</f>
        <v/>
      </c>
      <c r="H28" s="30" t="n"/>
      <c r="I28" s="30" t="n"/>
      <c r="J28" s="27">
        <f>(COUNTIFS($B$29:$B$31,3,$J$29:$J$31,"DONE")+COUNTIFS($B$29:$B$31,3,$J$29:$J$31,"DONE-SANDBOX"))&amp;" / "&amp;COUNTIFS($B$29:$B$31,3,$J$29:$J$31,"&lt;&gt;")&amp;" batch steps done"</f>
        <v/>
      </c>
    </row>
    <row r="29" ht="15" customFormat="1" customHeight="1" s="2">
      <c r="A29" s="12" t="inlineStr">
        <is>
          <t>F1.6.1</t>
        </is>
      </c>
      <c r="B29" s="10" t="n">
        <v>3</v>
      </c>
      <c r="C29" s="33" t="inlineStr">
        <is>
          <t>Mobile number and delivery address required</t>
        </is>
      </c>
      <c r="D29" s="12" t="inlineStr">
        <is>
          <t>Customer</t>
        </is>
      </c>
      <c r="E29" s="12" t="inlineStr">
        <is>
          <t>GS-026</t>
        </is>
      </c>
      <c r="F29" s="10" t="n"/>
      <c r="G29" s="10" t="inlineStr">
        <is>
          <t>COMPLETED</t>
        </is>
      </c>
      <c r="H29" s="12" t="inlineStr">
        <is>
          <t>#31</t>
        </is>
      </c>
      <c r="I29" s="12" t="inlineStr">
        <is>
          <t>-</t>
        </is>
      </c>
    </row>
    <row r="30" ht="15" customFormat="1" customHeight="1" s="2">
      <c r="A30" s="12" t="inlineStr">
        <is>
          <t>F1.6.2</t>
        </is>
      </c>
      <c r="B30" s="10" t="n">
        <v>3</v>
      </c>
      <c r="C30" s="33" t="inlineStr">
        <is>
          <t>Delivery window or a scheduled time slot with capacity</t>
        </is>
      </c>
      <c r="D30" s="12" t="inlineStr">
        <is>
          <t>Customer</t>
        </is>
      </c>
      <c r="E30" s="12" t="inlineStr">
        <is>
          <t>GS-027</t>
        </is>
      </c>
      <c r="F30" s="10" t="n"/>
      <c r="G30" s="10" t="inlineStr">
        <is>
          <t>COMPLETED</t>
        </is>
      </c>
      <c r="H30" s="12" t="inlineStr">
        <is>
          <t>Baseline; #55; #58</t>
        </is>
      </c>
      <c r="I30" s="12" t="inlineStr">
        <is>
          <t>Slots off by default</t>
        </is>
      </c>
    </row>
    <row r="31" ht="15" customFormat="1" customHeight="1" s="2">
      <c r="A31" s="12" t="inlineStr">
        <is>
          <t>F1.6.3</t>
        </is>
      </c>
      <c r="B31" s="10" t="n">
        <v>3</v>
      </c>
      <c r="C31" s="33" t="inlineStr">
        <is>
          <t>Order from a closed shop after confirmation</t>
        </is>
      </c>
      <c r="D31" s="12" t="inlineStr">
        <is>
          <t>Customer</t>
        </is>
      </c>
      <c r="E31" s="12" t="inlineStr">
        <is>
          <t>NEW-003</t>
        </is>
      </c>
      <c r="F31" s="10" t="n"/>
      <c r="G31" s="10" t="inlineStr">
        <is>
          <t>COMPLETED</t>
        </is>
      </c>
      <c r="H31" s="12" t="inlineStr">
        <is>
          <t>#24</t>
        </is>
      </c>
      <c r="I31" s="12" t="inlineStr">
        <is>
          <t>-</t>
        </is>
      </c>
    </row>
    <row r="32" ht="15" customFormat="1" customHeight="1" s="2">
      <c r="A32" s="30" t="inlineStr">
        <is>
          <t>F1.7</t>
        </is>
      </c>
      <c r="B32" s="31" t="n">
        <v>2</v>
      </c>
      <c r="C32" s="32" t="inlineStr">
        <is>
          <t>F1.7  Payment</t>
        </is>
      </c>
      <c r="D32" s="30" t="n"/>
      <c r="E32" s="30" t="n"/>
      <c r="F32" s="31">
        <f>COUNTIFS($B$33:$B$35,3,$G$33:$G$35,"COMPLETED")&amp;" / "&amp;COUNTIF($B$33:$B$35,3)</f>
        <v/>
      </c>
      <c r="G32" s="31">
        <f>IF(COUNTIFS($B$33:$B$35,3,$G$33:$G$35,"COMPLETED")=COUNTIF($B$33:$B$35,3),"COMPLETED",IF(COUNTIFS($B$33:$B$35,3,$G$33:$G$35,"BLOCKED")&gt;0,"BLOCKED",IF(COUNTIFS($B$33:$B$35,3,$G$33:$G$35,"YET TO START")=COUNTIF($B$33:$B$35,3),"YET TO START","IN PROGRESS")))</f>
        <v/>
      </c>
      <c r="H32" s="30" t="n"/>
      <c r="I32" s="30" t="n"/>
      <c r="J32" s="27">
        <f>(COUNTIFS($B$33:$B$35,3,$J$33:$J$35,"DONE")+COUNTIFS($B$33:$B$35,3,$J$33:$J$35,"DONE-SANDBOX"))&amp;" / "&amp;COUNTIFS($B$33:$B$35,3,$J$33:$J$35,"&lt;&gt;")&amp;" batch steps done"</f>
        <v/>
      </c>
    </row>
    <row r="33" ht="15" customFormat="1" customHeight="1" s="2">
      <c r="A33" s="12" t="inlineStr">
        <is>
          <t>F1.7.1</t>
        </is>
      </c>
      <c r="B33" s="10" t="n">
        <v>3</v>
      </c>
      <c r="C33" s="33" t="inlineStr">
        <is>
          <t>Pay from wallet (topped up through Cashfree)</t>
        </is>
      </c>
      <c r="D33" s="12" t="inlineStr">
        <is>
          <t>Customer</t>
        </is>
      </c>
      <c r="E33" s="12" t="inlineStr">
        <is>
          <t>GS-029, GS-028</t>
        </is>
      </c>
      <c r="F33" s="10" t="n"/>
      <c r="G33" s="10" t="inlineStr">
        <is>
          <t>COMPLETED</t>
        </is>
      </c>
      <c r="H33" s="12" t="inlineStr">
        <is>
          <t>Baseline</t>
        </is>
      </c>
      <c r="I33" s="12" t="inlineStr">
        <is>
          <t>-</t>
        </is>
      </c>
    </row>
    <row r="34" ht="15" customFormat="1" customHeight="1" s="2">
      <c r="A34" s="12" t="inlineStr">
        <is>
          <t>F1.7.2</t>
        </is>
      </c>
      <c r="B34" s="10" t="n">
        <v>3</v>
      </c>
      <c r="C34" s="33" t="inlineStr">
        <is>
          <t>Cash on delivery with limits</t>
        </is>
      </c>
      <c r="D34" s="12" t="inlineStr">
        <is>
          <t>Customer</t>
        </is>
      </c>
      <c r="E34" s="12" t="inlineStr">
        <is>
          <t>GS-030</t>
        </is>
      </c>
      <c r="F34" s="10" t="n"/>
      <c r="G34" s="10" t="inlineStr">
        <is>
          <t>COMPLETED</t>
        </is>
      </c>
      <c r="H34" s="12" t="inlineStr">
        <is>
          <t>#18</t>
        </is>
      </c>
      <c r="I34" s="12" t="inlineStr">
        <is>
          <t>-</t>
        </is>
      </c>
    </row>
    <row r="35" ht="15" customFormat="1" customHeight="1" s="2">
      <c r="A35" s="12" t="inlineStr">
        <is>
          <t>F1.7.3</t>
        </is>
      </c>
      <c r="B35" s="10" t="n">
        <v>3</v>
      </c>
      <c r="C35" s="33" t="inlineStr">
        <is>
          <t>Pay the order directly by UPI / card / netbanking</t>
        </is>
      </c>
      <c r="D35" s="12" t="inlineStr">
        <is>
          <t>Customer</t>
        </is>
      </c>
      <c r="E35" s="12" t="inlineStr">
        <is>
          <t>GS-028, NEW-007</t>
        </is>
      </c>
      <c r="F35" s="10" t="n"/>
      <c r="G35" s="10" t="inlineStr">
        <is>
          <t>COMPLETED</t>
        </is>
      </c>
      <c r="H35" s="12" t="inlineStr">
        <is>
          <t>#190, #192, #194</t>
        </is>
      </c>
      <c r="I35" s="12" t="inlineStr">
        <is>
          <t>DONE-SANDBOX (18 Oct batch): PaymentGateway interface: sandbox (working on test.gokesari.com after #192), Cashfree adapter, Razorpay/PhonePe scaffolds; UPI/card/netbanking via hosted checkout only (no card data). Production flag onlinePayments OFF until gateway choice, merchant account, live keys and webhook secret (Owner inputs §1-2).</t>
        </is>
      </c>
      <c r="J35" s="39" t="inlineStr">
        <is>
          <t>DONE-SANDBOX</t>
        </is>
      </c>
      <c r="K35" t="inlineStr">
        <is>
          <t>#190, #192, #194</t>
        </is>
      </c>
      <c r="L35" s="23" t="inlineStr">
        <is>
          <t>PaymentGateway interface: sandbox (working on test.gokesari.com after #192), Cashfree adapter, Razorpay/PhonePe scaffolds; UPI/card/netbanking via hosted checkout only (no card data). Production flag onlinePayments OFF until gateway choice, merchant account, live keys and webhook secret (Owner inputs §1-2).</t>
        </is>
      </c>
    </row>
    <row r="36" ht="15" customFormat="1" customHeight="1" s="2">
      <c r="A36" s="30" t="inlineStr">
        <is>
          <t>F1.8</t>
        </is>
      </c>
      <c r="B36" s="31" t="n">
        <v>2</v>
      </c>
      <c r="C36" s="32" t="inlineStr">
        <is>
          <t>F1.8  Order engine</t>
        </is>
      </c>
      <c r="D36" s="30" t="n"/>
      <c r="E36" s="30" t="n"/>
      <c r="F36" s="31">
        <f>COUNTIFS($B$37:$B$41,3,$G$37:$G$41,"COMPLETED")&amp;" / "&amp;COUNTIF($B$37:$B$41,3)</f>
        <v/>
      </c>
      <c r="G36" s="31">
        <f>IF(COUNTIFS($B$37:$B$41,3,$G$37:$G$41,"COMPLETED")=COUNTIF($B$37:$B$41,3),"COMPLETED",IF(COUNTIFS($B$37:$B$41,3,$G$37:$G$41,"BLOCKED")&gt;0,"BLOCKED",IF(COUNTIFS($B$37:$B$41,3,$G$37:$G$41,"YET TO START")=COUNTIF($B$37:$B$41,3),"YET TO START","IN PROGRESS")))</f>
        <v/>
      </c>
      <c r="H36" s="30" t="n"/>
      <c r="I36" s="30" t="n"/>
      <c r="J36" s="27">
        <f>(COUNTIFS($B$37:$B$41,3,$J$37:$J$41,"DONE")+COUNTIFS($B$37:$B$41,3,$J$37:$J$41,"DONE-SANDBOX"))&amp;" / "&amp;COUNTIFS($B$37:$B$41,3,$J$37:$J$41,"&lt;&gt;")&amp;" batch steps done"</f>
        <v/>
      </c>
    </row>
    <row r="37" ht="15" customFormat="1" customHeight="1" s="2">
      <c r="A37" s="12" t="inlineStr">
        <is>
          <t>F1.8.1</t>
        </is>
      </c>
      <c r="B37" s="10" t="n">
        <v>3</v>
      </c>
      <c r="C37" s="33" t="inlineStr">
        <is>
          <t>Validate stock and service area</t>
        </is>
      </c>
      <c r="D37" s="12" t="inlineStr">
        <is>
          <t>Customer</t>
        </is>
      </c>
      <c r="E37" s="12" t="inlineStr">
        <is>
          <t>GS-026, GS-016</t>
        </is>
      </c>
      <c r="F37" s="10" t="n"/>
      <c r="G37" s="10" t="inlineStr">
        <is>
          <t>COMPLETED</t>
        </is>
      </c>
      <c r="H37" s="12" t="inlineStr">
        <is>
          <t>#11; #23</t>
        </is>
      </c>
      <c r="I37" s="12" t="inlineStr">
        <is>
          <t>-</t>
        </is>
      </c>
    </row>
    <row r="38" ht="15" customFormat="1" customHeight="1" s="2">
      <c r="A38" s="12" t="inlineStr">
        <is>
          <t>F1.8.2</t>
        </is>
      </c>
      <c r="B38" s="10" t="n">
        <v>3</v>
      </c>
      <c r="C38" s="33" t="inlineStr">
        <is>
          <t>Split by shop; one parent GK- reference (F6)</t>
        </is>
      </c>
      <c r="D38" s="12" t="inlineStr">
        <is>
          <t>Customer</t>
        </is>
      </c>
      <c r="E38" s="12" t="inlineStr">
        <is>
          <t>GS-033</t>
        </is>
      </c>
      <c r="F38" s="10" t="n"/>
      <c r="G38" s="10" t="inlineStr">
        <is>
          <t>COMPLETED</t>
        </is>
      </c>
      <c r="H38" s="12" t="inlineStr">
        <is>
          <t>Baseline; #55</t>
        </is>
      </c>
      <c r="I38" s="12" t="inlineStr">
        <is>
          <t>Parent reference off by default</t>
        </is>
      </c>
    </row>
    <row r="39" ht="15" customFormat="1" customHeight="1" s="2">
      <c r="A39" s="12" t="inlineStr">
        <is>
          <t>F1.8.3</t>
        </is>
      </c>
      <c r="B39" s="10" t="n">
        <v>3</v>
      </c>
      <c r="C39" s="33" t="inlineStr">
        <is>
          <t>Confirm wallet / COD payment inside the order transaction</t>
        </is>
      </c>
      <c r="D39" s="12" t="inlineStr">
        <is>
          <t>Customer</t>
        </is>
      </c>
      <c r="E39" s="12" t="inlineStr">
        <is>
          <t>GS-032</t>
        </is>
      </c>
      <c r="F39" s="10" t="n"/>
      <c r="G39" s="10" t="inlineStr">
        <is>
          <t>COMPLETED</t>
        </is>
      </c>
      <c r="H39" s="12" t="inlineStr">
        <is>
          <t>Baseline; #10</t>
        </is>
      </c>
      <c r="I39" s="12" t="inlineStr">
        <is>
          <t>-</t>
        </is>
      </c>
    </row>
    <row r="40" ht="15" customFormat="1" customHeight="1" s="2">
      <c r="A40" s="12" t="inlineStr">
        <is>
          <t>F1.8.4</t>
        </is>
      </c>
      <c r="B40" s="10" t="n">
        <v>3</v>
      </c>
      <c r="C40" s="33" t="inlineStr">
        <is>
          <t>Gateway payment confirmation and payment state machine</t>
        </is>
      </c>
      <c r="D40" s="12" t="inlineStr">
        <is>
          <t>Customer</t>
        </is>
      </c>
      <c r="E40" s="12" t="inlineStr">
        <is>
          <t>SM-005, GS-073</t>
        </is>
      </c>
      <c r="F40" s="10" t="n"/>
      <c r="G40" s="10" t="inlineStr">
        <is>
          <t>COMPLETED</t>
        </is>
      </c>
      <c r="H40" s="12" t="inlineStr">
        <is>
          <t>#190, #192, #194</t>
        </is>
      </c>
      <c r="I40" s="12" t="inlineStr">
        <is>
          <t>DONE-SANDBOX (18 Oct batch): Payment state machine CREATED&gt;PENDING&gt;AUTHORIZED&gt;CAPTURED&gt;(PARTIALLY_)REFUNDED + FAILED/EXPIRED; signed webhooks, idempotent by event id, reconciled with the gateway's order status; 5-minute reconciliation job; order idempotency key; order CONFIRMED only on CAPTURED.</t>
        </is>
      </c>
      <c r="J40" s="39" t="inlineStr">
        <is>
          <t>DONE-SANDBOX</t>
        </is>
      </c>
      <c r="K40" t="inlineStr">
        <is>
          <t>#190, #192, #194</t>
        </is>
      </c>
      <c r="L40" s="23" t="inlineStr">
        <is>
          <t>Payment state machine CREATED&gt;PENDING&gt;AUTHORIZED&gt;CAPTURED&gt;(PARTIALLY_)REFUNDED + FAILED/EXPIRED; signed webhooks, idempotent by event id, reconciled with the gateway's order status; 5-minute reconciliation job; order idempotency key; order CONFIRMED only on CAPTURED.</t>
        </is>
      </c>
    </row>
    <row r="41" ht="15" customFormat="1" customHeight="1" s="2">
      <c r="A41" s="12" t="inlineStr">
        <is>
          <t>F1.8.5</t>
        </is>
      </c>
      <c r="B41" s="10" t="n">
        <v>3</v>
      </c>
      <c r="C41" s="33" t="inlineStr">
        <is>
          <t>Create the shop order and notify the shop</t>
        </is>
      </c>
      <c r="D41" s="12" t="inlineStr">
        <is>
          <t>Customer</t>
        </is>
      </c>
      <c r="E41" s="12" t="inlineStr">
        <is>
          <t>GS-032, GS-055</t>
        </is>
      </c>
      <c r="F41" s="10" t="n"/>
      <c r="G41" s="10" t="inlineStr">
        <is>
          <t>COMPLETED</t>
        </is>
      </c>
      <c r="H41" s="12" t="inlineStr">
        <is>
          <t>#10; #23</t>
        </is>
      </c>
      <c r="I41" s="12" t="inlineStr">
        <is>
          <t>-</t>
        </is>
      </c>
    </row>
    <row r="42" ht="15" customFormat="1" customHeight="1" s="2">
      <c r="A42" s="30" t="inlineStr">
        <is>
          <t>F1.9</t>
        </is>
      </c>
      <c r="B42" s="31" t="n">
        <v>2</v>
      </c>
      <c r="C42" s="32" t="inlineStr">
        <is>
          <t>F1.9  Track and receive</t>
        </is>
      </c>
      <c r="D42" s="30" t="n"/>
      <c r="E42" s="30" t="n"/>
      <c r="F42" s="31">
        <f>COUNTIFS($B$43:$B$48,3,$G$43:$G$48,"COMPLETED")&amp;" / "&amp;COUNTIF($B$43:$B$48,3)</f>
        <v/>
      </c>
      <c r="G42" s="31">
        <f>IF(COUNTIFS($B$43:$B$48,3,$G$43:$G$48,"COMPLETED")=COUNTIF($B$43:$B$48,3),"COMPLETED",IF(COUNTIFS($B$43:$B$48,3,$G$43:$G$48,"BLOCKED")&gt;0,"BLOCKED",IF(COUNTIFS($B$43:$B$48,3,$G$43:$G$48,"YET TO START")=COUNTIF($B$43:$B$48,3),"YET TO START","IN PROGRESS")))</f>
        <v/>
      </c>
      <c r="H42" s="30" t="n"/>
      <c r="I42" s="30" t="n"/>
      <c r="J42" s="27">
        <f>(COUNTIFS($B$43:$B$48,3,$J$43:$J$48,"DONE")+COUNTIFS($B$43:$B$48,3,$J$43:$J$48,"DONE-SANDBOX"))&amp;" / "&amp;COUNTIFS($B$43:$B$48,3,$J$43:$J$48,"&lt;&gt;")&amp;" batch steps done"</f>
        <v/>
      </c>
    </row>
    <row r="43" ht="15" customFormat="1" customHeight="1" s="2">
      <c r="A43" s="12" t="inlineStr">
        <is>
          <t>F1.9.1</t>
        </is>
      </c>
      <c r="B43" s="10" t="n">
        <v>3</v>
      </c>
      <c r="C43" s="33" t="inlineStr">
        <is>
          <t>Order status and live tracking on My Orders</t>
        </is>
      </c>
      <c r="D43" s="12" t="inlineStr">
        <is>
          <t>Customer</t>
        </is>
      </c>
      <c r="E43" s="12" t="inlineStr">
        <is>
          <t>NAV-004, GS-042</t>
        </is>
      </c>
      <c r="F43" s="10" t="n"/>
      <c r="G43" s="10" t="inlineStr">
        <is>
          <t>COMPLETED</t>
        </is>
      </c>
      <c r="H43" s="12" t="inlineStr">
        <is>
          <t>#29</t>
        </is>
      </c>
      <c r="I43" s="12" t="inlineStr">
        <is>
          <t>-</t>
        </is>
      </c>
    </row>
    <row r="44" ht="15" customFormat="1" customHeight="1" s="2">
      <c r="A44" s="12" t="inlineStr">
        <is>
          <t>F1.9.2</t>
        </is>
      </c>
      <c r="B44" s="10" t="n">
        <v>3</v>
      </c>
      <c r="C44" s="33" t="inlineStr">
        <is>
          <t>Real-time events and 5-second tracking</t>
        </is>
      </c>
      <c r="D44" s="12" t="inlineStr">
        <is>
          <t>Customer</t>
        </is>
      </c>
      <c r="E44" s="12" t="inlineStr">
        <is>
          <t>NEW-028, NEW-029</t>
        </is>
      </c>
      <c r="F44" s="10" t="n"/>
      <c r="G44" s="10" t="inlineStr">
        <is>
          <t>COMPLETED</t>
        </is>
      </c>
      <c r="H44" s="12" t="inlineStr">
        <is>
          <t>#89; #120</t>
        </is>
      </c>
      <c r="I44" s="12" t="inlineStr">
        <is>
          <t>Live on gokesari.com since #120 (9 Oct)</t>
        </is>
      </c>
    </row>
    <row r="45" ht="15" customFormat="1" customHeight="1" s="2">
      <c r="A45" s="12" t="inlineStr">
        <is>
          <t>F1.9.3</t>
        </is>
      </c>
      <c r="B45" s="10" t="n">
        <v>3</v>
      </c>
      <c r="C45" s="33" t="inlineStr">
        <is>
          <t>Delivery code (OTP) given to the rider at handover</t>
        </is>
      </c>
      <c r="D45" s="12" t="inlineStr">
        <is>
          <t>Customer</t>
        </is>
      </c>
      <c r="E45" s="12" t="inlineStr">
        <is>
          <t>GS-043</t>
        </is>
      </c>
      <c r="F45" s="10" t="n"/>
      <c r="G45" s="10" t="inlineStr">
        <is>
          <t>COMPLETED</t>
        </is>
      </c>
      <c r="H45" s="12" t="inlineStr">
        <is>
          <t>#10</t>
        </is>
      </c>
      <c r="I45" s="12" t="inlineStr">
        <is>
          <t>-</t>
        </is>
      </c>
    </row>
    <row r="46" ht="15" customFormat="1" customHeight="1" s="2">
      <c r="A46" s="12" t="inlineStr">
        <is>
          <t>F1.9.4</t>
        </is>
      </c>
      <c r="B46" s="10" t="n">
        <v>3</v>
      </c>
      <c r="C46" s="33" t="inlineStr">
        <is>
          <t>Delivery code hashed, emailed to the customer, resendable</t>
        </is>
      </c>
      <c r="D46" s="12" t="inlineStr">
        <is>
          <t>Customer</t>
        </is>
      </c>
      <c r="E46" s="12" t="inlineStr">
        <is>
          <t>NEW-035</t>
        </is>
      </c>
      <c r="F46" s="10" t="n"/>
      <c r="G46" s="10" t="inlineStr">
        <is>
          <t>COMPLETED</t>
        </is>
      </c>
      <c r="H46" s="12" t="inlineStr">
        <is>
          <t>#91; #120</t>
        </is>
      </c>
      <c r="I46" s="12" t="inlineStr">
        <is>
          <t>Live on gokesari.com since #120 (9 Oct)</t>
        </is>
      </c>
    </row>
    <row r="47" ht="27" customFormat="1" customHeight="1" s="2">
      <c r="A47" s="12" t="inlineStr">
        <is>
          <t>F1.9.5</t>
        </is>
      </c>
      <c r="B47" s="10" t="n">
        <v>3</v>
      </c>
      <c r="C47" s="33" t="inlineStr">
        <is>
          <t>Cancel from My Orders</t>
        </is>
      </c>
      <c r="D47" s="12" t="inlineStr">
        <is>
          <t>Customer</t>
        </is>
      </c>
      <c r="E47" s="12" t="inlineStr">
        <is>
          <t>GAP-007, NEW-020, NAV-004</t>
        </is>
      </c>
      <c r="F47" s="10" t="n"/>
      <c r="G47" s="10" t="inlineStr">
        <is>
          <t>COMPLETED</t>
        </is>
      </c>
      <c r="H47" s="12" t="inlineStr">
        <is>
          <t>#122; #123 (prod)</t>
        </is>
      </c>
      <c r="I47" s="12" t="inlineStr">
        <is>
          <t>Cancel order on My Orders before packing, with confirmation; follows rule cancellation</t>
        </is>
      </c>
    </row>
    <row r="48" ht="39" customFormat="1" customHeight="1" s="2">
      <c r="A48" s="12" t="inlineStr">
        <is>
          <t>F1.9.6</t>
        </is>
      </c>
      <c r="B48" s="10" t="n">
        <v>3</v>
      </c>
      <c r="C48" s="33" t="inlineStr">
        <is>
          <t>Collect from the shop with a pickup code; see the delivery option, person and time on My Orders</t>
        </is>
      </c>
      <c r="D48" s="12" t="inlineStr">
        <is>
          <t>Customer</t>
        </is>
      </c>
      <c r="E48" s="12" t="inlineStr">
        <is>
          <t>NEW-039, GS-041</t>
        </is>
      </c>
      <c r="F48" s="10" t="n"/>
      <c r="G48" s="10" t="inlineStr">
        <is>
          <t>COMPLETED</t>
        </is>
      </c>
      <c r="H48" s="12" t="inlineStr">
        <is>
          <t>#102; #103; #120</t>
        </is>
      </c>
      <c r="I48" s="12" t="inlineStr">
        <is>
          <t>On gokesari.com since #120 (9 Oct), switched off by default - switch on in Admin &gt; Business rules</t>
        </is>
      </c>
    </row>
    <row r="49" ht="18" customFormat="1" customHeight="1" s="2">
      <c r="A49" s="28" t="inlineStr">
        <is>
          <t>F2</t>
        </is>
      </c>
      <c r="B49" s="29" t="n">
        <v>1</v>
      </c>
      <c r="C49" s="28" t="inlineStr">
        <is>
          <t>F2  Shop order fulfilment</t>
        </is>
      </c>
      <c r="D49" s="28" t="inlineStr">
        <is>
          <t>Shop owner</t>
        </is>
      </c>
      <c r="E49" s="28" t="n"/>
      <c r="F49" s="29">
        <f>COUNTIFS($B$50:$B$60,3,$G$50:$G$60,"COMPLETED")&amp;" / "&amp;COUNTIF($B$50:$B$60,3)</f>
        <v/>
      </c>
      <c r="G49" s="29">
        <f>IF(COUNTIFS($B$50:$B$60,3,$G$50:$G$60,"COMPLETED")=COUNTIF($B$50:$B$60,3),"COMPLETED",IF(COUNTIFS($B$50:$B$60,3,$G$50:$G$60,"BLOCKED")&gt;0,"BLOCKED",IF(COUNTIFS($B$50:$B$60,3,$G$50:$G$60,"YET TO START")=COUNTIF($B$50:$B$60,3),"YET TO START","IN PROGRESS")))</f>
        <v/>
      </c>
      <c r="H49" s="28" t="n"/>
      <c r="I49" s="28" t="n"/>
      <c r="J49" s="27">
        <f>(COUNTIFS($B$50:$B$60,3,$J$50:$J$60,"DONE")+COUNTIFS($B$50:$B$60,3,$J$50:$J$60,"DONE-SANDBOX"))&amp;" / "&amp;COUNTIFS($B$50:$B$60,3,$J$50:$J$60,"&lt;&gt;")&amp;" batch steps done"</f>
        <v/>
      </c>
    </row>
    <row r="50" ht="15" customFormat="1" customHeight="1" s="2">
      <c r="A50" s="30" t="inlineStr">
        <is>
          <t>F2.1</t>
        </is>
      </c>
      <c r="B50" s="31" t="n">
        <v>2</v>
      </c>
      <c r="C50" s="32" t="inlineStr">
        <is>
          <t>F2.1  Receive and decide</t>
        </is>
      </c>
      <c r="D50" s="30" t="n"/>
      <c r="E50" s="30" t="n"/>
      <c r="F50" s="31">
        <f>COUNTIFS($B$51:$B$54,3,$G$51:$G$54,"COMPLETED")&amp;" / "&amp;COUNTIF($B$51:$B$54,3)</f>
        <v/>
      </c>
      <c r="G50" s="31">
        <f>IF(COUNTIFS($B$51:$B$54,3,$G$51:$G$54,"COMPLETED")=COUNTIF($B$51:$B$54,3),"COMPLETED",IF(COUNTIFS($B$51:$B$54,3,$G$51:$G$54,"BLOCKED")&gt;0,"BLOCKED",IF(COUNTIFS($B$51:$B$54,3,$G$51:$G$54,"YET TO START")=COUNTIF($B$51:$B$54,3),"YET TO START","IN PROGRESS")))</f>
        <v/>
      </c>
      <c r="H50" s="30" t="n"/>
      <c r="I50" s="30" t="n"/>
      <c r="J50" s="27">
        <f>(COUNTIFS($B$51:$B$54,3,$J$51:$J$54,"DONE")+COUNTIFS($B$51:$B$54,3,$J$51:$J$54,"DONE-SANDBOX"))&amp;" / "&amp;COUNTIFS($B$51:$B$54,3,$J$51:$J$54,"&lt;&gt;")&amp;" batch steps done"</f>
        <v/>
      </c>
    </row>
    <row r="51" ht="15" customFormat="1" customHeight="1" s="2">
      <c r="A51" s="12" t="inlineStr">
        <is>
          <t>F2.1.1</t>
        </is>
      </c>
      <c r="B51" s="10" t="n">
        <v>3</v>
      </c>
      <c r="C51" s="33" t="inlineStr">
        <is>
          <t>Receive the order (in-app + email)</t>
        </is>
      </c>
      <c r="D51" s="12" t="inlineStr">
        <is>
          <t>Shop owner</t>
        </is>
      </c>
      <c r="E51" s="12" t="inlineStr">
        <is>
          <t>GS-055, NAV-008</t>
        </is>
      </c>
      <c r="F51" s="10" t="n"/>
      <c r="G51" s="10" t="inlineStr">
        <is>
          <t>COMPLETED</t>
        </is>
      </c>
      <c r="H51" s="12" t="inlineStr">
        <is>
          <t>#10; #23</t>
        </is>
      </c>
      <c r="I51" s="12" t="inlineStr">
        <is>
          <t>SMS / WhatsApp waits on D2</t>
        </is>
      </c>
    </row>
    <row r="52" ht="15" customFormat="1" customHeight="1" s="2">
      <c r="A52" s="12" t="inlineStr">
        <is>
          <t>F2.1.2</t>
        </is>
      </c>
      <c r="B52" s="10" t="n">
        <v>3</v>
      </c>
      <c r="C52" s="33" t="inlineStr">
        <is>
          <t>Accept or reject (reject = full refund + restock)</t>
        </is>
      </c>
      <c r="D52" s="12" t="inlineStr">
        <is>
          <t>Shop owner</t>
        </is>
      </c>
      <c r="E52" s="12" t="inlineStr">
        <is>
          <t>GS-034</t>
        </is>
      </c>
      <c r="F52" s="10" t="n"/>
      <c r="G52" s="10" t="inlineStr">
        <is>
          <t>COMPLETED</t>
        </is>
      </c>
      <c r="H52" s="12" t="inlineStr">
        <is>
          <t>#10</t>
        </is>
      </c>
      <c r="I52" s="12" t="inlineStr">
        <is>
          <t>-</t>
        </is>
      </c>
    </row>
    <row r="53" ht="15" customFormat="1" customHeight="1" s="2">
      <c r="A53" s="12" t="inlineStr">
        <is>
          <t>F2.1.3</t>
        </is>
      </c>
      <c r="B53" s="10" t="n">
        <v>3</v>
      </c>
      <c r="C53" s="33" t="inlineStr">
        <is>
          <t>Acceptance timeout: reminder, then auto-cancel with full refund</t>
        </is>
      </c>
      <c r="D53" s="12" t="inlineStr">
        <is>
          <t>Shop owner</t>
        </is>
      </c>
      <c r="E53" s="12" t="inlineStr">
        <is>
          <t>NEW-007</t>
        </is>
      </c>
      <c r="F53" s="10" t="n"/>
      <c r="G53" s="10" t="inlineStr">
        <is>
          <t>COMPLETED</t>
        </is>
      </c>
      <c r="H53" s="12" t="inlineStr">
        <is>
          <t>#58</t>
        </is>
      </c>
      <c r="I53" s="12" t="inlineStr">
        <is>
          <t>Off by default</t>
        </is>
      </c>
    </row>
    <row r="54" ht="39" customFormat="1" customHeight="1" s="2">
      <c r="A54" s="12" t="inlineStr">
        <is>
          <t>F2.1.4</t>
        </is>
      </c>
      <c r="B54" s="10" t="n">
        <v>3</v>
      </c>
      <c r="C54" s="33" t="inlineStr">
        <is>
          <t>Wallet minimum balance checked before accepting</t>
        </is>
      </c>
      <c r="D54" s="12" t="inlineStr">
        <is>
          <t>Shop owner</t>
        </is>
      </c>
      <c r="E54" s="12" t="inlineStr">
        <is>
          <t>NEW-033</t>
        </is>
      </c>
      <c r="F54" s="10" t="n"/>
      <c r="G54" s="10" t="inlineStr">
        <is>
          <t>COMPLETED</t>
        </is>
      </c>
      <c r="H54" s="12" t="inlineStr">
        <is>
          <t>#91; #98; #120</t>
        </is>
      </c>
      <c r="I54" s="12" t="inlineStr">
        <is>
          <t>On gokesari.com since #120 (9 Oct), switched off by default - switch on in Admin &gt; Business rules</t>
        </is>
      </c>
    </row>
    <row r="55" ht="15" customFormat="1" customHeight="1" s="2">
      <c r="A55" s="30" t="inlineStr">
        <is>
          <t>F2.2</t>
        </is>
      </c>
      <c r="B55" s="31" t="n">
        <v>2</v>
      </c>
      <c r="C55" s="32" t="inlineStr">
        <is>
          <t>F2.2  Prepare</t>
        </is>
      </c>
      <c r="D55" s="30" t="n"/>
      <c r="E55" s="30" t="n"/>
      <c r="F55" s="31">
        <f>COUNTIFS($B$56:$B$60,3,$G$56:$G$60,"COMPLETED")&amp;" / "&amp;COUNTIF($B$56:$B$60,3)</f>
        <v/>
      </c>
      <c r="G55" s="31">
        <f>IF(COUNTIFS($B$56:$B$60,3,$G$56:$G$60,"COMPLETED")=COUNTIF($B$56:$B$60,3),"COMPLETED",IF(COUNTIFS($B$56:$B$60,3,$G$56:$G$60,"BLOCKED")&gt;0,"BLOCKED",IF(COUNTIFS($B$56:$B$60,3,$G$56:$G$60,"YET TO START")=COUNTIF($B$56:$B$60,3),"YET TO START","IN PROGRESS")))</f>
        <v/>
      </c>
      <c r="H55" s="30" t="n"/>
      <c r="I55" s="30" t="n"/>
      <c r="J55" s="27">
        <f>(COUNTIFS($B$56:$B$60,3,$J$56:$J$60,"DONE")+COUNTIFS($B$56:$B$60,3,$J$56:$J$60,"DONE-SANDBOX"))&amp;" / "&amp;COUNTIFS($B$56:$B$60,3,$J$56:$J$60,"&lt;&gt;")&amp;" batch steps done"</f>
        <v/>
      </c>
    </row>
    <row r="56" ht="15" customFormat="1" customHeight="1" s="2">
      <c r="A56" s="12" t="inlineStr">
        <is>
          <t>F2.2.1</t>
        </is>
      </c>
      <c r="B56" s="10" t="n">
        <v>3</v>
      </c>
      <c r="C56" s="33" t="inlineStr">
        <is>
          <t>Substitution with customer approval</t>
        </is>
      </c>
      <c r="D56" s="12" t="inlineStr">
        <is>
          <t>Shop owner</t>
        </is>
      </c>
      <c r="E56" s="12" t="inlineStr">
        <is>
          <t>GS-035</t>
        </is>
      </c>
      <c r="F56" s="10" t="n"/>
      <c r="G56" s="10" t="inlineStr">
        <is>
          <t>COMPLETED</t>
        </is>
      </c>
      <c r="H56" s="12" t="inlineStr">
        <is>
          <t>#10</t>
        </is>
      </c>
      <c r="I56" s="12" t="inlineStr">
        <is>
          <t>-</t>
        </is>
      </c>
    </row>
    <row r="57" ht="15" customFormat="1" customHeight="1" s="2">
      <c r="A57" s="12" t="inlineStr">
        <is>
          <t>F2.2.2</t>
        </is>
      </c>
      <c r="B57" s="10" t="n">
        <v>3</v>
      </c>
      <c r="C57" s="33" t="inlineStr">
        <is>
          <t>Pick and pack per line</t>
        </is>
      </c>
      <c r="D57" s="12" t="inlineStr">
        <is>
          <t>Shop owner</t>
        </is>
      </c>
      <c r="E57" s="12" t="inlineStr">
        <is>
          <t>GS-036</t>
        </is>
      </c>
      <c r="F57" s="10" t="n"/>
      <c r="G57" s="10" t="inlineStr">
        <is>
          <t>COMPLETED</t>
        </is>
      </c>
      <c r="H57" s="12" t="inlineStr">
        <is>
          <t>#10</t>
        </is>
      </c>
      <c r="I57" s="12" t="inlineStr">
        <is>
          <t>-</t>
        </is>
      </c>
    </row>
    <row r="58" ht="15" customFormat="1" customHeight="1" s="2">
      <c r="A58" s="12" t="inlineStr">
        <is>
          <t>F2.2.3</t>
        </is>
      </c>
      <c r="B58" s="10" t="n">
        <v>3</v>
      </c>
      <c r="C58" s="33" t="inlineStr">
        <is>
          <t>Mark READY - starts the rider search</t>
        </is>
      </c>
      <c r="D58" s="12" t="inlineStr">
        <is>
          <t>Shop owner</t>
        </is>
      </c>
      <c r="E58" s="12" t="inlineStr">
        <is>
          <t>GA-006</t>
        </is>
      </c>
      <c r="F58" s="10" t="n"/>
      <c r="G58" s="10" t="inlineStr">
        <is>
          <t>COMPLETED</t>
        </is>
      </c>
      <c r="H58" s="12" t="inlineStr">
        <is>
          <t>#10</t>
        </is>
      </c>
      <c r="I58" s="12" t="inlineStr">
        <is>
          <t>-</t>
        </is>
      </c>
    </row>
    <row r="59" ht="39" customFormat="1" customHeight="1" s="2">
      <c r="A59" s="12" t="inlineStr">
        <is>
          <t>F2.2.4</t>
        </is>
      </c>
      <c r="B59" s="10" t="n">
        <v>3</v>
      </c>
      <c r="C59" s="33" t="inlineStr">
        <is>
          <t>Choose pickup / own delivery / GoKesari partner with a date and 1-hour slot; change it with a customer notice</t>
        </is>
      </c>
      <c r="D59" s="12" t="inlineStr">
        <is>
          <t>Shop owner</t>
        </is>
      </c>
      <c r="E59" s="12" t="inlineStr">
        <is>
          <t>NEW-039, GS-027</t>
        </is>
      </c>
      <c r="F59" s="10" t="n"/>
      <c r="G59" s="10" t="inlineStr">
        <is>
          <t>COMPLETED</t>
        </is>
      </c>
      <c r="H59" s="12" t="inlineStr">
        <is>
          <t>#102; #103; #120</t>
        </is>
      </c>
      <c r="I59" s="12" t="inlineStr">
        <is>
          <t>On gokesari.com since #120 (9 Oct), switched off by default - switch on in Admin &gt; Business rules</t>
        </is>
      </c>
    </row>
    <row r="60" ht="39" customFormat="1" customHeight="1" s="2">
      <c r="A60" s="12" t="inlineStr">
        <is>
          <t>F2.2.5</t>
        </is>
      </c>
      <c r="B60" s="10" t="n">
        <v>3</v>
      </c>
      <c r="C60" s="33" t="inlineStr">
        <is>
          <t>Shop's own delivery staff: private delivery link, start delivery, customer's code to complete</t>
        </is>
      </c>
      <c r="D60" s="12" t="inlineStr">
        <is>
          <t>Shop owner</t>
        </is>
      </c>
      <c r="E60" s="12" t="inlineStr">
        <is>
          <t>NEW-039, NEW-035</t>
        </is>
      </c>
      <c r="F60" s="10" t="n"/>
      <c r="G60" s="10" t="inlineStr">
        <is>
          <t>COMPLETED</t>
        </is>
      </c>
      <c r="H60" s="12" t="inlineStr">
        <is>
          <t>#102; #120</t>
        </is>
      </c>
      <c r="I60" s="12" t="inlineStr">
        <is>
          <t>On gokesari.com since #120 (9 Oct), switched off by default - switch on in Admin &gt; Business rules</t>
        </is>
      </c>
    </row>
    <row r="61" ht="18" customFormat="1" customHeight="1" s="2">
      <c r="A61" s="28" t="inlineStr">
        <is>
          <t>F3</t>
        </is>
      </c>
      <c r="B61" s="29" t="n">
        <v>1</v>
      </c>
      <c r="C61" s="28" t="inlineStr">
        <is>
          <t>F3  Rider (gig) assignment</t>
        </is>
      </c>
      <c r="D61" s="28" t="inlineStr">
        <is>
          <t>System</t>
        </is>
      </c>
      <c r="E61" s="28" t="n"/>
      <c r="F61" s="29">
        <f>COUNTIFS($B$62:$B$71,3,$G$62:$G$71,"COMPLETED")&amp;" / "&amp;COUNTIF($B$62:$B$71,3)</f>
        <v/>
      </c>
      <c r="G61" s="29">
        <f>IF(COUNTIFS($B$62:$B$71,3,$G$62:$G$71,"COMPLETED")=COUNTIF($B$62:$B$71,3),"COMPLETED",IF(COUNTIFS($B$62:$B$71,3,$G$62:$G$71,"BLOCKED")&gt;0,"BLOCKED",IF(COUNTIFS($B$62:$B$71,3,$G$62:$G$71,"YET TO START")=COUNTIF($B$62:$B$71,3),"YET TO START","IN PROGRESS")))</f>
        <v/>
      </c>
      <c r="H61" s="28" t="n"/>
      <c r="I61" s="28" t="n"/>
      <c r="J61" s="27">
        <f>(COUNTIFS($B$62:$B$71,3,$J$62:$J$71,"DONE")+COUNTIFS($B$62:$B$71,3,$J$62:$J$71,"DONE-SANDBOX"))&amp;" / "&amp;COUNTIFS($B$62:$B$71,3,$J$62:$J$71,"&lt;&gt;")&amp;" batch steps done"</f>
        <v/>
      </c>
    </row>
    <row r="62" ht="15" customFormat="1" customHeight="1" s="2">
      <c r="A62" s="30" t="inlineStr">
        <is>
          <t>F3.1</t>
        </is>
      </c>
      <c r="B62" s="31" t="n">
        <v>2</v>
      </c>
      <c r="C62" s="32" t="inlineStr">
        <is>
          <t>F3.1  Eligibility</t>
        </is>
      </c>
      <c r="D62" s="30" t="n"/>
      <c r="E62" s="30" t="n"/>
      <c r="F62" s="31">
        <f>COUNTIFS($B$63:$B$64,3,$G$63:$G$64,"COMPLETED")&amp;" / "&amp;COUNTIF($B$63:$B$64,3)</f>
        <v/>
      </c>
      <c r="G62" s="31">
        <f>IF(COUNTIFS($B$63:$B$64,3,$G$63:$G$64,"COMPLETED")=COUNTIF($B$63:$B$64,3),"COMPLETED",IF(COUNTIFS($B$63:$B$64,3,$G$63:$G$64,"BLOCKED")&gt;0,"BLOCKED",IF(COUNTIFS($B$63:$B$64,3,$G$63:$G$64,"YET TO START")=COUNTIF($B$63:$B$64,3),"YET TO START","IN PROGRESS")))</f>
        <v/>
      </c>
      <c r="H62" s="30" t="n"/>
      <c r="I62" s="30" t="n"/>
      <c r="J62" s="27">
        <f>(COUNTIFS($B$63:$B$64,3,$J$63:$J$64,"DONE")+COUNTIFS($B$63:$B$64,3,$J$63:$J$64,"DONE-SANDBOX"))&amp;" / "&amp;COUNTIFS($B$63:$B$64,3,$J$63:$J$64,"&lt;&gt;")&amp;" batch steps done"</f>
        <v/>
      </c>
    </row>
    <row r="63" ht="15" customFormat="1" customHeight="1" s="2">
      <c r="A63" s="12" t="inlineStr">
        <is>
          <t>F3.1.1</t>
        </is>
      </c>
      <c r="B63" s="10" t="n">
        <v>3</v>
      </c>
      <c r="C63" s="33" t="inlineStr">
        <is>
          <t>Society authorisation (whitelist, exclusive or priority)</t>
        </is>
      </c>
      <c r="D63" s="12" t="inlineStr">
        <is>
          <t>System</t>
        </is>
      </c>
      <c r="E63" s="12" t="inlineStr">
        <is>
          <t>GA-001, GS-045</t>
        </is>
      </c>
      <c r="F63" s="10" t="n"/>
      <c r="G63" s="10" t="inlineStr">
        <is>
          <t>COMPLETED</t>
        </is>
      </c>
      <c r="H63" s="12" t="inlineStr">
        <is>
          <t>#11</t>
        </is>
      </c>
      <c r="I63" s="12" t="inlineStr">
        <is>
          <t>-</t>
        </is>
      </c>
    </row>
    <row r="64" ht="15" customFormat="1" customHeight="1" s="2">
      <c r="A64" s="12" t="inlineStr">
        <is>
          <t>F3.1.2</t>
        </is>
      </c>
      <c r="B64" s="10" t="n">
        <v>3</v>
      </c>
      <c r="C64" s="33" t="inlineStr">
        <is>
          <t>Availability and online status</t>
        </is>
      </c>
      <c r="D64" s="12" t="inlineStr">
        <is>
          <t>System</t>
        </is>
      </c>
      <c r="E64" s="12" t="inlineStr">
        <is>
          <t>GA-004, GS-038</t>
        </is>
      </c>
      <c r="F64" s="10" t="n"/>
      <c r="G64" s="10" t="inlineStr">
        <is>
          <t>COMPLETED</t>
        </is>
      </c>
      <c r="H64" s="12" t="inlineStr">
        <is>
          <t>Baseline; #21</t>
        </is>
      </c>
      <c r="I64" s="12" t="inlineStr">
        <is>
          <t>-</t>
        </is>
      </c>
    </row>
    <row r="65" ht="15" customFormat="1" customHeight="1" s="2">
      <c r="A65" s="30" t="inlineStr">
        <is>
          <t>F3.2</t>
        </is>
      </c>
      <c r="B65" s="31" t="n">
        <v>2</v>
      </c>
      <c r="C65" s="32" t="inlineStr">
        <is>
          <t>F3.2  Ranking</t>
        </is>
      </c>
      <c r="D65" s="30" t="n"/>
      <c r="E65" s="30" t="n"/>
      <c r="F65" s="31">
        <f>COUNTIFS($B$66:$B$68,3,$G$66:$G$68,"COMPLETED")&amp;" / "&amp;COUNTIF($B$66:$B$68,3)</f>
        <v/>
      </c>
      <c r="G65" s="31">
        <f>IF(COUNTIFS($B$66:$B$68,3,$G$66:$G$68,"COMPLETED")=COUNTIF($B$66:$B$68,3),"COMPLETED",IF(COUNTIFS($B$66:$B$68,3,$G$66:$G$68,"BLOCKED")&gt;0,"BLOCKED",IF(COUNTIFS($B$66:$B$68,3,$G$66:$G$68,"YET TO START")=COUNTIF($B$66:$B$68,3),"YET TO START","IN PROGRESS")))</f>
        <v/>
      </c>
      <c r="H65" s="30" t="n"/>
      <c r="I65" s="30" t="n"/>
      <c r="J65" s="27">
        <f>(COUNTIFS($B$66:$B$68,3,$J$66:$J$68,"DONE")+COUNTIFS($B$66:$B$68,3,$J$66:$J$68,"DONE-SANDBOX"))&amp;" / "&amp;COUNTIFS($B$66:$B$68,3,$J$66:$J$68,"&lt;&gt;")&amp;" batch steps done"</f>
        <v/>
      </c>
    </row>
    <row r="66" ht="15" customFormat="1" customHeight="1" s="2">
      <c r="A66" s="12" t="inlineStr">
        <is>
          <t>F3.2.1</t>
        </is>
      </c>
      <c r="B66" s="10" t="n">
        <v>3</v>
      </c>
      <c r="C66" s="33" t="inlineStr">
        <is>
          <t>Preferred partner ranked higher</t>
        </is>
      </c>
      <c r="D66" s="12" t="inlineStr">
        <is>
          <t>System</t>
        </is>
      </c>
      <c r="E66" s="12" t="inlineStr">
        <is>
          <t>GA-002, GS-040</t>
        </is>
      </c>
      <c r="F66" s="10" t="n"/>
      <c r="G66" s="10" t="inlineStr">
        <is>
          <t>COMPLETED</t>
        </is>
      </c>
      <c r="H66" s="12" t="inlineStr">
        <is>
          <t>#11</t>
        </is>
      </c>
      <c r="I66" s="12" t="inlineStr">
        <is>
          <t>-</t>
        </is>
      </c>
    </row>
    <row r="67" ht="15" customFormat="1" customHeight="1" s="2">
      <c r="A67" s="12" t="inlineStr">
        <is>
          <t>F3.2.2</t>
        </is>
      </c>
      <c r="B67" s="10" t="n">
        <v>3</v>
      </c>
      <c r="C67" s="33" t="inlineStr">
        <is>
          <t>Distance, reliability and fairness</t>
        </is>
      </c>
      <c r="D67" s="12" t="inlineStr">
        <is>
          <t>System</t>
        </is>
      </c>
      <c r="E67" s="12" t="inlineStr">
        <is>
          <t>GA-003, GA-007, GA-008</t>
        </is>
      </c>
      <c r="F67" s="10" t="n"/>
      <c r="G67" s="10" t="inlineStr">
        <is>
          <t>COMPLETED</t>
        </is>
      </c>
      <c r="H67" s="12" t="inlineStr">
        <is>
          <t>Baseline; #11</t>
        </is>
      </c>
      <c r="I67" s="12" t="inlineStr">
        <is>
          <t>-</t>
        </is>
      </c>
    </row>
    <row r="68" ht="15" customFormat="1" customHeight="1" s="2">
      <c r="A68" s="12" t="inlineStr">
        <is>
          <t>F3.2.3</t>
        </is>
      </c>
      <c r="B68" s="10" t="n">
        <v>3</v>
      </c>
      <c r="C68" s="33" t="inlineStr">
        <is>
          <t>Road ETA (F4), busy riders as fallback (F3), batching</t>
        </is>
      </c>
      <c r="D68" s="12" t="inlineStr">
        <is>
          <t>System</t>
        </is>
      </c>
      <c r="E68" s="12" t="inlineStr">
        <is>
          <t>GS-072, GA-005</t>
        </is>
      </c>
      <c r="F68" s="10" t="n"/>
      <c r="G68" s="10" t="inlineStr">
        <is>
          <t>COMPLETED</t>
        </is>
      </c>
      <c r="H68" s="12" t="inlineStr">
        <is>
          <t>#55; #58</t>
        </is>
      </c>
      <c r="I68" s="12" t="inlineStr">
        <is>
          <t>Off by default</t>
        </is>
      </c>
    </row>
    <row r="69" ht="15" customFormat="1" customHeight="1" s="2">
      <c r="A69" s="30" t="inlineStr">
        <is>
          <t>F3.3</t>
        </is>
      </c>
      <c r="B69" s="31" t="n">
        <v>2</v>
      </c>
      <c r="C69" s="32" t="inlineStr">
        <is>
          <t>F3.3  Offer</t>
        </is>
      </c>
      <c r="D69" s="30" t="n"/>
      <c r="E69" s="30" t="n"/>
      <c r="F69" s="31">
        <f>COUNTIFS($B$70:$B$71,3,$G$70:$G$71,"COMPLETED")&amp;" / "&amp;COUNTIF($B$70:$B$71,3)</f>
        <v/>
      </c>
      <c r="G69" s="31">
        <f>IF(COUNTIFS($B$70:$B$71,3,$G$70:$G$71,"COMPLETED")=COUNTIF($B$70:$B$71,3),"COMPLETED",IF(COUNTIFS($B$70:$B$71,3,$G$70:$G$71,"BLOCKED")&gt;0,"BLOCKED",IF(COUNTIFS($B$70:$B$71,3,$G$70:$G$71,"YET TO START")=COUNTIF($B$70:$B$71,3),"YET TO START","IN PROGRESS")))</f>
        <v/>
      </c>
      <c r="H69" s="30" t="n"/>
      <c r="I69" s="30" t="n"/>
      <c r="J69" s="27">
        <f>(COUNTIFS($B$70:$B$71,3,$J$70:$J$71,"DONE")+COUNTIFS($B$70:$B$71,3,$J$70:$J$71,"DONE-SANDBOX"))&amp;" / "&amp;COUNTIFS($B$70:$B$71,3,$J$70:$J$71,"&lt;&gt;")&amp;" batch steps done"</f>
        <v/>
      </c>
    </row>
    <row r="70" ht="15" customFormat="1" customHeight="1" s="2">
      <c r="A70" s="12" t="inlineStr">
        <is>
          <t>F3.3.1</t>
        </is>
      </c>
      <c r="B70" s="10" t="n">
        <v>3</v>
      </c>
      <c r="C70" s="33" t="inlineStr">
        <is>
          <t>Offer to the best rider with expiry, retries and operator override</t>
        </is>
      </c>
      <c r="D70" s="12" t="inlineStr">
        <is>
          <t>System</t>
        </is>
      </c>
      <c r="E70" s="12" t="inlineStr">
        <is>
          <t>GS-039, GA-009, RBAC-007</t>
        </is>
      </c>
      <c r="F70" s="10" t="n"/>
      <c r="G70" s="10" t="inlineStr">
        <is>
          <t>COMPLETED</t>
        </is>
      </c>
      <c r="H70" s="12" t="inlineStr">
        <is>
          <t>Baseline; #10; #23</t>
        </is>
      </c>
      <c r="I70" s="12" t="inlineStr">
        <is>
          <t>-</t>
        </is>
      </c>
    </row>
    <row r="71" ht="15" customFormat="1" customHeight="1" s="2">
      <c r="A71" s="12" t="inlineStr">
        <is>
          <t>F3.3.2</t>
        </is>
      </c>
      <c r="B71" s="10" t="n">
        <v>3</v>
      </c>
      <c r="C71" s="33" t="inlineStr">
        <is>
          <t>Broadcast offers / widen the radius</t>
        </is>
      </c>
      <c r="D71" s="12" t="inlineStr">
        <is>
          <t>System</t>
        </is>
      </c>
      <c r="E71" s="12" t="inlineStr">
        <is>
          <t>GAP-004</t>
        </is>
      </c>
      <c r="F71" s="10" t="n"/>
      <c r="G71" s="10" t="inlineStr">
        <is>
          <t>COMPLETED</t>
        </is>
      </c>
      <c r="H71" s="12" t="inlineStr">
        <is>
          <t>#190, #194</t>
        </is>
      </c>
      <c r="I71" s="12" t="inlineStr">
        <is>
          <t>DONE (18 Oct batch): Rider side: broadcast after N s, radius 2&gt;4&gt;6 km, atomic first accept, 'Offer taken' (rule dispatchBroadcast, OFF until the owner switches it on). Owner request: admin/operator broadcasts (audience, city/PIN, schedule, expiry) + Notification Centre (bell + /notifications, read/unread) on web and app; push/email by opt-in.</t>
        </is>
      </c>
      <c r="J71" s="37" t="inlineStr">
        <is>
          <t>DONE</t>
        </is>
      </c>
      <c r="K71" t="inlineStr">
        <is>
          <t>#190, #194</t>
        </is>
      </c>
      <c r="L71" s="23" t="inlineStr">
        <is>
          <t>Rider side: broadcast after N s, radius 2&gt;4&gt;6 km, atomic first accept, 'Offer taken' (rule dispatchBroadcast, OFF until the owner switches it on). Owner request: admin/operator broadcasts (audience, city/PIN, schedule, expiry) + Notification Centre (bell + /notifications, read/unread) on web and app; push/email by opt-in.</t>
        </is>
      </c>
    </row>
    <row r="72" ht="18" customFormat="1" customHeight="1" s="2">
      <c r="A72" s="28" t="inlineStr">
        <is>
          <t>F4</t>
        </is>
      </c>
      <c r="B72" s="29" t="n">
        <v>1</v>
      </c>
      <c r="C72" s="28" t="inlineStr">
        <is>
          <t>F4  Delivery</t>
        </is>
      </c>
      <c r="D72" s="28" t="inlineStr">
        <is>
          <t>Rider</t>
        </is>
      </c>
      <c r="E72" s="28" t="n"/>
      <c r="F72" s="29">
        <f>COUNTIFS($B$73:$B$84,3,$G$73:$G$84,"COMPLETED")&amp;" / "&amp;COUNTIF($B$73:$B$84,3)</f>
        <v/>
      </c>
      <c r="G72" s="29">
        <f>IF(COUNTIFS($B$73:$B$84,3,$G$73:$G$84,"COMPLETED")=COUNTIF($B$73:$B$84,3),"COMPLETED",IF(COUNTIFS($B$73:$B$84,3,$G$73:$G$84,"BLOCKED")&gt;0,"BLOCKED",IF(COUNTIFS($B$73:$B$84,3,$G$73:$G$84,"YET TO START")=COUNTIF($B$73:$B$84,3),"YET TO START","IN PROGRESS")))</f>
        <v/>
      </c>
      <c r="H72" s="28" t="n"/>
      <c r="I72" s="28" t="n"/>
      <c r="J72" s="27">
        <f>(COUNTIFS($B$73:$B$84,3,$J$73:$J$84,"DONE")+COUNTIFS($B$73:$B$84,3,$J$73:$J$84,"DONE-SANDBOX"))&amp;" / "&amp;COUNTIFS($B$73:$B$84,3,$J$73:$J$84,"&lt;&gt;")&amp;" batch steps done"</f>
        <v/>
      </c>
    </row>
    <row r="73" ht="15" customFormat="1" customHeight="1" s="2">
      <c r="A73" s="30" t="inlineStr">
        <is>
          <t>F4.1</t>
        </is>
      </c>
      <c r="B73" s="31" t="n">
        <v>2</v>
      </c>
      <c r="C73" s="32" t="inlineStr">
        <is>
          <t>F4.1  Pickup</t>
        </is>
      </c>
      <c r="D73" s="30" t="n"/>
      <c r="E73" s="30" t="n"/>
      <c r="F73" s="31">
        <f>COUNTIFS($B$74:$B$76,3,$G$74:$G$76,"COMPLETED")&amp;" / "&amp;COUNTIF($B$74:$B$76,3)</f>
        <v/>
      </c>
      <c r="G73" s="31">
        <f>IF(COUNTIFS($B$74:$B$76,3,$G$74:$G$76,"COMPLETED")=COUNTIF($B$74:$B$76,3),"COMPLETED",IF(COUNTIFS($B$74:$B$76,3,$G$74:$G$76,"BLOCKED")&gt;0,"BLOCKED",IF(COUNTIFS($B$74:$B$76,3,$G$74:$G$76,"YET TO START")=COUNTIF($B$74:$B$76,3),"YET TO START","IN PROGRESS")))</f>
        <v/>
      </c>
      <c r="H73" s="30" t="n"/>
      <c r="I73" s="30" t="n"/>
      <c r="J73" s="27">
        <f>(COUNTIFS($B$74:$B$76,3,$J$74:$J$76,"DONE")+COUNTIFS($B$74:$B$76,3,$J$74:$J$76,"DONE-SANDBOX"))&amp;" / "&amp;COUNTIFS($B$74:$B$76,3,$J$74:$J$76,"&lt;&gt;")&amp;" batch steps done"</f>
        <v/>
      </c>
    </row>
    <row r="74" ht="15" customFormat="1" customHeight="1" s="2">
      <c r="A74" s="12" t="inlineStr">
        <is>
          <t>F4.1.1</t>
        </is>
      </c>
      <c r="B74" s="10" t="n">
        <v>3</v>
      </c>
      <c r="C74" s="33" t="inlineStr">
        <is>
          <t>Accept the job (Jobs screen; ordered trip list when batched)</t>
        </is>
      </c>
      <c r="D74" s="12" t="inlineStr">
        <is>
          <t>Rider</t>
        </is>
      </c>
      <c r="E74" s="12" t="inlineStr">
        <is>
          <t>NAV-011</t>
        </is>
      </c>
      <c r="F74" s="10" t="n"/>
      <c r="G74" s="10" t="inlineStr">
        <is>
          <t>COMPLETED</t>
        </is>
      </c>
      <c r="H74" s="12" t="inlineStr">
        <is>
          <t>#21; #58</t>
        </is>
      </c>
      <c r="I74" s="12" t="inlineStr">
        <is>
          <t>-</t>
        </is>
      </c>
    </row>
    <row r="75" ht="15" customFormat="1" customHeight="1" s="2">
      <c r="A75" s="12" t="inlineStr">
        <is>
          <t>F4.1.2</t>
        </is>
      </c>
      <c r="B75" s="10" t="n">
        <v>3</v>
      </c>
      <c r="C75" s="33" t="inlineStr">
        <is>
          <t>Arrive at shop checkpoint and pickup code</t>
        </is>
      </c>
      <c r="D75" s="12" t="inlineStr">
        <is>
          <t>Rider</t>
        </is>
      </c>
      <c r="E75" s="12" t="inlineStr">
        <is>
          <t>NEW-004, GS-041</t>
        </is>
      </c>
      <c r="F75" s="10" t="n"/>
      <c r="G75" s="10" t="inlineStr">
        <is>
          <t>COMPLETED</t>
        </is>
      </c>
      <c r="H75" s="12" t="inlineStr">
        <is>
          <t>#10; #23</t>
        </is>
      </c>
      <c r="I75" s="12" t="inlineStr">
        <is>
          <t>-</t>
        </is>
      </c>
    </row>
    <row r="76" ht="15" customFormat="1" customHeight="1" s="2">
      <c r="A76" s="12" t="inlineStr">
        <is>
          <t>F4.1.3</t>
        </is>
      </c>
      <c r="B76" s="10" t="n">
        <v>3</v>
      </c>
      <c r="C76" s="33" t="inlineStr">
        <is>
          <t>Pickup by QR code</t>
        </is>
      </c>
      <c r="D76" s="12" t="inlineStr">
        <is>
          <t>Rider</t>
        </is>
      </c>
      <c r="E76" s="12" t="inlineStr">
        <is>
          <t>GAP-001</t>
        </is>
      </c>
      <c r="F76" s="10" t="n"/>
      <c r="G76" s="10" t="inlineStr">
        <is>
          <t>COMPLETED</t>
        </is>
      </c>
      <c r="H76" s="12" t="inlineStr">
        <is>
          <t>#190, #192, #194</t>
        </is>
      </c>
      <c r="I76" s="12" t="inlineStr">
        <is>
          <t>DONE (18 Oct batch): Signed single-use QR (HMAC) on the shop screen and printable packing slip; camera scan in the rider app; PICKED_UP with time + GPS, customer told at once; typed-code fallback. Rule pickupQr OFF; on gokesari.com set PICKUP_QR_SECRET first.</t>
        </is>
      </c>
      <c r="J76" s="37" t="inlineStr">
        <is>
          <t>DONE</t>
        </is>
      </c>
      <c r="K76" t="inlineStr">
        <is>
          <t>#190, #192, #194</t>
        </is>
      </c>
      <c r="L76" s="23" t="inlineStr">
        <is>
          <t>Signed single-use QR (HMAC) on the shop screen and printable packing slip; camera scan in the rider app; PICKED_UP with time + GPS, customer told at once; typed-code fallback. Rule pickupQr OFF; on gokesari.com set PICKUP_QR_SECRET first.</t>
        </is>
      </c>
    </row>
    <row r="77" ht="15" customFormat="1" customHeight="1" s="2">
      <c r="A77" s="30" t="inlineStr">
        <is>
          <t>F4.2</t>
        </is>
      </c>
      <c r="B77" s="31" t="n">
        <v>2</v>
      </c>
      <c r="C77" s="32" t="inlineStr">
        <is>
          <t>F4.2  Drop</t>
        </is>
      </c>
      <c r="D77" s="30" t="n"/>
      <c r="E77" s="30" t="n"/>
      <c r="F77" s="31">
        <f>COUNTIFS($B$78:$B$84,3,$G$78:$G$84,"COMPLETED")&amp;" / "&amp;COUNTIF($B$78:$B$84,3)</f>
        <v/>
      </c>
      <c r="G77" s="31">
        <f>IF(COUNTIFS($B$78:$B$84,3,$G$78:$G$84,"COMPLETED")=COUNTIF($B$78:$B$84,3),"COMPLETED",IF(COUNTIFS($B$78:$B$84,3,$G$78:$G$84,"BLOCKED")&gt;0,"BLOCKED",IF(COUNTIFS($B$78:$B$84,3,$G$78:$G$84,"YET TO START")=COUNTIF($B$78:$B$84,3),"YET TO START","IN PROGRESS")))</f>
        <v/>
      </c>
      <c r="H77" s="30" t="n"/>
      <c r="I77" s="30" t="n"/>
      <c r="J77" s="27">
        <f>(COUNTIFS($B$78:$B$84,3,$J$78:$J$84,"DONE")+COUNTIFS($B$78:$B$84,3,$J$78:$J$84,"DONE-SANDBOX"))&amp;" / "&amp;COUNTIFS($B$78:$B$84,3,$J$78:$J$84,"&lt;&gt;")&amp;" batch steps done"</f>
        <v/>
      </c>
    </row>
    <row r="78" ht="15" customFormat="1" customHeight="1" s="2">
      <c r="A78" s="12" t="inlineStr">
        <is>
          <t>F4.2.1</t>
        </is>
      </c>
      <c r="B78" s="10" t="n">
        <v>3</v>
      </c>
      <c r="C78" s="33" t="inlineStr">
        <is>
          <t>Navigate with a Google Maps deep link</t>
        </is>
      </c>
      <c r="D78" s="12" t="inlineStr">
        <is>
          <t>Rider</t>
        </is>
      </c>
      <c r="E78" s="12" t="inlineStr">
        <is>
          <t>GS-072</t>
        </is>
      </c>
      <c r="F78" s="10" t="n"/>
      <c r="G78" s="10" t="inlineStr">
        <is>
          <t>COMPLETED</t>
        </is>
      </c>
      <c r="H78" s="12" t="inlineStr">
        <is>
          <t>#23</t>
        </is>
      </c>
      <c r="I78" s="12" t="inlineStr">
        <is>
          <t>-</t>
        </is>
      </c>
    </row>
    <row r="79" ht="15" customFormat="1" customHeight="1" s="2">
      <c r="A79" s="12" t="inlineStr">
        <is>
          <t>F4.2.2</t>
        </is>
      </c>
      <c r="B79" s="10" t="n">
        <v>3</v>
      </c>
      <c r="C79" s="33" t="inlineStr">
        <is>
          <t>In-app turn-by-turn navigation</t>
        </is>
      </c>
      <c r="D79" s="12" t="inlineStr">
        <is>
          <t>Rider</t>
        </is>
      </c>
      <c r="E79" s="12" t="inlineStr">
        <is>
          <t>GAP-002</t>
        </is>
      </c>
      <c r="F79" s="10" t="n"/>
      <c r="G79" s="10" t="inlineStr">
        <is>
          <t>COMPLETED</t>
        </is>
      </c>
      <c r="H79" s="12" t="inlineStr">
        <is>
          <t>#190, #194</t>
        </is>
      </c>
      <c r="I79" s="12" t="inlineStr">
        <is>
          <t>DONE-SANDBOX (18 Oct batch): RoutingProvider (mock / Google Routes / OSRM): route line, next manoeuvre, ETA, off-route re-route, voice prompts, Open-in-Google-Maps; keeps feeding live tracking. Mock router on test; real directions need a Google Routes key or own OSRM server. Rule riderNavigation OFF.</t>
        </is>
      </c>
      <c r="J79" s="39" t="inlineStr">
        <is>
          <t>DONE-SANDBOX</t>
        </is>
      </c>
      <c r="K79" t="inlineStr">
        <is>
          <t>#190, #194</t>
        </is>
      </c>
      <c r="L79" s="23" t="inlineStr">
        <is>
          <t>RoutingProvider (mock / Google Routes / OSRM): route line, next manoeuvre, ETA, off-route re-route, voice prompts, Open-in-Google-Maps; keeps feeding live tracking. Mock router on test; real directions need a Google Routes key or own OSRM server. Rule riderNavigation OFF.</t>
        </is>
      </c>
    </row>
    <row r="80" ht="15" customFormat="1" customHeight="1" s="2">
      <c r="A80" s="12" t="inlineStr">
        <is>
          <t>F4.2.3</t>
        </is>
      </c>
      <c r="B80" s="10" t="n">
        <v>3</v>
      </c>
      <c r="C80" s="33" t="inlineStr">
        <is>
          <t>Society gate access and instructions</t>
        </is>
      </c>
      <c r="D80" s="12" t="inlineStr">
        <is>
          <t>Rider</t>
        </is>
      </c>
      <c r="E80" s="12" t="inlineStr">
        <is>
          <t>GS-047</t>
        </is>
      </c>
      <c r="F80" s="10" t="n"/>
      <c r="G80" s="10" t="inlineStr">
        <is>
          <t>COMPLETED</t>
        </is>
      </c>
      <c r="H80" s="12" t="inlineStr">
        <is>
          <t>#11; #23</t>
        </is>
      </c>
      <c r="I80" s="12" t="inlineStr">
        <is>
          <t>-</t>
        </is>
      </c>
    </row>
    <row r="81" ht="15" customFormat="1" customHeight="1" s="2">
      <c r="A81" s="12" t="inlineStr">
        <is>
          <t>F4.2.4</t>
        </is>
      </c>
      <c r="B81" s="10" t="n">
        <v>3</v>
      </c>
      <c r="C81" s="33" t="inlineStr">
        <is>
          <t>Delivery code, arrival checkpoint and photo proof</t>
        </is>
      </c>
      <c r="D81" s="12" t="inlineStr">
        <is>
          <t>Rider</t>
        </is>
      </c>
      <c r="E81" s="12" t="inlineStr">
        <is>
          <t>GS-043, NEW-007</t>
        </is>
      </c>
      <c r="F81" s="10" t="n"/>
      <c r="G81" s="10" t="inlineStr">
        <is>
          <t>COMPLETED</t>
        </is>
      </c>
      <c r="H81" s="12" t="inlineStr">
        <is>
          <t>#10; #23; #58</t>
        </is>
      </c>
      <c r="I81" s="12" t="inlineStr">
        <is>
          <t>Photo proof off by default</t>
        </is>
      </c>
    </row>
    <row r="82" ht="15" customFormat="1" customHeight="1" s="2">
      <c r="A82" s="12" t="inlineStr">
        <is>
          <t>F4.2.5</t>
        </is>
      </c>
      <c r="B82" s="10" t="n">
        <v>3</v>
      </c>
      <c r="C82" s="33" t="inlineStr">
        <is>
          <t>Code lockout raises a ticket; shop cannot bypass the code</t>
        </is>
      </c>
      <c r="D82" s="12" t="inlineStr">
        <is>
          <t>Rider</t>
        </is>
      </c>
      <c r="E82" s="12" t="inlineStr">
        <is>
          <t>NEW-035</t>
        </is>
      </c>
      <c r="F82" s="10" t="n"/>
      <c r="G82" s="10" t="inlineStr">
        <is>
          <t>COMPLETED</t>
        </is>
      </c>
      <c r="H82" s="12" t="inlineStr">
        <is>
          <t>#91; #120</t>
        </is>
      </c>
      <c r="I82" s="12" t="inlineStr">
        <is>
          <t>Live on gokesari.com since #120 (9 Oct)</t>
        </is>
      </c>
    </row>
    <row r="83" ht="15" customFormat="1" customHeight="1" s="2">
      <c r="A83" s="12" t="inlineStr">
        <is>
          <t>F4.2.6</t>
        </is>
      </c>
      <c r="B83" s="10" t="n">
        <v>3</v>
      </c>
      <c r="C83" s="33" t="inlineStr">
        <is>
          <t>Signature capture</t>
        </is>
      </c>
      <c r="D83" s="12" t="inlineStr">
        <is>
          <t>Rider</t>
        </is>
      </c>
      <c r="E83" s="12" t="inlineStr">
        <is>
          <t>GAP-003</t>
        </is>
      </c>
      <c r="F83" s="10" t="n"/>
      <c r="G83" s="10" t="inlineStr">
        <is>
          <t>BLOCKED</t>
        </is>
      </c>
      <c r="H83" s="12" t="inlineStr">
        <is>
          <t>-</t>
        </is>
      </c>
      <c r="I83" s="12" t="inlineStr">
        <is>
          <t>DEFERRED-PHASE-2 (18 Oct batch): Signature capture deferred to Phase 2 by the owner; not built.</t>
        </is>
      </c>
      <c r="J83" s="40" t="inlineStr">
        <is>
          <t>DEFERRED-PHASE-2</t>
        </is>
      </c>
      <c r="K83" t="inlineStr">
        <is>
          <t>-</t>
        </is>
      </c>
      <c r="L83" s="23" t="inlineStr">
        <is>
          <t>Signature capture deferred to Phase 2 by the owner; not built.</t>
        </is>
      </c>
    </row>
    <row r="84" ht="15" customFormat="1" customHeight="1" s="2">
      <c r="A84" s="12" t="inlineStr">
        <is>
          <t>F4.2.7</t>
        </is>
      </c>
      <c r="B84" s="10" t="n">
        <v>3</v>
      </c>
      <c r="C84" s="33" t="inlineStr">
        <is>
          <t>Failed delivery / return to shop</t>
        </is>
      </c>
      <c r="D84" s="12" t="inlineStr">
        <is>
          <t>Rider</t>
        </is>
      </c>
      <c r="E84" s="12" t="inlineStr">
        <is>
          <t>SM-001, WF-005</t>
        </is>
      </c>
      <c r="F84" s="10" t="n"/>
      <c r="G84" s="10" t="inlineStr">
        <is>
          <t>COMPLETED</t>
        </is>
      </c>
      <c r="H84" s="12" t="inlineStr">
        <is>
          <t>#10</t>
        </is>
      </c>
      <c r="I84" s="12" t="inlineStr">
        <is>
          <t>-</t>
        </is>
      </c>
    </row>
    <row r="85" ht="18" customFormat="1" customHeight="1" s="2">
      <c r="A85" s="28" t="inlineStr">
        <is>
          <t>F5</t>
        </is>
      </c>
      <c r="B85" s="29" t="n">
        <v>1</v>
      </c>
      <c r="C85" s="28" t="inlineStr">
        <is>
          <t>F5  Society-authorised delivery</t>
        </is>
      </c>
      <c r="D85" s="28" t="inlineStr">
        <is>
          <t>Society admin</t>
        </is>
      </c>
      <c r="E85" s="28" t="n"/>
      <c r="F85" s="29">
        <f>COUNTIFS($B$86:$B$95,3,$G$86:$G$95,"COMPLETED")&amp;" / "&amp;COUNTIF($B$86:$B$95,3)</f>
        <v/>
      </c>
      <c r="G85" s="29">
        <f>IF(COUNTIFS($B$86:$B$95,3,$G$86:$G$95,"COMPLETED")=COUNTIF($B$86:$B$95,3),"COMPLETED",IF(COUNTIFS($B$86:$B$95,3,$G$86:$G$95,"BLOCKED")&gt;0,"BLOCKED",IF(COUNTIFS($B$86:$B$95,3,$G$86:$G$95,"YET TO START")=COUNTIF($B$86:$B$95,3),"YET TO START","IN PROGRESS")))</f>
        <v/>
      </c>
      <c r="H85" s="28" t="n"/>
      <c r="I85" s="28" t="n"/>
      <c r="J85" s="27">
        <f>(COUNTIFS($B$86:$B$95,3,$J$86:$J$95,"DONE")+COUNTIFS($B$86:$B$95,3,$J$86:$J$95,"DONE-SANDBOX"))&amp;" / "&amp;COUNTIFS($B$86:$B$95,3,$J$86:$J$95,"&lt;&gt;")&amp;" batch steps done"</f>
        <v/>
      </c>
    </row>
    <row r="86" ht="15" customFormat="1" customHeight="1" s="2">
      <c r="A86" s="30" t="inlineStr">
        <is>
          <t>F5.1</t>
        </is>
      </c>
      <c r="B86" s="31" t="n">
        <v>2</v>
      </c>
      <c r="C86" s="32" t="inlineStr">
        <is>
          <t>F5.1  Society set-up</t>
        </is>
      </c>
      <c r="D86" s="30" t="n"/>
      <c r="E86" s="30" t="n"/>
      <c r="F86" s="31">
        <f>COUNTIFS($B$87:$B$88,3,$G$87:$G$88,"COMPLETED")&amp;" / "&amp;COUNTIF($B$87:$B$88,3)</f>
        <v/>
      </c>
      <c r="G86" s="31">
        <f>IF(COUNTIFS($B$87:$B$88,3,$G$87:$G$88,"COMPLETED")=COUNTIF($B$87:$B$88,3),"COMPLETED",IF(COUNTIFS($B$87:$B$88,3,$G$87:$G$88,"BLOCKED")&gt;0,"BLOCKED",IF(COUNTIFS($B$87:$B$88,3,$G$87:$G$88,"YET TO START")=COUNTIF($B$87:$B$88,3),"YET TO START","IN PROGRESS")))</f>
        <v/>
      </c>
      <c r="H86" s="30" t="n"/>
      <c r="I86" s="30" t="n"/>
      <c r="J86" s="27">
        <f>(COUNTIFS($B$87:$B$88,3,$J$87:$J$88,"DONE")+COUNTIFS($B$87:$B$88,3,$J$87:$J$88,"DONE-SANDBOX"))&amp;" / "&amp;COUNTIFS($B$87:$B$88,3,$J$87:$J$88,"&lt;&gt;")&amp;" batch steps done"</f>
        <v/>
      </c>
    </row>
    <row r="87" ht="15" customFormat="1" customHeight="1" s="2">
      <c r="A87" s="12" t="inlineStr">
        <is>
          <t>F5.1.1</t>
        </is>
      </c>
      <c r="B87" s="10" t="n">
        <v>3</v>
      </c>
      <c r="C87" s="33" t="inlineStr">
        <is>
          <t>Register the society; operations verify it</t>
        </is>
      </c>
      <c r="D87" s="12" t="inlineStr">
        <is>
          <t>Society admin</t>
        </is>
      </c>
      <c r="E87" s="12" t="inlineStr">
        <is>
          <t>GS-044</t>
        </is>
      </c>
      <c r="F87" s="10" t="n"/>
      <c r="G87" s="10" t="inlineStr">
        <is>
          <t>COMPLETED</t>
        </is>
      </c>
      <c r="H87" s="12" t="inlineStr">
        <is>
          <t>#11</t>
        </is>
      </c>
      <c r="I87" s="12" t="inlineStr">
        <is>
          <t>-</t>
        </is>
      </c>
    </row>
    <row r="88" ht="15" customFormat="1" customHeight="1" s="2">
      <c r="A88" s="12" t="inlineStr">
        <is>
          <t>F5.1.2</t>
        </is>
      </c>
      <c r="B88" s="10" t="n">
        <v>3</v>
      </c>
      <c r="C88" s="33" t="inlineStr">
        <is>
          <t>Members: admin, operator, resident</t>
        </is>
      </c>
      <c r="D88" s="12" t="inlineStr">
        <is>
          <t>Society admin</t>
        </is>
      </c>
      <c r="E88" s="12" t="inlineStr">
        <is>
          <t>GS-005, GS-002</t>
        </is>
      </c>
      <c r="F88" s="10" t="n"/>
      <c r="G88" s="10" t="inlineStr">
        <is>
          <t>COMPLETED</t>
        </is>
      </c>
      <c r="H88" s="12" t="inlineStr">
        <is>
          <t>#11</t>
        </is>
      </c>
      <c r="I88" s="12" t="inlineStr">
        <is>
          <t>-</t>
        </is>
      </c>
    </row>
    <row r="89" ht="15" customFormat="1" customHeight="1" s="2">
      <c r="A89" s="30" t="inlineStr">
        <is>
          <t>F5.2</t>
        </is>
      </c>
      <c r="B89" s="31" t="n">
        <v>2</v>
      </c>
      <c r="C89" s="32" t="inlineStr">
        <is>
          <t>F5.2  Rider control</t>
        </is>
      </c>
      <c r="D89" s="30" t="n"/>
      <c r="E89" s="30" t="n"/>
      <c r="F89" s="31">
        <f>COUNTIFS($B$90:$B$92,3,$G$90:$G$92,"COMPLETED")&amp;" / "&amp;COUNTIF($B$90:$B$92,3)</f>
        <v/>
      </c>
      <c r="G89" s="31">
        <f>IF(COUNTIFS($B$90:$B$92,3,$G$90:$G$92,"COMPLETED")=COUNTIF($B$90:$B$92,3),"COMPLETED",IF(COUNTIFS($B$90:$B$92,3,$G$90:$G$92,"BLOCKED")&gt;0,"BLOCKED",IF(COUNTIFS($B$90:$B$92,3,$G$90:$G$92,"YET TO START")=COUNTIF($B$90:$B$92,3),"YET TO START","IN PROGRESS")))</f>
        <v/>
      </c>
      <c r="H89" s="30" t="n"/>
      <c r="I89" s="30" t="n"/>
      <c r="J89" s="27">
        <f>(COUNTIFS($B$90:$B$92,3,$J$90:$J$92,"DONE")+COUNTIFS($B$90:$B$92,3,$J$90:$J$92,"DONE-SANDBOX"))&amp;" / "&amp;COUNTIFS($B$90:$B$92,3,$J$90:$J$92,"&lt;&gt;")&amp;" batch steps done"</f>
        <v/>
      </c>
    </row>
    <row r="90" ht="15" customFormat="1" customHeight="1" s="2">
      <c r="A90" s="12" t="inlineStr">
        <is>
          <t>F5.2.1</t>
        </is>
      </c>
      <c r="B90" s="10" t="n">
        <v>3</v>
      </c>
      <c r="C90" s="33" t="inlineStr">
        <is>
          <t>Whitelist or revoke riders</t>
        </is>
      </c>
      <c r="D90" s="12" t="inlineStr">
        <is>
          <t>Society admin</t>
        </is>
      </c>
      <c r="E90" s="12" t="inlineStr">
        <is>
          <t>GS-045, RBAC-009</t>
        </is>
      </c>
      <c r="F90" s="10" t="n"/>
      <c r="G90" s="10" t="inlineStr">
        <is>
          <t>COMPLETED</t>
        </is>
      </c>
      <c r="H90" s="12" t="inlineStr">
        <is>
          <t>#11</t>
        </is>
      </c>
      <c r="I90" s="12" t="inlineStr">
        <is>
          <t>-</t>
        </is>
      </c>
    </row>
    <row r="91" ht="15" customFormat="1" customHeight="1" s="2">
      <c r="A91" s="12" t="inlineStr">
        <is>
          <t>F5.2.2</t>
        </is>
      </c>
      <c r="B91" s="10" t="n">
        <v>3</v>
      </c>
      <c r="C91" s="33" t="inlineStr">
        <is>
          <t>Only verified societies may add riders (C2)</t>
        </is>
      </c>
      <c r="D91" s="12" t="inlineStr">
        <is>
          <t>Society admin</t>
        </is>
      </c>
      <c r="E91" s="12" t="inlineStr">
        <is>
          <t>NEW-023</t>
        </is>
      </c>
      <c r="F91" s="10" t="n"/>
      <c r="G91" s="10" t="inlineStr">
        <is>
          <t>COMPLETED</t>
        </is>
      </c>
      <c r="H91" s="12" t="inlineStr">
        <is>
          <t>#85; #120</t>
        </is>
      </c>
      <c r="I91" s="12" t="inlineStr">
        <is>
          <t>Live on gokesari.com since #120 (9 Oct)</t>
        </is>
      </c>
    </row>
    <row r="92" ht="15" customFormat="1" customHeight="1" s="2">
      <c r="A92" s="12" t="inlineStr">
        <is>
          <t>F5.2.3</t>
        </is>
      </c>
      <c r="B92" s="10" t="n">
        <v>3</v>
      </c>
      <c r="C92" s="33" t="inlineStr">
        <is>
          <t>Rider photo and ID on the society dashboard (C5)</t>
        </is>
      </c>
      <c r="D92" s="12" t="inlineStr">
        <is>
          <t>Society admin</t>
        </is>
      </c>
      <c r="E92" s="12" t="inlineStr">
        <is>
          <t>NEW-026</t>
        </is>
      </c>
      <c r="F92" s="10" t="n"/>
      <c r="G92" s="10" t="inlineStr">
        <is>
          <t>COMPLETED</t>
        </is>
      </c>
      <c r="H92" s="12" t="inlineStr">
        <is>
          <t>#85; #120</t>
        </is>
      </c>
      <c r="I92" s="12" t="inlineStr">
        <is>
          <t>Live on gokesari.com since #120 (9 Oct)</t>
        </is>
      </c>
    </row>
    <row r="93" ht="15" customFormat="1" customHeight="1" s="2">
      <c r="A93" s="30" t="inlineStr">
        <is>
          <t>F5.3</t>
        </is>
      </c>
      <c r="B93" s="31" t="n">
        <v>2</v>
      </c>
      <c r="C93" s="32" t="inlineStr">
        <is>
          <t>F5.3  Gate</t>
        </is>
      </c>
      <c r="D93" s="30" t="n"/>
      <c r="E93" s="30" t="n"/>
      <c r="F93" s="31">
        <f>COUNTIFS($B$94:$B$95,3,$G$94:$G$95,"COMPLETED")&amp;" / "&amp;COUNTIF($B$94:$B$95,3)</f>
        <v/>
      </c>
      <c r="G93" s="31">
        <f>IF(COUNTIFS($B$94:$B$95,3,$G$94:$G$95,"COMPLETED")=COUNTIF($B$94:$B$95,3),"COMPLETED",IF(COUNTIFS($B$94:$B$95,3,$G$94:$G$95,"BLOCKED")&gt;0,"BLOCKED",IF(COUNTIFS($B$94:$B$95,3,$G$94:$G$95,"YET TO START")=COUNTIF($B$94:$B$95,3),"YET TO START","IN PROGRESS")))</f>
        <v/>
      </c>
      <c r="H93" s="30" t="n"/>
      <c r="I93" s="30" t="n"/>
      <c r="J93" s="27">
        <f>(COUNTIFS($B$94:$B$95,3,$J$94:$J$95,"DONE")+COUNTIFS($B$94:$B$95,3,$J$94:$J$95,"DONE-SANDBOX"))&amp;" / "&amp;COUNTIFS($B$94:$B$95,3,$J$94:$J$95,"&lt;&gt;")&amp;" batch steps done"</f>
        <v/>
      </c>
    </row>
    <row r="94" ht="15" customFormat="1" customHeight="1" s="2">
      <c r="A94" s="12" t="inlineStr">
        <is>
          <t>F5.3.1</t>
        </is>
      </c>
      <c r="B94" s="10" t="n">
        <v>3</v>
      </c>
      <c r="C94" s="33" t="inlineStr">
        <is>
          <t>Delivery instructions for the assigned rider</t>
        </is>
      </c>
      <c r="D94" s="12" t="inlineStr">
        <is>
          <t>Society admin</t>
        </is>
      </c>
      <c r="E94" s="12" t="inlineStr">
        <is>
          <t>GS-047</t>
        </is>
      </c>
      <c r="F94" s="10" t="n"/>
      <c r="G94" s="10" t="inlineStr">
        <is>
          <t>COMPLETED</t>
        </is>
      </c>
      <c r="H94" s="12" t="inlineStr">
        <is>
          <t>#11</t>
        </is>
      </c>
      <c r="I94" s="12" t="inlineStr">
        <is>
          <t>-</t>
        </is>
      </c>
    </row>
    <row r="95" ht="15" customFormat="1" customHeight="1" s="2">
      <c r="A95" s="12" t="inlineStr">
        <is>
          <t>F5.3.2</t>
        </is>
      </c>
      <c r="B95" s="10" t="n">
        <v>3</v>
      </c>
      <c r="C95" s="33" t="inlineStr">
        <is>
          <t>Security notified of the assigned rider</t>
        </is>
      </c>
      <c r="D95" s="12" t="inlineStr">
        <is>
          <t>Society admin</t>
        </is>
      </c>
      <c r="E95" s="12" t="inlineStr">
        <is>
          <t>GS-046</t>
        </is>
      </c>
      <c r="F95" s="10" t="n"/>
      <c r="G95" s="10" t="inlineStr">
        <is>
          <t>COMPLETED</t>
        </is>
      </c>
      <c r="H95" s="12" t="inlineStr">
        <is>
          <t>#11</t>
        </is>
      </c>
      <c r="I95" s="12" t="inlineStr">
        <is>
          <t>-</t>
        </is>
      </c>
    </row>
    <row r="96" ht="18" customFormat="1" customHeight="1" s="2">
      <c r="A96" s="28" t="inlineStr">
        <is>
          <t>F6</t>
        </is>
      </c>
      <c r="B96" s="29" t="n">
        <v>1</v>
      </c>
      <c r="C96" s="28" t="inlineStr">
        <is>
          <t>F6  After the order: returns, refunds, disputes, ratings</t>
        </is>
      </c>
      <c r="D96" s="28" t="inlineStr">
        <is>
          <t>Customer / Operator</t>
        </is>
      </c>
      <c r="E96" s="28" t="n"/>
      <c r="F96" s="29">
        <f>COUNTIFS($B$97:$B$110,3,$G$97:$G$110,"COMPLETED")&amp;" / "&amp;COUNTIF($B$97:$B$110,3)</f>
        <v/>
      </c>
      <c r="G96" s="29">
        <f>IF(COUNTIFS($B$97:$B$110,3,$G$97:$G$110,"COMPLETED")=COUNTIF($B$97:$B$110,3),"COMPLETED",IF(COUNTIFS($B$97:$B$110,3,$G$97:$G$110,"BLOCKED")&gt;0,"BLOCKED",IF(COUNTIFS($B$97:$B$110,3,$G$97:$G$110,"YET TO START")=COUNTIF($B$97:$B$110,3),"YET TO START","IN PROGRESS")))</f>
        <v/>
      </c>
      <c r="H96" s="28" t="n"/>
      <c r="I96" s="28" t="n"/>
      <c r="J96" s="27">
        <f>(COUNTIFS($B$97:$B$110,3,$J$97:$J$110,"DONE")+COUNTIFS($B$97:$B$110,3,$J$97:$J$110,"DONE-SANDBOX"))&amp;" / "&amp;COUNTIFS($B$97:$B$110,3,$J$97:$J$110,"&lt;&gt;")&amp;" batch steps done"</f>
        <v/>
      </c>
    </row>
    <row r="97" ht="15" customFormat="1" customHeight="1" s="2">
      <c r="A97" s="30" t="inlineStr">
        <is>
          <t>F6.1</t>
        </is>
      </c>
      <c r="B97" s="31" t="n">
        <v>2</v>
      </c>
      <c r="C97" s="32" t="inlineStr">
        <is>
          <t>F6.1  Cancellation</t>
        </is>
      </c>
      <c r="D97" s="30" t="n"/>
      <c r="E97" s="30" t="n"/>
      <c r="F97" s="31">
        <f>COUNTIFS($B$98:$B$100,3,$G$98:$G$100,"COMPLETED")&amp;" / "&amp;COUNTIF($B$98:$B$100,3)</f>
        <v/>
      </c>
      <c r="G97" s="31">
        <f>IF(COUNTIFS($B$98:$B$100,3,$G$98:$G$100,"COMPLETED")=COUNTIF($B$98:$B$100,3),"COMPLETED",IF(COUNTIFS($B$98:$B$100,3,$G$98:$G$100,"BLOCKED")&gt;0,"BLOCKED",IF(COUNTIFS($B$98:$B$100,3,$G$98:$G$100,"YET TO START")=COUNTIF($B$98:$B$100,3),"YET TO START","IN PROGRESS")))</f>
        <v/>
      </c>
      <c r="H97" s="30" t="n"/>
      <c r="I97" s="30" t="n"/>
      <c r="J97" s="27">
        <f>(COUNTIFS($B$98:$B$100,3,$J$98:$J$100,"DONE")+COUNTIFS($B$98:$B$100,3,$J$98:$J$100,"DONE-SANDBOX"))&amp;" / "&amp;COUNTIFS($B$98:$B$100,3,$J$98:$J$100,"&lt;&gt;")&amp;" batch steps done"</f>
        <v/>
      </c>
    </row>
    <row r="98" ht="15" customFormat="1" customHeight="1" s="2">
      <c r="A98" s="12" t="inlineStr">
        <is>
          <t>F6.1.1</t>
        </is>
      </c>
      <c r="B98" s="10" t="n">
        <v>3</v>
      </c>
      <c r="C98" s="33" t="inlineStr">
        <is>
          <t>Cancel before packing: full refund incl. delivery fee</t>
        </is>
      </c>
      <c r="D98" s="12" t="inlineStr">
        <is>
          <t>Customer / Operator</t>
        </is>
      </c>
      <c r="E98" s="12" t="inlineStr">
        <is>
          <t>NEW-006</t>
        </is>
      </c>
      <c r="F98" s="10" t="n"/>
      <c r="G98" s="10" t="inlineStr">
        <is>
          <t>COMPLETED</t>
        </is>
      </c>
      <c r="H98" s="12" t="inlineStr">
        <is>
          <t>#10; #23</t>
        </is>
      </c>
      <c r="I98" s="12" t="inlineStr">
        <is>
          <t>-</t>
        </is>
      </c>
    </row>
    <row r="99" ht="39" customFormat="1" customHeight="1" s="2">
      <c r="A99" s="12" t="inlineStr">
        <is>
          <t>F6.1.2</t>
        </is>
      </c>
      <c r="B99" s="10" t="n">
        <v>3</v>
      </c>
      <c r="C99" s="33" t="inlineStr">
        <is>
          <t>Customer may cancel until packing (rule)</t>
        </is>
      </c>
      <c r="D99" s="12" t="inlineStr">
        <is>
          <t>Customer / Operator</t>
        </is>
      </c>
      <c r="E99" s="12" t="inlineStr">
        <is>
          <t>NEW-020</t>
        </is>
      </c>
      <c r="F99" s="10" t="n"/>
      <c r="G99" s="10" t="inlineStr">
        <is>
          <t>COMPLETED</t>
        </is>
      </c>
      <c r="H99" s="12" t="inlineStr">
        <is>
          <t>#85; #120</t>
        </is>
      </c>
      <c r="I99" s="12" t="inlineStr">
        <is>
          <t>On gokesari.com since #120 (9 Oct), switched off by default - switch on in Admin &gt; Business rules</t>
        </is>
      </c>
    </row>
    <row r="100" ht="15" customFormat="1" customHeight="1" s="2">
      <c r="A100" s="12" t="inlineStr">
        <is>
          <t>F6.1.3</t>
        </is>
      </c>
      <c r="B100" s="10" t="n">
        <v>3</v>
      </c>
      <c r="C100" s="33" t="inlineStr">
        <is>
          <t>After-packing treatments (D10) signed off</t>
        </is>
      </c>
      <c r="D100" s="12" t="inlineStr">
        <is>
          <t>Customer / Operator</t>
        </is>
      </c>
      <c r="E100" s="12" t="inlineStr">
        <is>
          <t>NEW-006</t>
        </is>
      </c>
      <c r="F100" s="10" t="n"/>
      <c r="G100" s="10" t="inlineStr">
        <is>
          <t>COMPLETED</t>
        </is>
      </c>
      <c r="H100" s="12" t="inlineStr">
        <is>
          <t>#190, #194</t>
        </is>
      </c>
      <c r="I100" s="12" t="inlineStr">
        <is>
          <t>DONE (18 Oct batch): Before packing: full refund incl. delivery (unchanged). After packing: per-shop fee (amount or %, cap, on/off) within admin limits, shown before confirming, written to the order ledger. Rule afterPackingCancellation OFF until the refund policy text is updated.</t>
        </is>
      </c>
      <c r="J100" s="37" t="inlineStr">
        <is>
          <t>DONE</t>
        </is>
      </c>
      <c r="K100" t="inlineStr">
        <is>
          <t>#190, #194</t>
        </is>
      </c>
      <c r="L100" s="23" t="inlineStr">
        <is>
          <t>Before packing: full refund incl. delivery (unchanged). After packing: per-shop fee (amount or %, cap, on/off) within admin limits, shown before confirming, written to the order ledger. Rule afterPackingCancellation OFF until the refund policy text is updated.</t>
        </is>
      </c>
    </row>
    <row r="101" ht="15" customFormat="1" customHeight="1" s="2">
      <c r="A101" s="30" t="inlineStr">
        <is>
          <t>F6.2</t>
        </is>
      </c>
      <c r="B101" s="31" t="n">
        <v>2</v>
      </c>
      <c r="C101" s="32" t="inlineStr">
        <is>
          <t>F6.2  Returns and refunds</t>
        </is>
      </c>
      <c r="D101" s="30" t="n"/>
      <c r="E101" s="30" t="n"/>
      <c r="F101" s="31">
        <f>COUNTIFS($B$102:$B$104,3,$G$102:$G$104,"COMPLETED")&amp;" / "&amp;COUNTIF($B$102:$B$104,3)</f>
        <v/>
      </c>
      <c r="G101" s="31">
        <f>IF(COUNTIFS($B$102:$B$104,3,$G$102:$G$104,"COMPLETED")=COUNTIF($B$102:$B$104,3),"COMPLETED",IF(COUNTIFS($B$102:$B$104,3,$G$102:$G$104,"BLOCKED")&gt;0,"BLOCKED",IF(COUNTIFS($B$102:$B$104,3,$G$102:$G$104,"YET TO START")=COUNTIF($B$102:$B$104,3),"YET TO START","IN PROGRESS")))</f>
        <v/>
      </c>
      <c r="H101" s="30" t="n"/>
      <c r="I101" s="30" t="n"/>
      <c r="J101" s="27">
        <f>(COUNTIFS($B$102:$B$104,3,$J$102:$J$104,"DONE")+COUNTIFS($B$102:$B$104,3,$J$102:$J$104,"DONE-SANDBOX"))&amp;" / "&amp;COUNTIFS($B$102:$B$104,3,$J$102:$J$104,"&lt;&gt;")&amp;" batch steps done"</f>
        <v/>
      </c>
    </row>
    <row r="102" ht="15" customFormat="1" customHeight="1" s="2">
      <c r="A102" s="12" t="inlineStr">
        <is>
          <t>F6.2.1</t>
        </is>
      </c>
      <c r="B102" s="10" t="n">
        <v>3</v>
      </c>
      <c r="C102" s="33" t="inlineStr">
        <is>
          <t>Report an issue - grievance ticket</t>
        </is>
      </c>
      <c r="D102" s="12" t="inlineStr">
        <is>
          <t>Customer / Operator</t>
        </is>
      </c>
      <c r="E102" s="12" t="inlineStr">
        <is>
          <t>GS-056</t>
        </is>
      </c>
      <c r="F102" s="10" t="n"/>
      <c r="G102" s="10" t="inlineStr">
        <is>
          <t>COMPLETED</t>
        </is>
      </c>
      <c r="H102" s="12" t="inlineStr">
        <is>
          <t>#11</t>
        </is>
      </c>
      <c r="I102" s="12" t="inlineStr">
        <is>
          <t>-</t>
        </is>
      </c>
    </row>
    <row r="103" ht="15" customFormat="1" customHeight="1" s="2">
      <c r="A103" s="12" t="inlineStr">
        <is>
          <t>F6.2.2</t>
        </is>
      </c>
      <c r="B103" s="10" t="n">
        <v>3</v>
      </c>
      <c r="C103" s="33" t="inlineStr">
        <is>
          <t>Return request, pickup and refund to wallet</t>
        </is>
      </c>
      <c r="D103" s="12" t="inlineStr">
        <is>
          <t>Customer / Operator</t>
        </is>
      </c>
      <c r="E103" s="12" t="inlineStr">
        <is>
          <t>GS-057, WF-007</t>
        </is>
      </c>
      <c r="F103" s="10" t="n"/>
      <c r="G103" s="10" t="inlineStr">
        <is>
          <t>COMPLETED</t>
        </is>
      </c>
      <c r="H103" s="12" t="inlineStr">
        <is>
          <t>#10; #23</t>
        </is>
      </c>
      <c r="I103" s="12" t="inlineStr">
        <is>
          <t>-</t>
        </is>
      </c>
    </row>
    <row r="104" ht="15" customFormat="1" customHeight="1" s="2">
      <c r="A104" s="12" t="inlineStr">
        <is>
          <t>F6.2.3</t>
        </is>
      </c>
      <c r="B104" s="10" t="n">
        <v>3</v>
      </c>
      <c r="C104" s="33" t="inlineStr">
        <is>
          <t>Refund to card / UPI</t>
        </is>
      </c>
      <c r="D104" s="12" t="inlineStr">
        <is>
          <t>Customer / Operator</t>
        </is>
      </c>
      <c r="E104" s="12" t="inlineStr">
        <is>
          <t>GS-073</t>
        </is>
      </c>
      <c r="F104" s="10" t="n"/>
      <c r="G104" s="10" t="inlineStr">
        <is>
          <t>COMPLETED</t>
        </is>
      </c>
      <c r="H104" s="12" t="inlineStr">
        <is>
          <t>#190, #194</t>
        </is>
      </c>
      <c r="I104" s="12" t="inlineStr">
        <is>
          <t>DONE-SANDBOX (18 Oct batch): Itemised refund breakdown; customer chooses original method (gateway refund API, intent &gt; REFUNDED/PARTIALLY_REFUNDED) or instant wallet (wallet created if missing); wallet/COD orders refund to wallet; email + push; refund timeline in the order. Original-method refunds live with onlinePayments.</t>
        </is>
      </c>
      <c r="J104" s="39" t="inlineStr">
        <is>
          <t>DONE-SANDBOX</t>
        </is>
      </c>
      <c r="K104" t="inlineStr">
        <is>
          <t>#190, #194</t>
        </is>
      </c>
      <c r="L104" s="23" t="inlineStr">
        <is>
          <t>Itemised refund breakdown; customer chooses original method (gateway refund API, intent &gt; REFUNDED/PARTIALLY_REFUNDED) or instant wallet (wallet created if missing); wallet/COD orders refund to wallet; email + push; refund timeline in the order. Original-method refunds live with onlinePayments.</t>
        </is>
      </c>
    </row>
    <row r="105" ht="15" customFormat="1" customHeight="1" s="2">
      <c r="A105" s="30" t="inlineStr">
        <is>
          <t>F6.3</t>
        </is>
      </c>
      <c r="B105" s="31" t="n">
        <v>2</v>
      </c>
      <c r="C105" s="32" t="inlineStr">
        <is>
          <t>F6.3  Disputes</t>
        </is>
      </c>
      <c r="D105" s="30" t="n"/>
      <c r="E105" s="30" t="n"/>
      <c r="F105" s="31">
        <f>COUNTIFS($B$106:$B$108,3,$G$106:$G$108,"COMPLETED")&amp;" / "&amp;COUNTIF($B$106:$B$108,3)</f>
        <v/>
      </c>
      <c r="G105" s="31">
        <f>IF(COUNTIFS($B$106:$B$108,3,$G$106:$G$108,"COMPLETED")=COUNTIF($B$106:$B$108,3),"COMPLETED",IF(COUNTIFS($B$106:$B$108,3,$G$106:$G$108,"BLOCKED")&gt;0,"BLOCKED",IF(COUNTIFS($B$106:$B$108,3,$G$106:$G$108,"YET TO START")=COUNTIF($B$106:$B$108,3),"YET TO START","IN PROGRESS")))</f>
        <v/>
      </c>
      <c r="H105" s="30" t="n"/>
      <c r="I105" s="30" t="n"/>
      <c r="J105" s="27">
        <f>(COUNTIFS($B$106:$B$108,3,$J$106:$J$108,"DONE")+COUNTIFS($B$106:$B$108,3,$J$106:$J$108,"DONE-SANDBOX"))&amp;" / "&amp;COUNTIFS($B$106:$B$108,3,$J$106:$J$108,"&lt;&gt;")&amp;" batch steps done"</f>
        <v/>
      </c>
    </row>
    <row r="106" ht="15" customFormat="1" customHeight="1" s="2">
      <c r="A106" s="12" t="inlineStr">
        <is>
          <t>F6.3.1</t>
        </is>
      </c>
      <c r="B106" s="10" t="n">
        <v>3</v>
      </c>
      <c r="C106" s="33" t="inlineStr">
        <is>
          <t>Dispute case lifecycle with auto-escalation</t>
        </is>
      </c>
      <c r="D106" s="12" t="inlineStr">
        <is>
          <t>Customer / Operator</t>
        </is>
      </c>
      <c r="E106" s="12" t="inlineStr">
        <is>
          <t>GS-058</t>
        </is>
      </c>
      <c r="F106" s="10" t="n"/>
      <c r="G106" s="10" t="inlineStr">
        <is>
          <t>COMPLETED</t>
        </is>
      </c>
      <c r="H106" s="12" t="inlineStr">
        <is>
          <t>#40</t>
        </is>
      </c>
      <c r="I106" s="12" t="inlineStr">
        <is>
          <t>-</t>
        </is>
      </c>
    </row>
    <row r="107" ht="15" customFormat="1" customHeight="1" s="2">
      <c r="A107" s="12" t="inlineStr">
        <is>
          <t>F6.3.2</t>
        </is>
      </c>
      <c r="B107" s="10" t="n">
        <v>3</v>
      </c>
      <c r="C107" s="33" t="inlineStr">
        <is>
          <t>Conversation, attachments, 24 h SLA</t>
        </is>
      </c>
      <c r="D107" s="12" t="inlineStr">
        <is>
          <t>Customer / Operator</t>
        </is>
      </c>
      <c r="E107" s="12" t="inlineStr">
        <is>
          <t>NEW-031</t>
        </is>
      </c>
      <c r="F107" s="10" t="n"/>
      <c r="G107" s="10" t="inlineStr">
        <is>
          <t>COMPLETED</t>
        </is>
      </c>
      <c r="H107" s="12" t="inlineStr">
        <is>
          <t>#89; #120</t>
        </is>
      </c>
      <c r="I107" s="12" t="inlineStr">
        <is>
          <t>Live on gokesari.com since #120 (9 Oct)</t>
        </is>
      </c>
    </row>
    <row r="108" ht="15" customFormat="1" customHeight="1" s="2">
      <c r="A108" s="12" t="inlineStr">
        <is>
          <t>F6.3.3</t>
        </is>
      </c>
      <c r="B108" s="10" t="n">
        <v>3</v>
      </c>
      <c r="C108" s="33" t="inlineStr">
        <is>
          <t>Issue state machine scope (SM-006)</t>
        </is>
      </c>
      <c r="D108" s="12" t="inlineStr">
        <is>
          <t>Customer / Operator</t>
        </is>
      </c>
      <c r="E108" s="12" t="inlineStr">
        <is>
          <t>SM-006</t>
        </is>
      </c>
      <c r="F108" s="10" t="n"/>
      <c r="G108" s="10" t="inlineStr">
        <is>
          <t>COMPLETED</t>
        </is>
      </c>
      <c r="H108" s="12" t="inlineStr">
        <is>
          <t>#190, #194</t>
        </is>
      </c>
      <c r="I108" s="12" t="inlineStr">
        <is>
          <t>DONE (18 Oct batch): Ticket state machine (OPEN&gt;ACK&gt;IN_PROGRESS&gt;AWAITING_CUSTOMER/SHOP&gt;RESOLVED&gt;CLOSED + REOPENED/ESCALATED), portal + from the order, attachments, queues, assignment, internal notes, canned replies, SLA timers + escalation (Rule 4: 48 h / one month, configurable), CSAT, notify every change, Grievance Officer editable in Admin. Counsel to confirm the rule text.</t>
        </is>
      </c>
      <c r="J108" s="37" t="inlineStr">
        <is>
          <t>DONE</t>
        </is>
      </c>
      <c r="K108" t="inlineStr">
        <is>
          <t>#190, #194</t>
        </is>
      </c>
      <c r="L108" s="23" t="inlineStr">
        <is>
          <t>Ticket state machine (OPEN&gt;ACK&gt;IN_PROGRESS&gt;AWAITING_CUSTOMER/SHOP&gt;RESOLVED&gt;CLOSED + REOPENED/ESCALATED), portal + from the order, attachments, queues, assignment, internal notes, canned replies, SLA timers + escalation (Rule 4: 48 h / one month, configurable), CSAT, notify every change, Grievance Officer editable in Admin. Counsel to confirm the rule text.</t>
        </is>
      </c>
    </row>
    <row r="109" ht="15" customFormat="1" customHeight="1" s="2">
      <c r="A109" s="30" t="inlineStr">
        <is>
          <t>F6.4</t>
        </is>
      </c>
      <c r="B109" s="31" t="n">
        <v>2</v>
      </c>
      <c r="C109" s="32" t="inlineStr">
        <is>
          <t>F6.4  Ratings</t>
        </is>
      </c>
      <c r="D109" s="30" t="n"/>
      <c r="E109" s="30" t="n"/>
      <c r="F109" s="31">
        <f>COUNTIFS($B$110:$B$110,3,$G$110:$G$110,"COMPLETED")&amp;" / "&amp;COUNTIF($B$110:$B$110,3)</f>
        <v/>
      </c>
      <c r="G109" s="31">
        <f>IF(COUNTIFS($B$110:$B$110,3,$G$110:$G$110,"COMPLETED")=COUNTIF($B$110:$B$110,3),"COMPLETED",IF(COUNTIFS($B$110:$B$110,3,$G$110:$G$110,"BLOCKED")&gt;0,"BLOCKED",IF(COUNTIFS($B$110:$B$110,3,$G$110:$G$110,"YET TO START")=COUNTIF($B$110:$B$110,3),"YET TO START","IN PROGRESS")))</f>
        <v/>
      </c>
      <c r="H109" s="30" t="n"/>
      <c r="I109" s="30" t="n"/>
      <c r="J109" s="27">
        <f>(COUNTIFS($B$110:$B$110,3,$J$110:$J$110,"DONE")+COUNTIFS($B$110:$B$110,3,$J$110:$J$110,"DONE-SANDBOX"))&amp;" / "&amp;COUNTIFS($B$110:$B$110,3,$J$110:$J$110,"&lt;&gt;")&amp;" batch steps done"</f>
        <v/>
      </c>
    </row>
    <row r="110" ht="15" customFormat="1" customHeight="1" s="2">
      <c r="A110" s="12" t="inlineStr">
        <is>
          <t>F6.4.1</t>
        </is>
      </c>
      <c r="B110" s="10" t="n">
        <v>3</v>
      </c>
      <c r="C110" s="33" t="inlineStr">
        <is>
          <t>Shop and rider ratings with moderation</t>
        </is>
      </c>
      <c r="D110" s="12" t="inlineStr">
        <is>
          <t>Customer / Operator</t>
        </is>
      </c>
      <c r="E110" s="12" t="inlineStr">
        <is>
          <t>GS-059, GS-060</t>
        </is>
      </c>
      <c r="F110" s="10" t="n"/>
      <c r="G110" s="10" t="inlineStr">
        <is>
          <t>COMPLETED</t>
        </is>
      </c>
      <c r="H110" s="12" t="inlineStr">
        <is>
          <t>#11</t>
        </is>
      </c>
      <c r="I110" s="12" t="inlineStr">
        <is>
          <t>-</t>
        </is>
      </c>
    </row>
    <row r="111" ht="18" customFormat="1" customHeight="1" s="2">
      <c r="A111" s="28" t="inlineStr">
        <is>
          <t>F7</t>
        </is>
      </c>
      <c r="B111" s="29" t="n">
        <v>1</v>
      </c>
      <c r="C111" s="28" t="inlineStr">
        <is>
          <t>F7  Subscriptions</t>
        </is>
      </c>
      <c r="D111" s="28" t="inlineStr">
        <is>
          <t>Customer / System</t>
        </is>
      </c>
      <c r="E111" s="28" t="n"/>
      <c r="F111" s="29">
        <f>COUNTIFS($B$112:$B$119,3,$G$112:$G$119,"COMPLETED")&amp;" / "&amp;COUNTIF($B$112:$B$119,3)</f>
        <v/>
      </c>
      <c r="G111" s="29">
        <f>IF(COUNTIFS($B$112:$B$119,3,$G$112:$G$119,"COMPLETED")=COUNTIF($B$112:$B$119,3),"COMPLETED",IF(COUNTIFS($B$112:$B$119,3,$G$112:$G$119,"BLOCKED")&gt;0,"BLOCKED",IF(COUNTIFS($B$112:$B$119,3,$G$112:$G$119,"YET TO START")=COUNTIF($B$112:$B$119,3),"YET TO START","IN PROGRESS")))</f>
        <v/>
      </c>
      <c r="H111" s="28" t="n"/>
      <c r="I111" s="28" t="n"/>
      <c r="J111" s="27">
        <f>(COUNTIFS($B$112:$B$119,3,$J$112:$J$119,"DONE")+COUNTIFS($B$112:$B$119,3,$J$112:$J$119,"DONE-SANDBOX"))&amp;" / "&amp;COUNTIFS($B$112:$B$119,3,$J$112:$J$119,"&lt;&gt;")&amp;" batch steps done"</f>
        <v/>
      </c>
    </row>
    <row r="112" ht="15" customFormat="1" customHeight="1" s="2">
      <c r="A112" s="30" t="inlineStr">
        <is>
          <t>F7.1</t>
        </is>
      </c>
      <c r="B112" s="31" t="n">
        <v>2</v>
      </c>
      <c r="C112" s="32" t="inlineStr">
        <is>
          <t>F7.1  Set up</t>
        </is>
      </c>
      <c r="D112" s="30" t="n"/>
      <c r="E112" s="30" t="n"/>
      <c r="F112" s="31">
        <f>COUNTIFS($B$113:$B$113,3,$G$113:$G$113,"COMPLETED")&amp;" / "&amp;COUNTIF($B$113:$B$113,3)</f>
        <v/>
      </c>
      <c r="G112" s="31">
        <f>IF(COUNTIFS($B$113:$B$113,3,$G$113:$G$113,"COMPLETED")=COUNTIF($B$113:$B$113,3),"COMPLETED",IF(COUNTIFS($B$113:$B$113,3,$G$113:$G$113,"BLOCKED")&gt;0,"BLOCKED",IF(COUNTIFS($B$113:$B$113,3,$G$113:$G$113,"YET TO START")=COUNTIF($B$113:$B$113,3),"YET TO START","IN PROGRESS")))</f>
        <v/>
      </c>
      <c r="H112" s="30" t="n"/>
      <c r="I112" s="30" t="n"/>
      <c r="J112" s="27">
        <f>(COUNTIFS($B$113:$B$113,3,$J$113:$J$113,"DONE")+COUNTIFS($B$113:$B$113,3,$J$113:$J$113,"DONE-SANDBOX"))&amp;" / "&amp;COUNTIFS($B$113:$B$113,3,$J$113:$J$113,"&lt;&gt;")&amp;" batch steps done"</f>
        <v/>
      </c>
    </row>
    <row r="113" ht="15" customFormat="1" customHeight="1" s="2">
      <c r="A113" s="12" t="inlineStr">
        <is>
          <t>F7.1.1</t>
        </is>
      </c>
      <c r="B113" s="10" t="n">
        <v>3</v>
      </c>
      <c r="C113" s="33" t="inlineStr">
        <is>
          <t>Milk, vegetables and daily-goods subscriptions (draft, active)</t>
        </is>
      </c>
      <c r="D113" s="12" t="inlineStr">
        <is>
          <t>Customer / System</t>
        </is>
      </c>
      <c r="E113" s="12" t="inlineStr">
        <is>
          <t>GS-048, GS-049, SM-004</t>
        </is>
      </c>
      <c r="F113" s="10" t="n"/>
      <c r="G113" s="10" t="inlineStr">
        <is>
          <t>COMPLETED</t>
        </is>
      </c>
      <c r="H113" s="12" t="inlineStr">
        <is>
          <t>Baseline; #11; #58</t>
        </is>
      </c>
      <c r="I113" s="12" t="inlineStr">
        <is>
          <t>-</t>
        </is>
      </c>
    </row>
    <row r="114" ht="15" customFormat="1" customHeight="1" s="2">
      <c r="A114" s="30" t="inlineStr">
        <is>
          <t>F7.2</t>
        </is>
      </c>
      <c r="B114" s="31" t="n">
        <v>2</v>
      </c>
      <c r="C114" s="32" t="inlineStr">
        <is>
          <t>F7.2  Manage</t>
        </is>
      </c>
      <c r="D114" s="30" t="n"/>
      <c r="E114" s="30" t="n"/>
      <c r="F114" s="31">
        <f>COUNTIFS($B$115:$B$115,3,$G$115:$G$115,"COMPLETED")&amp;" / "&amp;COUNTIF($B$115:$B$115,3)</f>
        <v/>
      </c>
      <c r="G114" s="31">
        <f>IF(COUNTIFS($B$115:$B$115,3,$G$115:$G$115,"COMPLETED")=COUNTIF($B$115:$B$115,3),"COMPLETED",IF(COUNTIFS($B$115:$B$115,3,$G$115:$G$115,"BLOCKED")&gt;0,"BLOCKED",IF(COUNTIFS($B$115:$B$115,3,$G$115:$G$115,"YET TO START")=COUNTIF($B$115:$B$115,3),"YET TO START","IN PROGRESS")))</f>
        <v/>
      </c>
      <c r="H114" s="30" t="n"/>
      <c r="I114" s="30" t="n"/>
      <c r="J114" s="27">
        <f>(COUNTIFS($B$115:$B$115,3,$J$115:$J$115,"DONE")+COUNTIFS($B$115:$B$115,3,$J$115:$J$115,"DONE-SANDBOX"))&amp;" / "&amp;COUNTIFS($B$115:$B$115,3,$J$115:$J$115,"&lt;&gt;")&amp;" batch steps done"</f>
        <v/>
      </c>
    </row>
    <row r="115" ht="15" customFormat="1" customHeight="1" s="2">
      <c r="A115" s="12" t="inlineStr">
        <is>
          <t>F7.2.1</t>
        </is>
      </c>
      <c r="B115" s="10" t="n">
        <v>3</v>
      </c>
      <c r="C115" s="33" t="inlineStr">
        <is>
          <t>Skip, pause, resume, cancel with cut-offs; Tomorrow's delivery card</t>
        </is>
      </c>
      <c r="D115" s="12" t="inlineStr">
        <is>
          <t>Customer / System</t>
        </is>
      </c>
      <c r="E115" s="12" t="inlineStr">
        <is>
          <t>GS-051, NEW-019</t>
        </is>
      </c>
      <c r="F115" s="10" t="n"/>
      <c r="G115" s="10" t="inlineStr">
        <is>
          <t>COMPLETED</t>
        </is>
      </c>
      <c r="H115" s="12" t="inlineStr">
        <is>
          <t>Baseline; #11; #83</t>
        </is>
      </c>
      <c r="I115" s="12" t="inlineStr">
        <is>
          <t>-</t>
        </is>
      </c>
    </row>
    <row r="116" ht="15" customFormat="1" customHeight="1" s="2">
      <c r="A116" s="30" t="inlineStr">
        <is>
          <t>F7.3</t>
        </is>
      </c>
      <c r="B116" s="31" t="n">
        <v>2</v>
      </c>
      <c r="C116" s="32" t="inlineStr">
        <is>
          <t>F7.3  Run</t>
        </is>
      </c>
      <c r="D116" s="30" t="n"/>
      <c r="E116" s="30" t="n"/>
      <c r="F116" s="31">
        <f>COUNTIFS($B$117:$B$119,3,$G$117:$G$119,"COMPLETED")&amp;" / "&amp;COUNTIF($B$117:$B$119,3)</f>
        <v/>
      </c>
      <c r="G116" s="31">
        <f>IF(COUNTIFS($B$117:$B$119,3,$G$117:$G$119,"COMPLETED")=COUNTIF($B$117:$B$119,3),"COMPLETED",IF(COUNTIFS($B$117:$B$119,3,$G$117:$G$119,"BLOCKED")&gt;0,"BLOCKED",IF(COUNTIFS($B$117:$B$119,3,$G$117:$G$119,"YET TO START")=COUNTIF($B$117:$B$119,3),"YET TO START","IN PROGRESS")))</f>
        <v/>
      </c>
      <c r="H116" s="30" t="n"/>
      <c r="I116" s="30" t="n"/>
      <c r="J116" s="27">
        <f>(COUNTIFS($B$117:$B$119,3,$J$117:$J$119,"DONE")+COUNTIFS($B$117:$B$119,3,$J$117:$J$119,"DONE-SANDBOX"))&amp;" / "&amp;COUNTIFS($B$117:$B$119,3,$J$117:$J$119,"&lt;&gt;")&amp;" batch steps done"</f>
        <v/>
      </c>
    </row>
    <row r="117" ht="15" customFormat="1" customHeight="1" s="2">
      <c r="A117" s="12" t="inlineStr">
        <is>
          <t>F7.3.1</t>
        </is>
      </c>
      <c r="B117" s="10" t="n">
        <v>3</v>
      </c>
      <c r="C117" s="33" t="inlineStr">
        <is>
          <t>Daily order generation (idempotent)</t>
        </is>
      </c>
      <c r="D117" s="12" t="inlineStr">
        <is>
          <t>Customer / System</t>
        </is>
      </c>
      <c r="E117" s="12" t="inlineStr">
        <is>
          <t>WF-006</t>
        </is>
      </c>
      <c r="F117" s="10" t="n"/>
      <c r="G117" s="10" t="inlineStr">
        <is>
          <t>COMPLETED</t>
        </is>
      </c>
      <c r="H117" s="12" t="inlineStr">
        <is>
          <t>Baseline; #11</t>
        </is>
      </c>
      <c r="I117" s="12" t="inlineStr">
        <is>
          <t>-</t>
        </is>
      </c>
    </row>
    <row r="118" ht="15" customFormat="1" customHeight="1" s="2">
      <c r="A118" s="12" t="inlineStr">
        <is>
          <t>F7.3.2</t>
        </is>
      </c>
      <c r="B118" s="10" t="n">
        <v>3</v>
      </c>
      <c r="C118" s="33" t="inlineStr">
        <is>
          <t>Wallet charge; payment pending; renewal pending</t>
        </is>
      </c>
      <c r="D118" s="12" t="inlineStr">
        <is>
          <t>Customer / System</t>
        </is>
      </c>
      <c r="E118" s="12" t="inlineStr">
        <is>
          <t>GS-050, SM-004</t>
        </is>
      </c>
      <c r="F118" s="10" t="n"/>
      <c r="G118" s="10" t="inlineStr">
        <is>
          <t>COMPLETED</t>
        </is>
      </c>
      <c r="H118" s="12" t="inlineStr">
        <is>
          <t>Baseline; #58</t>
        </is>
      </c>
      <c r="I118" s="12" t="inlineStr">
        <is>
          <t>-</t>
        </is>
      </c>
    </row>
    <row r="119" ht="15" customFormat="1" customHeight="1" s="2">
      <c r="A119" s="12" t="inlineStr">
        <is>
          <t>F7.3.3</t>
        </is>
      </c>
      <c r="B119" s="10" t="n">
        <v>3</v>
      </c>
      <c r="C119" s="33" t="inlineStr">
        <is>
          <t>Fulfilment and delivery through the normal flow; per-date status</t>
        </is>
      </c>
      <c r="D119" s="12" t="inlineStr">
        <is>
          <t>Customer / System</t>
        </is>
      </c>
      <c r="E119" s="12" t="inlineStr">
        <is>
          <t>WF-006, NAV-005</t>
        </is>
      </c>
      <c r="F119" s="10" t="n"/>
      <c r="G119" s="10" t="inlineStr">
        <is>
          <t>COMPLETED</t>
        </is>
      </c>
      <c r="H119" s="12" t="inlineStr">
        <is>
          <t>#58</t>
        </is>
      </c>
      <c r="I119" s="12" t="inlineStr">
        <is>
          <t>-</t>
        </is>
      </c>
    </row>
    <row r="120" ht="18" customFormat="1" customHeight="1" s="2">
      <c r="A120" s="28" t="inlineStr">
        <is>
          <t>F8</t>
        </is>
      </c>
      <c r="B120" s="29" t="n">
        <v>1</v>
      </c>
      <c r="C120" s="28" t="inlineStr">
        <is>
          <t>F8  Shop onboarding and seller verification</t>
        </is>
      </c>
      <c r="D120" s="28" t="inlineStr">
        <is>
          <t>Shop owner / Operator</t>
        </is>
      </c>
      <c r="E120" s="28" t="n"/>
      <c r="F120" s="29">
        <f>COUNTIFS($B$121:$B$143,3,$G$121:$G$143,"COMPLETED")&amp;" / "&amp;COUNTIF($B$121:$B$143,3)</f>
        <v/>
      </c>
      <c r="G120" s="29">
        <f>IF(COUNTIFS($B$121:$B$143,3,$G$121:$G$143,"COMPLETED")=COUNTIF($B$121:$B$143,3),"COMPLETED",IF(COUNTIFS($B$121:$B$143,3,$G$121:$G$143,"BLOCKED")&gt;0,"BLOCKED",IF(COUNTIFS($B$121:$B$143,3,$G$121:$G$143,"YET TO START")=COUNTIF($B$121:$B$143,3),"YET TO START","IN PROGRESS")))</f>
        <v/>
      </c>
      <c r="H120" s="28" t="n"/>
      <c r="I120" s="28" t="n"/>
      <c r="J120" s="27">
        <f>(COUNTIFS($B$121:$B$143,3,$J$121:$J$143,"DONE")+COUNTIFS($B$121:$B$143,3,$J$121:$J$143,"DONE-SANDBOX"))&amp;" / "&amp;COUNTIFS($B$121:$B$143,3,$J$121:$J$143,"&lt;&gt;")&amp;" batch steps done"</f>
        <v/>
      </c>
    </row>
    <row r="121" ht="15" customFormat="1" customHeight="1" s="2">
      <c r="A121" s="30" t="inlineStr">
        <is>
          <t>F8.1</t>
        </is>
      </c>
      <c r="B121" s="31" t="n">
        <v>2</v>
      </c>
      <c r="C121" s="32" t="inlineStr">
        <is>
          <t>F8.1  Register</t>
        </is>
      </c>
      <c r="D121" s="30" t="n"/>
      <c r="E121" s="30" t="n"/>
      <c r="F121" s="31">
        <f>COUNTIFS($B$122:$B$125,3,$G$122:$G$125,"COMPLETED")&amp;" / "&amp;COUNTIF($B$122:$B$125,3)</f>
        <v/>
      </c>
      <c r="G121" s="31">
        <f>IF(COUNTIFS($B$122:$B$125,3,$G$122:$G$125,"COMPLETED")=COUNTIF($B$122:$B$125,3),"COMPLETED",IF(COUNTIFS($B$122:$B$125,3,$G$122:$G$125,"BLOCKED")&gt;0,"BLOCKED",IF(COUNTIFS($B$122:$B$125,3,$G$122:$G$125,"YET TO START")=COUNTIF($B$122:$B$125,3),"YET TO START","IN PROGRESS")))</f>
        <v/>
      </c>
      <c r="H121" s="30" t="n"/>
      <c r="I121" s="30" t="n"/>
      <c r="J121" s="27">
        <f>(COUNTIFS($B$122:$B$125,3,$J$122:$J$125,"DONE")+COUNTIFS($B$122:$B$125,3,$J$122:$J$125,"DONE-SANDBOX"))&amp;" / "&amp;COUNTIFS($B$122:$B$125,3,$J$122:$J$125,"&lt;&gt;")&amp;" batch steps done"</f>
        <v/>
      </c>
    </row>
    <row r="122" ht="27" customFormat="1" customHeight="1" s="2">
      <c r="A122" s="12" t="inlineStr">
        <is>
          <t>F8.1.1</t>
        </is>
      </c>
      <c r="B122" s="10" t="n">
        <v>3</v>
      </c>
      <c r="C122" s="33" t="inlineStr">
        <is>
          <t>Register a shop (duplicate guard, at least one ID, GST field)</t>
        </is>
      </c>
      <c r="D122" s="12" t="inlineStr">
        <is>
          <t>Shop owner / Operator</t>
        </is>
      </c>
      <c r="E122" s="12" t="inlineStr">
        <is>
          <t>GS-006</t>
        </is>
      </c>
      <c r="F122" s="10" t="n"/>
      <c r="G122" s="10" t="inlineStr">
        <is>
          <t>COMPLETED</t>
        </is>
      </c>
      <c r="H122" s="12" t="inlineStr">
        <is>
          <t>#22; #45</t>
        </is>
      </c>
      <c r="I122" s="12" t="inlineStr">
        <is>
          <t>-</t>
        </is>
      </c>
    </row>
    <row r="123" ht="51" customFormat="1" customHeight="1" s="2">
      <c r="A123" s="12" t="inlineStr">
        <is>
          <t>F8.1.2</t>
        </is>
      </c>
      <c r="B123" s="10" t="n">
        <v>3</v>
      </c>
      <c r="C123" s="33" t="inlineStr">
        <is>
          <t>Self-registration with auto-approval and fee tiers</t>
        </is>
      </c>
      <c r="D123" s="12" t="inlineStr">
        <is>
          <t>Shop owner / Operator</t>
        </is>
      </c>
      <c r="E123" s="12" t="inlineStr">
        <is>
          <t>NEW-038</t>
        </is>
      </c>
      <c r="F123" s="10" t="n"/>
      <c r="G123" s="10" t="inlineStr">
        <is>
          <t>COMPLETED</t>
        </is>
      </c>
      <c r="H123" s="12" t="inlineStr">
        <is>
          <t>#92; #120</t>
        </is>
      </c>
      <c r="I123" s="12" t="inlineStr">
        <is>
          <t>On gokesari.com since #120 (9 Oct), switched off by default - switch on in Admin &gt; Business rules; needs a real SMS/WhatsApp provider before it can be switched on</t>
        </is>
      </c>
    </row>
    <row r="124" ht="39" customFormat="1" customHeight="1" s="2">
      <c r="A124" s="12" t="inlineStr">
        <is>
          <t>F8.1.3</t>
        </is>
      </c>
      <c r="B124" s="10" t="n">
        <v>3</v>
      </c>
      <c r="C124" s="33" t="inlineStr">
        <is>
          <t>Mandatory referral code; 'Request a referral code' with location, emailed to referrals@</t>
        </is>
      </c>
      <c r="D124" s="12" t="inlineStr">
        <is>
          <t>Shop owner / Operator</t>
        </is>
      </c>
      <c r="E124" s="12" t="inlineStr">
        <is>
          <t>NEW-042, GS-054</t>
        </is>
      </c>
      <c r="F124" s="10" t="n"/>
      <c r="G124" s="10" t="inlineStr">
        <is>
          <t>COMPLETED</t>
        </is>
      </c>
      <c r="H124" s="12" t="inlineStr">
        <is>
          <t>#102; #103; #120</t>
        </is>
      </c>
      <c r="I124" s="12" t="inlineStr">
        <is>
          <t>On gokesari.com since #120 (9 Oct), switched off by default - switch on in Admin &gt; Business rules</t>
        </is>
      </c>
    </row>
    <row r="125" ht="27" customFormat="1" customHeight="1" s="2">
      <c r="A125" s="12" t="inlineStr">
        <is>
          <t>F8.1.4</t>
        </is>
      </c>
      <c r="B125" s="10" t="n">
        <v>3</v>
      </c>
      <c r="C125" s="33" t="inlineStr">
        <is>
          <t>Admin sets the referral code Mandatory or Optional for customers and shops</t>
        </is>
      </c>
      <c r="D125" s="12" t="inlineStr">
        <is>
          <t>Admin</t>
        </is>
      </c>
      <c r="E125" s="12" t="inlineStr">
        <is>
          <t>NEW-058</t>
        </is>
      </c>
      <c r="F125" s="10" t="n"/>
      <c r="G125" s="10" t="inlineStr">
        <is>
          <t>COMPLETED</t>
        </is>
      </c>
      <c r="H125" s="12" t="inlineStr">
        <is>
          <t>#133; #135</t>
        </is>
      </c>
      <c r="I125" s="12" t="inlineStr">
        <is>
          <t>Both OPTIONAL on production</t>
        </is>
      </c>
    </row>
    <row r="126" ht="15" customFormat="1" customHeight="1" s="2">
      <c r="A126" s="30" t="inlineStr">
        <is>
          <t>F8.2</t>
        </is>
      </c>
      <c r="B126" s="31" t="n">
        <v>2</v>
      </c>
      <c r="C126" s="32" t="inlineStr">
        <is>
          <t>F8.2  Verify</t>
        </is>
      </c>
      <c r="D126" s="30" t="n"/>
      <c r="E126" s="30" t="n"/>
      <c r="F126" s="31">
        <f>COUNTIFS($B$127:$B$133,3,$G$127:$G$133,"COMPLETED")&amp;" / "&amp;COUNTIF($B$127:$B$133,3)</f>
        <v/>
      </c>
      <c r="G126" s="31">
        <f>IF(COUNTIFS($B$127:$B$133,3,$G$127:$G$133,"COMPLETED")=COUNTIF($B$127:$B$133,3),"COMPLETED",IF(COUNTIFS($B$127:$B$133,3,$G$127:$G$133,"BLOCKED")&gt;0,"BLOCKED",IF(COUNTIFS($B$127:$B$133,3,$G$127:$G$133,"YET TO START")=COUNTIF($B$127:$B$133,3),"YET TO START","IN PROGRESS")))</f>
        <v/>
      </c>
      <c r="H126" s="30" t="n"/>
      <c r="I126" s="30" t="n"/>
      <c r="J126" s="27">
        <f>(COUNTIFS($B$127:$B$133,3,$J$127:$J$133,"DONE")+COUNTIFS($B$127:$B$133,3,$J$127:$J$133,"DONE-SANDBOX"))&amp;" / "&amp;COUNTIFS($B$127:$B$133,3,$J$127:$J$133,"&lt;&gt;")&amp;" batch steps done"</f>
        <v/>
      </c>
    </row>
    <row r="127" ht="27" customFormat="1" customHeight="1" s="2">
      <c r="A127" s="12" t="inlineStr">
        <is>
          <t>F8.2.1</t>
        </is>
      </c>
      <c r="B127" s="10" t="n">
        <v>3</v>
      </c>
      <c r="C127" s="33" t="inlineStr">
        <is>
          <t>Seller documents: PAN, GSTIN, Udyam, FSSAI, Shop Act</t>
        </is>
      </c>
      <c r="D127" s="12" t="inlineStr">
        <is>
          <t>Shop owner / Operator</t>
        </is>
      </c>
      <c r="E127" s="12" t="inlineStr">
        <is>
          <t>GS-007</t>
        </is>
      </c>
      <c r="F127" s="10" t="n"/>
      <c r="G127" s="10" t="inlineStr">
        <is>
          <t>COMPLETED</t>
        </is>
      </c>
      <c r="H127" s="12" t="inlineStr">
        <is>
          <t>#53</t>
        </is>
      </c>
      <c r="I127" s="12" t="inlineStr">
        <is>
          <t>Mock vendor until Gridlines keys are set</t>
        </is>
      </c>
    </row>
    <row r="128" ht="27" customFormat="1" customHeight="1" s="2">
      <c r="A128" s="12" t="inlineStr">
        <is>
          <t>F8.2.2</t>
        </is>
      </c>
      <c r="B128" s="10" t="n">
        <v>3</v>
      </c>
      <c r="C128" s="33" t="inlineStr">
        <is>
          <t>Real-time review events, 'more info', auto-approval</t>
        </is>
      </c>
      <c r="D128" s="12" t="inlineStr">
        <is>
          <t>Shop owner / Operator</t>
        </is>
      </c>
      <c r="E128" s="12" t="inlineStr">
        <is>
          <t>NEW-030</t>
        </is>
      </c>
      <c r="F128" s="10" t="n"/>
      <c r="G128" s="10" t="inlineStr">
        <is>
          <t>COMPLETED</t>
        </is>
      </c>
      <c r="H128" s="12" t="inlineStr">
        <is>
          <t>#89; #120</t>
        </is>
      </c>
      <c r="I128" s="12" t="inlineStr">
        <is>
          <t>Live on gokesari.com since #120 (9 Oct)</t>
        </is>
      </c>
    </row>
    <row r="129" ht="27" customFormat="1" customHeight="1" s="2">
      <c r="A129" s="12" t="inlineStr">
        <is>
          <t>F8.2.3</t>
        </is>
      </c>
      <c r="B129" s="10" t="n">
        <v>3</v>
      </c>
      <c r="C129" s="33" t="inlineStr">
        <is>
          <t>Registration fee paid before approval</t>
        </is>
      </c>
      <c r="D129" s="12" t="inlineStr">
        <is>
          <t>Shop owner / Operator</t>
        </is>
      </c>
      <c r="E129" s="12" t="inlineStr">
        <is>
          <t>GS-008</t>
        </is>
      </c>
      <c r="F129" s="10" t="n"/>
      <c r="G129" s="10" t="inlineStr">
        <is>
          <t>COMPLETED</t>
        </is>
      </c>
      <c r="H129" s="12" t="inlineStr">
        <is>
          <t>#29</t>
        </is>
      </c>
      <c r="I129" s="12" t="inlineStr">
        <is>
          <t>-</t>
        </is>
      </c>
    </row>
    <row r="130" ht="27" customFormat="1" customHeight="1" s="2">
      <c r="A130" s="12" t="inlineStr">
        <is>
          <t>F8.2.4</t>
        </is>
      </c>
      <c r="B130" s="10" t="n">
        <v>3</v>
      </c>
      <c r="C130" s="33" t="inlineStr">
        <is>
          <t>Stages KYC pending -&gt; payment pending -&gt; verified -&gt; active</t>
        </is>
      </c>
      <c r="D130" s="12" t="inlineStr">
        <is>
          <t>Shop owner / Operator</t>
        </is>
      </c>
      <c r="E130" s="12" t="inlineStr">
        <is>
          <t>SM-002</t>
        </is>
      </c>
      <c r="F130" s="10" t="n"/>
      <c r="G130" s="10" t="inlineStr">
        <is>
          <t>COMPLETED</t>
        </is>
      </c>
      <c r="H130" s="12" t="inlineStr">
        <is>
          <t>#58</t>
        </is>
      </c>
      <c r="I130" s="12" t="inlineStr">
        <is>
          <t>-</t>
        </is>
      </c>
    </row>
    <row r="131" ht="39" customFormat="1" customHeight="1" s="2">
      <c r="A131" s="12" t="inlineStr">
        <is>
          <t>F8.2.5</t>
        </is>
      </c>
      <c r="B131" s="10" t="n">
        <v>3</v>
      </c>
      <c r="C131" s="33" t="inlineStr">
        <is>
          <t>Mandatory legal documents by shop type (FSSAI, drug licence, medical registration), grace period, expiry reminders, review</t>
        </is>
      </c>
      <c r="D131" s="12" t="inlineStr">
        <is>
          <t>Shop owner / Operator</t>
        </is>
      </c>
      <c r="E131" s="12" t="inlineStr">
        <is>
          <t>NEW-040, GS-007</t>
        </is>
      </c>
      <c r="F131" s="10" t="n"/>
      <c r="G131" s="10" t="inlineStr">
        <is>
          <t>COMPLETED</t>
        </is>
      </c>
      <c r="H131" s="12" t="inlineStr">
        <is>
          <t>#102; #103; #120</t>
        </is>
      </c>
      <c r="I131" s="12" t="inlineStr">
        <is>
          <t>On gokesari.com since #120 (9 Oct), switched off by default - switch on in Admin &gt; Business rules</t>
        </is>
      </c>
    </row>
    <row r="132" ht="39" customFormat="1" customHeight="1" s="2">
      <c r="A132" s="12" t="inlineStr">
        <is>
          <t>F8.2.6</t>
        </is>
      </c>
      <c r="B132" s="10" t="n">
        <v>3</v>
      </c>
      <c r="C132" s="33" t="inlineStr">
        <is>
          <t>Upload or photograph a document; auto-read fills the details; Verify &amp; Approve</t>
        </is>
      </c>
      <c r="D132" s="12" t="inlineStr">
        <is>
          <t>Shop owner / Operator</t>
        </is>
      </c>
      <c r="E132" s="12" t="inlineStr">
        <is>
          <t>NEW-062</t>
        </is>
      </c>
      <c r="F132" s="10" t="n"/>
      <c r="G132" s="10" t="inlineStr">
        <is>
          <t>COMPLETED</t>
        </is>
      </c>
      <c r="H132" s="12" t="inlineStr">
        <is>
          <t>#146-#149; #169; #175</t>
        </is>
      </c>
      <c r="I132" s="12" t="inlineStr">
        <is>
          <t>Photos read in the owner's browser on gokesari.com since 15 Oct (#175); PDFs on the server</t>
        </is>
      </c>
    </row>
    <row r="133" ht="27" customFormat="1" customHeight="1" s="2">
      <c r="A133" s="12" t="inlineStr">
        <is>
          <t>F8.2.7</t>
        </is>
      </c>
      <c r="B133" s="10" t="n">
        <v>3</v>
      </c>
      <c r="C133" s="33" t="inlineStr">
        <is>
          <t>FSSAI licence required before a food shop goes live</t>
        </is>
      </c>
      <c r="D133" s="12" t="inlineStr">
        <is>
          <t>Shop owner / Operator</t>
        </is>
      </c>
      <c r="E133" s="12" t="inlineStr">
        <is>
          <t>NEW-063</t>
        </is>
      </c>
      <c r="F133" s="10" t="n"/>
      <c r="G133" s="10" t="inlineStr">
        <is>
          <t>COMPLETED</t>
        </is>
      </c>
      <c r="H133" s="12" t="inlineStr">
        <is>
          <t>#146; #149</t>
        </is>
      </c>
      <c r="I133" s="12" t="inlineStr">
        <is>
          <t>Rule on</t>
        </is>
      </c>
    </row>
    <row r="134" ht="15" customFormat="1" customHeight="1" s="2">
      <c r="A134" s="30" t="inlineStr">
        <is>
          <t>F8.3</t>
        </is>
      </c>
      <c r="B134" s="31" t="n">
        <v>2</v>
      </c>
      <c r="C134" s="32" t="inlineStr">
        <is>
          <t>F8.3  Approve and set up</t>
        </is>
      </c>
      <c r="D134" s="30" t="n"/>
      <c r="E134" s="30" t="n"/>
      <c r="F134" s="31">
        <f>COUNTIFS($B$135:$B$138,3,$G$135:$G$138,"COMPLETED")&amp;" / "&amp;COUNTIF($B$135:$B$138,3)</f>
        <v/>
      </c>
      <c r="G134" s="31">
        <f>IF(COUNTIFS($B$135:$B$138,3,$G$135:$G$138,"COMPLETED")=COUNTIF($B$135:$B$138,3),"COMPLETED",IF(COUNTIFS($B$135:$B$138,3,$G$135:$G$138,"BLOCKED")&gt;0,"BLOCKED",IF(COUNTIFS($B$135:$B$138,3,$G$135:$G$138,"YET TO START")=COUNTIF($B$135:$B$138,3),"YET TO START","IN PROGRESS")))</f>
        <v/>
      </c>
      <c r="H134" s="30" t="n"/>
      <c r="I134" s="30" t="n"/>
      <c r="J134" s="27">
        <f>(COUNTIFS($B$135:$B$138,3,$J$135:$J$138,"DONE")+COUNTIFS($B$135:$B$138,3,$J$135:$J$138,"DONE-SANDBOX"))&amp;" / "&amp;COUNTIFS($B$135:$B$138,3,$J$135:$J$138,"&lt;&gt;")&amp;" batch steps done"</f>
        <v/>
      </c>
    </row>
    <row r="135" ht="27" customFormat="1" customHeight="1" s="2">
      <c r="A135" s="12" t="inlineStr">
        <is>
          <t>F8.3.1</t>
        </is>
      </c>
      <c r="B135" s="10" t="n">
        <v>3</v>
      </c>
      <c r="C135" s="33" t="inlineStr">
        <is>
          <t>Operator approval queue</t>
        </is>
      </c>
      <c r="D135" s="12" t="inlineStr">
        <is>
          <t>Shop owner / Operator</t>
        </is>
      </c>
      <c r="E135" s="12" t="inlineStr">
        <is>
          <t>RBAC-006, WF-008</t>
        </is>
      </c>
      <c r="F135" s="10" t="n"/>
      <c r="G135" s="10" t="inlineStr">
        <is>
          <t>COMPLETED</t>
        </is>
      </c>
      <c r="H135" s="12" t="inlineStr">
        <is>
          <t>Baseline; #53</t>
        </is>
      </c>
      <c r="I135" s="12" t="inlineStr">
        <is>
          <t>-</t>
        </is>
      </c>
    </row>
    <row r="136" ht="27" customFormat="1" customHeight="1" s="2">
      <c r="A136" s="12" t="inlineStr">
        <is>
          <t>F8.3.2</t>
        </is>
      </c>
      <c r="B136" s="10" t="n">
        <v>3</v>
      </c>
      <c r="C136" s="33" t="inlineStr">
        <is>
          <t>Shop categories, product categories, inventory fill, per-shop prices</t>
        </is>
      </c>
      <c r="D136" s="12" t="inlineStr">
        <is>
          <t>Shop owner / Operator</t>
        </is>
      </c>
      <c r="E136" s="12" t="inlineStr">
        <is>
          <t>GS-009, NEW-008, NEW-010</t>
        </is>
      </c>
      <c r="F136" s="10" t="n"/>
      <c r="G136" s="10" t="inlineStr">
        <is>
          <t>COMPLETED</t>
        </is>
      </c>
      <c r="H136" s="12" t="inlineStr">
        <is>
          <t>#23; #38; #45</t>
        </is>
      </c>
      <c r="I136" s="12" t="inlineStr">
        <is>
          <t>-</t>
        </is>
      </c>
    </row>
    <row r="137" ht="27" customFormat="1" customHeight="1" s="2">
      <c r="A137" s="12" t="inlineStr">
        <is>
          <t>F8.3.3</t>
        </is>
      </c>
      <c r="B137" s="10" t="n">
        <v>3</v>
      </c>
      <c r="C137" s="33" t="inlineStr">
        <is>
          <t>Service area: radius, extra PIN zones, minimum order, pause</t>
        </is>
      </c>
      <c r="D137" s="12" t="inlineStr">
        <is>
          <t>Shop owner / Operator</t>
        </is>
      </c>
      <c r="E137" s="12" t="inlineStr">
        <is>
          <t>GS-010, NEW-005</t>
        </is>
      </c>
      <c r="F137" s="10" t="n"/>
      <c r="G137" s="10" t="inlineStr">
        <is>
          <t>COMPLETED</t>
        </is>
      </c>
      <c r="H137" s="12" t="inlineStr">
        <is>
          <t>#10; #23</t>
        </is>
      </c>
      <c r="I137" s="12" t="inlineStr">
        <is>
          <t>-</t>
        </is>
      </c>
    </row>
    <row r="138" ht="27" customFormat="1" customHeight="1" s="2">
      <c r="A138" s="12" t="inlineStr">
        <is>
          <t>F8.3.4</t>
        </is>
      </c>
      <c r="B138" s="10" t="n">
        <v>3</v>
      </c>
      <c r="C138" s="33" t="inlineStr">
        <is>
          <t>Shop's own customer contact numbers (C1)</t>
        </is>
      </c>
      <c r="D138" s="12" t="inlineStr">
        <is>
          <t>Shop owner / Operator</t>
        </is>
      </c>
      <c r="E138" s="12" t="inlineStr">
        <is>
          <t>NEW-022</t>
        </is>
      </c>
      <c r="F138" s="10" t="n"/>
      <c r="G138" s="10" t="inlineStr">
        <is>
          <t>COMPLETED</t>
        </is>
      </c>
      <c r="H138" s="12" t="inlineStr">
        <is>
          <t>#85; #120</t>
        </is>
      </c>
      <c r="I138" s="12" t="inlineStr">
        <is>
          <t>Live on gokesari.com since #120 (9 Oct)</t>
        </is>
      </c>
    </row>
    <row r="139" ht="15" customFormat="1" customHeight="1" s="2">
      <c r="A139" s="30" t="inlineStr">
        <is>
          <t>F8.4</t>
        </is>
      </c>
      <c r="B139" s="31" t="n">
        <v>2</v>
      </c>
      <c r="C139" s="32" t="inlineStr">
        <is>
          <t>F8.4  Ongoing</t>
        </is>
      </c>
      <c r="D139" s="30" t="n"/>
      <c r="E139" s="30" t="n"/>
      <c r="F139" s="31">
        <f>COUNTIFS($B$140:$B$143,3,$G$140:$G$143,"COMPLETED")&amp;" / "&amp;COUNTIF($B$140:$B$143,3)</f>
        <v/>
      </c>
      <c r="G139" s="31">
        <f>IF(COUNTIFS($B$140:$B$143,3,$G$140:$G$143,"COMPLETED")=COUNTIF($B$140:$B$143,3),"COMPLETED",IF(COUNTIFS($B$140:$B$143,3,$G$140:$G$143,"BLOCKED")&gt;0,"BLOCKED",IF(COUNTIFS($B$140:$B$143,3,$G$140:$G$143,"YET TO START")=COUNTIF($B$140:$B$143,3),"YET TO START","IN PROGRESS")))</f>
        <v/>
      </c>
      <c r="H139" s="30" t="n"/>
      <c r="I139" s="30" t="n"/>
      <c r="J139" s="27">
        <f>(COUNTIFS($B$140:$B$143,3,$J$140:$J$143,"DONE")+COUNTIFS($B$140:$B$143,3,$J$140:$J$143,"DONE-SANDBOX"))&amp;" / "&amp;COUNTIFS($B$140:$B$143,3,$J$140:$J$143,"&lt;&gt;")&amp;" batch steps done"</f>
        <v/>
      </c>
    </row>
    <row r="140" ht="27" customFormat="1" customHeight="1" s="2">
      <c r="A140" s="12" t="inlineStr">
        <is>
          <t>F8.4.1</t>
        </is>
      </c>
      <c r="B140" s="10" t="n">
        <v>3</v>
      </c>
      <c r="C140" s="33" t="inlineStr">
        <is>
          <t>Suspension policy, impact preview, reinstatement</t>
        </is>
      </c>
      <c r="D140" s="12" t="inlineStr">
        <is>
          <t>Shop owner / Operator</t>
        </is>
      </c>
      <c r="E140" s="12" t="inlineStr">
        <is>
          <t>NEW-002</t>
        </is>
      </c>
      <c r="F140" s="10" t="n"/>
      <c r="G140" s="10" t="inlineStr">
        <is>
          <t>COMPLETED</t>
        </is>
      </c>
      <c r="H140" s="12" t="inlineStr">
        <is>
          <t>#23</t>
        </is>
      </c>
      <c r="I140" s="12" t="inlineStr">
        <is>
          <t>-</t>
        </is>
      </c>
    </row>
    <row r="141" ht="27" customFormat="1" customHeight="1" s="2">
      <c r="A141" s="12" t="inlineStr">
        <is>
          <t>F8.4.2</t>
        </is>
      </c>
      <c r="B141" s="10" t="n">
        <v>3</v>
      </c>
      <c r="C141" s="33" t="inlineStr">
        <is>
          <t>Operator 'Limited' shop management</t>
        </is>
      </c>
      <c r="D141" s="12" t="inlineStr">
        <is>
          <t>Shop owner / Operator</t>
        </is>
      </c>
      <c r="E141" s="12" t="inlineStr">
        <is>
          <t>RBAC-003</t>
        </is>
      </c>
      <c r="F141" s="10" t="n"/>
      <c r="G141" s="10" t="inlineStr">
        <is>
          <t>COMPLETED</t>
        </is>
      </c>
      <c r="H141" s="12" t="inlineStr">
        <is>
          <t>#190, #194</t>
        </is>
      </c>
      <c r="I141" s="12" t="inlineStr">
        <is>
          <t>DONE-SANDBOX (18 Oct batch): New OPERATOR_LIMITED role (live on test): onboard with owner email-OTP consent, verify documents (approve/reject + reason), referral code, complete registration; fee by payment link or in session via the gateway (sandbox), success &gt; auto-approve rule, else admin queue; no finance/payouts/settings/other operators' shops; every action audited.</t>
        </is>
      </c>
      <c r="J141" s="39" t="inlineStr">
        <is>
          <t>DONE-SANDBOX</t>
        </is>
      </c>
      <c r="K141" t="inlineStr">
        <is>
          <t>#190, #194</t>
        </is>
      </c>
      <c r="L141" s="23" t="inlineStr">
        <is>
          <t>New OPERATOR_LIMITED role (live on test): onboard with owner email-OTP consent, verify documents (approve/reject + reason), referral code, complete registration; fee by payment link or in session via the gateway (sandbox), success &gt; auto-approve rule, else admin queue; no finance/payouts/settings/other operators' shops; every action audited.</t>
        </is>
      </c>
    </row>
    <row r="142" ht="27" customFormat="1" customHeight="1" s="2">
      <c r="A142" s="12" t="inlineStr">
        <is>
          <t>F8.4.3</t>
        </is>
      </c>
      <c r="B142" s="10" t="n">
        <v>3</v>
      </c>
      <c r="C142" s="33" t="inlineStr">
        <is>
          <t>Seller Central workspace for shop owners and the 'Sell on GoKesari' page</t>
        </is>
      </c>
      <c r="D142" s="12" t="inlineStr">
        <is>
          <t>Shop owner</t>
        </is>
      </c>
      <c r="E142" s="12" t="inlineStr">
        <is>
          <t>NEW-060</t>
        </is>
      </c>
      <c r="F142" s="10" t="n"/>
      <c r="G142" s="10" t="inlineStr">
        <is>
          <t>COMPLETED</t>
        </is>
      </c>
      <c r="H142" s="12" t="inlineStr">
        <is>
          <t>#142; #143</t>
        </is>
      </c>
      <c r="I142" s="12" t="inlineStr">
        <is>
          <t>-</t>
        </is>
      </c>
    </row>
    <row r="143" ht="15" customFormat="1" customHeight="1" s="2">
      <c r="A143" s="12" t="inlineStr">
        <is>
          <t>F8.4.4</t>
        </is>
      </c>
      <c r="B143" s="10" t="n">
        <v>3</v>
      </c>
      <c r="C143" s="33" t="inlineStr">
        <is>
          <t>Owner with several shops switches shop in Seller Central</t>
        </is>
      </c>
      <c r="D143" s="12" t="inlineStr">
        <is>
          <t>Shop owner</t>
        </is>
      </c>
      <c r="E143" s="12" t="inlineStr">
        <is>
          <t>NEW-066</t>
        </is>
      </c>
      <c r="F143" s="10" t="n"/>
      <c r="G143" s="10" t="inlineStr">
        <is>
          <t>COMPLETED</t>
        </is>
      </c>
      <c r="H143" s="12" t="inlineStr">
        <is>
          <t>#168; #175</t>
        </is>
      </c>
      <c r="I143" s="12" t="inlineStr">
        <is>
          <t>Live on gokesari.com since 15 Oct (#175)</t>
        </is>
      </c>
    </row>
    <row r="144" ht="18" customFormat="1" customHeight="1" s="2">
      <c r="A144" s="28" t="inlineStr">
        <is>
          <t>F9</t>
        </is>
      </c>
      <c r="B144" s="29" t="n">
        <v>1</v>
      </c>
      <c r="C144" s="28" t="inlineStr">
        <is>
          <t>F9  Catalogue and product master data</t>
        </is>
      </c>
      <c r="D144" s="28" t="inlineStr">
        <is>
          <t>Shop owner / Operator</t>
        </is>
      </c>
      <c r="E144" s="28" t="n"/>
      <c r="F144" s="29">
        <f>COUNTIFS($B$145:$B$157,3,$G$145:$G$157,"COMPLETED")&amp;" / "&amp;COUNTIF($B$145:$B$157,3)</f>
        <v/>
      </c>
      <c r="G144" s="29">
        <f>IF(COUNTIFS($B$145:$B$157,3,$G$145:$G$157,"COMPLETED")=COUNTIF($B$145:$B$157,3),"COMPLETED",IF(COUNTIFS($B$145:$B$157,3,$G$145:$G$157,"BLOCKED")&gt;0,"BLOCKED",IF(COUNTIFS($B$145:$B$157,3,$G$145:$G$157,"YET TO START")=COUNTIF($B$145:$B$157,3),"YET TO START","IN PROGRESS")))</f>
        <v/>
      </c>
      <c r="H144" s="28" t="n"/>
      <c r="I144" s="28" t="n"/>
      <c r="J144" s="27">
        <f>(COUNTIFS($B$145:$B$157,3,$J$145:$J$157,"DONE")+COUNTIFS($B$145:$B$157,3,$J$145:$J$157,"DONE-SANDBOX"))&amp;" / "&amp;COUNTIFS($B$145:$B$157,3,$J$145:$J$157,"&lt;&gt;")&amp;" batch steps done"</f>
        <v/>
      </c>
    </row>
    <row r="145" ht="15" customFormat="1" customHeight="1" s="2">
      <c r="A145" s="30" t="inlineStr">
        <is>
          <t>F9.1</t>
        </is>
      </c>
      <c r="B145" s="31" t="n">
        <v>2</v>
      </c>
      <c r="C145" s="32" t="inlineStr">
        <is>
          <t>F9.1  Master data</t>
        </is>
      </c>
      <c r="D145" s="30" t="n"/>
      <c r="E145" s="30" t="n"/>
      <c r="F145" s="31">
        <f>COUNTIFS($B$146:$B$149,3,$G$146:$G$149,"COMPLETED")&amp;" / "&amp;COUNTIF($B$146:$B$149,3)</f>
        <v/>
      </c>
      <c r="G145" s="31">
        <f>IF(COUNTIFS($B$146:$B$149,3,$G$146:$G$149,"COMPLETED")=COUNTIF($B$146:$B$149,3),"COMPLETED",IF(COUNTIFS($B$146:$B$149,3,$G$146:$G$149,"BLOCKED")&gt;0,"BLOCKED",IF(COUNTIFS($B$146:$B$149,3,$G$146:$G$149,"YET TO START")=COUNTIF($B$146:$B$149,3),"YET TO START","IN PROGRESS")))</f>
        <v/>
      </c>
      <c r="H145" s="30" t="n"/>
      <c r="I145" s="30" t="n"/>
      <c r="J145" s="27">
        <f>(COUNTIFS($B$146:$B$149,3,$J$146:$J$149,"DONE")+COUNTIFS($B$146:$B$149,3,$J$146:$J$149,"DONE-SANDBOX"))&amp;" / "&amp;COUNTIFS($B$146:$B$149,3,$J$146:$J$149,"&lt;&gt;")&amp;" batch steps done"</f>
        <v/>
      </c>
    </row>
    <row r="146" ht="27" customFormat="1" customHeight="1" s="2">
      <c r="A146" s="12" t="inlineStr">
        <is>
          <t>F9.1.1</t>
        </is>
      </c>
      <c r="B146" s="10" t="n">
        <v>3</v>
      </c>
      <c r="C146" s="33" t="inlineStr">
        <is>
          <t>Ingest lawful sources, match, review duplicates</t>
        </is>
      </c>
      <c r="D146" s="12" t="inlineStr">
        <is>
          <t>Shop owner / Operator</t>
        </is>
      </c>
      <c r="E146" s="12" t="inlineStr">
        <is>
          <t>PMD-001, PMD-003, PMD-005</t>
        </is>
      </c>
      <c r="F146" s="10" t="n"/>
      <c r="G146" s="10" t="inlineStr">
        <is>
          <t>COMPLETED</t>
        </is>
      </c>
      <c r="H146" s="12" t="inlineStr">
        <is>
          <t>#4; #9</t>
        </is>
      </c>
      <c r="I146" s="12" t="inlineStr">
        <is>
          <t>-</t>
        </is>
      </c>
    </row>
    <row r="147" ht="27" customFormat="1" customHeight="1" s="2">
      <c r="A147" s="12" t="inlineStr">
        <is>
          <t>F9.1.2</t>
        </is>
      </c>
      <c r="B147" s="10" t="n">
        <v>3</v>
      </c>
      <c r="C147" s="33" t="inlineStr">
        <is>
          <t>GS1 India and manufacturer feeds</t>
        </is>
      </c>
      <c r="D147" s="12" t="inlineStr">
        <is>
          <t>Shop owner / Operator</t>
        </is>
      </c>
      <c r="E147" s="12" t="inlineStr">
        <is>
          <t>PMD-002</t>
        </is>
      </c>
      <c r="F147" s="10" t="n"/>
      <c r="G147" s="10" t="inlineStr">
        <is>
          <t>COMPLETED</t>
        </is>
      </c>
      <c r="H147" s="12" t="inlineStr">
        <is>
          <t>#4; #190, #192, #193, #194</t>
        </is>
      </c>
      <c r="I147" s="12" t="inlineStr">
        <is>
          <t>DONE-SANDBOX (18 Oct batch): ProductDataSource: manufacturer portal (template + hashed API keys) live; GS1 DataKart = mock until an agreement (Owner inputs §8); Open Food Facts importer behind a flag (ODbL attribution). Staging + GTIN de-dup. docs/product-data-sources.md. Look-ups reply within 20 s and finish long imports in the background (#193; S-035 passes on test.gokesari.com).</t>
        </is>
      </c>
      <c r="J147" s="39" t="inlineStr">
        <is>
          <t>DONE-SANDBOX</t>
        </is>
      </c>
      <c r="K147" t="inlineStr">
        <is>
          <t>#190, #192, #193, #194</t>
        </is>
      </c>
      <c r="L147" s="23" t="inlineStr">
        <is>
          <t>ProductDataSource: manufacturer portal (template + hashed API keys) live; GS1 DataKart = mock until an agreement (Owner inputs §8); Open Food Facts importer behind a flag (ODbL attribution). Staging + GTIN de-dup. docs/product-data-sources.md. Look-ups reply within 20 s and finish long imports in the background (#193; S-035 passes on test.gokesari.com).</t>
        </is>
      </c>
    </row>
    <row r="148" ht="27" customFormat="1" customHeight="1" s="2">
      <c r="A148" s="12" t="inlineStr">
        <is>
          <t>F9.1.3</t>
        </is>
      </c>
      <c r="B148" s="10" t="n">
        <v>3</v>
      </c>
      <c r="C148" s="33" t="inlineStr">
        <is>
          <t>Promote master products into the shop catalogue</t>
        </is>
      </c>
      <c r="D148" s="12" t="inlineStr">
        <is>
          <t>Shop owner / Operator</t>
        </is>
      </c>
      <c r="E148" s="12" t="inlineStr">
        <is>
          <t>PMD-004</t>
        </is>
      </c>
      <c r="F148" s="10" t="n"/>
      <c r="G148" s="10" t="inlineStr">
        <is>
          <t>COMPLETED</t>
        </is>
      </c>
      <c r="H148" s="12" t="inlineStr">
        <is>
          <t>#4; #5; #6</t>
        </is>
      </c>
      <c r="I148" s="12" t="inlineStr">
        <is>
          <t>-</t>
        </is>
      </c>
    </row>
    <row r="149" ht="27" customFormat="1" customHeight="1" s="2">
      <c r="A149" s="12" t="inlineStr">
        <is>
          <t>F9.1.4</t>
        </is>
      </c>
      <c r="B149" s="10" t="n">
        <v>3</v>
      </c>
      <c r="C149" s="33" t="inlineStr">
        <is>
          <t>Large-scale ingestion; product browser and promote button</t>
        </is>
      </c>
      <c r="D149" s="12" t="inlineStr">
        <is>
          <t>Shop owner / Operator</t>
        </is>
      </c>
      <c r="E149" s="12" t="inlineStr">
        <is>
          <t>PMD-006, PMD-007</t>
        </is>
      </c>
      <c r="F149" s="10" t="n"/>
      <c r="G149" s="10" t="inlineStr">
        <is>
          <t>COMPLETED</t>
        </is>
      </c>
      <c r="H149" s="12" t="inlineStr">
        <is>
          <t>#190, #193, #194</t>
        </is>
      </c>
      <c r="I149" s="12" t="inlineStr">
        <is>
          <t>DONE (18 Oct batch): Batched, resumable ingestion (100k rows staged in 16.8 s, full load ~133 rows/s), validation report + error file, image fetch/resize to ObjectStore, progress UI; product browser (search/filter/sort across staging and master, side-by-side merge, bulk edit); promote single/bulk. Shop MRP edits still apply to that shop only.</t>
        </is>
      </c>
      <c r="J149" s="37" t="inlineStr">
        <is>
          <t>DONE</t>
        </is>
      </c>
      <c r="K149" t="inlineStr">
        <is>
          <t>#190, #193, #194</t>
        </is>
      </c>
      <c r="L149" s="23" t="inlineStr">
        <is>
          <t>Batched, resumable ingestion (100k rows staged in 16.8 s, full load ~133 rows/s), validation report + error file, image fetch/resize to ObjectStore, progress UI; product browser (search/filter/sort across staging and master, side-by-side merge, bulk edit); promote single/bulk. Shop MRP edits still apply to that shop only.</t>
        </is>
      </c>
    </row>
    <row r="150" ht="15" customFormat="1" customHeight="1" s="2">
      <c r="A150" s="30" t="inlineStr">
        <is>
          <t>F9.2</t>
        </is>
      </c>
      <c r="B150" s="31" t="n">
        <v>2</v>
      </c>
      <c r="C150" s="32" t="inlineStr">
        <is>
          <t>F9.2  Shop catalogue</t>
        </is>
      </c>
      <c r="D150" s="30" t="n"/>
      <c r="E150" s="30" t="n"/>
      <c r="F150" s="31">
        <f>COUNTIFS($B$151:$B$157,3,$G$151:$G$157,"COMPLETED")&amp;" / "&amp;COUNTIF($B$151:$B$157,3)</f>
        <v/>
      </c>
      <c r="G150" s="31">
        <f>IF(COUNTIFS($B$151:$B$157,3,$G$151:$G$157,"COMPLETED")=COUNTIF($B$151:$B$157,3),"COMPLETED",IF(COUNTIFS($B$151:$B$157,3,$G$151:$G$157,"BLOCKED")&gt;0,"BLOCKED",IF(COUNTIFS($B$151:$B$157,3,$G$151:$G$157,"YET TO START")=COUNTIF($B$151:$B$157,3),"YET TO START","IN PROGRESS")))</f>
        <v/>
      </c>
      <c r="H150" s="30" t="n"/>
      <c r="I150" s="30" t="n"/>
      <c r="J150" s="27">
        <f>(COUNTIFS($B$151:$B$157,3,$J$151:$J$157,"DONE")+COUNTIFS($B$151:$B$157,3,$J$151:$J$157,"DONE-SANDBOX"))&amp;" / "&amp;COUNTIFS($B$151:$B$157,3,$J$151:$J$157,"&lt;&gt;")&amp;" batch steps done"</f>
        <v/>
      </c>
    </row>
    <row r="151" ht="27" customFormat="1" customHeight="1" s="2">
      <c r="A151" s="12" t="inlineStr">
        <is>
          <t>F9.2.1</t>
        </is>
      </c>
      <c r="B151" s="10" t="n">
        <v>3</v>
      </c>
      <c r="C151" s="33" t="inlineStr">
        <is>
          <t>Category master and one-time categorisation</t>
        </is>
      </c>
      <c r="D151" s="12" t="inlineStr">
        <is>
          <t>Shop owner / Operator</t>
        </is>
      </c>
      <c r="E151" s="12" t="inlineStr">
        <is>
          <t>NEW-008</t>
        </is>
      </c>
      <c r="F151" s="10" t="n"/>
      <c r="G151" s="10" t="inlineStr">
        <is>
          <t>COMPLETED</t>
        </is>
      </c>
      <c r="H151" s="12" t="inlineStr">
        <is>
          <t>#38; #39</t>
        </is>
      </c>
      <c r="I151" s="12" t="inlineStr">
        <is>
          <t>-</t>
        </is>
      </c>
    </row>
    <row r="152" ht="27" customFormat="1" customHeight="1" s="2">
      <c r="A152" s="12" t="inlineStr">
        <is>
          <t>F9.2.2</t>
        </is>
      </c>
      <c r="B152" s="10" t="n">
        <v>3</v>
      </c>
      <c r="C152" s="33" t="inlineStr">
        <is>
          <t>Create products, bulk Excel upload, approval queue</t>
        </is>
      </c>
      <c r="D152" s="12" t="inlineStr">
        <is>
          <t>Shop owner / Operator</t>
        </is>
      </c>
      <c r="E152" s="12" t="inlineStr">
        <is>
          <t>GS-012, GS-013, RBAC-005</t>
        </is>
      </c>
      <c r="F152" s="10" t="n"/>
      <c r="G152" s="10" t="inlineStr">
        <is>
          <t>COMPLETED</t>
        </is>
      </c>
      <c r="H152" s="12" t="inlineStr">
        <is>
          <t>Baseline; #38</t>
        </is>
      </c>
      <c r="I152" s="12" t="inlineStr">
        <is>
          <t>-</t>
        </is>
      </c>
    </row>
    <row r="153" ht="27" customFormat="1" customHeight="1" s="2">
      <c r="A153" s="12" t="inlineStr">
        <is>
          <t>F9.2.3</t>
        </is>
      </c>
      <c r="B153" s="10" t="n">
        <v>3</v>
      </c>
      <c r="C153" s="33" t="inlineStr">
        <is>
          <t>MRP governance, price history, stock and thresholds</t>
        </is>
      </c>
      <c r="D153" s="12" t="inlineStr">
        <is>
          <t>Shop owner / Operator</t>
        </is>
      </c>
      <c r="E153" s="12" t="inlineStr">
        <is>
          <t>GS-015, GS-016, GS-017, GS-018</t>
        </is>
      </c>
      <c r="F153" s="10" t="n"/>
      <c r="G153" s="10" t="inlineStr">
        <is>
          <t>COMPLETED</t>
        </is>
      </c>
      <c r="H153" s="12" t="inlineStr">
        <is>
          <t>Baseline; #23; #45</t>
        </is>
      </c>
      <c r="I153" s="12" t="inlineStr">
        <is>
          <t>-</t>
        </is>
      </c>
    </row>
    <row r="154" ht="27" customFormat="1" customHeight="1" s="2">
      <c r="A154" s="12" t="inlineStr">
        <is>
          <t>F9.2.4</t>
        </is>
      </c>
      <c r="B154" s="10" t="n">
        <v>3</v>
      </c>
      <c r="C154" s="33" t="inlineStr">
        <is>
          <t>Product images, moderation (F10), photo catalogue</t>
        </is>
      </c>
      <c r="D154" s="12" t="inlineStr">
        <is>
          <t>Shop owner / Operator</t>
        </is>
      </c>
      <c r="E154" s="12" t="inlineStr">
        <is>
          <t>GS-014, NEW-017</t>
        </is>
      </c>
      <c r="F154" s="10" t="n"/>
      <c r="G154" s="10" t="inlineStr">
        <is>
          <t>COMPLETED</t>
        </is>
      </c>
      <c r="H154" s="12" t="inlineStr">
        <is>
          <t>#23; #55; #79</t>
        </is>
      </c>
      <c r="I154" s="12" t="inlineStr">
        <is>
          <t>Moderation off by default</t>
        </is>
      </c>
    </row>
    <row r="155" ht="27" customFormat="1" customHeight="1" s="2">
      <c r="A155" s="12" t="inlineStr">
        <is>
          <t>F9.2.5</t>
        </is>
      </c>
      <c r="B155" s="10" t="n">
        <v>3</v>
      </c>
      <c r="C155" s="33" t="inlineStr">
        <is>
          <t>Five photos + descriptions per listing, bulk ZIP/CSV, shop staff</t>
        </is>
      </c>
      <c r="D155" s="12" t="inlineStr">
        <is>
          <t>Shop owner / Operator</t>
        </is>
      </c>
      <c r="E155" s="12" t="inlineStr">
        <is>
          <t>NEW-036</t>
        </is>
      </c>
      <c r="F155" s="10" t="n"/>
      <c r="G155" s="10" t="inlineStr">
        <is>
          <t>COMPLETED</t>
        </is>
      </c>
      <c r="H155" s="12" t="inlineStr">
        <is>
          <t>#92; #120</t>
        </is>
      </c>
      <c r="I155" s="12" t="inlineStr">
        <is>
          <t>Live on gokesari.com since #120 (9 Oct)</t>
        </is>
      </c>
    </row>
    <row r="156" ht="27" customFormat="1" customHeight="1" s="2">
      <c r="A156" s="12" t="inlineStr">
        <is>
          <t>F9.2.6</t>
        </is>
      </c>
      <c r="B156" s="10" t="n">
        <v>3</v>
      </c>
      <c r="C156" s="33" t="inlineStr">
        <is>
          <t>Accounting / inventory sync and GST (GSP)</t>
        </is>
      </c>
      <c r="D156" s="12" t="inlineStr">
        <is>
          <t>Shop owner / Operator</t>
        </is>
      </c>
      <c r="E156" s="12" t="inlineStr">
        <is>
          <t>NEW-037</t>
        </is>
      </c>
      <c r="F156" s="10" t="n"/>
      <c r="G156" s="10" t="inlineStr">
        <is>
          <t>COMPLETED</t>
        </is>
      </c>
      <c r="H156" s="12" t="inlineStr">
        <is>
          <t>#92; #120; #190, #194</t>
        </is>
      </c>
      <c r="I156" s="12" t="inlineStr">
        <is>
          <t>DONE (18 Oct batch): Inventory sync descoped (rule inventorySync OFF; #92/#120 code kept). GST tax invoice per order on behalf of the shop: legal name, GSTIN or PAN-only wording, HSN, taxable value, CGST/SGST vs IGST by place of supply, series per shop per FY, QR, PDF, e-mailed to the customer + copy to the shop; credit notes for cancellations/returns; rates from HSN config. Rule invoiceDelivery OFF until switched on.</t>
        </is>
      </c>
      <c r="J156" s="37" t="inlineStr">
        <is>
          <t>DONE</t>
        </is>
      </c>
      <c r="K156" t="inlineStr">
        <is>
          <t>#190, #194</t>
        </is>
      </c>
      <c r="L156" s="23" t="inlineStr">
        <is>
          <t>Inventory sync descoped (rule inventorySync OFF; #92/#120 code kept). GST tax invoice per order on behalf of the shop: legal name, GSTIN or PAN-only wording, HSN, taxable value, CGST/SGST vs IGST by place of supply, series per shop per FY, QR, PDF, e-mailed to the customer + copy to the shop; credit notes for cancellations/returns; rates from HSN config. Rule invoiceDelivery OFF until switched on.</t>
        </is>
      </c>
    </row>
    <row r="157" ht="27" customFormat="1" customHeight="1" s="2">
      <c r="A157" s="12" t="inlineStr">
        <is>
          <t>F9.2.7</t>
        </is>
      </c>
      <c r="B157" s="10" t="n">
        <v>3</v>
      </c>
      <c r="C157" s="33" t="inlineStr">
        <is>
          <t>Shop's own books: stock ledger, purchases and sales, GST returns and reconciliation, supplier bill scan</t>
        </is>
      </c>
      <c r="D157" s="12" t="inlineStr">
        <is>
          <t>Shop owner</t>
        </is>
      </c>
      <c r="E157" s="12" t="inlineStr">
        <is>
          <t>NEW-067</t>
        </is>
      </c>
      <c r="F157" s="10" t="n"/>
      <c r="G157" s="10" t="inlineStr">
        <is>
          <t>COMPLETED</t>
        </is>
      </c>
      <c r="H157" s="12" t="inlineStr">
        <is>
          <t>#171, #172; released #179</t>
        </is>
      </c>
      <c r="I157" s="12" t="inlineStr">
        <is>
          <t>Live on gokesari.com since 15 Oct (release #179). Pages ~4 s on test after #172. GSP link and AI bill reading not switched on (owner decisions).</t>
        </is>
      </c>
    </row>
    <row r="158" ht="18" customFormat="1" customHeight="1" s="2">
      <c r="A158" s="28" t="inlineStr">
        <is>
          <t>F10</t>
        </is>
      </c>
      <c r="B158" s="29" t="n">
        <v>1</v>
      </c>
      <c r="C158" s="28" t="inlineStr">
        <is>
          <t>F10  Finance: commission, settlement, payouts, wallets</t>
        </is>
      </c>
      <c r="D158" s="28" t="inlineStr">
        <is>
          <t>Finance / System</t>
        </is>
      </c>
      <c r="E158" s="28" t="n"/>
      <c r="F158" s="29">
        <f>COUNTIFS($B$159:$B$169,3,$G$159:$G$169,"COMPLETED")&amp;" / "&amp;COUNTIF($B$159:$B$169,3)</f>
        <v/>
      </c>
      <c r="G158" s="29">
        <f>IF(COUNTIFS($B$159:$B$169,3,$G$159:$G$169,"COMPLETED")=COUNTIF($B$159:$B$169,3),"COMPLETED",IF(COUNTIFS($B$159:$B$169,3,$G$159:$G$169,"BLOCKED")&gt;0,"BLOCKED",IF(COUNTIFS($B$159:$B$169,3,$G$159:$G$169,"YET TO START")=COUNTIF($B$159:$B$169,3),"YET TO START","IN PROGRESS")))</f>
        <v/>
      </c>
      <c r="H158" s="28" t="n"/>
      <c r="I158" s="28" t="n"/>
      <c r="J158" s="27">
        <f>(COUNTIFS($B$159:$B$169,3,$J$159:$J$169,"DONE")+COUNTIFS($B$159:$B$169,3,$J$159:$J$169,"DONE-SANDBOX"))&amp;" / "&amp;COUNTIFS($B$159:$B$169,3,$J$159:$J$169,"&lt;&gt;")&amp;" batch steps done"</f>
        <v/>
      </c>
    </row>
    <row r="159" ht="15" customFormat="1" customHeight="1" s="2">
      <c r="A159" s="30" t="inlineStr">
        <is>
          <t>F10.1</t>
        </is>
      </c>
      <c r="B159" s="31" t="n">
        <v>2</v>
      </c>
      <c r="C159" s="32" t="inlineStr">
        <is>
          <t>F10.1  Per order</t>
        </is>
      </c>
      <c r="D159" s="30" t="n"/>
      <c r="E159" s="30" t="n"/>
      <c r="F159" s="31">
        <f>COUNTIFS($B$160:$B$162,3,$G$160:$G$162,"COMPLETED")&amp;" / "&amp;COUNTIF($B$160:$B$162,3)</f>
        <v/>
      </c>
      <c r="G159" s="31">
        <f>IF(COUNTIFS($B$160:$B$162,3,$G$160:$G$162,"COMPLETED")=COUNTIF($B$160:$B$162,3),"COMPLETED",IF(COUNTIFS($B$160:$B$162,3,$G$160:$G$162,"BLOCKED")&gt;0,"BLOCKED",IF(COUNTIFS($B$160:$B$162,3,$G$160:$G$162,"YET TO START")=COUNTIF($B$160:$B$162,3),"YET TO START","IN PROGRESS")))</f>
        <v/>
      </c>
      <c r="H159" s="30" t="n"/>
      <c r="I159" s="30" t="n"/>
      <c r="J159" s="27">
        <f>(COUNTIFS($B$160:$B$162,3,$J$160:$J$162,"DONE")+COUNTIFS($B$160:$B$162,3,$J$160:$J$162,"DONE-SANDBOX"))&amp;" / "&amp;COUNTIFS($B$160:$B$162,3,$J$160:$J$162,"&lt;&gt;")&amp;" batch steps done"</f>
        <v/>
      </c>
    </row>
    <row r="160" ht="15" customFormat="1" customHeight="1" s="2">
      <c r="A160" s="12" t="inlineStr">
        <is>
          <t>F10.1.1</t>
        </is>
      </c>
      <c r="B160" s="10" t="n">
        <v>3</v>
      </c>
      <c r="C160" s="33" t="inlineStr">
        <is>
          <t>Commission and financial snapshot at delivery</t>
        </is>
      </c>
      <c r="D160" s="12" t="inlineStr">
        <is>
          <t>Finance / System</t>
        </is>
      </c>
      <c r="E160" s="12" t="inlineStr">
        <is>
          <t>GS-061</t>
        </is>
      </c>
      <c r="F160" s="10" t="n"/>
      <c r="G160" s="10" t="inlineStr">
        <is>
          <t>COMPLETED</t>
        </is>
      </c>
      <c r="H160" s="12" t="inlineStr">
        <is>
          <t>#10</t>
        </is>
      </c>
      <c r="I160" s="12" t="inlineStr">
        <is>
          <t>-</t>
        </is>
      </c>
    </row>
    <row r="161" ht="15" customFormat="1" customHeight="1" s="2">
      <c r="A161" s="12" t="inlineStr">
        <is>
          <t>F10.1.2</t>
        </is>
      </c>
      <c r="B161" s="10" t="n">
        <v>3</v>
      </c>
      <c r="C161" s="33" t="inlineStr">
        <is>
          <t>Tax invoice or bill of supply per delivered order</t>
        </is>
      </c>
      <c r="D161" s="12" t="inlineStr">
        <is>
          <t>Finance / System</t>
        </is>
      </c>
      <c r="E161" s="12" t="inlineStr">
        <is>
          <t>NEW-007</t>
        </is>
      </c>
      <c r="F161" s="10" t="n"/>
      <c r="G161" s="10" t="inlineStr">
        <is>
          <t>COMPLETED</t>
        </is>
      </c>
      <c r="H161" s="12" t="inlineStr">
        <is>
          <t>#58</t>
        </is>
      </c>
      <c r="I161" s="12" t="inlineStr">
        <is>
          <t>Off by default; CA check pending</t>
        </is>
      </c>
    </row>
    <row r="162" ht="39" customFormat="1" customHeight="1" s="2">
      <c r="A162" s="12" t="inlineStr">
        <is>
          <t>F10.1.3</t>
        </is>
      </c>
      <c r="B162" s="10" t="n">
        <v>3</v>
      </c>
      <c r="C162" s="33" t="inlineStr">
        <is>
          <t>Shop prepaid wallet: commission + Rs 5/km delivery charge debited</t>
        </is>
      </c>
      <c r="D162" s="12" t="inlineStr">
        <is>
          <t>Finance / System</t>
        </is>
      </c>
      <c r="E162" s="12" t="inlineStr">
        <is>
          <t>NEW-033, NEW-034</t>
        </is>
      </c>
      <c r="F162" s="10" t="n"/>
      <c r="G162" s="10" t="inlineStr">
        <is>
          <t>COMPLETED</t>
        </is>
      </c>
      <c r="H162" s="12" t="inlineStr">
        <is>
          <t>#91; #98; #120</t>
        </is>
      </c>
      <c r="I162" s="12" t="inlineStr">
        <is>
          <t>On gokesari.com since #120 (9 Oct), switched off by default - switch on in Admin &gt; Business rules</t>
        </is>
      </c>
    </row>
    <row r="163" ht="15" customFormat="1" customHeight="1" s="2">
      <c r="A163" s="30" t="inlineStr">
        <is>
          <t>F10.2</t>
        </is>
      </c>
      <c r="B163" s="31" t="n">
        <v>2</v>
      </c>
      <c r="C163" s="32" t="inlineStr">
        <is>
          <t>F10.2  Periodic</t>
        </is>
      </c>
      <c r="D163" s="30" t="n"/>
      <c r="E163" s="30" t="n"/>
      <c r="F163" s="31">
        <f>COUNTIFS($B$164:$B$169,3,$G$164:$G$169,"COMPLETED")&amp;" / "&amp;COUNTIF($B$164:$B$169,3)</f>
        <v/>
      </c>
      <c r="G163" s="31">
        <f>IF(COUNTIFS($B$164:$B$169,3,$G$164:$G$169,"COMPLETED")=COUNTIF($B$164:$B$169,3),"COMPLETED",IF(COUNTIFS($B$164:$B$169,3,$G$164:$G$169,"BLOCKED")&gt;0,"BLOCKED",IF(COUNTIFS($B$164:$B$169,3,$G$164:$G$169,"YET TO START")=COUNTIF($B$164:$B$169,3),"YET TO START","IN PROGRESS")))</f>
        <v/>
      </c>
      <c r="H163" s="30" t="n"/>
      <c r="I163" s="30" t="n"/>
      <c r="J163" s="27">
        <f>(COUNTIFS($B$164:$B$169,3,$J$164:$J$169,"DONE")+COUNTIFS($B$164:$B$169,3,$J$164:$J$169,"DONE-SANDBOX"))&amp;" / "&amp;COUNTIFS($B$164:$B$169,3,$J$164:$J$169,"&lt;&gt;")&amp;" batch steps done"</f>
        <v/>
      </c>
    </row>
    <row r="164" ht="15" customFormat="1" customHeight="1" s="2">
      <c r="A164" s="12" t="inlineStr">
        <is>
          <t>F10.2.1</t>
        </is>
      </c>
      <c r="B164" s="10" t="n">
        <v>3</v>
      </c>
      <c r="C164" s="33" t="inlineStr">
        <is>
          <t>Weekly shop settlement and rider payouts</t>
        </is>
      </c>
      <c r="D164" s="12" t="inlineStr">
        <is>
          <t>Finance / System</t>
        </is>
      </c>
      <c r="E164" s="12" t="inlineStr">
        <is>
          <t>GS-062, GS-064, WF-010</t>
        </is>
      </c>
      <c r="F164" s="10" t="n"/>
      <c r="G164" s="10" t="inlineStr">
        <is>
          <t>COMPLETED</t>
        </is>
      </c>
      <c r="H164" s="12" t="inlineStr">
        <is>
          <t>#10</t>
        </is>
      </c>
      <c r="I164" s="12" t="inlineStr">
        <is>
          <t>-</t>
        </is>
      </c>
    </row>
    <row r="165" ht="15" customFormat="1" customHeight="1" s="2">
      <c r="A165" s="12" t="inlineStr">
        <is>
          <t>F10.2.2</t>
        </is>
      </c>
      <c r="B165" s="10" t="n">
        <v>3</v>
      </c>
      <c r="C165" s="33" t="inlineStr">
        <is>
          <t>Reconciliation with exception queue</t>
        </is>
      </c>
      <c r="D165" s="12" t="inlineStr">
        <is>
          <t>Finance / System</t>
        </is>
      </c>
      <c r="E165" s="12" t="inlineStr">
        <is>
          <t>GS-031</t>
        </is>
      </c>
      <c r="F165" s="10" t="n"/>
      <c r="G165" s="10" t="inlineStr">
        <is>
          <t>COMPLETED</t>
        </is>
      </c>
      <c r="H165" s="12" t="inlineStr">
        <is>
          <t>#10</t>
        </is>
      </c>
      <c r="I165" s="12" t="inlineStr">
        <is>
          <t>-</t>
        </is>
      </c>
    </row>
    <row r="166" ht="15" customFormat="1" customHeight="1" s="2">
      <c r="A166" s="12" t="inlineStr">
        <is>
          <t>F10.2.3</t>
        </is>
      </c>
      <c r="B166" s="10" t="n">
        <v>3</v>
      </c>
      <c r="C166" s="33" t="inlineStr">
        <is>
          <t>Rider earnings rules (slots, incentives)</t>
        </is>
      </c>
      <c r="D166" s="12" t="inlineStr">
        <is>
          <t>Finance / System</t>
        </is>
      </c>
      <c r="E166" s="12" t="inlineStr">
        <is>
          <t>GS-063</t>
        </is>
      </c>
      <c r="F166" s="10" t="n"/>
      <c r="G166" s="10" t="inlineStr">
        <is>
          <t>COMPLETED</t>
        </is>
      </c>
      <c r="H166" s="12" t="inlineStr">
        <is>
          <t>#23</t>
        </is>
      </c>
      <c r="I166" s="12" t="inlineStr">
        <is>
          <t>-</t>
        </is>
      </c>
    </row>
    <row r="167" ht="15" customFormat="1" customHeight="1" s="2">
      <c r="A167" s="12" t="inlineStr">
        <is>
          <t>F10.2.4</t>
        </is>
      </c>
      <c r="B167" s="10" t="n">
        <v>3</v>
      </c>
      <c r="C167" s="33" t="inlineStr">
        <is>
          <t>Automated bank transfer</t>
        </is>
      </c>
      <c r="D167" s="12" t="inlineStr">
        <is>
          <t>Finance / System</t>
        </is>
      </c>
      <c r="E167" s="12" t="inlineStr">
        <is>
          <t>GAP-005</t>
        </is>
      </c>
      <c r="F167" s="10" t="n"/>
      <c r="G167" s="10" t="inlineStr">
        <is>
          <t>COMPLETED</t>
        </is>
      </c>
      <c r="H167" s="12" t="inlineStr">
        <is>
          <t>#190, #194</t>
        </is>
      </c>
      <c r="I167" s="12" t="inlineStr">
        <is>
          <t>DONE-SANDBOX (18 Oct batch): PayoutProvider (sandbox; RazorpayX/Cashfree scaffolds), cycle every 5 days (configurable), itemised net payable incl. TCS/TDS/GST on fees, maker-checker, verified bank accounts only, webhooks + retries + UTR, statements PDF/CSV, bank file + 'mark paid with UTR' until live keys. Rule payouts OFF (Owner inputs §3).</t>
        </is>
      </c>
      <c r="J167" s="39" t="inlineStr">
        <is>
          <t>DONE-SANDBOX</t>
        </is>
      </c>
      <c r="K167" t="inlineStr">
        <is>
          <t>#190, #194</t>
        </is>
      </c>
      <c r="L167" s="23" t="inlineStr">
        <is>
          <t>PayoutProvider (sandbox; RazorpayX/Cashfree scaffolds), cycle every 5 days (configurable), itemised net payable incl. TCS/TDS/GST on fees, maker-checker, verified bank accounts only, webhooks + retries + UTR, statements PDF/CSV, bank file + 'mark paid with UTR' until live keys. Rule payouts OFF (Owner inputs §3).</t>
        </is>
      </c>
    </row>
    <row r="168" ht="15" customFormat="1" customHeight="1" s="2">
      <c r="A168" s="12" t="inlineStr">
        <is>
          <t>F10.2.5</t>
        </is>
      </c>
      <c r="B168" s="10" t="n">
        <v>3</v>
      </c>
      <c r="C168" s="33" t="inlineStr">
        <is>
          <t>Platform invoice for GoKesari's own fees (D6)</t>
        </is>
      </c>
      <c r="D168" s="12" t="inlineStr">
        <is>
          <t>Finance / System</t>
        </is>
      </c>
      <c r="E168" s="12" t="inlineStr">
        <is>
          <t>GAP-006</t>
        </is>
      </c>
      <c r="F168" s="10" t="n"/>
      <c r="G168" s="10" t="inlineStr">
        <is>
          <t>COMPLETED</t>
        </is>
      </c>
      <c r="H168" s="12" t="inlineStr">
        <is>
          <t>#190, #194</t>
        </is>
      </c>
      <c r="I168" s="12" t="inlineStr">
        <is>
          <t>DONE-SANDBOX (18 Oct batch): GoKesari fee invoices per cycle (commission, delivery/platform, registration, billing management) with GSTIN, &lt;=16-char FY series, SAC, CGST+SGST/IGST, recipient GSTIN, QR, PDF; credit/debit notes; monthly GSTR-1-ready export. Statutory TCS 0.5% / TDS 0.1% / 9(5) as dated settings, all 'not confirmed by CA'. Tested with a fake tax profile on test; production OFF until GSTIN + CA confirmation (Owner inputs §4-6).</t>
        </is>
      </c>
      <c r="J168" s="39" t="inlineStr">
        <is>
          <t>DONE-SANDBOX</t>
        </is>
      </c>
      <c r="K168" t="inlineStr">
        <is>
          <t>#190, #194</t>
        </is>
      </c>
      <c r="L168" s="23" t="inlineStr">
        <is>
          <t>GoKesari fee invoices per cycle (commission, delivery/platform, registration, billing management) with GSTIN, &lt;=16-char FY series, SAC, CGST+SGST/IGST, recipient GSTIN, QR, PDF; credit/debit notes; monthly GSTR-1-ready export. Statutory TCS 0.5% / TDS 0.1% / 9(5) as dated settings, all 'not confirmed by CA'. Tested with a fake tax profile on test; production OFF until GSTIN + CA confirmation (Owner inputs §4-6).</t>
        </is>
      </c>
    </row>
    <row r="169" ht="39" customFormat="1" customHeight="1" s="2">
      <c r="A169" s="12" t="inlineStr">
        <is>
          <t>F10.2.6</t>
        </is>
      </c>
      <c r="B169" s="10" t="n">
        <v>3</v>
      </c>
      <c r="C169" s="33" t="inlineStr">
        <is>
          <t>Rs 1-verified bank account / UPI before shop payouts; customer refund account</t>
        </is>
      </c>
      <c r="D169" s="12" t="inlineStr">
        <is>
          <t>Finance / System</t>
        </is>
      </c>
      <c r="E169" s="12" t="inlineStr">
        <is>
          <t>NEW-041, GS-062</t>
        </is>
      </c>
      <c r="F169" s="10" t="n"/>
      <c r="G169" s="10" t="inlineStr">
        <is>
          <t>COMPLETED</t>
        </is>
      </c>
      <c r="H169" s="12" t="inlineStr">
        <is>
          <t>#102; #103; #120</t>
        </is>
      </c>
      <c r="I169" s="12" t="inlineStr">
        <is>
          <t>On gokesari.com since #120 (9 Oct), switched off by default - switch on in Admin &gt; Business rules; Cashfree live keys needed for production</t>
        </is>
      </c>
    </row>
    <row r="170" ht="18" customFormat="1" customHeight="1" s="2">
      <c r="A170" s="28" t="inlineStr">
        <is>
          <t>F11</t>
        </is>
      </c>
      <c r="B170" s="29" t="n">
        <v>1</v>
      </c>
      <c r="C170" s="28" t="inlineStr">
        <is>
          <t>F11  Marketing and growth</t>
        </is>
      </c>
      <c r="D170" s="28" t="inlineStr">
        <is>
          <t>Shop owner / Operator</t>
        </is>
      </c>
      <c r="E170" s="28" t="n"/>
      <c r="F170" s="29">
        <f>COUNTIFS($B$171:$B$177,3,$G$171:$G$177,"COMPLETED")&amp;" / "&amp;COUNTIF($B$171:$B$177,3)</f>
        <v/>
      </c>
      <c r="G170" s="29">
        <f>IF(COUNTIFS($B$171:$B$177,3,$G$171:$G$177,"COMPLETED")=COUNTIF($B$171:$B$177,3),"COMPLETED",IF(COUNTIFS($B$171:$B$177,3,$G$171:$G$177,"BLOCKED")&gt;0,"BLOCKED",IF(COUNTIFS($B$171:$B$177,3,$G$171:$G$177,"YET TO START")=COUNTIF($B$171:$B$177,3),"YET TO START","IN PROGRESS")))</f>
        <v/>
      </c>
      <c r="H170" s="28" t="n"/>
      <c r="I170" s="28" t="n"/>
      <c r="J170" s="27">
        <f>(COUNTIFS($B$171:$B$177,3,$J$171:$J$177,"DONE")+COUNTIFS($B$171:$B$177,3,$J$171:$J$177,"DONE-SANDBOX"))&amp;" / "&amp;COUNTIFS($B$171:$B$177,3,$J$171:$J$177,"&lt;&gt;")&amp;" batch steps done"</f>
        <v/>
      </c>
    </row>
    <row r="171" ht="15" customFormat="1" customHeight="1" s="2">
      <c r="A171" s="30" t="inlineStr">
        <is>
          <t>F11.1</t>
        </is>
      </c>
      <c r="B171" s="31" t="n">
        <v>2</v>
      </c>
      <c r="C171" s="32" t="inlineStr">
        <is>
          <t>F11.1  Campaigns</t>
        </is>
      </c>
      <c r="D171" s="30" t="n"/>
      <c r="E171" s="30" t="n"/>
      <c r="F171" s="31">
        <f>COUNTIFS($B$172:$B$173,3,$G$172:$G$173,"COMPLETED")&amp;" / "&amp;COUNTIF($B$172:$B$173,3)</f>
        <v/>
      </c>
      <c r="G171" s="31">
        <f>IF(COUNTIFS($B$172:$B$173,3,$G$172:$G$173,"COMPLETED")=COUNTIF($B$172:$B$173,3),"COMPLETED",IF(COUNTIFS($B$172:$B$173,3,$G$172:$G$173,"BLOCKED")&gt;0,"BLOCKED",IF(COUNTIFS($B$172:$B$173,3,$G$172:$G$173,"YET TO START")=COUNTIF($B$172:$B$173,3),"YET TO START","IN PROGRESS")))</f>
        <v/>
      </c>
      <c r="H171" s="30" t="n"/>
      <c r="I171" s="30" t="n"/>
      <c r="J171" s="27">
        <f>(COUNTIFS($B$172:$B$173,3,$J$172:$J$173,"DONE")+COUNTIFS($B$172:$B$173,3,$J$172:$J$173,"DONE-SANDBOX"))&amp;" / "&amp;COUNTIFS($B$172:$B$173,3,$J$172:$J$173,"&lt;&gt;")&amp;" batch steps done"</f>
        <v/>
      </c>
    </row>
    <row r="172" ht="27" customFormat="1" customHeight="1" s="2">
      <c r="A172" s="12" t="inlineStr">
        <is>
          <t>F11.1.1</t>
        </is>
      </c>
      <c r="B172" s="10" t="n">
        <v>3</v>
      </c>
      <c r="C172" s="33" t="inlineStr">
        <is>
          <t>Customer segments (consent-gated)</t>
        </is>
      </c>
      <c r="D172" s="12" t="inlineStr">
        <is>
          <t>Shop owner / Operator</t>
        </is>
      </c>
      <c r="E172" s="12" t="inlineStr">
        <is>
          <t>GS-052</t>
        </is>
      </c>
      <c r="F172" s="10" t="n"/>
      <c r="G172" s="10" t="inlineStr">
        <is>
          <t>COMPLETED</t>
        </is>
      </c>
      <c r="H172" s="12" t="inlineStr">
        <is>
          <t>#18</t>
        </is>
      </c>
      <c r="I172" s="12" t="inlineStr">
        <is>
          <t>-</t>
        </is>
      </c>
    </row>
    <row r="173" ht="27" customFormat="1" customHeight="1" s="2">
      <c r="A173" s="12" t="inlineStr">
        <is>
          <t>F11.1.2</t>
        </is>
      </c>
      <c r="B173" s="10" t="n">
        <v>3</v>
      </c>
      <c r="C173" s="33" t="inlineStr">
        <is>
          <t>Shop campaign -&gt; approval -&gt; send (budgets, frequency caps)</t>
        </is>
      </c>
      <c r="D173" s="12" t="inlineStr">
        <is>
          <t>Shop owner / Operator</t>
        </is>
      </c>
      <c r="E173" s="12" t="inlineStr">
        <is>
          <t>GS-053, WF-009</t>
        </is>
      </c>
      <c r="F173" s="10" t="n"/>
      <c r="G173" s="10" t="inlineStr">
        <is>
          <t>COMPLETED</t>
        </is>
      </c>
      <c r="H173" s="12" t="inlineStr">
        <is>
          <t>#18</t>
        </is>
      </c>
      <c r="I173" s="12" t="inlineStr">
        <is>
          <t>-</t>
        </is>
      </c>
    </row>
    <row r="174" ht="15" customFormat="1" customHeight="1" s="2">
      <c r="A174" s="30" t="inlineStr">
        <is>
          <t>F11.2</t>
        </is>
      </c>
      <c r="B174" s="31" t="n">
        <v>2</v>
      </c>
      <c r="C174" s="32" t="inlineStr">
        <is>
          <t>F11.2  Offers and referrals</t>
        </is>
      </c>
      <c r="D174" s="30" t="n"/>
      <c r="E174" s="30" t="n"/>
      <c r="F174" s="31">
        <f>COUNTIFS($B$175:$B$177,3,$G$175:$G$177,"COMPLETED")&amp;" / "&amp;COUNTIF($B$175:$B$177,3)</f>
        <v/>
      </c>
      <c r="G174" s="31">
        <f>IF(COUNTIFS($B$175:$B$177,3,$G$175:$G$177,"COMPLETED")=COUNTIF($B$175:$B$177,3),"COMPLETED",IF(COUNTIFS($B$175:$B$177,3,$G$175:$G$177,"BLOCKED")&gt;0,"BLOCKED",IF(COUNTIFS($B$175:$B$177,3,$G$175:$G$177,"YET TO START")=COUNTIF($B$175:$B$177,3),"YET TO START","IN PROGRESS")))</f>
        <v/>
      </c>
      <c r="H174" s="30" t="n"/>
      <c r="I174" s="30" t="n"/>
      <c r="J174" s="27">
        <f>(COUNTIFS($B$175:$B$177,3,$J$175:$J$177,"DONE")+COUNTIFS($B$175:$B$177,3,$J$175:$J$177,"DONE-SANDBOX"))&amp;" / "&amp;COUNTIFS($B$175:$B$177,3,$J$175:$J$177,"&lt;&gt;")&amp;" batch steps done"</f>
        <v/>
      </c>
    </row>
    <row r="175" ht="27" customFormat="1" customHeight="1" s="2">
      <c r="A175" s="12" t="inlineStr">
        <is>
          <t>F11.2.1</t>
        </is>
      </c>
      <c r="B175" s="10" t="n">
        <v>3</v>
      </c>
      <c r="C175" s="33" t="inlineStr">
        <is>
          <t>Shop offers (F8)</t>
        </is>
      </c>
      <c r="D175" s="12" t="inlineStr">
        <is>
          <t>Shop owner / Operator</t>
        </is>
      </c>
      <c r="E175" s="12" t="inlineStr">
        <is>
          <t>NAV-002</t>
        </is>
      </c>
      <c r="F175" s="10" t="n"/>
      <c r="G175" s="10" t="inlineStr">
        <is>
          <t>COMPLETED</t>
        </is>
      </c>
      <c r="H175" s="12" t="inlineStr">
        <is>
          <t>#55</t>
        </is>
      </c>
      <c r="I175" s="12" t="inlineStr">
        <is>
          <t>Off by default</t>
        </is>
      </c>
    </row>
    <row r="176" ht="27" customFormat="1" customHeight="1" s="2">
      <c r="A176" s="12" t="inlineStr">
        <is>
          <t>F11.2.2</t>
        </is>
      </c>
      <c r="B176" s="10" t="n">
        <v>3</v>
      </c>
      <c r="C176" s="33" t="inlineStr">
        <is>
          <t>Customer referral rewards (F11)</t>
        </is>
      </c>
      <c r="D176" s="12" t="inlineStr">
        <is>
          <t>Shop owner / Operator</t>
        </is>
      </c>
      <c r="E176" s="12" t="inlineStr">
        <is>
          <t>GS-054</t>
        </is>
      </c>
      <c r="F176" s="10" t="n"/>
      <c r="G176" s="10" t="inlineStr">
        <is>
          <t>COMPLETED</t>
        </is>
      </c>
      <c r="H176" s="12" t="inlineStr">
        <is>
          <t>#55; #56</t>
        </is>
      </c>
      <c r="I176" s="12" t="inlineStr">
        <is>
          <t>Off by default</t>
        </is>
      </c>
    </row>
    <row r="177" ht="27" customFormat="1" customHeight="1" s="2">
      <c r="A177" s="12" t="inlineStr">
        <is>
          <t>F11.2.3</t>
        </is>
      </c>
      <c r="B177" s="10" t="n">
        <v>3</v>
      </c>
      <c r="C177" s="33" t="inlineStr">
        <is>
          <t>Marketing consent On/Off switch</t>
        </is>
      </c>
      <c r="D177" s="12" t="inlineStr">
        <is>
          <t>Shop owner / Operator</t>
        </is>
      </c>
      <c r="E177" s="12" t="inlineStr">
        <is>
          <t>GS-070, NEW-016</t>
        </is>
      </c>
      <c r="F177" s="10" t="n"/>
      <c r="G177" s="10" t="inlineStr">
        <is>
          <t>COMPLETED</t>
        </is>
      </c>
      <c r="H177" s="12" t="inlineStr">
        <is>
          <t>#77</t>
        </is>
      </c>
      <c r="I177" s="12" t="inlineStr">
        <is>
          <t>-</t>
        </is>
      </c>
    </row>
    <row r="178" ht="18" customFormat="1" customHeight="1" s="2">
      <c r="A178" s="28" t="inlineStr">
        <is>
          <t>F12</t>
        </is>
      </c>
      <c r="B178" s="29" t="n">
        <v>1</v>
      </c>
      <c r="C178" s="28" t="inlineStr">
        <is>
          <t>F12  Admin and operations control tower</t>
        </is>
      </c>
      <c r="D178" s="28" t="inlineStr">
        <is>
          <t>Operator / Admin</t>
        </is>
      </c>
      <c r="E178" s="28" t="n"/>
      <c r="F178" s="29">
        <f>COUNTIFS($B$179:$B$189,3,$G$179:$G$189,"COMPLETED")&amp;" / "&amp;COUNTIF($B$179:$B$189,3)</f>
        <v/>
      </c>
      <c r="G178" s="29">
        <f>IF(COUNTIFS($B$179:$B$189,3,$G$179:$G$189,"COMPLETED")=COUNTIF($B$179:$B$189,3),"COMPLETED",IF(COUNTIFS($B$179:$B$189,3,$G$179:$G$189,"BLOCKED")&gt;0,"BLOCKED",IF(COUNTIFS($B$179:$B$189,3,$G$179:$G$189,"YET TO START")=COUNTIF($B$179:$B$189,3),"YET TO START","IN PROGRESS")))</f>
        <v/>
      </c>
      <c r="H178" s="28" t="n"/>
      <c r="I178" s="28" t="n"/>
      <c r="J178" s="27">
        <f>(COUNTIFS($B$179:$B$189,3,$J$179:$J$189,"DONE")+COUNTIFS($B$179:$B$189,3,$J$179:$J$189,"DONE-SANDBOX"))&amp;" / "&amp;COUNTIFS($B$179:$B$189,3,$J$179:$J$189,"&lt;&gt;")&amp;" batch steps done"</f>
        <v/>
      </c>
    </row>
    <row r="179" ht="15" customFormat="1" customHeight="1" s="2">
      <c r="A179" s="30" t="inlineStr">
        <is>
          <t>F12.1</t>
        </is>
      </c>
      <c r="B179" s="31" t="n">
        <v>2</v>
      </c>
      <c r="C179" s="32" t="inlineStr">
        <is>
          <t>F12.1  Monitor</t>
        </is>
      </c>
      <c r="D179" s="30" t="n"/>
      <c r="E179" s="30" t="n"/>
      <c r="F179" s="31">
        <f>COUNTIFS($B$180:$B$183,3,$G$180:$G$183,"COMPLETED")&amp;" / "&amp;COUNTIF($B$180:$B$183,3)</f>
        <v/>
      </c>
      <c r="G179" s="31">
        <f>IF(COUNTIFS($B$180:$B$183,3,$G$180:$G$183,"COMPLETED")=COUNTIF($B$180:$B$183,3),"COMPLETED",IF(COUNTIFS($B$180:$B$183,3,$G$180:$G$183,"BLOCKED")&gt;0,"BLOCKED",IF(COUNTIFS($B$180:$B$183,3,$G$180:$G$183,"YET TO START")=COUNTIF($B$180:$B$183,3),"YET TO START","IN PROGRESS")))</f>
        <v/>
      </c>
      <c r="H179" s="30" t="n"/>
      <c r="I179" s="30" t="n"/>
      <c r="J179" s="27">
        <f>(COUNTIFS($B$180:$B$183,3,$J$180:$J$183,"DONE")+COUNTIFS($B$180:$B$183,3,$J$180:$J$183,"DONE-SANDBOX"))&amp;" / "&amp;COUNTIFS($B$180:$B$183,3,$J$180:$J$183,"&lt;&gt;")&amp;" batch steps done"</f>
        <v/>
      </c>
    </row>
    <row r="180" ht="15" customFormat="1" customHeight="1" s="2">
      <c r="A180" s="12" t="inlineStr">
        <is>
          <t>F12.1.1</t>
        </is>
      </c>
      <c r="B180" s="10" t="n">
        <v>3</v>
      </c>
      <c r="C180" s="33" t="inlineStr">
        <is>
          <t>Global dashboard and KPI analytics</t>
        </is>
      </c>
      <c r="D180" s="12" t="inlineStr">
        <is>
          <t>Operator / Admin</t>
        </is>
      </c>
      <c r="E180" s="12" t="inlineStr">
        <is>
          <t>GS-065, GS-069</t>
        </is>
      </c>
      <c r="F180" s="10" t="n"/>
      <c r="G180" s="10" t="inlineStr">
        <is>
          <t>COMPLETED</t>
        </is>
      </c>
      <c r="H180" s="12" t="inlineStr">
        <is>
          <t>#18; #21; #23</t>
        </is>
      </c>
      <c r="I180" s="12" t="inlineStr">
        <is>
          <t>-</t>
        </is>
      </c>
    </row>
    <row r="181" ht="15" customFormat="1" customHeight="1" s="2">
      <c r="A181" s="12" t="inlineStr">
        <is>
          <t>F12.1.2</t>
        </is>
      </c>
      <c r="B181" s="10" t="n">
        <v>3</v>
      </c>
      <c r="C181" s="33" t="inlineStr">
        <is>
          <t>Order monitoring, exceptions queue, reassign</t>
        </is>
      </c>
      <c r="D181" s="12" t="inlineStr">
        <is>
          <t>Operator / Admin</t>
        </is>
      </c>
      <c r="E181" s="12" t="inlineStr">
        <is>
          <t>GS-066, NAV-015, NAV-016</t>
        </is>
      </c>
      <c r="F181" s="10" t="n"/>
      <c r="G181" s="10" t="inlineStr">
        <is>
          <t>COMPLETED</t>
        </is>
      </c>
      <c r="H181" s="12" t="inlineStr">
        <is>
          <t>#21; #74</t>
        </is>
      </c>
      <c r="I181" s="12" t="inlineStr">
        <is>
          <t>-</t>
        </is>
      </c>
    </row>
    <row r="182" ht="15" customFormat="1" customHeight="1" s="2">
      <c r="A182" s="12" t="inlineStr">
        <is>
          <t>F12.1.3</t>
        </is>
      </c>
      <c r="B182" s="10" t="n">
        <v>3</v>
      </c>
      <c r="C182" s="33" t="inlineStr">
        <is>
          <t>Hourly risk scan and review queue</t>
        </is>
      </c>
      <c r="D182" s="12" t="inlineStr">
        <is>
          <t>Operator / Admin</t>
        </is>
      </c>
      <c r="E182" s="12" t="inlineStr">
        <is>
          <t>GS-068</t>
        </is>
      </c>
      <c r="F182" s="10" t="n"/>
      <c r="G182" s="10" t="inlineStr">
        <is>
          <t>COMPLETED</t>
        </is>
      </c>
      <c r="H182" s="12" t="inlineStr">
        <is>
          <t>#18; #21</t>
        </is>
      </c>
      <c r="I182" s="12" t="inlineStr">
        <is>
          <t>-</t>
        </is>
      </c>
    </row>
    <row r="183" ht="15" customFormat="1" customHeight="1" s="2">
      <c r="A183" s="12" t="inlineStr">
        <is>
          <t>F12.1.4</t>
        </is>
      </c>
      <c r="B183" s="10" t="n">
        <v>3</v>
      </c>
      <c r="C183" s="33" t="inlineStr">
        <is>
          <t>Per-order risk rules</t>
        </is>
      </c>
      <c r="D183" s="12" t="inlineStr">
        <is>
          <t>Operator / Admin</t>
        </is>
      </c>
      <c r="E183" s="12" t="inlineStr">
        <is>
          <t>NEW-032</t>
        </is>
      </c>
      <c r="F183" s="10" t="n"/>
      <c r="G183" s="10" t="inlineStr">
        <is>
          <t>COMPLETED</t>
        </is>
      </c>
      <c r="H183" s="12" t="inlineStr">
        <is>
          <t>#89; #120</t>
        </is>
      </c>
      <c r="I183" s="12" t="inlineStr">
        <is>
          <t>Live on gokesari.com since #120 (9 Oct)</t>
        </is>
      </c>
    </row>
    <row r="184" ht="15" customFormat="1" customHeight="1" s="2">
      <c r="A184" s="30" t="inlineStr">
        <is>
          <t>F12.2</t>
        </is>
      </c>
      <c r="B184" s="31" t="n">
        <v>2</v>
      </c>
      <c r="C184" s="32" t="inlineStr">
        <is>
          <t>F12.2  Control</t>
        </is>
      </c>
      <c r="D184" s="30" t="n"/>
      <c r="E184" s="30" t="n"/>
      <c r="F184" s="31">
        <f>COUNTIFS($B$185:$B$189,3,$G$185:$G$189,"COMPLETED")&amp;" / "&amp;COUNTIF($B$185:$B$189,3)</f>
        <v/>
      </c>
      <c r="G184" s="31">
        <f>IF(COUNTIFS($B$185:$B$189,3,$G$185:$G$189,"COMPLETED")=COUNTIF($B$185:$B$189,3),"COMPLETED",IF(COUNTIFS($B$185:$B$189,3,$G$185:$G$189,"BLOCKED")&gt;0,"BLOCKED",IF(COUNTIFS($B$185:$B$189,3,$G$185:$G$189,"YET TO START")=COUNTIF($B$185:$B$189,3),"YET TO START","IN PROGRESS")))</f>
        <v/>
      </c>
      <c r="H184" s="30" t="n"/>
      <c r="I184" s="30" t="n"/>
      <c r="J184" s="27">
        <f>(COUNTIFS($B$185:$B$189,3,$J$185:$J$189,"DONE")+COUNTIFS($B$185:$B$189,3,$J$185:$J$189,"DONE-SANDBOX"))&amp;" / "&amp;COUNTIFS($B$185:$B$189,3,$J$185:$J$189,"&lt;&gt;")&amp;" batch steps done"</f>
        <v/>
      </c>
    </row>
    <row r="185" ht="27" customFormat="1" customHeight="1" s="2">
      <c r="A185" s="12" t="inlineStr">
        <is>
          <t>F12.2.1</t>
        </is>
      </c>
      <c r="B185" s="10" t="n">
        <v>3</v>
      </c>
      <c r="C185" s="33" t="inlineStr">
        <is>
          <t>Roles, multi-role grants, privileges with explicit Save, audit log</t>
        </is>
      </c>
      <c r="D185" s="12" t="inlineStr">
        <is>
          <t>Operator / Admin</t>
        </is>
      </c>
      <c r="E185" s="12" t="inlineStr">
        <is>
          <t>GS-002, GS-003, NEW-009, GS-067</t>
        </is>
      </c>
      <c r="F185" s="10" t="n"/>
      <c r="G185" s="10" t="inlineStr">
        <is>
          <t>COMPLETED</t>
        </is>
      </c>
      <c r="H185" s="12" t="inlineStr">
        <is>
          <t>#18; #30</t>
        </is>
      </c>
      <c r="I185" s="12" t="inlineStr">
        <is>
          <t>-</t>
        </is>
      </c>
    </row>
    <row r="186" ht="15" customFormat="1" customHeight="1" s="2">
      <c r="A186" s="12" t="inlineStr">
        <is>
          <t>F12.2.2</t>
        </is>
      </c>
      <c r="B186" s="10" t="n">
        <v>3</v>
      </c>
      <c r="C186" s="33" t="inlineStr">
        <is>
          <t>Business-rules console</t>
        </is>
      </c>
      <c r="D186" s="12" t="inlineStr">
        <is>
          <t>Operator / Admin</t>
        </is>
      </c>
      <c r="E186" s="12" t="inlineStr">
        <is>
          <t>NEW-001</t>
        </is>
      </c>
      <c r="F186" s="10" t="n"/>
      <c r="G186" s="10" t="inlineStr">
        <is>
          <t>COMPLETED</t>
        </is>
      </c>
      <c r="H186" s="12" t="inlineStr">
        <is>
          <t>#23</t>
        </is>
      </c>
      <c r="I186" s="12" t="inlineStr">
        <is>
          <t>-</t>
        </is>
      </c>
    </row>
    <row r="187" ht="15" customFormat="1" customHeight="1" s="2">
      <c r="A187" s="12" t="inlineStr">
        <is>
          <t>F12.2.3</t>
        </is>
      </c>
      <c r="B187" s="10" t="n">
        <v>3</v>
      </c>
      <c r="C187" s="33" t="inlineStr">
        <is>
          <t>Business limits as rules (item B)</t>
        </is>
      </c>
      <c r="D187" s="12" t="inlineStr">
        <is>
          <t>Operator / Admin</t>
        </is>
      </c>
      <c r="E187" s="12" t="inlineStr">
        <is>
          <t>NEW-021</t>
        </is>
      </c>
      <c r="F187" s="10" t="n"/>
      <c r="G187" s="10" t="inlineStr">
        <is>
          <t>COMPLETED</t>
        </is>
      </c>
      <c r="H187" s="12" t="inlineStr">
        <is>
          <t>#85; #120</t>
        </is>
      </c>
      <c r="I187" s="12" t="inlineStr">
        <is>
          <t>Live on gokesari.com since #120 (9 Oct)</t>
        </is>
      </c>
    </row>
    <row r="188" ht="15" customFormat="1" customHeight="1" s="2">
      <c r="A188" s="12" t="inlineStr">
        <is>
          <t>F12.2.4</t>
        </is>
      </c>
      <c r="B188" s="10" t="n">
        <v>3</v>
      </c>
      <c r="C188" s="33" t="inlineStr">
        <is>
          <t>Consent view</t>
        </is>
      </c>
      <c r="D188" s="12" t="inlineStr">
        <is>
          <t>Operator / Admin</t>
        </is>
      </c>
      <c r="E188" s="12" t="inlineStr">
        <is>
          <t>NAV-019</t>
        </is>
      </c>
      <c r="F188" s="10" t="n"/>
      <c r="G188" s="10" t="inlineStr">
        <is>
          <t>COMPLETED</t>
        </is>
      </c>
      <c r="H188" s="12" t="inlineStr">
        <is>
          <t>#34</t>
        </is>
      </c>
      <c r="I188" s="12" t="inlineStr">
        <is>
          <t>-</t>
        </is>
      </c>
    </row>
    <row r="189" ht="15" customFormat="1" customHeight="1" s="2">
      <c r="A189" s="12" t="inlineStr">
        <is>
          <t>F12.2.5</t>
        </is>
      </c>
      <c r="B189" s="10" t="n">
        <v>3</v>
      </c>
      <c r="C189" s="33" t="inlineStr">
        <is>
          <t>Rider KYC review (/admin/rider-kyc)</t>
        </is>
      </c>
      <c r="D189" s="12" t="inlineStr">
        <is>
          <t>Operator / Admin</t>
        </is>
      </c>
      <c r="E189" s="12" t="inlineStr">
        <is>
          <t>NEW-026</t>
        </is>
      </c>
      <c r="F189" s="10" t="n"/>
      <c r="G189" s="10" t="inlineStr">
        <is>
          <t>COMPLETED</t>
        </is>
      </c>
      <c r="H189" s="12" t="inlineStr">
        <is>
          <t>#85; #120</t>
        </is>
      </c>
      <c r="I189" s="12" t="inlineStr">
        <is>
          <t>Live on gokesari.com since #120 (9 Oct)</t>
        </is>
      </c>
    </row>
    <row r="190" ht="18" customFormat="1" customHeight="1" s="2">
      <c r="A190" s="28" t="inlineStr">
        <is>
          <t>F13</t>
        </is>
      </c>
      <c r="B190" s="29" t="n">
        <v>1</v>
      </c>
      <c r="C190" s="28" t="inlineStr">
        <is>
          <t>F13  Notifications and event layer</t>
        </is>
      </c>
      <c r="D190" s="28" t="inlineStr">
        <is>
          <t>System</t>
        </is>
      </c>
      <c r="E190" s="28" t="n"/>
      <c r="F190" s="29">
        <f>COUNTIFS($B$191:$B$195,3,$G$191:$G$195,"COMPLETED")&amp;" / "&amp;COUNTIF($B$191:$B$195,3)</f>
        <v/>
      </c>
      <c r="G190" s="29">
        <f>IF(COUNTIFS($B$191:$B$195,3,$G$191:$G$195,"COMPLETED")=COUNTIF($B$191:$B$195,3),"COMPLETED",IF(COUNTIFS($B$191:$B$195,3,$G$191:$G$195,"BLOCKED")&gt;0,"BLOCKED",IF(COUNTIFS($B$191:$B$195,3,$G$191:$G$195,"YET TO START")=COUNTIF($B$191:$B$195,3),"YET TO START","IN PROGRESS")))</f>
        <v/>
      </c>
      <c r="H190" s="28" t="n"/>
      <c r="I190" s="28" t="n"/>
      <c r="J190" s="27">
        <f>(COUNTIFS($B$191:$B$195,3,$J$191:$J$195,"DONE")+COUNTIFS($B$191:$B$195,3,$J$191:$J$195,"DONE-SANDBOX"))&amp;" / "&amp;COUNTIFS($B$191:$B$195,3,$J$191:$J$195,"&lt;&gt;")&amp;" batch steps done"</f>
        <v/>
      </c>
    </row>
    <row r="191" ht="15" customFormat="1" customHeight="1" s="2">
      <c r="A191" s="30" t="inlineStr">
        <is>
          <t>F13.1</t>
        </is>
      </c>
      <c r="B191" s="31" t="n">
        <v>2</v>
      </c>
      <c r="C191" s="32" t="inlineStr">
        <is>
          <t>F13.1  Channels</t>
        </is>
      </c>
      <c r="D191" s="30" t="n"/>
      <c r="E191" s="30" t="n"/>
      <c r="F191" s="31">
        <f>COUNTIFS($B$192:$B$193,3,$G$192:$G$193,"COMPLETED")&amp;" / "&amp;COUNTIF($B$192:$B$193,3)</f>
        <v/>
      </c>
      <c r="G191" s="31">
        <f>IF(COUNTIFS($B$192:$B$193,3,$G$192:$G$193,"COMPLETED")=COUNTIF($B$192:$B$193,3),"COMPLETED",IF(COUNTIFS($B$192:$B$193,3,$G$192:$G$193,"BLOCKED")&gt;0,"BLOCKED",IF(COUNTIFS($B$192:$B$193,3,$G$192:$G$193,"YET TO START")=COUNTIF($B$192:$B$193,3),"YET TO START","IN PROGRESS")))</f>
        <v/>
      </c>
      <c r="H191" s="30" t="n"/>
      <c r="I191" s="30" t="n"/>
      <c r="J191" s="27">
        <f>(COUNTIFS($B$192:$B$193,3,$J$192:$J$193,"DONE")+COUNTIFS($B$192:$B$193,3,$J$192:$J$193,"DONE-SANDBOX"))&amp;" / "&amp;COUNTIFS($B$192:$B$193,3,$J$192:$J$193,"&lt;&gt;")&amp;" batch steps done"</f>
        <v/>
      </c>
    </row>
    <row r="192" ht="27" customFormat="1" customHeight="1" s="2">
      <c r="A192" s="12" t="inlineStr">
        <is>
          <t>F13.1.1</t>
        </is>
      </c>
      <c r="B192" s="10" t="n">
        <v>3</v>
      </c>
      <c r="C192" s="33" t="inlineStr">
        <is>
          <t>In-app and email notifications with preferences</t>
        </is>
      </c>
      <c r="D192" s="12" t="inlineStr">
        <is>
          <t>System</t>
        </is>
      </c>
      <c r="E192" s="12" t="inlineStr">
        <is>
          <t>GS-055, NEW-016</t>
        </is>
      </c>
      <c r="F192" s="10" t="n"/>
      <c r="G192" s="10" t="inlineStr">
        <is>
          <t>COMPLETED</t>
        </is>
      </c>
      <c r="H192" s="12" t="inlineStr">
        <is>
          <t>#23; #75</t>
        </is>
      </c>
      <c r="I192" s="12" t="inlineStr">
        <is>
          <t>Mail host hourly sending cap seen on test (GAP-009)</t>
        </is>
      </c>
    </row>
    <row r="193" ht="15" customFormat="1" customHeight="1" s="2">
      <c r="A193" s="12" t="inlineStr">
        <is>
          <t>F13.1.2</t>
        </is>
      </c>
      <c r="B193" s="10" t="n">
        <v>3</v>
      </c>
      <c r="C193" s="33" t="inlineStr">
        <is>
          <t>SMS, WhatsApp and push providers</t>
        </is>
      </c>
      <c r="D193" s="12" t="inlineStr">
        <is>
          <t>System</t>
        </is>
      </c>
      <c r="E193" s="12" t="inlineStr">
        <is>
          <t>GS-074</t>
        </is>
      </c>
      <c r="F193" s="10" t="n"/>
      <c r="G193" s="10" t="inlineStr">
        <is>
          <t>COMPLETED</t>
        </is>
      </c>
      <c r="H193" s="12" t="inlineStr">
        <is>
          <t>#190, #194</t>
        </is>
      </c>
      <c r="I193" s="12" t="inlineStr">
        <is>
          <t>DONE-SANDBOX (18 Oct batch): One NotificationService path: email templates (live), Expo push (mock on test; production needs EAS/FCM/APNs keys and app 1.2.0), in-app Notification Centre; preferences; delivery log with retries + push receipts. WhatsApp/SMS = Phase-2 stubs.</t>
        </is>
      </c>
      <c r="J193" s="39" t="inlineStr">
        <is>
          <t>DONE-SANDBOX</t>
        </is>
      </c>
      <c r="K193" t="inlineStr">
        <is>
          <t>#190, #194</t>
        </is>
      </c>
      <c r="L193" s="23" t="inlineStr">
        <is>
          <t>One NotificationService path: email templates (live), Expo push (mock on test; production needs EAS/FCM/APNs keys and app 1.2.0), in-app Notification Centre; preferences; delivery log with retries + push receipts. WhatsApp/SMS = Phase-2 stubs.</t>
        </is>
      </c>
    </row>
    <row r="194" ht="15" customFormat="1" customHeight="1" s="2">
      <c r="A194" s="30" t="inlineStr">
        <is>
          <t>F13.2</t>
        </is>
      </c>
      <c r="B194" s="31" t="n">
        <v>2</v>
      </c>
      <c r="C194" s="32" t="inlineStr">
        <is>
          <t>F13.2  Events</t>
        </is>
      </c>
      <c r="D194" s="30" t="n"/>
      <c r="E194" s="30" t="n"/>
      <c r="F194" s="31">
        <f>COUNTIFS($B$195:$B$195,3,$G$195:$G$195,"COMPLETED")&amp;" / "&amp;COUNTIF($B$195:$B$195,3)</f>
        <v/>
      </c>
      <c r="G194" s="31">
        <f>IF(COUNTIFS($B$195:$B$195,3,$G$195:$G$195,"COMPLETED")=COUNTIF($B$195:$B$195,3),"COMPLETED",IF(COUNTIFS($B$195:$B$195,3,$G$195:$G$195,"BLOCKED")&gt;0,"BLOCKED",IF(COUNTIFS($B$195:$B$195,3,$G$195:$G$195,"YET TO START")=COUNTIF($B$195:$B$195,3),"YET TO START","IN PROGRESS")))</f>
        <v/>
      </c>
      <c r="H194" s="30" t="n"/>
      <c r="I194" s="30" t="n"/>
      <c r="J194" s="27">
        <f>(COUNTIFS($B$195:$B$195,3,$J$195:$J$195,"DONE")+COUNTIFS($B$195:$B$195,3,$J$195:$J$195,"DONE-SANDBOX"))&amp;" / "&amp;COUNTIFS($B$195:$B$195,3,$J$195:$J$195,"&lt;&gt;")&amp;" batch steps done"</f>
        <v/>
      </c>
    </row>
    <row r="195" ht="15" customFormat="1" customHeight="1" s="2">
      <c r="A195" s="12" t="inlineStr">
        <is>
          <t>F13.2.1</t>
        </is>
      </c>
      <c r="B195" s="10" t="n">
        <v>3</v>
      </c>
      <c r="C195" s="33" t="inlineStr">
        <is>
          <t>Domain events, outbox with retries, timeout sweep</t>
        </is>
      </c>
      <c r="D195" s="12" t="inlineStr">
        <is>
          <t>System</t>
        </is>
      </c>
      <c r="E195" s="12" t="inlineStr">
        <is>
          <t>NEW-028</t>
        </is>
      </c>
      <c r="F195" s="10" t="n"/>
      <c r="G195" s="10" t="inlineStr">
        <is>
          <t>COMPLETED</t>
        </is>
      </c>
      <c r="H195" s="12" t="inlineStr">
        <is>
          <t>#89; #120</t>
        </is>
      </c>
      <c r="I195" s="12" t="inlineStr">
        <is>
          <t>Live on gokesari.com since #120 (9 Oct)</t>
        </is>
      </c>
    </row>
    <row r="196" ht="18" customFormat="1" customHeight="1" s="2">
      <c r="A196" s="28" t="inlineStr">
        <is>
          <t>F14</t>
        </is>
      </c>
      <c r="B196" s="29" t="n">
        <v>1</v>
      </c>
      <c r="C196" s="28" t="inlineStr">
        <is>
          <t>F14  Release and deployment</t>
        </is>
      </c>
      <c r="D196" s="28" t="inlineStr">
        <is>
          <t>Developer / Owner</t>
        </is>
      </c>
      <c r="E196" s="28" t="n"/>
      <c r="F196" s="29">
        <f>COUNTIFS($B$197:$B$207,3,$G$197:$G$207,"COMPLETED")&amp;" / "&amp;COUNTIF($B$197:$B$207,3)</f>
        <v/>
      </c>
      <c r="G196" s="29">
        <f>IF(COUNTIFS($B$197:$B$207,3,$G$197:$G$207,"COMPLETED")=COUNTIF($B$197:$B$207,3),"COMPLETED",IF(COUNTIFS($B$197:$B$207,3,$G$197:$G$207,"BLOCKED")&gt;0,"BLOCKED",IF(COUNTIFS($B$197:$B$207,3,$G$197:$G$207,"YET TO START")=COUNTIF($B$197:$B$207,3),"YET TO START","IN PROGRESS")))</f>
        <v/>
      </c>
      <c r="H196" s="28" t="n"/>
      <c r="I196" s="28" t="n"/>
      <c r="J196" s="27">
        <f>(COUNTIFS($B$197:$B$207,3,$J$197:$J$207,"DONE")+COUNTIFS($B$197:$B$207,3,$J$197:$J$207,"DONE-SANDBOX"))&amp;" / "&amp;COUNTIFS($B$197:$B$207,3,$J$197:$J$207,"&lt;&gt;")&amp;" batch steps done"</f>
        <v/>
      </c>
    </row>
    <row r="197" ht="15" customFormat="1" customHeight="1" s="2">
      <c r="A197" s="30" t="inlineStr">
        <is>
          <t>F14.1</t>
        </is>
      </c>
      <c r="B197" s="31" t="n">
        <v>2</v>
      </c>
      <c r="C197" s="32" t="inlineStr">
        <is>
          <t>F14.1  Build and test</t>
        </is>
      </c>
      <c r="D197" s="30" t="n"/>
      <c r="E197" s="30" t="n"/>
      <c r="F197" s="31">
        <f>COUNTIFS($B$198:$B$202,3,$G$198:$G$202,"COMPLETED")&amp;" / "&amp;COUNTIF($B$198:$B$202,3)</f>
        <v/>
      </c>
      <c r="G197" s="31">
        <f>IF(COUNTIFS($B$198:$B$202,3,$G$198:$G$202,"COMPLETED")=COUNTIF($B$198:$B$202,3),"COMPLETED",IF(COUNTIFS($B$198:$B$202,3,$G$198:$G$202,"BLOCKED")&gt;0,"BLOCKED",IF(COUNTIFS($B$198:$B$202,3,$G$198:$G$202,"YET TO START")=COUNTIF($B$198:$B$202,3),"YET TO START","IN PROGRESS")))</f>
        <v/>
      </c>
      <c r="H197" s="30" t="n"/>
      <c r="I197" s="30" t="n"/>
      <c r="J197" s="27">
        <f>(COUNTIFS($B$198:$B$202,3,$J$198:$J$202,"DONE")+COUNTIFS($B$198:$B$202,3,$J$198:$J$202,"DONE-SANDBOX"))&amp;" / "&amp;COUNTIFS($B$198:$B$202,3,$J$198:$J$202,"&lt;&gt;")&amp;" batch steps done"</f>
        <v/>
      </c>
    </row>
    <row r="198" ht="27" customFormat="1" customHeight="1" s="2">
      <c r="A198" s="12" t="inlineStr">
        <is>
          <t>F14.1.1</t>
        </is>
      </c>
      <c r="B198" s="10" t="n">
        <v>3</v>
      </c>
      <c r="C198" s="33" t="inlineStr">
        <is>
          <t>Feature branch -&gt; PR into staging -&gt; CI (typecheck, lint, tests, build)</t>
        </is>
      </c>
      <c r="D198" s="12" t="inlineStr">
        <is>
          <t>Developer / Owner</t>
        </is>
      </c>
      <c r="E198" s="12" t="inlineStr">
        <is>
          <t>PLT-003, QA-001</t>
        </is>
      </c>
      <c r="F198" s="10" t="n"/>
      <c r="G198" s="10" t="inlineStr">
        <is>
          <t>COMPLETED</t>
        </is>
      </c>
      <c r="H198" s="12" t="inlineStr">
        <is>
          <t>#7; #52</t>
        </is>
      </c>
      <c r="I198" s="12" t="inlineStr">
        <is>
          <t>-</t>
        </is>
      </c>
    </row>
    <row r="199" ht="27" customFormat="1" customHeight="1" s="2">
      <c r="A199" s="12" t="inlineStr">
        <is>
          <t>F14.1.2</t>
        </is>
      </c>
      <c r="B199" s="10" t="n">
        <v>3</v>
      </c>
      <c r="C199" s="33" t="inlineStr">
        <is>
          <t>Test database migrate / backup / verify through the 'Test database' workflow</t>
        </is>
      </c>
      <c r="D199" s="12" t="inlineStr">
        <is>
          <t>Developer / Owner</t>
        </is>
      </c>
      <c r="E199" s="12" t="inlineStr">
        <is>
          <t>PLT-008</t>
        </is>
      </c>
      <c r="F199" s="10" t="n"/>
      <c r="G199" s="10" t="inlineStr">
        <is>
          <t>COMPLETED</t>
        </is>
      </c>
      <c r="H199" s="12" t="inlineStr">
        <is>
          <t>#90; #94</t>
        </is>
      </c>
      <c r="I199" s="12" t="inlineStr">
        <is>
          <t>-</t>
        </is>
      </c>
    </row>
    <row r="200" ht="39" customFormat="1" customHeight="1" s="2">
      <c r="A200" s="12" t="inlineStr">
        <is>
          <t>F14.1.3</t>
        </is>
      </c>
      <c r="B200" s="10" t="n">
        <v>3</v>
      </c>
      <c r="C200" s="33" t="inlineStr">
        <is>
          <t>Execute the 791 test cases and sign off on test.gokesari.com</t>
        </is>
      </c>
      <c r="D200" s="12" t="inlineStr">
        <is>
          <t>Developer / Owner</t>
        </is>
      </c>
      <c r="E200" s="12" t="inlineStr">
        <is>
          <t>QA-003, QA-002, QA-008, QA-009</t>
        </is>
      </c>
      <c r="F200" s="10" t="n"/>
      <c r="G200" s="10" t="inlineStr">
        <is>
          <t>BLOCKED</t>
        </is>
      </c>
      <c r="H200" s="12" t="inlineStr">
        <is>
          <t>#51 (framework); #190, #192, #194</t>
        </is>
      </c>
      <c r="I200" s="12" t="inlineStr">
        <is>
          <t>BLOCKED-OWNER-INPUT (18 Oct batch): Released to gokesari.com by #194 (merge fc70223, 20:45:32 UTC = restore point). Automated: 283/283 batch cases + 8 mobile; whole suite 2191/2192 (1 pre-existing load flake); CI green on #190/#192/#193/#194. test.gokesari.com: remote checks 12/12; signed-in journeys 40 pass, 1 blocked (S-014 no rider online). gokesari.com: production-safe checks 12/12. Report: docs/test-reports/2026-10-batch.md. Production order lifecycle needs owner inputs §14.</t>
        </is>
      </c>
      <c r="J200" s="41" t="inlineStr">
        <is>
          <t>BLOCKED-OWNER-INPUT</t>
        </is>
      </c>
      <c r="K200" t="inlineStr">
        <is>
          <t>#190, #192, #194</t>
        </is>
      </c>
      <c r="L200" s="23" t="inlineStr">
        <is>
          <t>Released to gokesari.com by #194 (merge fc70223, 20:45:32 UTC = restore point). Automated: 283/283 batch cases + 8 mobile; whole suite 2191/2192 (1 pre-existing load flake); CI green on #190/#192/#193/#194. test.gokesari.com: remote checks 12/12; signed-in journeys 40 pass, 1 blocked (S-014 no rider online). gokesari.com: production-safe checks 12/12. Report: docs/test-reports/2026-10-batch.md. Production order lifecycle needs owner inputs §14.</t>
        </is>
      </c>
    </row>
    <row r="201" ht="15" customFormat="1" customHeight="1" s="2">
      <c r="A201" s="12" t="inlineStr">
        <is>
          <t>F14.1.4</t>
        </is>
      </c>
      <c r="B201" s="10" t="n">
        <v>3</v>
      </c>
      <c r="C201" s="33" t="inlineStr">
        <is>
          <t>Pay Cashfree sandbox checkouts from a GitHub runner for E2E runs</t>
        </is>
      </c>
      <c r="D201" s="12" t="inlineStr">
        <is>
          <t>Developer / Owner</t>
        </is>
      </c>
      <c r="E201" s="12" t="inlineStr">
        <is>
          <t>PLT-011</t>
        </is>
      </c>
      <c r="F201" s="10" t="n"/>
      <c r="G201" s="10" t="inlineStr">
        <is>
          <t>COMPLETED</t>
        </is>
      </c>
      <c r="H201" s="12" t="inlineStr">
        <is>
          <t>#102; #103</t>
        </is>
      </c>
      <c r="I201" s="12" t="inlineStr">
        <is>
          <t>-</t>
        </is>
      </c>
    </row>
    <row r="202" ht="27" customFormat="1" customHeight="1" s="2">
      <c r="A202" s="12" t="inlineStr">
        <is>
          <t>F14.1.5</t>
        </is>
      </c>
      <c r="B202" s="10" t="n">
        <v>3</v>
      </c>
      <c r="C202" s="33" t="inlineStr">
        <is>
          <t>Browser test run of the four features + regression recorded step by step</t>
        </is>
      </c>
      <c r="D202" s="12" t="inlineStr">
        <is>
          <t>Developer / Owner</t>
        </is>
      </c>
      <c r="E202" s="12" t="inlineStr">
        <is>
          <t>QA-004</t>
        </is>
      </c>
      <c r="F202" s="10" t="n"/>
      <c r="G202" s="10" t="inlineStr">
        <is>
          <t>COMPLETED</t>
        </is>
      </c>
      <c r="H202" s="12" t="inlineStr">
        <is>
          <t>#103; #104</t>
        </is>
      </c>
      <c r="I202" s="12" t="inlineStr">
        <is>
          <t>All PASS; 3 fixes re-checked</t>
        </is>
      </c>
    </row>
    <row r="203" ht="15" customFormat="1" customHeight="1" s="2">
      <c r="A203" s="30" t="inlineStr">
        <is>
          <t>F14.2</t>
        </is>
      </c>
      <c r="B203" s="31" t="n">
        <v>2</v>
      </c>
      <c r="C203" s="32" t="inlineStr">
        <is>
          <t>F14.2  Release</t>
        </is>
      </c>
      <c r="D203" s="30" t="n"/>
      <c r="E203" s="30" t="n"/>
      <c r="F203" s="31">
        <f>COUNTIFS($B$204:$B$207,3,$G$204:$G$207,"COMPLETED")&amp;" / "&amp;COUNTIF($B$204:$B$207,3)</f>
        <v/>
      </c>
      <c r="G203" s="31">
        <f>IF(COUNTIFS($B$204:$B$207,3,$G$204:$G$207,"COMPLETED")=COUNTIF($B$204:$B$207,3),"COMPLETED",IF(COUNTIFS($B$204:$B$207,3,$G$204:$G$207,"BLOCKED")&gt;0,"BLOCKED",IF(COUNTIFS($B$204:$B$207,3,$G$204:$G$207,"YET TO START")=COUNTIF($B$204:$B$207,3),"YET TO START","IN PROGRESS")))</f>
        <v/>
      </c>
      <c r="H203" s="30" t="n"/>
      <c r="I203" s="30" t="n"/>
      <c r="J203" s="27">
        <f>(COUNTIFS($B$204:$B$207,3,$J$204:$J$207,"DONE")+COUNTIFS($B$204:$B$207,3,$J$204:$J$207,"DONE-SANDBOX"))&amp;" / "&amp;COUNTIFS($B$204:$B$207,3,$J$204:$J$207,"&lt;&gt;")&amp;" batch steps done"</f>
        <v/>
      </c>
    </row>
    <row r="204" ht="27" customFormat="1" customHeight="1" s="2">
      <c r="A204" s="12" t="inlineStr">
        <is>
          <t>F14.2.1</t>
        </is>
      </c>
      <c r="B204" s="10" t="n">
        <v>3</v>
      </c>
      <c r="C204" s="33" t="inlineStr">
        <is>
          <t>Migrate production through the 'Production database' workflow</t>
        </is>
      </c>
      <c r="D204" s="12" t="inlineStr">
        <is>
          <t>Developer / Owner</t>
        </is>
      </c>
      <c r="E204" s="12" t="inlineStr">
        <is>
          <t>PLT-009</t>
        </is>
      </c>
      <c r="F204" s="10" t="n"/>
      <c r="G204" s="10" t="inlineStr">
        <is>
          <t>BLOCKED</t>
        </is>
      </c>
      <c r="H204" s="12" t="inlineStr">
        <is>
          <t>#93; #118; #190, #194</t>
        </is>
      </c>
      <c r="I204" s="12" t="inlineStr">
        <is>
          <t>BLOCKED-OWNER-INPUT (18 Oct batch): Fixed and released (#190, #194): the job now declares environment: production and a fail-fast preflight that lists what it can see without printing values. Production run 39165658144 (18 Oct, after the release) proves the fix for the secret: PROD_DATABASE_URL is now visible (it was empty on 15 Oct). It stops before touching production because the variables PROD_DATABASE_HOST and PROD_DATABASE_NAME are empty on the production environment — owner to add them (Owner inputs §13), then run verify.</t>
        </is>
      </c>
      <c r="J204" s="41" t="inlineStr">
        <is>
          <t>BLOCKED-OWNER-INPUT</t>
        </is>
      </c>
      <c r="K204" t="inlineStr">
        <is>
          <t>#190, #194</t>
        </is>
      </c>
      <c r="L204" s="23" t="inlineStr">
        <is>
          <t>Fixed and released (#190, #194): the job now declares environment: production and a fail-fast preflight that lists what it can see without printing values. Production run 39165658144 (18 Oct, after the release) proves the fix for the secret: PROD_DATABASE_URL is now visible (it was empty on 15 Oct). It stops before touching production because the variables PROD_DATABASE_HOST and PROD_DATABASE_NAME are empty on the production environment — owner to add them (Owner inputs §13), then run verify.</t>
        </is>
      </c>
    </row>
    <row r="205" ht="39" customFormat="1" customHeight="1" s="2">
      <c r="A205" s="12" t="inlineStr">
        <is>
          <t>F14.2.2</t>
        </is>
      </c>
      <c r="B205" s="10" t="n">
        <v>3</v>
      </c>
      <c r="C205" s="33" t="inlineStr">
        <is>
          <t>Promote staging -&gt; main (deploys gokesari.com)</t>
        </is>
      </c>
      <c r="D205" s="12" t="inlineStr">
        <is>
          <t>Developer / Owner</t>
        </is>
      </c>
      <c r="E205" s="12" t="inlineStr">
        <is>
          <t>PLT-006, PLT-007</t>
        </is>
      </c>
      <c r="F205" s="10" t="n"/>
      <c r="G205" s="10" t="inlineStr">
        <is>
          <t>COMPLETED</t>
        </is>
      </c>
      <c r="H205" s="12" t="inlineStr">
        <is>
          <t>#86 reverted by #87; #120</t>
        </is>
      </c>
      <c r="I205" s="12" t="inlineStr">
        <is>
          <t>#120 merged 9 Oct 14:06 UTC: migrations 0056-0073 applied by MIGRATE_ON_BUILD, then the new code went live; verified 14:55 UTC</t>
        </is>
      </c>
    </row>
    <row r="206" ht="27" customFormat="1" customHeight="1" s="2">
      <c r="A206" s="12" t="inlineStr">
        <is>
          <t>F14.2.3</t>
        </is>
      </c>
      <c r="B206" s="10" t="n">
        <v>3</v>
      </c>
      <c r="C206" s="33" t="inlineStr">
        <is>
          <t>Copy real shops from the test site to production</t>
        </is>
      </c>
      <c r="D206" s="12" t="inlineStr">
        <is>
          <t>Developer / Owner</t>
        </is>
      </c>
      <c r="E206" s="12" t="inlineStr">
        <is>
          <t>PLT-018</t>
        </is>
      </c>
      <c r="F206" s="10" t="n"/>
      <c r="G206" s="10" t="inlineStr">
        <is>
          <t>COMPLETED</t>
        </is>
      </c>
      <c r="H206" s="12" t="inlineStr">
        <is>
          <t>#140; #144; #156</t>
        </is>
      </c>
      <c r="I206" s="12" t="inlineStr">
        <is>
          <t>Used once: 5 shops, 12-13 Oct (SQL in the Neon console)</t>
        </is>
      </c>
    </row>
    <row r="207" ht="39" customFormat="1" customHeight="1" s="2">
      <c r="A207" s="12" t="inlineStr">
        <is>
          <t>F14.2.4</t>
        </is>
      </c>
      <c r="B207" s="10" t="n">
        <v>3</v>
      </c>
      <c r="C207" s="33" t="inlineStr">
        <is>
          <t>Split production into seller and customer databases</t>
        </is>
      </c>
      <c r="D207" s="12" t="inlineStr">
        <is>
          <t>Developer / Owner</t>
        </is>
      </c>
      <c r="E207" s="12" t="inlineStr">
        <is>
          <t>PLT-015</t>
        </is>
      </c>
      <c r="F207" s="10" t="n"/>
      <c r="G207" s="10" t="inlineStr">
        <is>
          <t>BLOCKED</t>
        </is>
      </c>
      <c r="H207" s="12" t="inlineStr">
        <is>
          <t>#146-#162; #190, #194</t>
        </is>
      </c>
      <c r="I207" s="12" t="inlineStr">
        <is>
          <t>BLOCKED-OWNER-INPUT (18 Oct batch): Split secrets verified visible (14 Oct production copy PASS: 190 tables, 486/486 rows, checksums equal, no broken links). Cut-over not performed: needs the owner's window, Neon logical replication and the phase-3 service moves (docs/db-split-2026-10/CUTOVER_2026-10-18.md).</t>
        </is>
      </c>
      <c r="J207" s="41" t="inlineStr">
        <is>
          <t>BLOCKED-OWNER-INPUT</t>
        </is>
      </c>
      <c r="K207" t="inlineStr">
        <is>
          <t>#190, #194</t>
        </is>
      </c>
      <c r="L207" s="23" t="inlineStr">
        <is>
          <t>Split secrets verified visible (14 Oct production copy PASS: 190 tables, 486/486 rows, checksums equal, no broken links). Cut-over not performed: needs the owner's window, Neon logical replication and the phase-3 service moves (docs/db-split-2026-10/CUTOVER_2026-10-18.md).</t>
        </is>
      </c>
    </row>
    <row r="208" ht="18" customFormat="1" customHeight="1" s="2">
      <c r="A208" s="28" t="inlineStr">
        <is>
          <t>F15</t>
        </is>
      </c>
      <c r="B208" s="29" t="n">
        <v>1</v>
      </c>
      <c r="C208" s="28" t="inlineStr">
        <is>
          <t>F15  Mobile app (Android and iPhone)</t>
        </is>
      </c>
      <c r="D208" s="28" t="inlineStr">
        <is>
          <t>Customer / all roles</t>
        </is>
      </c>
      <c r="E208" s="28" t="n"/>
      <c r="F208" s="29">
        <f>COUNTIFS($B$209:$B$217,3,$G$209:$G$217,"COMPLETED")&amp;" / "&amp;COUNTIF($B$209:$B$217,3)</f>
        <v/>
      </c>
      <c r="G208" s="29">
        <f>IF(COUNTIFS($B$209:$B$217,3,$G$209:$G$217,"COMPLETED")=COUNTIF($B$209:$B$217,3),"COMPLETED",IF(COUNTIFS($B$209:$B$217,3,$G$209:$G$217,"BLOCKED")&gt;0,"BLOCKED",IF(COUNTIFS($B$209:$B$217,3,$G$209:$G$217,"YET TO START")=COUNTIF($B$209:$B$217,3),"YET TO START","IN PROGRESS")))</f>
        <v/>
      </c>
      <c r="H208" s="28" t="n"/>
      <c r="I208" s="28" t="n"/>
      <c r="J208" s="27">
        <f>(COUNTIFS($B$209:$B$217,3,$J$209:$J$217,"DONE")+COUNTIFS($B$209:$B$217,3,$J$209:$J$217,"DONE-SANDBOX"))&amp;" / "&amp;COUNTIFS($B$209:$B$217,3,$J$209:$J$217,"&lt;&gt;")&amp;" batch steps done"</f>
        <v/>
      </c>
    </row>
    <row r="209" ht="15" customFormat="1" customHeight="1" s="2">
      <c r="A209" s="30" t="inlineStr">
        <is>
          <t>F15.1</t>
        </is>
      </c>
      <c r="B209" s="31" t="n">
        <v>2</v>
      </c>
      <c r="C209" s="32" t="inlineStr">
        <is>
          <t>F15.1  Install</t>
        </is>
      </c>
      <c r="D209" s="30" t="n"/>
      <c r="E209" s="30" t="n"/>
      <c r="F209" s="31">
        <f>COUNTIFS($B$210:$B$213,3,$G$210:$G$213,"COMPLETED")&amp;" / "&amp;COUNTIF($B$210:$B$213,3)</f>
        <v/>
      </c>
      <c r="G209" s="31">
        <f>IF(COUNTIFS($B$210:$B$213,3,$G$210:$G$213,"COMPLETED")=COUNTIF($B$210:$B$213,3),"COMPLETED",IF(COUNTIFS($B$210:$B$213,3,$G$210:$G$213,"BLOCKED")&gt;0,"BLOCKED",IF(COUNTIFS($B$210:$B$213,3,$G$210:$G$213,"YET TO START")=COUNTIF($B$210:$B$213,3),"YET TO START","IN PROGRESS")))</f>
        <v/>
      </c>
      <c r="H209" s="30" t="n"/>
      <c r="I209" s="30" t="n"/>
      <c r="J209" s="27">
        <f>(COUNTIFS($B$210:$B$213,3,$J$210:$J$213,"DONE")+COUNTIFS($B$210:$B$213,3,$J$210:$J$213,"DONE-SANDBOX"))&amp;" / "&amp;COUNTIFS($B$210:$B$213,3,$J$210:$J$213,"&lt;&gt;")&amp;" batch steps done"</f>
        <v/>
      </c>
    </row>
    <row r="210" ht="27" customFormat="1" customHeight="1" s="2">
      <c r="A210" s="12" t="inlineStr">
        <is>
          <t>F15.1.1</t>
        </is>
      </c>
      <c r="B210" s="10" t="n">
        <v>3</v>
      </c>
      <c r="C210" s="33" t="inlineStr">
        <is>
          <t>Android: download the test APK from GitHub Actions and install</t>
        </is>
      </c>
      <c r="D210" s="12" t="inlineStr">
        <is>
          <t>Customer / all roles</t>
        </is>
      </c>
      <c r="E210" s="12" t="inlineStr">
        <is>
          <t>NEW-043, PLT-010</t>
        </is>
      </c>
      <c r="F210" s="10" t="n"/>
      <c r="G210" s="10" t="inlineStr">
        <is>
          <t>COMPLETED</t>
        </is>
      </c>
      <c r="H210" s="12" t="inlineStr">
        <is>
          <t>#100</t>
        </is>
      </c>
      <c r="I210" s="12" t="inlineStr">
        <is>
          <t>Test signing key - not a store build</t>
        </is>
      </c>
    </row>
    <row r="211" ht="27" customFormat="1" customHeight="1" s="2">
      <c r="A211" s="12" t="inlineStr">
        <is>
          <t>F15.1.2</t>
        </is>
      </c>
      <c r="B211" s="10" t="n">
        <v>3</v>
      </c>
      <c r="C211" s="33" t="inlineStr">
        <is>
          <t>iPhone: add gokesari.com to the home screen from Safari (full-screen, Back button)</t>
        </is>
      </c>
      <c r="D211" s="12" t="inlineStr">
        <is>
          <t>Customer / all roles</t>
        </is>
      </c>
      <c r="E211" s="12" t="inlineStr">
        <is>
          <t>NEW-045</t>
        </is>
      </c>
      <c r="F211" s="10" t="n"/>
      <c r="G211" s="10" t="inlineStr">
        <is>
          <t>COMPLETED</t>
        </is>
      </c>
      <c r="H211" s="12" t="inlineStr">
        <is>
          <t>#100</t>
        </is>
      </c>
      <c r="I211" s="12" t="inlineStr">
        <is>
          <t>Live on gokesari.com</t>
        </is>
      </c>
    </row>
    <row r="212" ht="27" customFormat="1" customHeight="1" s="2">
      <c r="A212" s="12" t="inlineStr">
        <is>
          <t>F15.1.3</t>
        </is>
      </c>
      <c r="B212" s="10" t="n">
        <v>3</v>
      </c>
      <c r="C212" s="33" t="inlineStr">
        <is>
          <t>Publish on Google Play</t>
        </is>
      </c>
      <c r="D212" s="12" t="inlineStr">
        <is>
          <t>Owner</t>
        </is>
      </c>
      <c r="E212" s="12" t="inlineStr">
        <is>
          <t>NEW-043</t>
        </is>
      </c>
      <c r="F212" s="10" t="n"/>
      <c r="G212" s="10" t="inlineStr">
        <is>
          <t>BLOCKED</t>
        </is>
      </c>
      <c r="H212" s="12" t="inlineStr">
        <is>
          <t>-</t>
        </is>
      </c>
      <c r="I212" s="12" t="inlineStr">
        <is>
          <t>ON-HOLD (18 Oct batch): Google Play publishing on hold (owner decision). Internal Android builds produced: APK production + preview (Android APK run 39146831653, artifacts 12143529084 / 12143309950, app 1.2.0).</t>
        </is>
      </c>
      <c r="J212" s="40" t="inlineStr">
        <is>
          <t>ON-HOLD</t>
        </is>
      </c>
      <c r="K212" t="inlineStr">
        <is>
          <t>-</t>
        </is>
      </c>
      <c r="L212" s="23" t="inlineStr">
        <is>
          <t>Google Play publishing on hold (owner decision). Internal Android builds produced: APK production + preview (Android APK run 39146831653, artifacts 12143529084 / 12143309950, app 1.2.0).</t>
        </is>
      </c>
    </row>
    <row r="213" ht="27" customFormat="1" customHeight="1" s="2">
      <c r="A213" s="12" t="inlineStr">
        <is>
          <t>F15.1.4</t>
        </is>
      </c>
      <c r="B213" s="10" t="n">
        <v>3</v>
      </c>
      <c r="C213" s="33" t="inlineStr">
        <is>
          <t>Publish on the App Store (or install a native build on an iPhone)</t>
        </is>
      </c>
      <c r="D213" s="12" t="inlineStr">
        <is>
          <t>Owner</t>
        </is>
      </c>
      <c r="E213" s="12" t="inlineStr">
        <is>
          <t>NEW-043</t>
        </is>
      </c>
      <c r="F213" s="10" t="n"/>
      <c r="G213" s="10" t="inlineStr">
        <is>
          <t>BLOCKED</t>
        </is>
      </c>
      <c r="H213" s="12" t="inlineStr">
        <is>
          <t>#153; #157; -</t>
        </is>
      </c>
      <c r="I213" s="12" t="inlineStr">
        <is>
          <t>ON-HOLD (18 Oct batch): App Store publishing on hold (owner decision). 'iPhone app' workflow kept ready; trial internal build stopped at its pre-check: needs EXPO_TOKEN, the Expo project id and App Store Connect keys (Owner inputs §11).</t>
        </is>
      </c>
      <c r="J213" s="40" t="inlineStr">
        <is>
          <t>ON-HOLD</t>
        </is>
      </c>
      <c r="K213" t="inlineStr">
        <is>
          <t>-</t>
        </is>
      </c>
      <c r="L213" s="23" t="inlineStr">
        <is>
          <t>App Store publishing on hold (owner decision). 'iPhone app' workflow kept ready; trial internal build stopped at its pre-check: needs EXPO_TOKEN, the Expo project id and App Store Connect keys (Owner inputs §11).</t>
        </is>
      </c>
    </row>
    <row r="214" ht="15" customFormat="1" customHeight="1" s="2">
      <c r="A214" s="30" t="inlineStr">
        <is>
          <t>F15.2</t>
        </is>
      </c>
      <c r="B214" s="31" t="n">
        <v>2</v>
      </c>
      <c r="C214" s="32" t="inlineStr">
        <is>
          <t>F15.2  Use</t>
        </is>
      </c>
      <c r="D214" s="30" t="n"/>
      <c r="E214" s="30" t="n"/>
      <c r="F214" s="31">
        <f>COUNTIFS($B$215:$B$217,3,$G$215:$G$217,"COMPLETED")&amp;" / "&amp;COUNTIF($B$215:$B$217,3)</f>
        <v/>
      </c>
      <c r="G214" s="31">
        <f>IF(COUNTIFS($B$215:$B$217,3,$G$215:$G$217,"COMPLETED")=COUNTIF($B$215:$B$217,3),"COMPLETED",IF(COUNTIFS($B$215:$B$217,3,$G$215:$G$217,"BLOCKED")&gt;0,"BLOCKED",IF(COUNTIFS($B$215:$B$217,3,$G$215:$G$217,"YET TO START")=COUNTIF($B$215:$B$217,3),"YET TO START","IN PROGRESS")))</f>
        <v/>
      </c>
      <c r="H214" s="30" t="n"/>
      <c r="I214" s="30" t="n"/>
      <c r="J214" s="27">
        <f>(COUNTIFS($B$215:$B$217,3,$J$215:$J$217,"DONE")+COUNTIFS($B$215:$B$217,3,$J$215:$J$217,"DONE-SANDBOX"))&amp;" / "&amp;COUNTIFS($B$215:$B$217,3,$J$215:$J$217,"&lt;&gt;")&amp;" batch steps done"</f>
        <v/>
      </c>
    </row>
    <row r="215" ht="27" customFormat="1" customHeight="1" s="2">
      <c r="A215" s="12" t="inlineStr">
        <is>
          <t>F15.2.1</t>
        </is>
      </c>
      <c r="B215" s="10" t="n">
        <v>3</v>
      </c>
      <c r="C215" s="33" t="inlineStr">
        <is>
          <t>Every website feature in the app, with native location, camera, downloads, print, share and offline screen</t>
        </is>
      </c>
      <c r="D215" s="12" t="inlineStr">
        <is>
          <t>Customer / all roles</t>
        </is>
      </c>
      <c r="E215" s="12" t="inlineStr">
        <is>
          <t>NEW-043</t>
        </is>
      </c>
      <c r="F215" s="10" t="n"/>
      <c r="G215" s="10" t="inlineStr">
        <is>
          <t>COMPLETED</t>
        </is>
      </c>
      <c r="H215" s="12" t="inlineStr">
        <is>
          <t>#100</t>
        </is>
      </c>
      <c r="I215" s="12" t="inlineStr">
        <is>
          <t>-</t>
        </is>
      </c>
    </row>
    <row r="216" ht="27" customFormat="1" customHeight="1" s="2">
      <c r="A216" s="12" t="inlineStr">
        <is>
          <t>F15.2.2</t>
        </is>
      </c>
      <c r="B216" s="10" t="n">
        <v>3</v>
      </c>
      <c r="C216" s="33" t="inlineStr">
        <is>
          <t>Continue with Google from the app (system browser hand-off)</t>
        </is>
      </c>
      <c r="D216" s="12" t="inlineStr">
        <is>
          <t>Customer / all roles</t>
        </is>
      </c>
      <c r="E216" s="12" t="inlineStr">
        <is>
          <t>NEW-044</t>
        </is>
      </c>
      <c r="F216" s="10" t="n"/>
      <c r="G216" s="10" t="inlineStr">
        <is>
          <t>COMPLETED</t>
        </is>
      </c>
      <c r="H216" s="12" t="inlineStr">
        <is>
          <t>#100</t>
        </is>
      </c>
      <c r="I216" s="12" t="inlineStr">
        <is>
          <t>-</t>
        </is>
      </c>
    </row>
    <row r="217" ht="27" customFormat="1" customHeight="1" s="2">
      <c r="A217" s="12" t="inlineStr">
        <is>
          <t>F15.2.3</t>
        </is>
      </c>
      <c r="B217" s="10" t="n">
        <v>3</v>
      </c>
      <c r="C217" s="33" t="inlineStr">
        <is>
          <t>gokesari.com links open the app (deep links)</t>
        </is>
      </c>
      <c r="D217" s="12" t="inlineStr">
        <is>
          <t>Customer / all roles</t>
        </is>
      </c>
      <c r="E217" s="12" t="inlineStr">
        <is>
          <t>NEW-044</t>
        </is>
      </c>
      <c r="F217" s="10" t="n"/>
      <c r="G217" s="10" t="inlineStr">
        <is>
          <t>BLOCKED</t>
        </is>
      </c>
      <c r="H217" s="12" t="inlineStr">
        <is>
          <t>#100 (code); #190, #194</t>
        </is>
      </c>
      <c r="I217" s="12" t="inlineStr">
        <is>
          <t>BLOCKED-OWNER-INPUT (18 Oct batch): Built and live on test: assetlinks.json (host-aware package) and apple-app-site-association (no extension, application/json) always served, intent filters with autoVerify, associated domains, route map product/shop/order/invite/notification/ticket, in-app routing, web fallback. Activates when the owner sets the SHA-256 fingerprint and Apple Team ID (docs/deep-links-activation.md).</t>
        </is>
      </c>
      <c r="J217" s="41" t="inlineStr">
        <is>
          <t>BLOCKED-OWNER-INPUT</t>
        </is>
      </c>
      <c r="K217" t="inlineStr">
        <is>
          <t>#190, #194</t>
        </is>
      </c>
      <c r="L217" s="23" t="inlineStr">
        <is>
          <t>Built and live on test: assetlinks.json (host-aware package) and apple-app-site-association (no extension, application/json) always served, intent filters with autoVerify, associated domains, route map product/shop/order/invite/notification/ticket, in-app routing, web fallback. Activates when the owner sets the SHA-256 fingerprint and Apple Team ID (docs/deep-links-activation.md).</t>
        </is>
      </c>
    </row>
  </sheetData>
  <autoFilter ref="A4:I217"/>
  <mergeCells count="1">
    <mergeCell ref="A2:I2"/>
  </mergeCells>
  <conditionalFormatting sqref="G5:G217">
    <cfRule type="cellIs" priority="1" operator="equal" dxfId="0">
      <formula>"COMPLETED"</formula>
    </cfRule>
    <cfRule type="cellIs" priority="2" operator="equal" dxfId="1">
      <formula>"IN PROGRESS"</formula>
    </cfRule>
    <cfRule type="cellIs" priority="3" operator="equal" dxfId="2">
      <formula>"YET TO START"</formula>
    </cfRule>
    <cfRule type="cellIs" priority="4" operator="equal" dxfId="3">
      <formula>"BLOCKED"</formula>
    </cfRule>
  </conditionalFormatting>
  <dataValidations count="45">
    <dataValidation sqref="G100" showDropDown="0" showInputMessage="0" showErrorMessage="0" allowBlank="0" type="list">
      <formula1>"COMPLETED,IN PROGRESS,YET TO START,BLOCKED"</formula1>
    </dataValidation>
    <dataValidation sqref="G102:G104" showDropDown="0" showInputMessage="0" showErrorMessage="0" allowBlank="0" type="list">
      <formula1>"COMPLETED,IN PROGRESS,YET TO START,BLOCKED"</formula1>
    </dataValidation>
    <dataValidation sqref="G106:G108" showDropDown="0" showInputMessage="0" showErrorMessage="0" allowBlank="0" type="list">
      <formula1>"COMPLETED,IN PROGRESS,YET TO START,BLOCKED"</formula1>
    </dataValidation>
    <dataValidation sqref="G11:G12" showDropDown="0" showInputMessage="0" showErrorMessage="0" allowBlank="0" type="list">
      <formula1>"COMPLETED,IN PROGRESS,YET TO START,BLOCKED"</formula1>
    </dataValidation>
    <dataValidation sqref="G110" showDropDown="0" showInputMessage="0" showErrorMessage="0" allowBlank="0" type="list">
      <formula1>"COMPLETED,IN PROGRESS,YET TO START,BLOCKED"</formula1>
    </dataValidation>
    <dataValidation sqref="G113" showDropDown="0" showInputMessage="0" showErrorMessage="0" allowBlank="0" type="list">
      <formula1>"COMPLETED,IN PROGRESS,YET TO START,BLOCKED"</formula1>
    </dataValidation>
    <dataValidation sqref="G115" showDropDown="0" showInputMessage="0" showErrorMessage="0" allowBlank="0" type="list">
      <formula1>"COMPLETED,IN PROGRESS,YET TO START,BLOCKED"</formula1>
    </dataValidation>
    <dataValidation sqref="G117:G119" showDropDown="0" showInputMessage="0" showErrorMessage="0" allowBlank="0" type="list">
      <formula1>"COMPLETED,IN PROGRESS,YET TO START,BLOCKED"</formula1>
    </dataValidation>
    <dataValidation sqref="G122:G125" showDropDown="0" showInputMessage="0" showErrorMessage="0" allowBlank="0" type="list">
      <formula1>"COMPLETED,IN PROGRESS,YET TO START,BLOCKED"</formula1>
    </dataValidation>
    <dataValidation sqref="G127:G133" showDropDown="0" showInputMessage="0" showErrorMessage="0" allowBlank="0" type="list">
      <formula1>"COMPLETED,IN PROGRESS,YET TO START,BLOCKED"</formula1>
    </dataValidation>
    <dataValidation sqref="G135:G138" showDropDown="0" showInputMessage="0" showErrorMessage="0" allowBlank="0" type="list">
      <formula1>"COMPLETED,IN PROGRESS,YET TO START,BLOCKED"</formula1>
    </dataValidation>
    <dataValidation sqref="G14:G17" showDropDown="0" showInputMessage="0" showErrorMessage="0" allowBlank="0" type="list">
      <formula1>"COMPLETED,IN PROGRESS,YET TO START,BLOCKED"</formula1>
    </dataValidation>
    <dataValidation sqref="G140:G143" showDropDown="0" showInputMessage="0" showErrorMessage="0" allowBlank="0" type="list">
      <formula1>"COMPLETED,IN PROGRESS,YET TO START,BLOCKED"</formula1>
    </dataValidation>
    <dataValidation sqref="G146:G149" showDropDown="0" showInputMessage="0" showErrorMessage="0" allowBlank="0" type="list">
      <formula1>"COMPLETED,IN PROGRESS,YET TO START,BLOCKED"</formula1>
    </dataValidation>
    <dataValidation sqref="G151:G157" showDropDown="0" showInputMessage="0" showErrorMessage="0" allowBlank="0" type="list">
      <formula1>"COMPLETED,IN PROGRESS,YET TO START,BLOCKED"</formula1>
    </dataValidation>
    <dataValidation sqref="G160:G162" showDropDown="0" showInputMessage="0" showErrorMessage="0" allowBlank="0" type="list">
      <formula1>"COMPLETED,IN PROGRESS,YET TO START,BLOCKED"</formula1>
    </dataValidation>
    <dataValidation sqref="G164:G169" showDropDown="0" showInputMessage="0" showErrorMessage="0" allowBlank="0" type="list">
      <formula1>"COMPLETED,IN PROGRESS,YET TO START,BLOCKED"</formula1>
    </dataValidation>
    <dataValidation sqref="G172:G173" showDropDown="0" showInputMessage="0" showErrorMessage="0" allowBlank="0" type="list">
      <formula1>"COMPLETED,IN PROGRESS,YET TO START,BLOCKED"</formula1>
    </dataValidation>
    <dataValidation sqref="G175:G177" showDropDown="0" showInputMessage="0" showErrorMessage="0" allowBlank="0" type="list">
      <formula1>"COMPLETED,IN PROGRESS,YET TO START,BLOCKED"</formula1>
    </dataValidation>
    <dataValidation sqref="G180:G183" showDropDown="0" showInputMessage="0" showErrorMessage="0" allowBlank="0" type="list">
      <formula1>"COMPLETED,IN PROGRESS,YET TO START,BLOCKED"</formula1>
    </dataValidation>
    <dataValidation sqref="G185:G189" showDropDown="0" showInputMessage="0" showErrorMessage="0" allowBlank="0" type="list">
      <formula1>"COMPLETED,IN PROGRESS,YET TO START,BLOCKED"</formula1>
    </dataValidation>
    <dataValidation sqref="G19:G21" showDropDown="0" showInputMessage="0" showErrorMessage="0" allowBlank="0" type="list">
      <formula1>"COMPLETED,IN PROGRESS,YET TO START,BLOCKED"</formula1>
    </dataValidation>
    <dataValidation sqref="G192:G193" showDropDown="0" showInputMessage="0" showErrorMessage="0" allowBlank="0" type="list">
      <formula1>"COMPLETED,IN PROGRESS,YET TO START,BLOCKED"</formula1>
    </dataValidation>
    <dataValidation sqref="G195" showDropDown="0" showInputMessage="0" showErrorMessage="0" allowBlank="0" type="list">
      <formula1>"COMPLETED,IN PROGRESS,YET TO START,BLOCKED"</formula1>
    </dataValidation>
    <dataValidation sqref="G198:G202" showDropDown="0" showInputMessage="0" showErrorMessage="0" allowBlank="0" type="list">
      <formula1>"COMPLETED,IN PROGRESS,YET TO START,BLOCKED"</formula1>
    </dataValidation>
    <dataValidation sqref="G204:G207" showDropDown="0" showInputMessage="0" showErrorMessage="0" allowBlank="0" type="list">
      <formula1>"COMPLETED,IN PROGRESS,YET TO START,BLOCKED"</formula1>
    </dataValidation>
    <dataValidation sqref="G210:G213" showDropDown="0" showInputMessage="0" showErrorMessage="0" allowBlank="0" type="list">
      <formula1>"COMPLETED,IN PROGRESS,YET TO START,BLOCKED"</formula1>
    </dataValidation>
    <dataValidation sqref="G215:G217" showDropDown="0" showInputMessage="0" showErrorMessage="0" allowBlank="0" type="list">
      <formula1>"COMPLETED,IN PROGRESS,YET TO START,BLOCKED"</formula1>
    </dataValidation>
    <dataValidation sqref="G23:G27" showDropDown="0" showInputMessage="0" showErrorMessage="0" allowBlank="0" type="list">
      <formula1>"COMPLETED,IN PROGRESS,YET TO START,BLOCKED"</formula1>
    </dataValidation>
    <dataValidation sqref="G29:G31" showDropDown="0" showInputMessage="0" showErrorMessage="0" allowBlank="0" type="list">
      <formula1>"COMPLETED,IN PROGRESS,YET TO START,BLOCKED"</formula1>
    </dataValidation>
    <dataValidation sqref="G33:G35" showDropDown="0" showInputMessage="0" showErrorMessage="0" allowBlank="0" type="list">
      <formula1>"COMPLETED,IN PROGRESS,YET TO START,BLOCKED"</formula1>
    </dataValidation>
    <dataValidation sqref="G37:G41" showDropDown="0" showInputMessage="0" showErrorMessage="0" allowBlank="0" type="list">
      <formula1>"COMPLETED,IN PROGRESS,YET TO START,BLOCKED"</formula1>
    </dataValidation>
    <dataValidation sqref="G43:G48" showDropDown="0" showInputMessage="0" showErrorMessage="0" allowBlank="0" type="list">
      <formula1>"COMPLETED,IN PROGRESS,YET TO START,BLOCKED"</formula1>
    </dataValidation>
    <dataValidation sqref="G51:G54" showDropDown="0" showInputMessage="0" showErrorMessage="0" allowBlank="0" type="list">
      <formula1>"COMPLETED,IN PROGRESS,YET TO START,BLOCKED"</formula1>
    </dataValidation>
    <dataValidation sqref="G56:G60" showDropDown="0" showInputMessage="0" showErrorMessage="0" allowBlank="0" type="list">
      <formula1>"COMPLETED,IN PROGRESS,YET TO START,BLOCKED"</formula1>
    </dataValidation>
    <dataValidation sqref="G63:G64" showDropDown="0" showInputMessage="0" showErrorMessage="0" allowBlank="0" type="list">
      <formula1>"COMPLETED,IN PROGRESS,YET TO START,BLOCKED"</formula1>
    </dataValidation>
    <dataValidation sqref="G66:G68" showDropDown="0" showInputMessage="0" showErrorMessage="0" allowBlank="0" type="list">
      <formula1>"COMPLETED,IN PROGRESS,YET TO START,BLOCKED"</formula1>
    </dataValidation>
    <dataValidation sqref="G7:G9" showDropDown="0" showInputMessage="0" showErrorMessage="0" allowBlank="0" type="list">
      <formula1>"COMPLETED,IN PROGRESS,YET TO START,BLOCKED"</formula1>
    </dataValidation>
    <dataValidation sqref="G70:G71" showDropDown="0" showInputMessage="0" showErrorMessage="0" allowBlank="0" type="list">
      <formula1>"COMPLETED,IN PROGRESS,YET TO START,BLOCKED"</formula1>
    </dataValidation>
    <dataValidation sqref="G74:G76" showDropDown="0" showInputMessage="0" showErrorMessage="0" allowBlank="0" type="list">
      <formula1>"COMPLETED,IN PROGRESS,YET TO START,BLOCKED"</formula1>
    </dataValidation>
    <dataValidation sqref="G78:G84" showDropDown="0" showInputMessage="0" showErrorMessage="0" allowBlank="0" type="list">
      <formula1>"COMPLETED,IN PROGRESS,YET TO START,BLOCKED"</formula1>
    </dataValidation>
    <dataValidation sqref="G87:G88" showDropDown="0" showInputMessage="0" showErrorMessage="0" allowBlank="0" type="list">
      <formula1>"COMPLETED,IN PROGRESS,YET TO START,BLOCKED"</formula1>
    </dataValidation>
    <dataValidation sqref="G90:G92" showDropDown="0" showInputMessage="0" showErrorMessage="0" allowBlank="0" type="list">
      <formula1>"COMPLETED,IN PROGRESS,YET TO START,BLOCKED"</formula1>
    </dataValidation>
    <dataValidation sqref="G94:G95" showDropDown="0" showInputMessage="0" showErrorMessage="0" allowBlank="0" type="list">
      <formula1>"COMPLETED,IN PROGRESS,YET TO START,BLOCKED"</formula1>
    </dataValidation>
    <dataValidation sqref="G98:G100" showDropDown="0" showInputMessage="0" showErrorMessage="0" allowBlank="0" type="list">
      <formula1>"COMPLETED,IN PROGRESS,YET TO START,BLOCKED"</formula1>
    </dataValidation>
  </dataValidations>
  <pageMargins left="0.3" right="0.3" top="1" bottom="1" header="0.511811023622047" footer="0.511811023622047"/>
  <pageSetup orientation="landscape" paperSize="9" scale="100" fitToHeight="0" fitToWidth="1" firstPageNumber="1" useFirstPageNumber="1" horizontalDpi="300" verticalDpi="300" copies="1"/>
</worksheet>
</file>

<file path=xl/worksheets/sheet7.xml><?xml version="1.0" encoding="utf-8"?>
<worksheet xmlns="http://schemas.openxmlformats.org/spreadsheetml/2006/main">
  <sheetPr>
    <tabColor rgb="FF1D4ED8"/>
    <outlinePr summaryBelow="1" summaryRight="1"/>
    <pageSetUpPr fitToPage="1"/>
  </sheetPr>
  <dimension ref="A1:L189"/>
  <sheetViews>
    <sheetView view="normal" zoomScale="90" zoomScaleNormal="90" workbookViewId="0">
      <pane xSplit="2" ySplit="1" topLeftCell="C2" activePane="bottomRight" state="frozen"/>
      <selection pane="bottomRight" activeCell="A1" sqref="A1"/>
    </sheetView>
  </sheetViews>
  <sheetFormatPr baseColWidth="8" defaultColWidth="8.6796875" defaultRowHeight="15" outlineLevelRow="0"/>
  <cols>
    <col width="7" customWidth="1" style="1" min="1" max="1"/>
    <col width="52" customWidth="1" style="1" min="2" max="2"/>
    <col width="18" customWidth="1" style="1" min="3" max="3"/>
    <col width="36" customWidth="1" style="1" min="4" max="4"/>
    <col width="26" customWidth="1" style="1" min="5" max="5"/>
    <col width="15" customWidth="1" style="1" min="6" max="6"/>
    <col width="11" customWidth="1" style="1" min="7" max="7"/>
    <col width="13" customWidth="1" style="1" min="8" max="8"/>
    <col width="34" customWidth="1" style="1" min="9" max="10"/>
    <col width="24" customWidth="1" style="1" min="11" max="11"/>
    <col width="50" customWidth="1" style="1" min="12" max="12"/>
  </cols>
  <sheetData>
    <row r="1" ht="30" customFormat="1" customHeight="1" s="2">
      <c r="A1" s="6" t="inlineStr">
        <is>
          <t>PR #</t>
        </is>
      </c>
      <c r="B1" s="6" t="inlineStr">
        <is>
          <t>Title</t>
        </is>
      </c>
      <c r="C1" s="6" t="inlineStr">
        <is>
          <t>Type</t>
        </is>
      </c>
      <c r="D1" s="6" t="inlineStr">
        <is>
          <t>Branch (head -&gt; base)</t>
        </is>
      </c>
      <c r="E1" s="6" t="inlineStr">
        <is>
          <t>Target</t>
        </is>
      </c>
      <c r="F1" s="6" t="inlineStr">
        <is>
          <t>State</t>
        </is>
      </c>
      <c r="G1" s="6" t="inlineStr">
        <is>
          <t>Created</t>
        </is>
      </c>
      <c r="H1" s="6" t="inlineStr">
        <is>
          <t>Merged / closed</t>
        </is>
      </c>
      <c r="I1" s="6" t="inlineStr">
        <is>
          <t>Features built / extended</t>
        </is>
      </c>
      <c r="J1" s="6" t="inlineStr">
        <is>
          <t>Features released to production</t>
        </is>
      </c>
      <c r="K1" s="6" t="inlineStr">
        <is>
          <t>Released to production via</t>
        </is>
      </c>
      <c r="L1" s="6" t="inlineStr">
        <is>
          <t>Notes</t>
        </is>
      </c>
    </row>
    <row r="2" ht="27" customFormat="1" customHeight="1" s="2">
      <c r="A2" s="34" t="inlineStr">
        <is>
          <t>1</t>
        </is>
      </c>
      <c r="B2" s="12" t="inlineStr">
        <is>
          <t>Add the Product Master Data Platform (pilot)</t>
        </is>
      </c>
      <c r="C2" s="12" t="inlineStr">
        <is>
          <t>Feature</t>
        </is>
      </c>
      <c r="D2" s="12" t="inlineStr">
        <is>
          <t>feature/product-master-platform -&gt; main</t>
        </is>
      </c>
      <c r="E2" s="12" t="inlineStr">
        <is>
          <t>Production (main -&gt; gokesari.com)</t>
        </is>
      </c>
      <c r="F2" s="12" t="inlineStr">
        <is>
          <t>Closed - not merged</t>
        </is>
      </c>
      <c r="G2" s="12" t="inlineStr">
        <is>
          <t>2026-09-20</t>
        </is>
      </c>
      <c r="H2" s="12" t="inlineStr">
        <is>
          <t>2026-09-21</t>
        </is>
      </c>
      <c r="I2" s="12" t="inlineStr">
        <is>
          <t>PMD-001</t>
        </is>
      </c>
      <c r="J2" s="12" t="inlineStr">
        <is>
          <t>-</t>
        </is>
      </c>
      <c r="K2" s="12" t="inlineStr">
        <is>
          <t>-</t>
        </is>
      </c>
      <c r="L2" s="12" t="inlineStr">
        <is>
          <t>Superseded by #4 (closed unmerged).</t>
        </is>
      </c>
    </row>
    <row r="3" ht="27" customFormat="1" customHeight="1" s="2">
      <c r="A3" s="34" t="inlineStr">
        <is>
          <t>2</t>
        </is>
      </c>
      <c r="B3" s="12" t="inlineStr">
        <is>
          <t>Add GS1 India and manufacturer-catalogue connectors (Excel, mapping templates)</t>
        </is>
      </c>
      <c r="C3" s="12" t="inlineStr">
        <is>
          <t>Feature</t>
        </is>
      </c>
      <c r="D3" s="12" t="inlineStr">
        <is>
          <t>feature/pmd-gs1-manufacturer-feeds -&gt; feature/product-master-platform</t>
        </is>
      </c>
      <c r="E3" s="12" t="inlineStr">
        <is>
          <t>Stacked on feature/product-master-platform</t>
        </is>
      </c>
      <c r="F3" s="12" t="inlineStr">
        <is>
          <t>Closed - not merged</t>
        </is>
      </c>
      <c r="G3" s="12" t="inlineStr">
        <is>
          <t>2026-09-20</t>
        </is>
      </c>
      <c r="H3" s="12" t="inlineStr">
        <is>
          <t>2026-09-21</t>
        </is>
      </c>
      <c r="I3" s="12" t="inlineStr">
        <is>
          <t>PMD-002</t>
        </is>
      </c>
      <c r="J3" s="12" t="inlineStr">
        <is>
          <t>-</t>
        </is>
      </c>
      <c r="K3" s="12" t="inlineStr">
        <is>
          <t>-</t>
        </is>
      </c>
      <c r="L3" s="12" t="inlineStr">
        <is>
          <t>Stacked on #1; superseded by #4.</t>
        </is>
      </c>
    </row>
    <row r="4" ht="27" customFormat="1" customHeight="1" s="2">
      <c r="A4" s="34" t="inlineStr">
        <is>
          <t>3</t>
        </is>
      </c>
      <c r="B4" s="12" t="inlineStr">
        <is>
          <t>PMD: loader rework for scale (bulk path, workers, dashboard/index fixes)</t>
        </is>
      </c>
      <c r="C4" s="12" t="inlineStr">
        <is>
          <t>Feature</t>
        </is>
      </c>
      <c r="D4" s="12" t="inlineStr">
        <is>
          <t>feature/pmd-loader-rework -&gt; feature/product-master-platform</t>
        </is>
      </c>
      <c r="E4" s="12" t="inlineStr">
        <is>
          <t>Stacked on feature/product-master-platform</t>
        </is>
      </c>
      <c r="F4" s="12" t="inlineStr">
        <is>
          <t>Closed - not merged</t>
        </is>
      </c>
      <c r="G4" s="12" t="inlineStr">
        <is>
          <t>2026-09-20</t>
        </is>
      </c>
      <c r="H4" s="12" t="inlineStr">
        <is>
          <t>2026-09-21</t>
        </is>
      </c>
      <c r="I4" s="12" t="inlineStr">
        <is>
          <t>PMD-003</t>
        </is>
      </c>
      <c r="J4" s="12" t="inlineStr">
        <is>
          <t>-</t>
        </is>
      </c>
      <c r="K4" s="12" t="inlineStr">
        <is>
          <t>-</t>
        </is>
      </c>
      <c r="L4" s="12" t="inlineStr">
        <is>
          <t>Stacked on #1; superseded by #4.</t>
        </is>
      </c>
    </row>
    <row r="5" ht="27" customFormat="1" customHeight="1" s="2">
      <c r="A5" s="34" t="inlineStr">
        <is>
          <t>4</t>
        </is>
      </c>
      <c r="B5" s="12" t="inlineStr">
        <is>
          <t>Product Master: platform, feeds, loader rework and shop-catalogue promotion (into staging)</t>
        </is>
      </c>
      <c r="C5" s="12" t="inlineStr">
        <is>
          <t>Feature</t>
        </is>
      </c>
      <c r="D5" s="12" t="inlineStr">
        <is>
          <t>release/pmd-to-staging -&gt; staging</t>
        </is>
      </c>
      <c r="E5" s="12" t="inlineStr">
        <is>
          <t>Test site (staging -&gt; test.gokesari.com)</t>
        </is>
      </c>
      <c r="F5" s="12" t="inlineStr">
        <is>
          <t>Merged</t>
        </is>
      </c>
      <c r="G5" s="12" t="inlineStr">
        <is>
          <t>2026-09-20</t>
        </is>
      </c>
      <c r="H5" s="12" t="inlineStr">
        <is>
          <t>2026-09-20</t>
        </is>
      </c>
      <c r="I5" s="12" t="inlineStr">
        <is>
          <t>GS-011, PMD-001, PMD-002, PMD-003, PMD-004</t>
        </is>
      </c>
      <c r="J5" s="12" t="inlineStr">
        <is>
          <t>-</t>
        </is>
      </c>
      <c r="K5" s="12" t="inlineStr">
        <is>
          <t>#8</t>
        </is>
      </c>
      <c r="L5" s="12" t="inlineStr">
        <is>
          <t>Released by #8.</t>
        </is>
      </c>
    </row>
    <row r="6" ht="27" customFormat="1" customHeight="1" s="2">
      <c r="A6" s="34" t="inlineStr">
        <is>
          <t>5</t>
        </is>
      </c>
      <c r="B6" s="12" t="inlineStr">
        <is>
          <t>Product Master: one-command copy of the pilot data into a target database</t>
        </is>
      </c>
      <c r="C6" s="12" t="inlineStr">
        <is>
          <t>Feature</t>
        </is>
      </c>
      <c r="D6" s="12" t="inlineStr">
        <is>
          <t>feature/pmd-copy-script -&gt; staging</t>
        </is>
      </c>
      <c r="E6" s="12" t="inlineStr">
        <is>
          <t>Test site (staging -&gt; test.gokesari.com)</t>
        </is>
      </c>
      <c r="F6" s="12" t="inlineStr">
        <is>
          <t>Merged</t>
        </is>
      </c>
      <c r="G6" s="12" t="inlineStr">
        <is>
          <t>2026-09-20</t>
        </is>
      </c>
      <c r="H6" s="12" t="inlineStr">
        <is>
          <t>2026-09-21</t>
        </is>
      </c>
      <c r="I6" s="12" t="inlineStr">
        <is>
          <t>PMD-004</t>
        </is>
      </c>
      <c r="J6" s="12" t="inlineStr">
        <is>
          <t>-</t>
        </is>
      </c>
      <c r="K6" s="12" t="inlineStr">
        <is>
          <t>#8</t>
        </is>
      </c>
      <c r="L6" s="12" t="inlineStr">
        <is>
          <t>Released by #8.</t>
        </is>
      </c>
    </row>
    <row r="7" ht="27" customFormat="1" customHeight="1" s="2">
      <c r="A7" s="34" t="inlineStr">
        <is>
          <t>6</t>
        </is>
      </c>
      <c r="B7" s="12" t="inlineStr">
        <is>
          <t>Product Master: fix duplicate brand on concurrent promotion; parallel promotion option</t>
        </is>
      </c>
      <c r="C7" s="12" t="inlineStr">
        <is>
          <t>Feature</t>
        </is>
      </c>
      <c r="D7" s="12" t="inlineStr">
        <is>
          <t>feature/pmd-promote-concurrency -&gt; staging</t>
        </is>
      </c>
      <c r="E7" s="12" t="inlineStr">
        <is>
          <t>Test site (staging -&gt; test.gokesari.com)</t>
        </is>
      </c>
      <c r="F7" s="12" t="inlineStr">
        <is>
          <t>Merged</t>
        </is>
      </c>
      <c r="G7" s="12" t="inlineStr">
        <is>
          <t>2026-09-21</t>
        </is>
      </c>
      <c r="H7" s="12" t="inlineStr">
        <is>
          <t>2026-09-21</t>
        </is>
      </c>
      <c r="I7" s="12" t="inlineStr">
        <is>
          <t>PMD-004</t>
        </is>
      </c>
      <c r="J7" s="12" t="inlineStr">
        <is>
          <t>-</t>
        </is>
      </c>
      <c r="K7" s="12" t="inlineStr">
        <is>
          <t>#8</t>
        </is>
      </c>
      <c r="L7" s="12" t="inlineStr">
        <is>
          <t>Released by #8.</t>
        </is>
      </c>
    </row>
    <row r="8" ht="27" customFormat="1" customHeight="1" s="2">
      <c r="A8" s="34" t="inlineStr">
        <is>
          <t>7</t>
        </is>
      </c>
      <c r="B8" s="12" t="inlineStr">
        <is>
          <t>CI: checkout and setup-node v5 (Node 24)</t>
        </is>
      </c>
      <c r="C8" s="12" t="inlineStr">
        <is>
          <t>DevOps / repo</t>
        </is>
      </c>
      <c r="D8" s="12" t="inlineStr">
        <is>
          <t>chore/ci-node24-actions -&gt; staging</t>
        </is>
      </c>
      <c r="E8" s="12" t="inlineStr">
        <is>
          <t>Test site (staging -&gt; test.gokesari.com)</t>
        </is>
      </c>
      <c r="F8" s="12" t="inlineStr">
        <is>
          <t>Merged</t>
        </is>
      </c>
      <c r="G8" s="12" t="inlineStr">
        <is>
          <t>2026-09-21</t>
        </is>
      </c>
      <c r="H8" s="12" t="inlineStr">
        <is>
          <t>2026-09-21</t>
        </is>
      </c>
      <c r="I8" s="12" t="inlineStr">
        <is>
          <t>PLT-003</t>
        </is>
      </c>
      <c r="J8" s="12" t="inlineStr">
        <is>
          <t>-</t>
        </is>
      </c>
      <c r="K8" s="12" t="inlineStr">
        <is>
          <t>#8</t>
        </is>
      </c>
      <c r="L8" s="12" t="inlineStr">
        <is>
          <t>Released by #8.</t>
        </is>
      </c>
    </row>
    <row r="9" ht="51" customFormat="1" customHeight="1" s="2">
      <c r="A9" s="34" t="inlineStr">
        <is>
          <t>8</t>
        </is>
      </c>
      <c r="B9" s="12" t="inlineStr">
        <is>
          <t>Promote staging to main: Product Master platform (deploys live)</t>
        </is>
      </c>
      <c r="C9" s="12" t="inlineStr">
        <is>
          <t>Release (staging -&gt; main)</t>
        </is>
      </c>
      <c r="D9" s="12" t="inlineStr">
        <is>
          <t>staging -&gt; main</t>
        </is>
      </c>
      <c r="E9" s="12" t="inlineStr">
        <is>
          <t>Production (main -&gt; gokesari.com)</t>
        </is>
      </c>
      <c r="F9" s="12" t="inlineStr">
        <is>
          <t>Merged</t>
        </is>
      </c>
      <c r="G9" s="12" t="inlineStr">
        <is>
          <t>2026-09-21</t>
        </is>
      </c>
      <c r="H9" s="12" t="inlineStr">
        <is>
          <t>2026-09-21</t>
        </is>
      </c>
      <c r="I9" s="12" t="inlineStr">
        <is>
          <t>-</t>
        </is>
      </c>
      <c r="J9" s="12" t="inlineStr">
        <is>
          <t>GS-011, PMD-001, PMD-002, PMD-003, PMD-004, PLT-003</t>
        </is>
      </c>
      <c r="K9" s="12" t="inlineStr">
        <is>
          <t>Itself (merged to main)</t>
        </is>
      </c>
      <c r="L9" s="12" t="n"/>
    </row>
    <row r="10" ht="27" customFormat="1" customHeight="1" s="2">
      <c r="A10" s="34" t="inlineStr">
        <is>
          <t>9</t>
        </is>
      </c>
      <c r="B10" s="12" t="inlineStr">
        <is>
          <t>Product Master: script to apply duplicate-review decisions</t>
        </is>
      </c>
      <c r="C10" s="12" t="inlineStr">
        <is>
          <t>Feature</t>
        </is>
      </c>
      <c r="D10" s="12" t="inlineStr">
        <is>
          <t>feature/pmd-review-decide -&gt; staging</t>
        </is>
      </c>
      <c r="E10" s="12" t="inlineStr">
        <is>
          <t>Test site (staging -&gt; test.gokesari.com)</t>
        </is>
      </c>
      <c r="F10" s="12" t="inlineStr">
        <is>
          <t>Merged</t>
        </is>
      </c>
      <c r="G10" s="12" t="inlineStr">
        <is>
          <t>2026-09-21</t>
        </is>
      </c>
      <c r="H10" s="12" t="inlineStr">
        <is>
          <t>2026-09-21</t>
        </is>
      </c>
      <c r="I10" s="12" t="inlineStr">
        <is>
          <t>PMD-005</t>
        </is>
      </c>
      <c r="J10" s="12" t="inlineStr">
        <is>
          <t>-</t>
        </is>
      </c>
      <c r="K10" s="12" t="inlineStr">
        <is>
          <t>#12</t>
        </is>
      </c>
      <c r="L10" s="12" t="inlineStr">
        <is>
          <t>Released by #12.</t>
        </is>
      </c>
    </row>
    <row r="11" ht="111" customFormat="1" customHeight="1" s="2">
      <c r="A11" s="34" t="inlineStr">
        <is>
          <t>10</t>
        </is>
      </c>
      <c r="B11" s="12" t="inlineStr">
        <is>
          <t>Phase 1 go-live development (for QA on staging)</t>
        </is>
      </c>
      <c r="C11" s="12" t="inlineStr">
        <is>
          <t>Feature</t>
        </is>
      </c>
      <c r="D11" s="12" t="inlineStr">
        <is>
          <t>dev/phase1-go-live -&gt; staging</t>
        </is>
      </c>
      <c r="E11" s="12" t="inlineStr">
        <is>
          <t>Test site (staging -&gt; test.gokesari.com)</t>
        </is>
      </c>
      <c r="F11" s="12" t="inlineStr">
        <is>
          <t>Merged</t>
        </is>
      </c>
      <c r="G11" s="12" t="inlineStr">
        <is>
          <t>2026-09-24</t>
        </is>
      </c>
      <c r="H11" s="12" t="inlineStr">
        <is>
          <t>2026-09-28</t>
        </is>
      </c>
      <c r="I11" s="12" t="inlineStr">
        <is>
          <t>GS-001, GS-002, GS-004, GS-010, GS-019, GS-020, GS-021, GS-022, GS-025, GS-031, GS-032, GS-034, GS-035, GS-036, GS-039, GS-041, GS-043, GS-055, GS-057, GS-061, GS-062, GS-064, GS-067, GS-070, GS-071, WF-001, WF-002, WF-003, WF-005, WF-007, WF-010, RBAC-002, RBAC-007, RBAC-011, RBAC-012, RBAC-015, SM-001, GA-006, GA-009, NAV-008, NAV-010, NEW-006</t>
        </is>
      </c>
      <c r="J11" s="12" t="inlineStr">
        <is>
          <t>-</t>
        </is>
      </c>
      <c r="K11" s="12" t="inlineStr">
        <is>
          <t>#14</t>
        </is>
      </c>
      <c r="L11" s="12" t="inlineStr">
        <is>
          <t>Squash-merged into staging; released by #14.</t>
        </is>
      </c>
    </row>
    <row r="12" ht="75" customFormat="1" customHeight="1" s="2">
      <c r="A12" s="34" t="inlineStr">
        <is>
          <t>11</t>
        </is>
      </c>
      <c r="B12" s="12" t="inlineStr">
        <is>
          <t>Phase 2: society, ratings, subscription expansion (for QA on staging)</t>
        </is>
      </c>
      <c r="C12" s="12" t="inlineStr">
        <is>
          <t>Feature</t>
        </is>
      </c>
      <c r="D12" s="12" t="inlineStr">
        <is>
          <t>dev/phase2-society -&gt; staging</t>
        </is>
      </c>
      <c r="E12" s="12" t="inlineStr">
        <is>
          <t>Test site (staging -&gt; test.gokesari.com)</t>
        </is>
      </c>
      <c r="F12" s="12" t="inlineStr">
        <is>
          <t>Merged</t>
        </is>
      </c>
      <c r="G12" s="12" t="inlineStr">
        <is>
          <t>2026-09-25</t>
        </is>
      </c>
      <c r="H12" s="12" t="inlineStr">
        <is>
          <t>2026-09-28</t>
        </is>
      </c>
      <c r="I12" s="12" t="inlineStr">
        <is>
          <t>GS-002, GS-005, GS-026, GS-040, GS-044, GS-045, GS-046, GS-047, GS-049, GS-051, GS-056, GS-059, GS-060, WF-001, WF-003, WF-004, WF-006, RBAC-009, SM-004, SM-006, GA-001, GA-002, GA-007, GA-008, NAV-002, NAV-014</t>
        </is>
      </c>
      <c r="J12" s="12" t="inlineStr">
        <is>
          <t>-</t>
        </is>
      </c>
      <c r="K12" s="12" t="inlineStr">
        <is>
          <t>#19</t>
        </is>
      </c>
      <c r="L12" s="12" t="n"/>
    </row>
    <row r="13" ht="27" customFormat="1" customHeight="1" s="2">
      <c r="A13" s="34" t="inlineStr">
        <is>
          <t>12</t>
        </is>
      </c>
      <c r="B13" s="12" t="inlineStr">
        <is>
          <t>Promote staging to main: Phase 1 + Phase 2 (deploys live)</t>
        </is>
      </c>
      <c r="C13" s="12" t="inlineStr">
        <is>
          <t>Release (staging -&gt; main)</t>
        </is>
      </c>
      <c r="D13" s="12" t="inlineStr">
        <is>
          <t>staging -&gt; main</t>
        </is>
      </c>
      <c r="E13" s="12" t="inlineStr">
        <is>
          <t>Production (main -&gt; gokesari.com)</t>
        </is>
      </c>
      <c r="F13" s="12" t="inlineStr">
        <is>
          <t>Merged</t>
        </is>
      </c>
      <c r="G13" s="12" t="inlineStr">
        <is>
          <t>2026-09-25</t>
        </is>
      </c>
      <c r="H13" s="12" t="inlineStr">
        <is>
          <t>2026-09-28</t>
        </is>
      </c>
      <c r="I13" s="12" t="inlineStr">
        <is>
          <t>-</t>
        </is>
      </c>
      <c r="J13" s="12" t="inlineStr">
        <is>
          <t>PMD-005</t>
        </is>
      </c>
      <c r="K13" s="12" t="inlineStr">
        <is>
          <t>Itself (merged to main)</t>
        </is>
      </c>
      <c r="L13" s="12" t="inlineStr">
        <is>
          <t>Squash release of #9 to main.</t>
        </is>
      </c>
    </row>
    <row r="14" ht="27" customFormat="1" customHeight="1" s="2">
      <c r="A14" s="34" t="inlineStr">
        <is>
          <t>13</t>
        </is>
      </c>
      <c r="B14" s="12" t="inlineStr">
        <is>
          <t>Hotfix: log the root cause of failed database queries</t>
        </is>
      </c>
      <c r="C14" s="12" t="inlineStr">
        <is>
          <t>Fix / hotfix</t>
        </is>
      </c>
      <c r="D14" s="12" t="inlineStr">
        <is>
          <t>hotfix/log-db-error-cause -&gt; staging</t>
        </is>
      </c>
      <c r="E14" s="12" t="inlineStr">
        <is>
          <t>Test site (staging -&gt; test.gokesari.com)</t>
        </is>
      </c>
      <c r="F14" s="12" t="inlineStr">
        <is>
          <t>Merged</t>
        </is>
      </c>
      <c r="G14" s="12" t="inlineStr">
        <is>
          <t>2026-09-25</t>
        </is>
      </c>
      <c r="H14" s="12" t="inlineStr">
        <is>
          <t>2026-09-28</t>
        </is>
      </c>
      <c r="I14" s="12" t="inlineStr">
        <is>
          <t>PLT-002</t>
        </is>
      </c>
      <c r="J14" s="12" t="inlineStr">
        <is>
          <t>-</t>
        </is>
      </c>
      <c r="K14" s="12" t="inlineStr">
        <is>
          <t>#19</t>
        </is>
      </c>
      <c r="L14" s="12" t="n"/>
    </row>
    <row r="15" ht="279" customFormat="1" customHeight="1" s="2">
      <c r="A15" s="34" t="inlineStr">
        <is>
          <t>14</t>
        </is>
      </c>
      <c r="B15" s="12" t="inlineStr">
        <is>
          <t>Staging</t>
        </is>
      </c>
      <c r="C15" s="12" t="inlineStr">
        <is>
          <t>Release (staging -&gt; main)</t>
        </is>
      </c>
      <c r="D15" s="12" t="inlineStr">
        <is>
          <t>staging -&gt; main</t>
        </is>
      </c>
      <c r="E15" s="12" t="inlineStr">
        <is>
          <t>Production (main -&gt; gokesari.com)</t>
        </is>
      </c>
      <c r="F15" s="12" t="inlineStr">
        <is>
          <t>Merged</t>
        </is>
      </c>
      <c r="G15" s="12" t="inlineStr">
        <is>
          <t>2026-09-28</t>
        </is>
      </c>
      <c r="H15" s="12" t="inlineStr">
        <is>
          <t>2026-09-28</t>
        </is>
      </c>
      <c r="I15" s="12" t="inlineStr">
        <is>
          <t>-</t>
        </is>
      </c>
      <c r="J15" s="12" t="inlineStr">
        <is>
          <t>GS-001, GS-002, GS-004, GS-010, GS-019, GS-020, GS-021, GS-022, GS-025, GS-031, GS-032, GS-034, GS-035, GS-036, GS-039, GS-041, GS-043, GS-055, GS-057, GS-061, GS-062, GS-064, GS-067, GS-070, GS-071, WF-001, WF-002, WF-003, WF-005, WF-007, WF-010, RBAC-002, RBAC-007, RBAC-011, RBAC-012, RBAC-015, SM-001, GA-006, GA-009, NAV-008, NAV-010, NEW-006</t>
        </is>
      </c>
      <c r="K15" s="12" t="inlineStr">
        <is>
          <t>Itself (merged to main)</t>
        </is>
      </c>
      <c r="L15" s="12" t="inlineStr">
        <is>
          <t>Squash release of Phase 1 (#10) to main.</t>
        </is>
      </c>
    </row>
    <row r="16" ht="27" customFormat="1" customHeight="1" s="2">
      <c r="A16" s="34" t="inlineStr">
        <is>
          <t>15</t>
        </is>
      </c>
      <c r="B16" s="12" t="inlineStr">
        <is>
          <t>fix: patch Node.js security vulnerabilities</t>
        </is>
      </c>
      <c r="C16" s="12" t="inlineStr">
        <is>
          <t>Security / dependencies</t>
        </is>
      </c>
      <c r="D16" s="12" t="inlineStr">
        <is>
          <t>fix/patch-vulnerabilities-07273736-1790597348 -&gt; staging</t>
        </is>
      </c>
      <c r="E16" s="12" t="inlineStr">
        <is>
          <t>Test site (staging -&gt; test.gokesari.com)</t>
        </is>
      </c>
      <c r="F16" s="12" t="inlineStr">
        <is>
          <t>Closed - not merged</t>
        </is>
      </c>
      <c r="G16" s="12" t="inlineStr">
        <is>
          <t>2026-09-28</t>
        </is>
      </c>
      <c r="H16" s="12" t="inlineStr">
        <is>
          <t>2026-09-28</t>
        </is>
      </c>
      <c r="I16" s="12" t="inlineStr">
        <is>
          <t>PLT-004</t>
        </is>
      </c>
      <c r="J16" s="12" t="inlineStr">
        <is>
          <t>-</t>
        </is>
      </c>
      <c r="K16" s="12" t="inlineStr">
        <is>
          <t>-</t>
        </is>
      </c>
      <c r="L16" s="12" t="inlineStr">
        <is>
          <t>Superseded by the Next.js 16.3.6 bump released in #19.</t>
        </is>
      </c>
    </row>
    <row r="17" ht="27" customFormat="1" customHeight="1" s="2">
      <c r="A17" s="34" t="inlineStr">
        <is>
          <t>16</t>
        </is>
      </c>
      <c r="B17" s="12" t="inlineStr">
        <is>
          <t>Pin Node 20, bump Next.js to 16.3.6, log DB error causes</t>
        </is>
      </c>
      <c r="C17" s="12" t="inlineStr">
        <is>
          <t>Security / dependencies</t>
        </is>
      </c>
      <c r="D17" s="12" t="inlineStr">
        <is>
          <t>claude/turbopack-css-crash-2y3or2 -&gt; main</t>
        </is>
      </c>
      <c r="E17" s="12" t="inlineStr">
        <is>
          <t>Production (main -&gt; gokesari.com)</t>
        </is>
      </c>
      <c r="F17" s="12" t="inlineStr">
        <is>
          <t>Closed - not merged</t>
        </is>
      </c>
      <c r="G17" s="12" t="inlineStr">
        <is>
          <t>2026-09-28</t>
        </is>
      </c>
      <c r="H17" s="12" t="inlineStr">
        <is>
          <t>2026-09-28</t>
        </is>
      </c>
      <c r="I17" s="12" t="inlineStr">
        <is>
          <t>PLT-002, PLT-004</t>
        </is>
      </c>
      <c r="J17" s="12" t="inlineStr">
        <is>
          <t>-</t>
        </is>
      </c>
      <c r="K17" s="12" t="inlineStr">
        <is>
          <t>-</t>
        </is>
      </c>
      <c r="L17" s="12" t="inlineStr">
        <is>
          <t>Closed; its DB-error logging landed via #13.</t>
        </is>
      </c>
    </row>
    <row r="18" ht="27" customFormat="1" customHeight="1" s="2">
      <c r="A18" s="34" t="inlineStr">
        <is>
          <t>17</t>
        </is>
      </c>
      <c r="B18" s="12" t="inlineStr">
        <is>
          <t>Hotfix: build with webpack so Hostinger deploys succeed</t>
        </is>
      </c>
      <c r="C18" s="12" t="inlineStr">
        <is>
          <t>Fix / hotfix</t>
        </is>
      </c>
      <c r="D18" s="12" t="inlineStr">
        <is>
          <t>hotfix/hostinger-webpack-build -&gt; staging</t>
        </is>
      </c>
      <c r="E18" s="12" t="inlineStr">
        <is>
          <t>Test site (staging -&gt; test.gokesari.com)</t>
        </is>
      </c>
      <c r="F18" s="12" t="inlineStr">
        <is>
          <t>Merged</t>
        </is>
      </c>
      <c r="G18" s="12" t="inlineStr">
        <is>
          <t>2026-09-28</t>
        </is>
      </c>
      <c r="H18" s="12" t="inlineStr">
        <is>
          <t>2026-09-28</t>
        </is>
      </c>
      <c r="I18" s="12" t="inlineStr">
        <is>
          <t>PLT-001</t>
        </is>
      </c>
      <c r="J18" s="12" t="inlineStr">
        <is>
          <t>-</t>
        </is>
      </c>
      <c r="K18" s="12" t="inlineStr">
        <is>
          <t>#19</t>
        </is>
      </c>
      <c r="L18" s="12" t="inlineStr">
        <is>
          <t>Squash-merged into staging; released by #19.</t>
        </is>
      </c>
    </row>
    <row r="19" ht="75" customFormat="1" customHeight="1" s="2">
      <c r="A19" s="34" t="inlineStr">
        <is>
          <t>18</t>
        </is>
      </c>
      <c r="B19" s="12" t="inlineStr">
        <is>
          <t>Phase 3: multi-role grants, COD, shop marketing, risk rules, KPI analytics</t>
        </is>
      </c>
      <c r="C19" s="12" t="inlineStr">
        <is>
          <t>Feature</t>
        </is>
      </c>
      <c r="D19" s="12" t="inlineStr">
        <is>
          <t>dev/phase3-growth -&gt; staging</t>
        </is>
      </c>
      <c r="E19" s="12" t="inlineStr">
        <is>
          <t>Test site (staging -&gt; test.gokesari.com)</t>
        </is>
      </c>
      <c r="F19" s="12" t="inlineStr">
        <is>
          <t>Merged</t>
        </is>
      </c>
      <c r="G19" s="12" t="inlineStr">
        <is>
          <t>2026-09-28</t>
        </is>
      </c>
      <c r="H19" s="12" t="inlineStr">
        <is>
          <t>2026-09-28</t>
        </is>
      </c>
      <c r="I19" s="12" t="inlineStr">
        <is>
          <t>GS-003, GS-030, GS-052, GS-053, GS-068, GS-069, WF-009, RBAC-013, NAV-009, NAV-018, NAV-019, KPI-001, KPI-002, KPI-003, KPI-004, KPI-005, KPI-006, KPI-007, KPI-008, KPI-009, KPI-010, KPI-011, KPI-012, KPI-013, KPI-014, KPI-015</t>
        </is>
      </c>
      <c r="J19" s="12" t="inlineStr">
        <is>
          <t>-</t>
        </is>
      </c>
      <c r="K19" s="12" t="inlineStr">
        <is>
          <t>#19</t>
        </is>
      </c>
      <c r="L19" s="12" t="n"/>
    </row>
    <row r="20" ht="459" customFormat="1" customHeight="1" s="2">
      <c r="A20" s="34" t="inlineStr">
        <is>
          <t>19</t>
        </is>
      </c>
      <c r="B20" s="12" t="inlineStr">
        <is>
          <t>Staging</t>
        </is>
      </c>
      <c r="C20" s="12" t="inlineStr">
        <is>
          <t>Release (staging -&gt; main)</t>
        </is>
      </c>
      <c r="D20" s="12" t="inlineStr">
        <is>
          <t>staging -&gt; main</t>
        </is>
      </c>
      <c r="E20" s="12" t="inlineStr">
        <is>
          <t>Production (main -&gt; gokesari.com)</t>
        </is>
      </c>
      <c r="F20" s="12" t="inlineStr">
        <is>
          <t>Merged</t>
        </is>
      </c>
      <c r="G20" s="12" t="inlineStr">
        <is>
          <t>2026-09-28</t>
        </is>
      </c>
      <c r="H20" s="12" t="inlineStr">
        <is>
          <t>2026-09-30</t>
        </is>
      </c>
      <c r="I20" s="12" t="inlineStr">
        <is>
          <t>PLT-004</t>
        </is>
      </c>
      <c r="J20" s="12" t="inlineStr">
        <is>
          <t>GS-002, GS-003, GS-005, GS-006, GS-026, GS-030, GS-034, GS-038, GS-040, GS-042, GS-044, GS-045, GS-046, GS-047, GS-049, GS-051, GS-052, GS-053, GS-056, GS-059, GS-060, GS-065, GS-066, GS-068, GS-069, WF-001, WF-003, WF-004, WF-006, WF-008, WF-009, RBAC-009, RBAC-010, RBAC-013, SM-004, SM-006, GA-001, GA-002, GA-007, GA-008, NAV-002, NAV-009, NAV-011, NAV-012, NAV-013, NAV-014, NAV-015, NAV-016, NAV-017, NAV-018, NAV-019, KPI-001, KPI-002, KPI-003, KPI-004, KPI-005, KPI-006, KPI-007, KPI-008, KPI-009, KPI-010, KPI-011, KPI-012, KPI-013, KPI-014, KPI-015, PLT-001, PLT-002, PLT-004</t>
        </is>
      </c>
      <c r="K20" s="12" t="inlineStr">
        <is>
          <t>Itself (merged to main)</t>
        </is>
      </c>
      <c r="L20" s="12" t="inlineStr">
        <is>
          <t>Release of Phases 2-4 (#11, #18, #21), #13, #17, #20, #22 to main.</t>
        </is>
      </c>
    </row>
    <row r="21" ht="27" customFormat="1" customHeight="1" s="2">
      <c r="A21" s="34" t="inlineStr">
        <is>
          <t>20</t>
        </is>
      </c>
      <c r="B21" s="12" t="inlineStr">
        <is>
          <t>Hotfix: resolve @/ imports in Hostinger webpack builds</t>
        </is>
      </c>
      <c r="C21" s="12" t="inlineStr">
        <is>
          <t>Fix / hotfix</t>
        </is>
      </c>
      <c r="D21" s="12" t="inlineStr">
        <is>
          <t>hotfix/webpack-src-alias -&gt; staging</t>
        </is>
      </c>
      <c r="E21" s="12" t="inlineStr">
        <is>
          <t>Test site (staging -&gt; test.gokesari.com)</t>
        </is>
      </c>
      <c r="F21" s="12" t="inlineStr">
        <is>
          <t>Merged</t>
        </is>
      </c>
      <c r="G21" s="12" t="inlineStr">
        <is>
          <t>2026-09-28</t>
        </is>
      </c>
      <c r="H21" s="12" t="inlineStr">
        <is>
          <t>2026-09-28</t>
        </is>
      </c>
      <c r="I21" s="12" t="inlineStr">
        <is>
          <t>PLT-001</t>
        </is>
      </c>
      <c r="J21" s="12" t="inlineStr">
        <is>
          <t>-</t>
        </is>
      </c>
      <c r="K21" s="12" t="inlineStr">
        <is>
          <t>#19</t>
        </is>
      </c>
      <c r="L21" s="12" t="n"/>
    </row>
    <row r="22" ht="39" customFormat="1" customHeight="1" s="2">
      <c r="A22" s="34" t="inlineStr">
        <is>
          <t>21</t>
        </is>
      </c>
      <c r="B22" s="12" t="inlineStr">
        <is>
          <t>Phase 4: operations, exceptions, fraud, and tracking hardening</t>
        </is>
      </c>
      <c r="C22" s="12" t="inlineStr">
        <is>
          <t>Feature</t>
        </is>
      </c>
      <c r="D22" s="12" t="inlineStr">
        <is>
          <t>dev/phase4-operations -&gt; staging</t>
        </is>
      </c>
      <c r="E22" s="12" t="inlineStr">
        <is>
          <t>Test site (staging -&gt; test.gokesari.com)</t>
        </is>
      </c>
      <c r="F22" s="12" t="inlineStr">
        <is>
          <t>Merged</t>
        </is>
      </c>
      <c r="G22" s="12" t="inlineStr">
        <is>
          <t>2026-09-29</t>
        </is>
      </c>
      <c r="H22" s="12" t="inlineStr">
        <is>
          <t>2026-09-30</t>
        </is>
      </c>
      <c r="I22" s="12" t="inlineStr">
        <is>
          <t>GS-034, GS-038, GS-042, GS-065, GS-066, GS-068, RBAC-010, NAV-011, NAV-012, NAV-013, NAV-015, NAV-016, NAV-017</t>
        </is>
      </c>
      <c r="J22" s="12" t="inlineStr">
        <is>
          <t>-</t>
        </is>
      </c>
      <c r="K22" s="12" t="inlineStr">
        <is>
          <t>#19</t>
        </is>
      </c>
      <c r="L22" s="12" t="inlineStr">
        <is>
          <t>Rebased onto staging; released by #19.</t>
        </is>
      </c>
    </row>
    <row r="23" ht="27" customFormat="1" customHeight="1" s="2">
      <c r="A23" s="34" t="inlineStr">
        <is>
          <t>22</t>
        </is>
      </c>
      <c r="B23" s="12" t="inlineStr">
        <is>
          <t>Stop the same shop being registered twice</t>
        </is>
      </c>
      <c r="C23" s="12" t="inlineStr">
        <is>
          <t>Feature</t>
        </is>
      </c>
      <c r="D23" s="12" t="inlineStr">
        <is>
          <t>fix/shop-duplicate-registration -&gt; staging</t>
        </is>
      </c>
      <c r="E23" s="12" t="inlineStr">
        <is>
          <t>Test site (staging -&gt; test.gokesari.com)</t>
        </is>
      </c>
      <c r="F23" s="12" t="inlineStr">
        <is>
          <t>Merged</t>
        </is>
      </c>
      <c r="G23" s="12" t="inlineStr">
        <is>
          <t>2026-09-29</t>
        </is>
      </c>
      <c r="H23" s="12" t="inlineStr">
        <is>
          <t>2026-09-30</t>
        </is>
      </c>
      <c r="I23" s="12" t="inlineStr">
        <is>
          <t>GS-006, WF-008</t>
        </is>
      </c>
      <c r="J23" s="12" t="inlineStr">
        <is>
          <t>-</t>
        </is>
      </c>
      <c r="K23" s="12" t="inlineStr">
        <is>
          <t>#19</t>
        </is>
      </c>
      <c r="L23" s="12" t="inlineStr">
        <is>
          <t>Merged into staging by hand; released by #19.</t>
        </is>
      </c>
    </row>
    <row r="24" ht="255" customFormat="1" customHeight="1" s="2">
      <c r="A24" s="34" t="inlineStr">
        <is>
          <t>23</t>
        </is>
      </c>
      <c r="B24" s="12" t="inlineStr">
        <is>
          <t>Release: Phases A–J, shop categories, migrations 0025–0035</t>
        </is>
      </c>
      <c r="C24" s="12" t="inlineStr">
        <is>
          <t>Release + direct commits (Phases A-J)</t>
        </is>
      </c>
      <c r="D24" s="12" t="inlineStr">
        <is>
          <t>staging -&gt; main</t>
        </is>
      </c>
      <c r="E24" s="12" t="inlineStr">
        <is>
          <t>Production (main -&gt; gokesari.com)</t>
        </is>
      </c>
      <c r="F24" s="12" t="inlineStr">
        <is>
          <t>Merged</t>
        </is>
      </c>
      <c r="G24" s="12" t="inlineStr">
        <is>
          <t>2026-10-01</t>
        </is>
      </c>
      <c r="H24" s="12" t="inlineStr">
        <is>
          <t>2026-10-01</t>
        </is>
      </c>
      <c r="I24" s="12" t="inlineStr">
        <is>
          <t>GS-001, GS-004, GS-009, GS-010, GS-014, GS-015, GS-017, GS-018, GS-023, GS-026, GS-039, GS-043, GS-047, GS-055, GS-057, GS-063, GS-065, GS-072, GS-074, WF-001, WF-003, WF-005, WF-007, RBAC-007, RBAC-014, SM-002, SM-003, GA-009, NAV-001, NAV-003, NAV-006, NAV-012, NAV-017, NEW-001, NEW-002, NEW-004, NEW-005, NEW-006, NEW-007</t>
        </is>
      </c>
      <c r="J24" s="12" t="inlineStr">
        <is>
          <t>GS-001, GS-004, GS-009, GS-010, GS-014, GS-015, GS-017, GS-018, GS-023, GS-026, GS-039, GS-043, GS-047, GS-055, GS-057, GS-063, GS-065, GS-072, GS-074, WF-001, WF-003, WF-005, WF-007, RBAC-007, RBAC-014, SM-002, SM-003, GA-009, NAV-001, NAV-003, NAV-006, NAV-012, NAV-017, NEW-001, NEW-002, NEW-004, NEW-005, NEW-006, NEW-007</t>
        </is>
      </c>
      <c r="K24" s="12" t="inlineStr">
        <is>
          <t>Itself (merged to main)</t>
        </is>
      </c>
      <c r="L24" s="12" t="inlineStr">
        <is>
          <t>Phases A-J, the settings screen and shop categories were committed straight to staging, so this release PR is their only PR.</t>
        </is>
      </c>
    </row>
    <row r="25" ht="39" customFormat="1" customHeight="1" s="2">
      <c r="A25" s="34" t="inlineStr">
        <is>
          <t>24</t>
        </is>
      </c>
      <c r="B25" s="12" t="inlineStr">
        <is>
          <t>Release: closed-shop ordering with confirmation and alerts; IST opening hours</t>
        </is>
      </c>
      <c r="C25" s="12" t="inlineStr">
        <is>
          <t>Feature</t>
        </is>
      </c>
      <c r="D25" s="12" t="inlineStr">
        <is>
          <t>staging -&gt; main</t>
        </is>
      </c>
      <c r="E25" s="12" t="inlineStr">
        <is>
          <t>Production (main -&gt; gokesari.com)</t>
        </is>
      </c>
      <c r="F25" s="12" t="inlineStr">
        <is>
          <t>Merged</t>
        </is>
      </c>
      <c r="G25" s="12" t="inlineStr">
        <is>
          <t>2026-10-01</t>
        </is>
      </c>
      <c r="H25" s="12" t="inlineStr">
        <is>
          <t>2026-10-01</t>
        </is>
      </c>
      <c r="I25" s="12" t="inlineStr">
        <is>
          <t>WF-001, WF-002, NAV-002, NEW-003</t>
        </is>
      </c>
      <c r="J25" s="12" t="inlineStr">
        <is>
          <t>WF-001, WF-002, NAV-002, NEW-003</t>
        </is>
      </c>
      <c r="K25" s="12" t="inlineStr">
        <is>
          <t>Itself (merged to main)</t>
        </is>
      </c>
      <c r="L25" s="12" t="inlineStr">
        <is>
          <t>Closed-shop ordering was committed straight to staging; this release PR is its only PR.</t>
        </is>
      </c>
    </row>
    <row r="26" ht="27" customFormat="1" customHeight="1" s="2">
      <c r="A26" s="34" t="inlineStr">
        <is>
          <t>25</t>
        </is>
      </c>
      <c r="B26" s="12" t="inlineStr">
        <is>
          <t>Point CNAME and domain examples at gokesari.com</t>
        </is>
      </c>
      <c r="C26" s="12" t="inlineStr">
        <is>
          <t>DevOps / repo</t>
        </is>
      </c>
      <c r="D26" s="12" t="inlineStr">
        <is>
          <t>claude/charming-edison-ofoncf -&gt; staging</t>
        </is>
      </c>
      <c r="E26" s="12" t="inlineStr">
        <is>
          <t>Test site (staging -&gt; test.gokesari.com)</t>
        </is>
      </c>
      <c r="F26" s="12" t="inlineStr">
        <is>
          <t>Merged</t>
        </is>
      </c>
      <c r="G26" s="12" t="inlineStr">
        <is>
          <t>2026-10-02</t>
        </is>
      </c>
      <c r="H26" s="12" t="inlineStr">
        <is>
          <t>2026-10-02</t>
        </is>
      </c>
      <c r="I26" s="12" t="inlineStr">
        <is>
          <t>PLT-005</t>
        </is>
      </c>
      <c r="J26" s="12" t="inlineStr">
        <is>
          <t>-</t>
        </is>
      </c>
      <c r="K26" s="12" t="inlineStr">
        <is>
          <t>#32</t>
        </is>
      </c>
      <c r="L26" s="12" t="n"/>
    </row>
    <row r="27" ht="27" customFormat="1" customHeight="1" s="2">
      <c r="A27" s="34" t="inlineStr">
        <is>
          <t>26</t>
        </is>
      </c>
      <c r="B27" s="12" t="inlineStr">
        <is>
          <t>Port GoKesari from PostgreSQL to MySQL</t>
        </is>
      </c>
      <c r="C27" s="12" t="inlineStr">
        <is>
          <t>Platform port</t>
        </is>
      </c>
      <c r="D27" s="12" t="inlineStr">
        <is>
          <t>claude/awesome-dijkstra-fmccpl -&gt; main</t>
        </is>
      </c>
      <c r="E27" s="12" t="inlineStr">
        <is>
          <t>Production (main -&gt; gokesari.com)</t>
        </is>
      </c>
      <c r="F27" s="12" t="inlineStr">
        <is>
          <t>Closed - not merged</t>
        </is>
      </c>
      <c r="G27" s="12" t="inlineStr">
        <is>
          <t>2026-10-02</t>
        </is>
      </c>
      <c r="H27" s="12" t="inlineStr">
        <is>
          <t>2026-10-07</t>
        </is>
      </c>
      <c r="I27" s="12" t="inlineStr">
        <is>
          <t>-</t>
        </is>
      </c>
      <c r="J27" s="12" t="inlineStr">
        <is>
          <t>-</t>
        </is>
      </c>
      <c r="K27" s="12" t="inlineStr">
        <is>
          <t>-</t>
        </is>
      </c>
      <c r="L27" s="12" t="inlineStr">
        <is>
          <t>Closed without merging - the app stays on PostgreSQL.</t>
        </is>
      </c>
    </row>
    <row r="28" ht="27" customFormat="1" customHeight="1" s="2">
      <c r="A28" s="34" t="inlineStr">
        <is>
          <t>27</t>
        </is>
      </c>
      <c r="B28" s="12" t="inlineStr">
        <is>
          <t>Point this repo's deployment docs at GoKesari, not bkesari</t>
        </is>
      </c>
      <c r="C28" s="12" t="inlineStr">
        <is>
          <t>DevOps / repo</t>
        </is>
      </c>
      <c r="D28" s="12" t="inlineStr">
        <is>
          <t>claude/amazing-cannon-5n3fro -&gt; main</t>
        </is>
      </c>
      <c r="E28" s="12" t="inlineStr">
        <is>
          <t>Production (main -&gt; gokesari.com)</t>
        </is>
      </c>
      <c r="F28" s="12" t="inlineStr">
        <is>
          <t>Closed - not merged</t>
        </is>
      </c>
      <c r="G28" s="12" t="inlineStr">
        <is>
          <t>2026-10-02</t>
        </is>
      </c>
      <c r="H28" s="12" t="inlineStr">
        <is>
          <t>2026-10-03</t>
        </is>
      </c>
      <c r="I28" s="12" t="inlineStr">
        <is>
          <t>PLT-005</t>
        </is>
      </c>
      <c r="J28" s="12" t="inlineStr">
        <is>
          <t>-</t>
        </is>
      </c>
      <c r="K28" s="12" t="inlineStr">
        <is>
          <t>-</t>
        </is>
      </c>
      <c r="L28" s="12" t="inlineStr">
        <is>
          <t>Closed; superseded by #25 and #33.</t>
        </is>
      </c>
    </row>
    <row r="29" ht="27" customFormat="1" customHeight="1" s="2">
      <c r="A29" s="34" t="inlineStr">
        <is>
          <t>28</t>
        </is>
      </c>
      <c r="B29" s="12" t="inlineStr">
        <is>
          <t>Re-audit the feature status workbook against the code on main</t>
        </is>
      </c>
      <c r="C29" s="12" t="inlineStr">
        <is>
          <t>Docs / reports</t>
        </is>
      </c>
      <c r="D29" s="12" t="inlineStr">
        <is>
          <t>claude/confident-albattani-dqw1dk -&gt; main</t>
        </is>
      </c>
      <c r="E29" s="12" t="inlineStr">
        <is>
          <t>Production (main -&gt; gokesari.com)</t>
        </is>
      </c>
      <c r="F29" s="12" t="inlineStr">
        <is>
          <t>Merged</t>
        </is>
      </c>
      <c r="G29" s="12" t="inlineStr">
        <is>
          <t>2026-10-02</t>
        </is>
      </c>
      <c r="H29" s="12" t="inlineStr">
        <is>
          <t>2026-10-02</t>
        </is>
      </c>
      <c r="I29" s="12" t="inlineStr">
        <is>
          <t>-</t>
        </is>
      </c>
      <c r="J29" s="12" t="inlineStr">
        <is>
          <t>-</t>
        </is>
      </c>
      <c r="K29" s="12" t="inlineStr">
        <is>
          <t>Itself (merged to main)</t>
        </is>
      </c>
      <c r="L29" s="12" t="n"/>
    </row>
    <row r="30" ht="51" customFormat="1" customHeight="1" s="2">
      <c r="A30" s="34" t="inlineStr">
        <is>
          <t>29</t>
        </is>
      </c>
      <c r="B30" s="12" t="inlineStr">
        <is>
          <t>Mount the live tracking screen and enforce the registration-fee gate</t>
        </is>
      </c>
      <c r="C30" s="12" t="inlineStr">
        <is>
          <t>Feature</t>
        </is>
      </c>
      <c r="D30" s="12" t="inlineStr">
        <is>
          <t>claude/confident-albattani-dqw1dk -&gt; main</t>
        </is>
      </c>
      <c r="E30" s="12" t="inlineStr">
        <is>
          <t>Production (main -&gt; gokesari.com)</t>
        </is>
      </c>
      <c r="F30" s="12" t="inlineStr">
        <is>
          <t>Merged</t>
        </is>
      </c>
      <c r="G30" s="12" t="inlineStr">
        <is>
          <t>2026-10-02</t>
        </is>
      </c>
      <c r="H30" s="12" t="inlineStr">
        <is>
          <t>2026-10-03</t>
        </is>
      </c>
      <c r="I30" s="12" t="inlineStr">
        <is>
          <t>GS-008, GS-042, WF-005, WF-008, NAV-004, NAV-016</t>
        </is>
      </c>
      <c r="J30" s="12" t="inlineStr">
        <is>
          <t>GS-008, GS-042, WF-005, WF-008, NAV-004, NAV-016</t>
        </is>
      </c>
      <c r="K30" s="12" t="inlineStr">
        <is>
          <t>Itself (merged to main)</t>
        </is>
      </c>
      <c r="L30" s="12" t="n"/>
    </row>
    <row r="31" ht="27" customFormat="1" customHeight="1" s="2">
      <c r="A31" s="34" t="inlineStr">
        <is>
          <t>30</t>
        </is>
      </c>
      <c r="B31" s="12" t="inlineStr">
        <is>
          <t>Explicit Save flow on three admin screens</t>
        </is>
      </c>
      <c r="C31" s="12" t="inlineStr">
        <is>
          <t>Feature</t>
        </is>
      </c>
      <c r="D31" s="12" t="inlineStr">
        <is>
          <t>claude/eloquent-darwin-n8yblq -&gt; main</t>
        </is>
      </c>
      <c r="E31" s="12" t="inlineStr">
        <is>
          <t>Production (main -&gt; gokesari.com)</t>
        </is>
      </c>
      <c r="F31" s="12" t="inlineStr">
        <is>
          <t>Merged</t>
        </is>
      </c>
      <c r="G31" s="12" t="inlineStr">
        <is>
          <t>2026-10-02</t>
        </is>
      </c>
      <c r="H31" s="12" t="inlineStr">
        <is>
          <t>2026-10-03</t>
        </is>
      </c>
      <c r="I31" s="12" t="inlineStr">
        <is>
          <t>GS-009, RBAC-013, NEW-009</t>
        </is>
      </c>
      <c r="J31" s="12" t="inlineStr">
        <is>
          <t>-</t>
        </is>
      </c>
      <c r="K31" s="12" t="inlineStr">
        <is>
          <t>#32</t>
        </is>
      </c>
      <c r="L31" s="12" t="inlineStr">
        <is>
          <t>Also merged into staging by hand; released by #32.</t>
        </is>
      </c>
    </row>
    <row r="32" ht="27" customFormat="1" customHeight="1" s="2">
      <c r="A32" s="34" t="inlineStr">
        <is>
          <t>31</t>
        </is>
      </c>
      <c r="B32" s="12" t="inlineStr">
        <is>
          <t>Login by mobile or email, first-time profile and My Profile</t>
        </is>
      </c>
      <c r="C32" s="12" t="inlineStr">
        <is>
          <t>Feature</t>
        </is>
      </c>
      <c r="D32" s="12" t="inlineStr">
        <is>
          <t>claude/tender-cannon-vmecpj -&gt; staging</t>
        </is>
      </c>
      <c r="E32" s="12" t="inlineStr">
        <is>
          <t>Test site (staging -&gt; test.gokesari.com)</t>
        </is>
      </c>
      <c r="F32" s="12" t="inlineStr">
        <is>
          <t>Merged</t>
        </is>
      </c>
      <c r="G32" s="12" t="inlineStr">
        <is>
          <t>2026-10-03</t>
        </is>
      </c>
      <c r="H32" s="12" t="inlineStr">
        <is>
          <t>2026-10-03</t>
        </is>
      </c>
      <c r="I32" s="12" t="inlineStr">
        <is>
          <t>GS-001, GS-026, WF-001, NAV-003</t>
        </is>
      </c>
      <c r="J32" s="12" t="inlineStr">
        <is>
          <t>-</t>
        </is>
      </c>
      <c r="K32" s="12" t="inlineStr">
        <is>
          <t>#43</t>
        </is>
      </c>
      <c r="L32" s="12" t="n"/>
    </row>
    <row r="33" ht="39" customFormat="1" customHeight="1" s="2">
      <c r="A33" s="34" t="inlineStr">
        <is>
          <t>32</t>
        </is>
      </c>
      <c r="B33" s="12" t="inlineStr">
        <is>
          <t>Release: explicit Save flow on admin screens; gokesari.com domain corrections</t>
        </is>
      </c>
      <c r="C33" s="12" t="inlineStr">
        <is>
          <t>Release (staging -&gt; main)</t>
        </is>
      </c>
      <c r="D33" s="12" t="inlineStr">
        <is>
          <t>staging -&gt; main</t>
        </is>
      </c>
      <c r="E33" s="12" t="inlineStr">
        <is>
          <t>Production (main -&gt; gokesari.com)</t>
        </is>
      </c>
      <c r="F33" s="12" t="inlineStr">
        <is>
          <t>Merged</t>
        </is>
      </c>
      <c r="G33" s="12" t="inlineStr">
        <is>
          <t>2026-10-03</t>
        </is>
      </c>
      <c r="H33" s="12" t="inlineStr">
        <is>
          <t>2026-10-03</t>
        </is>
      </c>
      <c r="I33" s="12" t="inlineStr">
        <is>
          <t>-</t>
        </is>
      </c>
      <c r="J33" s="12" t="inlineStr">
        <is>
          <t>GS-009, RBAC-013, NEW-009, PLT-005</t>
        </is>
      </c>
      <c r="K33" s="12" t="inlineStr">
        <is>
          <t>Itself (merged to main)</t>
        </is>
      </c>
      <c r="L33" s="12" t="n"/>
    </row>
    <row r="34" ht="27" customFormat="1" customHeight="1" s="2">
      <c r="A34" s="34" t="inlineStr">
        <is>
          <t>33</t>
        </is>
      </c>
      <c r="B34" s="12" t="inlineStr">
        <is>
          <t>Delete DEPLOY_NOW.md, a runbook for the other brand's domain</t>
        </is>
      </c>
      <c r="C34" s="12" t="inlineStr">
        <is>
          <t>DevOps / repo</t>
        </is>
      </c>
      <c r="D34" s="12" t="inlineStr">
        <is>
          <t>claude/charming-edison-ofoncf -&gt; staging</t>
        </is>
      </c>
      <c r="E34" s="12" t="inlineStr">
        <is>
          <t>Test site (staging -&gt; test.gokesari.com)</t>
        </is>
      </c>
      <c r="F34" s="12" t="inlineStr">
        <is>
          <t>Merged</t>
        </is>
      </c>
      <c r="G34" s="12" t="inlineStr">
        <is>
          <t>2026-10-03</t>
        </is>
      </c>
      <c r="H34" s="12" t="inlineStr">
        <is>
          <t>2026-10-03</t>
        </is>
      </c>
      <c r="I34" s="12" t="inlineStr">
        <is>
          <t>PLT-005</t>
        </is>
      </c>
      <c r="J34" s="12" t="inlineStr">
        <is>
          <t>-</t>
        </is>
      </c>
      <c r="K34" s="12" t="inlineStr">
        <is>
          <t>#36</t>
        </is>
      </c>
      <c r="L34" s="12" t="n"/>
    </row>
    <row r="35" ht="27" customFormat="1" customHeight="1" s="2">
      <c r="A35" s="34" t="inlineStr">
        <is>
          <t>34</t>
        </is>
      </c>
      <c r="B35" s="12" t="inlineStr">
        <is>
          <t>Add the operations consent view (NAV-019)</t>
        </is>
      </c>
      <c r="C35" s="12" t="inlineStr">
        <is>
          <t>Feature</t>
        </is>
      </c>
      <c r="D35" s="12" t="inlineStr">
        <is>
          <t>claude/confident-albattani-dqw1dk -&gt; main</t>
        </is>
      </c>
      <c r="E35" s="12" t="inlineStr">
        <is>
          <t>Production (main -&gt; gokesari.com)</t>
        </is>
      </c>
      <c r="F35" s="12" t="inlineStr">
        <is>
          <t>Merged</t>
        </is>
      </c>
      <c r="G35" s="12" t="inlineStr">
        <is>
          <t>2026-10-03</t>
        </is>
      </c>
      <c r="H35" s="12" t="inlineStr">
        <is>
          <t>2026-10-03</t>
        </is>
      </c>
      <c r="I35" s="12" t="inlineStr">
        <is>
          <t>GS-070, NAV-019</t>
        </is>
      </c>
      <c r="J35" s="12" t="inlineStr">
        <is>
          <t>GS-070, NAV-019</t>
        </is>
      </c>
      <c r="K35" s="12" t="inlineStr">
        <is>
          <t>Itself (merged to main)</t>
        </is>
      </c>
      <c r="L35" s="12" t="n"/>
    </row>
    <row r="36" ht="27" customFormat="1" customHeight="1" s="2">
      <c r="A36" s="34" t="inlineStr">
        <is>
          <t>35</t>
        </is>
      </c>
      <c r="B36" s="12" t="inlineStr">
        <is>
          <t>Make `npm run dev` start again under Next 16</t>
        </is>
      </c>
      <c r="C36" s="12" t="inlineStr">
        <is>
          <t>Fix / hotfix</t>
        </is>
      </c>
      <c r="D36" s="12" t="inlineStr">
        <is>
          <t>claude/confident-albattani-dqw1dk -&gt; main</t>
        </is>
      </c>
      <c r="E36" s="12" t="inlineStr">
        <is>
          <t>Production (main -&gt; gokesari.com)</t>
        </is>
      </c>
      <c r="F36" s="12" t="inlineStr">
        <is>
          <t>Merged</t>
        </is>
      </c>
      <c r="G36" s="12" t="inlineStr">
        <is>
          <t>2026-10-03</t>
        </is>
      </c>
      <c r="H36" s="12" t="inlineStr">
        <is>
          <t>2026-10-03</t>
        </is>
      </c>
      <c r="I36" s="12" t="inlineStr">
        <is>
          <t>PLT-001</t>
        </is>
      </c>
      <c r="J36" s="12" t="inlineStr">
        <is>
          <t>PLT-001</t>
        </is>
      </c>
      <c r="K36" s="12" t="inlineStr">
        <is>
          <t>Itself (merged to main)</t>
        </is>
      </c>
      <c r="L36" s="12" t="n"/>
    </row>
    <row r="37" ht="27" customFormat="1" customHeight="1" s="2">
      <c r="A37" s="34" t="inlineStr">
        <is>
          <t>36</t>
        </is>
      </c>
      <c r="B37" s="12" t="inlineStr">
        <is>
          <t>Promote staging: delete DEPLOY_NOW.md</t>
        </is>
      </c>
      <c r="C37" s="12" t="inlineStr">
        <is>
          <t>Release (staging -&gt; main)</t>
        </is>
      </c>
      <c r="D37" s="12" t="inlineStr">
        <is>
          <t>staging -&gt; main</t>
        </is>
      </c>
      <c r="E37" s="12" t="inlineStr">
        <is>
          <t>Production (main -&gt; gokesari.com)</t>
        </is>
      </c>
      <c r="F37" s="12" t="inlineStr">
        <is>
          <t>Merged</t>
        </is>
      </c>
      <c r="G37" s="12" t="inlineStr">
        <is>
          <t>2026-10-03</t>
        </is>
      </c>
      <c r="H37" s="12" t="inlineStr">
        <is>
          <t>2026-10-03</t>
        </is>
      </c>
      <c r="I37" s="12" t="inlineStr">
        <is>
          <t>-</t>
        </is>
      </c>
      <c r="J37" s="12" t="inlineStr">
        <is>
          <t>PLT-005</t>
        </is>
      </c>
      <c r="K37" s="12" t="inlineStr">
        <is>
          <t>Itself (merged to main)</t>
        </is>
      </c>
      <c r="L37" s="12" t="n"/>
    </row>
    <row r="38" ht="27" customFormat="1" customHeight="1" s="2">
      <c r="A38" s="34" t="inlineStr">
        <is>
          <t>37</t>
        </is>
      </c>
      <c r="B38" s="12" t="inlineStr">
        <is>
          <t>Add a GoKesari deploy runbook</t>
        </is>
      </c>
      <c r="C38" s="12" t="inlineStr">
        <is>
          <t>Docs / reports</t>
        </is>
      </c>
      <c r="D38" s="12" t="inlineStr">
        <is>
          <t>claude/confident-albattani-dqw1dk -&gt; main</t>
        </is>
      </c>
      <c r="E38" s="12" t="inlineStr">
        <is>
          <t>Production (main -&gt; gokesari.com)</t>
        </is>
      </c>
      <c r="F38" s="12" t="inlineStr">
        <is>
          <t>Merged</t>
        </is>
      </c>
      <c r="G38" s="12" t="inlineStr">
        <is>
          <t>2026-10-03</t>
        </is>
      </c>
      <c r="H38" s="12" t="inlineStr">
        <is>
          <t>2026-10-03</t>
        </is>
      </c>
      <c r="I38" s="12" t="inlineStr">
        <is>
          <t>PLT-006</t>
        </is>
      </c>
      <c r="J38" s="12" t="inlineStr">
        <is>
          <t>PLT-006</t>
        </is>
      </c>
      <c r="K38" s="12" t="inlineStr">
        <is>
          <t>Itself (merged to main)</t>
        </is>
      </c>
      <c r="L38" s="12" t="n"/>
    </row>
    <row r="39" ht="27" customFormat="1" customHeight="1" s="2">
      <c r="A39" s="34" t="inlineStr">
        <is>
          <t>38</t>
        </is>
      </c>
      <c r="B39" s="12" t="inlineStr">
        <is>
          <t>Product Master: category management (category master, shop categories, one-time categorisation)</t>
        </is>
      </c>
      <c r="C39" s="12" t="inlineStr">
        <is>
          <t>Feature</t>
        </is>
      </c>
      <c r="D39" s="12" t="inlineStr">
        <is>
          <t>claude/wizardly-goldberg-cb4pqg -&gt; staging</t>
        </is>
      </c>
      <c r="E39" s="12" t="inlineStr">
        <is>
          <t>Test site (staging -&gt; test.gokesari.com)</t>
        </is>
      </c>
      <c r="F39" s="12" t="inlineStr">
        <is>
          <t>Merged</t>
        </is>
      </c>
      <c r="G39" s="12" t="inlineStr">
        <is>
          <t>2026-10-03</t>
        </is>
      </c>
      <c r="H39" s="12" t="inlineStr">
        <is>
          <t>2026-10-03</t>
        </is>
      </c>
      <c r="I39" s="12" t="inlineStr">
        <is>
          <t>GS-011, GS-012, GS-013, RBAC-004, NAV-007, NEW-008</t>
        </is>
      </c>
      <c r="J39" s="12" t="inlineStr">
        <is>
          <t>-</t>
        </is>
      </c>
      <c r="K39" s="12" t="inlineStr">
        <is>
          <t>#43</t>
        </is>
      </c>
      <c r="L39" s="12" t="n"/>
    </row>
    <row r="40" ht="27" customFormat="1" customHeight="1" s="2">
      <c r="A40" s="34" t="inlineStr">
        <is>
          <t>39</t>
        </is>
      </c>
      <c r="B40" s="12" t="inlineStr">
        <is>
          <t>Categorisation script: --fallback category and --from-json reports</t>
        </is>
      </c>
      <c r="C40" s="12" t="inlineStr">
        <is>
          <t>Feature</t>
        </is>
      </c>
      <c r="D40" s="12" t="inlineStr">
        <is>
          <t>claude/wizardly-goldberg-cb4pqg -&gt; staging</t>
        </is>
      </c>
      <c r="E40" s="12" t="inlineStr">
        <is>
          <t>Test site (staging -&gt; test.gokesari.com)</t>
        </is>
      </c>
      <c r="F40" s="12" t="inlineStr">
        <is>
          <t>Merged</t>
        </is>
      </c>
      <c r="G40" s="12" t="inlineStr">
        <is>
          <t>2026-10-03</t>
        </is>
      </c>
      <c r="H40" s="12" t="inlineStr">
        <is>
          <t>2026-10-03</t>
        </is>
      </c>
      <c r="I40" s="12" t="inlineStr">
        <is>
          <t>NEW-008</t>
        </is>
      </c>
      <c r="J40" s="12" t="inlineStr">
        <is>
          <t>-</t>
        </is>
      </c>
      <c r="K40" s="12" t="inlineStr">
        <is>
          <t>#43</t>
        </is>
      </c>
      <c r="L40" s="12" t="n"/>
    </row>
    <row r="41" ht="27" customFormat="1" customHeight="1" s="2">
      <c r="A41" s="34" t="inlineStr">
        <is>
          <t>40</t>
        </is>
      </c>
      <c r="B41" s="12" t="inlineStr">
        <is>
          <t>GS-058: dispute case lifecycle</t>
        </is>
      </c>
      <c r="C41" s="12" t="inlineStr">
        <is>
          <t>Feature</t>
        </is>
      </c>
      <c r="D41" s="12" t="inlineStr">
        <is>
          <t>claude/confident-albattani-dqw1dk -&gt; main</t>
        </is>
      </c>
      <c r="E41" s="12" t="inlineStr">
        <is>
          <t>Production (main -&gt; gokesari.com)</t>
        </is>
      </c>
      <c r="F41" s="12" t="inlineStr">
        <is>
          <t>Merged</t>
        </is>
      </c>
      <c r="G41" s="12" t="inlineStr">
        <is>
          <t>2026-10-03</t>
        </is>
      </c>
      <c r="H41" s="12" t="inlineStr">
        <is>
          <t>2026-10-03</t>
        </is>
      </c>
      <c r="I41" s="12" t="inlineStr">
        <is>
          <t>GS-058, SM-006</t>
        </is>
      </c>
      <c r="J41" s="12" t="inlineStr">
        <is>
          <t>GS-058, SM-006</t>
        </is>
      </c>
      <c r="K41" s="12" t="inlineStr">
        <is>
          <t>Itself (merged to main)</t>
        </is>
      </c>
      <c r="L41" s="12" t="n"/>
    </row>
    <row r="42" ht="27" customFormat="1" customHeight="1" s="2">
      <c r="A42" s="34" t="inlineStr">
        <is>
          <t>41</t>
        </is>
      </c>
      <c r="B42" s="12" t="inlineStr">
        <is>
          <t>Limit this project's Claude chats to GoKesari</t>
        </is>
      </c>
      <c r="C42" s="12" t="inlineStr">
        <is>
          <t>DevOps / repo</t>
        </is>
      </c>
      <c r="D42" s="12" t="inlineStr">
        <is>
          <t>claude/wizardly-goldberg-cb4pqg -&gt; staging</t>
        </is>
      </c>
      <c r="E42" s="12" t="inlineStr">
        <is>
          <t>Test site (staging -&gt; test.gokesari.com)</t>
        </is>
      </c>
      <c r="F42" s="12" t="inlineStr">
        <is>
          <t>Merged</t>
        </is>
      </c>
      <c r="G42" s="12" t="inlineStr">
        <is>
          <t>2026-10-03</t>
        </is>
      </c>
      <c r="H42" s="12" t="inlineStr">
        <is>
          <t>2026-10-03</t>
        </is>
      </c>
      <c r="I42" s="12" t="inlineStr">
        <is>
          <t>PLT-005</t>
        </is>
      </c>
      <c r="J42" s="12" t="inlineStr">
        <is>
          <t>-</t>
        </is>
      </c>
      <c r="K42" s="12" t="inlineStr">
        <is>
          <t>#43</t>
        </is>
      </c>
      <c r="L42" s="12" t="n"/>
    </row>
    <row r="43" ht="27" customFormat="1" customHeight="1" s="2">
      <c r="A43" s="34" t="inlineStr">
        <is>
          <t>42</t>
        </is>
      </c>
      <c r="B43" s="12" t="inlineStr">
        <is>
          <t>Merge main into staging: fix the migration 0037 clash; feature status report 3 Oct</t>
        </is>
      </c>
      <c r="C43" s="12" t="inlineStr">
        <is>
          <t>Docs / reports</t>
        </is>
      </c>
      <c r="D43" s="12" t="inlineStr">
        <is>
          <t>claude/pensive-cray-ccof2w -&gt; staging</t>
        </is>
      </c>
      <c r="E43" s="12" t="inlineStr">
        <is>
          <t>Test site (staging -&gt; test.gokesari.com)</t>
        </is>
      </c>
      <c r="F43" s="12" t="inlineStr">
        <is>
          <t>Merged</t>
        </is>
      </c>
      <c r="G43" s="12" t="inlineStr">
        <is>
          <t>2026-10-03</t>
        </is>
      </c>
      <c r="H43" s="12" t="inlineStr">
        <is>
          <t>2026-10-03</t>
        </is>
      </c>
      <c r="I43" s="12" t="inlineStr">
        <is>
          <t>-</t>
        </is>
      </c>
      <c r="J43" s="12" t="inlineStr">
        <is>
          <t>-</t>
        </is>
      </c>
      <c r="K43" s="12" t="inlineStr">
        <is>
          <t>#43</t>
        </is>
      </c>
      <c r="L43" s="12" t="n"/>
    </row>
    <row r="44" ht="75" customFormat="1" customHeight="1" s="2">
      <c r="A44" s="34" t="inlineStr">
        <is>
          <t>43</t>
        </is>
      </c>
      <c r="B44" s="12" t="inlineStr">
        <is>
          <t>Release: staging → main (product category management, login/profile, GoKesari-only chat rule)</t>
        </is>
      </c>
      <c r="C44" s="12" t="inlineStr">
        <is>
          <t>Release (staging -&gt; main)</t>
        </is>
      </c>
      <c r="D44" s="12" t="inlineStr">
        <is>
          <t>staging -&gt; main</t>
        </is>
      </c>
      <c r="E44" s="12" t="inlineStr">
        <is>
          <t>Production (main -&gt; gokesari.com)</t>
        </is>
      </c>
      <c r="F44" s="12" t="inlineStr">
        <is>
          <t>Merged</t>
        </is>
      </c>
      <c r="G44" s="12" t="inlineStr">
        <is>
          <t>2026-10-03</t>
        </is>
      </c>
      <c r="H44" s="12" t="inlineStr">
        <is>
          <t>2026-10-03</t>
        </is>
      </c>
      <c r="I44" s="12" t="inlineStr">
        <is>
          <t>-</t>
        </is>
      </c>
      <c r="J44" s="12" t="inlineStr">
        <is>
          <t>GS-001, GS-011, GS-012, GS-013, GS-026, WF-001, RBAC-004, NAV-003, NAV-007, NEW-008, PLT-005</t>
        </is>
      </c>
      <c r="K44" s="12" t="inlineStr">
        <is>
          <t>Itself (merged to main)</t>
        </is>
      </c>
      <c r="L44" s="12" t="n"/>
    </row>
    <row r="45" ht="27" customFormat="1" customHeight="1" s="2">
      <c r="A45" s="34" t="inlineStr">
        <is>
          <t>44</t>
        </is>
      </c>
      <c r="B45" s="12" t="inlineStr">
        <is>
          <t>Merge main into staging: renumber dispute migration to 0039</t>
        </is>
      </c>
      <c r="C45" s="12" t="inlineStr">
        <is>
          <t>Docs / reports</t>
        </is>
      </c>
      <c r="D45" s="12" t="inlineStr">
        <is>
          <t>claude/wizardly-goldberg-cb4pqg -&gt; staging</t>
        </is>
      </c>
      <c r="E45" s="12" t="inlineStr">
        <is>
          <t>Test site (staging -&gt; test.gokesari.com)</t>
        </is>
      </c>
      <c r="F45" s="12" t="inlineStr">
        <is>
          <t>Closed - not merged</t>
        </is>
      </c>
      <c r="G45" s="12" t="inlineStr">
        <is>
          <t>2026-10-03</t>
        </is>
      </c>
      <c r="H45" s="12" t="inlineStr">
        <is>
          <t>2026-10-03</t>
        </is>
      </c>
      <c r="I45" s="12" t="inlineStr">
        <is>
          <t>-</t>
        </is>
      </c>
      <c r="J45" s="12" t="inlineStr">
        <is>
          <t>-</t>
        </is>
      </c>
      <c r="K45" s="12" t="inlineStr">
        <is>
          <t>-</t>
        </is>
      </c>
      <c r="L45" s="12" t="inlineStr">
        <is>
          <t>Closed; superseded by #42 (migration renumbering).</t>
        </is>
      </c>
    </row>
    <row r="46" ht="27" customFormat="1" customHeight="1" s="2">
      <c r="A46" s="34" t="inlineStr">
        <is>
          <t>45</t>
        </is>
      </c>
      <c r="B46" s="12" t="inlineStr">
        <is>
          <t>Shop owner fixes: registration validation, inventory fill, per-shop prices, owner name, Sign out</t>
        </is>
      </c>
      <c r="C46" s="12" t="inlineStr">
        <is>
          <t>Feature</t>
        </is>
      </c>
      <c r="D46" s="12" t="inlineStr">
        <is>
          <t>claude/magical-hamilton-kbhqm0 -&gt; staging</t>
        </is>
      </c>
      <c r="E46" s="12" t="inlineStr">
        <is>
          <t>Test site (staging -&gt; test.gokesari.com)</t>
        </is>
      </c>
      <c r="F46" s="12" t="inlineStr">
        <is>
          <t>Merged</t>
        </is>
      </c>
      <c r="G46" s="12" t="inlineStr">
        <is>
          <t>2026-10-03</t>
        </is>
      </c>
      <c r="H46" s="12" t="inlineStr">
        <is>
          <t>2026-10-03</t>
        </is>
      </c>
      <c r="I46" s="12" t="inlineStr">
        <is>
          <t>GS-006, GS-012, GS-015, WF-008, NAV-006, NAV-007, NEW-010</t>
        </is>
      </c>
      <c r="J46" s="12" t="inlineStr">
        <is>
          <t>-</t>
        </is>
      </c>
      <c r="K46" s="12" t="inlineStr">
        <is>
          <t>#47</t>
        </is>
      </c>
      <c r="L46" s="12" t="n"/>
    </row>
    <row r="47" ht="27" customFormat="1" customHeight="1" s="2">
      <c r="A47" s="34" t="inlineStr">
        <is>
          <t>46</t>
        </is>
      </c>
      <c r="B47" s="12" t="inlineStr">
        <is>
          <t>Add open features summary spreadsheet (3 Oct 2026)</t>
        </is>
      </c>
      <c r="C47" s="12" t="inlineStr">
        <is>
          <t>Docs / reports</t>
        </is>
      </c>
      <c r="D47" s="12" t="inlineStr">
        <is>
          <t>claude/focused-ptolemy-55j95o -&gt; main</t>
        </is>
      </c>
      <c r="E47" s="12" t="inlineStr">
        <is>
          <t>Production (main -&gt; gokesari.com)</t>
        </is>
      </c>
      <c r="F47" s="12" t="inlineStr">
        <is>
          <t>Merged</t>
        </is>
      </c>
      <c r="G47" s="12" t="inlineStr">
        <is>
          <t>2026-10-03</t>
        </is>
      </c>
      <c r="H47" s="12" t="inlineStr">
        <is>
          <t>2026-10-05</t>
        </is>
      </c>
      <c r="I47" s="12" t="inlineStr">
        <is>
          <t>-</t>
        </is>
      </c>
      <c r="J47" s="12" t="inlineStr">
        <is>
          <t>-</t>
        </is>
      </c>
      <c r="K47" s="12" t="inlineStr">
        <is>
          <t>Itself (merged to main)</t>
        </is>
      </c>
      <c r="L47" s="12" t="n"/>
    </row>
    <row r="48" ht="51" customFormat="1" customHeight="1" s="2">
      <c r="A48" s="34" t="inlineStr">
        <is>
          <t>47</t>
        </is>
      </c>
      <c r="B48" s="12" t="inlineStr">
        <is>
          <t>Release: shop owner fixes (staging → main)</t>
        </is>
      </c>
      <c r="C48" s="12" t="inlineStr">
        <is>
          <t>Release (staging -&gt; main)</t>
        </is>
      </c>
      <c r="D48" s="12" t="inlineStr">
        <is>
          <t>staging -&gt; main</t>
        </is>
      </c>
      <c r="E48" s="12" t="inlineStr">
        <is>
          <t>Production (main -&gt; gokesari.com)</t>
        </is>
      </c>
      <c r="F48" s="12" t="inlineStr">
        <is>
          <t>Merged</t>
        </is>
      </c>
      <c r="G48" s="12" t="inlineStr">
        <is>
          <t>2026-10-03</t>
        </is>
      </c>
      <c r="H48" s="12" t="inlineStr">
        <is>
          <t>2026-10-03</t>
        </is>
      </c>
      <c r="I48" s="12" t="inlineStr">
        <is>
          <t>-</t>
        </is>
      </c>
      <c r="J48" s="12" t="inlineStr">
        <is>
          <t>GS-006, GS-012, GS-015, WF-008, NAV-006, NAV-007, NEW-010</t>
        </is>
      </c>
      <c r="K48" s="12" t="inlineStr">
        <is>
          <t>Itself (merged to main)</t>
        </is>
      </c>
      <c r="L48" s="12" t="n"/>
    </row>
    <row r="49" ht="27" customFormat="1" customHeight="1" s="2">
      <c r="A49" s="34" t="inlineStr">
        <is>
          <t>48</t>
        </is>
      </c>
      <c r="B49" s="12" t="inlineStr">
        <is>
          <t>Add cart and checkout flow enhancements</t>
        </is>
      </c>
      <c r="C49" s="12" t="inlineStr">
        <is>
          <t>Feature</t>
        </is>
      </c>
      <c r="D49" s="12" t="inlineStr">
        <is>
          <t>claude/brave-mendel-615f3y -&gt; staging</t>
        </is>
      </c>
      <c r="E49" s="12" t="inlineStr">
        <is>
          <t>Test site (staging -&gt; test.gokesari.com)</t>
        </is>
      </c>
      <c r="F49" s="12" t="inlineStr">
        <is>
          <t>Merged</t>
        </is>
      </c>
      <c r="G49" s="12" t="inlineStr">
        <is>
          <t>2026-10-03</t>
        </is>
      </c>
      <c r="H49" s="12" t="inlineStr">
        <is>
          <t>2026-10-07</t>
        </is>
      </c>
      <c r="I49" s="12" t="inlineStr">
        <is>
          <t>GS-020, GS-024, NAV-003, NEW-012</t>
        </is>
      </c>
      <c r="J49" s="12" t="inlineStr">
        <is>
          <t>-</t>
        </is>
      </c>
      <c r="K49" s="12" t="inlineStr">
        <is>
          <t>#71</t>
        </is>
      </c>
      <c r="L49" s="12" t="n"/>
    </row>
    <row r="50" ht="27" customFormat="1" customHeight="1" s="2">
      <c r="A50" s="34" t="inlineStr">
        <is>
          <t>49</t>
        </is>
      </c>
      <c r="B50" s="12" t="inlineStr">
        <is>
          <t>Fix ENOENT race when the Excel import skips a sheet</t>
        </is>
      </c>
      <c r="C50" s="12" t="inlineStr">
        <is>
          <t>Fix / hotfix</t>
        </is>
      </c>
      <c r="D50" s="12" t="inlineStr">
        <is>
          <t>claude/magical-hamilton-kbhqm0 -&gt; staging</t>
        </is>
      </c>
      <c r="E50" s="12" t="inlineStr">
        <is>
          <t>Test site (staging -&gt; test.gokesari.com)</t>
        </is>
      </c>
      <c r="F50" s="12" t="inlineStr">
        <is>
          <t>Merged</t>
        </is>
      </c>
      <c r="G50" s="12" t="inlineStr">
        <is>
          <t>2026-10-03</t>
        </is>
      </c>
      <c r="H50" s="12" t="inlineStr">
        <is>
          <t>2026-10-04</t>
        </is>
      </c>
      <c r="I50" s="12" t="inlineStr">
        <is>
          <t>PMD-001</t>
        </is>
      </c>
      <c r="J50" s="12" t="inlineStr">
        <is>
          <t>-</t>
        </is>
      </c>
      <c r="K50" s="12" t="inlineStr">
        <is>
          <t>#50</t>
        </is>
      </c>
      <c r="L50" s="12" t="n"/>
    </row>
    <row r="51" ht="27" customFormat="1" customHeight="1" s="2">
      <c r="A51" s="34" t="inlineStr">
        <is>
          <t>50</t>
        </is>
      </c>
      <c r="B51" s="12" t="inlineStr">
        <is>
          <t>Release: fix Excel import ENOENT race (staging → main)</t>
        </is>
      </c>
      <c r="C51" s="12" t="inlineStr">
        <is>
          <t>Release (staging -&gt; main)</t>
        </is>
      </c>
      <c r="D51" s="12" t="inlineStr">
        <is>
          <t>staging -&gt; main</t>
        </is>
      </c>
      <c r="E51" s="12" t="inlineStr">
        <is>
          <t>Production (main -&gt; gokesari.com)</t>
        </is>
      </c>
      <c r="F51" s="12" t="inlineStr">
        <is>
          <t>Merged</t>
        </is>
      </c>
      <c r="G51" s="12" t="inlineStr">
        <is>
          <t>2026-10-04</t>
        </is>
      </c>
      <c r="H51" s="12" t="inlineStr">
        <is>
          <t>2026-10-04</t>
        </is>
      </c>
      <c r="I51" s="12" t="inlineStr">
        <is>
          <t>-</t>
        </is>
      </c>
      <c r="J51" s="12" t="inlineStr">
        <is>
          <t>PMD-001</t>
        </is>
      </c>
      <c r="K51" s="12" t="inlineStr">
        <is>
          <t>Itself (merged to main)</t>
        </is>
      </c>
      <c r="L51" s="12" t="n"/>
    </row>
    <row r="52" ht="27" customFormat="1" customHeight="1" s="2">
      <c r="A52" s="34" t="inlineStr">
        <is>
          <t>51</t>
        </is>
      </c>
      <c r="B52" s="12" t="inlineStr">
        <is>
          <t>Add comprehensive test execution framework for 791 test cases</t>
        </is>
      </c>
      <c r="C52" s="12" t="inlineStr">
        <is>
          <t>QA / tests</t>
        </is>
      </c>
      <c r="D52" s="12" t="inlineStr">
        <is>
          <t>claude/excel-test-cases-xk1gjq -&gt; staging</t>
        </is>
      </c>
      <c r="E52" s="12" t="inlineStr">
        <is>
          <t>Test site (staging -&gt; test.gokesari.com)</t>
        </is>
      </c>
      <c r="F52" s="12" t="inlineStr">
        <is>
          <t>Merged</t>
        </is>
      </c>
      <c r="G52" s="12" t="inlineStr">
        <is>
          <t>2026-10-04</t>
        </is>
      </c>
      <c r="H52" s="12" t="inlineStr">
        <is>
          <t>2026-10-07</t>
        </is>
      </c>
      <c r="I52" s="12" t="inlineStr">
        <is>
          <t>QA-001, QA-002</t>
        </is>
      </c>
      <c r="J52" s="12" t="inlineStr">
        <is>
          <t>-</t>
        </is>
      </c>
      <c r="K52" s="12" t="inlineStr">
        <is>
          <t>#70</t>
        </is>
      </c>
      <c r="L52" s="12" t="n"/>
    </row>
    <row r="53" ht="27" customFormat="1" customHeight="1" s="2">
      <c r="A53" s="34" t="inlineStr">
        <is>
          <t>52</t>
        </is>
      </c>
      <c r="B53" s="12" t="inlineStr">
        <is>
          <t>Update e2e acceptance tests to current sign-in and wallet flows</t>
        </is>
      </c>
      <c r="C53" s="12" t="inlineStr">
        <is>
          <t>QA / tests</t>
        </is>
      </c>
      <c r="D53" s="12" t="inlineStr">
        <is>
          <t>claude/magical-hamilton-kbhqm0 -&gt; staging</t>
        </is>
      </c>
      <c r="E53" s="12" t="inlineStr">
        <is>
          <t>Test site (staging -&gt; test.gokesari.com)</t>
        </is>
      </c>
      <c r="F53" s="12" t="inlineStr">
        <is>
          <t>Merged</t>
        </is>
      </c>
      <c r="G53" s="12" t="inlineStr">
        <is>
          <t>2026-10-04</t>
        </is>
      </c>
      <c r="H53" s="12" t="inlineStr">
        <is>
          <t>2026-10-04</t>
        </is>
      </c>
      <c r="I53" s="12" t="inlineStr">
        <is>
          <t>QA-001</t>
        </is>
      </c>
      <c r="J53" s="12" t="inlineStr">
        <is>
          <t>-</t>
        </is>
      </c>
      <c r="K53" s="12" t="inlineStr">
        <is>
          <t>#54</t>
        </is>
      </c>
      <c r="L53" s="12" t="n"/>
    </row>
    <row r="54" ht="27" customFormat="1" customHeight="1" s="2">
      <c r="A54" s="34" t="inlineStr">
        <is>
          <t>53</t>
        </is>
      </c>
      <c r="B54" s="12" t="inlineStr">
        <is>
          <t>Seller verification: KYC core, document rules, seller/admin screens, daily job, compliance controls</t>
        </is>
      </c>
      <c r="C54" s="12" t="inlineStr">
        <is>
          <t>Feature</t>
        </is>
      </c>
      <c r="D54" s="12" t="inlineStr">
        <is>
          <t>claude/gracious-hypatia-t6lkul -&gt; staging</t>
        </is>
      </c>
      <c r="E54" s="12" t="inlineStr">
        <is>
          <t>Test site (staging -&gt; test.gokesari.com)</t>
        </is>
      </c>
      <c r="F54" s="12" t="inlineStr">
        <is>
          <t>Merged</t>
        </is>
      </c>
      <c r="G54" s="12" t="inlineStr">
        <is>
          <t>2026-10-05</t>
        </is>
      </c>
      <c r="H54" s="12" t="inlineStr">
        <is>
          <t>2026-10-05</t>
        </is>
      </c>
      <c r="I54" s="12" t="inlineStr">
        <is>
          <t>GS-006, GS-007, WF-008</t>
        </is>
      </c>
      <c r="J54" s="12" t="inlineStr">
        <is>
          <t>-</t>
        </is>
      </c>
      <c r="K54" s="12" t="inlineStr">
        <is>
          <t>#54</t>
        </is>
      </c>
      <c r="L54" s="12" t="n"/>
    </row>
    <row r="55" ht="27" customFormat="1" customHeight="1" s="2">
      <c r="A55" s="34" t="inlineStr">
        <is>
          <t>54</t>
        </is>
      </c>
      <c r="B55" s="12" t="inlineStr">
        <is>
          <t>Release: seller document verification to production</t>
        </is>
      </c>
      <c r="C55" s="12" t="inlineStr">
        <is>
          <t>Release (staging -&gt; main)</t>
        </is>
      </c>
      <c r="D55" s="12" t="inlineStr">
        <is>
          <t>staging -&gt; main</t>
        </is>
      </c>
      <c r="E55" s="12" t="inlineStr">
        <is>
          <t>Production (main -&gt; gokesari.com)</t>
        </is>
      </c>
      <c r="F55" s="12" t="inlineStr">
        <is>
          <t>Merged</t>
        </is>
      </c>
      <c r="G55" s="12" t="inlineStr">
        <is>
          <t>2026-10-05</t>
        </is>
      </c>
      <c r="H55" s="12" t="inlineStr">
        <is>
          <t>2026-10-05</t>
        </is>
      </c>
      <c r="I55" s="12" t="inlineStr">
        <is>
          <t>-</t>
        </is>
      </c>
      <c r="J55" s="12" t="inlineStr">
        <is>
          <t>GS-006, GS-007, WF-008, QA-001</t>
        </is>
      </c>
      <c r="K55" s="12" t="inlineStr">
        <is>
          <t>Itself (merged to main)</t>
        </is>
      </c>
      <c r="L55" s="12" t="n"/>
    </row>
    <row r="56" ht="51" customFormat="1" customHeight="1" s="2">
      <c r="A56" s="34" t="inlineStr">
        <is>
          <t>55</t>
        </is>
      </c>
      <c r="B56" s="12" t="inlineStr">
        <is>
          <t>Marketplace features F1–F11 (behind business rules, off by default)</t>
        </is>
      </c>
      <c r="C56" s="12" t="inlineStr">
        <is>
          <t>Feature</t>
        </is>
      </c>
      <c r="D56" s="12" t="inlineStr">
        <is>
          <t>claude/gracious-hypatia-t6lkul -&gt; staging</t>
        </is>
      </c>
      <c r="E56" s="12" t="inlineStr">
        <is>
          <t>Test site (staging -&gt; test.gokesari.com)</t>
        </is>
      </c>
      <c r="F56" s="12" t="inlineStr">
        <is>
          <t>Merged</t>
        </is>
      </c>
      <c r="G56" s="12" t="inlineStr">
        <is>
          <t>2026-10-05</t>
        </is>
      </c>
      <c r="H56" s="12" t="inlineStr">
        <is>
          <t>2026-10-05</t>
        </is>
      </c>
      <c r="I56" s="12" t="inlineStr">
        <is>
          <t>GS-014, GS-022, GS-027, GS-033, GS-054, GS-072, WF-001, WF-003, SM-002, SM-003, SM-004, GA-005, NAV-001, NAV-002, NAV-003, NAV-009, NAV-013</t>
        </is>
      </c>
      <c r="J56" s="12" t="inlineStr">
        <is>
          <t>-</t>
        </is>
      </c>
      <c r="K56" s="12" t="inlineStr">
        <is>
          <t>#57</t>
        </is>
      </c>
      <c r="L56" s="12" t="n"/>
    </row>
    <row r="57" ht="27" customFormat="1" customHeight="1" s="2">
      <c r="A57" s="34" t="inlineStr">
        <is>
          <t>56</t>
        </is>
      </c>
      <c r="B57" s="12" t="inlineStr">
        <is>
          <t>Fix referral link redirect pointing at the internal host</t>
        </is>
      </c>
      <c r="C57" s="12" t="inlineStr">
        <is>
          <t>Fix / hotfix</t>
        </is>
      </c>
      <c r="D57" s="12" t="inlineStr">
        <is>
          <t>claude/gracious-hypatia-t6lkul -&gt; staging</t>
        </is>
      </c>
      <c r="E57" s="12" t="inlineStr">
        <is>
          <t>Test site (staging -&gt; test.gokesari.com)</t>
        </is>
      </c>
      <c r="F57" s="12" t="inlineStr">
        <is>
          <t>Merged</t>
        </is>
      </c>
      <c r="G57" s="12" t="inlineStr">
        <is>
          <t>2026-10-06</t>
        </is>
      </c>
      <c r="H57" s="12" t="inlineStr">
        <is>
          <t>2026-10-06</t>
        </is>
      </c>
      <c r="I57" s="12" t="inlineStr">
        <is>
          <t>GS-054</t>
        </is>
      </c>
      <c r="J57" s="12" t="inlineStr">
        <is>
          <t>-</t>
        </is>
      </c>
      <c r="K57" s="12" t="inlineStr">
        <is>
          <t>#57</t>
        </is>
      </c>
      <c r="L57" s="12" t="n"/>
    </row>
    <row r="58" ht="111" customFormat="1" customHeight="1" s="2">
      <c r="A58" s="34" t="inlineStr">
        <is>
          <t>57</t>
        </is>
      </c>
      <c r="B58" s="12" t="inlineStr">
        <is>
          <t>Release to production: marketplace features F1–F11</t>
        </is>
      </c>
      <c r="C58" s="12" t="inlineStr">
        <is>
          <t>Release (staging -&gt; main)</t>
        </is>
      </c>
      <c r="D58" s="12" t="inlineStr">
        <is>
          <t>staging -&gt; main</t>
        </is>
      </c>
      <c r="E58" s="12" t="inlineStr">
        <is>
          <t>Production (main -&gt; gokesari.com)</t>
        </is>
      </c>
      <c r="F58" s="12" t="inlineStr">
        <is>
          <t>Merged</t>
        </is>
      </c>
      <c r="G58" s="12" t="inlineStr">
        <is>
          <t>2026-10-06</t>
        </is>
      </c>
      <c r="H58" s="12" t="inlineStr">
        <is>
          <t>2026-10-06</t>
        </is>
      </c>
      <c r="I58" s="12" t="inlineStr">
        <is>
          <t>-</t>
        </is>
      </c>
      <c r="J58" s="12" t="inlineStr">
        <is>
          <t>GS-014, GS-022, GS-027, GS-033, GS-054, GS-072, WF-001, WF-003, SM-002, SM-003, SM-004, GA-005, NAV-001, NAV-002, NAV-003, NAV-009, NAV-013</t>
        </is>
      </c>
      <c r="K58" s="12" t="inlineStr">
        <is>
          <t>Itself (merged to main)</t>
        </is>
      </c>
      <c r="L58" s="12" t="n"/>
    </row>
    <row r="59" ht="39" customFormat="1" customHeight="1" s="2">
      <c r="A59" s="34" t="inlineStr">
        <is>
          <t>58</t>
        </is>
      </c>
      <c r="B59" s="12" t="inlineStr">
        <is>
          <t>Shop and subscription states, chosen delivery slot, rider batching, order completion (+ 6 Oct status report)</t>
        </is>
      </c>
      <c r="C59" s="12" t="inlineStr">
        <is>
          <t>Feature</t>
        </is>
      </c>
      <c r="D59" s="12" t="inlineStr">
        <is>
          <t>claude/admiring-ritchie-rhs1x8 -&gt; staging</t>
        </is>
      </c>
      <c r="E59" s="12" t="inlineStr">
        <is>
          <t>Test site (staging -&gt; test.gokesari.com)</t>
        </is>
      </c>
      <c r="F59" s="12" t="inlineStr">
        <is>
          <t>Merged</t>
        </is>
      </c>
      <c r="G59" s="12" t="inlineStr">
        <is>
          <t>2026-10-06</t>
        </is>
      </c>
      <c r="H59" s="12" t="inlineStr">
        <is>
          <t>2026-10-06</t>
        </is>
      </c>
      <c r="I59" s="12" t="inlineStr">
        <is>
          <t>GS-027, GS-034, GS-043, GS-051, WF-002, WF-003, WF-006, WF-008, SM-002, SM-004, GA-005, NAV-005, NAV-010, NAV-011, NEW-007</t>
        </is>
      </c>
      <c r="J59" s="12" t="inlineStr">
        <is>
          <t>-</t>
        </is>
      </c>
      <c r="K59" s="12" t="inlineStr">
        <is>
          <t>#65</t>
        </is>
      </c>
      <c r="L59" s="12" t="n"/>
    </row>
    <row r="60" ht="27" customFormat="1" customHeight="1" s="2">
      <c r="A60" s="34" t="inlineStr">
        <is>
          <t>59</t>
        </is>
      </c>
      <c r="B60" s="12" t="inlineStr">
        <is>
          <t>Header: GoKesari logo mark, name and tagline "Your Neighbourhood, Delivered"</t>
        </is>
      </c>
      <c r="C60" s="12" t="inlineStr">
        <is>
          <t>Branding</t>
        </is>
      </c>
      <c r="D60" s="12" t="inlineStr">
        <is>
          <t>claude/serene-tesla-l4ggjm -&gt; staging</t>
        </is>
      </c>
      <c r="E60" s="12" t="inlineStr">
        <is>
          <t>Test site (staging -&gt; test.gokesari.com)</t>
        </is>
      </c>
      <c r="F60" s="12" t="inlineStr">
        <is>
          <t>Merged</t>
        </is>
      </c>
      <c r="G60" s="12" t="inlineStr">
        <is>
          <t>2026-10-06</t>
        </is>
      </c>
      <c r="H60" s="12" t="inlineStr">
        <is>
          <t>2026-10-06</t>
        </is>
      </c>
      <c r="I60" s="12" t="inlineStr">
        <is>
          <t>NEW-011</t>
        </is>
      </c>
      <c r="J60" s="12" t="inlineStr">
        <is>
          <t>-</t>
        </is>
      </c>
      <c r="K60" s="12" t="inlineStr">
        <is>
          <t>#65 (same change on main via #60)</t>
        </is>
      </c>
      <c r="L60" s="12" t="n"/>
    </row>
    <row r="61" ht="27" customFormat="1" customHeight="1" s="2">
      <c r="A61" s="34" t="inlineStr">
        <is>
          <t>60</t>
        </is>
      </c>
      <c r="B61" s="12" t="inlineStr">
        <is>
          <t>Production: GoKesari logo mark, name and tagline "Everything for Everyone" in the header</t>
        </is>
      </c>
      <c r="C61" s="12" t="inlineStr">
        <is>
          <t>Branding</t>
        </is>
      </c>
      <c r="D61" s="12" t="inlineStr">
        <is>
          <t>claude/serene-tesla-l4ggjm -&gt; main</t>
        </is>
      </c>
      <c r="E61" s="12" t="inlineStr">
        <is>
          <t>Production (main -&gt; gokesari.com)</t>
        </is>
      </c>
      <c r="F61" s="12" t="inlineStr">
        <is>
          <t>Merged</t>
        </is>
      </c>
      <c r="G61" s="12" t="inlineStr">
        <is>
          <t>2026-10-06</t>
        </is>
      </c>
      <c r="H61" s="12" t="inlineStr">
        <is>
          <t>2026-10-06</t>
        </is>
      </c>
      <c r="I61" s="12" t="inlineStr">
        <is>
          <t>NEW-011</t>
        </is>
      </c>
      <c r="J61" s="12" t="inlineStr">
        <is>
          <t>NEW-011</t>
        </is>
      </c>
      <c r="K61" s="12" t="inlineStr">
        <is>
          <t>Itself (merged to main)</t>
        </is>
      </c>
      <c r="L61" s="12" t="n"/>
    </row>
    <row r="62" ht="27" customFormat="1" customHeight="1" s="2">
      <c r="A62" s="34" t="inlineStr">
        <is>
          <t>61</t>
        </is>
      </c>
      <c r="B62" s="12" t="inlineStr">
        <is>
          <t>Tagline: "Everything for Everyone" (bring staging in line with production)</t>
        </is>
      </c>
      <c r="C62" s="12" t="inlineStr">
        <is>
          <t>Branding</t>
        </is>
      </c>
      <c r="D62" s="12" t="inlineStr">
        <is>
          <t>claude/serene-tesla-l4ggjm -&gt; staging</t>
        </is>
      </c>
      <c r="E62" s="12" t="inlineStr">
        <is>
          <t>Test site (staging -&gt; test.gokesari.com)</t>
        </is>
      </c>
      <c r="F62" s="12" t="inlineStr">
        <is>
          <t>Merged</t>
        </is>
      </c>
      <c r="G62" s="12" t="inlineStr">
        <is>
          <t>2026-10-06</t>
        </is>
      </c>
      <c r="H62" s="12" t="inlineStr">
        <is>
          <t>2026-10-06</t>
        </is>
      </c>
      <c r="I62" s="12" t="inlineStr">
        <is>
          <t>NEW-011</t>
        </is>
      </c>
      <c r="J62" s="12" t="inlineStr">
        <is>
          <t>-</t>
        </is>
      </c>
      <c r="K62" s="12" t="inlineStr">
        <is>
          <t>#65</t>
        </is>
      </c>
      <c r="L62" s="12" t="n"/>
    </row>
    <row r="63" ht="27" customFormat="1" customHeight="1" s="2">
      <c r="A63" s="34" t="inlineStr">
        <is>
          <t>62</t>
        </is>
      </c>
      <c r="B63" s="12" t="inlineStr">
        <is>
          <t>Production: GoKesari GK favicon instead of the Next.js template icon</t>
        </is>
      </c>
      <c r="C63" s="12" t="inlineStr">
        <is>
          <t>Branding</t>
        </is>
      </c>
      <c r="D63" s="12" t="inlineStr">
        <is>
          <t>claude/serene-tesla-l4ggjm -&gt; main</t>
        </is>
      </c>
      <c r="E63" s="12" t="inlineStr">
        <is>
          <t>Production (main -&gt; gokesari.com)</t>
        </is>
      </c>
      <c r="F63" s="12" t="inlineStr">
        <is>
          <t>Merged</t>
        </is>
      </c>
      <c r="G63" s="12" t="inlineStr">
        <is>
          <t>2026-10-06</t>
        </is>
      </c>
      <c r="H63" s="12" t="inlineStr">
        <is>
          <t>2026-10-06</t>
        </is>
      </c>
      <c r="I63" s="12" t="inlineStr">
        <is>
          <t>NEW-011</t>
        </is>
      </c>
      <c r="J63" s="12" t="inlineStr">
        <is>
          <t>NEW-011</t>
        </is>
      </c>
      <c r="K63" s="12" t="inlineStr">
        <is>
          <t>Itself (merged to main)</t>
        </is>
      </c>
      <c r="L63" s="12" t="n"/>
    </row>
    <row r="64" ht="27" customFormat="1" customHeight="1" s="2">
      <c r="A64" s="34" t="inlineStr">
        <is>
          <t>63</t>
        </is>
      </c>
      <c r="B64" s="12" t="inlineStr">
        <is>
          <t>GoKesari GK favicon instead of the Next.js template icon</t>
        </is>
      </c>
      <c r="C64" s="12" t="inlineStr">
        <is>
          <t>Branding</t>
        </is>
      </c>
      <c r="D64" s="12" t="inlineStr">
        <is>
          <t>claude/serene-tesla-l4ggjm -&gt; staging</t>
        </is>
      </c>
      <c r="E64" s="12" t="inlineStr">
        <is>
          <t>Test site (staging -&gt; test.gokesari.com)</t>
        </is>
      </c>
      <c r="F64" s="12" t="inlineStr">
        <is>
          <t>Merged</t>
        </is>
      </c>
      <c r="G64" s="12" t="inlineStr">
        <is>
          <t>2026-10-06</t>
        </is>
      </c>
      <c r="H64" s="12" t="inlineStr">
        <is>
          <t>2026-10-06</t>
        </is>
      </c>
      <c r="I64" s="12" t="inlineStr">
        <is>
          <t>NEW-011</t>
        </is>
      </c>
      <c r="J64" s="12" t="inlineStr">
        <is>
          <t>-</t>
        </is>
      </c>
      <c r="K64" s="12" t="inlineStr">
        <is>
          <t>#65 (same change on main via #62)</t>
        </is>
      </c>
      <c r="L64" s="12" t="n"/>
    </row>
    <row r="65" ht="27" customFormat="1" customHeight="1" s="2">
      <c r="A65" s="34" t="inlineStr">
        <is>
          <t>64</t>
        </is>
      </c>
      <c r="B65" s="12" t="inlineStr">
        <is>
          <t>Scheduled-slots tests: stop failing every evening after the test shop closes</t>
        </is>
      </c>
      <c r="C65" s="12" t="inlineStr">
        <is>
          <t>Fix / hotfix</t>
        </is>
      </c>
      <c r="D65" s="12" t="inlineStr">
        <is>
          <t>claude/fix-scheduled-slots-clock -&gt; staging</t>
        </is>
      </c>
      <c r="E65" s="12" t="inlineStr">
        <is>
          <t>Test site (staging -&gt; test.gokesari.com)</t>
        </is>
      </c>
      <c r="F65" s="12" t="inlineStr">
        <is>
          <t>Merged</t>
        </is>
      </c>
      <c r="G65" s="12" t="inlineStr">
        <is>
          <t>2026-10-06</t>
        </is>
      </c>
      <c r="H65" s="12" t="inlineStr">
        <is>
          <t>2026-10-06</t>
        </is>
      </c>
      <c r="I65" s="12" t="inlineStr">
        <is>
          <t>-</t>
        </is>
      </c>
      <c r="J65" s="12" t="inlineStr">
        <is>
          <t>-</t>
        </is>
      </c>
      <c r="K65" s="12" t="inlineStr">
        <is>
          <t>#65</t>
        </is>
      </c>
      <c r="L65" s="12" t="n"/>
    </row>
    <row r="66" ht="135" customFormat="1" customHeight="1" s="2">
      <c r="A66" s="34" t="inlineStr">
        <is>
          <t>65</t>
        </is>
      </c>
      <c r="B66" s="12" t="inlineStr">
        <is>
          <t>Release: staging → main (order lifecycle backlog, migrations 0051–0055)</t>
        </is>
      </c>
      <c r="C66" s="12" t="inlineStr">
        <is>
          <t>Release (staging -&gt; main)</t>
        </is>
      </c>
      <c r="D66" s="12" t="inlineStr">
        <is>
          <t>staging -&gt; main</t>
        </is>
      </c>
      <c r="E66" s="12" t="inlineStr">
        <is>
          <t>Production (main -&gt; gokesari.com)</t>
        </is>
      </c>
      <c r="F66" s="12" t="inlineStr">
        <is>
          <t>Merged</t>
        </is>
      </c>
      <c r="G66" s="12" t="inlineStr">
        <is>
          <t>2026-10-06</t>
        </is>
      </c>
      <c r="H66" s="12" t="inlineStr">
        <is>
          <t>2026-10-06</t>
        </is>
      </c>
      <c r="I66" s="12" t="inlineStr">
        <is>
          <t>-</t>
        </is>
      </c>
      <c r="J66" s="12" t="inlineStr">
        <is>
          <t>GS-027, GS-034, GS-043, GS-051, WF-002, WF-003, WF-006, WF-008, SM-002, SM-004, GA-005, NAV-001, NAV-005, NAV-010, NAV-011, NEW-007, NEW-013, NEW-014, PLT-004</t>
        </is>
      </c>
      <c r="K66" s="12" t="inlineStr">
        <is>
          <t>Itself (merged to main)</t>
        </is>
      </c>
      <c r="L66" s="12" t="n"/>
    </row>
    <row r="67" ht="27" customFormat="1" customHeight="1" s="2">
      <c r="A67" s="34" t="inlineStr">
        <is>
          <t>66</t>
        </is>
      </c>
      <c r="B67" s="12" t="inlineStr">
        <is>
          <t>Patch flagged npm packages: sharp, brace-expansion, source-map-js, js-yaml</t>
        </is>
      </c>
      <c r="C67" s="12" t="inlineStr">
        <is>
          <t>Security / dependencies</t>
        </is>
      </c>
      <c r="D67" s="12" t="inlineStr">
        <is>
          <t>claude/intelligent-noether-rogv14 -&gt; staging</t>
        </is>
      </c>
      <c r="E67" s="12" t="inlineStr">
        <is>
          <t>Test site (staging -&gt; test.gokesari.com)</t>
        </is>
      </c>
      <c r="F67" s="12" t="inlineStr">
        <is>
          <t>Merged</t>
        </is>
      </c>
      <c r="G67" s="12" t="inlineStr">
        <is>
          <t>2026-10-06</t>
        </is>
      </c>
      <c r="H67" s="12" t="inlineStr">
        <is>
          <t>2026-10-06</t>
        </is>
      </c>
      <c r="I67" s="12" t="inlineStr">
        <is>
          <t>PLT-004</t>
        </is>
      </c>
      <c r="J67" s="12" t="inlineStr">
        <is>
          <t>-</t>
        </is>
      </c>
      <c r="K67" s="12" t="inlineStr">
        <is>
          <t>#65</t>
        </is>
      </c>
      <c r="L67" s="12" t="n"/>
    </row>
    <row r="68" ht="27" customFormat="1" customHeight="1" s="2">
      <c r="A68" s="34" t="inlineStr">
        <is>
          <t>67</t>
        </is>
      </c>
      <c r="B68" s="12" t="inlineStr">
        <is>
          <t>Home page: PageSpeed performance and accessibility fixes</t>
        </is>
      </c>
      <c r="C68" s="12" t="inlineStr">
        <is>
          <t>Improvement</t>
        </is>
      </c>
      <c r="D68" s="12" t="inlineStr">
        <is>
          <t>claude/wizardly-galileo-t8kfcl -&gt; staging</t>
        </is>
      </c>
      <c r="E68" s="12" t="inlineStr">
        <is>
          <t>Test site (staging -&gt; test.gokesari.com)</t>
        </is>
      </c>
      <c r="F68" s="12" t="inlineStr">
        <is>
          <t>Merged</t>
        </is>
      </c>
      <c r="G68" s="12" t="inlineStr">
        <is>
          <t>2026-10-06</t>
        </is>
      </c>
      <c r="H68" s="12" t="inlineStr">
        <is>
          <t>2026-10-06</t>
        </is>
      </c>
      <c r="I68" s="12" t="inlineStr">
        <is>
          <t>NAV-001, NEW-013, NEW-014</t>
        </is>
      </c>
      <c r="J68" s="12" t="inlineStr">
        <is>
          <t>-</t>
        </is>
      </c>
      <c r="K68" s="12" t="inlineStr">
        <is>
          <t>#65</t>
        </is>
      </c>
      <c r="L68" s="12" t="n"/>
    </row>
    <row r="69" ht="27" customFormat="1" customHeight="1" s="2">
      <c r="A69" s="34" t="inlineStr">
        <is>
          <t>68</t>
        </is>
      </c>
      <c r="B69" s="12" t="inlineStr">
        <is>
          <t>Home page: keep the page usable if the shop lists' stream fails</t>
        </is>
      </c>
      <c r="C69" s="12" t="inlineStr">
        <is>
          <t>Fix / hotfix</t>
        </is>
      </c>
      <c r="D69" s="12" t="inlineStr">
        <is>
          <t>claude/wizardly-galileo-t8kfcl -&gt; staging</t>
        </is>
      </c>
      <c r="E69" s="12" t="inlineStr">
        <is>
          <t>Test site (staging -&gt; test.gokesari.com)</t>
        </is>
      </c>
      <c r="F69" s="12" t="inlineStr">
        <is>
          <t>Merged</t>
        </is>
      </c>
      <c r="G69" s="12" t="inlineStr">
        <is>
          <t>2026-10-06</t>
        </is>
      </c>
      <c r="H69" s="12" t="inlineStr">
        <is>
          <t>2026-10-07</t>
        </is>
      </c>
      <c r="I69" s="12" t="inlineStr">
        <is>
          <t>NAV-001, NEW-013</t>
        </is>
      </c>
      <c r="J69" s="12" t="inlineStr">
        <is>
          <t>-</t>
        </is>
      </c>
      <c r="K69" s="12" t="inlineStr">
        <is>
          <t>#69</t>
        </is>
      </c>
      <c r="L69" s="12" t="n"/>
    </row>
    <row r="70" ht="27" customFormat="1" customHeight="1" s="2">
      <c r="A70" s="34" t="inlineStr">
        <is>
          <t>69</t>
        </is>
      </c>
      <c r="B70" s="12" t="inlineStr">
        <is>
          <t>Release: staging → main (home page error boundary)</t>
        </is>
      </c>
      <c r="C70" s="12" t="inlineStr">
        <is>
          <t>Release (staging -&gt; main)</t>
        </is>
      </c>
      <c r="D70" s="12" t="inlineStr">
        <is>
          <t>staging -&gt; main</t>
        </is>
      </c>
      <c r="E70" s="12" t="inlineStr">
        <is>
          <t>Production (main -&gt; gokesari.com)</t>
        </is>
      </c>
      <c r="F70" s="12" t="inlineStr">
        <is>
          <t>Merged</t>
        </is>
      </c>
      <c r="G70" s="12" t="inlineStr">
        <is>
          <t>2026-10-07</t>
        </is>
      </c>
      <c r="H70" s="12" t="inlineStr">
        <is>
          <t>2026-10-07</t>
        </is>
      </c>
      <c r="I70" s="12" t="inlineStr">
        <is>
          <t>-</t>
        </is>
      </c>
      <c r="J70" s="12" t="inlineStr">
        <is>
          <t>NAV-001, NEW-013</t>
        </is>
      </c>
      <c r="K70" s="12" t="inlineStr">
        <is>
          <t>Itself (merged to main)</t>
        </is>
      </c>
      <c r="L70" s="12" t="n"/>
    </row>
    <row r="71" ht="27" customFormat="1" customHeight="1" s="2">
      <c r="A71" s="34" t="inlineStr">
        <is>
          <t>70</t>
        </is>
      </c>
      <c r="B71" s="12" t="inlineStr">
        <is>
          <t>Release: staging → main (test execution framework)</t>
        </is>
      </c>
      <c r="C71" s="12" t="inlineStr">
        <is>
          <t>Release (staging -&gt; main)</t>
        </is>
      </c>
      <c r="D71" s="12" t="inlineStr">
        <is>
          <t>staging -&gt; main</t>
        </is>
      </c>
      <c r="E71" s="12" t="inlineStr">
        <is>
          <t>Production (main -&gt; gokesari.com)</t>
        </is>
      </c>
      <c r="F71" s="12" t="inlineStr">
        <is>
          <t>Merged</t>
        </is>
      </c>
      <c r="G71" s="12" t="inlineStr">
        <is>
          <t>2026-10-07</t>
        </is>
      </c>
      <c r="H71" s="12" t="inlineStr">
        <is>
          <t>2026-10-07</t>
        </is>
      </c>
      <c r="I71" s="12" t="inlineStr">
        <is>
          <t>-</t>
        </is>
      </c>
      <c r="J71" s="12" t="inlineStr">
        <is>
          <t>QA-001, QA-002</t>
        </is>
      </c>
      <c r="K71" s="12" t="inlineStr">
        <is>
          <t>Itself (merged to main)</t>
        </is>
      </c>
      <c r="L71" s="12" t="n"/>
    </row>
    <row r="72" ht="39" customFormat="1" customHeight="1" s="2">
      <c r="A72" s="34" t="inlineStr">
        <is>
          <t>71</t>
        </is>
      </c>
      <c r="B72" s="12" t="inlineStr">
        <is>
          <t>Release: staging → main (product card quantity controls, search bar row)</t>
        </is>
      </c>
      <c r="C72" s="12" t="inlineStr">
        <is>
          <t>Release (staging -&gt; main)</t>
        </is>
      </c>
      <c r="D72" s="12" t="inlineStr">
        <is>
          <t>staging -&gt; main</t>
        </is>
      </c>
      <c r="E72" s="12" t="inlineStr">
        <is>
          <t>Production (main -&gt; gokesari.com)</t>
        </is>
      </c>
      <c r="F72" s="12" t="inlineStr">
        <is>
          <t>Merged</t>
        </is>
      </c>
      <c r="G72" s="12" t="inlineStr">
        <is>
          <t>2026-10-07</t>
        </is>
      </c>
      <c r="H72" s="12" t="inlineStr">
        <is>
          <t>2026-10-07</t>
        </is>
      </c>
      <c r="I72" s="12" t="inlineStr">
        <is>
          <t>-</t>
        </is>
      </c>
      <c r="J72" s="12" t="inlineStr">
        <is>
          <t>GS-020, GS-024, NAV-003, NEW-012</t>
        </is>
      </c>
      <c r="K72" s="12" t="inlineStr">
        <is>
          <t>Itself (merged to main)</t>
        </is>
      </c>
      <c r="L72" s="12" t="n"/>
    </row>
    <row r="73" ht="27" customFormat="1" customHeight="1" s="2">
      <c r="A73" s="34" t="inlineStr">
        <is>
          <t>72</t>
        </is>
      </c>
      <c r="B73" s="12" t="inlineStr">
        <is>
          <t>Stop whole DB rows reaching browsers; product card cart state after reload; faster home page</t>
        </is>
      </c>
      <c r="C73" s="12" t="inlineStr">
        <is>
          <t>Improvement</t>
        </is>
      </c>
      <c r="D73" s="12" t="inlineStr">
        <is>
          <t>ccr-4ba4bca6-l80mi4 -&gt; staging</t>
        </is>
      </c>
      <c r="E73" s="12" t="inlineStr">
        <is>
          <t>Test site (staging -&gt; test.gokesari.com)</t>
        </is>
      </c>
      <c r="F73" s="12" t="inlineStr">
        <is>
          <t>Merged</t>
        </is>
      </c>
      <c r="G73" s="12" t="inlineStr">
        <is>
          <t>2026-10-07</t>
        </is>
      </c>
      <c r="H73" s="12" t="inlineStr">
        <is>
          <t>2026-10-07</t>
        </is>
      </c>
      <c r="I73" s="12" t="inlineStr">
        <is>
          <t>GS-022, GS-024, GS-071, NEW-012, NEW-014</t>
        </is>
      </c>
      <c r="J73" s="12" t="inlineStr">
        <is>
          <t>-</t>
        </is>
      </c>
      <c r="K73" s="12" t="inlineStr">
        <is>
          <t>#73</t>
        </is>
      </c>
      <c r="L73" s="12" t="n"/>
    </row>
    <row r="74" ht="63" customFormat="1" customHeight="1" s="2">
      <c r="A74" s="34" t="inlineStr">
        <is>
          <t>73</t>
        </is>
      </c>
      <c r="B74" s="12" t="inlineStr">
        <is>
          <t>Release: staging → main (data-exposure fixes, cart state after reload, faster home page, header menu links)</t>
        </is>
      </c>
      <c r="C74" s="12" t="inlineStr">
        <is>
          <t>Release (staging -&gt; main)</t>
        </is>
      </c>
      <c r="D74" s="12" t="inlineStr">
        <is>
          <t>staging -&gt; main</t>
        </is>
      </c>
      <c r="E74" s="12" t="inlineStr">
        <is>
          <t>Production (main -&gt; gokesari.com)</t>
        </is>
      </c>
      <c r="F74" s="12" t="inlineStr">
        <is>
          <t>Merged</t>
        </is>
      </c>
      <c r="G74" s="12" t="inlineStr">
        <is>
          <t>2026-10-07</t>
        </is>
      </c>
      <c r="H74" s="12" t="inlineStr">
        <is>
          <t>2026-10-07</t>
        </is>
      </c>
      <c r="I74" s="12" t="inlineStr">
        <is>
          <t>-</t>
        </is>
      </c>
      <c r="J74" s="12" t="inlineStr">
        <is>
          <t>GS-022, GS-024, GS-071, NAV-015, NAV-016, NAV-017, NEW-012, NEW-014, NEW-015</t>
        </is>
      </c>
      <c r="K74" s="12" t="inlineStr">
        <is>
          <t>Itself (merged to main)</t>
        </is>
      </c>
      <c r="L74" s="12" t="n"/>
    </row>
    <row r="75" ht="27" customFormat="1" customHeight="1" s="2">
      <c r="A75" s="34" t="inlineStr">
        <is>
          <t>74</t>
        </is>
      </c>
      <c r="B75" s="12" t="inlineStr">
        <is>
          <t>Header menus: link the operations dashboard and the rider's gig pages</t>
        </is>
      </c>
      <c r="C75" s="12" t="inlineStr">
        <is>
          <t>Improvement</t>
        </is>
      </c>
      <c r="D75" s="12" t="inlineStr">
        <is>
          <t>ccr-4ba4bca6-l80mi4 -&gt; staging</t>
        </is>
      </c>
      <c r="E75" s="12" t="inlineStr">
        <is>
          <t>Test site (staging -&gt; test.gokesari.com)</t>
        </is>
      </c>
      <c r="F75" s="12" t="inlineStr">
        <is>
          <t>Merged</t>
        </is>
      </c>
      <c r="G75" s="12" t="inlineStr">
        <is>
          <t>2026-10-07</t>
        </is>
      </c>
      <c r="H75" s="12" t="inlineStr">
        <is>
          <t>2026-10-07</t>
        </is>
      </c>
      <c r="I75" s="12" t="inlineStr">
        <is>
          <t>NAV-015, NAV-016, NAV-017, NEW-015</t>
        </is>
      </c>
      <c r="J75" s="12" t="inlineStr">
        <is>
          <t>-</t>
        </is>
      </c>
      <c r="K75" s="12" t="inlineStr">
        <is>
          <t>#73</t>
        </is>
      </c>
      <c r="L75" s="12" t="n"/>
    </row>
    <row r="76" ht="27" customFormat="1" customHeight="1" s="2">
      <c r="A76" s="34" t="inlineStr">
        <is>
          <t>75</t>
        </is>
      </c>
      <c r="B76" s="12" t="inlineStr">
        <is>
          <t>Notification settings: drop the "Offers &amp; campaigns" row</t>
        </is>
      </c>
      <c r="C76" s="12" t="inlineStr">
        <is>
          <t>Improvement</t>
        </is>
      </c>
      <c r="D76" s="12" t="inlineStr">
        <is>
          <t>ccr-4ba4bca6-l80mi4 -&gt; staging</t>
        </is>
      </c>
      <c r="E76" s="12" t="inlineStr">
        <is>
          <t>Test site (staging -&gt; test.gokesari.com)</t>
        </is>
      </c>
      <c r="F76" s="12" t="inlineStr">
        <is>
          <t>Merged</t>
        </is>
      </c>
      <c r="G76" s="12" t="inlineStr">
        <is>
          <t>2026-10-07</t>
        </is>
      </c>
      <c r="H76" s="12" t="inlineStr">
        <is>
          <t>2026-10-07</t>
        </is>
      </c>
      <c r="I76" s="12" t="inlineStr">
        <is>
          <t>NEW-016</t>
        </is>
      </c>
      <c r="J76" s="12" t="inlineStr">
        <is>
          <t>-</t>
        </is>
      </c>
      <c r="K76" s="12" t="inlineStr">
        <is>
          <t>#76</t>
        </is>
      </c>
      <c r="L76" s="12" t="n"/>
    </row>
    <row r="77" ht="27" customFormat="1" customHeight="1" s="2">
      <c r="A77" s="34" t="inlineStr">
        <is>
          <t>76</t>
        </is>
      </c>
      <c r="B77" s="12" t="inlineStr">
        <is>
          <t>Release: staging → main (notification settings without the "Offers &amp; campaigns" row)</t>
        </is>
      </c>
      <c r="C77" s="12" t="inlineStr">
        <is>
          <t>Release (staging -&gt; main)</t>
        </is>
      </c>
      <c r="D77" s="12" t="inlineStr">
        <is>
          <t>staging -&gt; main</t>
        </is>
      </c>
      <c r="E77" s="12" t="inlineStr">
        <is>
          <t>Production (main -&gt; gokesari.com)</t>
        </is>
      </c>
      <c r="F77" s="12" t="inlineStr">
        <is>
          <t>Merged</t>
        </is>
      </c>
      <c r="G77" s="12" t="inlineStr">
        <is>
          <t>2026-10-07</t>
        </is>
      </c>
      <c r="H77" s="12" t="inlineStr">
        <is>
          <t>2026-10-07</t>
        </is>
      </c>
      <c r="I77" s="12" t="inlineStr">
        <is>
          <t>-</t>
        </is>
      </c>
      <c r="J77" s="12" t="inlineStr">
        <is>
          <t>NEW-016</t>
        </is>
      </c>
      <c r="K77" s="12" t="inlineStr">
        <is>
          <t>Itself (merged to main)</t>
        </is>
      </c>
      <c r="L77" s="12" t="n"/>
    </row>
    <row r="78" ht="27" customFormat="1" customHeight="1" s="2">
      <c r="A78" s="34" t="inlineStr">
        <is>
          <t>77</t>
        </is>
      </c>
      <c r="B78" s="12" t="inlineStr">
        <is>
          <t>Profile: show the marketing consent as a labelled on/off switch</t>
        </is>
      </c>
      <c r="C78" s="12" t="inlineStr">
        <is>
          <t>Improvement</t>
        </is>
      </c>
      <c r="D78" s="12" t="inlineStr">
        <is>
          <t>ccr-4ba4bca6-l80mi4 -&gt; staging</t>
        </is>
      </c>
      <c r="E78" s="12" t="inlineStr">
        <is>
          <t>Test site (staging -&gt; test.gokesari.com)</t>
        </is>
      </c>
      <c r="F78" s="12" t="inlineStr">
        <is>
          <t>Merged</t>
        </is>
      </c>
      <c r="G78" s="12" t="inlineStr">
        <is>
          <t>2026-10-07</t>
        </is>
      </c>
      <c r="H78" s="12" t="inlineStr">
        <is>
          <t>2026-10-07</t>
        </is>
      </c>
      <c r="I78" s="12" t="inlineStr">
        <is>
          <t>GS-070, NEW-016</t>
        </is>
      </c>
      <c r="J78" s="12" t="inlineStr">
        <is>
          <t>-</t>
        </is>
      </c>
      <c r="K78" s="12" t="inlineStr">
        <is>
          <t>#78</t>
        </is>
      </c>
      <c r="L78" s="12" t="n"/>
    </row>
    <row r="79" ht="27" customFormat="1" customHeight="1" s="2">
      <c r="A79" s="34" t="inlineStr">
        <is>
          <t>78</t>
        </is>
      </c>
      <c r="B79" s="12" t="inlineStr">
        <is>
          <t>Release: staging → main (clearer "Offers and promotions" switch on /profile)</t>
        </is>
      </c>
      <c r="C79" s="12" t="inlineStr">
        <is>
          <t>Release (staging -&gt; main)</t>
        </is>
      </c>
      <c r="D79" s="12" t="inlineStr">
        <is>
          <t>staging -&gt; main</t>
        </is>
      </c>
      <c r="E79" s="12" t="inlineStr">
        <is>
          <t>Production (main -&gt; gokesari.com)</t>
        </is>
      </c>
      <c r="F79" s="12" t="inlineStr">
        <is>
          <t>Merged</t>
        </is>
      </c>
      <c r="G79" s="12" t="inlineStr">
        <is>
          <t>2026-10-07</t>
        </is>
      </c>
      <c r="H79" s="12" t="inlineStr">
        <is>
          <t>2026-10-07</t>
        </is>
      </c>
      <c r="I79" s="12" t="inlineStr">
        <is>
          <t>-</t>
        </is>
      </c>
      <c r="J79" s="12" t="inlineStr">
        <is>
          <t>GS-070, NEW-016</t>
        </is>
      </c>
      <c r="K79" s="12" t="inlineStr">
        <is>
          <t>Itself (merged to main)</t>
        </is>
      </c>
      <c r="L79" s="12" t="n"/>
    </row>
    <row r="80" ht="27" customFormat="1" customHeight="1" s="2">
      <c r="A80" s="34" t="inlineStr">
        <is>
          <t>79</t>
        </is>
      </c>
      <c r="B80" s="12" t="inlineStr">
        <is>
          <t>Shop photo catalogue: every product as a photo with its price</t>
        </is>
      </c>
      <c r="C80" s="12" t="inlineStr">
        <is>
          <t>Feature</t>
        </is>
      </c>
      <c r="D80" s="12" t="inlineStr">
        <is>
          <t>claude/product-image-catalogue-pricing-fosflc -&gt; staging</t>
        </is>
      </c>
      <c r="E80" s="12" t="inlineStr">
        <is>
          <t>Test site (staging -&gt; test.gokesari.com)</t>
        </is>
      </c>
      <c r="F80" s="12" t="inlineStr">
        <is>
          <t>Merged</t>
        </is>
      </c>
      <c r="G80" s="12" t="inlineStr">
        <is>
          <t>2026-10-07</t>
        </is>
      </c>
      <c r="H80" s="12" t="inlineStr">
        <is>
          <t>2026-10-07</t>
        </is>
      </c>
      <c r="I80" s="12" t="inlineStr">
        <is>
          <t>GS-014, NAV-007, NEW-017</t>
        </is>
      </c>
      <c r="J80" s="12" t="inlineStr">
        <is>
          <t>-</t>
        </is>
      </c>
      <c r="K80" s="12" t="inlineStr">
        <is>
          <t>#82; #84</t>
        </is>
      </c>
      <c r="L80" s="12" t="n"/>
    </row>
    <row r="81" ht="27" customFormat="1" customHeight="1" s="2">
      <c r="A81" s="34" t="inlineStr">
        <is>
          <t>80</t>
        </is>
      </c>
      <c r="B81" s="12" t="inlineStr">
        <is>
          <t>Sign-in: same reply to every OTP request, so it can't reveal accounts</t>
        </is>
      </c>
      <c r="C81" s="12" t="inlineStr">
        <is>
          <t>Improvement</t>
        </is>
      </c>
      <c r="D81" s="12" t="inlineStr">
        <is>
          <t>ccr-4ba4bca6-l80mi4 -&gt; staging</t>
        </is>
      </c>
      <c r="E81" s="12" t="inlineStr">
        <is>
          <t>Test site (staging -&gt; test.gokesari.com)</t>
        </is>
      </c>
      <c r="F81" s="12" t="inlineStr">
        <is>
          <t>Merged</t>
        </is>
      </c>
      <c r="G81" s="12" t="inlineStr">
        <is>
          <t>2026-10-07</t>
        </is>
      </c>
      <c r="H81" s="12" t="inlineStr">
        <is>
          <t>2026-10-07</t>
        </is>
      </c>
      <c r="I81" s="12" t="inlineStr">
        <is>
          <t>GS-001, NEW-018</t>
        </is>
      </c>
      <c r="J81" s="12" t="inlineStr">
        <is>
          <t>-</t>
        </is>
      </c>
      <c r="K81" s="12" t="inlineStr">
        <is>
          <t>#81</t>
        </is>
      </c>
      <c r="L81" s="12" t="n"/>
    </row>
    <row r="82" ht="27" customFormat="1" customHeight="1" s="2">
      <c r="A82" s="34" t="inlineStr">
        <is>
          <t>81</t>
        </is>
      </c>
      <c r="B82" s="12" t="inlineStr">
        <is>
          <t>Release: staging → main (OTP same reply #80)</t>
        </is>
      </c>
      <c r="C82" s="12" t="inlineStr">
        <is>
          <t>Release (staging -&gt; main)</t>
        </is>
      </c>
      <c r="D82" s="12" t="inlineStr">
        <is>
          <t>staging -&gt; main</t>
        </is>
      </c>
      <c r="E82" s="12" t="inlineStr">
        <is>
          <t>Production (main -&gt; gokesari.com)</t>
        </is>
      </c>
      <c r="F82" s="12" t="inlineStr">
        <is>
          <t>Merged</t>
        </is>
      </c>
      <c r="G82" s="12" t="inlineStr">
        <is>
          <t>2026-10-07</t>
        </is>
      </c>
      <c r="H82" s="12" t="inlineStr">
        <is>
          <t>2026-10-07</t>
        </is>
      </c>
      <c r="I82" s="12" t="inlineStr">
        <is>
          <t>-</t>
        </is>
      </c>
      <c r="J82" s="12" t="inlineStr">
        <is>
          <t>GS-001, NEW-018</t>
        </is>
      </c>
      <c r="K82" s="12" t="inlineStr">
        <is>
          <t>Itself (merged to main)</t>
        </is>
      </c>
      <c r="L82" s="12" t="n"/>
    </row>
    <row r="83" ht="27" customFormat="1" customHeight="1" s="2">
      <c r="A83" s="34" t="inlineStr">
        <is>
          <t>82</t>
        </is>
      </c>
      <c r="B83" s="12" t="inlineStr">
        <is>
          <t>Release: staging → main (shop photo catalogue #79)</t>
        </is>
      </c>
      <c r="C83" s="12" t="inlineStr">
        <is>
          <t>Release (staging -&gt; main)</t>
        </is>
      </c>
      <c r="D83" s="12" t="inlineStr">
        <is>
          <t>staging -&gt; main</t>
        </is>
      </c>
      <c r="E83" s="12" t="inlineStr">
        <is>
          <t>Production (main -&gt; gokesari.com)</t>
        </is>
      </c>
      <c r="F83" s="12" t="inlineStr">
        <is>
          <t>Merged</t>
        </is>
      </c>
      <c r="G83" s="12" t="inlineStr">
        <is>
          <t>2026-10-07</t>
        </is>
      </c>
      <c r="H83" s="12" t="inlineStr">
        <is>
          <t>2026-10-07</t>
        </is>
      </c>
      <c r="I83" s="12" t="inlineStr">
        <is>
          <t>-</t>
        </is>
      </c>
      <c r="J83" s="12" t="inlineStr">
        <is>
          <t>GS-014, NAV-007, NEW-017</t>
        </is>
      </c>
      <c r="K83" s="12" t="inlineStr">
        <is>
          <t>Itself (merged to main)</t>
        </is>
      </c>
      <c r="L83" s="12" t="n"/>
    </row>
    <row r="84" ht="27" customFormat="1" customHeight="1" s="2">
      <c r="A84" s="34" t="inlineStr">
        <is>
          <t>83</t>
        </is>
      </c>
      <c r="B84" s="12" t="inlineStr">
        <is>
          <t>Home and Shops redesign: header, tomorrow's delivery, nearby shops</t>
        </is>
      </c>
      <c r="C84" s="12" t="inlineStr">
        <is>
          <t>Feature</t>
        </is>
      </c>
      <c r="D84" s="12" t="inlineStr">
        <is>
          <t>claude/home-redesign -&gt; staging</t>
        </is>
      </c>
      <c r="E84" s="12" t="inlineStr">
        <is>
          <t>Test site (staging -&gt; test.gokesari.com)</t>
        </is>
      </c>
      <c r="F84" s="12" t="inlineStr">
        <is>
          <t>Merged</t>
        </is>
      </c>
      <c r="G84" s="12" t="inlineStr">
        <is>
          <t>2026-10-07</t>
        </is>
      </c>
      <c r="H84" s="12" t="inlineStr">
        <is>
          <t>2026-10-07</t>
        </is>
      </c>
      <c r="I84" s="12" t="inlineStr">
        <is>
          <t>GS-004, GS-019, GS-020, GS-051, NAV-001, NAV-005, NEW-019</t>
        </is>
      </c>
      <c r="J84" s="12" t="inlineStr">
        <is>
          <t>-</t>
        </is>
      </c>
      <c r="K84" s="12" t="inlineStr">
        <is>
          <t>#84</t>
        </is>
      </c>
      <c r="L84" s="12" t="n"/>
    </row>
    <row r="85" ht="63" customFormat="1" customHeight="1" s="2">
      <c r="A85" s="34" t="inlineStr">
        <is>
          <t>84</t>
        </is>
      </c>
      <c r="B85" s="12" t="inlineStr">
        <is>
          <t>Promote staging to main: home and Shops redesign</t>
        </is>
      </c>
      <c r="C85" s="12" t="inlineStr">
        <is>
          <t>Release (staging -&gt; main)</t>
        </is>
      </c>
      <c r="D85" s="12" t="inlineStr">
        <is>
          <t>staging -&gt; main</t>
        </is>
      </c>
      <c r="E85" s="12" t="inlineStr">
        <is>
          <t>Production (main -&gt; gokesari.com)</t>
        </is>
      </c>
      <c r="F85" s="12" t="inlineStr">
        <is>
          <t>Merged</t>
        </is>
      </c>
      <c r="G85" s="12" t="inlineStr">
        <is>
          <t>2026-10-07</t>
        </is>
      </c>
      <c r="H85" s="12" t="inlineStr">
        <is>
          <t>2026-10-07</t>
        </is>
      </c>
      <c r="I85" s="12" t="inlineStr">
        <is>
          <t>-</t>
        </is>
      </c>
      <c r="J85" s="12" t="inlineStr">
        <is>
          <t>GS-004, GS-019, GS-020, GS-051, NAV-001, NAV-005, NEW-017, NEW-019</t>
        </is>
      </c>
      <c r="K85" s="12" t="inlineStr">
        <is>
          <t>Itself (merged to main)</t>
        </is>
      </c>
      <c r="L85" s="12" t="n"/>
    </row>
    <row r="86" ht="39" customFormat="1" customHeight="1" s="2">
      <c r="A86" s="34" t="inlineStr">
        <is>
          <t>85</t>
        </is>
      </c>
      <c r="B86" s="12" t="inlineStr">
        <is>
          <t>Decisions A–E: cancellation refunds, admin settings, data exposure, 6 Oct features (test only)</t>
        </is>
      </c>
      <c r="C86" s="12" t="inlineStr">
        <is>
          <t>Feature</t>
        </is>
      </c>
      <c r="D86" s="12" t="inlineStr">
        <is>
          <t>claude/hopeful-meitner-ia1fxd -&gt; staging</t>
        </is>
      </c>
      <c r="E86" s="12" t="inlineStr">
        <is>
          <t>Test site (staging -&gt; test.gokesari.com)</t>
        </is>
      </c>
      <c r="F86" s="12" t="inlineStr">
        <is>
          <t>Merged</t>
        </is>
      </c>
      <c r="G86" s="12" t="inlineStr">
        <is>
          <t>2026-10-07</t>
        </is>
      </c>
      <c r="H86" s="12" t="inlineStr">
        <is>
          <t>2026-10-08</t>
        </is>
      </c>
      <c r="I86" s="12" t="inlineStr">
        <is>
          <t>NEW-020, NEW-021, NEW-022, NEW-023, NEW-024, NEW-025, NEW-026, NEW-027, PLT-007, QA-001</t>
        </is>
      </c>
      <c r="J86" s="12" t="inlineStr">
        <is>
          <t>-</t>
        </is>
      </c>
      <c r="K86" s="12" t="inlineStr">
        <is>
          <t>#86 - reverted by #87</t>
        </is>
      </c>
      <c r="L86" s="12" t="inlineStr">
        <is>
          <t>Merged to staging only; production release #86 was reverted by #87.</t>
        </is>
      </c>
    </row>
    <row r="87" ht="75" customFormat="1" customHeight="1" s="2">
      <c r="A87" s="34" t="inlineStr">
        <is>
          <t>86</t>
        </is>
      </c>
      <c r="B87" s="12" t="inlineStr">
        <is>
          <t>Release to production: decisions A–E + optional build-time migration</t>
        </is>
      </c>
      <c r="C87" s="12" t="inlineStr">
        <is>
          <t>Release (staging -&gt; main)</t>
        </is>
      </c>
      <c r="D87" s="12" t="inlineStr">
        <is>
          <t>staging -&gt; main</t>
        </is>
      </c>
      <c r="E87" s="12" t="inlineStr">
        <is>
          <t>Production (main -&gt; gokesari.com)</t>
        </is>
      </c>
      <c r="F87" s="12" t="inlineStr">
        <is>
          <t>Merged</t>
        </is>
      </c>
      <c r="G87" s="12" t="inlineStr">
        <is>
          <t>2026-10-08</t>
        </is>
      </c>
      <c r="H87" s="12" t="inlineStr">
        <is>
          <t>2026-10-08</t>
        </is>
      </c>
      <c r="I87" s="12" t="inlineStr">
        <is>
          <t>-</t>
        </is>
      </c>
      <c r="J87" s="12" t="inlineStr">
        <is>
          <t>Reverted by #87 - NEW-020, NEW-021, NEW-022, NEW-023, NEW-024, NEW-026, PLT-007</t>
        </is>
      </c>
      <c r="K87" s="12" t="inlineStr">
        <is>
          <t>Itself (merged to main)</t>
        </is>
      </c>
      <c r="L87" s="12" t="inlineStr">
        <is>
          <t>Reverted by #87 the same day: production DB lacked migrations 0056/0057, shop pages returned 500.</t>
        </is>
      </c>
    </row>
    <row r="88" ht="39" customFormat="1" customHeight="1" s="2">
      <c r="A88" s="34" t="inlineStr">
        <is>
          <t>87</t>
        </is>
      </c>
      <c r="B88" s="12" t="inlineStr">
        <is>
          <t>Revert release #86: shop pages fail without migrations 0056/0057</t>
        </is>
      </c>
      <c r="C88" s="12" t="inlineStr">
        <is>
          <t>Revert</t>
        </is>
      </c>
      <c r="D88" s="12" t="inlineStr">
        <is>
          <t>claude/gifted-allen-rh2ta2 -&gt; main</t>
        </is>
      </c>
      <c r="E88" s="12" t="inlineStr">
        <is>
          <t>Production (main -&gt; gokesari.com)</t>
        </is>
      </c>
      <c r="F88" s="12" t="inlineStr">
        <is>
          <t>Merged</t>
        </is>
      </c>
      <c r="G88" s="12" t="inlineStr">
        <is>
          <t>2026-10-08</t>
        </is>
      </c>
      <c r="H88" s="12" t="inlineStr">
        <is>
          <t>2026-10-08</t>
        </is>
      </c>
      <c r="I88" s="12" t="inlineStr">
        <is>
          <t>-</t>
        </is>
      </c>
      <c r="J88" s="12" t="inlineStr">
        <is>
          <t>-</t>
        </is>
      </c>
      <c r="K88" s="12" t="inlineStr">
        <is>
          <t>Itself (merged to main)</t>
        </is>
      </c>
      <c r="L88" s="12" t="inlineStr">
        <is>
          <t>Re-release A-E after production has 0056/0057 by reverting this commit (a plain staging -&gt; main merge will not bring them back).</t>
        </is>
      </c>
    </row>
    <row r="89" ht="27" customFormat="1" customHeight="1" s="2">
      <c r="A89" s="34" t="inlineStr">
        <is>
          <t>88</t>
        </is>
      </c>
      <c r="B89" s="12" t="inlineStr">
        <is>
          <t>Runbook: stop the row-count checks going stale every release</t>
        </is>
      </c>
      <c r="C89" s="12" t="inlineStr">
        <is>
          <t>Docs / reports</t>
        </is>
      </c>
      <c r="D89" s="12" t="inlineStr">
        <is>
          <t>claude/confident-albattani-dqw1dk -&gt; main</t>
        </is>
      </c>
      <c r="E89" s="12" t="inlineStr">
        <is>
          <t>Production (main -&gt; gokesari.com)</t>
        </is>
      </c>
      <c r="F89" s="12" t="inlineStr">
        <is>
          <t>Merged</t>
        </is>
      </c>
      <c r="G89" s="12" t="inlineStr">
        <is>
          <t>2026-10-08</t>
        </is>
      </c>
      <c r="H89" s="12" t="inlineStr">
        <is>
          <t>2026-10-08</t>
        </is>
      </c>
      <c r="I89" s="12" t="inlineStr">
        <is>
          <t>PLT-006</t>
        </is>
      </c>
      <c r="J89" s="12" t="inlineStr">
        <is>
          <t>PLT-006</t>
        </is>
      </c>
      <c r="K89" s="12" t="inlineStr">
        <is>
          <t>Itself (merged to main)</t>
        </is>
      </c>
      <c r="L89" s="12" t="n"/>
    </row>
    <row r="90" ht="27" customFormat="1" customHeight="1" s="2">
      <c r="A90" s="34" t="inlineStr">
        <is>
          <t>89</t>
        </is>
      </c>
      <c r="B90" s="12" t="inlineStr">
        <is>
          <t>Event layer: real-time workflows, cron only as a safety net (test site)</t>
        </is>
      </c>
      <c r="C90" s="12" t="inlineStr">
        <is>
          <t>Feature</t>
        </is>
      </c>
      <c r="D90" s="12" t="inlineStr">
        <is>
          <t>claude/affectionate-albattani-texk4z -&gt; staging</t>
        </is>
      </c>
      <c r="E90" s="12" t="inlineStr">
        <is>
          <t>Test site (staging -&gt; test.gokesari.com)</t>
        </is>
      </c>
      <c r="F90" s="12" t="inlineStr">
        <is>
          <t>Merged</t>
        </is>
      </c>
      <c r="G90" s="12" t="inlineStr">
        <is>
          <t>2026-10-08</t>
        </is>
      </c>
      <c r="H90" s="12" t="inlineStr">
        <is>
          <t>2026-10-08</t>
        </is>
      </c>
      <c r="I90" s="12" t="inlineStr">
        <is>
          <t>NEW-028, NEW-029, NEW-030, NEW-031, NEW-032</t>
        </is>
      </c>
      <c r="J90" s="12" t="inlineStr">
        <is>
          <t>-</t>
        </is>
      </c>
      <c r="K90" s="12" t="inlineStr">
        <is>
          <t>Not yet (test site only)</t>
        </is>
      </c>
      <c r="L90" s="12" t="n"/>
    </row>
    <row r="91" ht="27" customFormat="1" customHeight="1" s="2">
      <c r="A91" s="34" t="inlineStr">
        <is>
          <t>90</t>
        </is>
      </c>
      <c r="B91" s="12" t="inlineStr">
        <is>
          <t>Automate test-database work: "Test database" workflow + shared migration lock</t>
        </is>
      </c>
      <c r="C91" s="12" t="inlineStr">
        <is>
          <t>DevOps / repo</t>
        </is>
      </c>
      <c r="D91" s="12" t="inlineStr">
        <is>
          <t>claude/affectionate-albattani-texk4z -&gt; staging</t>
        </is>
      </c>
      <c r="E91" s="12" t="inlineStr">
        <is>
          <t>Test site (staging -&gt; test.gokesari.com)</t>
        </is>
      </c>
      <c r="F91" s="12" t="inlineStr">
        <is>
          <t>Merged</t>
        </is>
      </c>
      <c r="G91" s="12" t="inlineStr">
        <is>
          <t>2026-10-08</t>
        </is>
      </c>
      <c r="H91" s="12" t="inlineStr">
        <is>
          <t>2026-10-08</t>
        </is>
      </c>
      <c r="I91" s="12" t="inlineStr">
        <is>
          <t>PLT-007, PLT-008</t>
        </is>
      </c>
      <c r="J91" s="12" t="inlineStr">
        <is>
          <t>-</t>
        </is>
      </c>
      <c r="K91" s="12" t="inlineStr">
        <is>
          <t>Not yet (test site only)</t>
        </is>
      </c>
      <c r="L91" s="12" t="n"/>
    </row>
    <row r="92" ht="27" customFormat="1" customHeight="1" s="2">
      <c r="A92" s="34" t="inlineStr">
        <is>
          <t>91</t>
        </is>
      </c>
      <c r="B92" s="12" t="inlineStr">
        <is>
          <t>Shop prepaid wallet + OTP-confirmed delivery (test site)</t>
        </is>
      </c>
      <c r="C92" s="12" t="inlineStr">
        <is>
          <t>Feature</t>
        </is>
      </c>
      <c r="D92" s="12" t="inlineStr">
        <is>
          <t>claude/compassionate-ritchie-d4zal1 -&gt; staging</t>
        </is>
      </c>
      <c r="E92" s="12" t="inlineStr">
        <is>
          <t>Test site (staging -&gt; test.gokesari.com)</t>
        </is>
      </c>
      <c r="F92" s="12" t="inlineStr">
        <is>
          <t>Merged</t>
        </is>
      </c>
      <c r="G92" s="12" t="inlineStr">
        <is>
          <t>2026-10-08</t>
        </is>
      </c>
      <c r="H92" s="12" t="inlineStr">
        <is>
          <t>2026-10-08</t>
        </is>
      </c>
      <c r="I92" s="12" t="inlineStr">
        <is>
          <t>NEW-033, NEW-035</t>
        </is>
      </c>
      <c r="J92" s="12" t="inlineStr">
        <is>
          <t>-</t>
        </is>
      </c>
      <c r="K92" s="12" t="inlineStr">
        <is>
          <t>#120</t>
        </is>
      </c>
      <c r="L92" s="12" t="n"/>
    </row>
    <row r="93" ht="27" customFormat="1" customHeight="1" s="2">
      <c r="A93" s="34" t="inlineStr">
        <is>
          <t>92</t>
        </is>
      </c>
      <c r="B93" s="12" t="inlineStr">
        <is>
          <t>Three modules: shop product media, accounting integration &amp; GST, shop self-registration (test site)</t>
        </is>
      </c>
      <c r="C93" s="12" t="inlineStr">
        <is>
          <t>Feature</t>
        </is>
      </c>
      <c r="D93" s="12" t="inlineStr">
        <is>
          <t>claude/laughing-mendel-ftwcgo -&gt; staging</t>
        </is>
      </c>
      <c r="E93" s="12" t="inlineStr">
        <is>
          <t>Test site (staging -&gt; test.gokesari.com)</t>
        </is>
      </c>
      <c r="F93" s="12" t="inlineStr">
        <is>
          <t>Merged</t>
        </is>
      </c>
      <c r="G93" s="12" t="inlineStr">
        <is>
          <t>2026-10-08</t>
        </is>
      </c>
      <c r="H93" s="12" t="inlineStr">
        <is>
          <t>2026-10-09</t>
        </is>
      </c>
      <c r="I93" s="12" t="inlineStr">
        <is>
          <t>NEW-036, NEW-037, NEW-038</t>
        </is>
      </c>
      <c r="J93" s="12" t="inlineStr">
        <is>
          <t>NEW-036, NEW-037, NEW-038</t>
        </is>
      </c>
      <c r="K93" s="12" t="inlineStr">
        <is>
          <t>#120</t>
        </is>
      </c>
      <c r="L93" s="12" t="inlineStr">
        <is>
          <t>Merged into staging 9 Oct 08:34 UTC; released to production in #120.</t>
        </is>
      </c>
    </row>
    <row r="94" ht="27" customFormat="1" customHeight="1" s="2">
      <c r="A94" s="34" t="inlineStr">
        <is>
          <t>93</t>
        </is>
      </c>
      <c r="B94" s="12" t="inlineStr">
        <is>
          <t>Production database workflow: by hand, from main, typed confirmation</t>
        </is>
      </c>
      <c r="C94" s="12" t="inlineStr">
        <is>
          <t>DevOps / repo</t>
        </is>
      </c>
      <c r="D94" s="12" t="inlineStr">
        <is>
          <t>claude/affectionate-albattani-texk4z -&gt; staging</t>
        </is>
      </c>
      <c r="E94" s="12" t="inlineStr">
        <is>
          <t>Test site (staging -&gt; test.gokesari.com)</t>
        </is>
      </c>
      <c r="F94" s="12" t="inlineStr">
        <is>
          <t>Merged</t>
        </is>
      </c>
      <c r="G94" s="12" t="inlineStr">
        <is>
          <t>2026-10-08</t>
        </is>
      </c>
      <c r="H94" s="12" t="inlineStr">
        <is>
          <t>2026-10-08</t>
        </is>
      </c>
      <c r="I94" s="12" t="inlineStr">
        <is>
          <t>PLT-009</t>
        </is>
      </c>
      <c r="J94" s="12" t="inlineStr">
        <is>
          <t>-</t>
        </is>
      </c>
      <c r="K94" s="12" t="inlineStr">
        <is>
          <t>#118 (workflow onto main) and #120</t>
        </is>
      </c>
      <c r="L94" s="12" t="inlineStr">
        <is>
          <t>On main since #118 (9 Oct); not runnable until the repository secrets are set.</t>
        </is>
      </c>
    </row>
    <row r="95" ht="27" customFormat="1" customHeight="1" s="2">
      <c r="A95" s="34" t="inlineStr">
        <is>
          <t>94</t>
        </is>
      </c>
      <c r="B95" s="12" t="inlineStr">
        <is>
          <t>Test database: switch the shop wallet on (1% commission) via the workflow</t>
        </is>
      </c>
      <c r="C95" s="12" t="inlineStr">
        <is>
          <t>Test data / settings</t>
        </is>
      </c>
      <c r="D95" s="12" t="inlineStr">
        <is>
          <t>claude/compassionate-ritchie-d4zal1 -&gt; staging</t>
        </is>
      </c>
      <c r="E95" s="12" t="inlineStr">
        <is>
          <t>Test site (staging -&gt; test.gokesari.com)</t>
        </is>
      </c>
      <c r="F95" s="12" t="inlineStr">
        <is>
          <t>Merged</t>
        </is>
      </c>
      <c r="G95" s="12" t="inlineStr">
        <is>
          <t>2026-10-08</t>
        </is>
      </c>
      <c r="H95" s="12" t="inlineStr">
        <is>
          <t>2026-10-08</t>
        </is>
      </c>
      <c r="I95" s="12" t="inlineStr">
        <is>
          <t>NEW-033, PLT-008</t>
        </is>
      </c>
      <c r="J95" s="12" t="inlineStr">
        <is>
          <t>-</t>
        </is>
      </c>
      <c r="K95" s="12" t="inlineStr">
        <is>
          <t>Test site only</t>
        </is>
      </c>
      <c r="L95" s="12" t="n"/>
    </row>
    <row r="96" ht="27" customFormat="1" customHeight="1" s="2">
      <c r="A96" s="34" t="inlineStr">
        <is>
          <t>95</t>
        </is>
      </c>
      <c r="B96" s="12" t="inlineStr">
        <is>
          <t>Test database: credit Kesari Dairy Farm ₹500 and Asmy Exports ₹1,000</t>
        </is>
      </c>
      <c r="C96" s="12" t="inlineStr">
        <is>
          <t>Test data / settings</t>
        </is>
      </c>
      <c r="D96" s="12" t="inlineStr">
        <is>
          <t>claude/compassionate-ritchie-d4zal1 -&gt; staging</t>
        </is>
      </c>
      <c r="E96" s="12" t="inlineStr">
        <is>
          <t>Test site (staging -&gt; test.gokesari.com)</t>
        </is>
      </c>
      <c r="F96" s="12" t="inlineStr">
        <is>
          <t>Merged</t>
        </is>
      </c>
      <c r="G96" s="12" t="inlineStr">
        <is>
          <t>2026-10-08</t>
        </is>
      </c>
      <c r="H96" s="12" t="inlineStr">
        <is>
          <t>2026-10-08</t>
        </is>
      </c>
      <c r="I96" s="12" t="inlineStr">
        <is>
          <t>PLT-008</t>
        </is>
      </c>
      <c r="J96" s="12" t="inlineStr">
        <is>
          <t>-</t>
        </is>
      </c>
      <c r="K96" s="12" t="inlineStr">
        <is>
          <t>Test site only</t>
        </is>
      </c>
      <c r="L96" s="12" t="n"/>
    </row>
    <row r="97" ht="27" customFormat="1" customHeight="1" s="2">
      <c r="A97" s="34" t="inlineStr">
        <is>
          <t>96</t>
        </is>
      </c>
      <c r="B97" s="12" t="inlineStr">
        <is>
          <t>Test wallet credits: Asmy Exports ₹1,000 and QA Test Bakery A ₹500</t>
        </is>
      </c>
      <c r="C97" s="12" t="inlineStr">
        <is>
          <t>Test data / settings</t>
        </is>
      </c>
      <c r="D97" s="12" t="inlineStr">
        <is>
          <t>claude/compassionate-ritchie-d4zal1 -&gt; staging</t>
        </is>
      </c>
      <c r="E97" s="12" t="inlineStr">
        <is>
          <t>Test site (staging -&gt; test.gokesari.com)</t>
        </is>
      </c>
      <c r="F97" s="12" t="inlineStr">
        <is>
          <t>Merged</t>
        </is>
      </c>
      <c r="G97" s="12" t="inlineStr">
        <is>
          <t>2026-10-08</t>
        </is>
      </c>
      <c r="H97" s="12" t="inlineStr">
        <is>
          <t>2026-10-08</t>
        </is>
      </c>
      <c r="I97" s="12" t="inlineStr">
        <is>
          <t>PLT-008</t>
        </is>
      </c>
      <c r="J97" s="12" t="inlineStr">
        <is>
          <t>-</t>
        </is>
      </c>
      <c r="K97" s="12" t="inlineStr">
        <is>
          <t>Test site only</t>
        </is>
      </c>
      <c r="L97" s="12" t="n"/>
    </row>
    <row r="98" ht="27" customFormat="1" customHeight="1" s="2">
      <c r="A98" s="34" t="inlineStr">
        <is>
          <t>97</t>
        </is>
      </c>
      <c r="B98" s="12" t="inlineStr">
        <is>
          <t>Test wallet credits: QA Test Bakery B ₹500</t>
        </is>
      </c>
      <c r="C98" s="12" t="inlineStr">
        <is>
          <t>Test data / settings</t>
        </is>
      </c>
      <c r="D98" s="12" t="inlineStr">
        <is>
          <t>claude/compassionate-ritchie-d4zal1 -&gt; staging</t>
        </is>
      </c>
      <c r="E98" s="12" t="inlineStr">
        <is>
          <t>Test site (staging -&gt; test.gokesari.com)</t>
        </is>
      </c>
      <c r="F98" s="12" t="inlineStr">
        <is>
          <t>Merged</t>
        </is>
      </c>
      <c r="G98" s="12" t="inlineStr">
        <is>
          <t>2026-10-08</t>
        </is>
      </c>
      <c r="H98" s="12" t="inlineStr">
        <is>
          <t>2026-10-08</t>
        </is>
      </c>
      <c r="I98" s="12" t="inlineStr">
        <is>
          <t>PLT-008</t>
        </is>
      </c>
      <c r="J98" s="12" t="inlineStr">
        <is>
          <t>-</t>
        </is>
      </c>
      <c r="K98" s="12" t="inlineStr">
        <is>
          <t>Test site only</t>
        </is>
      </c>
      <c r="L98" s="12" t="n"/>
    </row>
    <row r="99" ht="27" customFormat="1" customHeight="1" s="2">
      <c r="A99" s="34" t="inlineStr">
        <is>
          <t>98</t>
        </is>
      </c>
      <c r="B99" s="12" t="inlineStr">
        <is>
          <t>Shop wallet: ₹5/km delivery charge, no checkout below the minimum, commission back on refunds</t>
        </is>
      </c>
      <c r="C99" s="12" t="inlineStr">
        <is>
          <t>Feature</t>
        </is>
      </c>
      <c r="D99" s="12" t="inlineStr">
        <is>
          <t>claude/compassionate-ritchie-d4zal1 -&gt; staging</t>
        </is>
      </c>
      <c r="E99" s="12" t="inlineStr">
        <is>
          <t>Test site (staging -&gt; test.gokesari.com)</t>
        </is>
      </c>
      <c r="F99" s="12" t="inlineStr">
        <is>
          <t>Merged</t>
        </is>
      </c>
      <c r="G99" s="12" t="inlineStr">
        <is>
          <t>2026-10-08</t>
        </is>
      </c>
      <c r="H99" s="12" t="inlineStr">
        <is>
          <t>2026-10-08</t>
        </is>
      </c>
      <c r="I99" s="12" t="inlineStr">
        <is>
          <t>NEW-034</t>
        </is>
      </c>
      <c r="J99" s="12" t="inlineStr">
        <is>
          <t>-</t>
        </is>
      </c>
      <c r="K99" s="12" t="inlineStr">
        <is>
          <t>#120</t>
        </is>
      </c>
      <c r="L99" s="12" t="n"/>
    </row>
    <row r="100" ht="27" customFormat="1" customHeight="1" s="2">
      <c r="A100" s="34" t="inlineStr">
        <is>
          <t>99</t>
        </is>
      </c>
      <c r="B100" s="12" t="inlineStr">
        <is>
          <t>Test wallet credits: ₹5,000 to every shop onboarded by 8 Oct 2026 17:55 UTC</t>
        </is>
      </c>
      <c r="C100" s="12" t="inlineStr">
        <is>
          <t>Test data / settings</t>
        </is>
      </c>
      <c r="D100" s="12" t="inlineStr">
        <is>
          <t>claude/compassionate-ritchie-d4zal1 -&gt; staging</t>
        </is>
      </c>
      <c r="E100" s="12" t="inlineStr">
        <is>
          <t>Test site (staging -&gt; test.gokesari.com)</t>
        </is>
      </c>
      <c r="F100" s="12" t="inlineStr">
        <is>
          <t>Merged</t>
        </is>
      </c>
      <c r="G100" s="12" t="inlineStr">
        <is>
          <t>2026-10-08</t>
        </is>
      </c>
      <c r="H100" s="12" t="inlineStr">
        <is>
          <t>2026-10-08</t>
        </is>
      </c>
      <c r="I100" s="12" t="inlineStr">
        <is>
          <t>PLT-008</t>
        </is>
      </c>
      <c r="J100" s="12" t="inlineStr">
        <is>
          <t>-</t>
        </is>
      </c>
      <c r="K100" s="12" t="inlineStr">
        <is>
          <t>Test site only</t>
        </is>
      </c>
      <c r="L100" s="12" t="inlineStr">
        <is>
          <t>Merged 8 Oct 18:09 UTC: Rs 5,000 test-wallet credit to every shop approved by 8 Oct 17:55 UTC (test site only).</t>
        </is>
      </c>
    </row>
    <row r="101" ht="39" customFormat="1" customHeight="1" s="2">
      <c r="A101" s="34" t="inlineStr">
        <is>
          <t>100</t>
        </is>
      </c>
      <c r="B101" s="12" t="inlineStr">
        <is>
          <t>Android and iPhone app for gokesari.com (mobile/)</t>
        </is>
      </c>
      <c r="C101" s="12" t="inlineStr">
        <is>
          <t>Feature</t>
        </is>
      </c>
      <c r="D101" s="12" t="inlineStr">
        <is>
          <t>claude/fervent-carson-mra5my -&gt; main</t>
        </is>
      </c>
      <c r="E101" s="12" t="inlineStr">
        <is>
          <t>Production (main -&gt; gokesari.com)</t>
        </is>
      </c>
      <c r="F101" s="12" t="inlineStr">
        <is>
          <t>Merged</t>
        </is>
      </c>
      <c r="G101" s="12" t="inlineStr">
        <is>
          <t>2026-10-08</t>
        </is>
      </c>
      <c r="H101" s="12" t="inlineStr">
        <is>
          <t>2026-10-09</t>
        </is>
      </c>
      <c r="I101" s="12" t="inlineStr">
        <is>
          <t>NEW-043, NEW-044, NEW-045, PLT-010</t>
        </is>
      </c>
      <c r="J101" s="12" t="inlineStr">
        <is>
          <t>NEW-044, NEW-045</t>
        </is>
      </c>
      <c r="K101" s="12" t="inlineStr">
        <is>
          <t>Itself (merged to main)</t>
        </is>
      </c>
      <c r="L101" s="12" t="inlineStr">
        <is>
          <t>Merged 9 Oct 04:19 UTC. Website parts live on gokesari.com; the app itself is not in any store yet (Android APK test builds only).</t>
        </is>
      </c>
    </row>
    <row r="102" ht="27" customFormat="1" customHeight="1" s="2">
      <c r="A102" s="34" t="inlineStr">
        <is>
          <t>101</t>
        </is>
      </c>
      <c r="B102" s="12" t="inlineStr">
        <is>
          <t>Feature, process-flow and PR status workbook (8 Oct 2026)</t>
        </is>
      </c>
      <c r="C102" s="12" t="inlineStr">
        <is>
          <t>Docs / reports</t>
        </is>
      </c>
      <c r="D102" s="12" t="inlineStr">
        <is>
          <t>claude/sweet-volta-ryv75e -&gt; main</t>
        </is>
      </c>
      <c r="E102" s="12" t="inlineStr">
        <is>
          <t>Production (main -&gt; gokesari.com)</t>
        </is>
      </c>
      <c r="F102" s="12" t="inlineStr">
        <is>
          <t>Merged</t>
        </is>
      </c>
      <c r="G102" s="12" t="inlineStr">
        <is>
          <t>2026-10-08</t>
        </is>
      </c>
      <c r="H102" s="12" t="inlineStr">
        <is>
          <t>2026-10-08</t>
        </is>
      </c>
      <c r="I102" s="12" t="inlineStr">
        <is>
          <t>-</t>
        </is>
      </c>
      <c r="J102" s="12" t="inlineStr">
        <is>
          <t>-</t>
        </is>
      </c>
      <c r="K102" s="12" t="inlineStr">
        <is>
          <t>Itself (merged to main)</t>
        </is>
      </c>
      <c r="L102" s="12" t="inlineStr">
        <is>
          <t>The 8 Oct version of this workbook.</t>
        </is>
      </c>
    </row>
    <row r="103" ht="51" customFormat="1" customHeight="1" s="2">
      <c r="A103" s="34" t="inlineStr">
        <is>
          <t>102</t>
        </is>
      </c>
      <c r="B103" s="12" t="inlineStr">
        <is>
          <t>Four features: delivery options &amp; scheduling, legal documents, bank accounts with Rs 1 verification, mandatory referral code</t>
        </is>
      </c>
      <c r="C103" s="12" t="inlineStr">
        <is>
          <t>Feature</t>
        </is>
      </c>
      <c r="D103" s="12" t="inlineStr">
        <is>
          <t>claude/busy-euler-5ipjns -&gt; staging</t>
        </is>
      </c>
      <c r="E103" s="12" t="inlineStr">
        <is>
          <t>Test site (staging -&gt; test.gokesari.com)</t>
        </is>
      </c>
      <c r="F103" s="12" t="inlineStr">
        <is>
          <t>Merged</t>
        </is>
      </c>
      <c r="G103" s="12" t="inlineStr">
        <is>
          <t>2026-10-08</t>
        </is>
      </c>
      <c r="H103" s="12" t="inlineStr">
        <is>
          <t>2026-10-08</t>
        </is>
      </c>
      <c r="I103" s="12" t="inlineStr">
        <is>
          <t>NEW-039, NEW-040, NEW-041, NEW-042, PLT-011</t>
        </is>
      </c>
      <c r="J103" s="12" t="inlineStr">
        <is>
          <t>NEW-039, NEW-040, NEW-041, NEW-042 (switched off)</t>
        </is>
      </c>
      <c r="K103" s="12" t="inlineStr">
        <is>
          <t>#120</t>
        </is>
      </c>
      <c r="L103" s="12" t="inlineStr">
        <is>
          <t>Migrations 0061-0064 (renumbered after staging's 0060); each feature a rule, off by default, on for test.</t>
        </is>
      </c>
    </row>
    <row r="104" ht="51" customFormat="1" customHeight="1" s="2">
      <c r="A104" s="34" t="inlineStr">
        <is>
          <t>103</t>
        </is>
      </c>
      <c r="B104" s="12" t="inlineStr">
        <is>
          <t>Four features: fixes from the staging run, sandbox payment tooling, test results</t>
        </is>
      </c>
      <c r="C104" s="12" t="inlineStr">
        <is>
          <t>Fix / hotfix</t>
        </is>
      </c>
      <c r="D104" s="12" t="inlineStr">
        <is>
          <t>claude/busy-euler-5ipjns -&gt; staging</t>
        </is>
      </c>
      <c r="E104" s="12" t="inlineStr">
        <is>
          <t>Test site (staging -&gt; test.gokesari.com)</t>
        </is>
      </c>
      <c r="F104" s="12" t="inlineStr">
        <is>
          <t>Merged</t>
        </is>
      </c>
      <c r="G104" s="12" t="inlineStr">
        <is>
          <t>2026-10-08</t>
        </is>
      </c>
      <c r="H104" s="12" t="inlineStr">
        <is>
          <t>2026-10-08</t>
        </is>
      </c>
      <c r="I104" s="12" t="inlineStr">
        <is>
          <t>NEW-039, NEW-040, NEW-041, NEW-042, PLT-011, QA-004</t>
        </is>
      </c>
      <c r="J104" s="12" t="inlineStr">
        <is>
          <t>NEW-039, NEW-040, NEW-041, NEW-042 (switched off)</t>
        </is>
      </c>
      <c r="K104" s="12" t="inlineStr">
        <is>
          <t>#120</t>
        </is>
      </c>
      <c r="L104" s="12" t="inlineStr">
        <is>
          <t>Fixes S-1 (repeat-safe mark ready / handovers), S-2 (Rs 1 refund status), S-3 (wording); TEST_RESULTS.md.</t>
        </is>
      </c>
    </row>
    <row r="105" ht="39" customFormat="1" customHeight="1" s="2">
      <c r="A105" s="34" t="inlineStr">
        <is>
          <t>104</t>
        </is>
      </c>
      <c r="B105" s="12" t="inlineStr">
        <is>
          <t>Four features: re-check of the follow-up fixes on test, email sending limit (docs)</t>
        </is>
      </c>
      <c r="C105" s="12" t="inlineStr">
        <is>
          <t>Docs / reports</t>
        </is>
      </c>
      <c r="D105" s="12" t="inlineStr">
        <is>
          <t>claude/busy-euler-5ipjns -&gt; staging</t>
        </is>
      </c>
      <c r="E105" s="12" t="inlineStr">
        <is>
          <t>Test site (staging -&gt; test.gokesari.com)</t>
        </is>
      </c>
      <c r="F105" s="12" t="inlineStr">
        <is>
          <t>Merged</t>
        </is>
      </c>
      <c r="G105" s="12" t="inlineStr">
        <is>
          <t>2026-10-08</t>
        </is>
      </c>
      <c r="H105" s="12" t="inlineStr">
        <is>
          <t>2026-10-08</t>
        </is>
      </c>
      <c r="I105" s="12" t="inlineStr">
        <is>
          <t>QA-004, GAP-009</t>
        </is>
      </c>
      <c r="J105" s="12" t="inlineStr">
        <is>
          <t>-</t>
        </is>
      </c>
      <c r="K105" s="12" t="inlineStr">
        <is>
          <t>Not yet (test site only)</t>
        </is>
      </c>
      <c r="L105" s="12" t="inlineStr">
        <is>
          <t>Docs only. Note: CI on the staging merge commit (76e2cc5) failed in 'Unit and integration tests' although the same tests passed on the PR head - to investigate / re-run.</t>
        </is>
      </c>
    </row>
    <row r="106" ht="27" customFormat="1" customHeight="1" s="2">
      <c r="A106" s="34" t="inlineStr">
        <is>
          <t>105</t>
        </is>
      </c>
      <c r="B106" s="12" t="inlineStr">
        <is>
          <t>Feature, process-flow and PR status workbook (9 Oct 2026)</t>
        </is>
      </c>
      <c r="C106" s="12" t="inlineStr">
        <is>
          <t>Docs / reports</t>
        </is>
      </c>
      <c r="D106" s="12" t="inlineStr">
        <is>
          <t>claude/peaceful-pascal-jai8w2 -&gt; main</t>
        </is>
      </c>
      <c r="E106" s="12" t="inlineStr">
        <is>
          <t>Production (main -&gt; gokesari.com)</t>
        </is>
      </c>
      <c r="F106" s="12" t="inlineStr">
        <is>
          <t>Merged</t>
        </is>
      </c>
      <c r="G106" s="12" t="inlineStr">
        <is>
          <t>2026-10-09</t>
        </is>
      </c>
      <c r="H106" s="12" t="inlineStr">
        <is>
          <t>2026-10-09</t>
        </is>
      </c>
      <c r="I106" s="12" t="inlineStr">
        <is>
          <t>-</t>
        </is>
      </c>
      <c r="J106" s="12" t="inlineStr">
        <is>
          <t>-</t>
        </is>
      </c>
      <c r="K106" s="12" t="inlineStr">
        <is>
          <t>Itself (merged to main)</t>
        </is>
      </c>
      <c r="L106" s="12" t="inlineStr">
        <is>
          <t>The morning version of this workbook.</t>
        </is>
      </c>
    </row>
    <row r="107" ht="27" customFormat="1" customHeight="1" s="2">
      <c r="A107" s="34" t="inlineStr">
        <is>
          <t>106</t>
        </is>
      </c>
      <c r="B107" s="12" t="inlineStr">
        <is>
          <t>Owner's decisions: pickup refunds the delivery fee, refunds to bank, referral code at customer registration</t>
        </is>
      </c>
      <c r="C107" s="12" t="inlineStr">
        <is>
          <t>Feature</t>
        </is>
      </c>
      <c r="D107" s="12" t="inlineStr">
        <is>
          <t>claude/busy-euler-5ipjns -&gt; staging</t>
        </is>
      </c>
      <c r="E107" s="12" t="inlineStr">
        <is>
          <t>Test site (staging -&gt; test.gokesari.com)</t>
        </is>
      </c>
      <c r="F107" s="12" t="inlineStr">
        <is>
          <t>Merged</t>
        </is>
      </c>
      <c r="G107" s="12" t="inlineStr">
        <is>
          <t>2026-10-09</t>
        </is>
      </c>
      <c r="H107" s="12" t="inlineStr">
        <is>
          <t>2026-10-09</t>
        </is>
      </c>
      <c r="I107" s="12" t="inlineStr">
        <is>
          <t>NEW-039, NEW-048, NEW-049</t>
        </is>
      </c>
      <c r="J107" s="12" t="inlineStr">
        <is>
          <t>NEW-048, NEW-049 (switched off)</t>
        </is>
      </c>
      <c r="K107" s="12" t="inlineStr">
        <is>
          <t>#120</t>
        </is>
      </c>
      <c r="L107" s="12" t="inlineStr">
        <is>
          <t>Behind business rules, off by default.</t>
        </is>
      </c>
    </row>
    <row r="108" ht="27" customFormat="1" customHeight="1" s="2">
      <c r="A108" s="34" t="inlineStr">
        <is>
          <t>107</t>
        </is>
      </c>
      <c r="B108" s="12" t="inlineStr">
        <is>
          <t>CLAUDE.md: standard folders for GoKesari reports and test results</t>
        </is>
      </c>
      <c r="C108" s="12" t="inlineStr">
        <is>
          <t>Docs / reports</t>
        </is>
      </c>
      <c r="D108" s="12" t="inlineStr">
        <is>
          <t>claude/peaceful-pascal-jai8w2 -&gt; main</t>
        </is>
      </c>
      <c r="E108" s="12" t="inlineStr">
        <is>
          <t>Production (main -&gt; gokesari.com)</t>
        </is>
      </c>
      <c r="F108" s="12" t="inlineStr">
        <is>
          <t>Merged</t>
        </is>
      </c>
      <c r="G108" s="12" t="inlineStr">
        <is>
          <t>2026-10-09</t>
        </is>
      </c>
      <c r="H108" s="12" t="inlineStr">
        <is>
          <t>2026-10-09</t>
        </is>
      </c>
      <c r="I108" s="12" t="inlineStr">
        <is>
          <t>-</t>
        </is>
      </c>
      <c r="J108" s="12" t="inlineStr">
        <is>
          <t>-</t>
        </is>
      </c>
      <c r="K108" s="12" t="inlineStr">
        <is>
          <t>Itself (merged to main)</t>
        </is>
      </c>
      <c r="L108" s="12" t="n"/>
    </row>
    <row r="109" ht="27" customFormat="1" customHeight="1" s="2">
      <c r="A109" s="34" t="inlineStr">
        <is>
          <t>108</t>
        </is>
      </c>
      <c r="B109" s="12" t="inlineStr">
        <is>
          <t>Four features: test results for the owner's decisions (docs)</t>
        </is>
      </c>
      <c r="C109" s="12" t="inlineStr">
        <is>
          <t>Docs / reports</t>
        </is>
      </c>
      <c r="D109" s="12" t="inlineStr">
        <is>
          <t>claude/busy-euler-5ipjns -&gt; staging</t>
        </is>
      </c>
      <c r="E109" s="12" t="inlineStr">
        <is>
          <t>Test site (staging -&gt; test.gokesari.com)</t>
        </is>
      </c>
      <c r="F109" s="12" t="inlineStr">
        <is>
          <t>Merged</t>
        </is>
      </c>
      <c r="G109" s="12" t="inlineStr">
        <is>
          <t>2026-10-09</t>
        </is>
      </c>
      <c r="H109" s="12" t="inlineStr">
        <is>
          <t>2026-10-09</t>
        </is>
      </c>
      <c r="I109" s="12" t="inlineStr">
        <is>
          <t>QA-004</t>
        </is>
      </c>
      <c r="J109" s="12" t="inlineStr">
        <is>
          <t>-</t>
        </is>
      </c>
      <c r="K109" s="12" t="inlineStr">
        <is>
          <t>#120</t>
        </is>
      </c>
      <c r="L109" s="12" t="inlineStr">
        <is>
          <t>Docs only.</t>
        </is>
      </c>
    </row>
    <row r="110" ht="27" customFormat="1" customHeight="1" s="2">
      <c r="A110" s="34" t="inlineStr">
        <is>
          <t>109</t>
        </is>
      </c>
      <c r="B110" s="12" t="inlineStr">
        <is>
          <t>Four features: owner's second-round decisions (blocked shops show as paused, mandatory customer referral code)</t>
        </is>
      </c>
      <c r="C110" s="12" t="inlineStr">
        <is>
          <t>Feature</t>
        </is>
      </c>
      <c r="D110" s="12" t="inlineStr">
        <is>
          <t>claude/busy-euler-5ipjns -&gt; staging</t>
        </is>
      </c>
      <c r="E110" s="12" t="inlineStr">
        <is>
          <t>Test site (staging -&gt; test.gokesari.com)</t>
        </is>
      </c>
      <c r="F110" s="12" t="inlineStr">
        <is>
          <t>Merged</t>
        </is>
      </c>
      <c r="G110" s="12" t="inlineStr">
        <is>
          <t>2026-10-09</t>
        </is>
      </c>
      <c r="H110" s="12" t="inlineStr">
        <is>
          <t>2026-10-09</t>
        </is>
      </c>
      <c r="I110" s="12" t="inlineStr">
        <is>
          <t>NEW-040, NEW-048</t>
        </is>
      </c>
      <c r="J110" s="12" t="inlineStr">
        <is>
          <t>NEW-040, NEW-048 (switched off)</t>
        </is>
      </c>
      <c r="K110" s="12" t="inlineStr">
        <is>
          <t>#120</t>
        </is>
      </c>
      <c r="L110" s="12" t="inlineStr">
        <is>
          <t>Decisions O-4, O-5; migration 0072.</t>
        </is>
      </c>
    </row>
    <row r="111" ht="27" customFormat="1" customHeight="1" s="2">
      <c r="A111" s="34" t="inlineStr">
        <is>
          <t>110</t>
        </is>
      </c>
      <c r="B111" s="12" t="inlineStr">
        <is>
          <t>Staging-run fixes: repeated customer code request; paused shops read 'Not taking new orders'</t>
        </is>
      </c>
      <c r="C111" s="12" t="inlineStr">
        <is>
          <t>Fix / hotfix</t>
        </is>
      </c>
      <c r="D111" s="12" t="inlineStr">
        <is>
          <t>claude/busy-euler-5ipjns -&gt; staging</t>
        </is>
      </c>
      <c r="E111" s="12" t="inlineStr">
        <is>
          <t>Test site (staging -&gt; test.gokesari.com)</t>
        </is>
      </c>
      <c r="F111" s="12" t="inlineStr">
        <is>
          <t>Merged</t>
        </is>
      </c>
      <c r="G111" s="12" t="inlineStr">
        <is>
          <t>2026-10-09</t>
        </is>
      </c>
      <c r="H111" s="12" t="inlineStr">
        <is>
          <t>2026-10-09</t>
        </is>
      </c>
      <c r="I111" s="12" t="inlineStr">
        <is>
          <t>NEW-040, NEW-048</t>
        </is>
      </c>
      <c r="J111" s="12" t="inlineStr">
        <is>
          <t>NEW-040, NEW-048 (switched off)</t>
        </is>
      </c>
      <c r="K111" s="12" t="inlineStr">
        <is>
          <t>#120</t>
        </is>
      </c>
      <c r="L111" s="12" t="inlineStr">
        <is>
          <t>Fixes S-6, S-7.</t>
        </is>
      </c>
    </row>
    <row r="112" ht="27" customFormat="1" customHeight="1" s="2">
      <c r="A112" s="34" t="inlineStr">
        <is>
          <t>111</t>
        </is>
      </c>
      <c r="B112" s="12" t="inlineStr">
        <is>
          <t>Four features: second-round test results; approved refunds-to-bank wording (O-8)</t>
        </is>
      </c>
      <c r="C112" s="12" t="inlineStr">
        <is>
          <t>Improvement</t>
        </is>
      </c>
      <c r="D112" s="12" t="inlineStr">
        <is>
          <t>claude/busy-euler-5ipjns -&gt; staging</t>
        </is>
      </c>
      <c r="E112" s="12" t="inlineStr">
        <is>
          <t>Test site (staging -&gt; test.gokesari.com)</t>
        </is>
      </c>
      <c r="F112" s="12" t="inlineStr">
        <is>
          <t>Merged</t>
        </is>
      </c>
      <c r="G112" s="12" t="inlineStr">
        <is>
          <t>2026-10-09</t>
        </is>
      </c>
      <c r="H112" s="12" t="inlineStr">
        <is>
          <t>2026-10-09</t>
        </is>
      </c>
      <c r="I112" s="12" t="inlineStr">
        <is>
          <t>NEW-049, QA-004</t>
        </is>
      </c>
      <c r="J112" s="12" t="inlineStr">
        <is>
          <t>NEW-049 (switched off)</t>
        </is>
      </c>
      <c r="K112" s="12" t="inlineStr">
        <is>
          <t>#120</t>
        </is>
      </c>
      <c r="L112" s="12" t="n"/>
    </row>
    <row r="113" ht="27" customFormat="1" customHeight="1" s="2">
      <c r="A113" s="34" t="inlineStr">
        <is>
          <t>112</t>
        </is>
      </c>
      <c r="B113" s="12" t="inlineStr">
        <is>
          <t>Tile Board home screens for customer, shop owner, admin and operator</t>
        </is>
      </c>
      <c r="C113" s="12" t="inlineStr">
        <is>
          <t>Feature</t>
        </is>
      </c>
      <c r="D113" s="12" t="inlineStr">
        <is>
          <t>claude/serene-gates-7cymxj -&gt; staging</t>
        </is>
      </c>
      <c r="E113" s="12" t="inlineStr">
        <is>
          <t>Test site (staging -&gt; test.gokesari.com)</t>
        </is>
      </c>
      <c r="F113" s="12" t="inlineStr">
        <is>
          <t>Merged</t>
        </is>
      </c>
      <c r="G113" s="12" t="inlineStr">
        <is>
          <t>2026-10-09</t>
        </is>
      </c>
      <c r="H113" s="12" t="inlineStr">
        <is>
          <t>2026-10-09</t>
        </is>
      </c>
      <c r="I113" s="12" t="inlineStr">
        <is>
          <t>NEW-046, NEW-047, NAV-001, NAV-006, NAV-017</t>
        </is>
      </c>
      <c r="J113" s="12" t="inlineStr">
        <is>
          <t>NEW-046, NEW-047</t>
        </is>
      </c>
      <c r="K113" s="12" t="inlineStr">
        <is>
          <t>#120</t>
        </is>
      </c>
      <c r="L113" s="12" t="inlineStr">
        <is>
          <t>Approved design 'Theme 1 Tile Board'; 29 new unit tests; no migrations.</t>
        </is>
      </c>
    </row>
    <row r="114" ht="27" customFormat="1" customHeight="1" s="2">
      <c r="A114" s="34" t="inlineStr">
        <is>
          <t>113</t>
        </is>
      </c>
      <c r="B114" s="12" t="inlineStr">
        <is>
          <t>Cashfree sandbox test data for staging payment tests (CLAUDE.md + docs)</t>
        </is>
      </c>
      <c r="C114" s="12" t="inlineStr">
        <is>
          <t>Docs / reports</t>
        </is>
      </c>
      <c r="D114" s="12" t="inlineStr">
        <is>
          <t>claude/busy-euler-5ipjns -&gt; staging</t>
        </is>
      </c>
      <c r="E114" s="12" t="inlineStr">
        <is>
          <t>Test site (staging -&gt; test.gokesari.com)</t>
        </is>
      </c>
      <c r="F114" s="12" t="inlineStr">
        <is>
          <t>Merged</t>
        </is>
      </c>
      <c r="G114" s="12" t="inlineStr">
        <is>
          <t>2026-10-09</t>
        </is>
      </c>
      <c r="H114" s="12" t="inlineStr">
        <is>
          <t>2026-10-09</t>
        </is>
      </c>
      <c r="I114" s="12" t="inlineStr">
        <is>
          <t>-</t>
        </is>
      </c>
      <c r="J114" s="12" t="inlineStr">
        <is>
          <t>-</t>
        </is>
      </c>
      <c r="K114" s="12" t="inlineStr">
        <is>
          <t>#120</t>
        </is>
      </c>
      <c r="L114" s="12" t="inlineStr">
        <is>
          <t>Docs only.</t>
        </is>
      </c>
    </row>
    <row r="115" ht="27" customFormat="1" customHeight="1" s="2">
      <c r="A115" s="34" t="inlineStr">
        <is>
          <t>114</t>
        </is>
      </c>
      <c r="B115" s="12" t="inlineStr">
        <is>
          <t>Tile Board: fit the app's shorter screen; test-site results</t>
        </is>
      </c>
      <c r="C115" s="12" t="inlineStr">
        <is>
          <t>Improvement</t>
        </is>
      </c>
      <c r="D115" s="12" t="inlineStr">
        <is>
          <t>claude/serene-gates-7cymxj -&gt; staging</t>
        </is>
      </c>
      <c r="E115" s="12" t="inlineStr">
        <is>
          <t>Test site (staging -&gt; test.gokesari.com)</t>
        </is>
      </c>
      <c r="F115" s="12" t="inlineStr">
        <is>
          <t>Merged</t>
        </is>
      </c>
      <c r="G115" s="12" t="inlineStr">
        <is>
          <t>2026-10-09</t>
        </is>
      </c>
      <c r="H115" s="12" t="inlineStr">
        <is>
          <t>2026-10-09</t>
        </is>
      </c>
      <c r="I115" s="12" t="inlineStr">
        <is>
          <t>NEW-046</t>
        </is>
      </c>
      <c r="J115" s="12" t="inlineStr">
        <is>
          <t>NEW-046</t>
        </is>
      </c>
      <c r="K115" s="12" t="inlineStr">
        <is>
          <t>#120</t>
        </is>
      </c>
      <c r="L115" s="12" t="inlineStr">
        <is>
          <t>Phone screens under 760px tall (the app's WebView).</t>
        </is>
      </c>
    </row>
    <row r="116" ht="27" customFormat="1" customHeight="1" s="2">
      <c r="A116" s="34" t="inlineStr">
        <is>
          <t>115</t>
        </is>
      </c>
      <c r="B116" s="12" t="inlineStr">
        <is>
          <t>O-7: bank check with Cashfree's Verification Suite; staging vs main report</t>
        </is>
      </c>
      <c r="C116" s="12" t="inlineStr">
        <is>
          <t>Feature</t>
        </is>
      </c>
      <c r="D116" s="12" t="inlineStr">
        <is>
          <t>claude/busy-euler-5ipjns -&gt; staging</t>
        </is>
      </c>
      <c r="E116" s="12" t="inlineStr">
        <is>
          <t>Test site (staging -&gt; test.gokesari.com)</t>
        </is>
      </c>
      <c r="F116" s="12" t="inlineStr">
        <is>
          <t>Merged</t>
        </is>
      </c>
      <c r="G116" s="12" t="inlineStr">
        <is>
          <t>2026-10-09</t>
        </is>
      </c>
      <c r="H116" s="12" t="inlineStr">
        <is>
          <t>2026-10-09</t>
        </is>
      </c>
      <c r="I116" s="12" t="inlineStr">
        <is>
          <t>NEW-050</t>
        </is>
      </c>
      <c r="J116" s="12" t="inlineStr">
        <is>
          <t>NEW-050 (switched off)</t>
        </is>
      </c>
      <c r="K116" s="12" t="inlineStr">
        <is>
          <t>#120</t>
        </is>
      </c>
      <c r="L116" s="12" t="inlineStr">
        <is>
          <t>Migration 0073.</t>
        </is>
      </c>
    </row>
    <row r="117" ht="51" customFormat="1" customHeight="1" s="2">
      <c r="A117" s="34" t="inlineStr">
        <is>
          <t>116</t>
        </is>
      </c>
      <c r="B117" s="12" t="inlineStr">
        <is>
          <t>Merge main into staging (mobile app work), keeping release #86</t>
        </is>
      </c>
      <c r="C117" s="12" t="inlineStr">
        <is>
          <t>DevOps / repo</t>
        </is>
      </c>
      <c r="D117" s="12" t="inlineStr">
        <is>
          <t>claude/serene-gates-7cymxj -&gt; staging</t>
        </is>
      </c>
      <c r="E117" s="12" t="inlineStr">
        <is>
          <t>Test site (staging -&gt; test.gokesari.com)</t>
        </is>
      </c>
      <c r="F117" s="12" t="inlineStr">
        <is>
          <t>Merged</t>
        </is>
      </c>
      <c r="G117" s="12" t="inlineStr">
        <is>
          <t>2026-10-09</t>
        </is>
      </c>
      <c r="H117" s="12" t="inlineStr">
        <is>
          <t>2026-10-09</t>
        </is>
      </c>
      <c r="I117" s="12" t="inlineStr">
        <is>
          <t>NEW-043, NEW-044, NEW-045, NEW-046</t>
        </is>
      </c>
      <c r="J117" s="12" t="inlineStr">
        <is>
          <t>-</t>
        </is>
      </c>
      <c r="K117" s="12" t="inlineStr">
        <is>
          <t>#120</t>
        </is>
      </c>
      <c r="L117" s="12" t="inlineStr">
        <is>
          <t>Undid the #86 revert (e16dd6d) before merging main, so staging kept every feature; removed the 10 staging-&gt;main conflicts. Also added /delivery/ and /disputes to the app's link list.</t>
        </is>
      </c>
    </row>
    <row r="118" ht="27" customFormat="1" customHeight="1" s="2">
      <c r="A118" s="34" t="inlineStr">
        <is>
          <t>117</t>
        </is>
      </c>
      <c r="B118" s="12" t="inlineStr">
        <is>
          <t>O-7: accept Cashfree's own key names; staging check results</t>
        </is>
      </c>
      <c r="C118" s="12" t="inlineStr">
        <is>
          <t>Fix / hotfix</t>
        </is>
      </c>
      <c r="D118" s="12" t="inlineStr">
        <is>
          <t>claude/busy-euler-5ipjns -&gt; staging</t>
        </is>
      </c>
      <c r="E118" s="12" t="inlineStr">
        <is>
          <t>Test site (staging -&gt; test.gokesari.com)</t>
        </is>
      </c>
      <c r="F118" s="12" t="inlineStr">
        <is>
          <t>Merged</t>
        </is>
      </c>
      <c r="G118" s="12" t="inlineStr">
        <is>
          <t>2026-10-09</t>
        </is>
      </c>
      <c r="H118" s="12" t="inlineStr">
        <is>
          <t>2026-10-09</t>
        </is>
      </c>
      <c r="I118" s="12" t="inlineStr">
        <is>
          <t>NEW-050</t>
        </is>
      </c>
      <c r="J118" s="12" t="inlineStr">
        <is>
          <t>NEW-050 (switched off)</t>
        </is>
      </c>
      <c r="K118" s="12" t="inlineStr">
        <is>
          <t>#120</t>
        </is>
      </c>
      <c r="L118" s="12" t="n"/>
    </row>
    <row r="119" ht="27" customFormat="1" customHeight="1" s="2">
      <c r="A119" s="34" t="inlineStr">
        <is>
          <t>118</t>
        </is>
      </c>
      <c r="B119" s="12" t="inlineStr">
        <is>
          <t>Production database workflow onto main (no application change)</t>
        </is>
      </c>
      <c r="C119" s="12" t="inlineStr">
        <is>
          <t>DevOps / repo</t>
        </is>
      </c>
      <c r="D119" s="12" t="inlineStr">
        <is>
          <t>claude/serene-gates-7cymxj -&gt; main</t>
        </is>
      </c>
      <c r="E119" s="12" t="inlineStr">
        <is>
          <t>Production (main -&gt; gokesari.com)</t>
        </is>
      </c>
      <c r="F119" s="12" t="inlineStr">
        <is>
          <t>Merged</t>
        </is>
      </c>
      <c r="G119" s="12" t="inlineStr">
        <is>
          <t>2026-10-09</t>
        </is>
      </c>
      <c r="H119" s="12" t="inlineStr">
        <is>
          <t>2026-10-09</t>
        </is>
      </c>
      <c r="I119" s="12" t="inlineStr">
        <is>
          <t>PLT-009</t>
        </is>
      </c>
      <c r="J119" s="12" t="inlineStr">
        <is>
          <t>PLT-009</t>
        </is>
      </c>
      <c r="K119" s="12" t="inlineStr">
        <is>
          <t>Itself (merged to main)</t>
        </is>
      </c>
      <c r="L119" s="12" t="inlineStr">
        <is>
          <t>Workflow, scripts and runbook only; gokesari.com redeployed with unchanged code.</t>
        </is>
      </c>
    </row>
    <row r="120" ht="27" customFormat="1" customHeight="1" s="2">
      <c r="A120" s="34" t="inlineStr">
        <is>
          <t>119</t>
        </is>
      </c>
      <c r="B120" s="12" t="inlineStr">
        <is>
          <t>Production database workflow on main (tooling only)</t>
        </is>
      </c>
      <c r="C120" s="12" t="inlineStr">
        <is>
          <t>DevOps / repo</t>
        </is>
      </c>
      <c r="D120" s="12" t="inlineStr">
        <is>
          <t>claude/busy-euler-5ipjns -&gt; main</t>
        </is>
      </c>
      <c r="E120" s="12" t="inlineStr">
        <is>
          <t>Production (main -&gt; gokesari.com)</t>
        </is>
      </c>
      <c r="F120" s="12" t="inlineStr">
        <is>
          <t>Closed - not merged</t>
        </is>
      </c>
      <c r="G120" s="12" t="inlineStr">
        <is>
          <t>2026-10-09</t>
        </is>
      </c>
      <c r="H120" s="12" t="inlineStr">
        <is>
          <t>2026-10-09</t>
        </is>
      </c>
      <c r="I120" s="12" t="inlineStr">
        <is>
          <t>PLT-009</t>
        </is>
      </c>
      <c r="J120" s="12" t="inlineStr">
        <is>
          <t>-</t>
        </is>
      </c>
      <c r="K120" s="12" t="inlineStr">
        <is>
          <t>-</t>
        </is>
      </c>
      <c r="L120" s="12" t="inlineStr">
        <is>
          <t>Duplicate of #118; closed.</t>
        </is>
      </c>
    </row>
    <row r="121" ht="39" customFormat="1" customHeight="1" s="2">
      <c r="A121" s="34" t="inlineStr">
        <is>
          <t>120</t>
        </is>
      </c>
      <c r="B121" s="12" t="inlineStr">
        <is>
          <t>Release: staging -&gt; main (gokesari.com), migrations 0056-0073 via MIGRATE_ON_BUILD</t>
        </is>
      </c>
      <c r="C121" s="12" t="inlineStr">
        <is>
          <t>Release (staging -&gt; main)</t>
        </is>
      </c>
      <c r="D121" s="12" t="inlineStr">
        <is>
          <t>staging -&gt; main</t>
        </is>
      </c>
      <c r="E121" s="12" t="inlineStr">
        <is>
          <t>Production (main -&gt; gokesari.com)</t>
        </is>
      </c>
      <c r="F121" s="12" t="inlineStr">
        <is>
          <t>Merged</t>
        </is>
      </c>
      <c r="G121" s="12" t="inlineStr">
        <is>
          <t>2026-10-09</t>
        </is>
      </c>
      <c r="H121" s="12" t="inlineStr">
        <is>
          <t>2026-10-09</t>
        </is>
      </c>
      <c r="I121" s="12" t="inlineStr">
        <is>
          <t>-</t>
        </is>
      </c>
      <c r="J121" s="12" t="inlineStr">
        <is>
          <t>Everything on staging (PRs #85-#117)</t>
        </is>
      </c>
      <c r="K121" s="12" t="inlineStr">
        <is>
          <t>Itself (merged to main)</t>
        </is>
      </c>
      <c r="L121" s="12" t="inlineStr">
        <is>
          <t>Merged 14:06 UTC. Production migrated by MIGRATE_ON_BUILD during the deploy; Neon snapshot taken first. Verified 14:55 UTC: pages 200, new build live.</t>
        </is>
      </c>
    </row>
    <row r="122" ht="27" customFormat="1" customHeight="1" s="2">
      <c r="A122" s="34" t="inlineStr">
        <is>
          <t>121</t>
        </is>
      </c>
      <c r="B122" s="12" t="inlineStr">
        <is>
          <t>Sign-in: one Terms &amp; Privacy box instead of three; 9 Oct status report (end of day)</t>
        </is>
      </c>
      <c r="C122" s="12" t="inlineStr">
        <is>
          <t>Improvement</t>
        </is>
      </c>
      <c r="D122" s="12" t="inlineStr">
        <is>
          <t>claude/serene-gates-7cymxj -&gt; staging</t>
        </is>
      </c>
      <c r="E122" s="12" t="inlineStr">
        <is>
          <t>Test site (staging -&gt; test.gokesari.com)</t>
        </is>
      </c>
      <c r="F122" s="12" t="inlineStr">
        <is>
          <t>Merged</t>
        </is>
      </c>
      <c r="G122" s="12" t="inlineStr">
        <is>
          <t>2026-10-09</t>
        </is>
      </c>
      <c r="H122" s="12" t="inlineStr">
        <is>
          <t>2026-10-09</t>
        </is>
      </c>
      <c r="I122" s="12" t="inlineStr">
        <is>
          <t>NEW-056; GS-001</t>
        </is>
      </c>
      <c r="J122" s="12" t="inlineStr">
        <is>
          <t>NEW-056</t>
        </is>
      </c>
      <c r="K122" s="12" t="inlineStr">
        <is>
          <t>#123</t>
        </is>
      </c>
      <c r="L122" s="12" t="inlineStr">
        <is>
          <t>Also carried the 9 Oct end-of-day status report.</t>
        </is>
      </c>
    </row>
    <row r="123" ht="39" customFormat="1" customHeight="1" s="2">
      <c r="A123" s="34" t="inlineStr">
        <is>
          <t>122</t>
        </is>
      </c>
      <c r="B123" s="12" t="inlineStr">
        <is>
          <t>Tile Board everywhere: one-screen role homes, one path to every function</t>
        </is>
      </c>
      <c r="C123" s="12" t="inlineStr">
        <is>
          <t>Feature</t>
        </is>
      </c>
      <c r="D123" s="12" t="inlineStr">
        <is>
          <t>claude/bold-volta-vxs1yf -&gt; staging</t>
        </is>
      </c>
      <c r="E123" s="12" t="inlineStr">
        <is>
          <t>Test site (staging -&gt; test.gokesari.com)</t>
        </is>
      </c>
      <c r="F123" s="12" t="inlineStr">
        <is>
          <t>Merged</t>
        </is>
      </c>
      <c r="G123" s="12" t="inlineStr">
        <is>
          <t>2026-10-09</t>
        </is>
      </c>
      <c r="H123" s="12" t="inlineStr">
        <is>
          <t>2026-10-09</t>
        </is>
      </c>
      <c r="I123" s="12" t="inlineStr">
        <is>
          <t>NEW-046; NEW-047; NEW-051 to NEW-055; GAP-007; NAV-001, NAV-002, NAV-004 to NAV-008, NAV-017</t>
        </is>
      </c>
      <c r="J123" s="12" t="inlineStr">
        <is>
          <t>Same</t>
        </is>
      </c>
      <c r="K123" s="12" t="inlineStr">
        <is>
          <t>#123</t>
        </is>
      </c>
      <c r="L123" s="12" t="inlineStr">
        <is>
          <t>UI layer only - no database, API or payment change. Merged 18:04 UTC (the last CI run before GitHub Actions stopped).</t>
        </is>
      </c>
    </row>
    <row r="124" ht="27" customFormat="1" customHeight="1" s="2">
      <c r="A124" s="34" t="inlineStr">
        <is>
          <t>123</t>
        </is>
      </c>
      <c r="B124" s="12" t="inlineStr">
        <is>
          <t>Release: staging -&gt; main (gokesari.com) - Tile Board everywhere (#122) and single sign-in consent (#121)</t>
        </is>
      </c>
      <c r="C124" s="12" t="inlineStr">
        <is>
          <t>Release (staging -&gt; main)</t>
        </is>
      </c>
      <c r="D124" s="12" t="inlineStr">
        <is>
          <t>staging -&gt; main</t>
        </is>
      </c>
      <c r="E124" s="12" t="inlineStr">
        <is>
          <t>Production (main -&gt; gokesari.com)</t>
        </is>
      </c>
      <c r="F124" s="12" t="inlineStr">
        <is>
          <t>Merged</t>
        </is>
      </c>
      <c r="G124" s="12" t="inlineStr">
        <is>
          <t>2026-10-09</t>
        </is>
      </c>
      <c r="H124" s="12" t="inlineStr">
        <is>
          <t>2026-10-09</t>
        </is>
      </c>
      <c r="I124" s="12" t="inlineStr">
        <is>
          <t>-</t>
        </is>
      </c>
      <c r="J124" s="12" t="inlineStr">
        <is>
          <t>Everything in #121, #122</t>
        </is>
      </c>
      <c r="K124" s="12" t="inlineStr">
        <is>
          <t>Itself (merged to main)</t>
        </is>
      </c>
      <c r="L124" s="12" t="inlineStr">
        <is>
          <t>Merged 19:28 UTC. No migration.</t>
        </is>
      </c>
    </row>
    <row r="125" ht="51" customFormat="1" customHeight="1" s="2">
      <c r="A125" s="34" t="inlineStr">
        <is>
          <t>124</t>
        </is>
      </c>
      <c r="B125" s="12" t="inlineStr">
        <is>
          <t>Performance and second UI pass: fewer database reads per page; one screen per view on the longest pages</t>
        </is>
      </c>
      <c r="C125" s="12" t="inlineStr">
        <is>
          <t>Improvement</t>
        </is>
      </c>
      <c r="D125" s="12" t="inlineStr">
        <is>
          <t>claude/bold-volta-vxs1yf -&gt; staging</t>
        </is>
      </c>
      <c r="E125" s="12" t="inlineStr">
        <is>
          <t>Test site (staging -&gt; test.gokesari.com)</t>
        </is>
      </c>
      <c r="F125" s="12" t="inlineStr">
        <is>
          <t>Merged</t>
        </is>
      </c>
      <c r="G125" s="12" t="inlineStr">
        <is>
          <t>2026-10-09</t>
        </is>
      </c>
      <c r="H125" s="12" t="inlineStr">
        <is>
          <t>2026-10-09</t>
        </is>
      </c>
      <c r="I125" s="12" t="inlineStr">
        <is>
          <t>PLT-012; PLT-013; NEW-021; NEW-052; NEW-054; NAV-002, NAV-006, NAV-007, NAV-017; QA-005</t>
        </is>
      </c>
      <c r="J125" s="12" t="inlineStr">
        <is>
          <t>Same</t>
        </is>
      </c>
      <c r="K125" s="12" t="inlineStr">
        <is>
          <t>#126</t>
        </is>
      </c>
      <c r="L125" s="12" t="inlineStr">
        <is>
          <t>Merged 21:25 UTC without CI on the owner's instruction (GitHub Actions billing); local tsc, eslint, next build, Vitest 1,662 passed. Includes the UI pass test report and issue register.</t>
        </is>
      </c>
    </row>
    <row r="126" ht="27" customFormat="1" customHeight="1" s="2">
      <c r="A126" s="34" t="inlineStr">
        <is>
          <t>125</t>
        </is>
      </c>
      <c r="B126" s="12" t="inlineStr">
        <is>
          <t>PMD rollback script: drop the stray phpMyAdmin mention</t>
        </is>
      </c>
      <c r="C126" s="12" t="inlineStr">
        <is>
          <t>Fix / hotfix</t>
        </is>
      </c>
      <c r="D126" s="12" t="inlineStr">
        <is>
          <t>claude/focused-carson-4pa1e2 -&gt; staging</t>
        </is>
      </c>
      <c r="E126" s="12" t="inlineStr">
        <is>
          <t>Test site (staging -&gt; test.gokesari.com)</t>
        </is>
      </c>
      <c r="F126" s="12" t="inlineStr">
        <is>
          <t>Merged</t>
        </is>
      </c>
      <c r="G126" s="12" t="inlineStr">
        <is>
          <t>2026-10-09</t>
        </is>
      </c>
      <c r="H126" s="12" t="inlineStr">
        <is>
          <t>2026-10-10</t>
        </is>
      </c>
      <c r="I126" s="12" t="inlineStr">
        <is>
          <t>PMD-001</t>
        </is>
      </c>
      <c r="J126" s="12" t="inlineStr">
        <is>
          <t>PMD-001 (comment only)</t>
        </is>
      </c>
      <c r="K126" s="12" t="inlineStr">
        <is>
          <t>#131</t>
        </is>
      </c>
      <c r="L126" s="12" t="inlineStr">
        <is>
          <t>Comment-only change to a manual rollback script; merged without CI.</t>
        </is>
      </c>
    </row>
    <row r="127" ht="39" customFormat="1" customHeight="1" s="2">
      <c r="A127" s="34" t="inlineStr">
        <is>
          <t>126</t>
        </is>
      </c>
      <c r="B127" s="12" t="inlineStr">
        <is>
          <t>Release: staging -&gt; main (gokesari.com) - performance and second UI pass (#124)</t>
        </is>
      </c>
      <c r="C127" s="12" t="inlineStr">
        <is>
          <t>Release (staging -&gt; main)</t>
        </is>
      </c>
      <c r="D127" s="12" t="inlineStr">
        <is>
          <t>staging -&gt; main</t>
        </is>
      </c>
      <c r="E127" s="12" t="inlineStr">
        <is>
          <t>Production (main -&gt; gokesari.com)</t>
        </is>
      </c>
      <c r="F127" s="12" t="inlineStr">
        <is>
          <t>Merged</t>
        </is>
      </c>
      <c r="G127" s="12" t="inlineStr">
        <is>
          <t>2026-10-09</t>
        </is>
      </c>
      <c r="H127" s="12" t="inlineStr">
        <is>
          <t>2026-10-09</t>
        </is>
      </c>
      <c r="I127" s="12" t="inlineStr">
        <is>
          <t>-</t>
        </is>
      </c>
      <c r="J127" s="12" t="inlineStr">
        <is>
          <t>Everything in #124</t>
        </is>
      </c>
      <c r="K127" s="12" t="inlineStr">
        <is>
          <t>Itself (merged to main)</t>
        </is>
      </c>
      <c r="L127" s="12" t="inlineStr">
        <is>
          <t>Merged 21:41 UTC without CI (owner's instruction). Production checks 21:44 UTC: pages 200, signed-in pages redirect to sign-in, Lighthouse mobile home 93/100/100/100.</t>
        </is>
      </c>
    </row>
    <row r="128" ht="27" customFormat="1" customHeight="1" s="2">
      <c r="A128" s="34" t="inlineStr">
        <is>
          <t>127</t>
        </is>
      </c>
      <c r="B128" s="12" t="inlineStr">
        <is>
          <t>Board: keep the shared shop and category figures for a minute</t>
        </is>
      </c>
      <c r="C128" s="12" t="inlineStr">
        <is>
          <t>Fix / hotfix</t>
        </is>
      </c>
      <c r="D128" s="12" t="inlineStr">
        <is>
          <t>claude/bold-volta-vxs1yf -&gt; staging</t>
        </is>
      </c>
      <c r="E128" s="12" t="inlineStr">
        <is>
          <t>Test site (staging -&gt; test.gokesari.com)</t>
        </is>
      </c>
      <c r="F128" s="12" t="inlineStr">
        <is>
          <t>Merged</t>
        </is>
      </c>
      <c r="G128" s="12" t="inlineStr">
        <is>
          <t>2026-10-09</t>
        </is>
      </c>
      <c r="H128" s="12" t="inlineStr">
        <is>
          <t>2026-10-09</t>
        </is>
      </c>
      <c r="I128" s="12" t="inlineStr">
        <is>
          <t>PLT-014</t>
        </is>
      </c>
      <c r="J128" s="12" t="inlineStr">
        <is>
          <t>PLT-014</t>
        </is>
      </c>
      <c r="K128" s="12" t="inlineStr">
        <is>
          <t>#129</t>
        </is>
      </c>
      <c r="L128" s="12" t="inlineStr">
        <is>
          <t>Fixes 'badge dropped' on cold starts; test site home 0.70-0.92 s after 100 s idle (production without it 3.39-4.46 s).</t>
        </is>
      </c>
    </row>
    <row r="129" ht="27" customFormat="1" customHeight="1" s="2">
      <c r="A129" s="34" t="inlineStr">
        <is>
          <t>128</t>
        </is>
      </c>
      <c r="B129" s="12" t="inlineStr">
        <is>
          <t>Test report: production checks after #126 and #127 verified on test</t>
        </is>
      </c>
      <c r="C129" s="12" t="inlineStr">
        <is>
          <t>QA / tests</t>
        </is>
      </c>
      <c r="D129" s="12" t="inlineStr">
        <is>
          <t>claude/bold-volta-vxs1yf -&gt; staging</t>
        </is>
      </c>
      <c r="E129" s="12" t="inlineStr">
        <is>
          <t>Test site (staging -&gt; test.gokesari.com)</t>
        </is>
      </c>
      <c r="F129" s="12" t="inlineStr">
        <is>
          <t>Merged</t>
        </is>
      </c>
      <c r="G129" s="12" t="inlineStr">
        <is>
          <t>2026-10-09</t>
        </is>
      </c>
      <c r="H129" s="12" t="inlineStr">
        <is>
          <t>2026-10-10</t>
        </is>
      </c>
      <c r="I129" s="12" t="inlineStr">
        <is>
          <t>QA-005</t>
        </is>
      </c>
      <c r="J129" s="12" t="inlineStr">
        <is>
          <t>QA-005 (report)</t>
        </is>
      </c>
      <c r="K129" s="12" t="inlineStr">
        <is>
          <t>#129</t>
        </is>
      </c>
      <c r="L129" s="12" t="inlineStr">
        <is>
          <t>Docs only.</t>
        </is>
      </c>
    </row>
    <row r="130" ht="27" customFormat="1" customHeight="1" s="2">
      <c r="A130" s="34" t="inlineStr">
        <is>
          <t>129</t>
        </is>
      </c>
      <c r="B130" s="12" t="inlineStr">
        <is>
          <t>Release: board figures cache (#127) and test report (#128)</t>
        </is>
      </c>
      <c r="C130" s="12" t="inlineStr">
        <is>
          <t>Release (staging -&gt; main)</t>
        </is>
      </c>
      <c r="D130" s="12" t="inlineStr">
        <is>
          <t>staging -&gt; main</t>
        </is>
      </c>
      <c r="E130" s="12" t="inlineStr">
        <is>
          <t>Production (main -&gt; gokesari.com)</t>
        </is>
      </c>
      <c r="F130" s="12" t="inlineStr">
        <is>
          <t>Merged</t>
        </is>
      </c>
      <c r="G130" s="12" t="inlineStr">
        <is>
          <t>2026-10-10</t>
        </is>
      </c>
      <c r="H130" s="12" t="inlineStr">
        <is>
          <t>2026-10-10</t>
        </is>
      </c>
      <c r="I130" s="12" t="inlineStr">
        <is>
          <t>-</t>
        </is>
      </c>
      <c r="J130" s="12" t="inlineStr">
        <is>
          <t>Everything in #127, #128</t>
        </is>
      </c>
      <c r="K130" s="12" t="inlineStr">
        <is>
          <t>Itself (merged to main)</t>
        </is>
      </c>
      <c r="L130" s="12" t="inlineStr">
        <is>
          <t>Merged 02:21 UTC.</t>
        </is>
      </c>
    </row>
    <row r="131" ht="27" customFormat="1" customHeight="1" s="2">
      <c r="A131" s="34" t="inlineStr">
        <is>
          <t>130</t>
        </is>
      </c>
      <c r="B131" s="12" t="inlineStr">
        <is>
          <t>Board: give live figures 8 s before dropping a badge</t>
        </is>
      </c>
      <c r="C131" s="12" t="inlineStr">
        <is>
          <t>Fix / hotfix</t>
        </is>
      </c>
      <c r="D131" s="12" t="inlineStr">
        <is>
          <t>claude/nifty-carson-utdcht -&gt; staging</t>
        </is>
      </c>
      <c r="E131" s="12" t="inlineStr">
        <is>
          <t>Test site (staging -&gt; test.gokesari.com)</t>
        </is>
      </c>
      <c r="F131" s="12" t="inlineStr">
        <is>
          <t>Merged</t>
        </is>
      </c>
      <c r="G131" s="12" t="inlineStr">
        <is>
          <t>2026-10-10</t>
        </is>
      </c>
      <c r="H131" s="12" t="inlineStr">
        <is>
          <t>2026-10-10</t>
        </is>
      </c>
      <c r="I131" s="12" t="inlineStr">
        <is>
          <t>PLT-014</t>
        </is>
      </c>
      <c r="J131" s="12" t="inlineStr">
        <is>
          <t>PLT-014</t>
        </is>
      </c>
      <c r="K131" s="12" t="inlineStr">
        <is>
          <t>#131</t>
        </is>
      </c>
      <c r="L131" s="12" t="inlineStr">
        <is>
          <t>Default allowance 4 s -&gt; 8 s; Buy again 6 s -&gt; 10 s.</t>
        </is>
      </c>
    </row>
    <row r="132" ht="27" customFormat="1" customHeight="1" s="2">
      <c r="A132" s="34" t="inlineStr">
        <is>
          <t>131</t>
        </is>
      </c>
      <c r="B132" s="12" t="inlineStr">
        <is>
          <t>Release: staging -&gt; main (gokesari.com) - board timeout 8 s (#130)</t>
        </is>
      </c>
      <c r="C132" s="12" t="inlineStr">
        <is>
          <t>Release (staging -&gt; main)</t>
        </is>
      </c>
      <c r="D132" s="12" t="inlineStr">
        <is>
          <t>staging -&gt; main</t>
        </is>
      </c>
      <c r="E132" s="12" t="inlineStr">
        <is>
          <t>Production (main -&gt; gokesari.com)</t>
        </is>
      </c>
      <c r="F132" s="12" t="inlineStr">
        <is>
          <t>Merged</t>
        </is>
      </c>
      <c r="G132" s="12" t="inlineStr">
        <is>
          <t>2026-10-10</t>
        </is>
      </c>
      <c r="H132" s="12" t="inlineStr">
        <is>
          <t>2026-10-10</t>
        </is>
      </c>
      <c r="I132" s="12" t="inlineStr">
        <is>
          <t>-</t>
        </is>
      </c>
      <c r="J132" s="12" t="inlineStr">
        <is>
          <t>Everything in #125, #130</t>
        </is>
      </c>
      <c r="K132" s="12" t="inlineStr">
        <is>
          <t>Itself (merged to main)</t>
        </is>
      </c>
      <c r="L132" s="12" t="inlineStr">
        <is>
          <t>Merged 08:22 UTC. staging and main hold the same code after this release.</t>
        </is>
      </c>
    </row>
    <row r="133" ht="27" customFormat="1" customHeight="1" s="2">
      <c r="A133" s="34" t="inlineStr">
        <is>
          <t>132</t>
        </is>
      </c>
      <c r="B133" s="12" t="inlineStr">
        <is>
          <t>Feature status report 10 Oct 2026 (after releases #123, #126, #129, #131)</t>
        </is>
      </c>
      <c r="C133" s="12" t="inlineStr">
        <is>
          <t>Docs / reports</t>
        </is>
      </c>
      <c r="D133" s="12" t="inlineStr">
        <is>
          <t>claude/peaceful-faraday-xsfhp4 -&gt; staging</t>
        </is>
      </c>
      <c r="E133" s="12" t="inlineStr">
        <is>
          <t>Test site (staging -&gt; test.gokesari.com)</t>
        </is>
      </c>
      <c r="F133" s="12" t="inlineStr">
        <is>
          <t>Merged</t>
        </is>
      </c>
      <c r="G133" s="12" t="inlineStr">
        <is>
          <t>2026-10-10</t>
        </is>
      </c>
      <c r="H133" s="12" t="inlineStr">
        <is>
          <t>2026-10-10</t>
        </is>
      </c>
      <c r="I133" s="12" t="inlineStr">
        <is>
          <t>-</t>
        </is>
      </c>
      <c r="J133" s="12" t="inlineStr">
        <is>
          <t>-</t>
        </is>
      </c>
      <c r="K133" s="12" t="inlineStr">
        <is>
          <t>Not needed (docs)</t>
        </is>
      </c>
      <c r="L133" s="12" t="n"/>
    </row>
    <row r="134" ht="27" customFormat="1" customHeight="1" s="2">
      <c r="A134" s="34" t="inlineStr">
        <is>
          <t>133</t>
        </is>
      </c>
      <c r="B134" s="12" t="inlineStr">
        <is>
          <t>Nearby shops from the real location; referral code Mandatory/Optional by admin toggle</t>
        </is>
      </c>
      <c r="C134" s="12" t="inlineStr">
        <is>
          <t>Feature</t>
        </is>
      </c>
      <c r="D134" s="12" t="inlineStr">
        <is>
          <t>claude/clever-dijkstra-beqakc -&gt; staging</t>
        </is>
      </c>
      <c r="E134" s="12" t="inlineStr">
        <is>
          <t>Test site (staging -&gt; test.gokesari.com)</t>
        </is>
      </c>
      <c r="F134" s="12" t="inlineStr">
        <is>
          <t>Merged</t>
        </is>
      </c>
      <c r="G134" s="12" t="inlineStr">
        <is>
          <t>2026-10-10</t>
        </is>
      </c>
      <c r="H134" s="12" t="inlineStr">
        <is>
          <t>2026-10-10</t>
        </is>
      </c>
      <c r="I134" s="12" t="inlineStr">
        <is>
          <t>NEW-057, NEW-058, NEW-059</t>
        </is>
      </c>
      <c r="J134" s="12" t="inlineStr">
        <is>
          <t>-</t>
        </is>
      </c>
      <c r="K134" s="12" t="inlineStr">
        <is>
          <t>#135</t>
        </is>
      </c>
      <c r="L134" s="12" t="inlineStr">
        <is>
          <t>Migration 0074.</t>
        </is>
      </c>
    </row>
    <row r="135" ht="27" customFormat="1" customHeight="1" s="2">
      <c r="A135" s="34" t="inlineStr">
        <is>
          <t>134</t>
        </is>
      </c>
      <c r="B135" s="12" t="inlineStr">
        <is>
          <t>CI: skip runs that cannot find anything new (save Actions minutes)</t>
        </is>
      </c>
      <c r="C135" s="12" t="inlineStr">
        <is>
          <t>DevOps / repo</t>
        </is>
      </c>
      <c r="D135" s="12" t="inlineStr">
        <is>
          <t>claude/pensive-sagan-7kcr92 -&gt; staging</t>
        </is>
      </c>
      <c r="E135" s="12" t="inlineStr">
        <is>
          <t>Test site (staging -&gt; test.gokesari.com)</t>
        </is>
      </c>
      <c r="F135" s="12" t="inlineStr">
        <is>
          <t>Merged</t>
        </is>
      </c>
      <c r="G135" s="12" t="inlineStr">
        <is>
          <t>2026-10-10</t>
        </is>
      </c>
      <c r="H135" s="12" t="inlineStr">
        <is>
          <t>2026-10-10</t>
        </is>
      </c>
      <c r="I135" s="12" t="inlineStr">
        <is>
          <t>PLT-016</t>
        </is>
      </c>
      <c r="J135" s="12" t="inlineStr">
        <is>
          <t>-</t>
        </is>
      </c>
      <c r="K135" s="12" t="inlineStr">
        <is>
          <t>#135</t>
        </is>
      </c>
      <c r="L135" s="12" t="n"/>
    </row>
    <row r="136" ht="39" customFormat="1" customHeight="1" s="2">
      <c r="A136" s="34" t="inlineStr">
        <is>
          <t>135</t>
        </is>
      </c>
      <c r="B136" s="12" t="inlineStr">
        <is>
          <t>Release: staging -&gt; main - nearby shops, referral toggle (#133, #136), CI minutes (#134)</t>
        </is>
      </c>
      <c r="C136" s="12" t="inlineStr">
        <is>
          <t>Release (staging -&gt; main)</t>
        </is>
      </c>
      <c r="D136" s="12" t="inlineStr">
        <is>
          <t>staging -&gt; main</t>
        </is>
      </c>
      <c r="E136" s="12" t="inlineStr">
        <is>
          <t>Production (main -&gt; gokesari.com)</t>
        </is>
      </c>
      <c r="F136" s="12" t="inlineStr">
        <is>
          <t>Merged</t>
        </is>
      </c>
      <c r="G136" s="12" t="inlineStr">
        <is>
          <t>2026-10-10</t>
        </is>
      </c>
      <c r="H136" s="12" t="inlineStr">
        <is>
          <t>2026-10-10</t>
        </is>
      </c>
      <c r="I136" s="12" t="inlineStr">
        <is>
          <t>-</t>
        </is>
      </c>
      <c r="J136" s="12" t="inlineStr">
        <is>
          <t>NEW-057, NEW-058, NEW-059, PLT-016</t>
        </is>
      </c>
      <c r="K136" s="12" t="inlineStr">
        <is>
          <t>Itself (merged to main)</t>
        </is>
      </c>
      <c r="L136" s="12" t="inlineStr">
        <is>
          <t>Migration 0074 applied by MIGRATE_ON_BUILD (Neon restore point 20:27 UTC).</t>
        </is>
      </c>
    </row>
    <row r="137" ht="27" customFormat="1" customHeight="1" s="2">
      <c r="A137" s="34" t="inlineStr">
        <is>
          <t>136</t>
        </is>
      </c>
      <c r="B137" s="12" t="inlineStr">
        <is>
          <t>Nearby: PIN box when the location prompt is ignored; test results for Nearby + referral settings</t>
        </is>
      </c>
      <c r="C137" s="12" t="inlineStr">
        <is>
          <t>Improvement</t>
        </is>
      </c>
      <c r="D137" s="12" t="inlineStr">
        <is>
          <t>claude/clever-dijkstra-beqakc -&gt; staging</t>
        </is>
      </c>
      <c r="E137" s="12" t="inlineStr">
        <is>
          <t>Test site (staging -&gt; test.gokesari.com)</t>
        </is>
      </c>
      <c r="F137" s="12" t="inlineStr">
        <is>
          <t>Merged</t>
        </is>
      </c>
      <c r="G137" s="12" t="inlineStr">
        <is>
          <t>2026-10-10</t>
        </is>
      </c>
      <c r="H137" s="12" t="inlineStr">
        <is>
          <t>2026-10-10</t>
        </is>
      </c>
      <c r="I137" s="12" t="inlineStr">
        <is>
          <t>NEW-057, QA-006</t>
        </is>
      </c>
      <c r="J137" s="12" t="inlineStr">
        <is>
          <t>-</t>
        </is>
      </c>
      <c r="K137" s="12" t="inlineStr">
        <is>
          <t>#135</t>
        </is>
      </c>
      <c r="L137" s="12" t="n"/>
    </row>
    <row r="138" ht="27" customFormat="1" customHeight="1" s="2">
      <c r="A138" s="34" t="inlineStr">
        <is>
          <t>137</t>
        </is>
      </c>
      <c r="B138" s="12" t="inlineStr">
        <is>
          <t>Docs: Nearby + referral settings - production release checks and mobile apps</t>
        </is>
      </c>
      <c r="C138" s="12" t="inlineStr">
        <is>
          <t>Docs / reports</t>
        </is>
      </c>
      <c r="D138" s="12" t="inlineStr">
        <is>
          <t>claude/clever-dijkstra-beqakc -&gt; staging</t>
        </is>
      </c>
      <c r="E138" s="12" t="inlineStr">
        <is>
          <t>Test site (staging -&gt; test.gokesari.com)</t>
        </is>
      </c>
      <c r="F138" s="12" t="inlineStr">
        <is>
          <t>Merged</t>
        </is>
      </c>
      <c r="G138" s="12" t="inlineStr">
        <is>
          <t>2026-10-10</t>
        </is>
      </c>
      <c r="H138" s="12" t="inlineStr">
        <is>
          <t>2026-10-10</t>
        </is>
      </c>
      <c r="I138" s="12" t="inlineStr">
        <is>
          <t>QA-006</t>
        </is>
      </c>
      <c r="J138" s="12" t="inlineStr">
        <is>
          <t>-</t>
        </is>
      </c>
      <c r="K138" s="12" t="inlineStr">
        <is>
          <t>Not needed (docs)</t>
        </is>
      </c>
      <c r="L138" s="12" t="n"/>
    </row>
    <row r="139" ht="27" customFormat="1" customHeight="1" s="2">
      <c r="A139" s="34" t="inlineStr">
        <is>
          <t>138</t>
        </is>
      </c>
      <c r="B139" s="12" t="inlineStr">
        <is>
          <t>Fix Admin -&gt; Referral codes showing 0 shops for every code (and 0 society members)</t>
        </is>
      </c>
      <c r="C139" s="12" t="inlineStr">
        <is>
          <t>Fix / hotfix</t>
        </is>
      </c>
      <c r="D139" s="12" t="inlineStr">
        <is>
          <t>claude/clever-dijkstra-beqakc -&gt; staging</t>
        </is>
      </c>
      <c r="E139" s="12" t="inlineStr">
        <is>
          <t>Test site (staging -&gt; test.gokesari.com)</t>
        </is>
      </c>
      <c r="F139" s="12" t="inlineStr">
        <is>
          <t>Merged</t>
        </is>
      </c>
      <c r="G139" s="12" t="inlineStr">
        <is>
          <t>2026-10-11</t>
        </is>
      </c>
      <c r="H139" s="12" t="inlineStr">
        <is>
          <t>2026-10-11</t>
        </is>
      </c>
      <c r="I139" s="12" t="inlineStr">
        <is>
          <t>NEW-065</t>
        </is>
      </c>
      <c r="J139" s="12" t="inlineStr">
        <is>
          <t>-</t>
        </is>
      </c>
      <c r="K139" s="12" t="inlineStr">
        <is>
          <t>#139</t>
        </is>
      </c>
      <c r="L139" s="12" t="n"/>
    </row>
    <row r="140" ht="27" customFormat="1" customHeight="1" s="2">
      <c r="A140" s="34" t="inlineStr">
        <is>
          <t>139</t>
        </is>
      </c>
      <c r="B140" s="12" t="inlineStr">
        <is>
          <t>Release: fix Admin -&gt; Referral codes showing 0 shops (and 0 society members)</t>
        </is>
      </c>
      <c r="C140" s="12" t="inlineStr">
        <is>
          <t>Release (staging -&gt; main)</t>
        </is>
      </c>
      <c r="D140" s="12" t="inlineStr">
        <is>
          <t>staging -&gt; main</t>
        </is>
      </c>
      <c r="E140" s="12" t="inlineStr">
        <is>
          <t>Production (main -&gt; gokesari.com)</t>
        </is>
      </c>
      <c r="F140" s="12" t="inlineStr">
        <is>
          <t>Merged</t>
        </is>
      </c>
      <c r="G140" s="12" t="inlineStr">
        <is>
          <t>2026-10-11</t>
        </is>
      </c>
      <c r="H140" s="12" t="inlineStr">
        <is>
          <t>2026-10-11</t>
        </is>
      </c>
      <c r="I140" s="12" t="inlineStr">
        <is>
          <t>-</t>
        </is>
      </c>
      <c r="J140" s="12" t="inlineStr">
        <is>
          <t>NEW-065</t>
        </is>
      </c>
      <c r="K140" s="12" t="inlineStr">
        <is>
          <t>Itself (merged to main)</t>
        </is>
      </c>
      <c r="L140" s="12" t="n"/>
    </row>
    <row r="141" ht="27" customFormat="1" customHeight="1" s="2">
      <c r="A141" s="34" t="inlineStr">
        <is>
          <t>140</t>
        </is>
      </c>
      <c r="B141" s="12" t="inlineStr">
        <is>
          <t>Copy the 5 real test shops to production (guarded workflow) + record the referral-count fix</t>
        </is>
      </c>
      <c r="C141" s="12" t="inlineStr">
        <is>
          <t>DevOps / repo</t>
        </is>
      </c>
      <c r="D141" s="12" t="inlineStr">
        <is>
          <t>claude/clever-dijkstra-beqakc -&gt; staging</t>
        </is>
      </c>
      <c r="E141" s="12" t="inlineStr">
        <is>
          <t>Test site (staging -&gt; test.gokesari.com)</t>
        </is>
      </c>
      <c r="F141" s="12" t="inlineStr">
        <is>
          <t>Merged</t>
        </is>
      </c>
      <c r="G141" s="12" t="inlineStr">
        <is>
          <t>2026-10-11</t>
        </is>
      </c>
      <c r="H141" s="12" t="inlineStr">
        <is>
          <t>2026-10-11</t>
        </is>
      </c>
      <c r="I141" s="12" t="inlineStr">
        <is>
          <t>PLT-018</t>
        </is>
      </c>
      <c r="J141" s="12" t="inlineStr">
        <is>
          <t>-</t>
        </is>
      </c>
      <c r="K141" s="12" t="inlineStr">
        <is>
          <t>#141</t>
        </is>
      </c>
      <c r="L141" s="12" t="n"/>
    </row>
    <row r="142" ht="27" customFormat="1" customHeight="1" s="2">
      <c r="A142" s="34" t="inlineStr">
        <is>
          <t>141</t>
        </is>
      </c>
      <c r="B142" s="12" t="inlineStr">
        <is>
          <t>Release: 'Copy shops to production' workflow (no application change)</t>
        </is>
      </c>
      <c r="C142" s="12" t="inlineStr">
        <is>
          <t>Release (staging -&gt; main)</t>
        </is>
      </c>
      <c r="D142" s="12" t="inlineStr">
        <is>
          <t>staging -&gt; main</t>
        </is>
      </c>
      <c r="E142" s="12" t="inlineStr">
        <is>
          <t>Production (main -&gt; gokesari.com)</t>
        </is>
      </c>
      <c r="F142" s="12" t="inlineStr">
        <is>
          <t>Merged</t>
        </is>
      </c>
      <c r="G142" s="12" t="inlineStr">
        <is>
          <t>2026-10-11</t>
        </is>
      </c>
      <c r="H142" s="12" t="inlineStr">
        <is>
          <t>2026-10-11</t>
        </is>
      </c>
      <c r="I142" s="12" t="inlineStr">
        <is>
          <t>-</t>
        </is>
      </c>
      <c r="J142" s="12" t="inlineStr">
        <is>
          <t>PLT-018</t>
        </is>
      </c>
      <c r="K142" s="12" t="inlineStr">
        <is>
          <t>Itself (merged to main)</t>
        </is>
      </c>
      <c r="L142" s="12" t="n"/>
    </row>
    <row r="143" ht="27" customFormat="1" customHeight="1" s="2">
      <c r="A143" s="34" t="inlineStr">
        <is>
          <t>142</t>
        </is>
      </c>
      <c r="B143" s="12" t="inlineStr">
        <is>
          <t>GoKesari Seller Central and the 'Sell on GoKesari' page</t>
        </is>
      </c>
      <c r="C143" s="12" t="inlineStr">
        <is>
          <t>Feature</t>
        </is>
      </c>
      <c r="D143" s="12" t="inlineStr">
        <is>
          <t>claude/adoring-hawking-5palvj -&gt; staging</t>
        </is>
      </c>
      <c r="E143" s="12" t="inlineStr">
        <is>
          <t>Test site (staging -&gt; test.gokesari.com)</t>
        </is>
      </c>
      <c r="F143" s="12" t="inlineStr">
        <is>
          <t>Merged</t>
        </is>
      </c>
      <c r="G143" s="12" t="inlineStr">
        <is>
          <t>2026-10-12</t>
        </is>
      </c>
      <c r="H143" s="12" t="inlineStr">
        <is>
          <t>2026-10-12</t>
        </is>
      </c>
      <c r="I143" s="12" t="inlineStr">
        <is>
          <t>NEW-060</t>
        </is>
      </c>
      <c r="J143" s="12" t="inlineStr">
        <is>
          <t>-</t>
        </is>
      </c>
      <c r="K143" s="12" t="inlineStr">
        <is>
          <t>#143</t>
        </is>
      </c>
      <c r="L143" s="12" t="n"/>
    </row>
    <row r="144" ht="27" customFormat="1" customHeight="1" s="2">
      <c r="A144" s="34" t="inlineStr">
        <is>
          <t>143</t>
        </is>
      </c>
      <c r="B144" s="12" t="inlineStr">
        <is>
          <t>Release staging to production: GoKesari Seller Central and 'Sell on GoKesari'</t>
        </is>
      </c>
      <c r="C144" s="12" t="inlineStr">
        <is>
          <t>Release (staging -&gt; main)</t>
        </is>
      </c>
      <c r="D144" s="12" t="inlineStr">
        <is>
          <t>staging -&gt; main</t>
        </is>
      </c>
      <c r="E144" s="12" t="inlineStr">
        <is>
          <t>Production (main -&gt; gokesari.com)</t>
        </is>
      </c>
      <c r="F144" s="12" t="inlineStr">
        <is>
          <t>Merged</t>
        </is>
      </c>
      <c r="G144" s="12" t="inlineStr">
        <is>
          <t>2026-10-12</t>
        </is>
      </c>
      <c r="H144" s="12" t="inlineStr">
        <is>
          <t>2026-10-12</t>
        </is>
      </c>
      <c r="I144" s="12" t="inlineStr">
        <is>
          <t>-</t>
        </is>
      </c>
      <c r="J144" s="12" t="inlineStr">
        <is>
          <t>NEW-060</t>
        </is>
      </c>
      <c r="K144" s="12" t="inlineStr">
        <is>
          <t>Itself (merged to main)</t>
        </is>
      </c>
      <c r="L144" s="12" t="n"/>
    </row>
    <row r="145" ht="27" customFormat="1" customHeight="1" s="2">
      <c r="A145" s="34" t="inlineStr">
        <is>
          <t>144</t>
        </is>
      </c>
      <c r="B145" s="12" t="inlineStr">
        <is>
          <t>Copy shops: SQL files for the Neon console (sql mode)</t>
        </is>
      </c>
      <c r="C145" s="12" t="inlineStr">
        <is>
          <t>DevOps / repo</t>
        </is>
      </c>
      <c r="D145" s="12" t="inlineStr">
        <is>
          <t>claude/clever-dijkstra-beqakc -&gt; staging</t>
        </is>
      </c>
      <c r="E145" s="12" t="inlineStr">
        <is>
          <t>Test site (staging -&gt; test.gokesari.com)</t>
        </is>
      </c>
      <c r="F145" s="12" t="inlineStr">
        <is>
          <t>Merged</t>
        </is>
      </c>
      <c r="G145" s="12" t="inlineStr">
        <is>
          <t>2026-10-12</t>
        </is>
      </c>
      <c r="H145" s="12" t="inlineStr">
        <is>
          <t>2026-10-12</t>
        </is>
      </c>
      <c r="I145" s="12" t="inlineStr">
        <is>
          <t>PLT-018</t>
        </is>
      </c>
      <c r="J145" s="12" t="inlineStr">
        <is>
          <t>-</t>
        </is>
      </c>
      <c r="K145" s="12" t="inlineStr">
        <is>
          <t>#145</t>
        </is>
      </c>
      <c r="L145" s="12" t="inlineStr">
        <is>
          <t>Used because Actions could not see PROD_DATABASE_URL.</t>
        </is>
      </c>
    </row>
    <row r="146" ht="27" customFormat="1" customHeight="1" s="2">
      <c r="A146" s="34" t="inlineStr">
        <is>
          <t>145</t>
        </is>
      </c>
      <c r="B146" s="12" t="inlineStr">
        <is>
          <t>Release: copy shops SQL mode (no application change)</t>
        </is>
      </c>
      <c r="C146" s="12" t="inlineStr">
        <is>
          <t>Release (staging -&gt; main)</t>
        </is>
      </c>
      <c r="D146" s="12" t="inlineStr">
        <is>
          <t>staging -&gt; main</t>
        </is>
      </c>
      <c r="E146" s="12" t="inlineStr">
        <is>
          <t>Production (main -&gt; gokesari.com)</t>
        </is>
      </c>
      <c r="F146" s="12" t="inlineStr">
        <is>
          <t>Merged</t>
        </is>
      </c>
      <c r="G146" s="12" t="inlineStr">
        <is>
          <t>2026-10-12</t>
        </is>
      </c>
      <c r="H146" s="12" t="inlineStr">
        <is>
          <t>2026-10-12</t>
        </is>
      </c>
      <c r="I146" s="12" t="inlineStr">
        <is>
          <t>-</t>
        </is>
      </c>
      <c r="J146" s="12" t="inlineStr">
        <is>
          <t>PLT-018</t>
        </is>
      </c>
      <c r="K146" s="12" t="inlineStr">
        <is>
          <t>Itself (merged to main)</t>
        </is>
      </c>
      <c r="L146" s="12" t="n"/>
    </row>
    <row r="147" ht="27" customFormat="1" customHeight="1" s="2">
      <c r="A147" s="34" t="inlineStr">
        <is>
          <t>146</t>
        </is>
      </c>
      <c r="B147" s="12" t="inlineStr">
        <is>
          <t>Seller/customer DB split tooling, document upload with auto-read, FSSAI for food shops, compact footer, green wordmark</t>
        </is>
      </c>
      <c r="C147" s="12" t="inlineStr">
        <is>
          <t>Feature</t>
        </is>
      </c>
      <c r="D147" s="12" t="inlineStr">
        <is>
          <t>claude/compassionate-galileo-6jpqg3 -&gt; staging</t>
        </is>
      </c>
      <c r="E147" s="12" t="inlineStr">
        <is>
          <t>Test site (staging -&gt; test.gokesari.com)</t>
        </is>
      </c>
      <c r="F147" s="12" t="inlineStr">
        <is>
          <t>Merged</t>
        </is>
      </c>
      <c r="G147" s="12" t="inlineStr">
        <is>
          <t>2026-10-13</t>
        </is>
      </c>
      <c r="H147" s="12" t="inlineStr">
        <is>
          <t>2026-10-13</t>
        </is>
      </c>
      <c r="I147" s="12" t="inlineStr">
        <is>
          <t>PLT-015, NEW-062, NEW-063, NEW-064</t>
        </is>
      </c>
      <c r="J147" s="12" t="inlineStr">
        <is>
          <t>-</t>
        </is>
      </c>
      <c r="K147" s="12" t="inlineStr">
        <is>
          <t>#149</t>
        </is>
      </c>
      <c r="L147" s="12" t="n"/>
    </row>
    <row r="148" ht="27" customFormat="1" customHeight="1" s="2">
      <c r="A148" s="34" t="inlineStr">
        <is>
          <t>147</t>
        </is>
      </c>
      <c r="B148" s="12" t="inlineStr">
        <is>
          <t>Document reader: 25 s limit, 'type the details' fallback, admin health check</t>
        </is>
      </c>
      <c r="C148" s="12" t="inlineStr">
        <is>
          <t>Fix / hotfix</t>
        </is>
      </c>
      <c r="D148" s="12" t="inlineStr">
        <is>
          <t>claude/compassionate-galileo-6jpqg3 -&gt; staging</t>
        </is>
      </c>
      <c r="E148" s="12" t="inlineStr">
        <is>
          <t>Test site (staging -&gt; test.gokesari.com)</t>
        </is>
      </c>
      <c r="F148" s="12" t="inlineStr">
        <is>
          <t>Merged</t>
        </is>
      </c>
      <c r="G148" s="12" t="inlineStr">
        <is>
          <t>2026-10-13</t>
        </is>
      </c>
      <c r="H148" s="12" t="inlineStr">
        <is>
          <t>2026-10-13</t>
        </is>
      </c>
      <c r="I148" s="12" t="inlineStr">
        <is>
          <t>NEW-062, QA-007</t>
        </is>
      </c>
      <c r="J148" s="12" t="inlineStr">
        <is>
          <t>-</t>
        </is>
      </c>
      <c r="K148" s="12" t="inlineStr">
        <is>
          <t>#149</t>
        </is>
      </c>
      <c r="L148" s="12" t="inlineStr">
        <is>
          <t>Fixed the staging 504 on the first read.</t>
        </is>
      </c>
    </row>
    <row r="149" ht="27" customFormat="1" customHeight="1" s="2">
      <c r="A149" s="34" t="inlineStr">
        <is>
          <t>148</t>
        </is>
      </c>
      <c r="B149" s="12" t="inlineStr">
        <is>
          <t>Ship the OCR model and WebAssembly with the document routes (Hostinger)</t>
        </is>
      </c>
      <c r="C149" s="12" t="inlineStr">
        <is>
          <t>Fix / hotfix</t>
        </is>
      </c>
      <c r="D149" s="12" t="inlineStr">
        <is>
          <t>claude/compassionate-galileo-6jpqg3 -&gt; staging</t>
        </is>
      </c>
      <c r="E149" s="12" t="inlineStr">
        <is>
          <t>Test site (staging -&gt; test.gokesari.com)</t>
        </is>
      </c>
      <c r="F149" s="12" t="inlineStr">
        <is>
          <t>Merged</t>
        </is>
      </c>
      <c r="G149" s="12" t="inlineStr">
        <is>
          <t>2026-10-13</t>
        </is>
      </c>
      <c r="H149" s="12" t="inlineStr">
        <is>
          <t>2026-10-13</t>
        </is>
      </c>
      <c r="I149" s="12" t="inlineStr">
        <is>
          <t>NEW-062</t>
        </is>
      </c>
      <c r="J149" s="12" t="inlineStr">
        <is>
          <t>-</t>
        </is>
      </c>
      <c r="K149" s="12" t="inlineStr">
        <is>
          <t>#149</t>
        </is>
      </c>
      <c r="L149" s="12" t="inlineStr">
        <is>
          <t>The OCR worker still does not start on Hostinger.</t>
        </is>
      </c>
    </row>
    <row r="150" ht="39" customFormat="1" customHeight="1" s="2">
      <c r="A150" s="34" t="inlineStr">
        <is>
          <t>149</t>
        </is>
      </c>
      <c r="B150" s="12" t="inlineStr">
        <is>
          <t>Release: compact footer, green wordmark, document upload + FSSAI for food shops, DB-split tooling</t>
        </is>
      </c>
      <c r="C150" s="12" t="inlineStr">
        <is>
          <t>Release (staging -&gt; main)</t>
        </is>
      </c>
      <c r="D150" s="12" t="inlineStr">
        <is>
          <t>staging -&gt; main</t>
        </is>
      </c>
      <c r="E150" s="12" t="inlineStr">
        <is>
          <t>Production (main -&gt; gokesari.com)</t>
        </is>
      </c>
      <c r="F150" s="12" t="inlineStr">
        <is>
          <t>Merged</t>
        </is>
      </c>
      <c r="G150" s="12" t="inlineStr">
        <is>
          <t>2026-10-13</t>
        </is>
      </c>
      <c r="H150" s="12" t="inlineStr">
        <is>
          <t>2026-10-13</t>
        </is>
      </c>
      <c r="I150" s="12" t="inlineStr">
        <is>
          <t>-</t>
        </is>
      </c>
      <c r="J150" s="12" t="inlineStr">
        <is>
          <t>NEW-062, NEW-063, NEW-064, PLT-015</t>
        </is>
      </c>
      <c r="K150" s="12" t="inlineStr">
        <is>
          <t>Itself (merged to main)</t>
        </is>
      </c>
      <c r="L150" s="12" t="inlineStr">
        <is>
          <t>Migration 0075 applied in the Hostinger build (06:42 UTC).</t>
        </is>
      </c>
    </row>
    <row r="151" ht="27" customFormat="1" customHeight="1" s="2">
      <c r="A151" s="34" t="inlineStr">
        <is>
          <t>150</t>
        </is>
      </c>
      <c r="B151" s="12" t="inlineStr">
        <is>
          <t>Footer: no stray '·' at the start of a wrapped line on phones; release test results</t>
        </is>
      </c>
      <c r="C151" s="12" t="inlineStr">
        <is>
          <t>Fix / hotfix</t>
        </is>
      </c>
      <c r="D151" s="12" t="inlineStr">
        <is>
          <t>claude/compassionate-galileo-6jpqg3 -&gt; staging</t>
        </is>
      </c>
      <c r="E151" s="12" t="inlineStr">
        <is>
          <t>Test site (staging -&gt; test.gokesari.com)</t>
        </is>
      </c>
      <c r="F151" s="12" t="inlineStr">
        <is>
          <t>Merged</t>
        </is>
      </c>
      <c r="G151" s="12" t="inlineStr">
        <is>
          <t>2026-10-13</t>
        </is>
      </c>
      <c r="H151" s="12" t="inlineStr">
        <is>
          <t>2026-10-13</t>
        </is>
      </c>
      <c r="I151" s="12" t="inlineStr">
        <is>
          <t>NEW-064, QA-007</t>
        </is>
      </c>
      <c r="J151" s="12" t="inlineStr">
        <is>
          <t>-</t>
        </is>
      </c>
      <c r="K151" s="12" t="inlineStr">
        <is>
          <t>#151</t>
        </is>
      </c>
      <c r="L151" s="12" t="n"/>
    </row>
    <row r="152" ht="27" customFormat="1" customHeight="1" s="2">
      <c r="A152" s="34" t="inlineStr">
        <is>
          <t>151</t>
        </is>
      </c>
      <c r="B152" s="12" t="inlineStr">
        <is>
          <t>Release: footer - no stray '·' at the start of a wrapped line on phones (#150)</t>
        </is>
      </c>
      <c r="C152" s="12" t="inlineStr">
        <is>
          <t>Release (staging -&gt; main)</t>
        </is>
      </c>
      <c r="D152" s="12" t="inlineStr">
        <is>
          <t>staging -&gt; main</t>
        </is>
      </c>
      <c r="E152" s="12" t="inlineStr">
        <is>
          <t>Production (main -&gt; gokesari.com)</t>
        </is>
      </c>
      <c r="F152" s="12" t="inlineStr">
        <is>
          <t>Merged</t>
        </is>
      </c>
      <c r="G152" s="12" t="inlineStr">
        <is>
          <t>2026-10-13</t>
        </is>
      </c>
      <c r="H152" s="12" t="inlineStr">
        <is>
          <t>2026-10-13</t>
        </is>
      </c>
      <c r="I152" s="12" t="inlineStr">
        <is>
          <t>-</t>
        </is>
      </c>
      <c r="J152" s="12" t="inlineStr">
        <is>
          <t>NEW-064</t>
        </is>
      </c>
      <c r="K152" s="12" t="inlineStr">
        <is>
          <t>Itself (merged to main)</t>
        </is>
      </c>
      <c r="L152" s="12" t="n"/>
    </row>
    <row r="153" ht="27" customFormat="1" customHeight="1" s="2">
      <c r="A153" s="34" t="inlineStr">
        <is>
          <t>152</t>
        </is>
      </c>
      <c r="B153" s="12" t="inlineStr">
        <is>
          <t>DB split: stop the copy hanging on Neon; accept Neon's channel_binding URLs</t>
        </is>
      </c>
      <c r="C153" s="12" t="inlineStr">
        <is>
          <t>Fix / hotfix</t>
        </is>
      </c>
      <c r="D153" s="12" t="inlineStr">
        <is>
          <t>claude/compassionate-galileo-6jpqg3 -&gt; staging</t>
        </is>
      </c>
      <c r="E153" s="12" t="inlineStr">
        <is>
          <t>Test site (staging -&gt; test.gokesari.com)</t>
        </is>
      </c>
      <c r="F153" s="12" t="inlineStr">
        <is>
          <t>Merged</t>
        </is>
      </c>
      <c r="G153" s="12" t="inlineStr">
        <is>
          <t>2026-10-13</t>
        </is>
      </c>
      <c r="H153" s="12" t="inlineStr">
        <is>
          <t>2026-10-13</t>
        </is>
      </c>
      <c r="I153" s="12" t="inlineStr">
        <is>
          <t>PLT-015</t>
        </is>
      </c>
      <c r="J153" s="12" t="inlineStr">
        <is>
          <t>-</t>
        </is>
      </c>
      <c r="K153" s="12" t="inlineStr">
        <is>
          <t>#157</t>
        </is>
      </c>
      <c r="L153" s="12" t="n"/>
    </row>
    <row r="154" ht="27" customFormat="1" customHeight="1" s="2">
      <c r="A154" s="34" t="inlineStr">
        <is>
          <t>153</t>
        </is>
      </c>
      <c r="B154" s="12" t="inlineStr">
        <is>
          <t>Saffron GoKesari wordmark, and an iPhone build workflow</t>
        </is>
      </c>
      <c r="C154" s="12" t="inlineStr">
        <is>
          <t>Branding</t>
        </is>
      </c>
      <c r="D154" s="12" t="inlineStr">
        <is>
          <t>claude/adoring-hawking-5palvj -&gt; staging</t>
        </is>
      </c>
      <c r="E154" s="12" t="inlineStr">
        <is>
          <t>Test site (staging -&gt; test.gokesari.com)</t>
        </is>
      </c>
      <c r="F154" s="12" t="inlineStr">
        <is>
          <t>Merged</t>
        </is>
      </c>
      <c r="G154" s="12" t="inlineStr">
        <is>
          <t>2026-10-13</t>
        </is>
      </c>
      <c r="H154" s="12" t="inlineStr">
        <is>
          <t>2026-10-13</t>
        </is>
      </c>
      <c r="I154" s="12" t="inlineStr">
        <is>
          <t>NEW-064, PLT-017</t>
        </is>
      </c>
      <c r="J154" s="12" t="inlineStr">
        <is>
          <t>-</t>
        </is>
      </c>
      <c r="K154" s="12" t="inlineStr">
        <is>
          <t>#157</t>
        </is>
      </c>
      <c r="L154" s="12" t="n"/>
    </row>
    <row r="155" ht="27" customFormat="1" customHeight="1" s="2">
      <c r="A155" s="34" t="inlineStr">
        <is>
          <t>154</t>
        </is>
      </c>
      <c r="B155" s="12" t="inlineStr">
        <is>
          <t>DB split: test verification report (PASS)</t>
        </is>
      </c>
      <c r="C155" s="12" t="inlineStr">
        <is>
          <t>Docs / reports</t>
        </is>
      </c>
      <c r="D155" s="12" t="inlineStr">
        <is>
          <t>claude/compassionate-galileo-6jpqg3 -&gt; staging</t>
        </is>
      </c>
      <c r="E155" s="12" t="inlineStr">
        <is>
          <t>Test site (staging -&gt; test.gokesari.com)</t>
        </is>
      </c>
      <c r="F155" s="12" t="inlineStr">
        <is>
          <t>Merged</t>
        </is>
      </c>
      <c r="G155" s="12" t="inlineStr">
        <is>
          <t>2026-10-13</t>
        </is>
      </c>
      <c r="H155" s="12" t="inlineStr">
        <is>
          <t>2026-10-13</t>
        </is>
      </c>
      <c r="I155" s="12" t="inlineStr">
        <is>
          <t>PLT-015, QA-007</t>
        </is>
      </c>
      <c r="J155" s="12" t="inlineStr">
        <is>
          <t>-</t>
        </is>
      </c>
      <c r="K155" s="12" t="inlineStr">
        <is>
          <t>#157</t>
        </is>
      </c>
      <c r="L155" s="12" t="n"/>
    </row>
    <row r="156" ht="27" customFormat="1" customHeight="1" s="2">
      <c r="A156" s="34" t="inlineStr">
        <is>
          <t>155</t>
        </is>
      </c>
      <c r="B156" s="12" t="inlineStr">
        <is>
          <t>Release: DB split tool fixes (#152) - copy no longer hangs on Neon; channel_binding URLs accepted</t>
        </is>
      </c>
      <c r="C156" s="12" t="inlineStr">
        <is>
          <t>Release (staging -&gt; main)</t>
        </is>
      </c>
      <c r="D156" s="12" t="inlineStr">
        <is>
          <t>staging -&gt; main</t>
        </is>
      </c>
      <c r="E156" s="12" t="inlineStr">
        <is>
          <t>Production (main -&gt; gokesari.com)</t>
        </is>
      </c>
      <c r="F156" s="12" t="inlineStr">
        <is>
          <t>Closed - not merged</t>
        </is>
      </c>
      <c r="G156" s="12" t="inlineStr">
        <is>
          <t>2026-10-13</t>
        </is>
      </c>
      <c r="H156" s="12" t="inlineStr">
        <is>
          <t>2026-10-13</t>
        </is>
      </c>
      <c r="I156" s="12" t="inlineStr">
        <is>
          <t>-</t>
        </is>
      </c>
      <c r="J156" s="12" t="inlineStr">
        <is>
          <t>-</t>
        </is>
      </c>
      <c r="K156" s="12" t="inlineStr">
        <is>
          <t>-</t>
        </is>
      </c>
      <c r="L156" s="12" t="inlineStr">
        <is>
          <t>Closed unmerged; superseded by #157.</t>
        </is>
      </c>
    </row>
    <row r="157" ht="27" customFormat="1" customHeight="1" s="2">
      <c r="A157" s="34" t="inlineStr">
        <is>
          <t>156</t>
        </is>
      </c>
      <c r="B157" s="12" t="inlineStr">
        <is>
          <t>Docs: record the copy of the 5 real shops to production</t>
        </is>
      </c>
      <c r="C157" s="12" t="inlineStr">
        <is>
          <t>Docs / reports</t>
        </is>
      </c>
      <c r="D157" s="12" t="inlineStr">
        <is>
          <t>claude/clever-dijkstra-beqakc -&gt; staging</t>
        </is>
      </c>
      <c r="E157" s="12" t="inlineStr">
        <is>
          <t>Test site (staging -&gt; test.gokesari.com)</t>
        </is>
      </c>
      <c r="F157" s="12" t="inlineStr">
        <is>
          <t>Merged</t>
        </is>
      </c>
      <c r="G157" s="12" t="inlineStr">
        <is>
          <t>2026-10-13</t>
        </is>
      </c>
      <c r="H157" s="12" t="inlineStr">
        <is>
          <t>2026-10-13</t>
        </is>
      </c>
      <c r="I157" s="12" t="inlineStr">
        <is>
          <t>PLT-018</t>
        </is>
      </c>
      <c r="J157" s="12" t="inlineStr">
        <is>
          <t>-</t>
        </is>
      </c>
      <c r="K157" s="12" t="inlineStr">
        <is>
          <t>#157</t>
        </is>
      </c>
      <c r="L157" s="12" t="n"/>
    </row>
    <row r="158" ht="39" customFormat="1" customHeight="1" s="2">
      <c r="A158" s="34" t="inlineStr">
        <is>
          <t>157</t>
        </is>
      </c>
      <c r="B158" s="12" t="inlineStr">
        <is>
          <t>Release: saffron GoKesari wordmark, DB split tool fixes, iPhone build workflow</t>
        </is>
      </c>
      <c r="C158" s="12" t="inlineStr">
        <is>
          <t>Release (staging -&gt; main)</t>
        </is>
      </c>
      <c r="D158" s="12" t="inlineStr">
        <is>
          <t>staging -&gt; main</t>
        </is>
      </c>
      <c r="E158" s="12" t="inlineStr">
        <is>
          <t>Production (main -&gt; gokesari.com)</t>
        </is>
      </c>
      <c r="F158" s="12" t="inlineStr">
        <is>
          <t>Merged</t>
        </is>
      </c>
      <c r="G158" s="12" t="inlineStr">
        <is>
          <t>2026-10-13</t>
        </is>
      </c>
      <c r="H158" s="12" t="inlineStr">
        <is>
          <t>2026-10-13</t>
        </is>
      </c>
      <c r="I158" s="12" t="inlineStr">
        <is>
          <t>-</t>
        </is>
      </c>
      <c r="J158" s="12" t="inlineStr">
        <is>
          <t>NEW-064, PLT-015, PLT-017, PLT-018</t>
        </is>
      </c>
      <c r="K158" s="12" t="inlineStr">
        <is>
          <t>Itself (merged to main)</t>
        </is>
      </c>
      <c r="L158" s="12" t="n"/>
    </row>
    <row r="159" ht="27" customFormat="1" customHeight="1" s="2">
      <c r="A159" s="34" t="inlineStr">
        <is>
          <t>158</t>
        </is>
      </c>
      <c r="B159" s="12" t="inlineStr">
        <is>
          <t>DB split: leave Neon's sample table (playing_with_neon) in the source</t>
        </is>
      </c>
      <c r="C159" s="12" t="inlineStr">
        <is>
          <t>Fix / hotfix</t>
        </is>
      </c>
      <c r="D159" s="12" t="inlineStr">
        <is>
          <t>claude/compassionate-galileo-6jpqg3 -&gt; staging</t>
        </is>
      </c>
      <c r="E159" s="12" t="inlineStr">
        <is>
          <t>Test site (staging -&gt; test.gokesari.com)</t>
        </is>
      </c>
      <c r="F159" s="12" t="inlineStr">
        <is>
          <t>Merged</t>
        </is>
      </c>
      <c r="G159" s="12" t="inlineStr">
        <is>
          <t>2026-10-13</t>
        </is>
      </c>
      <c r="H159" s="12" t="inlineStr">
        <is>
          <t>2026-10-13</t>
        </is>
      </c>
      <c r="I159" s="12" t="inlineStr">
        <is>
          <t>PLT-015</t>
        </is>
      </c>
      <c r="J159" s="12" t="inlineStr">
        <is>
          <t>-</t>
        </is>
      </c>
      <c r="K159" s="12" t="inlineStr">
        <is>
          <t>#159</t>
        </is>
      </c>
      <c r="L159" s="12" t="n"/>
    </row>
    <row r="160" ht="27" customFormat="1" customHeight="1" s="2">
      <c r="A160" s="34" t="inlineStr">
        <is>
          <t>159</t>
        </is>
      </c>
      <c r="B160" s="12" t="inlineStr">
        <is>
          <t>Release: DB split leaves Neon's sample table in the source (#158)</t>
        </is>
      </c>
      <c r="C160" s="12" t="inlineStr">
        <is>
          <t>Release (staging -&gt; main)</t>
        </is>
      </c>
      <c r="D160" s="12" t="inlineStr">
        <is>
          <t>staging -&gt; main</t>
        </is>
      </c>
      <c r="E160" s="12" t="inlineStr">
        <is>
          <t>Production (main -&gt; gokesari.com)</t>
        </is>
      </c>
      <c r="F160" s="12" t="inlineStr">
        <is>
          <t>Merged</t>
        </is>
      </c>
      <c r="G160" s="12" t="inlineStr">
        <is>
          <t>2026-10-13</t>
        </is>
      </c>
      <c r="H160" s="12" t="inlineStr">
        <is>
          <t>2026-10-13</t>
        </is>
      </c>
      <c r="I160" s="12" t="inlineStr">
        <is>
          <t>-</t>
        </is>
      </c>
      <c r="J160" s="12" t="inlineStr">
        <is>
          <t>PLT-015</t>
        </is>
      </c>
      <c r="K160" s="12" t="inlineStr">
        <is>
          <t>Itself (merged to main)</t>
        </is>
      </c>
      <c r="L160" s="12" t="n"/>
    </row>
    <row r="161" ht="27" customFormat="1" customHeight="1" s="2">
      <c r="A161" s="34" t="inlineStr">
        <is>
          <t>160</t>
        </is>
      </c>
      <c r="B161" s="12" t="inlineStr">
        <is>
          <t>DB split: say which roles point at the same database</t>
        </is>
      </c>
      <c r="C161" s="12" t="inlineStr">
        <is>
          <t>Improvement</t>
        </is>
      </c>
      <c r="D161" s="12" t="inlineStr">
        <is>
          <t>claude/compassionate-galileo-6jpqg3 -&gt; staging</t>
        </is>
      </c>
      <c r="E161" s="12" t="inlineStr">
        <is>
          <t>Test site (staging -&gt; test.gokesari.com)</t>
        </is>
      </c>
      <c r="F161" s="12" t="inlineStr">
        <is>
          <t>Merged</t>
        </is>
      </c>
      <c r="G161" s="12" t="inlineStr">
        <is>
          <t>2026-10-13</t>
        </is>
      </c>
      <c r="H161" s="12" t="inlineStr">
        <is>
          <t>2026-10-13</t>
        </is>
      </c>
      <c r="I161" s="12" t="inlineStr">
        <is>
          <t>PLT-015</t>
        </is>
      </c>
      <c r="J161" s="12" t="inlineStr">
        <is>
          <t>-</t>
        </is>
      </c>
      <c r="K161" s="12" t="inlineStr">
        <is>
          <t>#161</t>
        </is>
      </c>
      <c r="L161" s="12" t="n"/>
    </row>
    <row r="162" ht="27" customFormat="1" customHeight="1" s="2">
      <c r="A162" s="34" t="inlineStr">
        <is>
          <t>161</t>
        </is>
      </c>
      <c r="B162" s="12" t="inlineStr">
        <is>
          <t>Release: DB split names the roles that point at the same database (#160)</t>
        </is>
      </c>
      <c r="C162" s="12" t="inlineStr">
        <is>
          <t>Release (staging -&gt; main)</t>
        </is>
      </c>
      <c r="D162" s="12" t="inlineStr">
        <is>
          <t>staging -&gt; main</t>
        </is>
      </c>
      <c r="E162" s="12" t="inlineStr">
        <is>
          <t>Production (main -&gt; gokesari.com)</t>
        </is>
      </c>
      <c r="F162" s="12" t="inlineStr">
        <is>
          <t>Merged</t>
        </is>
      </c>
      <c r="G162" s="12" t="inlineStr">
        <is>
          <t>2026-10-13</t>
        </is>
      </c>
      <c r="H162" s="12" t="inlineStr">
        <is>
          <t>2026-10-13</t>
        </is>
      </c>
      <c r="I162" s="12" t="inlineStr">
        <is>
          <t>-</t>
        </is>
      </c>
      <c r="J162" s="12" t="inlineStr">
        <is>
          <t>PLT-015</t>
        </is>
      </c>
      <c r="K162" s="12" t="inlineStr">
        <is>
          <t>Itself (merged to main)</t>
        </is>
      </c>
      <c r="L162" s="12" t="n"/>
    </row>
    <row r="163" ht="27" customFormat="1" customHeight="1" s="2">
      <c r="A163" s="34" t="inlineStr">
        <is>
          <t>162</t>
        </is>
      </c>
      <c r="B163" s="12" t="inlineStr">
        <is>
          <t>DB split: log which database each secret points at</t>
        </is>
      </c>
      <c r="C163" s="12" t="inlineStr">
        <is>
          <t>Improvement</t>
        </is>
      </c>
      <c r="D163" s="12" t="inlineStr">
        <is>
          <t>claude/compassionate-galileo-6jpqg3 -&gt; staging</t>
        </is>
      </c>
      <c r="E163" s="12" t="inlineStr">
        <is>
          <t>Test site (staging -&gt; test.gokesari.com)</t>
        </is>
      </c>
      <c r="F163" s="12" t="inlineStr">
        <is>
          <t>Merged</t>
        </is>
      </c>
      <c r="G163" s="12" t="inlineStr">
        <is>
          <t>2026-10-14</t>
        </is>
      </c>
      <c r="H163" s="12" t="inlineStr">
        <is>
          <t>2026-10-14</t>
        </is>
      </c>
      <c r="I163" s="12" t="inlineStr">
        <is>
          <t>PLT-015</t>
        </is>
      </c>
      <c r="J163" s="12" t="inlineStr">
        <is>
          <t>-</t>
        </is>
      </c>
      <c r="K163" s="12" t="inlineStr">
        <is>
          <t>#163</t>
        </is>
      </c>
      <c r="L163" s="12" t="n"/>
    </row>
    <row r="164" ht="27" customFormat="1" customHeight="1" s="2">
      <c r="A164" s="34" t="inlineStr">
        <is>
          <t>163</t>
        </is>
      </c>
      <c r="B164" s="12" t="inlineStr">
        <is>
          <t>Release: DB split logs which database each secret points at (#162)</t>
        </is>
      </c>
      <c r="C164" s="12" t="inlineStr">
        <is>
          <t>Release (staging -&gt; main)</t>
        </is>
      </c>
      <c r="D164" s="12" t="inlineStr">
        <is>
          <t>staging -&gt; main</t>
        </is>
      </c>
      <c r="E164" s="12" t="inlineStr">
        <is>
          <t>Production (main -&gt; gokesari.com)</t>
        </is>
      </c>
      <c r="F164" s="12" t="inlineStr">
        <is>
          <t>Merged</t>
        </is>
      </c>
      <c r="G164" s="12" t="inlineStr">
        <is>
          <t>2026-10-14</t>
        </is>
      </c>
      <c r="H164" s="12" t="inlineStr">
        <is>
          <t>2026-10-14</t>
        </is>
      </c>
      <c r="I164" s="12" t="inlineStr">
        <is>
          <t>-</t>
        </is>
      </c>
      <c r="J164" s="12" t="inlineStr">
        <is>
          <t>PLT-015</t>
        </is>
      </c>
      <c r="K164" s="12" t="inlineStr">
        <is>
          <t>Itself (merged to main)</t>
        </is>
      </c>
      <c r="L164" s="12" t="n"/>
    </row>
    <row r="165" ht="27" customFormat="1" customHeight="1" s="2">
      <c r="A165" s="34" t="inlineStr">
        <is>
          <t>164</t>
        </is>
      </c>
      <c r="B165" s="12" t="inlineStr">
        <is>
          <t>DB split: production verification report (PASS)</t>
        </is>
      </c>
      <c r="C165" s="12" t="inlineStr">
        <is>
          <t>Docs / reports</t>
        </is>
      </c>
      <c r="D165" s="12" t="inlineStr">
        <is>
          <t>claude/compassionate-galileo-6jpqg3 -&gt; staging</t>
        </is>
      </c>
      <c r="E165" s="12" t="inlineStr">
        <is>
          <t>Test site (staging -&gt; test.gokesari.com)</t>
        </is>
      </c>
      <c r="F165" s="12" t="inlineStr">
        <is>
          <t>Merged</t>
        </is>
      </c>
      <c r="G165" s="12" t="inlineStr">
        <is>
          <t>2026-10-14</t>
        </is>
      </c>
      <c r="H165" s="12" t="inlineStr">
        <is>
          <t>2026-10-14</t>
        </is>
      </c>
      <c r="I165" s="12" t="inlineStr">
        <is>
          <t>PLT-015</t>
        </is>
      </c>
      <c r="J165" s="12" t="inlineStr">
        <is>
          <t>-</t>
        </is>
      </c>
      <c r="K165" s="12" t="inlineStr">
        <is>
          <t>#165</t>
        </is>
      </c>
      <c r="L165" s="12" t="n"/>
    </row>
    <row r="166" ht="27" customFormat="1" customHeight="1" s="2">
      <c r="A166" s="34" t="inlineStr">
        <is>
          <t>165</t>
        </is>
      </c>
      <c r="B166" s="12" t="inlineStr">
        <is>
          <t>Release: production DB split verification report (#164)</t>
        </is>
      </c>
      <c r="C166" s="12" t="inlineStr">
        <is>
          <t>Release (staging -&gt; main)</t>
        </is>
      </c>
      <c r="D166" s="12" t="inlineStr">
        <is>
          <t>staging -&gt; main</t>
        </is>
      </c>
      <c r="E166" s="12" t="inlineStr">
        <is>
          <t>Production (main -&gt; gokesari.com)</t>
        </is>
      </c>
      <c r="F166" s="12" t="inlineStr">
        <is>
          <t>Merged</t>
        </is>
      </c>
      <c r="G166" s="12" t="inlineStr">
        <is>
          <t>2026-10-14</t>
        </is>
      </c>
      <c r="H166" s="12" t="inlineStr">
        <is>
          <t>2026-10-14</t>
        </is>
      </c>
      <c r="I166" s="12" t="inlineStr">
        <is>
          <t>-</t>
        </is>
      </c>
      <c r="J166" s="12" t="inlineStr">
        <is>
          <t>PLT-015</t>
        </is>
      </c>
      <c r="K166" s="12" t="inlineStr">
        <is>
          <t>Itself (merged to main)</t>
        </is>
      </c>
      <c r="L166" s="12" t="inlineStr">
        <is>
          <t>Docs only; staging and main the same code afterwards.</t>
        </is>
      </c>
    </row>
    <row r="167" ht="27" customFormat="1" customHeight="1" s="2">
      <c r="A167" s="34" t="inlineStr">
        <is>
          <t>166</t>
        </is>
      </c>
      <c r="B167" s="12" t="inlineStr">
        <is>
          <t>Feature, process-flow and PR status workbook (14 Oct 2026)</t>
        </is>
      </c>
      <c r="C167" s="12" t="inlineStr">
        <is>
          <t>Docs / reports</t>
        </is>
      </c>
      <c r="D167" s="12" t="inlineStr">
        <is>
          <t>claude/peaceful-pascal-jai8w2 -&gt; main</t>
        </is>
      </c>
      <c r="E167" s="12" t="inlineStr">
        <is>
          <t>Production (main -&gt; gokesari.com)</t>
        </is>
      </c>
      <c r="F167" s="12" t="inlineStr">
        <is>
          <t>Merged</t>
        </is>
      </c>
      <c r="G167" s="12" t="inlineStr">
        <is>
          <t>2026-10-14</t>
        </is>
      </c>
      <c r="H167" s="12" t="inlineStr">
        <is>
          <t>2026-10-14</t>
        </is>
      </c>
      <c r="I167" s="12" t="inlineStr">
        <is>
          <t>-</t>
        </is>
      </c>
      <c r="J167" s="12" t="inlineStr">
        <is>
          <t>-</t>
        </is>
      </c>
      <c r="K167" s="12" t="inlineStr">
        <is>
          <t>Not needed (docs)</t>
        </is>
      </c>
      <c r="L167" s="12" t="n"/>
    </row>
    <row r="168" ht="27" customFormat="1" customHeight="1" s="2">
      <c r="A168" s="34" t="inlineStr">
        <is>
          <t>167</t>
        </is>
      </c>
      <c r="B168" s="12" t="inlineStr">
        <is>
          <t>Test results tracker (14 Oct 2026)</t>
        </is>
      </c>
      <c r="C168" s="12" t="inlineStr">
        <is>
          <t>Docs / reports</t>
        </is>
      </c>
      <c r="D168" s="12" t="inlineStr">
        <is>
          <t>claude/peaceful-pascal-jai8w2 -&gt; main</t>
        </is>
      </c>
      <c r="E168" s="12" t="inlineStr">
        <is>
          <t>Production (main -&gt; gokesari.com)</t>
        </is>
      </c>
      <c r="F168" s="12" t="inlineStr">
        <is>
          <t>Merged</t>
        </is>
      </c>
      <c r="G168" s="12" t="inlineStr">
        <is>
          <t>2026-10-14</t>
        </is>
      </c>
      <c r="H168" s="12" t="inlineStr">
        <is>
          <t>2026-10-14</t>
        </is>
      </c>
      <c r="I168" s="12" t="inlineStr">
        <is>
          <t>-</t>
        </is>
      </c>
      <c r="J168" s="12" t="inlineStr">
        <is>
          <t>-</t>
        </is>
      </c>
      <c r="K168" s="12" t="inlineStr">
        <is>
          <t>Not needed (docs)</t>
        </is>
      </c>
      <c r="L168" s="12" t="n"/>
    </row>
    <row r="169" ht="27" customFormat="1" customHeight="1" s="2">
      <c r="A169" s="34" t="inlineStr">
        <is>
          <t>168</t>
        </is>
      </c>
      <c r="B169" s="12" t="inlineStr">
        <is>
          <t>Seller Central: shop switcher for owners with more than one shop</t>
        </is>
      </c>
      <c r="C169" s="12" t="inlineStr">
        <is>
          <t>Fix / hotfix</t>
        </is>
      </c>
      <c r="D169" s="12" t="inlineStr">
        <is>
          <t>claude/peaceful-pascal-jai8w2 -&gt; staging</t>
        </is>
      </c>
      <c r="E169" s="12" t="inlineStr">
        <is>
          <t>Test site (staging -&gt; test.gokesari.com)</t>
        </is>
      </c>
      <c r="F169" s="12" t="inlineStr">
        <is>
          <t>Merged</t>
        </is>
      </c>
      <c r="G169" s="12" t="inlineStr">
        <is>
          <t>2026-10-14</t>
        </is>
      </c>
      <c r="H169" s="12" t="inlineStr">
        <is>
          <t>2026-10-14</t>
        </is>
      </c>
      <c r="I169" s="12" t="inlineStr">
        <is>
          <t>NEW-066, QA-008</t>
        </is>
      </c>
      <c r="J169" s="12" t="inlineStr">
        <is>
          <t>-</t>
        </is>
      </c>
      <c r="K169" s="12" t="inlineStr">
        <is>
          <t>Not yet (test site only)</t>
        </is>
      </c>
      <c r="L169" s="12" t="inlineStr">
        <is>
          <t>Found by the 14 Oct order-lifecycle run; re-checked on test (TR-23).</t>
        </is>
      </c>
    </row>
    <row r="170" ht="27" customFormat="1" customHeight="1" s="2">
      <c r="A170" s="34" t="inlineStr">
        <is>
          <t>169</t>
        </is>
      </c>
      <c r="B170" s="12" t="inlineStr">
        <is>
          <t>Document upload: read photos in the owner's browser (fixes D-18)</t>
        </is>
      </c>
      <c r="C170" s="12" t="inlineStr">
        <is>
          <t>Fix / hotfix</t>
        </is>
      </c>
      <c r="D170" s="12" t="inlineStr">
        <is>
          <t>claude/gracious-einstein-24qjjh -&gt; staging</t>
        </is>
      </c>
      <c r="E170" s="12" t="inlineStr">
        <is>
          <t>Test site (staging -&gt; test.gokesari.com)</t>
        </is>
      </c>
      <c r="F170" s="12" t="inlineStr">
        <is>
          <t>Merged</t>
        </is>
      </c>
      <c r="G170" s="12" t="inlineStr">
        <is>
          <t>2026-10-14</t>
        </is>
      </c>
      <c r="H170" s="12" t="inlineStr">
        <is>
          <t>2026-10-14</t>
        </is>
      </c>
      <c r="I170" s="12" t="inlineStr">
        <is>
          <t>NEW-062</t>
        </is>
      </c>
      <c r="J170" s="12" t="inlineStr">
        <is>
          <t>NEW-062</t>
        </is>
      </c>
      <c r="K170" s="12" t="inlineStr">
        <is>
          <t>#175 (cherry-pick); #177</t>
        </is>
      </c>
      <c r="L170" s="12" t="inlineStr">
        <is>
          <t>CSP adds 'wasm-unsafe-eval'; switch DOCUMENT_OCR_BROWSER=off goes back to server-only. Verified on test 15 Oct (TR-26).</t>
        </is>
      </c>
    </row>
    <row r="171" ht="27" customFormat="1" customHeight="1" s="2">
      <c r="A171" s="34" t="inlineStr">
        <is>
          <t>170</t>
        </is>
      </c>
      <c r="B171" s="12" t="inlineStr">
        <is>
          <t>Order lifecycle on staging (14 Oct): test results and tracker update</t>
        </is>
      </c>
      <c r="C171" s="12" t="inlineStr">
        <is>
          <t>Docs / reports</t>
        </is>
      </c>
      <c r="D171" s="12" t="inlineStr">
        <is>
          <t>claude/peaceful-pascal-jai8w2 -&gt; main</t>
        </is>
      </c>
      <c r="E171" s="12" t="inlineStr">
        <is>
          <t>Production (main -&gt; gokesari.com)</t>
        </is>
      </c>
      <c r="F171" s="12" t="inlineStr">
        <is>
          <t>Merged</t>
        </is>
      </c>
      <c r="G171" s="12" t="inlineStr">
        <is>
          <t>2026-10-14</t>
        </is>
      </c>
      <c r="H171" s="12" t="inlineStr">
        <is>
          <t>2026-10-15</t>
        </is>
      </c>
      <c r="I171" s="12" t="inlineStr">
        <is>
          <t>QA-008</t>
        </is>
      </c>
      <c r="J171" s="12" t="inlineStr">
        <is>
          <t>-</t>
        </is>
      </c>
      <c r="K171" s="12" t="inlineStr">
        <is>
          <t>Not needed (docs)</t>
        </is>
      </c>
      <c r="L171" s="12" t="inlineStr">
        <is>
          <t>Merged by the owner 15 Oct; results, tracker and the morning 15 Oct status report.</t>
        </is>
      </c>
    </row>
    <row r="172" ht="27" customFormat="1" customHeight="1" s="2">
      <c r="A172" s="34" t="inlineStr">
        <is>
          <t>171</t>
        </is>
      </c>
      <c r="B172" s="12" t="inlineStr">
        <is>
          <t>Inventory &amp; Accounting for shop owners: stock ledger, books, GST portal, supplier bill scan/upload</t>
        </is>
      </c>
      <c r="C172" s="12" t="inlineStr">
        <is>
          <t>Feature</t>
        </is>
      </c>
      <c r="D172" s="12" t="inlineStr">
        <is>
          <t>claude/nice-cori-6p1wb2 -&gt; staging</t>
        </is>
      </c>
      <c r="E172" s="12" t="inlineStr">
        <is>
          <t>Test site (staging -&gt; test.gokesari.com)</t>
        </is>
      </c>
      <c r="F172" s="12" t="inlineStr">
        <is>
          <t>Merged</t>
        </is>
      </c>
      <c r="G172" s="12" t="inlineStr">
        <is>
          <t>2026-10-15</t>
        </is>
      </c>
      <c r="H172" s="12" t="inlineStr">
        <is>
          <t>2026-10-15</t>
        </is>
      </c>
      <c r="I172" s="12" t="inlineStr">
        <is>
          <t>NEW-067</t>
        </is>
      </c>
      <c r="J172" s="12" t="inlineStr">
        <is>
          <t>NEW-067</t>
        </is>
      </c>
      <c r="K172" s="12" t="inlineStr">
        <is>
          <t>#179 (15 Oct)</t>
        </is>
      </c>
      <c r="L172" s="12" t="inlineStr">
        <is>
          <t>Migration 0076 (24 tables, additive; rollback-0076.sql).</t>
        </is>
      </c>
    </row>
    <row r="173" ht="39" customHeight="1">
      <c r="A173" s="34" t="n">
        <v>172</v>
      </c>
      <c r="B173" s="12" t="inlineStr">
        <is>
          <t>Inventory &amp; Accounting: staging findings - fast GST figures, cancel = SALE_RETURN (0078), share-target redirect, live test scripts</t>
        </is>
      </c>
      <c r="C173" s="12" t="inlineStr">
        <is>
          <t>Fix / hotfix</t>
        </is>
      </c>
      <c r="D173" s="12" t="inlineStr">
        <is>
          <t>claude/nice-cori-6p1wb2 -&gt; staging</t>
        </is>
      </c>
      <c r="E173" s="12" t="inlineStr">
        <is>
          <t>Test site (staging -&gt; test.gokesari.com)</t>
        </is>
      </c>
      <c r="F173" s="12" t="inlineStr">
        <is>
          <t>Merged</t>
        </is>
      </c>
      <c r="G173" s="12" t="inlineStr">
        <is>
          <t>2026-10-15</t>
        </is>
      </c>
      <c r="H173" s="12" t="inlineStr">
        <is>
          <t>2026-10-15</t>
        </is>
      </c>
      <c r="I173" s="12" t="inlineStr">
        <is>
          <t>NEW-067</t>
        </is>
      </c>
      <c r="J173" s="12" t="inlineStr">
        <is>
          <t>NEW-067</t>
        </is>
      </c>
      <c r="K173" s="12" t="inlineStr">
        <is>
          <t>#179 (15 Oct)</t>
        </is>
      </c>
      <c r="L173" s="12" t="inlineStr">
        <is>
          <t>Migration 0078 (trigger function only; rollback-0078.sql). Board/GST page ~40 s -&gt; ~4 s on test.</t>
        </is>
      </c>
    </row>
    <row r="174" ht="27" customHeight="1">
      <c r="A174" s="34" t="n">
        <v>173</v>
      </c>
      <c r="B174" s="12" t="inlineStr">
        <is>
          <t>Bulk product upload (Excel/CSV) with shop inventory update</t>
        </is>
      </c>
      <c r="C174" s="12" t="inlineStr">
        <is>
          <t>Feature</t>
        </is>
      </c>
      <c r="D174" s="12" t="inlineStr">
        <is>
          <t>claude/amazing-ritchie-9vlq9f -&gt; staging</t>
        </is>
      </c>
      <c r="E174" s="12" t="inlineStr">
        <is>
          <t>Test site (staging -&gt; test.gokesari.com)</t>
        </is>
      </c>
      <c r="F174" s="12" t="inlineStr">
        <is>
          <t>Merged</t>
        </is>
      </c>
      <c r="G174" s="12" t="inlineStr">
        <is>
          <t>2026-10-15</t>
        </is>
      </c>
      <c r="H174" s="12" t="inlineStr">
        <is>
          <t>2026-10-15</t>
        </is>
      </c>
      <c r="I174" s="12" t="inlineStr">
        <is>
          <t>GS-013</t>
        </is>
      </c>
      <c r="J174" s="12" t="inlineStr">
        <is>
          <t>-</t>
        </is>
      </c>
      <c r="K174" s="12" t="inlineStr">
        <is>
          <t>#179</t>
        </is>
      </c>
      <c r="L174" s="12" t="inlineStr">
        <is>
          <t>Migration 0077.</t>
        </is>
      </c>
    </row>
    <row r="175" ht="27" customHeight="1">
      <c r="A175" s="34" t="n">
        <v>174</v>
      </c>
      <c r="B175" s="12" t="inlineStr">
        <is>
          <t>Bulk product upload: live test run on test.gokesari.com (23/23 pass)</t>
        </is>
      </c>
      <c r="C175" s="12" t="inlineStr">
        <is>
          <t>QA / tests</t>
        </is>
      </c>
      <c r="D175" s="12" t="inlineStr">
        <is>
          <t>claude/amazing-ritchie-9vlq9f -&gt; staging</t>
        </is>
      </c>
      <c r="E175" s="12" t="inlineStr">
        <is>
          <t>Test site (staging -&gt; test.gokesari.com)</t>
        </is>
      </c>
      <c r="F175" s="12" t="inlineStr">
        <is>
          <t>Merged</t>
        </is>
      </c>
      <c r="G175" s="12" t="inlineStr">
        <is>
          <t>2026-10-15</t>
        </is>
      </c>
      <c r="H175" s="12" t="inlineStr">
        <is>
          <t>2026-10-15</t>
        </is>
      </c>
      <c r="I175" s="12" t="inlineStr">
        <is>
          <t>GS-013</t>
        </is>
      </c>
      <c r="J175" s="12" t="inlineStr">
        <is>
          <t>-</t>
        </is>
      </c>
      <c r="K175" s="12" t="inlineStr">
        <is>
          <t>#179</t>
        </is>
      </c>
      <c r="L175" s="12" t="n"/>
    </row>
    <row r="176" ht="27" customHeight="1">
      <c r="A176" s="34" t="n">
        <v>175</v>
      </c>
      <c r="B176" s="12" t="inlineStr">
        <is>
          <t>Release: shop switcher (#168) and browser document reading (#169)</t>
        </is>
      </c>
      <c r="C176" s="12" t="inlineStr">
        <is>
          <t>Release (staging -&gt; main)</t>
        </is>
      </c>
      <c r="D176" s="12" t="inlineStr">
        <is>
          <t>claude/peaceful-pascal-jai8w2 -&gt; main</t>
        </is>
      </c>
      <c r="E176" s="12" t="inlineStr">
        <is>
          <t>Production (main -&gt; gokesari.com)</t>
        </is>
      </c>
      <c r="F176" s="12" t="inlineStr">
        <is>
          <t>Merged</t>
        </is>
      </c>
      <c r="G176" s="12" t="inlineStr">
        <is>
          <t>2026-10-15</t>
        </is>
      </c>
      <c r="H176" s="12" t="inlineStr">
        <is>
          <t>2026-10-15</t>
        </is>
      </c>
      <c r="I176" s="12" t="inlineStr">
        <is>
          <t>-</t>
        </is>
      </c>
      <c r="J176" s="12" t="inlineStr">
        <is>
          <t>NEW-066, NEW-062</t>
        </is>
      </c>
      <c r="K176" s="12" t="inlineStr">
        <is>
          <t>Itself (merged to main)</t>
        </is>
      </c>
      <c r="L176" s="12" t="inlineStr">
        <is>
          <t>Cherry-picks of #168 and #169 only; live 14:43 UTC. Production checks PASS.</t>
        </is>
      </c>
    </row>
    <row r="177" ht="39" customHeight="1">
      <c r="A177" s="34" t="n">
        <v>176</v>
      </c>
      <c r="B177" s="12" t="inlineStr">
        <is>
          <t>Release: document photos read in the owner's browser (#169, fixes D-18)</t>
        </is>
      </c>
      <c r="C177" s="12" t="inlineStr">
        <is>
          <t>Release (staging -&gt; main)</t>
        </is>
      </c>
      <c r="D177" s="12" t="inlineStr">
        <is>
          <t>staging -&gt; main</t>
        </is>
      </c>
      <c r="E177" s="12" t="inlineStr">
        <is>
          <t>Production (main -&gt; gokesari.com)</t>
        </is>
      </c>
      <c r="F177" s="12" t="inlineStr">
        <is>
          <t>Closed - not merged</t>
        </is>
      </c>
      <c r="G177" s="12" t="inlineStr">
        <is>
          <t>2026-10-15</t>
        </is>
      </c>
      <c r="H177" s="12" t="inlineStr">
        <is>
          <t>2026-10-15</t>
        </is>
      </c>
      <c r="I177" s="12" t="inlineStr">
        <is>
          <t>-</t>
        </is>
      </c>
      <c r="J177" s="12" t="inlineStr">
        <is>
          <t>-</t>
        </is>
      </c>
      <c r="K177" s="12" t="inlineStr">
        <is>
          <t>-</t>
        </is>
      </c>
      <c r="L177" s="12" t="inlineStr">
        <is>
          <t>Closed: staging also carried #168, #171 (migration 0076) and #173 (migration 0077), not approved for release here. Replaced by #177.</t>
        </is>
      </c>
    </row>
    <row r="178" ht="27" customHeight="1">
      <c r="A178" s="34" t="n">
        <v>177</v>
      </c>
      <c r="B178" s="12" t="inlineStr">
        <is>
          <t>Release: document photos read in the owner's browser (#169, fixes D-18)</t>
        </is>
      </c>
      <c r="C178" s="12" t="inlineStr">
        <is>
          <t>Release (staging -&gt; main)</t>
        </is>
      </c>
      <c r="D178" s="12" t="inlineStr">
        <is>
          <t>claude/gracious-einstein-24qjjh -&gt; main</t>
        </is>
      </c>
      <c r="E178" s="12" t="inlineStr">
        <is>
          <t>Production (main -&gt; gokesari.com)</t>
        </is>
      </c>
      <c r="F178" s="12" t="inlineStr">
        <is>
          <t>Merged</t>
        </is>
      </c>
      <c r="G178" s="12" t="inlineStr">
        <is>
          <t>2026-10-15</t>
        </is>
      </c>
      <c r="H178" s="12" t="inlineStr">
        <is>
          <t>2026-10-15</t>
        </is>
      </c>
      <c r="I178" s="12" t="inlineStr">
        <is>
          <t>-</t>
        </is>
      </c>
      <c r="J178" s="12" t="inlineStr">
        <is>
          <t>NEW-062</t>
        </is>
      </c>
      <c r="K178" s="12" t="inlineStr">
        <is>
          <t>Itself (merged to main)</t>
        </is>
      </c>
      <c r="L178" s="12" t="inlineStr">
        <is>
          <t>Same commit as #175's cherry-pick of #169, merged after it: no code change. Production checks 15 Oct (TR-27) PASS.</t>
        </is>
      </c>
    </row>
    <row r="179" ht="27" customHeight="1">
      <c r="A179" s="34" t="n">
        <v>178</v>
      </c>
      <c r="B179" s="12" t="inlineStr">
        <is>
          <t>Browser document reading (#169): test results on test and production; trackers</t>
        </is>
      </c>
      <c r="C179" s="12" t="inlineStr">
        <is>
          <t>Docs / reports</t>
        </is>
      </c>
      <c r="D179" s="12" t="inlineStr">
        <is>
          <t>claude/gracious-einstein-24qjjh -&gt; main</t>
        </is>
      </c>
      <c r="E179" s="12" t="inlineStr">
        <is>
          <t>Production (main -&gt; gokesari.com)</t>
        </is>
      </c>
      <c r="F179" s="12" t="inlineStr">
        <is>
          <t>Merged</t>
        </is>
      </c>
      <c r="G179" s="12" t="inlineStr">
        <is>
          <t>2026-10-15</t>
        </is>
      </c>
      <c r="H179" s="12" t="inlineStr">
        <is>
          <t>2026-10-15</t>
        </is>
      </c>
      <c r="I179" s="12" t="inlineStr">
        <is>
          <t>NEW-062</t>
        </is>
      </c>
      <c r="J179" s="12" t="inlineStr">
        <is>
          <t>-</t>
        </is>
      </c>
      <c r="K179" s="12" t="inlineStr">
        <is>
          <t>Not needed (docs)</t>
        </is>
      </c>
      <c r="L179" s="12" t="inlineStr">
        <is>
          <t>Merged to main 15 Oct (f9eee23); the 16 Oct report still showed it as an open draft. Mirrored on staging by #186.</t>
        </is>
      </c>
    </row>
    <row r="180" ht="27" customHeight="1">
      <c r="A180" s="34" t="n">
        <v>179</v>
      </c>
      <c r="B180" s="12" t="inlineStr">
        <is>
          <t>Release: Inventory &amp; Accounting (#171, #172), Bulk product upload (#173, #174); migrations 0076-0078</t>
        </is>
      </c>
      <c r="C180" s="12" t="inlineStr">
        <is>
          <t>Release (staging -&gt; main)</t>
        </is>
      </c>
      <c r="D180" s="12" t="inlineStr">
        <is>
          <t>claude/amazing-ritchie-9vlq9f -&gt; main</t>
        </is>
      </c>
      <c r="E180" s="12" t="inlineStr">
        <is>
          <t>Production (main -&gt; gokesari.com)</t>
        </is>
      </c>
      <c r="F180" s="12" t="inlineStr">
        <is>
          <t>Merged</t>
        </is>
      </c>
      <c r="G180" s="12" t="inlineStr">
        <is>
          <t>2026-10-15</t>
        </is>
      </c>
      <c r="H180" s="12" t="inlineStr">
        <is>
          <t>2026-10-15</t>
        </is>
      </c>
      <c r="I180" s="12" t="inlineStr">
        <is>
          <t>-</t>
        </is>
      </c>
      <c r="J180" s="12" t="inlineStr">
        <is>
          <t>NEW-067, GS-013</t>
        </is>
      </c>
      <c r="K180" s="12" t="inlineStr">
        <is>
          <t>Itself (merged to main)</t>
        </is>
      </c>
      <c r="L180" s="12" t="inlineStr">
        <is>
          <t>Migrations 0076-0078 via MIGRATE_ON_BUILD.</t>
        </is>
      </c>
    </row>
    <row r="181" ht="39" customHeight="1">
      <c r="A181" s="34" t="n">
        <v>180</v>
      </c>
      <c r="B181" s="12" t="inlineStr">
        <is>
          <t>Release: Inventory &amp; Accounting (#171, #172) + bulk product upload (#173, #174)</t>
        </is>
      </c>
      <c r="C181" s="12" t="inlineStr">
        <is>
          <t>Release (staging -&gt; main)</t>
        </is>
      </c>
      <c r="D181" s="12" t="inlineStr">
        <is>
          <t>claude/nice-cori-6p1wb2 -&gt; main</t>
        </is>
      </c>
      <c r="E181" s="12" t="inlineStr">
        <is>
          <t>Production (main -&gt; gokesari.com)</t>
        </is>
      </c>
      <c r="F181" s="12" t="inlineStr">
        <is>
          <t>Closed - not merged</t>
        </is>
      </c>
      <c r="G181" s="12" t="inlineStr">
        <is>
          <t>2026-10-15</t>
        </is>
      </c>
      <c r="H181" s="12" t="inlineStr">
        <is>
          <t>2026-10-15</t>
        </is>
      </c>
      <c r="I181" s="12" t="inlineStr">
        <is>
          <t>-</t>
        </is>
      </c>
      <c r="J181" s="12" t="inlineStr">
        <is>
          <t>-</t>
        </is>
      </c>
      <c r="K181" s="12" t="inlineStr">
        <is>
          <t>Superseded by #179</t>
        </is>
      </c>
      <c r="L181" s="12" t="inlineStr">
        <is>
          <t>Same staging code as #179, which merged first; CI was green (preview APK re-run after a corrupt NDK download). Duplicate of #179.</t>
        </is>
      </c>
    </row>
    <row r="182" ht="27" customHeight="1">
      <c r="A182" s="34" t="n">
        <v>181</v>
      </c>
      <c r="B182" s="12" t="inlineStr">
        <is>
          <t>Bulk product upload: production results; staging level with main after release #179</t>
        </is>
      </c>
      <c r="C182" s="12" t="inlineStr">
        <is>
          <t>Docs / reports</t>
        </is>
      </c>
      <c r="D182" s="12" t="inlineStr">
        <is>
          <t>claude/amazing-ritchie-9vlq9f -&gt; staging</t>
        </is>
      </c>
      <c r="E182" s="12" t="inlineStr">
        <is>
          <t>Test site (staging -&gt; test.gokesari.com)</t>
        </is>
      </c>
      <c r="F182" s="12" t="inlineStr">
        <is>
          <t>Merged</t>
        </is>
      </c>
      <c r="G182" s="12" t="inlineStr">
        <is>
          <t>2026-10-15</t>
        </is>
      </c>
      <c r="H182" s="12" t="inlineStr">
        <is>
          <t>2026-10-15</t>
        </is>
      </c>
      <c r="I182" s="12" t="inlineStr">
        <is>
          <t>GS-013</t>
        </is>
      </c>
      <c r="J182" s="12" t="inlineStr">
        <is>
          <t>-</t>
        </is>
      </c>
      <c r="K182" s="12" t="inlineStr">
        <is>
          <t>Not needed (docs)</t>
        </is>
      </c>
      <c r="L182" s="12" t="n"/>
    </row>
    <row r="183" ht="27" customHeight="1">
      <c r="A183" s="34" t="n">
        <v>182</v>
      </c>
      <c r="B183" s="12" t="inlineStr">
        <is>
          <t>Inventory &amp; Accounting: testing report, tracker and 15 Oct status report (after release #179)</t>
        </is>
      </c>
      <c r="C183" s="12" t="inlineStr">
        <is>
          <t>Docs / reports</t>
        </is>
      </c>
      <c r="D183" s="12" t="inlineStr">
        <is>
          <t>claude/nice-cori-6p1wb2 -&gt; staging</t>
        </is>
      </c>
      <c r="E183" s="12" t="inlineStr">
        <is>
          <t>Test site (staging -&gt; test.gokesari.com)</t>
        </is>
      </c>
      <c r="F183" s="12" t="inlineStr">
        <is>
          <t>Merged</t>
        </is>
      </c>
      <c r="G183" s="12" t="inlineStr">
        <is>
          <t>2026-10-15</t>
        </is>
      </c>
      <c r="H183" s="12" t="inlineStr">
        <is>
          <t>2026-10-15</t>
        </is>
      </c>
      <c r="I183" s="12" t="inlineStr">
        <is>
          <t>NEW-067</t>
        </is>
      </c>
      <c r="J183" s="12" t="inlineStr">
        <is>
          <t>-</t>
        </is>
      </c>
      <c r="K183" s="12" t="inlineStr">
        <is>
          <t>Not needed (docs)</t>
        </is>
      </c>
      <c r="L183" s="12" t="n"/>
    </row>
    <row r="184" ht="27" customHeight="1">
      <c r="A184" s="34" t="n">
        <v>183</v>
      </c>
      <c r="B184" s="12" t="inlineStr">
        <is>
          <t>Feature status report 15 Oct (evening) and 16 Oct</t>
        </is>
      </c>
      <c r="C184" s="12" t="inlineStr">
        <is>
          <t>Docs / reports</t>
        </is>
      </c>
      <c r="D184" s="12" t="inlineStr">
        <is>
          <t>claude/peaceful-pascal-jai8w2 -&gt; main</t>
        </is>
      </c>
      <c r="E184" s="12" t="inlineStr">
        <is>
          <t>Production (main -&gt; gokesari.com)</t>
        </is>
      </c>
      <c r="F184" s="12" t="inlineStr">
        <is>
          <t>Open (draft)</t>
        </is>
      </c>
      <c r="G184" s="12" t="inlineStr">
        <is>
          <t>2026-10-15</t>
        </is>
      </c>
      <c r="H184" s="12" t="inlineStr">
        <is>
          <t>-</t>
        </is>
      </c>
      <c r="I184" s="12" t="inlineStr">
        <is>
          <t>NEW-066, NEW-062</t>
        </is>
      </c>
      <c r="J184" s="12" t="inlineStr">
        <is>
          <t>-</t>
        </is>
      </c>
      <c r="K184" s="12" t="inlineStr">
        <is>
          <t>Not needed (docs)</t>
        </is>
      </c>
      <c r="L184" s="12" t="inlineStr">
        <is>
          <t>Still open on 18 Oct; carries the 15 Oct evening and 16 Oct workbooks to main. Superseded in content by this 18 Oct report - merge or close.</t>
        </is>
      </c>
    </row>
    <row r="185" ht="27" customHeight="1">
      <c r="A185" s="34" t="n">
        <v>184</v>
      </c>
      <c r="B185" s="12" t="inlineStr">
        <is>
          <t>PMD loader: fix parallel-worker race that left quality scores stale or missing</t>
        </is>
      </c>
      <c r="C185" s="12" t="inlineStr">
        <is>
          <t>Fix / hotfix</t>
        </is>
      </c>
      <c r="D185" s="12" t="inlineStr">
        <is>
          <t>claude/amazing-ritchie-9vlq9f -&gt; staging</t>
        </is>
      </c>
      <c r="E185" s="12" t="inlineStr">
        <is>
          <t>Test site (staging -&gt; test.gokesari.com)</t>
        </is>
      </c>
      <c r="F185" s="12" t="inlineStr">
        <is>
          <t>Merged</t>
        </is>
      </c>
      <c r="G185" s="12" t="inlineStr">
        <is>
          <t>2026-10-15</t>
        </is>
      </c>
      <c r="H185" s="12" t="inlineStr">
        <is>
          <t>2026-10-16</t>
        </is>
      </c>
      <c r="I185" s="12" t="inlineStr">
        <is>
          <t>PMD-003, QA-001</t>
        </is>
      </c>
      <c r="J185" s="12" t="inlineStr">
        <is>
          <t>PMD-003</t>
        </is>
      </c>
      <c r="K185" s="12" t="inlineStr">
        <is>
          <t>#185</t>
        </is>
      </c>
      <c r="L185" s="12" t="inlineStr">
        <is>
          <t>Fixes the flaky PMD loader test (Blockers #56). Released by #185 on 16 Oct.</t>
        </is>
      </c>
    </row>
    <row r="186">
      <c r="A186" s="34" t="n">
        <v>185</v>
      </c>
      <c r="B186" s="12" t="inlineStr">
        <is>
          <t>Release: staging -&gt; main (gokesari.com) - PMD loader parallel-worker fix (#184), report scripts and docs (#181, #182)</t>
        </is>
      </c>
      <c r="C186" s="12" t="inlineStr">
        <is>
          <t>Release (staging -&gt; main)</t>
        </is>
      </c>
      <c r="D186" s="12" t="inlineStr">
        <is>
          <t>staging -&gt; main</t>
        </is>
      </c>
      <c r="E186" s="12" t="inlineStr">
        <is>
          <t>Production (main -&gt; gokesari.com)</t>
        </is>
      </c>
      <c r="F186" s="12" t="inlineStr">
        <is>
          <t>Merged</t>
        </is>
      </c>
      <c r="G186" s="12" t="inlineStr">
        <is>
          <t>2026-10-16</t>
        </is>
      </c>
      <c r="H186" s="12" t="inlineStr">
        <is>
          <t>2026-10-16</t>
        </is>
      </c>
      <c r="I186" s="12" t="inlineStr">
        <is>
          <t>-</t>
        </is>
      </c>
      <c r="J186" s="12" t="inlineStr">
        <is>
          <t>PMD-003</t>
        </is>
      </c>
      <c r="K186" s="12" t="inlineStr">
        <is>
          <t>Itself (merged to main)</t>
        </is>
      </c>
      <c r="L186" s="12" t="inlineStr">
        <is>
          <t>No migrations. main @c96cd04 (16 Oct 04:24 UTC). Live checks 18 Oct: public pages 200, Seller Central 307 (sign-in).</t>
        </is>
      </c>
    </row>
    <row r="187">
      <c r="A187" s="34" t="n">
        <v>186</v>
      </c>
      <c r="B187" s="12" t="inlineStr">
        <is>
          <t>Staging: #169 test results and trackers (same as #178 on main)</t>
        </is>
      </c>
      <c r="C187" s="12" t="inlineStr">
        <is>
          <t>Docs / reports</t>
        </is>
      </c>
      <c r="D187" s="12" t="inlineStr">
        <is>
          <t>claude/gracious-einstein-24qjjh -&gt; staging</t>
        </is>
      </c>
      <c r="E187" s="12" t="inlineStr">
        <is>
          <t>Test site (staging -&gt; test.gokesari.com)</t>
        </is>
      </c>
      <c r="F187" s="12" t="inlineStr">
        <is>
          <t>Merged</t>
        </is>
      </c>
      <c r="G187" s="12" t="inlineStr">
        <is>
          <t>2026-10-16</t>
        </is>
      </c>
      <c r="H187" s="12" t="inlineStr">
        <is>
          <t>2026-10-16</t>
        </is>
      </c>
      <c r="I187" s="12" t="inlineStr">
        <is>
          <t>NEW-062</t>
        </is>
      </c>
      <c r="J187" s="12" t="inlineStr">
        <is>
          <t>-</t>
        </is>
      </c>
      <c r="K187" s="12" t="inlineStr">
        <is>
          <t>Not needed (docs)</t>
        </is>
      </c>
      <c r="L187" s="12" t="n"/>
    </row>
    <row r="188">
      <c r="A188" s="34" t="n">
        <v>187</v>
      </c>
      <c r="B188" s="12" t="inlineStr">
        <is>
          <t>Bring staging level with main after release #185</t>
        </is>
      </c>
      <c r="C188" s="12" t="inlineStr">
        <is>
          <t>DevOps / repo</t>
        </is>
      </c>
      <c r="D188" s="12" t="inlineStr">
        <is>
          <t>main -&gt; staging</t>
        </is>
      </c>
      <c r="E188" s="12" t="inlineStr">
        <is>
          <t>Test site (staging -&gt; test.gokesari.com)</t>
        </is>
      </c>
      <c r="F188" s="12" t="inlineStr">
        <is>
          <t>Merged</t>
        </is>
      </c>
      <c r="G188" s="12" t="inlineStr">
        <is>
          <t>2026-10-16</t>
        </is>
      </c>
      <c r="H188" s="12" t="inlineStr">
        <is>
          <t>2026-10-16</t>
        </is>
      </c>
      <c r="I188" s="12" t="inlineStr">
        <is>
          <t>-</t>
        </is>
      </c>
      <c r="J188" s="12" t="inlineStr">
        <is>
          <t>-</t>
        </is>
      </c>
      <c r="K188" s="12" t="inlineStr">
        <is>
          <t>Not needed (sync)</t>
        </is>
      </c>
      <c r="L188" s="12" t="inlineStr">
        <is>
          <t>staging @3a701c9 has the same application code as main.</t>
        </is>
      </c>
    </row>
    <row r="189">
      <c r="A189" s="34" t="n">
        <v>188</v>
      </c>
      <c r="B189" s="12" t="inlineStr">
        <is>
          <t>Competitive analysis deck: GoKesari vs top 10 Indian e-commerce and quick-commerce players</t>
        </is>
      </c>
      <c r="C189" s="12" t="inlineStr">
        <is>
          <t>Docs / reports</t>
        </is>
      </c>
      <c r="D189" s="12" t="inlineStr">
        <is>
          <t>-&gt; main</t>
        </is>
      </c>
      <c r="E189" s="12" t="inlineStr">
        <is>
          <t>Production (main -&gt; gokesari.com)</t>
        </is>
      </c>
      <c r="F189" s="12" t="inlineStr">
        <is>
          <t>Open</t>
        </is>
      </c>
      <c r="G189" s="12" t="inlineStr">
        <is>
          <t>2026-10-18</t>
        </is>
      </c>
      <c r="H189" s="12" t="inlineStr">
        <is>
          <t>-</t>
        </is>
      </c>
      <c r="I189" s="12" t="inlineStr">
        <is>
          <t>-</t>
        </is>
      </c>
      <c r="J189" s="12" t="inlineStr">
        <is>
          <t>-</t>
        </is>
      </c>
      <c r="K189" s="12" t="inlineStr">
        <is>
          <t>Not needed (docs)</t>
        </is>
      </c>
      <c r="L189" s="12" t="inlineStr">
        <is>
          <t>PowerPoint (16 slides) + PDF + feature-comparison workbook under docs/competitive-analysis-2026-10/. Docs only.</t>
        </is>
      </c>
    </row>
  </sheetData>
  <autoFilter ref="A1:L189"/>
  <conditionalFormatting sqref="F2:F185">
    <cfRule type="cellIs" priority="1" operator="equal" dxfId="0">
      <formula>"Merged"</formula>
    </cfRule>
    <cfRule type="cellIs" priority="2" operator="equal" dxfId="2">
      <formula>"Open (draft)"</formula>
    </cfRule>
    <cfRule type="cellIs" priority="3" operator="equal" dxfId="1">
      <formula>"Open"</formula>
    </cfRule>
    <cfRule type="cellIs" priority="4" operator="equal" dxfId="3">
      <formula>"Closed - not merged"</formula>
    </cfRule>
  </conditionalFormatting>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s>
  <pageMargins left="0.3" right="0.3" top="1" bottom="1" header="0.511811023622047" footer="0.511811023622047"/>
  <pageSetup orientation="landscape" paperSize="9" scale="100" fitToHeight="0" fitToWidth="1" firstPageNumber="1" useFirstPageNumber="1" horizontalDpi="300" verticalDpi="300" copies="1"/>
</worksheet>
</file>

<file path=xl/worksheets/sheet8.xml><?xml version="1.0" encoding="utf-8"?>
<worksheet xmlns="http://schemas.openxmlformats.org/spreadsheetml/2006/main">
  <sheetPr>
    <tabColor rgb="FF991B1B"/>
    <outlinePr summaryBelow="1" summaryRight="1"/>
    <pageSetUpPr fitToPage="1"/>
  </sheetPr>
  <dimension ref="A1:H57"/>
  <sheetViews>
    <sheetView view="normal" zoomScale="90" zoomScaleNormal="90" workbookViewId="0">
      <pane xSplit="3" ySplit="1" topLeftCell="D2" activePane="bottomRight" state="frozen"/>
      <selection pane="bottomRight" activeCell="A1" sqref="A1"/>
    </sheetView>
  </sheetViews>
  <sheetFormatPr baseColWidth="8" defaultColWidth="8.6796875" defaultRowHeight="15" outlineLevelRow="0"/>
  <cols>
    <col width="5" customWidth="1" style="1" min="1" max="1"/>
    <col width="16" customWidth="1" style="1" min="2" max="2"/>
    <col width="36" customWidth="1" style="1" min="3" max="3"/>
    <col width="60" customWidth="1" style="1" min="4" max="4"/>
    <col width="34" customWidth="1" style="1" min="5" max="5"/>
    <col width="14" customWidth="1" style="1" min="6" max="6"/>
    <col width="12" customWidth="1" style="1" min="7" max="7"/>
    <col width="34" customWidth="1" style="1" min="8" max="8"/>
  </cols>
  <sheetData>
    <row r="1" ht="30" customFormat="1" customHeight="1" s="2">
      <c r="A1" s="6" t="inlineStr">
        <is>
          <t>#</t>
        </is>
      </c>
      <c r="B1" s="6" t="inlineStr">
        <is>
          <t>Type</t>
        </is>
      </c>
      <c r="C1" s="6" t="inlineStr">
        <is>
          <t>Item</t>
        </is>
      </c>
      <c r="D1" s="6" t="inlineStr">
        <is>
          <t>What is needed</t>
        </is>
      </c>
      <c r="E1" s="6" t="inlineStr">
        <is>
          <t>Unblocks (feature IDs)</t>
        </is>
      </c>
      <c r="F1" s="6" t="inlineStr">
        <is>
          <t>Who</t>
        </is>
      </c>
      <c r="G1" s="6" t="inlineStr">
        <is>
          <t>Status</t>
        </is>
      </c>
      <c r="H1" s="6" t="inlineStr">
        <is>
          <t>Source</t>
        </is>
      </c>
    </row>
    <row r="2" ht="39" customFormat="1" customHeight="1" s="2">
      <c r="A2" s="10" t="n">
        <v>1</v>
      </c>
      <c r="B2" s="12" t="inlineStr">
        <is>
          <t>Release blocker</t>
        </is>
      </c>
      <c r="C2" s="12" t="inlineStr">
        <is>
          <t>Production database is behind (0055) - next release cannot ship</t>
        </is>
      </c>
      <c r="D2" s="12" t="inlineStr">
        <is>
          <t>Resolved 9 Oct: the owner set MIGRATE_ON_BUILD=true for gokesari.com and the #120 deploy applied migrations 0056-0073 before the new code went live (Neon snapshot taken first).</t>
        </is>
      </c>
      <c r="E2" s="12" t="inlineStr">
        <is>
          <t>NEW-020-026, NEW-028-042, PLT-007</t>
        </is>
      </c>
      <c r="F2" s="12" t="inlineStr">
        <is>
          <t>Owner</t>
        </is>
      </c>
      <c r="G2" s="12" t="inlineStr">
        <is>
          <t>Resolved</t>
        </is>
      </c>
      <c r="H2" s="12" t="inlineStr">
        <is>
          <t>PR #86, #87; ITEMS_A_E_2026-10-07.md section 3a</t>
        </is>
      </c>
    </row>
    <row r="3" ht="27" customFormat="1" customHeight="1" s="2">
      <c r="A3" s="10" t="n">
        <v>2</v>
      </c>
      <c r="B3" s="12" t="inlineStr">
        <is>
          <t>Release blocker</t>
        </is>
      </c>
      <c r="C3" s="12" t="inlineStr">
        <is>
          <t>'Production database' workflow is only on staging</t>
        </is>
      </c>
      <c r="D3" s="12" t="inlineStr">
        <is>
          <t>Resolved 9 Oct: #118 put the workflow on main. Running it still needs repository secrets - see #32.</t>
        </is>
      </c>
      <c r="E3" s="12" t="inlineStr">
        <is>
          <t>PLT-009 (and the release blocker above)</t>
        </is>
      </c>
      <c r="F3" s="12" t="inlineStr">
        <is>
          <t>Owner / dev</t>
        </is>
      </c>
      <c r="G3" s="12" t="inlineStr">
        <is>
          <t>Resolved</t>
        </is>
      </c>
      <c r="H3" s="12" t="inlineStr">
        <is>
          <t>PR #93; docs/event-driven-2026-10/PROD_DB.md</t>
        </is>
      </c>
    </row>
    <row r="4" ht="63" customFormat="1" customHeight="1" s="2">
      <c r="A4" s="10" t="n">
        <v>3</v>
      </c>
      <c r="B4" s="12" t="inlineStr">
        <is>
          <t>Go-live blocker</t>
        </is>
      </c>
      <c r="C4" s="12" t="inlineStr">
        <is>
          <t>No recorded browser / QA sign-off</t>
        </is>
      </c>
      <c r="D4" s="12" t="inlineStr">
        <is>
          <t>Execute the 791-case plan (smoke, P0, P1, P2) on test.gokesari.com and record results. Progress 9 Oct: the first recorded browser run (four features + regression, 8-9 Oct, TEST_RESULTS.md) - the 791-case plan itself is still not run. 10 Oct: second recorded run - Tile Board UI pass, 1,026 of 1,038 checks PASS (QA-005).</t>
        </is>
      </c>
      <c r="E4" s="12" t="inlineStr">
        <is>
          <t>QA-003; QA-005; go-live</t>
        </is>
      </c>
      <c r="F4" s="12" t="inlineStr">
        <is>
          <t>QA / owner</t>
        </is>
      </c>
      <c r="G4" s="12" t="inlineStr">
        <is>
          <t>Open</t>
        </is>
      </c>
      <c r="H4" s="12" t="inlineStr">
        <is>
          <t>6 Oct report; TEST_SUMMARY_AND_STATUS.md</t>
        </is>
      </c>
    </row>
    <row r="5" ht="63" customFormat="1" customHeight="1" s="2">
      <c r="A5" s="10" t="n">
        <v>4</v>
      </c>
      <c r="B5" s="12" t="inlineStr">
        <is>
          <t>Go-live blocker</t>
        </is>
      </c>
      <c r="C5" s="12" t="inlineStr">
        <is>
          <t>Production cron jobs</t>
        </is>
      </c>
      <c r="D5" s="12" t="inlineStr">
        <is>
          <t>Schedule seller-verification, dispute-escalation, shop-acceptance, delivery-dispatch and notifications on gokesari.com; add timeout-sweep and notification-retry when the event layer ships. Not confirmed since 6 Oct. The daily seller-verification job now also starts legal-document grace periods and sends expiry reminders (NEW-040).</t>
        </is>
      </c>
      <c r="E5" s="12" t="inlineStr">
        <is>
          <t>GS-007, GS-058, NEW-007, NEW-028</t>
        </is>
      </c>
      <c r="F5" s="12" t="inlineStr">
        <is>
          <t>Owner</t>
        </is>
      </c>
      <c r="G5" s="12" t="inlineStr">
        <is>
          <t>Open</t>
        </is>
      </c>
      <c r="H5" s="12" t="inlineStr">
        <is>
          <t>DEPLOY_RUNBOOK.md; ITEMS_A_E section 3a.7</t>
        </is>
      </c>
    </row>
    <row r="6" ht="27" customFormat="1" customHeight="1" s="2">
      <c r="A6" s="10" t="n">
        <v>5</v>
      </c>
      <c r="B6" s="12" t="inlineStr">
        <is>
          <t>Decision</t>
        </is>
      </c>
      <c r="C6" s="12" t="inlineStr">
        <is>
          <t>Per-order online payment (GS-028 / NEW-007)</t>
        </is>
      </c>
      <c r="D6" s="12" t="inlineStr">
        <is>
          <t>Approve building per-order Cashfree payment, or launch with wallet + COD only.</t>
        </is>
      </c>
      <c r="E6" s="12" t="inlineStr">
        <is>
          <t>GS-028, GS-073, SM-005, WF-001, NAV-003, NEW-007</t>
        </is>
      </c>
      <c r="F6" s="12" t="inlineStr">
        <is>
          <t>Owner</t>
        </is>
      </c>
      <c r="G6" s="12" t="inlineStr">
        <is>
          <t>Pending</t>
        </is>
      </c>
      <c r="H6" s="12" t="inlineStr">
        <is>
          <t>6 Oct report</t>
        </is>
      </c>
    </row>
    <row r="7" ht="39" customFormat="1" customHeight="1" s="2">
      <c r="A7" s="10" t="n">
        <v>6</v>
      </c>
      <c r="B7" s="12" t="inlineStr">
        <is>
          <t>Vendor</t>
        </is>
      </c>
      <c r="C7" s="12" t="inlineStr">
        <is>
          <t>D2 - SMS / OTP vendor (DLT) and WhatsApp provider</t>
        </is>
      </c>
      <c r="D7" s="12" t="inlineStr">
        <is>
          <t>Pick a DLT-registered SMS provider and a WhatsApp BSP (or Meta Cloud API). Also blocks testing paid self-registration on test (SMS_PROVIDER=none, N-2).</t>
        </is>
      </c>
      <c r="E7" s="12" t="inlineStr">
        <is>
          <t>GS-001, GS-074, NEW-035 (SMS code), NEW-038</t>
        </is>
      </c>
      <c r="F7" s="12" t="inlineStr">
        <is>
          <t>Owner</t>
        </is>
      </c>
      <c r="G7" s="12" t="inlineStr">
        <is>
          <t>Pending</t>
        </is>
      </c>
      <c r="H7" s="12" t="inlineStr">
        <is>
          <t>6 Oct report; three-modules PLAN.md P2</t>
        </is>
      </c>
    </row>
    <row r="8" ht="27" customFormat="1" customHeight="1" s="2">
      <c r="A8" s="10" t="n">
        <v>7</v>
      </c>
      <c r="B8" s="12" t="inlineStr">
        <is>
          <t>Decision</t>
        </is>
      </c>
      <c r="C8" s="12" t="inlineStr">
        <is>
          <t>D7 - licensed external price source</t>
        </is>
      </c>
      <c r="D8" s="12" t="inlineStr">
        <is>
          <t>Approve a lawful / licensed source for customer-visible reference prices (then one rule flip).</t>
        </is>
      </c>
      <c r="E8" s="12" t="inlineStr">
        <is>
          <t>GS-023</t>
        </is>
      </c>
      <c r="F8" s="12" t="inlineStr">
        <is>
          <t>Owner</t>
        </is>
      </c>
      <c r="G8" s="12" t="inlineStr">
        <is>
          <t>Pending</t>
        </is>
      </c>
      <c r="H8" s="12" t="inlineStr">
        <is>
          <t>6 Oct report</t>
        </is>
      </c>
    </row>
    <row r="9" ht="27" customFormat="1" customHeight="1" s="2">
      <c r="A9" s="10" t="n">
        <v>8</v>
      </c>
      <c r="B9" s="12" t="inlineStr">
        <is>
          <t>Decision</t>
        </is>
      </c>
      <c r="C9" s="12" t="inlineStr">
        <is>
          <t>D10 - cancellation after packing</t>
        </is>
      </c>
      <c r="D9" s="12" t="inlineStr">
        <is>
          <t>Confirm READY/ASSIGNED (customer refused) and PICKED_UP/OUT_FOR_DELIVERY (goods-only refund, delivery fee kept).</t>
        </is>
      </c>
      <c r="E9" s="12" t="inlineStr">
        <is>
          <t>NEW-006 sign-off, NEW-020</t>
        </is>
      </c>
      <c r="F9" s="12" t="inlineStr">
        <is>
          <t>Owner</t>
        </is>
      </c>
      <c r="G9" s="12" t="inlineStr">
        <is>
          <t>Pending</t>
        </is>
      </c>
      <c r="H9" s="12" t="inlineStr">
        <is>
          <t>ITEMS_A_E section 1-A</t>
        </is>
      </c>
    </row>
    <row r="10" ht="27" customFormat="1" customHeight="1" s="2">
      <c r="A10" s="10" t="n">
        <v>9</v>
      </c>
      <c r="B10" s="12" t="inlineStr">
        <is>
          <t>Decision</t>
        </is>
      </c>
      <c r="C10" s="12" t="inlineStr">
        <is>
          <t>D6 - delivery fee kept on cancellation; platform invoicing of its own fees</t>
        </is>
      </c>
      <c r="D10" s="12" t="inlineStr">
        <is>
          <t>Decide how the kept delivery fee is shared/reported and how GoKesari invoices its fees (SAC).</t>
        </is>
      </c>
      <c r="E10" s="12" t="inlineStr">
        <is>
          <t>GAP-006</t>
        </is>
      </c>
      <c r="F10" s="12" t="inlineStr">
        <is>
          <t>Owner / CA</t>
        </is>
      </c>
      <c r="G10" s="12" t="inlineStr">
        <is>
          <t>Pending</t>
        </is>
      </c>
      <c r="H10" s="12" t="inlineStr">
        <is>
          <t>3 Oct open features; ITEMS_A_E section 5</t>
        </is>
      </c>
    </row>
    <row r="11" ht="27" customFormat="1" customHeight="1" s="2">
      <c r="A11" s="10" t="n">
        <v>10</v>
      </c>
      <c r="B11" s="12" t="inlineStr">
        <is>
          <t>Decision</t>
        </is>
      </c>
      <c r="C11" s="12" t="inlineStr">
        <is>
          <t>RBAC-003 - operator 'Limited' shop management</t>
        </is>
      </c>
      <c r="D11" s="12" t="inlineStr">
        <is>
          <t>Define what an operator may change on a shop.</t>
        </is>
      </c>
      <c r="E11" s="12" t="inlineStr">
        <is>
          <t>RBAC-003</t>
        </is>
      </c>
      <c r="F11" s="12" t="inlineStr">
        <is>
          <t>Owner</t>
        </is>
      </c>
      <c r="G11" s="12" t="inlineStr">
        <is>
          <t>Pending</t>
        </is>
      </c>
      <c r="H11" s="12" t="inlineStr">
        <is>
          <t>6 Oct report</t>
        </is>
      </c>
    </row>
    <row r="12" ht="27" customFormat="1" customHeight="1" s="2">
      <c r="A12" s="10" t="n">
        <v>11</v>
      </c>
      <c r="B12" s="12" t="inlineStr">
        <is>
          <t>Decision</t>
        </is>
      </c>
      <c r="C12" s="12" t="inlineStr">
        <is>
          <t>SM-006 scope</t>
        </is>
      </c>
      <c r="D12" s="12" t="inlineStr">
        <is>
          <t>Accept the dispute lifecycle as the issue state machine, or add its states to grievances.</t>
        </is>
      </c>
      <c r="E12" s="12" t="inlineStr">
        <is>
          <t>SM-006</t>
        </is>
      </c>
      <c r="F12" s="12" t="inlineStr">
        <is>
          <t>Owner</t>
        </is>
      </c>
      <c r="G12" s="12" t="inlineStr">
        <is>
          <t>Pending</t>
        </is>
      </c>
      <c r="H12" s="12" t="inlineStr">
        <is>
          <t>ITEMS_A_E section 5</t>
        </is>
      </c>
    </row>
    <row r="13" ht="63" customFormat="1" customHeight="1" s="2">
      <c r="A13" s="10" t="n">
        <v>12</v>
      </c>
      <c r="B13" s="12" t="inlineStr">
        <is>
          <t>Decision</t>
        </is>
      </c>
      <c r="C13" s="12" t="inlineStr">
        <is>
          <t>Which off-by-default features to switch on in production</t>
        </is>
      </c>
      <c r="D13" s="12" t="inlineStr">
        <is>
          <t>Choose which of the now-released off-by-default features to switch on in production: F3-F11 and #58 rules, plus fulfilmentOptions, legalDocuments, bankAccounts, bankRefunds, bankAccountCheck, shopReferral, customerSignupReferral, shopWallet, selfRegistration, cancellation PREPARING (all off on gokesari.com after #120).</t>
        </is>
      </c>
      <c r="E13" s="12" t="inlineStr">
        <is>
          <t>GS-014, GS-027, GS-033, GS-054, GS-072, GA-005, NAV-001, NAV-002, NAV-003, NEW-007</t>
        </is>
      </c>
      <c r="F13" s="12" t="inlineStr">
        <is>
          <t>Owner</t>
        </is>
      </c>
      <c r="G13" s="12" t="inlineStr">
        <is>
          <t>Pending</t>
        </is>
      </c>
      <c r="H13" s="12" t="inlineStr">
        <is>
          <t>6 Oct report</t>
        </is>
      </c>
    </row>
    <row r="14" ht="39" customFormat="1" customHeight="1" s="2">
      <c r="A14" s="10" t="n">
        <v>13</v>
      </c>
      <c r="B14" s="12" t="inlineStr">
        <is>
          <t>Decision</t>
        </is>
      </c>
      <c r="C14" s="12" t="inlineStr">
        <is>
          <t>Event-layer decisions to confirm</t>
        </is>
      </c>
      <c r="D14" s="12" t="inlineStr">
        <is>
          <t>Dispatch starts at READY; customer not told when a rider declines; shops propose resolutions only after triage; auto-approved shops classified GREEN; 'support' = operators + admins.</t>
        </is>
      </c>
      <c r="E14" s="12" t="inlineStr">
        <is>
          <t>NEW-028, NEW-030, NEW-031</t>
        </is>
      </c>
      <c r="F14" s="12" t="inlineStr">
        <is>
          <t>Owner</t>
        </is>
      </c>
      <c r="G14" s="12" t="inlineStr">
        <is>
          <t>Pending confirmation</t>
        </is>
      </c>
      <c r="H14" s="12" t="inlineStr">
        <is>
          <t>docs/event-driven-2026-10/README.md</t>
        </is>
      </c>
    </row>
    <row r="15" ht="39" customFormat="1" customHeight="1" s="2">
      <c r="A15" s="10" t="n">
        <v>14</v>
      </c>
      <c r="B15" s="12" t="inlineStr">
        <is>
          <t>Vendor</t>
        </is>
      </c>
      <c r="C15" s="12" t="inlineStr">
        <is>
          <t>Gridlines live keys (seller verification)</t>
        </is>
      </c>
      <c r="D15" s="12" t="inlineStr">
        <is>
          <t>Sandbox then live keys; confirm FSSAI / GSTIN fields, Shop Act coverage, IP whitelist, retention and DPA. Production shows verification as paused until then.</t>
        </is>
      </c>
      <c r="E15" s="12" t="inlineStr">
        <is>
          <t>GS-007 automatic checks</t>
        </is>
      </c>
      <c r="F15" s="12" t="inlineStr">
        <is>
          <t>Owner</t>
        </is>
      </c>
      <c r="G15" s="12" t="inlineStr">
        <is>
          <t>Pending</t>
        </is>
      </c>
      <c r="H15" s="12" t="inlineStr">
        <is>
          <t>docs/seller-verification/DEPLOY.md</t>
        </is>
      </c>
    </row>
    <row r="16" ht="51" customFormat="1" customHeight="1" s="2">
      <c r="A16" s="10" t="n">
        <v>15</v>
      </c>
      <c r="B16" s="12" t="inlineStr">
        <is>
          <t>Legal / CA</t>
        </is>
      </c>
      <c r="C16" s="12" t="inlineStr">
        <is>
          <t>CA check of GST rates, HSN codes and invoice wording</t>
        </is>
      </c>
      <c r="D16" s="12" t="inlineStr">
        <is>
          <t>Run scripts/gst-hsn-report.sql and have a CA confirm rates, HSN codes, bill-of-supply wording and numbering before invoicing is used for filing. Update 15 Oct: also covers the GST liability, set-off and invoice figures in Inventory &amp; Accounting (NEW-067, on test).</t>
        </is>
      </c>
      <c r="E16" s="12" t="inlineStr">
        <is>
          <t>NEW-007 (invoicing), NEW-027</t>
        </is>
      </c>
      <c r="F16" s="12" t="inlineStr">
        <is>
          <t>Owner / CA</t>
        </is>
      </c>
      <c r="G16" s="12" t="inlineStr">
        <is>
          <t>Pending</t>
        </is>
      </c>
      <c r="H16" s="12" t="inlineStr">
        <is>
          <t>ITEMS_A_E section 5</t>
        </is>
      </c>
    </row>
    <row r="17" ht="27" customFormat="1" customHeight="1" s="2">
      <c r="A17" s="10" t="n">
        <v>16</v>
      </c>
      <c r="B17" s="12" t="inlineStr">
        <is>
          <t>Legal</t>
        </is>
      </c>
      <c r="C17" s="12" t="inlineStr">
        <is>
          <t>Seller-verification retention and Shop Act needs</t>
        </is>
      </c>
      <c r="D17" s="12" t="inlineStr">
        <is>
          <t>Lawyer/CA to confirm the retention period after closure (default 1,095 days) and Shop Act needs for non-MH / home sellers.</t>
        </is>
      </c>
      <c r="E17" s="12" t="inlineStr">
        <is>
          <t>GS-007 compliance</t>
        </is>
      </c>
      <c r="F17" s="12" t="inlineStr">
        <is>
          <t>Owner / lawyer</t>
        </is>
      </c>
      <c r="G17" s="12" t="inlineStr">
        <is>
          <t>Pending</t>
        </is>
      </c>
      <c r="H17" s="12" t="inlineStr">
        <is>
          <t>docs/seller-verification/COMPLIANCE.md</t>
        </is>
      </c>
    </row>
    <row r="18" ht="27" customFormat="1" customHeight="1" s="2">
      <c r="A18" s="10" t="n">
        <v>17</v>
      </c>
      <c r="B18" s="12" t="inlineStr">
        <is>
          <t>Legal</t>
        </is>
      </c>
      <c r="C18" s="12" t="inlineStr">
        <is>
          <t>Holding shops' prepaid money</t>
        </is>
      </c>
      <c r="D18" s="12" t="inlineStr">
        <is>
          <t>Legal review of the shop prepaid wallet; at least a seller-terms clause.</t>
        </is>
      </c>
      <c r="E18" s="12" t="inlineStr">
        <is>
          <t>NEW-033, NEW-034</t>
        </is>
      </c>
      <c r="F18" s="12" t="inlineStr">
        <is>
          <t>Owner / lawyer</t>
        </is>
      </c>
      <c r="G18" s="12" t="inlineStr">
        <is>
          <t>Pending</t>
        </is>
      </c>
      <c r="H18" s="12" t="inlineStr">
        <is>
          <t>docs/shop-wallet-delivery-otp-2026-10/README.md section 6</t>
        </is>
      </c>
    </row>
    <row r="19" ht="39" customFormat="1" customHeight="1" s="2">
      <c r="A19" s="10" t="n">
        <v>18</v>
      </c>
      <c r="B19" s="12" t="inlineStr">
        <is>
          <t>Owner inputs</t>
        </is>
      </c>
      <c r="C19" s="12" t="inlineStr">
        <is>
          <t>Inputs for PR #92 modules 2 and 3</t>
        </is>
      </c>
      <c r="D19" s="12" t="inlineStr">
        <is>
          <t>Modules 2 and 3 are on gokesari.com since #120 (module 2 on mock providers, module 3 switched off). Inputs P1-P6 are needed before using them for real.</t>
        </is>
      </c>
      <c r="E19" s="12" t="inlineStr">
        <is>
          <t>NEW-037, NEW-038</t>
        </is>
      </c>
      <c r="F19" s="12" t="inlineStr">
        <is>
          <t>Owner</t>
        </is>
      </c>
      <c r="G19" s="12" t="inlineStr">
        <is>
          <t>Pending</t>
        </is>
      </c>
      <c r="H19" s="12" t="inlineStr">
        <is>
          <t>docs/three-modules-2026-10/PLAN.md</t>
        </is>
      </c>
    </row>
    <row r="20" ht="27" customFormat="1" customHeight="1" s="2">
      <c r="A20" s="10" t="n">
        <v>19</v>
      </c>
      <c r="B20" s="12" t="inlineStr">
        <is>
          <t>Agreement</t>
        </is>
      </c>
      <c r="C20" s="12" t="inlineStr">
        <is>
          <t>GS1 India and brand permissions</t>
        </is>
      </c>
      <c r="D20" s="12" t="inlineStr">
        <is>
          <t>Agreement / written permission and a real sample file for each source; then go-ahead for large-scale ingestion.</t>
        </is>
      </c>
      <c r="E20" s="12" t="inlineStr">
        <is>
          <t>PMD-002, PMD-006</t>
        </is>
      </c>
      <c r="F20" s="12" t="inlineStr">
        <is>
          <t>Owner</t>
        </is>
      </c>
      <c r="G20" s="12" t="inlineStr">
        <is>
          <t>Pending</t>
        </is>
      </c>
      <c r="H20" s="12" t="inlineStr">
        <is>
          <t>docs/product-master/PILOT_REPORT.md</t>
        </is>
      </c>
    </row>
    <row r="21" ht="27" customFormat="1" customHeight="1" s="2">
      <c r="A21" s="10" t="n">
        <v>20</v>
      </c>
      <c r="B21" s="12" t="inlineStr">
        <is>
          <t>PR housekeeping</t>
        </is>
      </c>
      <c r="C21" s="12" t="inlineStr">
        <is>
          <t>PR #92 migration number clash</t>
        </is>
      </c>
      <c r="D21" s="12" t="inlineStr">
        <is>
          <t>Resolved 8 Oct: #92 renumbered its migrations to 0065-0068 (after staging's 0061-0064); drizzle-kit reports no drift.</t>
        </is>
      </c>
      <c r="E21" s="12" t="inlineStr">
        <is>
          <t>NEW-036</t>
        </is>
      </c>
      <c r="F21" s="12" t="inlineStr">
        <is>
          <t>Dev</t>
        </is>
      </c>
      <c r="G21" s="12" t="inlineStr">
        <is>
          <t>Resolved</t>
        </is>
      </c>
      <c r="H21" s="12" t="inlineStr">
        <is>
          <t>PR #92 branch vs staging</t>
        </is>
      </c>
    </row>
    <row r="22" ht="27" customFormat="1" customHeight="1" s="2">
      <c r="A22" s="10" t="n">
        <v>21</v>
      </c>
      <c r="B22" s="12" t="inlineStr">
        <is>
          <t>PR housekeeping</t>
        </is>
      </c>
      <c r="C22" s="12" t="inlineStr">
        <is>
          <t>PR #99 open</t>
        </is>
      </c>
      <c r="D22" s="12" t="inlineStr">
        <is>
          <t>Resolved: #99 merged into staging 8 Oct 18:09 UTC.</t>
        </is>
      </c>
      <c r="E22" s="12" t="inlineStr">
        <is>
          <t>NEW-033 testing</t>
        </is>
      </c>
      <c r="F22" s="12" t="inlineStr">
        <is>
          <t>Owner</t>
        </is>
      </c>
      <c r="G22" s="12" t="inlineStr">
        <is>
          <t>Resolved</t>
        </is>
      </c>
      <c r="H22" s="12" t="inlineStr">
        <is>
          <t>PR #99</t>
        </is>
      </c>
    </row>
    <row r="23" ht="27" customFormat="1" customHeight="1" s="2">
      <c r="A23" s="10" t="n">
        <v>22</v>
      </c>
      <c r="B23" s="12" t="inlineStr">
        <is>
          <t>Release step</t>
        </is>
      </c>
      <c r="C23" s="12" t="inlineStr">
        <is>
          <t>Purge CDN cache for /api/images/* after releasing C5</t>
        </is>
      </c>
      <c r="D23" s="12" t="inlineStr">
        <is>
          <t>Release #120 is out: purge the CDN cache for /api/images/* now (rider photos used to be cached publicly).</t>
        </is>
      </c>
      <c r="E23" s="12" t="inlineStr">
        <is>
          <t>NEW-026</t>
        </is>
      </c>
      <c r="F23" s="12" t="inlineStr">
        <is>
          <t>Owner</t>
        </is>
      </c>
      <c r="G23" s="12" t="inlineStr">
        <is>
          <t>At release</t>
        </is>
      </c>
      <c r="H23" s="12" t="inlineStr">
        <is>
          <t>ITEMS_A_E section 3</t>
        </is>
      </c>
    </row>
    <row r="24" ht="27" customFormat="1" customHeight="1" s="2">
      <c r="A24" s="10" t="n">
        <v>23</v>
      </c>
      <c r="B24" s="12" t="inlineStr">
        <is>
          <t>PR housekeeping</t>
        </is>
      </c>
      <c r="C24" s="12" t="inlineStr">
        <is>
          <t>PR #92 ready for review</t>
        </is>
      </c>
      <c r="D24" s="12" t="inlineStr">
        <is>
          <t>Resolved: #92 merged into staging 9 Oct 08:34 UTC and released in #120.</t>
        </is>
      </c>
      <c r="E24" s="12" t="inlineStr">
        <is>
          <t>NEW-036, NEW-037, NEW-038</t>
        </is>
      </c>
      <c r="F24" s="12" t="inlineStr">
        <is>
          <t>Owner</t>
        </is>
      </c>
      <c r="G24" s="12" t="inlineStr">
        <is>
          <t>Resolved</t>
        </is>
      </c>
      <c r="H24" s="12" t="inlineStr">
        <is>
          <t>PR #92</t>
        </is>
      </c>
    </row>
    <row r="25" ht="39" customFormat="1" customHeight="1" s="2">
      <c r="A25" s="10" t="n">
        <v>24</v>
      </c>
      <c r="B25" s="12" t="inlineStr">
        <is>
          <t>Vendor</t>
        </is>
      </c>
      <c r="C25" s="12" t="inlineStr">
        <is>
          <t>Cashfree live keys and Refunds API</t>
        </is>
      </c>
      <c r="D25" s="12" t="inlineStr">
        <is>
          <t>Set CASHFREE_APP_ID / CASHFREE_SECRET_KEY / CASHFREE_ENV=production and confirm the Refunds API is enabled - the Rs 1 bank-account check refunds every payment.</t>
        </is>
      </c>
      <c r="E25" s="12" t="inlineStr">
        <is>
          <t>NEW-041</t>
        </is>
      </c>
      <c r="F25" s="12" t="inlineStr">
        <is>
          <t>Owner</t>
        </is>
      </c>
      <c r="G25" s="12" t="inlineStr">
        <is>
          <t>Pending</t>
        </is>
      </c>
      <c r="H25" s="12" t="inlineStr">
        <is>
          <t>docs/four-features-2026-10/README.md section 5</t>
        </is>
      </c>
    </row>
    <row r="26" ht="39" customFormat="1" customHeight="1" s="2">
      <c r="A26" s="10" t="n">
        <v>25</v>
      </c>
      <c r="B26" s="12" t="inlineStr">
        <is>
          <t>Go-live blocker</t>
        </is>
      </c>
      <c r="C26" s="12" t="inlineStr">
        <is>
          <t>Email sending capacity</t>
        </is>
      </c>
      <c r="D26" s="12" t="inlineStr">
        <is>
          <t>The test site hit the mail host's hourly cap (451). Raise the limit or use a transactional email service before go-live; check SPF/DKIM for gokesari.com.</t>
        </is>
      </c>
      <c r="E26" s="12" t="inlineStr">
        <is>
          <t>GAP-009, GS-055, NEW-039-042</t>
        </is>
      </c>
      <c r="F26" s="12" t="inlineStr">
        <is>
          <t>Owner</t>
        </is>
      </c>
      <c r="G26" s="12" t="inlineStr">
        <is>
          <t>Open</t>
        </is>
      </c>
      <c r="H26" s="12" t="inlineStr">
        <is>
          <t>TEST_RESULTS.md (S-5)</t>
        </is>
      </c>
    </row>
    <row r="27" ht="39" customFormat="1" customHeight="1" s="2">
      <c r="A27" s="10" t="n">
        <v>26</v>
      </c>
      <c r="B27" s="12" t="inlineStr">
        <is>
          <t>Owner inputs</t>
        </is>
      </c>
      <c r="C27" s="12" t="inlineStr">
        <is>
          <t>referrals@gokesari.com and referral codes</t>
        </is>
      </c>
      <c r="D27" s="12" t="inlineStr">
        <is>
          <t>Create the mailbox and confirm mail arrives (not readable from the test run); decide who else gets requests (shopReferral.notifyEmails); create referral codes before switching shopReferral.required on.</t>
        </is>
      </c>
      <c r="E27" s="12" t="inlineStr">
        <is>
          <t>NEW-042</t>
        </is>
      </c>
      <c r="F27" s="12" t="inlineStr">
        <is>
          <t>Owner</t>
        </is>
      </c>
      <c r="G27" s="12" t="inlineStr">
        <is>
          <t>Pending</t>
        </is>
      </c>
      <c r="H27" s="12" t="inlineStr">
        <is>
          <t>README sections 5-6</t>
        </is>
      </c>
    </row>
    <row r="28" ht="27" customFormat="1" customHeight="1" s="2">
      <c r="A28" s="10" t="n">
        <v>27</v>
      </c>
      <c r="B28" s="12" t="inlineStr">
        <is>
          <t>Decision</t>
        </is>
      </c>
      <c r="C28" s="12" t="inlineStr">
        <is>
          <t>Four-features decisions</t>
        </is>
      </c>
      <c r="D28" s="12" t="inlineStr">
        <is>
          <t>Resolved 9 Oct: the owner decided (O-1 to O-8); built in #106, #109, #110, #111, #115, #117 and released switched off in #120.</t>
        </is>
      </c>
      <c r="E28" s="12" t="inlineStr">
        <is>
          <t>NEW-039, NEW-040, NEW-041, NEW-042</t>
        </is>
      </c>
      <c r="F28" s="12" t="inlineStr">
        <is>
          <t>Owner</t>
        </is>
      </c>
      <c r="G28" s="12" t="inlineStr">
        <is>
          <t>Resolved</t>
        </is>
      </c>
      <c r="H28" s="12" t="inlineStr">
        <is>
          <t>docs/four-features-2026-10/README.md section 6</t>
        </is>
      </c>
    </row>
    <row r="29" ht="27" customFormat="1" customHeight="1" s="2">
      <c r="A29" s="10" t="n">
        <v>28</v>
      </c>
      <c r="B29" s="12" t="inlineStr">
        <is>
          <t>Release step</t>
        </is>
      </c>
      <c r="C29" s="12" t="inlineStr">
        <is>
          <t>Tell shop owners before switching legalDocuments on</t>
        </is>
      </c>
      <c r="D29" s="12" t="inlineStr">
        <is>
          <t>Shops without the required licence get 15 days; announce it before switching the rule on in production.</t>
        </is>
      </c>
      <c r="E29" s="12" t="inlineStr">
        <is>
          <t>NEW-040</t>
        </is>
      </c>
      <c r="F29" s="12" t="inlineStr">
        <is>
          <t>Owner</t>
        </is>
      </c>
      <c r="G29" s="12" t="inlineStr">
        <is>
          <t>At release</t>
        </is>
      </c>
      <c r="H29" s="12" t="inlineStr">
        <is>
          <t>README section 5 item 7</t>
        </is>
      </c>
    </row>
    <row r="30" ht="87" customFormat="1" customHeight="1" s="2">
      <c r="A30" s="10" t="n">
        <v>29</v>
      </c>
      <c r="B30" s="12" t="inlineStr">
        <is>
          <t>Accounts</t>
        </is>
      </c>
      <c r="C30" s="12" t="inlineStr">
        <is>
          <t>App store publishing</t>
        </is>
      </c>
      <c r="D30" s="12" t="inlineStr">
        <is>
          <t>Expo account + EAS project id in mobile/app.config.ts; Google Play Console ($25) with the first .aab uploaded by hand; Apple Developer Program ($99/yr); store listings (privacy policy URL, Data safety form, screenshots). Then set MOBILE_* env vars for deep links. Update 14 Oct: the 'iPhone app' workflow (#153) is ready; it needs EXPO_TOKEN, ASC_API_KEY_P8, ASC_KEY_ID, ASC_ISSUER_ID, APPLE_TEAM_ID, the Expo project id and the App Store Connect app record.</t>
        </is>
      </c>
      <c r="E30" s="12" t="inlineStr">
        <is>
          <t>NEW-043, NEW-044</t>
        </is>
      </c>
      <c r="F30" s="12" t="inlineStr">
        <is>
          <t>Owner</t>
        </is>
      </c>
      <c r="G30" s="12" t="inlineStr">
        <is>
          <t>Pending</t>
        </is>
      </c>
      <c r="H30" s="12" t="inlineStr">
        <is>
          <t>mobile/README.md</t>
        </is>
      </c>
    </row>
    <row r="31" ht="75" customFormat="1" customHeight="1" s="2">
      <c r="A31" s="10" t="n">
        <v>30</v>
      </c>
      <c r="B31" s="12" t="inlineStr">
        <is>
          <t>CI</t>
        </is>
      </c>
      <c r="C31" s="12" t="inlineStr">
        <is>
          <t>Staging CI red on 76e2cc5</t>
        </is>
      </c>
      <c r="D31" s="12" t="inlineStr">
        <is>
          <t>CI on the staging merge of #104 (docs only) failed in 'Unit and integration tests'; the same code passed on the PR head and on 6f3c28f. Investigate the failing test / re-run before the next staging merge. 10 Oct: resolved - CI is green again - PR #132 (the production code at 0ec63f3 plus this report) passed typecheck, lint, unit and integration tests, the production build and the mobile job at 12:09 UTC.</t>
        </is>
      </c>
      <c r="E31" s="12" t="inlineStr">
        <is>
          <t>PLT-003</t>
        </is>
      </c>
      <c r="F31" s="12" t="inlineStr">
        <is>
          <t>Dev</t>
        </is>
      </c>
      <c r="G31" s="12" t="inlineStr">
        <is>
          <t>Resolved</t>
        </is>
      </c>
      <c r="H31" s="12" t="inlineStr">
        <is>
          <t>Actions run 37855030692</t>
        </is>
      </c>
    </row>
    <row r="32" ht="39" customFormat="1" customHeight="1" s="2">
      <c r="A32" s="10" t="n">
        <v>31</v>
      </c>
      <c r="B32" s="12" t="inlineStr">
        <is>
          <t>Defect</t>
        </is>
      </c>
      <c r="C32" s="12" t="inlineStr">
        <is>
          <t>Map 'Confirm location' 500 on test</t>
        </is>
      </c>
      <c r="D32" s="12" t="inlineStr">
        <is>
          <t>Cause found (N-1): the test server key GOOGLE_MAPS_SERVER_API_KEY is restricted by HTTP referrer, so Google refuses server calls. Owner: switch it to an IP restriction, and check production's server key.</t>
        </is>
      </c>
      <c r="E32" s="12" t="inlineStr">
        <is>
          <t>GAP-008</t>
        </is>
      </c>
      <c r="F32" s="12" t="inlineStr">
        <is>
          <t>Owner</t>
        </is>
      </c>
      <c r="G32" s="12" t="inlineStr">
        <is>
          <t>Open</t>
        </is>
      </c>
      <c r="H32" s="12" t="inlineStr">
        <is>
          <t>TEST_RESULTS.md</t>
        </is>
      </c>
    </row>
    <row r="33" ht="75" customFormat="1" customHeight="1" s="2">
      <c r="A33" s="10" t="n">
        <v>32</v>
      </c>
      <c r="B33" s="12" t="inlineStr">
        <is>
          <t>Release step / access</t>
        </is>
      </c>
      <c r="C33" s="12" t="inlineStr">
        <is>
          <t>Production database workflow has no repository secrets</t>
        </is>
      </c>
      <c r="D33" s="12" t="inlineStr">
        <is>
          <t>Add PROD_DATABASE_URL and TEST_DATABASE_URL secrets and PROD_DATABASE_HOST/NAME, TEST_DATABASE_HOST/NAME variables at repository level (not only in the 'test' environment) so 'verify' and 'migrate' can run Update 14 Oct: still open - nine copy-shops / db-split plan or verify runs got an empty PROD_DATABASE_URL, so the 12-13 Oct shop copy used SQL files in the Neon console.</t>
        </is>
      </c>
      <c r="E33" s="12" t="inlineStr">
        <is>
          <t>PLT-009</t>
        </is>
      </c>
      <c r="F33" s="12" t="inlineStr">
        <is>
          <t>Owner</t>
        </is>
      </c>
      <c r="G33" s="12" t="inlineStr">
        <is>
          <t>Open</t>
        </is>
      </c>
      <c r="H33" s="12" t="inlineStr">
        <is>
          <t>Actions run 37937847750 (9 Oct 13:34 UTC)</t>
        </is>
      </c>
    </row>
    <row r="34" ht="51" customFormat="1" customHeight="1" s="2">
      <c r="A34" s="10" t="n">
        <v>33</v>
      </c>
      <c r="B34" s="12" t="inlineStr">
        <is>
          <t>Security</t>
        </is>
      </c>
      <c r="C34" s="12" t="inlineStr">
        <is>
          <t>Rotate database passwords before go-live</t>
        </is>
      </c>
      <c r="D34" s="12" t="inlineStr">
        <is>
          <t>Urgent: the production Neon neondb_owner password was posted in a chat on 12 Oct - reset it now and update DATABASE_URL in hPanel (and the GitHub secrets). Rotate the other database passwords before go-live as planned.</t>
        </is>
      </c>
      <c r="E34" s="12" t="inlineStr">
        <is>
          <t>Go-live</t>
        </is>
      </c>
      <c r="F34" s="12" t="inlineStr">
        <is>
          <t>Owner</t>
        </is>
      </c>
      <c r="G34" s="12" t="inlineStr">
        <is>
          <t>Open</t>
        </is>
      </c>
      <c r="H34" s="12" t="inlineStr">
        <is>
          <t>Owner, 9 Oct</t>
        </is>
      </c>
    </row>
    <row r="35" ht="39" customFormat="1" customHeight="1" s="2">
      <c r="A35" s="10" t="n">
        <v>34</v>
      </c>
      <c r="B35" s="12" t="inlineStr">
        <is>
          <t>Decision</t>
        </is>
      </c>
      <c r="C35" s="12" t="inlineStr">
        <is>
          <t>Tile Board: build the four entries that have no feature behind them?</t>
        </is>
      </c>
      <c r="D35" s="12" t="inlineStr">
        <is>
          <t>Customer Favourites, App theme, Call rider (rider number is not shown to customers today); shop owner Theme. The board shows the nearest real page in their place.</t>
        </is>
      </c>
      <c r="E35" s="12" t="inlineStr">
        <is>
          <t>NEW-046</t>
        </is>
      </c>
      <c r="F35" s="12" t="inlineStr">
        <is>
          <t>Owner</t>
        </is>
      </c>
      <c r="G35" s="12" t="inlineStr">
        <is>
          <t>Pending</t>
        </is>
      </c>
      <c r="H35" s="12" t="inlineStr">
        <is>
          <t>docs/tile-board-2026-10/README.md</t>
        </is>
      </c>
    </row>
    <row r="36" ht="51" customFormat="1" customHeight="1" s="2">
      <c r="A36" s="10" t="n">
        <v>35</v>
      </c>
      <c r="B36" s="12" t="inlineStr">
        <is>
          <t>Performance / hosting</t>
        </is>
      </c>
      <c r="C36" s="12" t="inlineStr">
        <is>
          <t>Slow signed-in pages and cold first visits</t>
        </is>
      </c>
      <c r="D36" s="12" t="inlineStr">
        <is>
          <t>Put the database and the web server in the same region, or keep database connections open longer than 20 s. Signed-in pages take 3.4-5.1 s of server time on the test site; the gokesari.com home waited ~4 s after a quiet spell (the board part is fixed by #127 / #130).</t>
        </is>
      </c>
      <c r="E36" s="12" t="inlineStr">
        <is>
          <t>GAP-010; PLT-013</t>
        </is>
      </c>
      <c r="F36" s="12" t="inlineStr">
        <is>
          <t>Owner</t>
        </is>
      </c>
      <c r="G36" s="12" t="inlineStr">
        <is>
          <t>Open</t>
        </is>
      </c>
      <c r="H36" s="12" t="inlineStr">
        <is>
          <t>GoKesari_UI_Issue_Register_2026-10-09.xlsx (PERF-01, PERF-02)</t>
        </is>
      </c>
    </row>
    <row r="37" ht="27" customFormat="1" customHeight="1" s="2">
      <c r="A37" s="10" t="n">
        <v>36</v>
      </c>
      <c r="B37" s="12" t="inlineStr">
        <is>
          <t>Release step</t>
        </is>
      </c>
      <c r="C37" s="12" t="inlineStr">
        <is>
          <t>Turn on prepared statements (DATABASE_PREPARED_STATEMENTS=on)</t>
        </is>
      </c>
      <c r="D37" s="12" t="inlineStr">
        <is>
          <t>Set it for test.gokesari.com, check signed-in pages and that Neon's pooled host accepts prepared statements, then set it for gokesari.com.</t>
        </is>
      </c>
      <c r="E37" s="12" t="inlineStr">
        <is>
          <t>PLT-013</t>
        </is>
      </c>
      <c r="F37" s="12" t="inlineStr">
        <is>
          <t>Owner</t>
        </is>
      </c>
      <c r="G37" s="12" t="inlineStr">
        <is>
          <t>Pending</t>
        </is>
      </c>
      <c r="H37" s="12" t="inlineStr">
        <is>
          <t>Commit 98cb8e7 (PR #124)</t>
        </is>
      </c>
    </row>
    <row r="38" ht="39" customFormat="1" customHeight="1" s="2">
      <c r="A38" s="10" t="n">
        <v>37</v>
      </c>
      <c r="B38" s="12" t="inlineStr">
        <is>
          <t>Access / tooling</t>
        </is>
      </c>
      <c r="C38" s="12" t="inlineStr">
        <is>
          <t>GitHub Actions stopped starting jobs (billing / spending limit)</t>
        </is>
      </c>
      <c r="D38" s="12" t="inlineStr">
        <is>
          <t>Resolved: jobs started again 10 Oct 11:48 UTC; CI green on PR #132 (12:09 UTC) and on every release since (#135-#163); nightly Test database backup ran 13 Oct 23:54 UTC. #134 cuts minutes used.</t>
        </is>
      </c>
      <c r="E38" s="12" t="inlineStr">
        <is>
          <t>PLT-003; PLT-008; PLT-011; QA-005</t>
        </is>
      </c>
      <c r="F38" s="12" t="inlineStr">
        <is>
          <t>Owner / dev</t>
        </is>
      </c>
      <c r="G38" s="12" t="inlineStr">
        <is>
          <t>Resolved</t>
        </is>
      </c>
      <c r="H38" s="12" t="inlineStr">
        <is>
          <t>Actions runs 37973592123, 38008566333, 38016672801</t>
        </is>
      </c>
    </row>
    <row r="39" ht="39" customFormat="1" customHeight="1" s="2">
      <c r="A39" s="10" t="n">
        <v>38</v>
      </c>
      <c r="B39" s="12" t="inlineStr">
        <is>
          <t>Decision</t>
        </is>
      </c>
      <c r="C39" s="12" t="inlineStr">
        <is>
          <t>Translate the body of inner pages into Hindi / Marathi?</t>
        </is>
      </c>
      <c r="D39" s="12" t="inlineStr">
        <is>
          <t>Boards, header, menus, tabs and error screens are translated; forms, tables and policy pages are English. Thousands of strings; needs a native-speaker review.</t>
        </is>
      </c>
      <c r="E39" s="12" t="inlineStr">
        <is>
          <t>GAP-015; NEW-047</t>
        </is>
      </c>
      <c r="F39" s="12" t="inlineStr">
        <is>
          <t>Owner</t>
        </is>
      </c>
      <c r="G39" s="12" t="inlineStr">
        <is>
          <t>Pending</t>
        </is>
      </c>
      <c r="H39" s="12" t="inlineStr">
        <is>
          <t>GoKesari_UI_Issue_Register_2026-10-09.xlsx (DT-13)</t>
        </is>
      </c>
    </row>
    <row r="40" ht="27" customFormat="1" customHeight="1" s="2">
      <c r="A40" s="10" t="n">
        <v>39</v>
      </c>
      <c r="B40" s="12" t="inlineStr">
        <is>
          <t>Security</t>
        </is>
      </c>
      <c r="C40" s="12" t="inlineStr">
        <is>
          <t>Delete the downloaded copy-shops SQL files</t>
        </is>
      </c>
      <c r="D40" s="12" t="inlineStr">
        <is>
          <t>copy-shops-1-PREVIEW.sql / copy-shops-2-APPLY.sql hold the 5 owners' contact details - delete every downloaded copy.</t>
        </is>
      </c>
      <c r="E40" s="12" t="inlineStr">
        <is>
          <t>PLT-018</t>
        </is>
      </c>
      <c r="F40" s="12" t="inlineStr">
        <is>
          <t>Owner</t>
        </is>
      </c>
      <c r="G40" s="12" t="inlineStr">
        <is>
          <t>Open</t>
        </is>
      </c>
      <c r="H40" s="12" t="inlineStr">
        <is>
          <t>docs/copy-shops-2026-10/README.md</t>
        </is>
      </c>
    </row>
    <row r="41" ht="39" customFormat="1" customHeight="1" s="2">
      <c r="A41" s="10" t="n">
        <v>40</v>
      </c>
      <c r="B41" s="12" t="inlineStr">
        <is>
          <t>Owner inputs</t>
        </is>
      </c>
      <c r="C41" s="12" t="inlineStr">
        <is>
          <t>Copied shops: sign-in, legal documents, two shops without location</t>
        </is>
      </c>
      <c r="D41" s="12" t="inlineStr">
        <is>
          <t>The 5 copied owners sign in on gokesari.com and upload their legal documents; add map locations for the 2 original production shops (Asmy super market x2) so Nearby can list them.</t>
        </is>
      </c>
      <c r="E41" s="12" t="inlineStr">
        <is>
          <t>PLT-018, NEW-057, NEW-040</t>
        </is>
      </c>
      <c r="F41" s="12" t="inlineStr">
        <is>
          <t>Owner</t>
        </is>
      </c>
      <c r="G41" s="12" t="inlineStr">
        <is>
          <t>Pending</t>
        </is>
      </c>
      <c r="H41" s="12" t="inlineStr">
        <is>
          <t>copy-shops README; nearby TEST_RESULTS</t>
        </is>
      </c>
    </row>
    <row r="42" ht="51" customFormat="1" customHeight="1" s="2">
      <c r="A42" s="10" t="n">
        <v>41</v>
      </c>
      <c r="B42" s="12" t="inlineStr">
        <is>
          <t>Decision</t>
        </is>
      </c>
      <c r="C42" s="12" t="inlineStr">
        <is>
          <t>Document auto-read engine</t>
        </is>
      </c>
      <c r="D42" s="12" t="inlineStr">
        <is>
          <t>Resolved 15 Oct: #169 reads the photo in the owner's browser (no document leaves the device to be read); released to gokesari.com (#175 / #177) and verified on test and production. No decision on Claude for KYC documents is needed. Before: the local OCR worker did not start on Hostinger.</t>
        </is>
      </c>
      <c r="E42" s="12" t="inlineStr">
        <is>
          <t>NEW-062</t>
        </is>
      </c>
      <c r="F42" s="12" t="inlineStr">
        <is>
          <t>-</t>
        </is>
      </c>
      <c r="G42" s="12" t="inlineStr">
        <is>
          <t>Resolved</t>
        </is>
      </c>
      <c r="H42" s="12" t="inlineStr">
        <is>
          <t>docs/document-upload-2026-10/TEST_RESULTS.md</t>
        </is>
      </c>
    </row>
    <row r="43" ht="111" customFormat="1" customHeight="1" s="2">
      <c r="A43" s="10" t="n">
        <v>42</v>
      </c>
      <c r="B43" s="12" t="inlineStr">
        <is>
          <t>Release step</t>
        </is>
      </c>
      <c r="C43" s="12" t="inlineStr">
        <is>
          <t>Production database split - check the split secrets</t>
        </is>
      </c>
      <c r="D43" s="12" t="inlineStr">
        <is>
          <t>Production split run 19 (migrate, 14 Oct 14:08-14:12 UTC) PASSED: 190 tables, 486 rows, every checksum equal, 0 missing parents on 111 links (report artifact db-split-report-production). But the two production split secrets point at databases literally named PROD_SELLER_DATABASE_URL and PROD_CUSTOMER_DATABASE_URL (test uses gokesari_seller / gokesari_customer) - check the secret values. Fix the two secrets (gokesari_seller / gokesari_customer, as on test) and re-run if the copies went to the wrong databases. The site still reads one database (DB_SPLIT_MODE=single); plan phases 2-4 before switching anything.</t>
        </is>
      </c>
      <c r="E43" s="12" t="inlineStr">
        <is>
          <t>PLT-015</t>
        </is>
      </c>
      <c r="F43" s="12" t="inlineStr">
        <is>
          <t>Owner / dev</t>
        </is>
      </c>
      <c r="G43" s="12" t="inlineStr">
        <is>
          <t>Open</t>
        </is>
      </c>
      <c r="H43" s="12" t="inlineStr">
        <is>
          <t>Actions 'Database split' runs 7-19</t>
        </is>
      </c>
    </row>
    <row r="44" ht="63" customFormat="1" customHeight="1" s="2">
      <c r="A44" s="10" t="n">
        <v>43</v>
      </c>
      <c r="B44" s="12" t="inlineStr">
        <is>
          <t>QA</t>
        </is>
      </c>
      <c r="C44" s="12" t="inlineStr">
        <is>
          <t>Record browser runs for Seller Central and the saffron wordmark</t>
        </is>
      </c>
      <c r="D44" s="12" t="inlineStr">
        <is>
          <t>Seller Central (#142) has only local checks; no staging / production run after #153. Run both on test and gokesari.com and record results. Update 15 Oct: Seller Central was used on test in the order-lifecycle run (TR-23, shop switcher checked); a full Seller Central pass and the saffron wordmark run are still to record.</t>
        </is>
      </c>
      <c r="E44" s="12" t="inlineStr">
        <is>
          <t>NEW-060, NEW-064</t>
        </is>
      </c>
      <c r="F44" s="12" t="inlineStr">
        <is>
          <t>QA / dev</t>
        </is>
      </c>
      <c r="G44" s="12" t="inlineStr">
        <is>
          <t>Open</t>
        </is>
      </c>
      <c r="H44" s="12" t="inlineStr">
        <is>
          <t>seller-central TEST_RESULTS; 13 Oct status sheet</t>
        </is>
      </c>
    </row>
    <row r="45" ht="51" customFormat="1" customHeight="1" s="2">
      <c r="A45" s="10" t="n">
        <v>44</v>
      </c>
      <c r="B45" s="12" t="inlineStr">
        <is>
          <t>Owner inputs</t>
        </is>
      </c>
      <c r="C45" s="12" t="inlineStr">
        <is>
          <t>Production order-lifecycle run (real payment)</t>
        </is>
      </c>
      <c r="D45" s="12" t="inlineStr">
        <is>
          <t>For QA-009: a production shop with delivery on and its owner's sign-in email; an approved rider (or permission to register one for approval); confirmation that the Cashfree live keys are set; the owner pays the small real top-up. No test data or sandbox keys on gokesari.com.</t>
        </is>
      </c>
      <c r="E45" s="12" t="inlineStr">
        <is>
          <t>QA-009</t>
        </is>
      </c>
      <c r="F45" s="12" t="inlineStr">
        <is>
          <t>Owner</t>
        </is>
      </c>
      <c r="G45" s="12" t="inlineStr">
        <is>
          <t>Pending</t>
        </is>
      </c>
      <c r="H45" s="12" t="inlineStr">
        <is>
          <t>docs/order-lifecycle-2026-10/TEST_RESULTS_STAGING_2026-10-14.md</t>
        </is>
      </c>
    </row>
    <row r="46" ht="39" customFormat="1" customHeight="1" s="2">
      <c r="A46" s="10" t="n">
        <v>45</v>
      </c>
      <c r="B46" s="12" t="inlineStr">
        <is>
          <t>Release step</t>
        </is>
      </c>
      <c r="C46" s="12" t="inlineStr">
        <is>
          <t>Inventory &amp; Accounting - before release</t>
        </is>
      </c>
      <c r="D46" s="12" t="inlineStr">
        <is>
          <t>Done 15 Oct: staging run recorded (TESTING_REPORT.md), ~40 s load fixed (#172), released by #179. Still open as separate rows: AI bill reading decision, GSP, CA check (#15).</t>
        </is>
      </c>
      <c r="E46" s="12" t="inlineStr">
        <is>
          <t>NEW-067</t>
        </is>
      </c>
      <c r="F46" s="12" t="inlineStr">
        <is>
          <t>Dev / Owner</t>
        </is>
      </c>
      <c r="G46" s="12" t="inlineStr">
        <is>
          <t>Done</t>
        </is>
      </c>
      <c r="H46" s="12" t="inlineStr">
        <is>
          <t>docs/inventory-accounting-2026-10/README.md</t>
        </is>
      </c>
    </row>
    <row r="47" ht="27" customFormat="1" customHeight="1" s="2">
      <c r="A47" s="10" t="n">
        <v>46</v>
      </c>
      <c r="B47" s="12" t="inlineStr">
        <is>
          <t>Release step</t>
        </is>
      </c>
      <c r="C47" s="12" t="inlineStr">
        <is>
          <t>Release staging to production (#168, #169, #171)</t>
        </is>
      </c>
      <c r="D47" s="12" t="inlineStr">
        <is>
          <t>Released: #168 and #169 via #175 / #177; #171, #172 (and #173, #174) via #179 on 15 Oct.</t>
        </is>
      </c>
      <c r="E47" s="12" t="inlineStr">
        <is>
          <t>NEW-066, NEW-062, NEW-067</t>
        </is>
      </c>
      <c r="F47" s="12" t="inlineStr">
        <is>
          <t>Owner / dev</t>
        </is>
      </c>
      <c r="G47" s="12" t="inlineStr">
        <is>
          <t>Done</t>
        </is>
      </c>
      <c r="H47" s="12" t="inlineStr">
        <is>
          <t>git log main..staging</t>
        </is>
      </c>
    </row>
    <row r="48" ht="39" customHeight="1">
      <c r="A48" s="10" t="n">
        <v>47</v>
      </c>
      <c r="B48" s="12" t="inlineStr">
        <is>
          <t>Release blocker</t>
        </is>
      </c>
      <c r="C48" s="12" t="inlineStr">
        <is>
          <t>Bulk product upload: production checks signed in</t>
        </is>
      </c>
      <c r="D48" s="12" t="inlineStr">
        <is>
          <t>Live on gokesari.com since 15 Oct 15:58 UTC (#179). A signed-in import on production needs a designated test shop; the Production database workflow needs its repository variables set.</t>
        </is>
      </c>
      <c r="E48" s="12" t="inlineStr">
        <is>
          <t>BPU-16</t>
        </is>
      </c>
      <c r="F48" s="12" t="inlineStr">
        <is>
          <t>Owner</t>
        </is>
      </c>
      <c r="G48" s="12" t="inlineStr">
        <is>
          <t>Open</t>
        </is>
      </c>
      <c r="H48" s="12" t="inlineStr">
        <is>
          <t>docs/product-import-2026-10/README.md</t>
        </is>
      </c>
    </row>
    <row r="49" ht="27" customHeight="1">
      <c r="A49" s="10" t="n">
        <v>48</v>
      </c>
      <c r="B49" s="12" t="inlineStr">
        <is>
          <t>Decision</t>
        </is>
      </c>
      <c r="C49" s="12" t="inlineStr">
        <is>
          <t>Bulk upload: MRP in the file</t>
        </is>
      </c>
      <c r="D49" s="12" t="inlineStr">
        <is>
          <t>Stored as the listing MRP (shop_listing_details.mrp_paise); master MRP unchanged; price above it not applied</t>
        </is>
      </c>
      <c r="E49" s="12" t="inlineStr">
        <is>
          <t>BPU-03</t>
        </is>
      </c>
      <c r="F49" s="12" t="inlineStr">
        <is>
          <t>Dev (recorded)</t>
        </is>
      </c>
      <c r="G49" s="12" t="inlineStr">
        <is>
          <t>Decided</t>
        </is>
      </c>
      <c r="H49" s="12" t="inlineStr">
        <is>
          <t>docs/product-import-2026-10/README.md</t>
        </is>
      </c>
    </row>
    <row r="50" ht="27" customHeight="1">
      <c r="A50" s="10" t="n">
        <v>49</v>
      </c>
      <c r="B50" s="12" t="inlineStr">
        <is>
          <t>Decision</t>
        </is>
      </c>
      <c r="C50" s="12" t="inlineStr">
        <is>
          <t>Bulk upload: uncategorised products</t>
        </is>
      </c>
      <c r="D50" s="12" t="inlineStr">
        <is>
          <t>Go to the system category General</t>
        </is>
      </c>
      <c r="E50" s="12" t="inlineStr">
        <is>
          <t>BPU-04</t>
        </is>
      </c>
      <c r="F50" s="12" t="inlineStr">
        <is>
          <t>Dev (recorded)</t>
        </is>
      </c>
      <c r="G50" s="12" t="inlineStr">
        <is>
          <t>Decided</t>
        </is>
      </c>
      <c r="H50" s="12" t="inlineStr">
        <is>
          <t>docs/product-import-2026-10/README.md</t>
        </is>
      </c>
    </row>
    <row r="51" ht="27" customHeight="1">
      <c r="A51" s="10" t="n">
        <v>50</v>
      </c>
      <c r="B51" s="12" t="inlineStr">
        <is>
          <t>Go-live blocker</t>
        </is>
      </c>
      <c r="C51" s="12" t="inlineStr">
        <is>
          <t>Bulk upload: mobile store builds</t>
        </is>
      </c>
      <c r="D51" s="12" t="inlineStr">
        <is>
          <t>EAS / Expo account and Apple Developer account for the AAB and the iPhone build</t>
        </is>
      </c>
      <c r="E51" s="12" t="inlineStr">
        <is>
          <t>BPU-10, BPU-11</t>
        </is>
      </c>
      <c r="F51" s="12" t="inlineStr">
        <is>
          <t>Owner</t>
        </is>
      </c>
      <c r="G51" s="12" t="inlineStr">
        <is>
          <t>Open</t>
        </is>
      </c>
      <c r="H51" s="12" t="inlineStr">
        <is>
          <t>docs/product-import-2026-10/README.md</t>
        </is>
      </c>
    </row>
    <row r="52" ht="51" customHeight="1">
      <c r="A52" s="10" t="n">
        <v>51</v>
      </c>
      <c r="B52" s="12" t="inlineStr">
        <is>
          <t>Owner action</t>
        </is>
      </c>
      <c r="C52" s="12" t="inlineStr">
        <is>
          <t>Inventory &amp; Accounting: INTEGRATION_ENCRYPTION_KEY value</t>
        </is>
      </c>
      <c r="D52" s="12" t="inlineStr">
        <is>
          <t>The variable is set on test and production but is not base64 of 32 bytes (test reports encryption not configured; GST link answers 500). Set `openssl rand -base64 32` (a different value per site) in Hostinger and redeploy.</t>
        </is>
      </c>
      <c r="E52" s="12" t="inlineStr">
        <is>
          <t>IA-056, IA-020, IA-048, NEW-037</t>
        </is>
      </c>
      <c r="F52" s="12" t="inlineStr">
        <is>
          <t>Owner</t>
        </is>
      </c>
      <c r="G52" s="12" t="inlineStr">
        <is>
          <t>Open</t>
        </is>
      </c>
      <c r="H52" s="12" t="inlineStr">
        <is>
          <t>docs/inventory-accounting-2026-10/TESTING_REPORT.md</t>
        </is>
      </c>
    </row>
    <row r="53" ht="39" customHeight="1">
      <c r="A53" s="10" t="n">
        <v>52</v>
      </c>
      <c r="B53" s="12" t="inlineStr">
        <is>
          <t>Decision / vendor</t>
        </is>
      </c>
      <c r="C53" s="12" t="inlineStr">
        <is>
          <t>Inventory &amp; Accounting: licensed GSP for GST returns</t>
        </is>
      </c>
      <c r="D53" s="12" t="inlineStr">
        <is>
          <t>Choose and contract a GSP (Masters India, ClearTax, IRIS, Tally GSP, Vayana) for live GSTR-2B/2A/1 pull; until then owners upload the file from gst.gov.in (works on production).</t>
        </is>
      </c>
      <c r="E53" s="12" t="inlineStr">
        <is>
          <t>IA-022, IA-023</t>
        </is>
      </c>
      <c r="F53" s="12" t="inlineStr">
        <is>
          <t>Owner</t>
        </is>
      </c>
      <c r="G53" s="12" t="inlineStr">
        <is>
          <t>Open</t>
        </is>
      </c>
      <c r="H53" s="12" t="inlineStr">
        <is>
          <t>docs/inventory-accounting-2026-10/TESTING_REPORT.md</t>
        </is>
      </c>
    </row>
    <row r="54" ht="39" customHeight="1">
      <c r="A54" s="10" t="n">
        <v>53</v>
      </c>
      <c r="B54" s="12" t="inlineStr">
        <is>
          <t>Decision</t>
        </is>
      </c>
      <c r="C54" s="12" t="inlineStr">
        <is>
          <t>Inventory &amp; Accounting: AI reading of supplier bills</t>
        </is>
      </c>
      <c r="D54" s="12" t="inlineStr">
        <is>
          <t>Allow bills to be read by Claude (ANTHROPIC_API_KEY + INVOICE_EXTRACTION_PROVIDER=claude): needed for photos, handwriting, Hindi and Marathi. Without it: e-invoice, Excel, PDF text and typing.</t>
        </is>
      </c>
      <c r="E54" s="12" t="inlineStr">
        <is>
          <t>IA-034, IA-039</t>
        </is>
      </c>
      <c r="F54" s="12" t="inlineStr">
        <is>
          <t>Owner</t>
        </is>
      </c>
      <c r="G54" s="12" t="inlineStr">
        <is>
          <t>Open</t>
        </is>
      </c>
      <c r="H54" s="12" t="inlineStr">
        <is>
          <t>docs/inventory-accounting-2026-10/TESTING_REPORT.md</t>
        </is>
      </c>
    </row>
    <row r="55" ht="27" customHeight="1">
      <c r="A55" s="10" t="n">
        <v>54</v>
      </c>
      <c r="B55" s="12" t="inlineStr">
        <is>
          <t>Owner action</t>
        </is>
      </c>
      <c r="C55" s="12" t="inlineStr">
        <is>
          <t>Inventory &amp; Accounting: crons</t>
        </is>
      </c>
      <c r="D55" s="12" t="inlineStr">
        <is>
          <t>Schedule POST /api/cron/gst-reminders daily and /api/cron/bill-captures every 10 min (Bearer CRON_SECRET) on both sites.</t>
        </is>
      </c>
      <c r="E55" s="12" t="inlineStr">
        <is>
          <t>IA-027, IA-050</t>
        </is>
      </c>
      <c r="F55" s="12" t="inlineStr">
        <is>
          <t>Owner</t>
        </is>
      </c>
      <c r="G55" s="12" t="inlineStr">
        <is>
          <t>Open</t>
        </is>
      </c>
      <c r="H55" s="12" t="inlineStr">
        <is>
          <t>docs/inventory-accounting-2026-10/TESTING_REPORT.md</t>
        </is>
      </c>
    </row>
    <row r="56" ht="39" customHeight="1">
      <c r="A56" s="10" t="n">
        <v>55</v>
      </c>
      <c r="B56" s="12" t="inlineStr">
        <is>
          <t>Vendor</t>
        </is>
      </c>
      <c r="C56" s="12" t="inlineStr">
        <is>
          <t>Inventory &amp; Accounting: bill forwarding by email and S3 bucket</t>
        </is>
      </c>
      <c r="D56" s="12" t="inlineStr">
        <is>
          <t>Inbound mail provider (INBOUND_EMAIL_SECRET / _DOMAIN) for forwarding; S3-compatible bucket credentials (ACCOUNTS_S3_*) - bills stay in the database until then.</t>
        </is>
      </c>
      <c r="E56" s="12" t="inlineStr">
        <is>
          <t>IA-032, IA-049</t>
        </is>
      </c>
      <c r="F56" s="12" t="inlineStr">
        <is>
          <t>Owner</t>
        </is>
      </c>
      <c r="G56" s="12" t="inlineStr">
        <is>
          <t>Open</t>
        </is>
      </c>
      <c r="H56" s="12" t="inlineStr">
        <is>
          <t>docs/inventory-accounting-2026-10/TESTING_REPORT.md</t>
        </is>
      </c>
    </row>
    <row r="57" ht="87" customHeight="1">
      <c r="A57" s="10" t="n">
        <v>56</v>
      </c>
      <c r="B57" s="12" t="inlineStr">
        <is>
          <t>Dev</t>
        </is>
      </c>
      <c r="C57" s="12" t="inlineStr">
        <is>
          <t>Flaky test: PMD parallel loader</t>
        </is>
      </c>
      <c r="D57" s="12" t="inlineStr">
        <is>
          <t>Resolved 16 Oct: #184 (each parallel worker scores only its own committed batch; shared products rescored at the end; reproduced 1 in 3 before, 15/15 after) released to gokesari.com by #185.</t>
        </is>
      </c>
      <c r="E57" s="12" t="inlineStr">
        <is>
          <t>PMD-001</t>
        </is>
      </c>
      <c r="F57" s="12" t="inlineStr">
        <is>
          <t>Dev</t>
        </is>
      </c>
      <c r="G57" s="12" t="inlineStr">
        <is>
          <t>Resolved</t>
        </is>
      </c>
      <c r="H57" s="12" t="inlineStr">
        <is>
          <t>docs/inventory-accounting-2026-10/TESTING_REPORT.md</t>
        </is>
      </c>
    </row>
  </sheetData>
  <autoFilter ref="A1:H57"/>
  <conditionalFormatting sqref="G2:G57">
    <cfRule type="cellIs" priority="1" operator="equal" dxfId="3">
      <formula>"Open"</formula>
    </cfRule>
    <cfRule type="cellIs" priority="2" operator="equal" dxfId="1">
      <formula>"Pending"</formula>
    </cfRule>
    <cfRule type="cellIs" priority="3" operator="equal" dxfId="1">
      <formula>"Pending confirmation"</formula>
    </cfRule>
    <cfRule type="cellIs" priority="4" operator="equal" dxfId="2">
      <formula>"At release"</formula>
    </cfRule>
    <cfRule type="cellIs" priority="5" operator="equal" dxfId="0">
      <formula>"Resolved"</formula>
    </cfRule>
  </conditionalFormatting>
  <pageMargins left="0.3" right="0.3" top="1" bottom="1" header="0.511811023622047" footer="0.511811023622047"/>
  <pageSetup orientation="landscape" paperSize="9" scale="100" fitToHeight="0" fitToWidth="1" firstPageNumber="1" useFirstPageNumber="1"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2026-10-08T18:11:33Z</dcterms:created>
  <dcterms:modified xmlns:dcterms="http://purl.org/dc/terms/" xmlns:xsi="http://www.w3.org/2001/XMLSchema-instance" xsi:type="dcterms:W3CDTF">2026-10-18T21:00:12Z</dcterms:modified>
  <cp:lastModifiedBy>Unknown</cp:lastModifiedBy>
</cp:coreProperties>
</file>