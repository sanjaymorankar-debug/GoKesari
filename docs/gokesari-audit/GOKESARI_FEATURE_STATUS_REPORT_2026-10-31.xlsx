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1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0" windowWidth="12000" windowHeight="24000" firstSheet="0" activeTab="0"/>
  </bookViews>
  <sheets>
    <sheet sheetId="1" name="Summary" state="visible" r:id="rId4"/>
    <sheet sheetId="15" name="Flow Diagram" state="visible" r:id="rId5"/>
    <sheet sheetId="5" name="Feature Register" state="visible" r:id="rId6"/>
    <sheet sheetId="6" name="Process Flow Tree" state="visible" r:id="rId7"/>
    <sheet sheetId="9" name="Dealer Programme" state="visible" r:id="rId8"/>
    <sheet sheetId="10" name="New Functions" state="visible" r:id="rId9"/>
    <sheet sheetId="11" name="New Routes &amp; Pages" state="visible" r:id="rId10"/>
    <sheet sheetId="12" name="Pending for Production" state="visible" r:id="rId11"/>
    <sheet sheetId="13" name="Performance &amp; DB" state="visible" r:id="rId12"/>
    <sheet sheetId="8" name="Blockers &amp; Decisions" state="visible" r:id="rId13"/>
    <sheet sheetId="7" name="PR Register" state="visible" r:id="rId14"/>
    <sheet sheetId="2" name="Batch 2026-10" state="visible" r:id="rId15"/>
    <sheet sheetId="3" name="Bulk Product Upload" state="visible" r:id="rId16"/>
    <sheet sheetId="4" name="Inventory &amp; Accounting" state="visible" r:id="rId17"/>
    <sheet sheetId="14" name="Sources" state="visible" r:id="rId18"/>
  </sheets>
  <definedNames>
    <definedName name="_xlnm._FilterDatabase">'Blockers &amp; Decisions'!$A$1:$H$72</definedName>
    <definedName name="_xlnm.Print_Titles" localSheetId="2">'Feature Register'!$1:$1</definedName>
    <definedName name="_xlnm.Print_Titles" localSheetId="3">'Process Flow Tree'!$4:$4</definedName>
    <definedName name="_xlnm.Print_Titles" localSheetId="10">'PR Register'!$1:$1</definedName>
  </definedNames>
  <calcPr calcId="171027"/>
</workbook>
</file>

<file path=xl/sharedStrings.xml><?xml version="1.0" encoding="utf-8"?>
<sst xmlns="http://schemas.openxmlformats.org/spreadsheetml/2006/main" count="15084" uniqueCount="5487">
  <si>
    <t>GoKesari (gokesari.com) - consolidated feature, process flow and PR status</t>
  </si>
  <si>
    <t>As of 29 Oct 2026, 20:00 IST. Production main 4585627 (#287, Release 29 Oct (6)). Ten production releases since the 25 Oct report (#266 to #287); migrations 0097-0117.</t>
  </si>
  <si>
    <t>Baseline = the 25 Oct status report. Added: 58 features (28 dealer programme, 30 other), flows F16-F18, PRs #250-#289, 239 new functions, 71 new pages / API routes, flow diagrams. Updated 11 existing rows (9 status changes).</t>
  </si>
  <si>
    <t>Status is development status read from code, PRs, docs, recorded test runs and live checks - not QA sign-off. COMPLETED includes features released with their feature flag off (see "Where it runs").</t>
  </si>
  <si>
    <t>To update: change Status in the Feature Register (column I) or a step in the Process Flow Tree (column G) with the dropdown - every count on this sheet is a formula. "Status 25 Oct" (column P) is kept for comparison.</t>
  </si>
  <si>
    <t>1. Features by status</t>
  </si>
  <si>
    <t>Status</t>
  </si>
  <si>
    <t>Features</t>
  </si>
  <si>
    <t>% of total</t>
  </si>
  <si>
    <t>Status 25 Oct</t>
  </si>
  <si>
    <t>Change</t>
  </si>
  <si>
    <t>COMPLETED</t>
  </si>
  <si>
    <t>IN PROGRESS</t>
  </si>
  <si>
    <t>YET TO START</t>
  </si>
  <si>
    <t>BLOCKED</t>
  </si>
  <si>
    <t>DROPPED</t>
  </si>
  <si>
    <t>New since 25 Oct (not in the 25 Oct report)</t>
  </si>
  <si>
    <t>Total features tracked</t>
  </si>
  <si>
    <t>2. Features by section and status</t>
  </si>
  <si>
    <t>Section</t>
  </si>
  <si>
    <t>Total</t>
  </si>
  <si>
    <t>% complete</t>
  </si>
  <si>
    <t>Feature Master</t>
  </si>
  <si>
    <t>Workflow Master</t>
  </si>
  <si>
    <t>RBAC Matrix</t>
  </si>
  <si>
    <t>State Machines</t>
  </si>
  <si>
    <t>Gig Assignment Rules</t>
  </si>
  <si>
    <t>Navigation</t>
  </si>
  <si>
    <t>KPIs</t>
  </si>
  <si>
    <t>Added features (to 6 Oct)</t>
  </si>
  <si>
    <t>Delivered or started since 6 Oct</t>
  </si>
  <si>
    <t>Delivered or started since 8 Oct</t>
  </si>
  <si>
    <t>Delivered or started since 9 Oct</t>
  </si>
  <si>
    <t>Delivered or started since 10 Oct</t>
  </si>
  <si>
    <t>Delivered or started since 14 Oct</t>
  </si>
  <si>
    <t>Product Master Data Platform</t>
  </si>
  <si>
    <t>Platform &amp; DevOps</t>
  </si>
  <si>
    <t>QA &amp; Testing</t>
  </si>
  <si>
    <t>Known gaps (not started)</t>
  </si>
  <si>
    <t>Delivered or started since 19 Oct</t>
  </si>
  <si>
    <t>Delivered or started since 21 Oct</t>
  </si>
  <si>
    <t>Dealer Programme</t>
  </si>
  <si>
    <t>Delivered or started since 25 Oct</t>
  </si>
  <si>
    <t>3. Where features run</t>
  </si>
  <si>
    <t>Where it runs</t>
  </si>
  <si>
    <t>Production (gokesari.com)</t>
  </si>
  <si>
    <t>Production - built, switched off by default</t>
  </si>
  <si>
    <t>Dropped (code constant)</t>
  </si>
  <si>
    <t>Mobile app - Android test builds only (not in stores)</t>
  </si>
  <si>
    <t>GitHub Actions (runs from staging)</t>
  </si>
  <si>
    <t>GitHub Actions (runs from main)</t>
  </si>
  <si>
    <t>Test site and production (guest tier)</t>
  </si>
  <si>
    <t>Test site only (test.gokesari.com)</t>
  </si>
  <si>
    <t>Not started</t>
  </si>
  <si>
    <t>Production - partly live</t>
  </si>
  <si>
    <t>4. Process flow steps by status</t>
  </si>
  <si>
    <t>Steps (level 3)</t>
  </si>
  <si>
    <t>Stages (level 2)</t>
  </si>
  <si>
    <t>Flows (level 1)</t>
  </si>
  <si>
    <t>5. Status of each flow (see the Flow Diagram sheet)</t>
  </si>
  <si>
    <t>Flow</t>
  </si>
  <si>
    <t>Steps done</t>
  </si>
  <si>
    <t>F1  Customer purchase journey</t>
  </si>
  <si>
    <t>F2  Shop order fulfilment</t>
  </si>
  <si>
    <t>F3  Rider (gig) assignment</t>
  </si>
  <si>
    <t>F4  Delivery</t>
  </si>
  <si>
    <t>F5  Society-authorised delivery</t>
  </si>
  <si>
    <t>F6  After the order: returns, refunds, disputes, ratings</t>
  </si>
  <si>
    <t>F7  Subscriptions</t>
  </si>
  <si>
    <t>F8  Shop onboarding and seller verification</t>
  </si>
  <si>
    <t>F9  Catalogue and product master data</t>
  </si>
  <si>
    <t>F10  Finance: commission, settlement, payouts, wallets</t>
  </si>
  <si>
    <t>F11  Marketing and growth</t>
  </si>
  <si>
    <t>F12  Admin and operations control tower</t>
  </si>
  <si>
    <t>F13  Notifications and event layer</t>
  </si>
  <si>
    <t>F14  Release and deployment</t>
  </si>
  <si>
    <t>F15  Mobile app (Android and iPhone)</t>
  </si>
  <si>
    <t>F16  Dealer programme</t>
  </si>
  <si>
    <t>F17  Shop onboarding wizard, registration fee and documents</t>
  </si>
  <si>
    <t>F18  Platform performance and operations</t>
  </si>
  <si>
    <t>6. Pull requests</t>
  </si>
  <si>
    <t>PR state</t>
  </si>
  <si>
    <t>PRs</t>
  </si>
  <si>
    <t>Closed - not merged</t>
  </si>
  <si>
    <t>Merged</t>
  </si>
  <si>
    <t>Open (draft)</t>
  </si>
  <si>
    <t>PR type</t>
  </si>
  <si>
    <t>Branding</t>
  </si>
  <si>
    <t>DevOps / repo</t>
  </si>
  <si>
    <t>Docs / legal</t>
  </si>
  <si>
    <t>Docs / reports</t>
  </si>
  <si>
    <t>Feature</t>
  </si>
  <si>
    <t>Fix</t>
  </si>
  <si>
    <t>Fix / hotfix</t>
  </si>
  <si>
    <t>Improvement</t>
  </si>
  <si>
    <t>Platform port</t>
  </si>
  <si>
    <t>QA / docs</t>
  </si>
  <si>
    <t>QA / fix</t>
  </si>
  <si>
    <t>QA / tests</t>
  </si>
  <si>
    <t>Release</t>
  </si>
  <si>
    <t>Release (staging -&gt; main)</t>
  </si>
  <si>
    <t>Release + direct commits (Phases A-J)</t>
  </si>
  <si>
    <t>Revert</t>
  </si>
  <si>
    <t>Security / dependencies</t>
  </si>
  <si>
    <t>Test data / settings</t>
  </si>
  <si>
    <t>7. Headlines (29 Oct 2026)</t>
  </si>
  <si>
    <t>1. Production: gokesari.com is at 4585627 (#287, Release 29 Oct (6)). Ten releases since 25 Oct, one at a time, each with its own post-deploy check (rule from E-02).</t>
  </si>
  <si>
    <t>2. Dealer programme: all 28 modules (registration, codes, attribution, commission incl. base % by rating and monthly payout, dashboard, coverage map, support services, all-India) built, tested on staging and released with flags off. Staging has it on for Karnataka + Pune.</t>
  </si>
  <si>
    <t>3. Shop onboarding: registration fee (turnover slabs, Rs 999 + GST, coupons, online pay / waive), documents before the fee with a promise and 1st/15th follow-up, Scan a document, more licences and the verification follow-ups are live. The new wizard (steps 1-2) is released behind its flag.</t>
  </si>
  <si>
    <t>4. Speed: both databases moved Ohio -&gt; Neon Singapore on 28 Oct (home page 1.8-2.1 s -&gt; 0.34 s median). Next: product / shop page reads (P1), shared-data caching (P2), static pages from the CDN (P4).</t>
  </si>
  <si>
    <t>5. Bugs: GAP-011, 012, 013, 014, 016, 017, 018, 019 and NEW-070 (www redirect) are released. D-106, D-107, D-108 fixed and released; E-04 resolved by owner decision.</t>
  </si>
  <si>
    <t>6. Owner decisions waiting: Neon plan (cold start), switching on the five feature flags, P7 hosting, PAN catch-up script, deleting the Ohio projects after 4 / 11 Nov (Blockers #72-#82).</t>
  </si>
  <si>
    <t>7. Not checked from this session: the post-deploy check run for #287 and production feature-flag values (GitHub API and production reads not reachable here).</t>
  </si>
  <si>
    <t>GoKesari flow diagrams - 29 Oct 2026</t>
  </si>
  <si>
    <t>Colours follow the Process Flow Tree sheet. Diagram 1 = all 18 flows; 2 = dealer programme (F16); 3 = shop onboarding, registration fee and documents (F17). PNG copies are saved next to this workbook.</t>
  </si>
  <si>
    <t>1. End-to-end</t>
  </si>
  <si>
    <t>2. Dealer programme</t>
  </si>
  <si>
    <t>3. Shop onboarding</t>
  </si>
  <si>
    <t>#</t>
  </si>
  <si>
    <t>Feature ID</t>
  </si>
  <si>
    <t>Module / area</t>
  </si>
  <si>
    <t>Functionality (what it does today)</t>
  </si>
  <si>
    <t>Process flow step(s)</t>
  </si>
  <si>
    <t>Priority</t>
  </si>
  <si>
    <t>Status (29 Oct 2026)</t>
  </si>
  <si>
    <t>Switched on?</t>
  </si>
  <si>
    <t>Built in PR(s)</t>
  </si>
  <si>
    <t>Released to production in PR(s)</t>
  </si>
  <si>
    <t>Remaining scope / gap</t>
  </si>
  <si>
    <t>Blocked on / next step</t>
  </si>
  <si>
    <t>Change since 25 Oct (PRs #250-#289)</t>
  </si>
  <si>
    <t>Evidence (code / docs)</t>
  </si>
  <si>
    <t>GS-001</t>
  </si>
  <si>
    <t>Identity &amp; Access</t>
  </si>
  <si>
    <t>Mobile/email/Gmail login</t>
  </si>
  <si>
    <t>Google, email magic link and a single mobile-or-email form; first-time /onboarding profile; My Profile with verified email change; checkout requires a mobile; admin can release a wrongly claimed number. Login rebuild now on main (was staging-only on 3 Oct).</t>
  </si>
  <si>
    <t>F1.1.1, F1.1.2, F1.1.3</t>
  </si>
  <si>
    <t>P0</t>
  </si>
  <si>
    <t>Live (email OTP); SMS OTP only via the Phase-2 SMS stub</t>
  </si>
  <si>
    <t>#10 (magic link); #23 (Phase A mobile OTP); #31 (login rebuild, onboarding, My Profile); #80 (same OTP reply); #121 (one consent box); #190 (batch)</t>
  </si>
  <si>
    <t>#14; #23; #43; #81; #123; #194</t>
  </si>
  <si>
    <t>SMS vendor only if SMS OTP is wanted later</t>
  </si>
  <si>
    <t>-</t>
  </si>
  <si>
    <t>No change</t>
  </si>
  <si>
    <t>src/server/otp/providers.ts; src/app/onboarding; src/app/profile; drizzle/0038_login_profile.sql</t>
  </si>
  <si>
    <t>GS-002</t>
  </si>
  <si>
    <t>Role-based access control</t>
  </si>
  <si>
    <t>SOCIETY_ADMIN role; society roles scoped per membership (ADMIN/OPERATOR/RESIDENT)</t>
  </si>
  <si>
    <t>F5.1.2, F12.2.1</t>
  </si>
  <si>
    <t>Live</t>
  </si>
  <si>
    <t>Baseline; #10 (SOCIETY_ADMIN); #11 (society roles)</t>
  </si>
  <si>
    <t>Baseline; #14; #19</t>
  </si>
  <si>
    <t>src/server/authz/permissions.ts; src/server/db/schema.ts (userRoleEnum)</t>
  </si>
  <si>
    <t>GS-003</t>
  </si>
  <si>
    <t>Multi-role user account</t>
  </si>
  <si>
    <t>user_role_grants; active role switcher in the header; /api/me/roles; admin revoke; shop/rider/society flows grant roles; staff roles exclusive</t>
  </si>
  <si>
    <t>F12.2.1</t>
  </si>
  <si>
    <t>P1</t>
  </si>
  <si>
    <t>#18</t>
  </si>
  <si>
    <t>#19</t>
  </si>
  <si>
    <t>src/server/services/roles.ts; src/app/api/me/roles/route.ts</t>
  </si>
  <si>
    <t>GS-004</t>
  </si>
  <si>
    <t>Location</t>
  </si>
  <si>
    <t>PIN / address selection</t>
  </si>
  <si>
    <t>'Deliver to' location: saved address, device position or PIN, remembered in a cookie. Phase B added Maps Places address search, a 'save this place' path, and recipient name / recipient mobile / Home-Work-Other on addresses</t>
  </si>
  <si>
    <t>F1.2.1</t>
  </si>
  <si>
    <t>Baseline (location capture); #10 (customer location); #23 (Phase B); #83 (Deliver-to pill)</t>
  </si>
  <si>
    <t>Baseline; #14; #23; #84</t>
  </si>
  <si>
    <t>src/lib/geo/provider.ts; src/components/location-bar.tsx; drizzle/0026</t>
  </si>
  <si>
    <t>GS-005</t>
  </si>
  <si>
    <t>Society identification</t>
  </si>
  <si>
    <t>Society membership; address &lt;-&gt; society link; orders.society_id</t>
  </si>
  <si>
    <t>F1.2.2, F5.1.2</t>
  </si>
  <si>
    <t>#11</t>
  </si>
  <si>
    <t>src/server/services/societies.ts</t>
  </si>
  <si>
    <t>GS-006</t>
  </si>
  <si>
    <t>Shop Onboarding</t>
  </si>
  <si>
    <t>Shop registration</t>
  </si>
  <si>
    <t>Shop owner registers a shop (/shop/register): name, owner, address with map location, shop type and categories, at least one of PAN / Udyam / GST / Shop Act; duplicate-registration guard; resubmission after rejection; operations approve or reject.</t>
  </si>
  <si>
    <t>F8.1.1</t>
  </si>
  <si>
    <t>Baseline; #22 (duplicate guard); #45 (validation, GST field); #53 (documents)</t>
  </si>
  <si>
    <t>Baseline; #19; #47; #54</t>
  </si>
  <si>
    <t>6 Oct: GST field added at registration; at least one of PAN / Udyam / GST / Shop Act required (135f29a).</t>
  </si>
  <si>
    <t>GS-007</t>
  </si>
  <si>
    <t>Business KYC</t>
  </si>
  <si>
    <t>Seller verification Parts 1-4: PAN, GSTIN, Udyam, FSSAI and Shop Act per shop with document upload, vendor check (provider-agnostic, Gridlines adapter + mock), name matching, cross-document consistency score, per-document status, admin review queue (approve / reject with reason / re-check), daily re-check and expiry job, auto-suspend on lapse, DPDP retention/erasure.</t>
  </si>
  <si>
    <t>F8.2.1</t>
  </si>
  <si>
    <t>Live; vendor checks run on the MOCK vendor until Gridlines keys are set (KYC_PROVIDER)</t>
  </si>
  <si>
    <t>Baseline (GST/PAN self-service); #53 (seller verification)</t>
  </si>
  <si>
    <t>Baseline; #54</t>
  </si>
  <si>
    <t>Real vendor: Gridlines sandbox then live keys and written confirmation of response fields, Shop Act coverage, prices, DPA. Since SM-002 (PR #58) an admin can approve a shop only once every mandatory document is verified (VERIFIED stage).</t>
  </si>
  <si>
    <t>src/server/services/seller-verification*.ts; src/server/kyc/; /shop/verification; /admin/seller-verification; drizzle/0040, 0041; docs/seller-verification/</t>
  </si>
  <si>
    <t>GS-008</t>
  </si>
  <si>
    <t>Payment reference verification</t>
  </si>
  <si>
    <t>approveShop() now refuses unless fee_payment_status = PAID (derived from the shop_payments ledger), naming the amount outstanding; waived fee (zero snapshot) is written PAID at registration; approval queue shows each pending shop's fee state. Gate is on the transition only - shops already APPROVED untouched</t>
  </si>
  <si>
    <t>F8.2.3</t>
  </si>
  <si>
    <t>Baseline (registration fees); #29 (fee gate on approval)</t>
  </si>
  <si>
    <t>Baseline; #29</t>
  </si>
  <si>
    <t>src/server/services/shops.ts (approveShop); src/components/shop-approval-panel.tsx; tests/integration/registration-fees.test.ts</t>
  </si>
  <si>
    <t>GS-009</t>
  </si>
  <si>
    <t>Shop categories</t>
  </si>
  <si>
    <t>Admin-configurable category master: shop_categories + shop_category_mapping (many per shop), seeded from the 44 shop types and backfilled; registration requires at least one category; owners edit their own on /shop; operators/admins manage the list at /admin/shop-categories and assign per shop; uncategorised shops flagged; categories feed search relevance</t>
  </si>
  <si>
    <t>F8.3.2</t>
  </si>
  <si>
    <t>#23 (shop categories); #30 (explicit Save)</t>
  </si>
  <si>
    <t>#23; #32</t>
  </si>
  <si>
    <t>src/server/services/shop-categories.ts; src/app/admin/shop-categories/page.tsx; drizzle/0035</t>
  </si>
  <si>
    <t>GS-010</t>
  </si>
  <si>
    <t>Service radius / delivery zone</t>
  </si>
  <si>
    <t>shops.service_radius_km (1-50 km) editable by the shop; Phase B added extra delivery zones by PIN code (shops.delivery_pincodes), honoured by serviceability, checkout and discovery</t>
  </si>
  <si>
    <t>F8.3.3</t>
  </si>
  <si>
    <t>Baseline; #10 (delivery radius); #23 (Phase B PIN zones)</t>
  </si>
  <si>
    <t>Baseline; #14; #23</t>
  </si>
  <si>
    <t>src/server/services/serviceability.ts; src/server/db/schema.ts:691; drizzle/0019, 0026</t>
  </si>
  <si>
    <t>GS-011</t>
  </si>
  <si>
    <t>Catalog</t>
  </si>
  <si>
    <t>Product master</t>
  </si>
  <si>
    <t>Central product catalogue (products) with brand, pack size, GTIN, HSN, GST rate and MRP; fed by the Product Master Data Platform (PMD) and the category master; shop-created products go through an approval queue.</t>
  </si>
  <si>
    <t>Baseline (product identity/MRP); #4 (Product Master platform); #38 (category master)</t>
  </si>
  <si>
    <t>Baseline; #8; #43</t>
  </si>
  <si>
    <t>GS-012</t>
  </si>
  <si>
    <t>Shop catalog mapping</t>
  </si>
  <si>
    <t>Each shop lists master products as its own listings (shop_products) with its own online and in-shop price, stock and availability; listings follow the shop's product categories.</t>
  </si>
  <si>
    <t>F9.2.2</t>
  </si>
  <si>
    <t>Baseline (shop-created products); #38 (category visibility); #45 (inventory fill)</t>
  </si>
  <si>
    <t>Baseline; #43; #47</t>
  </si>
  <si>
    <t>GS-013</t>
  </si>
  <si>
    <t>Bulk product upload</t>
  </si>
  <si>
    <t>Excel goods/price upload in two phases: validate every row and show a preview (nothing written), then apply valid rows through the normal price-approval workflow.</t>
  </si>
  <si>
    <t>Baseline (Excel upload); #38 (category by name in Excel)</t>
  </si>
  <si>
    <t>Baseline; #43</t>
  </si>
  <si>
    <t>GS-014</t>
  </si>
  <si>
    <t>Product images/specifications</t>
  </si>
  <si>
    <t>Image store with several images per product/listing, primary, reorder, alt text; F10 moderation queue (pending -&gt; approve / reject with reason) at /admin/image-moderation; existing photos stay live.</t>
  </si>
  <si>
    <t>F9.2.4</t>
  </si>
  <si>
    <t>Off by default - switch on in Admin &gt; Business rules (rule: imageModeration.enabled)</t>
  </si>
  <si>
    <t>#23 (Phase E image store, Phase I image mgmt); #55 (F10 moderation); #79 (photo catalogue)</t>
  </si>
  <si>
    <t>#23; #57; #82</t>
  </si>
  <si>
    <t>src/server/services/product-images.ts; drizzle/0049_image_moderation.sql; tests/integration/image-moderation.test.ts</t>
  </si>
  <si>
    <t>GS-015</t>
  </si>
  <si>
    <t>MRP / selling price / discount</t>
  </si>
  <si>
    <t>MRP governance: a selling price above an enforced MRP is refused everywhere a shop price is written (assertPriceWithinMrp on both catalogue write paths); MRP provenance and verification status; MRP drops notify shops without touching prices; shop MRP corrections decided by operations; violations report; MRP shown on the product page</t>
  </si>
  <si>
    <t>F9.2.3</t>
  </si>
  <si>
    <t>Baseline (MRP); #23 (Phase I MRP governance); #45 (per-shop prices)</t>
  </si>
  <si>
    <t>Baseline; #23; #47</t>
  </si>
  <si>
    <t>src/server/services/mrp-governance.ts; src/server/services/catalogue.ts:617,710; src/app/admin/mrp/page.tsx; drizzle/0032</t>
  </si>
  <si>
    <t>GS-016</t>
  </si>
  <si>
    <t>Inventory</t>
  </si>
  <si>
    <t>Stock quantity</t>
  </si>
  <si>
    <t>Shop owners keep online and in-shop stock per listing on the inventory page; checkout refuses out-of-stock lines and restocks on cancellation.</t>
  </si>
  <si>
    <t>F1.8.1, F9.2.3</t>
  </si>
  <si>
    <t>Baseline</t>
  </si>
  <si>
    <t>GS-017</t>
  </si>
  <si>
    <t>Low-stock threshold</t>
  </si>
  <si>
    <t>Extended by GS-018 (three-level thresholds, Phase I)</t>
  </si>
  <si>
    <t>Baseline (thresholds + alerts); #23 (Phase I)</t>
  </si>
  <si>
    <t>Baseline; #23</t>
  </si>
  <si>
    <t>GS-018</t>
  </si>
  <si>
    <t>Reorder level / quantity</t>
  </si>
  <si>
    <t>Low-stock threshold, reorder level and reorder quantity resolved at listing -&gt; product -&gt; shop level with an explicit opt-out and the source reported; reserved / available / on-hand; one notification per new alert; hand-edited stock now writes the ledger and re-checks alerts</t>
  </si>
  <si>
    <t>Baseline; #23 (Phase I)</t>
  </si>
  <si>
    <t>Analytics-driven replenishment suggestions (enhancement)</t>
  </si>
  <si>
    <t>src/server/services/inventory-alerts.ts; src/app/shop/inventory/page.tsx; drizzle/0033</t>
  </si>
  <si>
    <t>GS-019</t>
  </si>
  <si>
    <t>Search</t>
  </si>
  <si>
    <t>Shop search</t>
  </si>
  <si>
    <t>Shops that deliver to the location, nearest first, with distance</t>
  </si>
  <si>
    <t>F1.3.1</t>
  </si>
  <si>
    <t>#10 (serviceable discovery); #83 (Shops filter/sort)</t>
  </si>
  <si>
    <t>#14; #84</t>
  </si>
  <si>
    <t>src/server/services/serviceability.ts</t>
  </si>
  <si>
    <t>GS-020</t>
  </si>
  <si>
    <t>Product search</t>
  </si>
  <si>
    <t>Product search limited to serviceable shops, nearest first</t>
  </si>
  <si>
    <t>F1.3.2</t>
  </si>
  <si>
    <t>Baseline; #10; #48 (search bar row); #83 (search in header)</t>
  </si>
  <si>
    <t>Baseline; #14; #71; #84</t>
  </si>
  <si>
    <t>src/app/search/page.tsx; src/server/services/catalogue.ts</t>
  </si>
  <si>
    <t>GS-021</t>
  </si>
  <si>
    <t>All shops selling product</t>
  </si>
  <si>
    <t>/products/{id}: every shop selling the product</t>
  </si>
  <si>
    <t>F1.3.3</t>
  </si>
  <si>
    <t>#10</t>
  </si>
  <si>
    <t>#14</t>
  </si>
  <si>
    <t>src/app/products/[id]/page.tsx</t>
  </si>
  <si>
    <t>GS-022</t>
  </si>
  <si>
    <t>Comparison</t>
  </si>
  <si>
    <t>Local price comparison</t>
  </si>
  <si>
    <t>Per-unit / per-pack comparison, 'Lowest price', delivers-to-you</t>
  </si>
  <si>
    <t>F1.4.1</t>
  </si>
  <si>
    <t>#10; #55 (F9 home comparison); #72 (faster query)</t>
  </si>
  <si>
    <t>#14; #57; #73</t>
  </si>
  <si>
    <t>GS-023</t>
  </si>
  <si>
    <t>E-commerce price benchmark</t>
  </si>
  <si>
    <t>External reference prices with source, time, location, URL, verification and audit history; shops and operations see them.</t>
  </si>
  <si>
    <t>F1.4.3</t>
  </si>
  <si>
    <t>Off permanently (code constant, not a setting)</t>
  </si>
  <si>
    <t>#23 (Phase I external price references); #190 (batch)</t>
  </si>
  <si>
    <t>#23; #194</t>
  </si>
  <si>
    <t>src/server/config/rules.ts (externalPrices)</t>
  </si>
  <si>
    <t>GS-024</t>
  </si>
  <si>
    <t>Cart</t>
  </si>
  <si>
    <t>Single-shop cart</t>
  </si>
  <si>
    <t>Cart built from one shop's listings with quantity changes and live totals; card-level add / - / + / Remove controls.</t>
  </si>
  <si>
    <t>F1.5.1</t>
  </si>
  <si>
    <t>Baseline; #48 (card quantity controls); #72 (cart state after reload)</t>
  </si>
  <si>
    <t>Baseline; #71; #73</t>
  </si>
  <si>
    <t>GS-025</t>
  </si>
  <si>
    <t>Multi-shop cart</t>
  </si>
  <si>
    <t>One cart can hold items from several shops; checkout creates one order per shop with per-shop validation and delivery charges.</t>
  </si>
  <si>
    <t>F1.5.2</t>
  </si>
  <si>
    <t>Baseline; #10</t>
  </si>
  <si>
    <t>Baseline; #14</t>
  </si>
  <si>
    <t>GS-026</t>
  </si>
  <si>
    <t>Checkout</t>
  </si>
  <si>
    <t>Address validation</t>
  </si>
  <si>
    <t>Cart warning, then a checkout hard block when a shop does not deliver to the address. Phase B added a cart-validation service that re-checks every shop in the cart against the chosen location - deliverable, paused, unavailable items, minimum order, delivery charge, closed-now - each with an action, re-running when the address changes</t>
  </si>
  <si>
    <t>F1.5.3, F1.6.1, F1.8.1</t>
  </si>
  <si>
    <t>#11 (serviceability block); #23 (Phase B revalidation); #31 (address required)</t>
  </si>
  <si>
    <t>#19; #23; #43</t>
  </si>
  <si>
    <t>src/server/services/cart-validation.ts; src/app/api/cart/validate/route.ts</t>
  </si>
  <si>
    <t>GS-027</t>
  </si>
  <si>
    <t>Delivery slot</t>
  </si>
  <si>
    <t>EXPRESS_30 / STANDARD_60 / SCHEDULED windows with F5 capacity, plus a chosen date and time slot for a scheduled delivery: only future slots inside shop hours, after the cut-off and with places left are offered (per-slot and per-day limits); the place is re-checked under the slot lock at checkout so the last place cannot be taken twice; the slot is stored on the order and shown to customer, shop and rider; the rider search starts shortly before the slot. Deliver now is unchanged.</t>
  </si>
  <si>
    <t>F1.6.2</t>
  </si>
  <si>
    <t>Off by default - switch on in Admin &gt; Business rules (rules: scheduledSlots.enabled, deliverySlots.enabled)</t>
  </si>
  <si>
    <t>Baseline (delivery windows); #55 (F5 slot capacity); #58 (chosen time slot)</t>
  </si>
  <si>
    <t>Baseline; #57; #65</t>
  </si>
  <si>
    <t>src/server/services/scheduled-slots.ts; drizzle/0053_scheduled_slots.sql; tests/integration/scheduled-slots.test.ts</t>
  </si>
  <si>
    <t>GS-028</t>
  </si>
  <si>
    <t>Payments</t>
  </si>
  <si>
    <t>UPI/card/netbanking gateway</t>
  </si>
  <si>
    <t>Cashfree live for wallet top-up only (create order, server verify, HMAC webhook, mock mode). Orders are paid by WALLET or COD; payment_method enum is still WALLET | COD.</t>
  </si>
  <si>
    <t>F1.7.1, F1.7.3</t>
  </si>
  <si>
    <t>Off until live gateway keys (onlinePayments); sandbox on test</t>
  </si>
  <si>
    <t>Baseline (Cashfree wallet top-up); #190 (batch)</t>
  </si>
  <si>
    <t>Baseline; #194</t>
  </si>
  <si>
    <t>Live Cashfree / Razorpay / PhonePe keys and webhook secrets</t>
  </si>
  <si>
    <t>Owner inputs §1-2</t>
  </si>
  <si>
    <t>src/server/db/schema.ts:197 (paymentMethodEnum); src/server/services/payments.ts</t>
  </si>
  <si>
    <t>GS-029</t>
  </si>
  <si>
    <t>Wallet</t>
  </si>
  <si>
    <t>Customer wallet with Cashfree top-up (UPI / card / netbanking), row-locked idempotent ledger, balance never negative; used to pay orders and subscriptions and to receive refunds.</t>
  </si>
  <si>
    <t>F1.7.1</t>
  </si>
  <si>
    <t>GS-030</t>
  </si>
  <si>
    <t>COD</t>
  </si>
  <si>
    <t>COD at checkout with risk limits; shop opt-in; rider/operator cash confirmation; collection nets into finance batches; deposits at /admin/cod; COD refunds as wallet credit</t>
  </si>
  <si>
    <t>F1.7.2</t>
  </si>
  <si>
    <t>src/server/services/cod.ts; src/app/admin/cod/page.tsx</t>
  </si>
  <si>
    <t>GS-031</t>
  </si>
  <si>
    <t>Payment reconciliation</t>
  </si>
  <si>
    <t>Reconciliation records + exception queue (order/payment/rider/settlement/payout)</t>
  </si>
  <si>
    <t>F10.2.2</t>
  </si>
  <si>
    <t>Reconciles the gateway transactions that exist today (wallet top-ups).</t>
  </si>
  <si>
    <t>src/app/api/finance/reconciliation/route.ts; src/server/services/finance.ts</t>
  </si>
  <si>
    <t>GS-032</t>
  </si>
  <si>
    <t>Orders</t>
  </si>
  <si>
    <t>Order creation</t>
  </si>
  <si>
    <t>Checkout creates the order(s) in one transaction (personal or B2B), pays from wallet or COD, records history and notifies the shop.</t>
  </si>
  <si>
    <t>F1.8.3, F1.8.5</t>
  </si>
  <si>
    <t>Baseline; #10 (personal vs B2B)</t>
  </si>
  <si>
    <t>GS-033</t>
  </si>
  <si>
    <t>Shop order split</t>
  </si>
  <si>
    <t>One order per shop from a multi-shop cart, plus F6 parent reference (GK-...) linking them; customer page /orders/group/[reference].</t>
  </si>
  <si>
    <t>F1.8.2</t>
  </si>
  <si>
    <t>Off by default - switch on in Admin &gt; Business rules (rule: parentOrders.enabled)</t>
  </si>
  <si>
    <t>Baseline (order per shop); #55 (F6 parent order)</t>
  </si>
  <si>
    <t>Baseline; #57</t>
  </si>
  <si>
    <t>src/server/services/order-groups.ts; drizzle/0046_order_groups.sql; tests/integration/order-groups.test.ts</t>
  </si>
  <si>
    <t>GS-034</t>
  </si>
  <si>
    <t>Shop accept/reject</t>
  </si>
  <si>
    <t>Shop accept / reject (reject = full refund + restock); ops exceptions flag 'Shop not accepting' and 'Shop slow to prepare'</t>
  </si>
  <si>
    <t>F2.1.2</t>
  </si>
  <si>
    <t>#10; #21 (late-acceptance exception); #58 (accept timeout)</t>
  </si>
  <si>
    <t>#14; #19; #65</t>
  </si>
  <si>
    <t>Accept-timeout auto-cancel (designed 1 Oct, not built) Auto-cancel on accept timeout built (NEW-007, rule shopAcceptance, off by default); late acceptance is also flagged in the ops exceptions queue.</t>
  </si>
  <si>
    <t>src/server/services/fulfilment.ts; src/server/services/ops-exceptions.ts</t>
  </si>
  <si>
    <t>GS-035</t>
  </si>
  <si>
    <t>Substitution approval</t>
  </si>
  <si>
    <t>Shop proposes a substitute; customer approves/rejects; price difference refunded</t>
  </si>
  <si>
    <t>F2.2.1</t>
  </si>
  <si>
    <t>src/app/api/orders/[id]/items/[itemId]/substitution/route.ts</t>
  </si>
  <si>
    <t>GS-036</t>
  </si>
  <si>
    <t>Pick and pack</t>
  </si>
  <si>
    <t>Per-line picking, pack -&gt; READY</t>
  </si>
  <si>
    <t>F2.2.2</t>
  </si>
  <si>
    <t>SLA reporting SLA measured by the pick-pack KPI; missed acceptances per shop (30 days) shown on the shop dashboard (NEW-007).</t>
  </si>
  <si>
    <t>src/server/services/fulfilment.ts</t>
  </si>
  <si>
    <t>GS-037</t>
  </si>
  <si>
    <t>Delivery</t>
  </si>
  <si>
    <t>Gig worker onboarding</t>
  </si>
  <si>
    <t>Rider applies at /delivery-partner/register with vehicle, identity and bank details (stored encrypted); operations move the application REGISTERED -&gt; UNDER_REVIEW -&gt; APPROVED / REJECTED; every step audited.</t>
  </si>
  <si>
    <t>GS-038</t>
  </si>
  <si>
    <t>Online/offline status</t>
  </si>
  <si>
    <t>Approved riders go online / offline from their dashboard; a location heartbeat keeps the status and online hours accurate; only online riders get offers.</t>
  </si>
  <si>
    <t>F3.1.2</t>
  </si>
  <si>
    <t>Baseline; #21 (heartbeat fix)</t>
  </si>
  <si>
    <t>Baseline; #19</t>
  </si>
  <si>
    <t>GS-039</t>
  </si>
  <si>
    <t>Job assignment</t>
  </si>
  <si>
    <t>Auto-trigger on READY; cron retry; no re-offer to decliners; Phase C made the whole search bounded and logged (rider_searches, dispatch_attempts) with admin-tunable retry interval, attempt cap and time limit</t>
  </si>
  <si>
    <t>F3.3.1</t>
  </si>
  <si>
    <t>Baseline; #10 (auto dispatch); #23 (Phase C Find Rider Now)</t>
  </si>
  <si>
    <t>src/server/services/delivery-assignment.ts; drizzle/0027</t>
  </si>
  <si>
    <t>GS-040</t>
  </si>
  <si>
    <t>Society priority assignment</t>
  </si>
  <si>
    <t>Society preference in dispatch ranking</t>
  </si>
  <si>
    <t>F3.2.1</t>
  </si>
  <si>
    <t>src/server/services/delivery-assignment.ts:123</t>
  </si>
  <si>
    <t>GS-041</t>
  </si>
  <si>
    <t>Pickup OTP/QR</t>
  </si>
  <si>
    <t>Pickup code issued on accept; rider must enter it</t>
  </si>
  <si>
    <t>F4.1.2</t>
  </si>
  <si>
    <t>QR variant Pickup code only - no QR.</t>
  </si>
  <si>
    <t>src/server/services/delivery-assignment.ts</t>
  </si>
  <si>
    <t>GS-042</t>
  </si>
  <si>
    <t>Live tracking</t>
  </si>
  <si>
    <t>Tracking API with role/privacy checks + polling LiveTrackingMap, now MOUNTED: on /orders inside an in-flight order card that has a rider, and on /admin/orders behind a per-row Track toggle. isTrackableOrderStatus() limits polling to orders actually in flight. Rider privacy: area only until pickup, no ETA from a stale fix</t>
  </si>
  <si>
    <t>F1.9.1</t>
  </si>
  <si>
    <t>Baseline; #21 (tracking hardening); #29 (tracking screen mounted)</t>
  </si>
  <si>
    <t>Baseline; #19; #29</t>
  </si>
  <si>
    <t>src/app/orders/page.tsx:199; src/components/order-monitoring-table.tsx:171; src/lib/tracking.ts; tests/unit/tracking.test.ts</t>
  </si>
  <si>
    <t>GS-043</t>
  </si>
  <si>
    <t>Delivery OTP/POD</t>
  </si>
  <si>
    <t>Customer delivery OTP (5 attempts); operations override with a proof note; 'Delivery code locked' is an ops exception</t>
  </si>
  <si>
    <t>F1.9.3, F4.2.4</t>
  </si>
  <si>
    <t>#10; #23 (Phase C checkpoints); #58 (photo POD)</t>
  </si>
  <si>
    <t>#14; #23; #65</t>
  </si>
  <si>
    <t>Photo / signature proof of delivery (designed 1 Oct, not built) Delivery OTP with ops override; photo POD built (NEW-007, rule deliveryProof.photoRequired, off by default).</t>
  </si>
  <si>
    <t>src/server/services/delivery-assignment.ts; docs/gokesari-audit/DESIGN_PAYMENTS_INVOICING_POD_SLA.md</t>
  </si>
  <si>
    <t>GS-044</t>
  </si>
  <si>
    <t>Society</t>
  </si>
  <si>
    <t>Society registration</t>
  </si>
  <si>
    <t>Registration -&gt; operator verify/reject/suspend/reinstate</t>
  </si>
  <si>
    <t>F5.1.1</t>
  </si>
  <si>
    <t>Map pin picker on the society form</t>
  </si>
  <si>
    <t>src/app/api/societies/[id]/decision/route.ts</t>
  </si>
  <si>
    <t>GS-045</t>
  </si>
  <si>
    <t>Authorized Gig worker whitelist</t>
  </si>
  <si>
    <t>Authorised rider list by mobile; add / revoke / preferred; audited</t>
  </si>
  <si>
    <t>F3.1.1, F5.2.1</t>
  </si>
  <si>
    <t>src/app/api/societies/[id]/riders/route.ts</t>
  </si>
  <si>
    <t>GS-046</t>
  </si>
  <si>
    <t>Security notification</t>
  </si>
  <si>
    <t>Society security alert on rider acceptance (opt-in)</t>
  </si>
  <si>
    <t>F5.3.2</t>
  </si>
  <si>
    <t>GS-047</t>
  </si>
  <si>
    <t>Delivery instructions</t>
  </si>
  <si>
    <t>Society gate notes + customer landmark/instructions on the rider job; Phase C added a gate entry mode, an optional security-desk contact shared with the rider only if the society enables it, and a customer-at-gate notice</t>
  </si>
  <si>
    <t>F4.2.3, F5.3.1</t>
  </si>
  <si>
    <t>#11; #23 (Phase C gate access)</t>
  </si>
  <si>
    <t>#19; #23</t>
  </si>
  <si>
    <t>drizzle/0027; src/server/services/societies.ts</t>
  </si>
  <si>
    <t>GS-048</t>
  </si>
  <si>
    <t>Subscription</t>
  </si>
  <si>
    <t>Daily milk subscription</t>
  </si>
  <si>
    <t>Customer subscribes to a shop product (e.g. 2 L milk daily) with start / end dates and per-date quantity overrides; orders are generated daily.</t>
  </si>
  <si>
    <t>F7.1.1</t>
  </si>
  <si>
    <t>GS-049</t>
  </si>
  <si>
    <t>Recurring vegetables/daily goods</t>
  </si>
  <si>
    <t>Weekday schedules; generated orders carry address/society</t>
  </si>
  <si>
    <t>Baseline; #11</t>
  </si>
  <si>
    <t>src/server/services/subscriptions.ts</t>
  </si>
  <si>
    <t>GS-050</t>
  </si>
  <si>
    <t>Subscription payment</t>
  </si>
  <si>
    <t>Each generated subscription delivery is charged from the wallet; a short balance puts the subscription in PAYMENT_PENDING until topped up.</t>
  </si>
  <si>
    <t>F7.3.2</t>
  </si>
  <si>
    <t>GS-051</t>
  </si>
  <si>
    <t>Skip/pause/resume/cancel</t>
  </si>
  <si>
    <t>Skip a date, pause for a range, resume or cancel, with an evening cut-off; history of every change; customer notified.</t>
  </si>
  <si>
    <t>F7.2.1</t>
  </si>
  <si>
    <t>Baseline; #11 (guards, history); #58 (SM-004 states); #83 (Tomorrow's delivery card)</t>
  </si>
  <si>
    <t>Baseline; #19; #65; #84</t>
  </si>
  <si>
    <t>GS-052</t>
  </si>
  <si>
    <t>Marketing</t>
  </si>
  <si>
    <t>Customer segmentation</t>
  </si>
  <si>
    <t>Segments by PIN, society, delivered orders, recency, lapse, spend; consent required; counts only</t>
  </si>
  <si>
    <t>F11.1.1</t>
  </si>
  <si>
    <t>src/server/services/marketing.ts:89</t>
  </si>
  <si>
    <t>GS-053</t>
  </si>
  <si>
    <t>Shop promotional campaigns</t>
  </si>
  <si>
    <t>Shop campaigns with budget, shop rate limit and customer frequency caps</t>
  </si>
  <si>
    <t>F11.1.2</t>
  </si>
  <si>
    <t>src/server/services/marketing.ts</t>
  </si>
  <si>
    <t>GS-054</t>
  </si>
  <si>
    <t>Referral program</t>
  </si>
  <si>
    <t>Shop referral attribution, plus F11 customer referral code and link (/refer, /r/CODE): both rewarded on the friend's first delivered order; self-referral, duplicate-account and per-referrer cap guards; /admin/customer-referrals.</t>
  </si>
  <si>
    <t>F11.2.2</t>
  </si>
  <si>
    <t>Off by default - switch on in Admin &gt; Business rules (rule: customerReferrals.enabled; rewards Rs 50 / Rs 50)</t>
  </si>
  <si>
    <t>Baseline (shop referral codes); #55 (F11 customer referrals); #56 (link fix)</t>
  </si>
  <si>
    <t>src/server/services/customer-referrals.ts; drizzle/0050_customer_referrals.sql; tests/integration/customer-referrals.test.ts</t>
  </si>
  <si>
    <t>GS-055</t>
  </si>
  <si>
    <t>Notifications</t>
  </si>
  <si>
    <t>Order notifications</t>
  </si>
  <si>
    <t>Notification framework: in-app + email, queued per channel with retries and backoff, delivery log, dead-letter handling, per-category preferences (security notices always on), read/unread, and templates for every order, return, delivery, shop, wallet, subscription, society and security event. Sent by a one-minute cron</t>
  </si>
  <si>
    <t>F1.8.5, F2.1.1, F13.1.1</t>
  </si>
  <si>
    <t>Baseline; #10; #23 (Phase F framework)</t>
  </si>
  <si>
    <t>Email + in-app; SMS / WhatsApp / push wait on GS-074 (blocked).</t>
  </si>
  <si>
    <t>src/server/notifications/{channels,templates,types}.ts; src/server/services/notifications.ts; src/app/api/cron/notifications/route.ts; drizzle/0030</t>
  </si>
  <si>
    <t>GS-056</t>
  </si>
  <si>
    <t>Support</t>
  </si>
  <si>
    <t>Report an issue</t>
  </si>
  <si>
    <t>'Report a problem' on an order -&gt; linked ticket</t>
  </si>
  <si>
    <t>F6.2.1</t>
  </si>
  <si>
    <t>src/app/api/orders/[id]/issue/route.ts</t>
  </si>
  <si>
    <t>GS-057</t>
  </si>
  <si>
    <t>Returns/refunds</t>
  </si>
  <si>
    <t>Full returns workflow: request (reason, condition, quantity, photos, comments) -&gt; automatic policy validation (window, per-reason policy, evidence, quantity held under an order lock) -&gt; approval -&gt; rider pickup (offer / accept / en route / handover code / failure and bounded re-offer) -&gt; goods received -&gt; inspection -&gt; refund through the existing journaled refundDeliveredOrder, idempotent per return, 13 statuses with history. Customer, shop, operations and rider screens; rider pickup fee credited as an earning</t>
  </si>
  <si>
    <t>F6.2.2</t>
  </si>
  <si>
    <t>#10 (refunds); #23 (Phase E returns + pickups)</t>
  </si>
  <si>
    <t>#14; #23</t>
  </si>
  <si>
    <t>Gateway refund (money back to card/UPI rather than wallet) Refunds go to the wallet; refunds to card / UPI wait on GS-073 (blocked).</t>
  </si>
  <si>
    <t>src/server/services/returns.ts; src/server/services/return-pickups.ts; src/app/returns, /shop/returns, /admin/returns; drizzle/0029</t>
  </si>
  <si>
    <t>GS-058</t>
  </si>
  <si>
    <t>Dispute management</t>
  </si>
  <si>
    <t>Dispute case entity (migration 0037): order, raiser, disputed amount, payment-method snapshot; 8 statuses (OPEN, TRIAGED, INVESTIGATING, RESOLUTION_PROPOSED, ESCALATED, RESOLVED, REJECTED, WITHDRAWN) with a transition table; auto-escalation by amount (default Rs 2,000) and age (default 48 h, hourly cron); escalated cases admin-only; refund resolution goes through refundDeliveredOrder with a double-pay guard; customer sees outcome, not working notes; /admin/disputes queue</t>
  </si>
  <si>
    <t>F6.3.1</t>
  </si>
  <si>
    <t>#40; #190 (batch)</t>
  </si>
  <si>
    <t>#40; #194</t>
  </si>
  <si>
    <t>Live gateway keys for refunds to the original card / UPI</t>
  </si>
  <si>
    <t>src/lib/dispute-states.ts; src/server/services/disputes.ts; src/app/admin/disputes/page.tsx; src/app/api/cron/dispute-escalation/route.ts; drizzle/0037_dispute_cases.sql; tests/integration/disputes.test.ts</t>
  </si>
  <si>
    <t>GS-059</t>
  </si>
  <si>
    <t>Ratings</t>
  </si>
  <si>
    <t>Shop rating</t>
  </si>
  <si>
    <t>Eligibility, one per order, average, anonymous reviews, moderation</t>
  </si>
  <si>
    <t>F6.4.1</t>
  </si>
  <si>
    <t>src/server/services/ratings.ts</t>
  </si>
  <si>
    <t>GS-060</t>
  </si>
  <si>
    <t>Gig rating</t>
  </si>
  <si>
    <t>Rider rating: average visible to rider and operations</t>
  </si>
  <si>
    <t>GS-061</t>
  </si>
  <si>
    <t>Finance</t>
  </si>
  <si>
    <t>Shop commission</t>
  </si>
  <si>
    <t>Commission by default / shop type / shop, snapshotted per order</t>
  </si>
  <si>
    <t>F10.1.1</t>
  </si>
  <si>
    <t>src/server/services/finance.ts:216</t>
  </si>
  <si>
    <t>GS-062</t>
  </si>
  <si>
    <t>Shop settlement</t>
  </si>
  <si>
    <t>Weekly shop settlements DRAFT -&gt; APPROVED -&gt; PAID, full lifecycle</t>
  </si>
  <si>
    <t>F10.2.1</t>
  </si>
  <si>
    <t>src/app/api/finance/settlements/route.ts</t>
  </si>
  <si>
    <t>GS-063</t>
  </si>
  <si>
    <t>Gig earnings</t>
  </si>
  <si>
    <t>Configurable time slots (including overnight, weekdays, validity, priority) each with their own base, per-km, minimum, order component and peak bonus; incentives by order count, daily/weekly target, distance, peak hour and campaign; every earning stores its full breakdown plus append-only ledger lines and idempotent award rows; with no slots configured the result is exactly the old base + per-km; admin screen with a 'try a delivery' calculator. 12 unit tests on the calculation engine</t>
  </si>
  <si>
    <t>F10.2.3</t>
  </si>
  <si>
    <t>Baseline; #23 (Phase D earnings rules)</t>
  </si>
  <si>
    <t>src/server/services/delivery-earnings.ts; src/app/admin/rider-earnings/page.tsx; drizzle/0028; tests/unit/earnings-calc.test.ts</t>
  </si>
  <si>
    <t>GS-064</t>
  </si>
  <si>
    <t>Gig payout</t>
  </si>
  <si>
    <t>Weekly rider payouts, full lifecycle</t>
  </si>
  <si>
    <t>Payouts are recorded and reconciled; the bank transfer itself is manual.</t>
  </si>
  <si>
    <t>src/app/api/finance/rider-payouts/route.ts</t>
  </si>
  <si>
    <t>GS-065</t>
  </si>
  <si>
    <t>Admin</t>
  </si>
  <si>
    <t>Global dashboard</t>
  </si>
  <si>
    <t>getAdminDashboard() + /admin/dashboard: the marketplace's operational picture from live queries - in-flight orders by status, today's money, KPI cards, open risk flags, shops by status. No sample numbers</t>
  </si>
  <si>
    <t>F12.1.1</t>
  </si>
  <si>
    <t>#21; #23 (Phase J)</t>
  </si>
  <si>
    <t>src/server/services/dashboards.ts:207; src/app/admin/dashboard/page.tsx</t>
  </si>
  <si>
    <t>GS-066</t>
  </si>
  <si>
    <t>Operator console</t>
  </si>
  <si>
    <t>Two exception queues: finance exceptions at /admin/finance/exceptions, and a general operations queue at /admin/exceptions with 12 categories (shop not accepting, shop slow, awaiting substitution, no rider, self-delivery overdue, rider not picked up, stuck after pickup, delivery code locked, failed delivery, returned-no-decision, disputed, past promised time), elapsed-time thresholds, severity and precedence</t>
  </si>
  <si>
    <t>F12.1.2</t>
  </si>
  <si>
    <t>#21</t>
  </si>
  <si>
    <t>src/server/services/ops-exceptions.ts; src/app/admin/exceptions/page.tsx</t>
  </si>
  <si>
    <t>GS-067</t>
  </si>
  <si>
    <t>Audit logs</t>
  </si>
  <si>
    <t>audit_logs append-only, enforced by DB trigger</t>
  </si>
  <si>
    <t>Baseline; #10 (append-only)</t>
  </si>
  <si>
    <t>Dedicated Auditor role (optional)</t>
  </si>
  <si>
    <t>drizzle/0018_audit_logs_append_only.sql; src/server/services/audit.ts</t>
  </si>
  <si>
    <t>GS-068</t>
  </si>
  <si>
    <t>Fraud/risk rules</t>
  </si>
  <si>
    <t>11 risk rules (customer, rider, shop), hourly cron, review queue /admin/risk; a HIGH customer flag pauses COD</t>
  </si>
  <si>
    <t>F12.1.3</t>
  </si>
  <si>
    <t>#18; #21 (high-value outlier)</t>
  </si>
  <si>
    <t>src/server/services/risk.ts; src/app/admin/risk/page.tsx</t>
  </si>
  <si>
    <t>GS-069</t>
  </si>
  <si>
    <t>Analytics</t>
  </si>
  <si>
    <t>Marketplace KPI dashboard</t>
  </si>
  <si>
    <t>/admin/analytics (marketplace) and /shop/analytics (own shop)</t>
  </si>
  <si>
    <t>src/server/services/analytics.ts; src/app/admin/analytics/page.tsx; src/app/api/analytics/kpis/route.ts</t>
  </si>
  <si>
    <t>GS-070</t>
  </si>
  <si>
    <t>Security</t>
  </si>
  <si>
    <t>Privacy/consent management</t>
  </si>
  <si>
    <t>Marketing consent grant/withdraw with history; profile toggle; /api/consents/marketing</t>
  </si>
  <si>
    <t>F11.2.3</t>
  </si>
  <si>
    <t>Baseline; #10 (marketing consent); #34 (consent view); #77 (On/Off switch)</t>
  </si>
  <si>
    <t>Baseline; #14; #34; #78</t>
  </si>
  <si>
    <t>src/server/services/consents.ts; src/components/marketing-consent-toggle.tsx</t>
  </si>
  <si>
    <t>GS-071</t>
  </si>
  <si>
    <t>Data access controls</t>
  </si>
  <si>
    <t>Permission checks on every route and service; PAN and KYC data encrypted with blind indexes; append-only audit log; screens and APIs send only the fields a viewer may see.</t>
  </si>
  <si>
    <t>Baseline; #10 (KYC encryption); #72 (data exposure)</t>
  </si>
  <si>
    <t>Baseline; #14; #73</t>
  </si>
  <si>
    <t>GS-072</t>
  </si>
  <si>
    <t>Integration</t>
  </si>
  <si>
    <t>Maps/navigation</t>
  </si>
  <si>
    <t>F4: road distance and travel time from Google Routes or OSRM behind one provider interface, cached per ~100 m cell and logged; arrival time for customer (tracking map) and rider (dashboard); straight-line fallback when off or failing. Navigation is a Google Maps deep link.</t>
  </si>
  <si>
    <t>F3.2.3, F4.2.1</t>
  </si>
  <si>
    <t>Off by default - switch on in Admin &gt; Business rules (rule: routing.enabled)</t>
  </si>
  <si>
    <t>Baseline (geocoding); #23 (Phase C rider navigation); #55 (F4 road routing)</t>
  </si>
  <si>
    <t>Baseline; #23; #57</t>
  </si>
  <si>
    <t>In-app turn-by-turn navigation not built (Google Maps deep link used instead).</t>
  </si>
  <si>
    <t>src/server/services/routing.ts; drizzle/0044_delivery_routes.sql; tests/integration/routing.test.ts</t>
  </si>
  <si>
    <t>GS-073</t>
  </si>
  <si>
    <t>Payment gateway</t>
  </si>
  <si>
    <t>Gateway plumbing reusable; refunds are wallet credits (journaled, idempotent).</t>
  </si>
  <si>
    <t>F1.8.4, F6.2.3</t>
  </si>
  <si>
    <t>Off until live gateway keys</t>
  </si>
  <si>
    <t>Baseline (Cashfree); #190 (batch)</t>
  </si>
  <si>
    <t>Live keys and webhook secrets</t>
  </si>
  <si>
    <t>src/server/services/payments.ts</t>
  </si>
  <si>
    <t>GS-074</t>
  </si>
  <si>
    <t>SMS/WhatsApp/email/push</t>
  </si>
  <si>
    <t>Email and in-app notifications live; SMS, PUSH and WHATSAPP channels have a provider seam with no vendor.</t>
  </si>
  <si>
    <t>F1.1.2, F13.1.2</t>
  </si>
  <si>
    <t>Email + in-app live; Expo push on mock until EAS / FCM / APNs keys; SMS / WhatsApp stubs</t>
  </si>
  <si>
    <t>#23 (Phase F channels); #190 (batch)</t>
  </si>
  <si>
    <t>Real push keys; SMS / WhatsApp vendor if wanted</t>
  </si>
  <si>
    <t>Owner inputs §11 (push)</t>
  </si>
  <si>
    <t>src/server/notifications/channels.ts</t>
  </si>
  <si>
    <t>WF-001</t>
  </si>
  <si>
    <t>Customer</t>
  </si>
  <si>
    <t>Customer product purchase</t>
  </si>
  <si>
    <t>Every step works: location, search, eligible shops, comparison, cart, address, slot, payment by wallet or COD, order created; out-of-stock substitution; closed-shop confirmation.</t>
  </si>
  <si>
    <t>Online payment at checkout built (sandbox); live keys needed</t>
  </si>
  <si>
    <t>Baseline; #10; #11; #23; #24; #31; #55; #190 (batch)</t>
  </si>
  <si>
    <t>Baseline; #14; #19; #23; #24; #43; #57; #194</t>
  </si>
  <si>
    <t>Live gateway keys</t>
  </si>
  <si>
    <t>src/server/services/orders.ts#checkout</t>
  </si>
  <si>
    <t>WF-002</t>
  </si>
  <si>
    <t>Shop</t>
  </si>
  <si>
    <t>Shop fulfillment</t>
  </si>
  <si>
    <t>Notify -&gt; accept -&gt; stock check -&gt; substitute/remove -&gt; pick -&gt; pack -&gt; READY</t>
  </si>
  <si>
    <t>#10; #24 (closed shop); #58 (accept timeout)</t>
  </si>
  <si>
    <t>#14; #24; #65</t>
  </si>
  <si>
    <t>WF-003</t>
  </si>
  <si>
    <t>System</t>
  </si>
  <si>
    <t>Gig assignment</t>
  </si>
  <si>
    <t>Auto-trigger, whitelist filter, priority, reliability, fairness, escalation, bounded retry with a full attempt log</t>
  </si>
  <si>
    <t>Baseline; #10; #11; #23 (Phase C); #55 (F3); #58 (batching)</t>
  </si>
  <si>
    <t>Baseline; #14; #19; #23; #57; #65</t>
  </si>
  <si>
    <t>Load batching tracked under GA-005 Offers go to one rider at a time (2-min expiry); no radius widening.</t>
  </si>
  <si>
    <t>WF-004</t>
  </si>
  <si>
    <t>System/Society</t>
  </si>
  <si>
    <t>Society authorized delivery</t>
  </si>
  <si>
    <t>Identify society -&gt; rider list -&gt; filter/priority -&gt; security alert; Phase C added gate entry mode and the security-desk contact</t>
  </si>
  <si>
    <t>src/server/services/delivery-assignment.ts; src/server/services/societies.ts</t>
  </si>
  <si>
    <t>WF-005</t>
  </si>
  <si>
    <t>Gig</t>
  </si>
  <si>
    <t>Pickup code -&gt; OTP -&gt; delivered; failed -&gt; returned; society access notes; Phase C added 'arrived at shop' / 'arrived at customer' checkpoints with notifications, navigation deep links and rider-side privacy</t>
  </si>
  <si>
    <t>F4.2.7</t>
  </si>
  <si>
    <t>Baseline; #10; #23 (Phase C); #29</t>
  </si>
  <si>
    <t>Baseline; #14; #23; #29</t>
  </si>
  <si>
    <t>In-app turn-by-turn navigation (deep link to Google Maps instead)</t>
  </si>
  <si>
    <t>src/server/services/delivery-assignment.ts:599; src/components/delivery-partner-dashboard.tsx:634-667</t>
  </si>
  <si>
    <t>WF-006</t>
  </si>
  <si>
    <t>Customer/System</t>
  </si>
  <si>
    <t>Subscription orders carry address/society -&gt; fulfilment -&gt; dispatch -&gt; settlement</t>
  </si>
  <si>
    <t>F7.3.1, F7.3.3</t>
  </si>
  <si>
    <t>Baseline; #11; #58</t>
  </si>
  <si>
    <t>Baseline; #19; #65</t>
  </si>
  <si>
    <t>WF-007</t>
  </si>
  <si>
    <t>Customer/Operator</t>
  </si>
  <si>
    <t>Return/refund</t>
  </si>
  <si>
    <t>Report -&gt; return request -&gt; validation -&gt; approval -&gt; rider pickup -&gt; inspection -&gt; refund, end to end, with who bears the cost configurable per reason</t>
  </si>
  <si>
    <t>#10; #23 (Phase E)</t>
  </si>
  <si>
    <t>Replacement instead of refund</t>
  </si>
  <si>
    <t>src/server/services/returns.ts; src/server/services/return-pickups.ts</t>
  </si>
  <si>
    <t>WF-008</t>
  </si>
  <si>
    <t>Shop/Operator</t>
  </si>
  <si>
    <t>Shop onboarding</t>
  </si>
  <si>
    <t>Registration with categories, PAN/Udyam/GST/Shop Act IDs (at least one), duplicate guard; seller document verification with rejection reasons the seller sees (correction loop); registration-fee gate before approval; onboarding stages KYC pending -&gt; payment pending -&gt; verified, approval only when verified (SM-002, PR #58); service area (radius + PIN zones + minimum order + pause); category fill of the catalogue; approval.</t>
  </si>
  <si>
    <t>F8.3.1</t>
  </si>
  <si>
    <t>Baseline; #22; #29; #45; #53; #58 (SM-002)</t>
  </si>
  <si>
    <t>Baseline; #19; #29; #47; #54; #65</t>
  </si>
  <si>
    <t>src/server/services/shops.ts; src/server/services/seller-verification.ts; docs/seller-verification/README.md</t>
  </si>
  <si>
    <t>WF-009</t>
  </si>
  <si>
    <t>Marketing campaign</t>
  </si>
  <si>
    <t>Audience -&gt; consent -&gt; budget -&gt; operations approval -&gt; send -&gt; tracking (opened, converted, revenue)</t>
  </si>
  <si>
    <t>src/app/api/admin/campaigns/route.ts</t>
  </si>
  <si>
    <t>WF-010</t>
  </si>
  <si>
    <t>System/Finance</t>
  </si>
  <si>
    <t>Settlement</t>
  </si>
  <si>
    <t>GMV -&gt; commission -&gt; refunds -&gt; adjustments -&gt; settlement -&gt; payout -&gt; reconciliation</t>
  </si>
  <si>
    <t>src/server/services/finance.ts</t>
  </si>
  <si>
    <t>RBAC-001</t>
  </si>
  <si>
    <t>Browse/search</t>
  </si>
  <si>
    <t>Browsing and search are open to every role, including signed-out visitors.</t>
  </si>
  <si>
    <t>RBAC-002</t>
  </si>
  <si>
    <t>Place order</t>
  </si>
  <si>
    <t>Personal orders for every role; B2B a separate flow (order_type PERSONAL/B2B, buyer_shop_id, ORDER_PLACE_B2B)</t>
  </si>
  <si>
    <t>src/server/db/schema.ts (orderTypeEnum); src/server/authz/permissions.ts</t>
  </si>
  <si>
    <t>RBAC-003</t>
  </si>
  <si>
    <t>Manage own shop</t>
  </si>
  <si>
    <t>Shop owners manage their own shop; admins full. No 'Limited' operator scope for shop management.</t>
  </si>
  <si>
    <t>F8.4.2</t>
  </si>
  <si>
    <t>OPERATOR_LIMITED role live on test; production by role grant</t>
  </si>
  <si>
    <t>Baseline; #190 (batch)</t>
  </si>
  <si>
    <t>src/server/authz/permissions.ts</t>
  </si>
  <si>
    <t>RBAC-004</t>
  </si>
  <si>
    <t>Manage catalog</t>
  </si>
  <si>
    <t>Shop owners manage their own listings, prices and stock; operators and admins manage any shop's catalogue (permission-gated).</t>
  </si>
  <si>
    <t>Baseline; #38</t>
  </si>
  <si>
    <t>RBAC-005</t>
  </si>
  <si>
    <t>Upload product lists</t>
  </si>
  <si>
    <t>Shop owners upload Excel product / price lists for their own shop; operators and admins for any shop.</t>
  </si>
  <si>
    <t>RBAC-006</t>
  </si>
  <si>
    <t>Verify shop</t>
  </si>
  <si>
    <t>Only operators and admins can approve, reject or suspend shops.</t>
  </si>
  <si>
    <t>RBAC-007</t>
  </si>
  <si>
    <t>Assign delivery</t>
  </si>
  <si>
    <t>Decision taken: shop retry KEPT but bounded and configurable. Assignment is automatic on READY; 'Find rider now' is now a bounded search (rider_searches, dispatch_attempts) with retry interval, attempt cap, total time limit, window expiry and manual cooldown; shop sees status, can retry or stop; every attempt logged; duplicate assignment impossible</t>
  </si>
  <si>
    <t>Baseline; #10; #23 (Phase C)</t>
  </si>
  <si>
    <t>src/server/services/delivery-assignment.ts; src/app/api/orders/[id]/assign/route.ts; drizzle/0027</t>
  </si>
  <si>
    <t>RBAC-008</t>
  </si>
  <si>
    <t>Manage own availability</t>
  </si>
  <si>
    <t>Riders set their own online / offline status; admins can also take a rider offline.</t>
  </si>
  <si>
    <t>RBAC-009</t>
  </si>
  <si>
    <t>Whitelist Gig workers</t>
  </si>
  <si>
    <t>Society-scoped roles; SOCIETY_MANAGE_ANY for platform staff</t>
  </si>
  <si>
    <t>F5.2.1</t>
  </si>
  <si>
    <t>RBAC-010</t>
  </si>
  <si>
    <t>View all orders</t>
  </si>
  <si>
    <t>ORDER_VIEW_OWN / _SHOP / _ANY; society dashboard shows society deliveries without customer PII; operator holds ORDER_VIEW_ANY and now has its own order-monitoring screen with status/shop/date filters</t>
  </si>
  <si>
    <t>Baseline; #21 (order monitoring)</t>
  </si>
  <si>
    <t>src/server/authz/permissions.ts:284-306; src/app/admin/orders/page.tsx; src/components/order-monitoring-table.tsx</t>
  </si>
  <si>
    <t>RBAC-011</t>
  </si>
  <si>
    <t>Refund approval</t>
  </si>
  <si>
    <t>ORDER_REFUND for operator/admin</t>
  </si>
  <si>
    <t>RBAC-012</t>
  </si>
  <si>
    <t>Settlement visibility per role; operator exceptions-only view</t>
  </si>
  <si>
    <t>RBAC-013</t>
  </si>
  <si>
    <t>Manage users/roles</t>
  </si>
  <si>
    <t>Admins assign roles, grant multiple roles and edit privileges (explicit Save, last-admin guard); operators view users but cannot change roles.</t>
  </si>
  <si>
    <t>Baseline (role assignment); #18 (multi-role); #30 (privileges screen)</t>
  </si>
  <si>
    <t>Baseline; #19; #32</t>
  </si>
  <si>
    <t>RBAC-014</t>
  </si>
  <si>
    <t>System configuration</t>
  </si>
  <si>
    <t>Extended by NEW-001 (business-rules console, Phase A-J)</t>
  </si>
  <si>
    <t>#23 (settings screen)</t>
  </si>
  <si>
    <t>#23</t>
  </si>
  <si>
    <t>RBAC-015</t>
  </si>
  <si>
    <t>Admins read the full audit log; operators get a limited audit view.</t>
  </si>
  <si>
    <t>SM-001</t>
  </si>
  <si>
    <t>Order</t>
  </si>
  <si>
    <t>Order state machine</t>
  </si>
  <si>
    <t>ACCEPTED, ASSIGNED, PICKED_UP, FAILED, RETURNED, DISPUTED added; full transition table + history + audit</t>
  </si>
  <si>
    <t>src/server/db/schema.ts:123 (orderStatusEnum)</t>
  </si>
  <si>
    <t>SM-002</t>
  </si>
  <si>
    <t>Shop state machine</t>
  </si>
  <si>
    <t>PENDING split into KYC_PENDING (a mandatory seller document not verified) -&gt; PAYMENT_PENDING (registration fee not settled) -&gt; VERIFIED (ready for approval), worked out by a database trigger from the documents and the fee; only VERIFIED may become ACTIVE; every change logged. Existing pending shops migrated into the right stage. Stage, progress steps and next action shown to the owner (/shop) and admin (approval queue tabs, dashboard counts, shop filters); Approve refused until VERIFIED.</t>
  </si>
  <si>
    <t>F8.2.4</t>
  </si>
  <si>
    <t>Live since release #65 (migration 0051); the approval gate follows statusModels.enforceTransitions (true)</t>
  </si>
  <si>
    <t>#23 (Phase G suspension); #55 (F1); #58</t>
  </si>
  <si>
    <t>#23; #57; #65</t>
  </si>
  <si>
    <t>APPLIED is not a separate stage (a registered shop starts in KYC_PENDING).</t>
  </si>
  <si>
    <t>drizzle/0051_shop_onboarding_states.sql; src/lib/shop-onboarding.ts; src/server/services/shop-onboarding.ts; tests/integration/shop-onboarding-states.test.ts</t>
  </si>
  <si>
    <t>SM-003</t>
  </si>
  <si>
    <t>Gig state machine</t>
  </si>
  <si>
    <t>F1: rider lifecycle ONBOARDING / OFFLINE / AVAILABLE / BUSY / ON_DELIVERY / SUSPENDED / REJECTED / INACTIVE, derived from the existing columns by a database trigger; transitions enforced in the database and every change logged with its actor (status_changes, /admin/status-changes).</t>
  </si>
  <si>
    <t>Live since release #57 (migration 0042) (statusModels.enforceTransitions = true)</t>
  </si>
  <si>
    <t>#23 (Phase C checkpoints); #55 (F1)</t>
  </si>
  <si>
    <t>#23; #57</t>
  </si>
  <si>
    <t>Mapping, not new enum values: APPLIED + KYC_PENDING = ONBOARDING (detail kept in REGISTERED / UNDER_REVIEW), ONLINE = AVAILABLE, ASSIGNED = BUSY, PICKED_UP / DELIVERING = ON_DELIVERY, BLOCKED = SUSPENDED.</t>
  </si>
  <si>
    <t>src/lib/status-models.ts; drizzle/0042_status_models.sql; tests/integration/status-models.test.ts</t>
  </si>
  <si>
    <t>SM-004</t>
  </si>
  <si>
    <t>Subscription state machine</t>
  </si>
  <si>
    <t>DRAFT (saved, not started) and RENEWAL_PENDING (end date near, or wallet will not cover the next delivery) with enforced, logged transitions; renew and activate actions; ended terms complete. Every delivery date has its own status in subscription_deliveries: SCHEDULED / SKIPPED, then the order's own status (CONFIRMED ... OUT_FOR_DELIVERY / DELIVERED / FAILED ...) kept in step by triggers; shown to customer, shop (upcoming deliveries) and admin (/admin/subscriptions).</t>
  </si>
  <si>
    <t>F7.1.1, F7.3.2</t>
  </si>
  <si>
    <t>Live since release #65 (migration 0052) (renewal rule subscriptionRenewal on: 3 days' notice before the end date, 1 day of payment cover)</t>
  </si>
  <si>
    <t>#11; #55 (F1); #58</t>
  </si>
  <si>
    <t>#19; #57; #65</t>
  </si>
  <si>
    <t>drizzle/0052_subscription_states.sql; src/server/services/subscription-schedule.ts; src/server/services/subscription-renewal.ts; tests/integration/subscription-states.test.ts</t>
  </si>
  <si>
    <t>SM-005</t>
  </si>
  <si>
    <t>Payment</t>
  </si>
  <si>
    <t>Payment state machine</t>
  </si>
  <si>
    <t>Unchanged: payment_status CREATED / PENDING / SUCCESS / FAILED / REFUNDED (wallet top-ups only).</t>
  </si>
  <si>
    <t>F1.8.4</t>
  </si>
  <si>
    <t>RECONCILED / CHARGEBACK states not added</t>
  </si>
  <si>
    <t>src/server/db/schema.ts (paymentStatusEnum)</t>
  </si>
  <si>
    <t>SM-006</t>
  </si>
  <si>
    <t>Issue</t>
  </si>
  <si>
    <t>Issue state machine</t>
  </si>
  <si>
    <t>Tickets linked to orders; returns 13-status machine; dispute cases have OPEN / TRIAGED / INVESTIGATING / RESOLUTION_PROPOSED / ESCALATED / RESOLVED; grievances still OPEN / IN_PROGRESS / RESOLVED / CLOSED.</t>
  </si>
  <si>
    <t>F6.3.3</t>
  </si>
  <si>
    <t>Live (help desk + grievance portal)</t>
  </si>
  <si>
    <t>#11 (grievances); #40 (dispute states); #190 (batch)</t>
  </si>
  <si>
    <t>#19; #40; #194</t>
  </si>
  <si>
    <t>Grievance Officer details to publish</t>
  </si>
  <si>
    <t>Owner inputs §7</t>
  </si>
  <si>
    <t>src/server/db/schema.ts (grievanceStatusEnum); src/lib/dispute-states.ts</t>
  </si>
  <si>
    <t>GA-001</t>
  </si>
  <si>
    <t>Society authorization</t>
  </si>
  <si>
    <t>Exclusive society -&gt; only listed riders offered</t>
  </si>
  <si>
    <t>F3.1.1</t>
  </si>
  <si>
    <t>src/server/services/delivery-assignment.ts:97</t>
  </si>
  <si>
    <t>GA-002</t>
  </si>
  <si>
    <t>Society preferred partner</t>
  </si>
  <si>
    <t>Listed / preferred riders ranked first</t>
  </si>
  <si>
    <t>src/server/services/delivery-assignment.ts:97-137</t>
  </si>
  <si>
    <t>GA-003</t>
  </si>
  <si>
    <t>Distance</t>
  </si>
  <si>
    <t>Riders closer to the shop score higher in the ranking (straight-line distance; road distance when routing is switched on).</t>
  </si>
  <si>
    <t>F3.2.2</t>
  </si>
  <si>
    <t>GA-004</t>
  </si>
  <si>
    <t>Availability</t>
  </si>
  <si>
    <t>Only APPROVED riders who are online and not suspended are considered for an offer.</t>
  </si>
  <si>
    <t>GA-005</t>
  </si>
  <si>
    <t>Current load</t>
  </si>
  <si>
    <t>F3 busy-rider ranking, plus batching: one rider carries up to maxOrdersPerTrip (2) orders in one trip when the pickups are close (0.5 km), drops go the same way (45 degrees) and every promised time still holds; a rider on a compatible trip is preferred over an idle rider up to 1 km further away; ordered pickup-then-drop list for the rider; each order keeps its own delivery row and status. All thresholds are business rules.</t>
  </si>
  <si>
    <t>F3.2.3</t>
  </si>
  <si>
    <t>Off by default - switch on in Admin &gt; Business rules (rule: batching.enabled; F3 busy-rider fallback: dispatch.busyRidersAsFallback)</t>
  </si>
  <si>
    <t>Baseline (busy riders excluded); #55 (F3 fallback); #58 (batching)</t>
  </si>
  <si>
    <t>src/server/services/delivery-trips.ts; drizzle/0054_delivery_trips.sql; tests/integration/rider-batching.test.ts</t>
  </si>
  <si>
    <t>GA-006</t>
  </si>
  <si>
    <t>Shop readiness</t>
  </si>
  <si>
    <t>Rider requested automatically when the shop marks READY</t>
  </si>
  <si>
    <t>F2.2.3</t>
  </si>
  <si>
    <t>GA-007</t>
  </si>
  <si>
    <t>Reliability</t>
  </si>
  <si>
    <t>Reliability score (30-day completions vs failures/declines) in ranking</t>
  </si>
  <si>
    <t>src/server/services/delivery-assignment.ts:126</t>
  </si>
  <si>
    <t>GA-008</t>
  </si>
  <si>
    <t>Fairness</t>
  </si>
  <si>
    <t>Fairness penalty per offer received today</t>
  </si>
  <si>
    <t>src/server/services/delivery-assignment.ts:85</t>
  </si>
  <si>
    <t>GA-009</t>
  </si>
  <si>
    <t>No worker</t>
  </si>
  <si>
    <t>Offers expire after 2 min; auto-retry; shop notified. Phase C added a bounded search with a total time limit, delivery-window expiry, manual cooldown, a stop control and a 'rider assignment failed' notification; 'No rider' is an ops exception</t>
  </si>
  <si>
    <t>Baseline; #10; #23 (Phase F alert)</t>
  </si>
  <si>
    <t>Radius widening Retry with cron + operations intervention; the search radius is not widened.</t>
  </si>
  <si>
    <t>src/server/services/delivery-assignment.ts; src/server/notifications/templates.ts (DELIVERY_SEARCH_STOPPED)</t>
  </si>
  <si>
    <t>NAV-001</t>
  </si>
  <si>
    <t>Customer portal - Home</t>
  </si>
  <si>
    <t>Tile Board home (NEW-046): search, 'Do now' (order on its way, tomorrow's delivery) on phones, picture categories, tiles, cart bar; visitors get Sell on GoKesari / Deliver with us. Shop list -&gt; Shops; F9 price comparison across nearby delivering shops (cheapest highlighted, unpriced loose goods skipped) -&gt; Shops &gt; Compare prices (/search/compare).</t>
  </si>
  <si>
    <t>F1.3.1, F1.4.2</t>
  </si>
  <si>
    <t>Off by default - switch on in Admin &gt; Business rules (rule: homePriceComparison.enabled)</t>
  </si>
  <si>
    <t>Baseline; #23 (search-first landing); #55 (F9); #67 (speed); #68 (error boundary); #83 (redesign); #122 (board is the whole page); #127, #130 (shared figures cache, 8 s)</t>
  </si>
  <si>
    <t>Baseline; #23; #57; #65; #69; #84; #123; #129; #131</t>
  </si>
  <si>
    <t>The category grid was deliberately removed in favour of search-first; categories are reachable from shops and search.</t>
  </si>
  <si>
    <t>src/app/page.tsx; src/server/services/price-comparison.ts; tests/integration/price-comparison.test.ts; src/app/search/compare; docs/tile-board-2026-10/UI_PASS_2026-10-09.md</t>
  </si>
  <si>
    <t>NAV-002</t>
  </si>
  <si>
    <t>Customer portal - Shop</t>
  </si>
  <si>
    <t>Shop profile, catalogue, rating + reviews, opening hours, delivery options, and F8 shop offers (product or category, dated) shown on the shop page and priced in cart and checkout.</t>
  </si>
  <si>
    <t>F1.5.4, F11.2.1</t>
  </si>
  <si>
    <t>Off by default - switch on in Admin &gt; Business rules (rule: shopOffers.enabled)</t>
  </si>
  <si>
    <t>Baseline; #11 (rating, reviews); #24 (hours); #55 (F8 offers); #122 (products first); #124 (category tabs, six a page)</t>
  </si>
  <si>
    <t>Baseline; #19; #24; #57; #123; #126</t>
  </si>
  <si>
    <t>src/server/services/shop-offers.ts; src/app/shop/offers; drizzle/0048_shop_offers.sql</t>
  </si>
  <si>
    <t>NAV-003</t>
  </si>
  <si>
    <t>Customer portal - Cart &amp; Checkout</t>
  </si>
  <si>
    <t>Cart, address re-validation with actions, slot choice with capacity (F5), F7 order-level coupons (flat / %, minimum order, dates, total and per-customer limits, split by goods value, server-validated), F8 offers priced in cart, wallet / COD payment.</t>
  </si>
  <si>
    <t>F1.5.4</t>
  </si>
  <si>
    <t>Online payment at checkout built (sandbox); coupons rule unchanged</t>
  </si>
  <si>
    <t>Baseline; #23 (Phase B); #31; #48; #55 (F7 coupons); #190 (batch)</t>
  </si>
  <si>
    <t>Baseline; #23; #43; #71; #57; #194</t>
  </si>
  <si>
    <t>src/components/cart-view.tsx; src/server/services/coupons.ts; drizzle/0047_coupons.sql</t>
  </si>
  <si>
    <t>NAV-004</t>
  </si>
  <si>
    <t>Customer portal - Orders</t>
  </si>
  <si>
    <t>Rate an order, report a problem, request a return (/orders/{id}/return, /returns), live tracking panel on in-flight orders, and raise / follow a dispute case</t>
  </si>
  <si>
    <t>Baseline; #29 (tracking); #122 (tabs, Cancel order)</t>
  </si>
  <si>
    <t>Baseline; #29; #123</t>
  </si>
  <si>
    <t>src/app/orders/page.tsx</t>
  </si>
  <si>
    <t>NAV-005</t>
  </si>
  <si>
    <t>Customer portal - Subscriptions</t>
  </si>
  <si>
    <t>/subscriptions and /subscriptions/[id]: active plans, schedule calendar, skip / pause / resume / cancel, per-date delivery status; Tomorrow's delivery card on the home page.</t>
  </si>
  <si>
    <t>F7.3.3</t>
  </si>
  <si>
    <t>Baseline; #58 (per-date status); #83 (Tomorrow's delivery); #122 (Tomorrow tab)</t>
  </si>
  <si>
    <t>Baseline; #65; #84; #123</t>
  </si>
  <si>
    <t>NAV-006</t>
  </si>
  <si>
    <t>Shop portal - Dashboard</t>
  </si>
  <si>
    <t>getShopDashboard(): the operator's day built entirely from live queries. Since #122 /shop is the board with account alerts (suspended, rejected, awaiting approval with the next step, wallet low, legal documents due, payout bank) and 'Do now'; the old dashboard is split into /shop/manage/{today, products, location, hours, gst-pan, shop-types, registration}.</t>
  </si>
  <si>
    <t>Baseline; #23 (Phase J); #45 (owner name); #122 (split into /shop/manage); #124 (Today tabs)</t>
  </si>
  <si>
    <t>Baseline; #23; #47; #123; #126</t>
  </si>
  <si>
    <t>src/server/services/dashboards.ts:63; src/app/shop/page.tsx; src/app/shop/manage/[section]</t>
  </si>
  <si>
    <t>NAV-007</t>
  </si>
  <si>
    <t>Shop portal - Catalog</t>
  </si>
  <si>
    <t>/shop/inventory, /shop/prices, /shop/product-categories, /shop/catalogue (photo tiles) and product images: products, bulk upload, prices, stock, categories.</t>
  </si>
  <si>
    <t>Baseline; #38; #45; #79 (photo catalogue); #122 (own pages); #124 (product manager paged)</t>
  </si>
  <si>
    <t>Baseline; #43; #47; #82; #123; #126</t>
  </si>
  <si>
    <t>NAV-008</t>
  </si>
  <si>
    <t>Shop portal - Orders</t>
  </si>
  <si>
    <t>/shop/orders: new, accepted, preparing, ready, completed and cancelled orders with accept / reject / substitute / pick / pack / ready actions.</t>
  </si>
  <si>
    <t>F2.1.1</t>
  </si>
  <si>
    <t>Baseline; #10; #122 (status tabs)</t>
  </si>
  <si>
    <t>Baseline; #14; #123</t>
  </si>
  <si>
    <t>NAV-009</t>
  </si>
  <si>
    <t>Shop portal - Marketing</t>
  </si>
  <si>
    <t>/shop/marketing (customers, segments, campaigns, COD setting)</t>
  </si>
  <si>
    <t>#18; #55 (F8 shop offers)</t>
  </si>
  <si>
    <t>#19; #57</t>
  </si>
  <si>
    <t>src/app/shop/marketing/page.tsx</t>
  </si>
  <si>
    <t>NAV-010</t>
  </si>
  <si>
    <t>Shop portal - Finance</t>
  </si>
  <si>
    <t>/shop/finance: commission, settlements, payouts and the shop ledger; tax invoices per delivered order (when invoicing is on).</t>
  </si>
  <si>
    <t>#10; #58 (invoices)</t>
  </si>
  <si>
    <t>#14; #65</t>
  </si>
  <si>
    <t>Invoices built (NEW-007, rule invoicing.enabled, off by default): /shop/finance lists them.</t>
  </si>
  <si>
    <t>src/app/shop/finance/page.tsx</t>
  </si>
  <si>
    <t>NAV-011</t>
  </si>
  <si>
    <t>Gig portal - Jobs</t>
  </si>
  <si>
    <t>/delivery-partner and /gig/orders: available offers, assigned and active jobs, history; ordered trip list when batching is on.</t>
  </si>
  <si>
    <t>F4.1.1</t>
  </si>
  <si>
    <t>Baseline; #21; #58 (trip list)</t>
  </si>
  <si>
    <t>NAV-012</t>
  </si>
  <si>
    <t>Gig portal - Earnings</t>
  </si>
  <si>
    <t>Rider earnings with status + payouts list, now with a per-earning breakdown</t>
  </si>
  <si>
    <t>Baseline; #21; #23 (Phase D)</t>
  </si>
  <si>
    <t>Baseline; #19; #23</t>
  </si>
  <si>
    <t>src/app/gig/orders/page.tsx; src/app/api/delivery-partner/earnings/route.ts</t>
  </si>
  <si>
    <t>NAV-013</t>
  </si>
  <si>
    <t>Gig portal - Profile</t>
  </si>
  <si>
    <t>F2: rider edits own profile (vehicle, availability details) at /gig/profile; identity and bank changes go to an admin review queue, stored encrypted (/admin/rider-changes).</t>
  </si>
  <si>
    <t>#21 (read-only profile); #55 (F2 self-edit)</t>
  </si>
  <si>
    <t>src/server/services/rider-profile.ts; drizzle/0043_rider_change_requests.sql; tests/integration/rider-profile.test.ts</t>
  </si>
  <si>
    <t>NAV-014</t>
  </si>
  <si>
    <t>Society portal - Dashboard</t>
  </si>
  <si>
    <t>/society/{id} dashboard (rules, residents, riders, shops, deliveries)</t>
  </si>
  <si>
    <t>src/app/society/[id]/page.tsx</t>
  </si>
  <si>
    <t>NAV-015</t>
  </si>
  <si>
    <t>Operator</t>
  </si>
  <si>
    <t>Operator portal - Operations</t>
  </si>
  <si>
    <t>/admin/finance/exceptions and the non-finance /admin/exceptions queue with per-row actions</t>
  </si>
  <si>
    <t>#21; #74 (menu link)</t>
  </si>
  <si>
    <t>#19; #73</t>
  </si>
  <si>
    <t>src/app/admin/exceptions/page.tsx; src/components/ops-exception-actions.tsx</t>
  </si>
  <si>
    <t>NAV-016</t>
  </si>
  <si>
    <t>Operator portal - Orders</t>
  </si>
  <si>
    <t>/admin/orders order-monitoring screen with status, shop and date-range filters, gated on ORDER_VIEW_ANY</t>
  </si>
  <si>
    <t>#21; #29 (Track toggle); #74 (menu link)</t>
  </si>
  <si>
    <t>#19; #29; #73</t>
  </si>
  <si>
    <t>src/app/admin/orders/page.tsx; src/components/order-monitoring-table.tsx</t>
  </si>
  <si>
    <t>NAV-017</t>
  </si>
  <si>
    <t>Admin portal - Control Tower</t>
  </si>
  <si>
    <t>/admin/dashboard: live operations, in-flight orders, KPIs, risk flags, shop approvals, with links into orders, finance and exceptions</t>
  </si>
  <si>
    <t>#21; #23 (Phase J); #74 (menu link); #122 (console split); #124 (section tabs)</t>
  </si>
  <si>
    <t>#19; #23; #73; #123; #126</t>
  </si>
  <si>
    <t>src/app/admin/dashboard/page.tsx; src/app/admin/console/[section]; src/app/admin/menu/[key]</t>
  </si>
  <si>
    <t>NAV-018</t>
  </si>
  <si>
    <t>Admin portal - Analytics</t>
  </si>
  <si>
    <t>/admin/analytics and /shop/analytics</t>
  </si>
  <si>
    <t>NAV-019</t>
  </si>
  <si>
    <t>Admin portal - Security</t>
  </si>
  <si>
    <t>Fraud side: /admin/risk over 11 risk rules. NEW consent side: /admin/consents behind CONSENT_VIEW (operator + admin) - per-type consent standing vs live policy version, recent grant/withdrawal trail, per-person audited lookup; stored IP never returned</t>
  </si>
  <si>
    <t>F12.2.4</t>
  </si>
  <si>
    <t>#18 (/admin/risk); #34 (/admin/consents)</t>
  </si>
  <si>
    <t>#19; #34</t>
  </si>
  <si>
    <t>src/app/admin/consents/page.tsx; src/server/authz/permissions.ts (CONSENT_VIEW); tests/integration/consents.test.ts</t>
  </si>
  <si>
    <t>KPI-001</t>
  </si>
  <si>
    <t>GMV</t>
  </si>
  <si>
    <t>GMV plus a daily GMV trend</t>
  </si>
  <si>
    <t>KPI-002</t>
  </si>
  <si>
    <t>Order fill rate</t>
  </si>
  <si>
    <t>delivered / placed in window</t>
  </si>
  <si>
    <t>KPI-003</t>
  </si>
  <si>
    <t>Shop acceptance time</t>
  </si>
  <si>
    <t>duration from placed to accepted</t>
  </si>
  <si>
    <t>KPI-004</t>
  </si>
  <si>
    <t>Pick-pack time</t>
  </si>
  <si>
    <t>duration from accepted to READY</t>
  </si>
  <si>
    <t>KPI-005</t>
  </si>
  <si>
    <t>Assignment time</t>
  </si>
  <si>
    <t>duration from READY to rider accepted</t>
  </si>
  <si>
    <t>KPI-006</t>
  </si>
  <si>
    <t>Delivery time</t>
  </si>
  <si>
    <t>duration from pickup to delivered</t>
  </si>
  <si>
    <t>KPI-007</t>
  </si>
  <si>
    <t>On-time delivery rate</t>
  </si>
  <si>
    <t>delivered within the promised window</t>
  </si>
  <si>
    <t>KPI-008</t>
  </si>
  <si>
    <t>Cancellation rate</t>
  </si>
  <si>
    <t>Cancelled orders / orders placed, on /admin/analytics and /shop/analytics.</t>
  </si>
  <si>
    <t>KPI-009</t>
  </si>
  <si>
    <t>Refund rate</t>
  </si>
  <si>
    <t>refund rate by count and by value</t>
  </si>
  <si>
    <t>KPI-010</t>
  </si>
  <si>
    <t>Customer repeat rate</t>
  </si>
  <si>
    <t>ordering vs repeat vs returning customers</t>
  </si>
  <si>
    <t>KPI-011</t>
  </si>
  <si>
    <t>Subscription retention</t>
  </si>
  <si>
    <t>retained subscriptions period over period</t>
  </si>
  <si>
    <t>KPI-012</t>
  </si>
  <si>
    <t>Gig acceptance rate</t>
  </si>
  <si>
    <t>offers accepted / offers made</t>
  </si>
  <si>
    <t>KPI-013</t>
  </si>
  <si>
    <t>Gig utilization</t>
  </si>
  <si>
    <t>active delivery time against availability</t>
  </si>
  <si>
    <t>KPI-014</t>
  </si>
  <si>
    <t>Shop retention</t>
  </si>
  <si>
    <t>shops active last period still active</t>
  </si>
  <si>
    <t>KPI-015</t>
  </si>
  <si>
    <t>Marketing conversion</t>
  </si>
  <si>
    <t>Campaign conversion within the attribution window</t>
  </si>
  <si>
    <t>src/server/services/analytics.ts</t>
  </si>
  <si>
    <t>NEW-001</t>
  </si>
  <si>
    <t>Business-rules console (admin-tunable thresholds)</t>
  </si>
  <si>
    <t>platform_settings + /admin/settings: nine rule groups (otp, dispatch, riderEarnings, returns, images, notifications, suspension, mrp, externalPrices) with code defaults, server-side validation and an audit trail. This is what makes 'configurable' true across the other features</t>
  </si>
  <si>
    <t>F12.2.2</t>
  </si>
  <si>
    <t>#23 (Phase A rules, settings screen)</t>
  </si>
  <si>
    <t>Per-field forms instead of JSON editing</t>
  </si>
  <si>
    <t>src/server/config/rules.ts; src/server/services/settings.ts; src/app/admin/settings/page.tsx; drizzle/0025</t>
  </si>
  <si>
    <t>NEW-002</t>
  </si>
  <si>
    <t>Shop suspension policy, impact preview &amp; review</t>
  </si>
  <si>
    <t>Configurable policy per open-order status (cancel &amp; refund / continue / hold for review); impact preview before suspending and an impact list with per-order decisions after; the owner is told reason, time, expected action and impact; new orders stop at once; held orders are neither advanced by the shop nor dispatched; reinstatement. Review queue at /admin/suspensions</t>
  </si>
  <si>
    <t>F8.4.1</t>
  </si>
  <si>
    <t>#23 (Phase G)</t>
  </si>
  <si>
    <t>src/server/services/shop-suspension.ts; src/server/services/shop-suspension-guard.ts; src/app/admin/suspensions/page.tsx; drizzle/0031</t>
  </si>
  <si>
    <t>NEW-003</t>
  </si>
  <si>
    <t>Order placed while the shop is closed</t>
  </si>
  <si>
    <t>A customer can choose to order from a closed shop after an explicit confirmation; the order is flagged placed_while_closed, the shop gets an alert at once and a second one when it opens, and the customer is told the shop is closed and told again when it opens. Opening hours are evaluated in IST</t>
  </si>
  <si>
    <t>F1.6.3</t>
  </si>
  <si>
    <t>#24</t>
  </si>
  <si>
    <t>src/server/db/schema.ts:1600,1653; src/server/services/shop-opening.ts; src/server/notifications/templates.ts</t>
  </si>
  <si>
    <t>NEW-004</t>
  </si>
  <si>
    <t>Rider arrival checkpoints &amp; customer notices</t>
  </si>
  <si>
    <t>'Arrived at shop' and 'arrived at customer' checkpoints on the delivery, each with a notification; rider-side privacy (area only until pickup, never the customer's name, phone or handover codes)</t>
  </si>
  <si>
    <t>#23 (Phase C)</t>
  </si>
  <si>
    <t>drizzle/0027; src/server/services/delivery-assignment.ts:597-612; src/components/delivery-partner-dashboard.tsx</t>
  </si>
  <si>
    <t>NEW-005</t>
  </si>
  <si>
    <t>Minimum order value, pause new orders, extra delivery PIN zones</t>
  </si>
  <si>
    <t>Per-shop minimum order value (CHECK-constrained), a 'pause new orders' switch and extra delivery PIN codes beyond the radius; serviceability, discovery, cart validation and checkout all honour them</t>
  </si>
  <si>
    <t>F1.5.3, F8.3.3</t>
  </si>
  <si>
    <t>#23 (Phase B)</t>
  </si>
  <si>
    <t>src/server/db/schema.ts:691-702,875; drizzle/0026</t>
  </si>
  <si>
    <t>NEW-006</t>
  </si>
  <si>
    <t>D10 cancellation &amp; refund policy (verified)</t>
  </si>
  <si>
    <t>Cancellation policy verified against code, history and tests at every stage (CONFIRMED / ACCEPTED / PREPARING / READY / ASSIGNED / PICKED_UP / OUT_FOR_DELIVERY) for customer and shop; two real gaps fixed; retained delivery fee journaled; 13 characterization tests</t>
  </si>
  <si>
    <t>F6.1.1, F6.1.3</t>
  </si>
  <si>
    <t>#10 (D10 policy); #23 (Phase H verification); #190 (batch)</t>
  </si>
  <si>
    <t>#14; #23; #194</t>
  </si>
  <si>
    <t>tests/integration/d10-cancellation-policy.test.ts; docs/gokesari-audit/D10_VERIFICATION.md</t>
  </si>
  <si>
    <t>NEW-007</t>
  </si>
  <si>
    <t>Direct per-order payments, tax invoicing, photo POD, accept timeout</t>
  </si>
  <si>
    <t>Built on PR #58: (a) tax invoice per delivered order - tax invoice (CGST+SGST / IGST) for a GST-registered shop, bill of supply otherwise, numbered per shop per financial year, HTML and PDF download for customer and shop; (b) photo proof of delivery - the rider must upload a photo (JPEG / PNG / WebP, size-checked) before marking delivered, shown to customer, shop and admin; (c) shop acceptance timeout - reminder half-way, then auto-cancel with full refund and restock, missed orders counted on the shop dashboard.</t>
  </si>
  <si>
    <t>F1.7.3, F2.1.3, F4.2.4, F10.1.2</t>
  </si>
  <si>
    <t>All four parts built; per-order online payment off until live keys</t>
  </si>
  <si>
    <t>#23 (design doc); #58 (invoicing, photo POD, accept timeout); #190 (batch)</t>
  </si>
  <si>
    <t>#23; #65; #194</t>
  </si>
  <si>
    <t>Live gateway keys; CA to confirm invoice rates / HSN (NEW-027)</t>
  </si>
  <si>
    <t>src/server/services/invoices.ts; src/server/services/delivery-proofs.ts; src/server/services/shop-acceptance.ts; drizzle/0055_order_completion.sql; tests/integration/order-completion.test.ts</t>
  </si>
  <si>
    <t>NEW-008</t>
  </si>
  <si>
    <t>Product category master &amp; shop product-category visibility</t>
  </si>
  <si>
    <t>product_categories as a master (unique names, permanent General category guarded by trigger); shop_product_categories decides which products a shop sees; removing a category moves products to General; removing it from a shop pauses its listings; screens /product-categories, /product-categories/products, /shop/product-categories, /admin/shops/[id]/product-categories; one-time categorisation script with dry run / apply / restore</t>
  </si>
  <si>
    <t>F8.3.2, F9.2.1</t>
  </si>
  <si>
    <t>#38; #39</t>
  </si>
  <si>
    <t>#43</t>
  </si>
  <si>
    <t>Merge to main (migration renumbering needed - see Risks) Merged to main on 3 Oct (was staging-only in the 3 Oct report).</t>
  </si>
  <si>
    <t>staging: drizzle/0038_product_category_management.sql; src/server/services/product-categories.ts; scripts/categorise-products.ts; tests/integration/product-categories.test.ts</t>
  </si>
  <si>
    <t>NEW-009</t>
  </si>
  <si>
    <t>Explicit Save flow on admin screens (categories, privileges, user profiles)</t>
  </si>
  <si>
    <t>Draft + Save Changes bar with dirty tracking, confirm step, unsaved-changes guard; privileges saved in one transaction (no half-applied role changes, last-admin protection, self-change blocked); profile edits limited to name/phone/status; every save audited. Editing moved to /admin/users/[id] and /admin/users/[id]/privileges</t>
  </si>
  <si>
    <t>#30</t>
  </si>
  <si>
    <t>#32</t>
  </si>
  <si>
    <t>src/components/save-changes-bar.tsx; src/components/admin-privileges-form.tsx; tests/integration/admin-save-flows.test.ts</t>
  </si>
  <si>
    <t>NEW-010</t>
  </si>
  <si>
    <t>Shop inventory fill when a category is added; per-shop prices</t>
  </si>
  <si>
    <t>Adding a category to a shop lists every live product in it with stock 100; packaged goods start at master MRP and on sale, loose goods / no-MRP start unpriced and off sale; owner sees how many need a price and saves prices in bulk (PATCH /api/shops/[id]/prices); buyers see 'Price on request' + 'Ask shop'.</t>
  </si>
  <si>
    <t>#45</t>
  </si>
  <si>
    <t>#47</t>
  </si>
  <si>
    <t>tests/integration/shop-inventory-fill.test.ts; commits 0e2d77f, 1221420</t>
  </si>
  <si>
    <t>NEW-011</t>
  </si>
  <si>
    <t>GoKesari logo mark, name, tagline and favicon</t>
  </si>
  <si>
    <t>GK monogram logo in the header, 'GoKesari' name with tagline 'Everything for Everyone', browser tab titles, footer line; GK favicon, 192 px icon and Apple touch icon replace the Next.js template icon.</t>
  </si>
  <si>
    <t>#59, #61, #63 (staging); #60, #62 (main)</t>
  </si>
  <si>
    <t>#60; #62</t>
  </si>
  <si>
    <t>public/brand/gk-mark.png; src/app/favicon.ico; src/components/site-header.tsx</t>
  </si>
  <si>
    <t>NEW-012</t>
  </si>
  <si>
    <t>Product card quantity controls; search bar row; cart state after reload</t>
  </si>
  <si>
    <t>Each product card has a - / qty / + picker capped at stock, then in-cart controls and Remove using PATCH /api/cart/items/:id; cards show the viewer's cart quantity after a reload; header cart badge counted in one query.</t>
  </si>
  <si>
    <t>#48; #72</t>
  </si>
  <si>
    <t>#71; #73</t>
  </si>
  <si>
    <t>src/components/product-card.tsx; src/components/search-bar.tsx</t>
  </si>
  <si>
    <t>NEW-013</t>
  </si>
  <si>
    <t>Home</t>
  </si>
  <si>
    <t>Home page speed, accessibility and error boundary</t>
  </si>
  <si>
    <t>Header, hero and Deliver-to stream first; shop lists stream behind a skeleton (CLS 0); 44% less home-page JS; colour contrast and 48 px tap targets (Lighthouse a11y 100); a failed shop-list stream shows a 'Try again' card instead of a full error page.</t>
  </si>
  <si>
    <t>#67; #68</t>
  </si>
  <si>
    <t>#65; #69</t>
  </si>
  <si>
    <t>src/app/page.tsx; src/components/home-shops-boundary.tsx</t>
  </si>
  <si>
    <t>NEW-014</t>
  </si>
  <si>
    <t>Data-exposure hardening (only screen fields reach browsers)</t>
  </si>
  <si>
    <t>Shops, catalogue, returns, order actions, categories, societies, delivery partners and checkout now send explicit views: no owner phone/email/PAN ciphertext to the public, no customer address or handover code to shops, no rider DOB/live location to staff, no nearest-rider distance at checkout.</t>
  </si>
  <si>
    <t>#67 (shop cards); #72</t>
  </si>
  <si>
    <t>#65; #73</t>
  </si>
  <si>
    <t>tests/integration/shop-data-exposure.test.ts</t>
  </si>
  <si>
    <t>NEW-015</t>
  </si>
  <si>
    <t>Header role menus link operations and rider pages</t>
  </si>
  <si>
    <t>Operator/Admin menus link Dashboard, Order monitoring and Operations exceptions; Rider menu links My deliveries and My delivery profile (previously reachable only by typing the URL).</t>
  </si>
  <si>
    <t>#74</t>
  </si>
  <si>
    <t>#73</t>
  </si>
  <si>
    <t>src/components/site-header.tsx</t>
  </si>
  <si>
    <t>NEW-016</t>
  </si>
  <si>
    <t>Notification settings and marketing-consent switch</t>
  </si>
  <si>
    <t>'Offers &amp; campaigns' row removed from notification settings (it never controlled promotions); marketing consent shown as one labelled On/Off switch ('Offers and promotions'), off until turned on, one tap to withdraw (DPDPA s.6); last-changed date in India time.</t>
  </si>
  <si>
    <t>F11.2.3, F13.1.1</t>
  </si>
  <si>
    <t>#75; #77</t>
  </si>
  <si>
    <t>#76; #78</t>
  </si>
  <si>
    <t>src/components/marketing-consent-toggle.tsx; src/server/notifications/templates.ts</t>
  </si>
  <si>
    <t>NEW-017</t>
  </si>
  <si>
    <t>Shop photo catalogue (/shop/catalogue)</t>
  </si>
  <si>
    <t>Every product of a shop as a photo tile with its price; add/change photo and set online/in-shop price from the tile; filters for needs a photo / needs a price / awaiting approval; Create New Product takes up to 4 photos; My products shows photos.</t>
  </si>
  <si>
    <t>#79</t>
  </si>
  <si>
    <t>#82; #84</t>
  </si>
  <si>
    <t>src/components/photo-catalogue.tsx; src/lib/photo-catalogue.ts</t>
  </si>
  <si>
    <t>NEW-018</t>
  </si>
  <si>
    <t>OTP request privacy - same reply for every request</t>
  </si>
  <si>
    <t>A mobile number alone always gets SENT_IF_REGISTERED; the code is sent after the response so timing is equal; per-number rate limit; suspended accounts get the normal reply and no code; form offers 'Sign up with your email'.</t>
  </si>
  <si>
    <t>F1.1.1</t>
  </si>
  <si>
    <t>#80</t>
  </si>
  <si>
    <t>#81</t>
  </si>
  <si>
    <t>src/components/otp-login-form.tsx; tests/integration/login-profile.test.ts</t>
  </si>
  <si>
    <t>NEW-019</t>
  </si>
  <si>
    <t>Home and Shops redesign; Tomorrow's delivery card</t>
  </si>
  <si>
    <t>Header with Deliver-to pill and search, avatar menu, 4-column footer; hero with quick-search chips; Tomorrow's delivery card (qty, Skip tomorrow / Undo, wallet warning); 'Shops near &lt;area&gt;' incl. pickup-only shops; Shops page filter bar, sort, grid/list.</t>
  </si>
  <si>
    <t>F1.3.1, F7.2.1</t>
  </si>
  <si>
    <t>#83</t>
  </si>
  <si>
    <t>#84</t>
  </si>
  <si>
    <t>src/components/tomorrow-delivery-card.tsx; tests/unit/home-redesign.test.ts</t>
  </si>
  <si>
    <t>NEW-020</t>
  </si>
  <si>
    <t>Cancellation before packing - full refund; optional customer cancel until packing (item A)</t>
  </si>
  <si>
    <t>Every cancel before packing refunds goods + delivery fee (pinned by tests); new rule cancellation.customerMayCancelUntil (default CONFIRMED = unchanged; PREPARING lets customers cancel until packing, shop notified).</t>
  </si>
  <si>
    <t>F1.9.5, F6.1.2</t>
  </si>
  <si>
    <t>Off by default - rule cancellation.customerMayCancelUntil = CONFIRMED (the original behaviour); PREPARING turns it on</t>
  </si>
  <si>
    <t>#85; #190 (batch)</t>
  </si>
  <si>
    <t>#86 (reverted by #87); #120; #194</t>
  </si>
  <si>
    <t>Choose whether to switch PREPARING on</t>
  </si>
  <si>
    <t>NEW-021</t>
  </si>
  <si>
    <t>Business limits editable at /admin/settings (item B)</t>
  </si>
  <si>
    <t>New rule groups with today's values as defaults: cod, walletTopup, ratings, marketing, vouchers, settlement, deliveryOtp, returnPickup, grievances, discovery, catalogue, uploads, opsExceptions, riskRules.</t>
  </si>
  <si>
    <t>F12.2.3</t>
  </si>
  <si>
    <t>Live (defaults identical to the old fixed values)</t>
  </si>
  <si>
    <t>#85; #124 (searchable list)</t>
  </si>
  <si>
    <t>#86 (reverted by #87); #120; #126</t>
  </si>
  <si>
    <t>NEW-022</t>
  </si>
  <si>
    <t>Shop's own customer contact phone / WhatsApp (item C1)</t>
  </si>
  <si>
    <t>Customers see only the shop's own contact numbers (new fields + shop dashboard card), never the registration or login number; GoKesari customer care shown until a shop enters them. Migration 0056.</t>
  </si>
  <si>
    <t>F8.3.4</t>
  </si>
  <si>
    <t>Live (rule shopContact = SHOP_CONTACT)</t>
  </si>
  <si>
    <t>#85</t>
  </si>
  <si>
    <t>#86 (reverted by #87); #120</t>
  </si>
  <si>
    <t>NEW-023</t>
  </si>
  <si>
    <t>Only verified societies can add or prefer riders (item C2)</t>
  </si>
  <si>
    <t>Enforced in the service for every caller; unverified society admins are refused. Rule societyRiders.</t>
  </si>
  <si>
    <t>F5.2.2</t>
  </si>
  <si>
    <t>Live (rule societyRiders.requireVerifiedSociety = true)</t>
  </si>
  <si>
    <t>NEW-024</t>
  </si>
  <si>
    <t>Open-order prompt before paying (item C3)</t>
  </si>
  <si>
    <t>Cart shows the customer's open order(s) with status before paying: Cancel this order (when D10 allows) or Ignore and continue; duplicate-product check keeps showing other shops' pending products. Rule openOrderCheck.</t>
  </si>
  <si>
    <t>F1.5.5</t>
  </si>
  <si>
    <t>Live (rule openOrderCheck on, ANY_SHOP)</t>
  </si>
  <si>
    <t>NEW-025</t>
  </si>
  <si>
    <t>Voucher codes visible to operators and admins (item C4)</t>
  </si>
  <si>
    <t>Decision matched existing behaviour: operators/admins see full voucher codes; customers, shop owners, riders and society admins get 403. Pinned by tests.</t>
  </si>
  <si>
    <t>#85 (tests only)</t>
  </si>
  <si>
    <t>Behaviour already live; tests released with the next production release</t>
  </si>
  <si>
    <t>NEW-026</t>
  </si>
  <si>
    <t>Rider files: access-checked photos, KYC documents, rider ID card (item C5)</t>
  </si>
  <si>
    <t>Rider photos only via access-checked links; rider KYC images (table delivery_partner_documents, migration 0057) viewable by admins only, each view audited, /admin/rider-kyc; rider ID card /gig/id-card; rider photo + ID on the society dashboard.</t>
  </si>
  <si>
    <t>F5.2.3, F12.2.5</t>
  </si>
  <si>
    <t>Live (rule riderFiles: protected photos, KYC documents, ID card)</t>
  </si>
  <si>
    <t>Purge the CDN cache for /api/images/* (release step, Blockers #22)</t>
  </si>
  <si>
    <t>NEW-027</t>
  </si>
  <si>
    <t>GST rates / HSN codes report for the CA; cron map (item D)</t>
  </si>
  <si>
    <t>scripts/gst-hsn-report.sql lists rates, HSN x rate, category gaps and products sold for CA review; production cron schedule mapped (shop-acceptance, delivery-dispatch, notifications every minute). No seeded product has a GST rate or HSN code yet.</t>
  </si>
  <si>
    <t>#120</t>
  </si>
  <si>
    <t>CA to verify HSN codes, GST rates, bill-of-supply wording and invoice numbering before invoicing is used for filing</t>
  </si>
  <si>
    <t>CA verification</t>
  </si>
  <si>
    <t>NEW-028</t>
  </si>
  <si>
    <t>Event layer</t>
  </si>
  <si>
    <t>Event layer: real-time workflows, cron only as a safety net</t>
  </si>
  <si>
    <t>emitEvent() in the same transaction as each state change; one state-machine registry rejects illegal moves (409); domain_events log; outbox (notification_deliveries) with retries, backoff, dead-letter alert to support; every order/delivery step notifies customer and shop at once; new timeout-sweep and notification-retry crons. Migration 0058.</t>
  </si>
  <si>
    <t>F1.9.2, F13.2.1</t>
  </si>
  <si>
    <t>Live (rule defaults; no off switch)</t>
  </si>
  <si>
    <t>#89</t>
  </si>
  <si>
    <t>QA on test (TEST_CHECKLIST.md), cron Phase B switch, production release</t>
  </si>
  <si>
    <t>Production cron jobs (Blockers #4); confirm the event-layer decisions (Blockers #13)</t>
  </si>
  <si>
    <t>NEW-029</t>
  </si>
  <si>
    <t>Live delivery tracking v2 (5-second polling)</t>
  </si>
  <si>
    <t>Rider posts location to POST /api/delivery-orders/{id}/location while the drop is under way; customer gets a Track delivery map polled every 5 s, shown only from the start of the drop until delivered or cancelled.</t>
  </si>
  <si>
    <t>F1.9.2</t>
  </si>
  <si>
    <t>NEW-030</t>
  </si>
  <si>
    <t>Seller verification events, 'more info' and optional auto-approval</t>
  </si>
  <si>
    <t>Manual review sends support a review link and tells the seller what is pending; approve / reject / more info notify the seller and other reviewers; optional auto-approval once all documents are verified and the fee is paid (classified GREEN); daily stuck-in-review reminder.</t>
  </si>
  <si>
    <t>F8.2.2</t>
  </si>
  <si>
    <t>NEW-031</t>
  </si>
  <si>
    <t>Dispute conversation, attachments and 24 h SLA escalation</t>
  </si>
  <si>
    <t>Ticket number issued at once with photos attached; customer, shop and support comment, support adds internal notes; shop may propose a resolution after triage; no reply within 24 h escalates to administrators.</t>
  </si>
  <si>
    <t>F6.3.2</t>
  </si>
  <si>
    <t>NEW-032</t>
  </si>
  <si>
    <t>Per-order risk rules at placement and on failed payment</t>
  </si>
  <si>
    <t>Risk rules now run on each order as it is placed and on a failed payment; the hourly job remains the cross-order pattern scan.</t>
  </si>
  <si>
    <t>F12.1.4</t>
  </si>
  <si>
    <t>NEW-033</t>
  </si>
  <si>
    <t>Shop prepaid wallet</t>
  </si>
  <si>
    <t>shop_wallets + immutable ledger (triggers make the ledger the only way the balance moves); 1% commission and the delivery charge debited inside the delivery transaction, once per order; minimum balance Rs 200 blocks new acceptances (402); low-balance reminder at Rs 300; Cashfree recharge; admin manual credit/debit; /shop/wallet, /admin/shop-wallets. Migration 0059.</t>
  </si>
  <si>
    <t>F2.1.4, F10.1.3</t>
  </si>
  <si>
    <t>Off by default - rule shopWallet.enabled = false (on for the test site only)</t>
  </si>
  <si>
    <t>#91; #94 (switched on in test)</t>
  </si>
  <si>
    <t>Production release</t>
  </si>
  <si>
    <t>Legal review of holding shops' prepaid money (Blockers #17) before switching it on</t>
  </si>
  <si>
    <t>NEW-034</t>
  </si>
  <si>
    <t>Shop wallet: Rs 5/km delivery charge, no checkout below minimum, commission back on refunds</t>
  </si>
  <si>
    <t>Delivery charge = flat part (Rs 0) + Rs 5 x shop-to-customer km (Rs 25 when distance unknown); a shop below the wallet minimum is hidden from ordering like a paused shop; shop-borne refunds return the proportional commission to the wallet (COMMISSION_REFUND). Migration 0060.</t>
  </si>
  <si>
    <t>F10.1.3</t>
  </si>
  <si>
    <t>#98</t>
  </si>
  <si>
    <t>NEW-035</t>
  </si>
  <si>
    <t>OTP-confirmed delivery hardening</t>
  </si>
  <si>
    <t>Delivery code stored as a salted HMAC and emailed to the customer; resend with cooldown and per-delivery limit; wrong attempts counted atomically, lockout raises a grievance ticket and alerts customer, shop and support; a shop can no longer mark a rider-carried order delivered without the code.</t>
  </si>
  <si>
    <t>F1.9.4, F4.2.5</t>
  </si>
  <si>
    <t>Live (code emailed; SMS needs D2)</t>
  </si>
  <si>
    <t>#91</t>
  </si>
  <si>
    <t>Production release; SMS delivery of the code (D2)</t>
  </si>
  <si>
    <t>D2 - SMS vendor to also send the code by SMS</t>
  </si>
  <si>
    <t>NEW-036</t>
  </si>
  <si>
    <t>Shop product media - photos and descriptions (Module 1)</t>
  </si>
  <si>
    <t>Up to 5 photos per shop listing from camera or gallery, drag to reorder; short and long descriptions with fallback to the master product; bulk ZIP (by SKU/barcode) + CSV upload with check-then-apply and resume; shop staff accounts; EXIF/GPS stripped, 200/600/1200 px WebP copies stored outside the web root.</t>
  </si>
  <si>
    <t>F9.2.5</t>
  </si>
  <si>
    <t>#92 (merged into staging 9 Oct)</t>
  </si>
  <si>
    <t>docs/three-modules-2026-10/MODULE1_SHOP_PRODUCT_MEDIA.md (PR #92); drizzle/0065 (PR #92)</t>
  </si>
  <si>
    <t>NEW-037</t>
  </si>
  <si>
    <t>Accounting / inventory integration and GST (Module 2)</t>
  </si>
  <si>
    <t>Shop connects TallyPrime, Odoo 19+, Zoho Books (India), myBillBook, Vyapar or any Excel/CSV software; invoices and GST credit notes pushed on delivery / refund through an idempotent outbox; items, stock, price/MRP, HSN and tax rate pulled (never above verified MRP); Tally Windows connector; provider-agnostic GSP (mock only): GSTIN check, e-invoice, e-way bill, GSTR-1-ready export (nothing filed); /admin/gst-config.</t>
  </si>
  <si>
    <t>F9.2.6</t>
  </si>
  <si>
    <t>GST invoice per order live; inventory sync descoped (rule inventorySync OFF)</t>
  </si>
  <si>
    <t>#92 (merged into staging 9 Oct); #190 (batch)</t>
  </si>
  <si>
    <t>#120; #194</t>
  </si>
  <si>
    <t>GSP for GST returns (Blockers #52); CA check (NEW-027)</t>
  </si>
  <si>
    <t>docs/three-modules-2026-10/MODULE2_ACCOUNTING_INTEGRATION.md (PR #92); connector/tally (PR #92)</t>
  </si>
  <si>
    <t>NEW-038</t>
  </si>
  <si>
    <t>Shop self-registration with auto-approval (Module 3)</t>
  </si>
  <si>
    <t>/shop/join (mobile-first): referral code checked first, SMS code (mock on test), fee plan (Basic / Silver / Gold / Platinum / Industry), terms; registration held as PENDING_PAYMENT; only the Cashfree webhook approves (seven guards against double approval): shop live, owner account + role, PAY- receipt PDF, referral redemption, shop wallet, distributor commission. Admin: fee plans, distributors, auto-approved shops with one-click suspend.</t>
  </si>
  <si>
    <t>F8.1.2</t>
  </si>
  <si>
    <t>Off by default - rule selfRegistration.enabled = false; refused on gokesari.com until a real SMS/WhatsApp provider is set</t>
  </si>
  <si>
    <t>Merge #92; real SMS / WhatsApp provider for production (refused on gokesari.com until set); fee amounts; FSSAI rule for self-registered food shops</t>
  </si>
  <si>
    <t>Owner inputs P2, P4, P5 (Blockers #18) before switching it on</t>
  </si>
  <si>
    <t>docs/three-modules-2026-10/MODULE3_SELF_REGISTRATION.md (PR #92); drizzle/0068 (PR #92)</t>
  </si>
  <si>
    <t>NEW-039</t>
  </si>
  <si>
    <t>Delivery options and scheduling: pickup, shop's own delivery, GoKesari partner</t>
  </si>
  <si>
    <t>When marking an order ready the shop chooses pickup from the shop (customer pickup code), its own delivery person (/shop/delivery-staff; private delivery link with call / directions and the delivery code) or a GoKesari rider (rider search starts 45 min before a later slot; Find rider now still works). 1-hour slots 07:00-22:00 IST up to 7 days ahead; plan can change until collected / out / picked up, releasing a rider; customer told in app + email every time.</t>
  </si>
  <si>
    <t>F2.2.4, F2.2.5, F1.9.6</t>
  </si>
  <si>
    <t>Off by default - rule fulfilmentOptions.enabled = false (on for the test site only)</t>
  </si>
  <si>
    <t>#102; #103 (repeat-safe mark-ready and handovers)</t>
  </si>
  <si>
    <t>Production release (migrations 0056-0064); owner decision F1-8 - refund the customer's delivery fee automatically when the shop chooses pickup?</t>
  </si>
  <si>
    <t>Switch on in Admin &gt; Business rules when ready</t>
  </si>
  <si>
    <t>docs/four-features-2026-10/README.md; TEST_RESULTS.md; drizzle/0061_fulfilment_options.sql</t>
  </si>
  <si>
    <t>NEW-040</t>
  </si>
  <si>
    <t>Mandatory legal documents by shop type (FSSAI, drug licence, medical registration)</t>
  </si>
  <si>
    <t>/shop/legal-documents lists what the shop must hold (FSSAI: 14 digits + expiry + copy; drug licence; medical registration + council). A new shop cannot go live until each is submitted; a live shop gets a 15-day grace period, then checkout refuses it and it cannot accept orders. Expiry reminder 30 days ahead; operations review at /admin/legal-documents (approve / reject with reason, audited copy access).</t>
  </si>
  <si>
    <t>F8.2.5</t>
  </si>
  <si>
    <t>Off by default - rule legalDocuments.enabled = false (on for the test site only)</t>
  </si>
  <si>
    <t>#102; #103 (wording fixes)</t>
  </si>
  <si>
    <t>Production release; tell shop owners about the 15-day grace first; decision - also hide shops past their grace period from customers?</t>
  </si>
  <si>
    <t>Tell shop owners about the 15-day grace, then switch on (Blockers #28)</t>
  </si>
  <si>
    <t>docs/four-features-2026-10/README.md; TEST_RESULTS.md; drizzle/0062_legal_documents.sql</t>
  </si>
  <si>
    <t>NEW-041</t>
  </si>
  <si>
    <t>Bank account details with Rs 1 verification (shops for payouts, customers for refunds)</t>
  </si>
  <si>
    <t>Bank account (holder, account number twice, IFSC) or UPI ID at /shop/bank-account and /profile/bank-account; verified by a Rs 1 Cashfree payment (UPI, debit card, credit card, net banking), refunded automatically; numbers encrypted at rest, last 4 digits shown; changing details needs re-verification; 5 attempts a day; payouts held without a verified account; finance view /admin/bank-accounts (masked).</t>
  </si>
  <si>
    <t>F10.2.6</t>
  </si>
  <si>
    <t>Off by default - rule bankAccounts.enabled = false (on for the test site only)</t>
  </si>
  <si>
    <t>#102; #103 (refund status re-checked from Cashfree)</t>
  </si>
  <si>
    <t>Production release; Cashfree live keys with the Refunds API; payout gate not run on test (covered by integration tests); decisions - buy Cashfree Verification Suite for the bank's name? offer refunds to bank at all?</t>
  </si>
  <si>
    <t>Cashfree live keys with the Refunds API (Blockers #24), then switch on</t>
  </si>
  <si>
    <t>docs/four-features-2026-10/README.md; TEST_RESULTS.md; drizzle/0063_bank_accounts.sql</t>
  </si>
  <si>
    <t>NEW-042</t>
  </si>
  <si>
    <t>Mandatory referral code at shop registration + 'Request a referral code'</t>
  </si>
  <si>
    <t>Referral code required on /shop/register (empty, unknown, inactive or expired codes are refused; operators registering for someone are exempt). 'Request a referral code' captures name, mobile, shop type, area, city, PIN and (if allowed) location + Maps link, emails referrals@gokesari.com, tells support; one request per mobile per 24 h. Operations issue or reject at /admin/referral-requests.</t>
  </si>
  <si>
    <t>F8.1.3</t>
  </si>
  <si>
    <t>Admin &gt; Referral settings: referral_required_shop = OPTIONAL on production (checked 14 Oct)</t>
  </si>
  <si>
    <t>#102; #103 (stale error cleared)</t>
  </si>
  <si>
    <t>Production release; create referral codes before switching it on (or registrations stop); confirm who owns referrals@gokesari.com and that mail arrives there</t>
  </si>
  <si>
    <t>Create referral codes and the referrals@ mailbox (Blockers #26), then switch on</t>
  </si>
  <si>
    <t>docs/four-features-2026-10/README.md; TEST_RESULTS.md; drizzle/0064_referral_code_requests.sql</t>
  </si>
  <si>
    <t>NEW-043</t>
  </si>
  <si>
    <t>Mobile App</t>
  </si>
  <si>
    <t>Android and iPhone app (mobile/) - native shell around gokesari.com</t>
  </si>
  <si>
    <t>Expo app showing the website for every role, plus native pieces: location, camera / gallery uploads, downloads (Android Downloads / iPhone share sheet), print, share sheet, phone / WhatsApp / Maps links, offline screen, Android back button. Two builds: production (gokesari.com, com.gokesari.app) and preview (test.gokesari.com). Website changes reach the app without an app update.</t>
  </si>
  <si>
    <t>F15.1.1, F15.1.3, F15.1.4, F15.2.1</t>
  </si>
  <si>
    <t>Android APK from the 'Android APK' workflow (test signing key); not on Google Play or the App Store</t>
  </si>
  <si>
    <t>#100</t>
  </si>
  <si>
    <t>#100 (code on main; no store release)</t>
  </si>
  <si>
    <t>Store publishing on hold (owner decision)</t>
  </si>
  <si>
    <t>Owner: decide when to publish (Play / App Store)</t>
  </si>
  <si>
    <t>mobile/README.md; mobile/src/App.tsx; .github/workflows/mobile-apk.yml</t>
  </si>
  <si>
    <t>NEW-044</t>
  </si>
  <si>
    <t>Website support for the app: Google sign-in hand-off and deep-link files</t>
  </si>
  <si>
    <t>/mobile-auth/start -&gt; Google -&gt; /mobile-auth/complete in the phone's browser hands the app a 2-minute, HMAC-signed, PKCE-bound code that /mobile-auth/finish redeems; /signin hides the emailed-link form inside the app; /.well-known/assetlinks.json and apple-app-site-association served from MOBILE_* env vars.</t>
  </si>
  <si>
    <t>F15.2.2, F15.2.3</t>
  </si>
  <si>
    <t>Sign-in hand-off live; deep links off until MOBILE_* env vars are set (after the first store build) - assetlinks.json answers 404 today</t>
  </si>
  <si>
    <t>Set MOBILE_ANDROID_CERT_SHA256 / Apple team id after the first store build so gokesari.com links open the app</t>
  </si>
  <si>
    <t>Owner inputs §10: Android signing fingerprint + Apple Team ID</t>
  </si>
  <si>
    <t>src/app/mobile-auth/; src/server/mobile-auth.ts; src/app/.well-known/</t>
  </si>
  <si>
    <t>NEW-045</t>
  </si>
  <si>
    <t>iPhone home-screen app (web app manifest, full-screen, Back button)</t>
  </si>
  <si>
    <t>Without an Apple Developer account iPhone users add gokesari.com to the home screen from Safari; it opens full-screen with the GoKesari name and icon, and a Back button appears in the header only in that mode. Chrome on Android also offers 'Install app' from the manifest.</t>
  </si>
  <si>
    <t>F15.1.2</t>
  </si>
  <si>
    <t>src/app/manifest.ts; src/components/standalone-back-button.tsx; public/pwa/</t>
  </si>
  <si>
    <t>NEW-046</t>
  </si>
  <si>
    <t>Navigation / UX</t>
  </si>
  <si>
    <t>Tile Board home screens (approved 'Theme 1 Tile Board') for customer, shop owner, admin and operator</t>
  </si>
  <si>
    <t>Each role's home is one screen (320-1920 px; English, Hindi, Marathi): customer / (search, Do now, picture categories, tiles, cart bar), shop owner /shop (account alerts, Do now, 16 tiles), admin /admin (Do now: approvals, reviews, refunds, escalated; 9 tiles), operator /admin (Do now: late orders, shop applications, open tickets, rider applications; 7 tiles incl. Catalogue). On touch screens each tile is one large target; wide screens keep 36 px chips. Live counts, entries hidden by permission.</t>
  </si>
  <si>
    <t>#112; #114 (fits the app's shorter screen); #116 (iPhone Back button); #122 (everywhere); #124; #127; #130</t>
  </si>
  <si>
    <t>#120; #123; #126; #129; #131</t>
  </si>
  <si>
    <t>4 mockup entries have no feature behind them (customer Favourites, App theme, Call rider; shop Theme) - nearest real pages shown; shop owner board 2 px over at 320x640 with two alerts (accepted, D-02); 1-3 submenu labels hidden at 320x640</t>
  </si>
  <si>
    <t>Owner: decide whether to build the 4 missing features</t>
  </si>
  <si>
    <t>docs/tile-board-2026-10/README.md; docs/tile-board-2026-10/TEST_RESULTS.md; src/lib/board/menus.ts; src/components/board/; docs/tile-board-2026-10/UI_PASS_2026-10-09.md; TEST_RESULTS_UI_PASS.md</t>
  </si>
  <si>
    <t>NEW-047</t>
  </si>
  <si>
    <t>Language switch EN / Hindi / Marathi (boards, header and menus on every page)</t>
  </si>
  <si>
    <t>EN / हिं / मरा switch in the header of every page; choice kept in the gk_lang cookie and rendered on the server. Boards, menu pages, header, tabs, Do now and the error / not-found screens are translated; names from the database shown as entered. Body text of forms, tables and policy pages stays English.</t>
  </si>
  <si>
    <t>#112; #122 (every page)</t>
  </si>
  <si>
    <t>#120; #123</t>
  </si>
  <si>
    <t>Body text of forms, tables and policy pages is English only - thousands of strings, needs native-speaker review (GAP-015)</t>
  </si>
  <si>
    <t>Owner: decide on inner-page translation (Blockers #38)</t>
  </si>
  <si>
    <t>src/lib/board/i18n.ts; src/server/language-action.ts</t>
  </si>
  <si>
    <t>NEW-048</t>
  </si>
  <si>
    <t>Mandatory customer referral code at sign-up, with 'ask us for a code'</t>
  </si>
  <si>
    <t>Customers who join on or after a set date need a referral code before their first order or subscription; they can ask GoKesari for one (duplicate requests within the window answered once).</t>
  </si>
  <si>
    <t>Admin &gt; Referral settings: referral_required_customer = OPTIONAL on production (checked 14 Oct)</t>
  </si>
  <si>
    <t>#106; #109; #110</t>
  </si>
  <si>
    <t>Set requiredFrom and switch on when codes can be issued</t>
  </si>
  <si>
    <t>docs/four-features-2026-10/README.md; src/server/services/customer-signup-referrals.ts</t>
  </si>
  <si>
    <t>NEW-049</t>
  </si>
  <si>
    <t>Refunds to the customer's verified bank account</t>
  </si>
  <si>
    <t>Refunded money (not top-ups or promotional credit) can be sent to the customer's verified bank account within 30 days; finance sends the transfer; approved legal wording on /legal/wallet-terms and /legal/refund-policy while the rule is on.</t>
  </si>
  <si>
    <t>Off by default - rule bankRefunds.enabled = false</t>
  </si>
  <si>
    <t>#106; #111 (approved wording O-8)</t>
  </si>
  <si>
    <t>Switch on with bank accounts (NEW-041)</t>
  </si>
  <si>
    <t>docs/four-features-2026-10/README.md; src/server/services/bank-refunds.ts</t>
  </si>
  <si>
    <t>NEW-050</t>
  </si>
  <si>
    <t>Bank account checked with the bank (Cashfree Verification Suite) instead of the Rs 1 payment</t>
  </si>
  <si>
    <t>When a bank account is saved, Cashfree's bank-account verification checks it is valid and whose name it is in: a match is verified at once without the Rs 1 payment; a mismatch fails with the reason. Falls back to Rs 1 when keys are missing.</t>
  </si>
  <si>
    <t>Off by default - rule bankAccountCheck.enabled = false</t>
  </si>
  <si>
    <t>#115; #117 (accepts Cashfree's own key names)</t>
  </si>
  <si>
    <t>Test site showed 'Keys not found' before #117</t>
  </si>
  <si>
    <t>Verification Suite keys on production, then switch on</t>
  </si>
  <si>
    <t>src/server/services/bank-account-check.ts; drizzle/0073_bank_account_checks.sql</t>
  </si>
  <si>
    <t>NEW-051</t>
  </si>
  <si>
    <t>Tile Board everywhere: one path to every function</t>
  </si>
  <si>
    <t>Tiles open their own tabbed page or a menu page (/shop/menu/{key}, /admin/menu/{key}) listing the board's submenus plus 'More'; every function within 2 taps and at most 7 entries per group. The 17-section admin console is split into /admin/console/{section} and the shop dashboard into /shop/manage/{section}. A one-row header with a Board button replaces the role dropdowns (12-39 links) and the phone drawer; admins and operators no longer see cart, deliver-to or wallet; operators get a Catalogue tile. Old /admin#..., /shop#... links forward.</t>
  </si>
  <si>
    <t>#122</t>
  </si>
  <si>
    <t>#123</t>
  </si>
  <si>
    <t>1-3 submenu labels hidden on boards at 320x640 (accepted limit, DT-12)</t>
  </si>
  <si>
    <t>docs/tile-board-2026-10/UI_PASS_2026-10-09.md; src/lib/board/menus.ts; src/app/admin/menu/[key]; src/app/shop/menu/[key]; tests/unit/tile-board.test.ts</t>
  </si>
  <si>
    <t>NEW-052</t>
  </si>
  <si>
    <t>Status tabs and paging on lists; one screen per view on the longest pages</t>
  </si>
  <si>
    <t>Tabs that count exactly what the board badges count: shop orders (New / Packing / Ready / Out / Done / All), returns (Requests / Pickups), disputes (Open / Resolved), My Orders (Active / Past). My Profile tabs (details / notifications / offers); category, shop and search pages six products a page with tabs; admin dashboard, Finance, Compliance and the shop's Today page behind section tabs; business rules as a searchable list; shop products and admin shop categories paged.</t>
  </si>
  <si>
    <t>#122; #124</t>
  </si>
  <si>
    <t>#123; #126</t>
  </si>
  <si>
    <t>38 second-level pages still run over 3 phone screens (median 2.2 screens)</t>
  </si>
  <si>
    <t>src/lib/board/status-groups.ts; src/components/board/list-tabs.tsx; src/components/board/section-tabs.tsx</t>
  </si>
  <si>
    <t>NEW-053</t>
  </si>
  <si>
    <t>Error, not-found and offline screens; progress bar; confirm before destructive actions</t>
  </si>
  <si>
    <t>Error and not-found screens in the user's language with Try again / Back to board; offline banner; navigation progress bar from the tap; inline 'Yes / Keep' confirmation before deleting an address, cancelling an order and cancel-and-refund.</t>
  </si>
  <si>
    <t>src/app/error.tsx; src/app/not-found.tsx; src/components/board/offline-banner.tsx; src/components/board/navigation-feedback.tsx; src/components/confirm-button.tsx</t>
  </si>
  <si>
    <t>NEW-054</t>
  </si>
  <si>
    <t>Accessibility pass: touch targets, text size, contrast</t>
  </si>
  <si>
    <t>44-48 px touch targets on phones (every stand-alone link, button and field), 12 px minimum text (tile labels 14-15 px), grey text darkened to AA contrast, readable disabled buttons with the reason, 20 px tick boxes and radios, 44 px footer links; Lighthouse accessibility fixes.</t>
  </si>
  <si>
    <t>347 targets under 44 px remain on older pages (mostly tick boxes inside 44 px labels); body text 12-14 px against a 14 px target</t>
  </si>
  <si>
    <t>src/app/globals.css; src/components/ui.tsx; GoKesari_UI_Issue_Register_2026-10-09.xlsx (USA-02, USA-04, DT-14)</t>
  </si>
  <si>
    <t>NEW-055</t>
  </si>
  <si>
    <t>Catalogue / UX</t>
  </si>
  <si>
    <t>Product cards and shop page for phones</t>
  </si>
  <si>
    <t>Two products a row on phones (compact card: one Add, then -/+ stepper); category pictures for products without a photo; one price-unit wording ('/ L', '/ kg', 'each', 'per pack'); quieter Closed pill; searchable picture category tiles; shop page shows products first.</t>
  </si>
  <si>
    <t>Shop cards all show the same icon until shops upload photos (AUD-05b); Add and Subscribe on two rows when subscriptions are off (AUD-14)</t>
  </si>
  <si>
    <t>src/components/product-card.tsx; src/lib/board/product-look.ts; src/components/category-finder.tsx</t>
  </si>
  <si>
    <t>NEW-056</t>
  </si>
  <si>
    <t>Sign-in: one Terms &amp; Privacy box instead of three</t>
  </si>
  <si>
    <t>One 'I agree to the Terms &amp; Conditions and Privacy Policy' box under the intro on /signin; until it is ticked Continue with Google, Get code and Email me a link stay disabled (with a readable disabled state).</t>
  </si>
  <si>
    <t>#121</t>
  </si>
  <si>
    <t>src/app/signin</t>
  </si>
  <si>
    <t>NEW-057</t>
  </si>
  <si>
    <t>Nearby shops from the real location (/shops/nearby)</t>
  </si>
  <si>
    <t>Uses the phone or browser location (high accuracy) and names the area, city and PIN; radius chips 1/3/5/10 km (default 5); shops nearest first (distance computed in PostgreSQL), open/closed, Google Maps Directions; List / Map with pin bubbles; PIN / area box when location is refused, or after 12 s if the prompt is ignored.</t>
  </si>
  <si>
    <t>F1.3.4</t>
  </si>
  <si>
    <t>Live (no rule; needs the Maps keys)</t>
  </si>
  <si>
    <t>#133; #136 (PIN box after 12 s)</t>
  </si>
  <si>
    <t>#135</t>
  </si>
  <si>
    <t>Tap Directions once on a real phone (N-3); 2 original production shops have no map location (Asmy super market x2)</t>
  </si>
  <si>
    <t>Owner: add the two shops' locations (Admin &gt; Shops &gt; Shops without location)</t>
  </si>
  <si>
    <t>docs/nearby-referral-2026-10/README.md; TEST_RESULTS.md; src/app/shops/nearby/</t>
  </si>
  <si>
    <t>NEW-058</t>
  </si>
  <si>
    <t>Referral code Mandatory / Optional set by admin (customers and shops)</t>
  </si>
  <si>
    <t>Admin &gt; Settings &gt; Referral settings (/admin/referral-settings, admin only) sets referral_required_customer and referral_required_shop, read live on every registration path. A code that is typed is always checked. Every change is logged (referral_setting_changes and the audit log). Existing users and shops are not affected.</t>
  </si>
  <si>
    <t>F8.1.4, F1.1.3</t>
  </si>
  <si>
    <t>Live - both OPTIONAL on production (checked 14 Oct: /api/referral-settings)</t>
  </si>
  <si>
    <t>#133</t>
  </si>
  <si>
    <t>Paid self-registration without a code not run on test (no SMS provider, N-2); owner to look at the admin page on production</t>
  </si>
  <si>
    <t>docs/nearby-referral-2026-10/README.md; TEST_RESULTS.md; drizzle/0074_referral_settings.sql</t>
  </si>
  <si>
    <t>NEW-059</t>
  </si>
  <si>
    <t>Admin 'Shops without location' list and coordinates backfill</t>
  </si>
  <si>
    <t>Admin &gt; Shops &gt; Shops without location (/admin/shops/missing-location, admin and operator, CSV download) lists shops Nearby cannot place; scripts/backfill-shop-coordinates.ts fills coordinates from addresses.</t>
  </si>
  <si>
    <t>Production had 0 shops with coordinates before the 13 Oct copy; 2 original shops still have none</t>
  </si>
  <si>
    <t>docs/nearby-referral-2026-10/README.md; TEST_RESULTS.md</t>
  </si>
  <si>
    <t>NEW-060</t>
  </si>
  <si>
    <t>GoKesari Seller Central (shop owner workspace) and the 'Sell on GoKesari' page (/sell)</t>
  </si>
  <si>
    <t>/sell is a public landing page for sellers. Every /shop page gets the Seller Central frame: dark top bar with status pill, sidebar (Orders, Catalogue, Payments, Growth, Account) with live badges, 'Find a tool' search, drawer on phones. At 1024 px and wider /shop is a dashboard (action required, orders, 30-day performance, wallet, account health, all tools); phones keep the tile board.</t>
  </si>
  <si>
    <t>F8.4.3</t>
  </si>
  <si>
    <t>#142</t>
  </si>
  <si>
    <t>#143</t>
  </si>
  <si>
    <t>No staging or production browser run recorded (only local: 1,702 tests, 10 manual checks)</t>
  </si>
  <si>
    <t>Record a browser run on test / production</t>
  </si>
  <si>
    <t>docs/seller-central-2026-10/README.md; TEST_RESULTS.md</t>
  </si>
  <si>
    <t>NEW-062</t>
  </si>
  <si>
    <t>Document upload with auto-read (file or camera), review and Verify &amp; Approve</t>
  </si>
  <si>
    <t>At /shop/documents the owner uploads a file or takes a photo; the server reads it (PDF text, local tesseract, or Claude if chosen) and pre-fills number, name, address and validity, with flags (UNREADABLE, WRONG_DOCUMENT, EXPIRED, NAME_MISMATCH, NOT_READ). Verify &amp; Approve feeds seller verification and the legal-documents register. Files and fields encrypted; Aadhaar numbers dropped; drafts purged after 7 days; admin view /admin/document-uploads; reader health check.</t>
  </si>
  <si>
    <t>F8.2.6</t>
  </si>
  <si>
    <t>Live - rule documentUpload.enabled = on; photos read in the owner's browser (DOCUMENT_OCR_BROWSER on by default; 'off' = server only)</t>
  </si>
  <si>
    <t>#146; #147 (25 s limit, 'type the details', health check); #148 (OCR engine shipped); #169 (photos read in the owner's browser)</t>
  </si>
  <si>
    <t>#149; #175 (#169 cherry-picked); #177 (same commit, no change)</t>
  </si>
  <si>
    <t>Scanned PDFs without a text layer still ask for a photo. iOS before 16 falls back to the server reader (owner types the details). No real owner upload on production recorded yet</t>
  </si>
  <si>
    <t>docs/document-upload-2026-10/TEST_RESULTS.md (PR #178)</t>
  </si>
  <si>
    <t>NEW-063</t>
  </si>
  <si>
    <t>FSSAI licence mandatory for food shops</t>
  </si>
  <si>
    <t>A food shop (food shop type or a food-aisle category) cannot be approved, or finish its self-registration profile, without an unexpired FSSAI licence on file. Shops already approved are not re-checked.</t>
  </si>
  <si>
    <t>F8.2.7</t>
  </si>
  <si>
    <t>Live - rule documentUpload.fssaiMandatoryForFood = on</t>
  </si>
  <si>
    <t>#146</t>
  </si>
  <si>
    <t>#149</t>
  </si>
  <si>
    <t>docs/document-upload-2026-10/README.md; TEST_RESULTS.md</t>
  </si>
  <si>
    <t>NEW-064</t>
  </si>
  <si>
    <t>Compact footer and saffron GoKesari wordmark (site, Seller Central, sign-in, emails)</t>
  </si>
  <si>
    <t>Amazon-style compact footer; one wordmark component in the site and board headers, footer, sign-in, Seller Central and /sell, matched in emails. 'Go' and 'Kesari' saffron with bold G and K and a saffron tagline (#153); no stray '·' at the start of a wrapped footer line on phones (#150).</t>
  </si>
  <si>
    <t>#146; #150 (footer dot); #153 (saffron)</t>
  </si>
  <si>
    <t>#149; #151; #157</t>
  </si>
  <si>
    <t>No staging / production run recorded after the saffron change (#153)</t>
  </si>
  <si>
    <t>src/components/brand-wordmark.tsx; src/server/email/brand.ts</t>
  </si>
  <si>
    <t>NEW-065</t>
  </si>
  <si>
    <t>Fix: Admin &gt; Referral codes showed 0 shops (Societies showed 0 members)</t>
  </si>
  <si>
    <t>Counts in the referral-codes and societies lists use correct correlated subqueries (Drizzle bare-id bug).</t>
  </si>
  <si>
    <t>#138</t>
  </si>
  <si>
    <t>#139</t>
  </si>
  <si>
    <t>The same bug pattern remains in rider reliability and the integrations 'listed' flag (GAP-016)</t>
  </si>
  <si>
    <t>src/server/services/referrals.ts; src/server/services/societies.ts</t>
  </si>
  <si>
    <t>NEW-066</t>
  </si>
  <si>
    <t>Seller Central shop switcher for owners with several shops</t>
  </si>
  <si>
    <t>When an owner has more than one shop, the shop name in the Seller Central top bar (desktop and phone) is a menu of their shops. The choice is remembered (cookie gk_shop, Secure, HttpOnly) and every /shop page works on that shop; a ?shop= link still wins. Only the owner's own shops are accepted. Works before JavaScript loads; EN / HI / MR.</t>
  </si>
  <si>
    <t>F8.4.4</t>
  </si>
  <si>
    <t>Live (no rule)</t>
  </si>
  <si>
    <t>#168</t>
  </si>
  <si>
    <t>#175 (15 Oct, live 14:43 UTC)</t>
  </si>
  <si>
    <t>Not yet seen signed in on production (needs an owner with two or more shops)</t>
  </si>
  <si>
    <t>docs/order-lifecycle-2026-10/TEST_RESULTS_STAGING_2026-10-14.md; src/components/seller/shop-switcher.tsx; src/lib/seller/active-shop.ts</t>
  </si>
  <si>
    <t>NEW-067</t>
  </si>
  <si>
    <t>Inventory &amp; Accounting for shop owners (/shop/accounts): stock ledger, books, GST returns, supplier bill capture</t>
  </si>
  <si>
    <t>Stock ledger (every movement a row; online orders reduce stock in real time through database triggers), batches and expiry, FIFO or weighted-average valuation, write-offs and counts. Double-entry books: purchase and sales registers, supplier and customer ledgers, cash and bank, expenses, ageing; GST sales invoices (CGST/SGST or IGST) with PDF; P&amp;L, stock summary, day book, GST summary; Excel, PDF and Tally XML export. GST portal: link a GSTIN with OTP through a pluggable GSP adapter (mock on test), pull or upload GSTR-2B/2A/1, reconcile, liability with set-off order and due dates ('verify with your CA'). Supplier bills by upload, share, email forward or camera scan; e-invoice JSON / signed QR trusted, else AI (Claude, if configured) or local OCR; side-by-side review; nothing touches stock until Confirm; corrections post reversing entries.</t>
  </si>
  <si>
    <t>F9.2.7</t>
  </si>
  <si>
    <t>Live (shop owners: Inventory -&gt; Bills &amp; GST); GST portal link off on production (file upload), AI bill reading off</t>
  </si>
  <si>
    <t>#171; #172 (fixes: GST queries, cancel = SALE_RETURN 0078, share redirect)</t>
  </si>
  <si>
    <t>#179 (release, acfaa6a; migrations 0076-0078)</t>
  </si>
  <si>
    <t>Licensed GSP for live GSTR-2B/1 pull (IA-022); AI reading of photos / Hindi-Marathi / handwriting (IA-034, IA-039); bill forwarding by email (IA-032); native share intent in the store apps (IA-031); S3 bucket (IA-049). See sheet 'Inventory &amp; Accounting'.</t>
  </si>
  <si>
    <t>Owner: replace INTEGRATION_ENCRYPTION_KEY on test and production with `openssl rand -base64 32` (current value is not a valid key); choose a GSP; decide on AI bill reading; schedule the two crons; CA check (#15).</t>
  </si>
  <si>
    <t>docs/inventory-accounting-2026-10/README.md; TESTING_REPORT.md; src/server/accounts/**; drizzle/0076, 0078</t>
  </si>
  <si>
    <t>PMD-001</t>
  </si>
  <si>
    <t>Product Master</t>
  </si>
  <si>
    <t>Product Master Data Platform (pmd schema, pipeline, matching, review queue)</t>
  </si>
  <si>
    <t>Universal multi-source product master: lawful source registry (marketplaces blocked until an agreement exists), ingestion pipeline, normalisation, barcode/fuzzy matching and duplicate review queue, data quality, /api/product-master (15 operations), /admin/product-master dashboard. Migration 0015.</t>
  </si>
  <si>
    <t>F9.1.1</t>
  </si>
  <si>
    <t>Live (operators/admins)</t>
  </si>
  <si>
    <t>#1 (closed, superseded); #4; #49 (Excel import fix); #125 (rollback script hint)</t>
  </si>
  <si>
    <t>#8; #50; #131</t>
  </si>
  <si>
    <t>src/server/pmd/**; drizzle/0015_product_master_platform.sql; docs/product-master/</t>
  </si>
  <si>
    <t>PMD-002</t>
  </si>
  <si>
    <t>GS1 India and manufacturer-catalogue feeds</t>
  </si>
  <si>
    <t>Excel/CSV connectors with mapping templates, unit codes, GTIN zero-repair and GPC -&gt; category map; '--check' reports MRP/GST/HSN coverage on a real file before the source is enabled.</t>
  </si>
  <si>
    <t>F9.1.2</t>
  </si>
  <si>
    <t>Manufacturer portal on; GS1 DataKart (mock) and Open Food Facts off (Admin &gt; Settings)</t>
  </si>
  <si>
    <t>#2 (closed, superseded); #4; #190 (batch)</t>
  </si>
  <si>
    <t>#8; #194</t>
  </si>
  <si>
    <t>GS1 India Solution Provider agreement and keys for live GS1 data</t>
  </si>
  <si>
    <t>Owner inputs §8</t>
  </si>
  <si>
    <t>docs/product-master/GS1_AND_MANUFACTURERS.md</t>
  </si>
  <si>
    <t>PMD-003</t>
  </si>
  <si>
    <t>Loader rework for scale (bulk path, workers)</t>
  </si>
  <si>
    <t>Bulk path for unchanged and brand-new records, --workers N routed by brand, one-pass dashboard refresh; 191 new records/s and 7,300 unchanged/s locally (was 40-46 / 250).</t>
  </si>
  <si>
    <t>Live (CLI)</t>
  </si>
  <si>
    <t>#3 (closed, superseded); #4</t>
  </si>
  <si>
    <t>#8; #185 (#184 race fix)</t>
  </si>
  <si>
    <t>Price-change path still per record</t>
  </si>
  <si>
    <t>src/server/pmd/pipeline/load.ts</t>
  </si>
  <si>
    <t>PMD-004</t>
  </si>
  <si>
    <t>Promote master products into the shop catalogue</t>
  </si>
  <si>
    <t>scripts/pmd/promote.ts (dry run by default, --apply, --concurrency N), rollback-promotion.sql, one-command pilot-data copy, per-brand advisory lock against duplicate brands.</t>
  </si>
  <si>
    <t>F9.1.3</t>
  </si>
  <si>
    <t>#4; #5; #6</t>
  </si>
  <si>
    <t>#8</t>
  </si>
  <si>
    <t>scripts/pmd/promote.ts; docs/product-master/PUBLISH_TO_SHOP.md</t>
  </si>
  <si>
    <t>PMD-005</t>
  </si>
  <si>
    <t>Apply duplicate-review decisions in bulk</t>
  </si>
  <si>
    <t>scripts/pmd/review-decide.ts applies a JSON list of merge / close-as-different decisions through the review service (dry run by default).</t>
  </si>
  <si>
    <t>#9</t>
  </si>
  <si>
    <t>#12</t>
  </si>
  <si>
    <t>scripts/pmd/review-decide.ts</t>
  </si>
  <si>
    <t>PMD-006</t>
  </si>
  <si>
    <t>Large-scale ingestion (pilot step 9)</t>
  </si>
  <si>
    <t>Not started: the pilot report recommends one licensed non-food feed and loader work first.</t>
  </si>
  <si>
    <t>F9.1.4</t>
  </si>
  <si>
    <t>Live (admin)</t>
  </si>
  <si>
    <t>#190 (batch)</t>
  </si>
  <si>
    <t>#194</t>
  </si>
  <si>
    <t>Licensed GS1 data for real large loads</t>
  </si>
  <si>
    <t>docs/product-master/PILOT_REPORT.md</t>
  </si>
  <si>
    <t>PMD-007</t>
  </si>
  <si>
    <t>Product browser / edit screens, promote button, scheduler and alerting</t>
  </si>
  <si>
    <t>Not built: promotion and scheduling are CLI-only today (no promote button in /admin/product-master).</t>
  </si>
  <si>
    <t>Live (admin product browser)</t>
  </si>
  <si>
    <t>Editing GTIN / manufacturer / pack; a scheduler for external sync</t>
  </si>
  <si>
    <t>PLT-001</t>
  </si>
  <si>
    <t>Platform</t>
  </si>
  <si>
    <t>Hostinger build and dev server (webpack, @/ alias)</t>
  </si>
  <si>
    <t>Production builds use webpack so Hostinger deploys succeed; @/ import alias resolved without TypeScript installed; npm run dev starts again under Next 16.</t>
  </si>
  <si>
    <t>#17; #20; #35</t>
  </si>
  <si>
    <t>#19; #35</t>
  </si>
  <si>
    <t>package.json; next.config.ts</t>
  </si>
  <si>
    <t>PLT-002</t>
  </si>
  <si>
    <t>Root-cause logging for failed database queries</t>
  </si>
  <si>
    <t>onRequestError and API error handler log the cause chain (message + code, never the connection string).</t>
  </si>
  <si>
    <t>#13 (#16 closed)</t>
  </si>
  <si>
    <t>src/instrumentation.ts; src/lib/errors.ts</t>
  </si>
  <si>
    <t>PLT-003</t>
  </si>
  <si>
    <t>CI pipeline (typecheck, lint, tests on PostgreSQL, build)</t>
  </si>
  <si>
    <t>Every PR runs migrations on a fresh Postgres, typecheck, lint, unit + integration tests and a production build; actions on Node 24.</t>
  </si>
  <si>
    <t>F14.1.1</t>
  </si>
  <si>
    <t>Baseline; #7</t>
  </si>
  <si>
    <t>.github/workflows/</t>
  </si>
  <si>
    <t>PLT-004</t>
  </si>
  <si>
    <t>Dependency security patches</t>
  </si>
  <si>
    <t>Next.js 16.3.6 security bump; sharp, brace-expansion, source-map-js and js-yaml patched (production npm audit: 0).</t>
  </si>
  <si>
    <t>#19 (Next.js bump commit); #66 (#15, #16 closed)</t>
  </si>
  <si>
    <t>#19; #65</t>
  </si>
  <si>
    <t>package-lock.json</t>
  </si>
  <si>
    <t>PLT-005</t>
  </si>
  <si>
    <t>GoKesari domain and repository hygiene</t>
  </si>
  <si>
    <t>CNAME and docs point at gokesari.com; other brand's runbook removed; GoKesari-only scope rule for Claude chats.</t>
  </si>
  <si>
    <t>#25; #33; #41 (#27 closed)</t>
  </si>
  <si>
    <t>#32; #36; #43</t>
  </si>
  <si>
    <t>CNAME; CLAUDE.md</t>
  </si>
  <si>
    <t>PLT-006</t>
  </si>
  <si>
    <t>Deployment runbooks</t>
  </si>
  <si>
    <t>Ordered deploy runbook (backup, ledger checks, migrate, crons, smoke test, rollback); row-count checks derived from the checkout so they cannot go stale.</t>
  </si>
  <si>
    <t>F14.2.2</t>
  </si>
  <si>
    <t>#37; #88</t>
  </si>
  <si>
    <t>docs/gokesari-audit/DEPLOY_RUNBOOK.md</t>
  </si>
  <si>
    <t>PLT-007</t>
  </si>
  <si>
    <t>Opt-in automatic migration during the build (MIGRATE_ON_BUILD)</t>
  </si>
  <si>
    <t>npm run build runs pending migrations first when MIGRATE_ON_BUILD=true (one transaction; a failed migration stops the build); logs only database name/host and count.</t>
  </si>
  <si>
    <t>On for gokesari.com and test.gokesari.com (MIGRATE_ON_BUILD=true)</t>
  </si>
  <si>
    <t>#85; #90 (shared migration lock)</t>
  </si>
  <si>
    <t>PLT-008</t>
  </si>
  <si>
    <t>'Test database' workflow (backup, migrate, settings, verify)</t>
  </si>
  <si>
    <t>GitHub Actions workflow for test.gokesari.com: pg_dump backup before every change, migrate, apply test settings / wallet settings / credits, verify against the branch's newest migration; guarded to the test host and to staging.</t>
  </si>
  <si>
    <t>F14.1.2</t>
  </si>
  <si>
    <t>Live for the test database</t>
  </si>
  <si>
    <t>#90; #94; #95, #96, #97, #99 (data); #102 (four-features settings, E2E accounts, read-only report)</t>
  </si>
  <si>
    <t>Not needed (test only)</t>
  </si>
  <si>
    <t>Nightly backup now scheduled: the workflow file reached main in #120</t>
  </si>
  <si>
    <t>.github/workflows/test-db.yml; scripts/test-db/</t>
  </si>
  <si>
    <t>PLT-009</t>
  </si>
  <si>
    <t>'Production database' workflow (verify / migrate with typed confirmation)</t>
  </si>
  <si>
    <t>Manual-only workflow from main: verify shows production's pending migrations; migrate needs 'MIGRATE PRODUCTION', refuses migrations not already on test, records a Neon restore point, no data leaves the database.</t>
  </si>
  <si>
    <t>F14.2.1</t>
  </si>
  <si>
    <t>#93; #118 (onto main); #190 (batch)</t>
  </si>
  <si>
    <t>#118; #194</t>
  </si>
  <si>
    <t>docs/event-driven-2026-10/PROD_DB.md</t>
  </si>
  <si>
    <t>PLT-010</t>
  </si>
  <si>
    <t>'Android APK' workflow - installable test builds without any accounts</t>
  </si>
  <si>
    <t>Builds GoKesari-preview-apk (test.gokesari.com) and GoKesari-production-apk (gokesari.com) on GitHub for every change to mobile/ and on demand; download from the run's Artifacts. Signed with a shared test key, so it cannot be upgraded to a Play Store build.</t>
  </si>
  <si>
    <t>F15.1.1</t>
  </si>
  <si>
    <t>.github/workflows/mobile-apk.yml</t>
  </si>
  <si>
    <t>PLT-011</t>
  </si>
  <si>
    <t>'Sandbox payment' workflow - pay Cashfree sandbox checkouts for E2E tests</t>
  </si>
  <si>
    <t>Pays a Cashfree SANDBOX checkout session with Cashfree's test instruments (UPI collect, credit / debit card with the simulator OTP, net banking; success or failure) from a GitHub runner. Sandbox host hard-coded, no secrets.</t>
  </si>
  <si>
    <t>F14.1.4</t>
  </si>
  <si>
    <t>Live for the test site</t>
  </si>
  <si>
    <t>#102; #103 (card and net-banking simulator)</t>
  </si>
  <si>
    <t>.github/workflows/sandbox-pay.yml; scripts/test-site/sandbox-pay.mjs</t>
  </si>
  <si>
    <t>PLT-012</t>
  </si>
  <si>
    <t>Performance</t>
  </si>
  <si>
    <t>One database read per fact per page render</t>
  </si>
  <si>
    <t>React cache() on the session lookup, addresses, wallet, unread count, roles, staff shops and cart count for one server render; callers asking for the same business rule at once share one query. 52 -&gt; 24 queries per signed-in home page; no behaviour change.</t>
  </si>
  <si>
    <t>#124</t>
  </si>
  <si>
    <t>#126</t>
  </si>
  <si>
    <t>src/server/ (cache() wrappers); commit 1406b0b</t>
  </si>
  <si>
    <t>PLT-013</t>
  </si>
  <si>
    <t>Opt-in prepared statements (DATABASE_PREPARED_STATEMENTS=on)</t>
  </si>
  <si>
    <t>Asks postgres-js to prepare queries by default, saving one database round trip per query (measured locally with 200 ms to the database: 405 ms -&gt; 205 ms per repeated query).</t>
  </si>
  <si>
    <t>Off - environment variable not set on either site</t>
  </si>
  <si>
    <t>Turn on for test.gokesari.com, check Neon's pooled host accepts prepared statements, then gokesari.com</t>
  </si>
  <si>
    <t>Owner: environment setting (Blockers #36)</t>
  </si>
  <si>
    <t>commit 98cb8e7; src/server/db</t>
  </si>
  <si>
    <t>PLT-014</t>
  </si>
  <si>
    <t>Board figures: shared cache and 8 s allowance</t>
  </si>
  <si>
    <t>The visitor home's shop and category figures (same for everyone at a location) are kept 60 s per location and served at once while a newer copy loads (complete results only, at most 500 locations). Live figures get 8 s before a badge is dropped (Buy again 10 s).</t>
  </si>
  <si>
    <t>#127; #130</t>
  </si>
  <si>
    <t>#129; #131</t>
  </si>
  <si>
    <t>docs/tile-board-2026-10/TEST_RESULTS_UI_PASS.md (PR #127 on test)</t>
  </si>
  <si>
    <t>PLT-015</t>
  </si>
  <si>
    <t>Seller / customer database split (tooling and 'Database split' workflow)</t>
  </si>
  <si>
    <t>Ownership map splits 190 tables: 90 to gokesari_seller (incl. pmd) and 100 to gokesari_customer plus core, with 111 cross-database links. Modes plan, dry-run, migrate, verify, fdw: COPY with foreign keys re-validated and sequences carried, row-count / checksum / missing-parent report, postgres_fdw both ways. Production runs need main, a passed test split and the typed confirmation 'SPLIT PRODUCTION'.</t>
  </si>
  <si>
    <t>F14.2.4</t>
  </si>
  <si>
    <t>Live on both sites: two databases (test since 19 Oct 21:44 UTC, production since 20 Oct 00:39 UTC)</t>
  </si>
  <si>
    <t>#146; #152 (Neon COPY hang, channel_binding); #154 (test report); #158; #160; #162; #204 (two-database code, migrations, switch); #208; #211; #213; #215; #218</t>
  </si>
  <si>
    <t>#149; #157; #159; #161; #163; #210; #216 (then production switch); #219</t>
  </si>
  <si>
    <t>Watch the first days on two databases; switching back is documented (CODE_SPLIT_PLAN.md section 5)</t>
  </si>
  <si>
    <t>docs/db-split-2026-10/CODE_SPLIT_PLAN.md; src/server/db/split/**; .github/workflows/db-split.yml (runs 29-35)</t>
  </si>
  <si>
    <t>PLT-016</t>
  </si>
  <si>
    <t>CI scope job: skip runs that cannot find anything new</t>
  </si>
  <si>
    <t>A 'scope' job decides what each push needs: tests and mobile are skipped when the same files already passed (a release PR and its merge), or when only docs changed; tests only for changes outside mobile/, mobile only inside it; a newer push cancels the older run.</t>
  </si>
  <si>
    <t>#134</t>
  </si>
  <si>
    <t>scripts/ci/scope.sh; .github/workflows/ci.yml</t>
  </si>
  <si>
    <t>PLT-017</t>
  </si>
  <si>
    <t>'iPhone app' workflow - EAS build and TestFlight upload</t>
  </si>
  <si>
    <t>Started by hand with profile production or preview; builds on EAS and uploads the production build to TestFlight; first checks EXPO_TOKEN and the project id and names anything missing.</t>
  </si>
  <si>
    <t>F15.1.4</t>
  </si>
  <si>
    <t>Not run yet</t>
  </si>
  <si>
    <t>#153</t>
  </si>
  <si>
    <t>#157</t>
  </si>
  <si>
    <t>Link the project to Expo and commit the project id; secrets EXPO_TOKEN, ASC_API_KEY_P8, ASC_KEY_ID, ASC_ISSUER_ID, APPLE_TEAM_ID; App Store Connect app record for com.gokesari.app</t>
  </si>
  <si>
    <t>On hold (owner decision on store publishing); then EXPO_TOKEN + Expo project id</t>
  </si>
  <si>
    <t>.github/workflows/mobile-ios.yml; mobile/README.md</t>
  </si>
  <si>
    <t>PLT-018</t>
  </si>
  <si>
    <t>'Copy shops to production' workflow (plan / copy / sql modes)</t>
  </si>
  <si>
    <t>Copies chosen real shops from the test database to production: plan (full copy, rolled back), copy (typed confirmation, one transaction, restore point first) or sql (PREVIEW / APPLY files for the Neon console). Owners matched by email or phone, new registration numbers, products matched by id / barcode / name and size, photos copied; no orders, payments, wallets or test-key-encrypted data.</t>
  </si>
  <si>
    <t>F14.2.3</t>
  </si>
  <si>
    <t>Used once (sql mode, 12-13 Oct)</t>
  </si>
  <si>
    <t>#140; #144 (sql mode); #156 (record)</t>
  </si>
  <si>
    <t>#141; #145; #157</t>
  </si>
  <si>
    <t>Delete the downloaded copy-shops SQL files (they hold owner contact details); the 5 owners must sign in on production and upload their legal documents</t>
  </si>
  <si>
    <t>Owner (Blockers #39, #40)</t>
  </si>
  <si>
    <t>docs/copy-shops-2026-10/README.md; scripts/copy-shops/</t>
  </si>
  <si>
    <t>QA-001</t>
  </si>
  <si>
    <t>QA</t>
  </si>
  <si>
    <t>Automated test suites (unit, integration, E2E)</t>
  </si>
  <si>
    <t>Vitest unit + integration against real PostgreSQL (1,436 tests in 111 files on staging per #98); Playwright acceptance (10), smoke (12) and A-E regression (46) specs.</t>
  </si>
  <si>
    <t>Live in CI</t>
  </si>
  <si>
    <t>#52; #51; #85 (regression spec)</t>
  </si>
  <si>
    <t>#54 (via staging); #70</t>
  </si>
  <si>
    <t>tests/</t>
  </si>
  <si>
    <t>QA-002</t>
  </si>
  <si>
    <t>Test execution framework for 791 test cases</t>
  </si>
  <si>
    <t>Excel test-case parser, phase plan (smoke, P0, P1, P2), Playwright runner and result reporting; test-cases.xlsx with 791 cases across 28 modules.</t>
  </si>
  <si>
    <t>F14.1.3</t>
  </si>
  <si>
    <t>#51</t>
  </si>
  <si>
    <t>#70</t>
  </si>
  <si>
    <t>TEST_EXECUTION_PLAN.md; tests/test-case-parser.ts</t>
  </si>
  <si>
    <t>QA-003</t>
  </si>
  <si>
    <t>Execute the 791 test cases and sign off in a browser on test.gokesari.com</t>
  </si>
  <si>
    <t>No execution results or sign-off are recorded in the repository; the 6 Oct report lists the missing browser sign-off as a go-live blocker.</t>
  </si>
  <si>
    <t>#228; #232; #234; #238; #244; #246</t>
  </si>
  <si>
    <t>#242</t>
  </si>
  <si>
    <t>Automated plan run on local, staging and production (guest). 25-29 Oct added: dealer programme staging passes (20 + 15 checks, D-1..D-4 fixed), shop documents staging QA SD-01..SD-07 (D-106, D-107, D-108 fixed and retested), guest checks accept retired-cron 410 (#283). Production guest tier 87 pass / 6 fail / 3 blocked on 28 Oct (failures not code defects)</t>
  </si>
  <si>
    <t>Signed-in staging re-run of the full plan after release #287; owner decisions on open defects</t>
  </si>
  <si>
    <t>Still IN PROGRESS: new QA runs for dealer programme and shop documents (25-29 Oct)</t>
  </si>
  <si>
    <t>docs/testing/GOKESARI_MASTER_TEST_REGISTER.xlsx</t>
  </si>
  <si>
    <t>QA-004</t>
  </si>
  <si>
    <t>Four-features browser test run on test.gokesari.com (all roles, phone + desktop)</t>
  </si>
  <si>
    <t>Real browser at Pixel 7 and 1280 px widths, real emailed sign-in codes, Cashfree sandbox; every step logged with time and result; database evidence from the read-only report action. Regression of sign-in, address, wallet top-up, checkout, dispatch, delivery code, shop wallet, seller verification, approval, cancel / refund.</t>
  </si>
  <si>
    <t>F14.1.5</t>
  </si>
  <si>
    <t>#103; #104 (re-check of the fixes)</t>
  </si>
  <si>
    <t>Payout gate and payer-name mismatch not runnable on test (covered by integration tests); referrals@ inbox arrival to be confirmed by the owner</t>
  </si>
  <si>
    <t>docs/four-features-2026-10/TEST_RESULTS.md</t>
  </si>
  <si>
    <t>QA-005</t>
  </si>
  <si>
    <t>Tile Board UI pass test run on test.gokesari.com (all roles, phone, app size, slow 4G, Lighthouse)</t>
  </si>
  <si>
    <t>1,038 checks: end-to-end journeys for customer, shop owner, operator and admin; every board and menu link; access to other roles' screens; Lighthouse; one-screen fit at 7 sizes x 3 languages. Production read-only checks after #126.</t>
  </si>
  <si>
    <t>#124 (results, issue register)</t>
  </si>
  <si>
    <t>8 fail (5 slow-4G pages 3.6-5.0 s against 3 s; shop board 2 px over at 320x640; 1 link blocked in the test browser; 1 Lighthouse) and 4 not run (wallet top-up and shop recharge - Actions billing; rider return pickup; KYC-pending shop approval, correctly refused)</t>
  </si>
  <si>
    <t>docs/tile-board-2026-10/TEST_RESULTS_UI_PASS.md; docs/tile-board-2026-10/GoKesari_UI_Test_Report_2026-10-09.xlsx; docs/gokesari-audit/GoKesari_UI_Issue_Register_2026-10-09.xlsx</t>
  </si>
  <si>
    <t>QA-006</t>
  </si>
  <si>
    <t>Nearby shops + referral settings test run (test site, Android / iPhone / desktop; production checks)</t>
  </si>
  <si>
    <t>Every Nearby and referral-setting case on test.gokesari.com, with screenshots; read-only production checks after release #135; Android APK download links.</t>
  </si>
  <si>
    <t>#136; #137</t>
  </si>
  <si>
    <t>Paid self-registration (no SMS provider on test); Directions tap on a real phone</t>
  </si>
  <si>
    <t>docs/nearby-referral-2026-10/TEST_RESULTS.md</t>
  </si>
  <si>
    <t>QA-007</t>
  </si>
  <si>
    <t>13 Oct release test run (document upload, FSSAI, footer, branding, DB split)</t>
  </si>
  <si>
    <t>Staging and production checks for release #149 and its follow-ups: upload flow, FSSAI gate, branding / footer E2E, smoke of 8 public pages before and after, test DB split verification.</t>
  </si>
  <si>
    <t>#147; #150; #154</t>
  </si>
  <si>
    <t>OCR auto-read not working on Hostinger; no run after the saffron wordmark (#153)</t>
  </si>
  <si>
    <t>docs/document-upload-2026-10/TEST_RESULTS.md; docs/gokesari-audit/GOKESARI_FEATURE_STATUS_REPORT_2026-10-13.xlsx</t>
  </si>
  <si>
    <t>QA-008</t>
  </si>
  <si>
    <t>Order-lifecycle run on staging (sign-up -&gt; order -&gt; delivery code -&gt; done)</t>
  </si>
  <si>
    <t>Planned end-to-end run of a full order on test.gokesari.com after the 13 Oct release.</t>
  </si>
  <si>
    <t>#168 (fix for the blocker the run found); #170 (results, open PR)</t>
  </si>
  <si>
    <t>Open defects from the run: My Orders card wording after a switch to pickup (GAP-018); wallet checkout takes 30-38 s (GAP-019)</t>
  </si>
  <si>
    <t>docs/order-lifecycle-2026-10/TEST_RESULTS_STAGING_2026-10-14.md; docs/testing/GOKESARI_TEST_RESULTS_TRACKER_2026-10-14.xlsx (TR-22, TR-23)</t>
  </si>
  <si>
    <t>QA-009</t>
  </si>
  <si>
    <t>Order-lifecycle run on production (gokesari.com) with a real payment</t>
  </si>
  <si>
    <t>The same lifecycle as QA-008 on gokesari.com: a real customer top-up paid by the owner, a real shop with delivery on, an approved rider, pickup and delivery codes, DELIVERED, wallet charges. No test data or sandbox keys on production.</t>
  </si>
  <si>
    <t>Needs the owner's production shop and owner email, an approved rider, Cashfree live keys confirmed, and the owner to pay the top-up</t>
  </si>
  <si>
    <t>Owner inputs §14</t>
  </si>
  <si>
    <t>docs/order-lifecycle-2026-10/TEST_RESULTS_STAGING_2026-10-14.md (Production)</t>
  </si>
  <si>
    <t>GAP-001</t>
  </si>
  <si>
    <t>Pickup QR code</t>
  </si>
  <si>
    <t>Pickup is confirmed with a code only; no QR.</t>
  </si>
  <si>
    <t>F4.1.3</t>
  </si>
  <si>
    <t>Off - rule pickupQr.enabled; set PICKUP_QR_SECRET first</t>
  </si>
  <si>
    <t>Owner: switch on</t>
  </si>
  <si>
    <t>6 Oct flow diagram, step 19</t>
  </si>
  <si>
    <t>GAP-002</t>
  </si>
  <si>
    <t>In-app turn-by-turn navigation</t>
  </si>
  <si>
    <t>Riders get a Google Maps deep link; no in-app navigation.</t>
  </si>
  <si>
    <t>F4.2.2</t>
  </si>
  <si>
    <t>Off - rule riderNavigation.enabled; Google Routes / OSRM provider (mock on test)</t>
  </si>
  <si>
    <t>Routes API on the Maps server key, or an OSRM server</t>
  </si>
  <si>
    <t>Owner: provider + switch on</t>
  </si>
  <si>
    <t>6 Oct flow diagram, step 20</t>
  </si>
  <si>
    <t>GAP-003</t>
  </si>
  <si>
    <t>Signature capture at delivery</t>
  </si>
  <si>
    <t>Delivery proof is OTP + optional photo; no signature.</t>
  </si>
  <si>
    <t>F4.2.6</t>
  </si>
  <si>
    <t>Deferred to Phase 2 (owner decision)</t>
  </si>
  <si>
    <t>Phase 2</t>
  </si>
  <si>
    <t>6 Oct flow diagram, step 22</t>
  </si>
  <si>
    <t>GAP-004</t>
  </si>
  <si>
    <t>Broadcast job offers / radius widening</t>
  </si>
  <si>
    <t>Offers go to one rider at a time; the search radius is not widened.</t>
  </si>
  <si>
    <t>F3.3.2</t>
  </si>
  <si>
    <t>Off - rule dispatchBroadcast.enabled (radius 2 &gt; 4 &gt; 6 km)</t>
  </si>
  <si>
    <t>Owner: switch on (needs the timeout-sweep cron)</t>
  </si>
  <si>
    <t>6 Oct flow diagram, step 17</t>
  </si>
  <si>
    <t>GAP-005</t>
  </si>
  <si>
    <t>Automated bank transfer for settlements and rider payouts</t>
  </si>
  <si>
    <t>Settlements and payouts are calculated; the bank transfer itself is manual.</t>
  </si>
  <si>
    <t>F10.2.4</t>
  </si>
  <si>
    <t>Off - PayoutProvider on sandbox</t>
  </si>
  <si>
    <t>RazorpayX / Cashfree payout keys</t>
  </si>
  <si>
    <t>Owner inputs §3</t>
  </si>
  <si>
    <t>6 Oct flow diagram, step 30</t>
  </si>
  <si>
    <t>GAP-006</t>
  </si>
  <si>
    <t>Platform tax invoice for GoKesari's own fees (D6)</t>
  </si>
  <si>
    <t>The delivery fee is not invoiced and no SAC code is configured.</t>
  </si>
  <si>
    <t>F10.2.5</t>
  </si>
  <si>
    <t>Off until GoKesari GSTIN, legal details and invoice prefix</t>
  </si>
  <si>
    <t>CA to confirm TCS / TDS / SAC rates</t>
  </si>
  <si>
    <t>Owner inputs §4-6</t>
  </si>
  <si>
    <t>ITEMS_A_E_2026-10-07.md section 5</t>
  </si>
  <si>
    <t>GAP-007</t>
  </si>
  <si>
    <t>Customer Cancel button on My Orders</t>
  </si>
  <si>
    <t>Cancel order on My Orders &gt; Active, before packing, with a 'Yes, cancel order' confirmation; the order moves to Past with 'cancelled, full amount back to your wallet'. Same request and rule as the cart's open-order cancel; the server checks again.</t>
  </si>
  <si>
    <t>F1.9.5</t>
  </si>
  <si>
    <t>Live - follows rule cancellation (CONFIRMED orders by default; until packing when customerMayCancelUntil = PREPARING)</t>
  </si>
  <si>
    <t>src/app/orders/page.tsx; docs/tile-board-2026-10/TEST_RESULTS_UI_PASS.md (C-08, C-15)</t>
  </si>
  <si>
    <t>GAP-008</t>
  </si>
  <si>
    <t>Map 'Confirm location' answered 500 (Google server key restricted by referrer)</t>
  </si>
  <si>
    <t>Geo-tagging an address on /profile/addresses showed 'Something went wrong' (geocoding call refused by Google). The address still saved without the geo-tag. Resolved: the Maps server key restriction was changed; Confirm location works again.</t>
  </si>
  <si>
    <t>Resolved. Cause was GOOGLE_MAPS_SERVER_API_KEY restricted by HTTP referrer ('API keys with referer restrictions cannot be used with this API'). Test geocoding succeeded again from 14 Oct 16:00 UTC; production failed until at least 21 Oct and the owner confirmed it working on 25 Oct. No code change.</t>
  </si>
  <si>
    <t>maps_api_call_log (test and production); docs/four-features-2026-10/TEST_RESULTS.md (Regression - address)</t>
  </si>
  <si>
    <t>GAP-009</t>
  </si>
  <si>
    <t>Email sending capacity (mail host hourly limit)</t>
  </si>
  <si>
    <t>The test site's mailbox hit Hostinger's hourly sending cap ('451 4.7.1 Ratelimit hostinger_out_ratelimit exceeded'); emails were retried with back-off and a few marked DEAD. A busy production day sends more than the test run did.</t>
  </si>
  <si>
    <t>F13.1.1</t>
  </si>
  <si>
    <t>Raise the limit with the host or send through a transactional email service; check SPF/DKIM</t>
  </si>
  <si>
    <t>Owner: email provider choice</t>
  </si>
  <si>
    <t>docs/four-features-2026-10/README.md section 5 item 2 (S-5)</t>
  </si>
  <si>
    <t>GAP-010</t>
  </si>
  <si>
    <t>Slow signed-in pages and cold first visits (database far from the web server)</t>
  </si>
  <si>
    <t>Signed-in pages take 3.4-5.1 s of server time on the test site; the first visit after a quiet spell waits ~4 s on gokesari.com. Root cause: Neon database in us-east-2 and connections closed after 20 s idle.</t>
  </si>
  <si>
    <t>Live (database in Singapore since 28 Oct)</t>
  </si>
  <si>
    <t>DB region move (28 Oct, scripts/db-region-move); #279</t>
  </si>
  <si>
    <t>#282 (home page)</t>
  </si>
  <si>
    <t>Database moved Ohio -&gt; Neon Singapore 28 Oct: home 1.8-2.1 s -&gt; 0.33-0.46 s (median 0.34 s). Still open: cold start after ~5 idle minutes (Neon free plan cannot switch scale-to-zero off), product page ~0.63 s and shop page ~0.53 s (P1), shared-data caching (P2), static pages from the CDN (P4)</t>
  </si>
  <si>
    <t>Owner: Neon plan (Blockers #72); dev: performance P1/P2/P4 (NEW-100..097)</t>
  </si>
  <si>
    <t>BLOCKED -&gt; IN PROGRESS (28-29 Oct): both databases moved to Singapore; home page reads run together (#282)</t>
  </si>
  <si>
    <t>GoKesari_UI_Issue_Register_2026-10-09.xlsx (PERF-01, PERF-02)</t>
  </si>
  <si>
    <t>GAP-011</t>
  </si>
  <si>
    <t>Search shows '0 shops' for products that nearby shops sell</t>
  </si>
  <si>
    <t>Search 'milk' lists products but 0 shops.</t>
  </si>
  <si>
    <t>#250</t>
  </si>
  <si>
    <t>#266</t>
  </si>
  <si>
    <t>YET TO START -&gt; COMPLETED (#250, released #266 on 27 Oct)</t>
  </si>
  <si>
    <t>GoKesari_UI_Issue_Register_2026-10-09.xlsx (AUD-21)</t>
  </si>
  <si>
    <t>GAP-012</t>
  </si>
  <si>
    <t>Disputes</t>
  </si>
  <si>
    <t>Admin dispute resolution gives no visible confirmation</t>
  </si>
  <si>
    <t>Resolving a dispute applied after a few seconds with no busy state or success message; a repeat click was refused (409).</t>
  </si>
  <si>
    <t>GoKesari_UI_Issue_Register_2026-10-09.xlsx (TST-01)</t>
  </si>
  <si>
    <t>GAP-013</t>
  </si>
  <si>
    <t>Returns</t>
  </si>
  <si>
    <t>Approved return waiting for a rider cannot be completed by staff</t>
  </si>
  <si>
    <t>Staff cannot complete a return pickup by hand while the rider has not brought the goods back. Owner decision 25 Oct: staff wait for the rider to return the goods to the shop, then press 'Goods received' to complete. The return page now tells the shop and support to wait.</t>
  </si>
  <si>
    <t>#259</t>
  </si>
  <si>
    <t>Open PR -&gt; released to gokesari.com (#259, release #266 on 27 Oct)</t>
  </si>
  <si>
    <t>src/server/services/returns.ts (awaitingRider); src/components/return-case.tsx; tests/integration/returns-route.test.ts</t>
  </si>
  <si>
    <t>GAP-014</t>
  </si>
  <si>
    <t>/orders?tab=returns shows the Active list</t>
  </si>
  <si>
    <t>The Returns tab links to /returns; opening /orders?tab=returns directly shows Active orders.</t>
  </si>
  <si>
    <t>GoKesari_UI_Issue_Register_2026-10-09.xlsx (TST-03)</t>
  </si>
  <si>
    <t>GAP-015</t>
  </si>
  <si>
    <t>Hindi / Marathi for the body of inner pages</t>
  </si>
  <si>
    <t>Boards, header, menus, tabs and error screens are translated; forms, tables and policy pages are English.</t>
  </si>
  <si>
    <t>Translate the remaining strings with a native-speaker review</t>
  </si>
  <si>
    <t>Owner: decision (Blockers #38)</t>
  </si>
  <si>
    <t>GoKesari_UI_Issue_Register_2026-10-09.xlsx (DT-13)</t>
  </si>
  <si>
    <t>GAP-016</t>
  </si>
  <si>
    <t>Same Drizzle bare-id subquery bug in rider reliability and the integrations 'listed' flag</t>
  </si>
  <si>
    <t>The bug fixed in #138 (counts of 0) also appears in delivery-assignment.ts (rider reliability) and integrations pull.ts / connections.ts. Reported, not fixed.</t>
  </si>
  <si>
    <t>PR #138 notes</t>
  </si>
  <si>
    <t>GAP-017</t>
  </si>
  <si>
    <t>React error #418 (hydration) on /wallet and /admin/orders</t>
  </si>
  <si>
    <t>A pre-existing hydration mismatch logged in the browser on two pages.</t>
  </si>
  <si>
    <t>#250; #251 (dates in India time on client and server)</t>
  </si>
  <si>
    <t>YET TO START -&gt; COMPLETED (#250, #251, released #266 on 27 Oct)</t>
  </si>
  <si>
    <t>GAP-018</t>
  </si>
  <si>
    <t>My Orders card wording after an order is switched to pickup</t>
  </si>
  <si>
    <t>After the shop changes a GoKesari-delivery order to pickup and it is delivered, the customer's card still shows 'Finding a rider - &lt;rider&gt;', and the Rs 20 delivery-fee refund is labelled 'refunded ... for unavailable items'.</t>
  </si>
  <si>
    <t>docs/order-lifecycle-2026-10/TEST_RESULTS_STAGING_2026-10-14.md</t>
  </si>
  <si>
    <t>GAP-019</t>
  </si>
  <si>
    <t>Wallet checkout takes 30-38 s on the test site</t>
  </si>
  <si>
    <t>Placing an order with the wallet took 30+ s (timed out once; the retry with the same request id was safe and charged once) and 37.8 s on the rerun.</t>
  </si>
  <si>
    <t>#250; #259</t>
  </si>
  <si>
    <t>Re-time wallet checkout on test.gokesari.com now the database is in Singapore</t>
  </si>
  <si>
    <t>IN PROGRESS -&gt; COMPLETED (#259, released #266 on 27 Oct)</t>
  </si>
  <si>
    <t>src/server/services/orders.ts (checkout)</t>
  </si>
  <si>
    <t>NEW-068</t>
  </si>
  <si>
    <t>Admin screen for product HSN codes and GST rates (/admin/product-gst)</t>
  </si>
  <si>
    <t>Admins see every master product with its HSN code, its own GST rate and the rate a tax invoice issued today would use, with where it comes from (product's own rate, dated HSN fallback, or 'Default - rate not set'), and how many shops bill it at their own rate. Search by name, barcode or HSN; 'only products with no rate' with the total. Edit HSN (4, 6 or 8 digits) and GST % (0-100, two decimals; either can be cleared) with a required reason; warning on an unusual rate. Audited as product.gst_changed. Applies to invoices issued from then on; issued invoices keep their snapshot rate. API: GET /api/admin/product-gst, PATCH /api/admin/product-gst/{id}.</t>
  </si>
  <si>
    <t>Live (admins; permission gst-config:manage); admin board 'Product GST rates' (EN / HI / MR)</t>
  </si>
  <si>
    <t>#200</t>
  </si>
  <si>
    <t>#207 (19 Oct 17:09 UTC; the site picked it up later - live on 21 Oct check)</t>
  </si>
  <si>
    <t>No product has a rate yet: rates and HSN codes must be entered and confirmed by the CA</t>
  </si>
  <si>
    <t>Owner / CA: enter rates for the live catalogue (Blockers #15, #69)</t>
  </si>
  <si>
    <t>src/server/gst/product-rates.ts; src/app/admin/product-gst/page.tsx; src/components/admin/product-gst-editor.tsx; tests/integration/product-gst-rates.test.ts</t>
  </si>
  <si>
    <t>NEW-069</t>
  </si>
  <si>
    <t>Homepage UI/UX upgrade (F1-F6): discovery home, search suggestions + voice, banners, empty states, compare, footer, mobile chrome</t>
  </si>
  <si>
    <t>Home = discovery page (sticky header, search, hero banners, categories, shops near you, Buy again / Popular in your area). Account dropdown, phone drawer and bottom navigation. Admin 'Home banners' (/admin/home-banners: picture, dates, city / PIN, order). Header search with suggestions (products, shops, categories), recent and trending, voice search in en / hi / mr. Empty states with a next step; 'Compare N prices' and Best price on the compare page; new footer; sticky header site-wide, location bottom sheet, floating cart bar. EN / HI / MR.</t>
  </si>
  <si>
    <t>Live (rule homeDiscovery on by default; off = Tile Board home)</t>
  </si>
  <si>
    <t>#214; fixes #215, #218</t>
  </si>
  <si>
    <t>#219 (20 Oct 05:39 UTC; migrations 0086-0087 applied beforehand); #221</t>
  </si>
  <si>
    <t>Signed-in checks on staging / production not run (Blockers #68); iPhone native build needs EXPO_TOKEN (#67); results PR #217 still open (#222 merged 21 Oct)</t>
  </si>
  <si>
    <t>Owner: decide on #67 / #68; merge #217 (docs)</t>
  </si>
  <si>
    <t>docs/homepage-uiux-2026-10/README.md; reports/GoKesari_Homepage_UIUX_Status_2026-10-20.xlsx (PR #217); src/components/home/**</t>
  </si>
  <si>
    <t>NEW-070</t>
  </si>
  <si>
    <t>www.gokesari.com and www.test.gokesari.com redirect to the address without www</t>
  </si>
  <si>
    <t>Every page on a www address gets a permanent (308) redirect to the same path on the address without www, so sign-in (tied to AUTH_URL) can finish. /api/* and /.well-known/* are not redirected (webhooks, app-link files); the destinations are fixed, never read from the request (no open redirect).</t>
  </si>
  <si>
    <t>#224 (draft, into staging); #224</t>
  </si>
  <si>
    <t>IN PROGRESS -&gt; COMPLETED (#224 merged 25 Oct, on gokesari.com since release #266)</t>
  </si>
  <si>
    <t>next.config.ts (redirects); tests/unit/www-redirect.test.ts (PR #224)</t>
  </si>
  <si>
    <t>PLT-019</t>
  </si>
  <si>
    <t>Hostinger builds keep working: build worker cap and clean database URLs for split sites</t>
  </si>
  <si>
    <t>next build runs at most 7 workers so the Hostinger build no longer fails (#209). Migrations on a split site open the seller database with a cleaned URL (Neon channel_binding dropped, trimmed) (#215) and refuse a SELLER_DATABASE_URL that is not the seller database the core reads (#218).</t>
  </si>
  <si>
    <t>Live (build and migrate-on-build on both sites)</t>
  </si>
  <si>
    <t>#209; #215; #218</t>
  </si>
  <si>
    <t>#210; #216; #219</t>
  </si>
  <si>
    <t>next.config.ts; scripts/migrate-on-build.mjs; scripts/split-migrate.mjs</t>
  </si>
  <si>
    <t>NEW-071</t>
  </si>
  <si>
    <t>Find the shopper's location by itself, with an approximate street address</t>
  </si>
  <si>
    <t>The device position is found and saved on the first visit ('Find your location'); the address shown comes from free OpenStreetMap reverse geocoding (no Google key).</t>
  </si>
  <si>
    <t>#225; #226</t>
  </si>
  <si>
    <t>#227</t>
  </si>
  <si>
    <t>PRs #225, #226</t>
  </si>
  <si>
    <t>NEW-072</t>
  </si>
  <si>
    <t>Legal</t>
  </si>
  <si>
    <t>Privacy and Cookie Policy updates; Trending counts people; guest searches not saved</t>
  </si>
  <si>
    <t>Privacy policy describes the location data; Cookie Policy lists every first-party cookie; Trending searches count distinct people; a guest's searches are neither saved nor kept (migration 0091 deletes the old ones).</t>
  </si>
  <si>
    <t>#229; #230; #236</t>
  </si>
  <si>
    <t>#233; #235; #242</t>
  </si>
  <si>
    <t>PRs #229, #230, #236</t>
  </si>
  <si>
    <t>NEW-073</t>
  </si>
  <si>
    <t>Purchase lists</t>
  </si>
  <si>
    <t>Weekly / monthly shopping and medicine lists</t>
  </si>
  <si>
    <t>A customer keeps named lists, checks them against a shop's stock and price, and moves the buyable lines to the cart in one step.</t>
  </si>
  <si>
    <t>#231</t>
  </si>
  <si>
    <t>#237</t>
  </si>
  <si>
    <t>Header search box collapses at 1280 px when signed in (D-103, open)</t>
  </si>
  <si>
    <t>Fix D-103</t>
  </si>
  <si>
    <t>docs/purchase-lists-2026-10/TEST_RESULTS_2026-10-24.md</t>
  </si>
  <si>
    <t>NEW-074</t>
  </si>
  <si>
    <t>Discovery</t>
  </si>
  <si>
    <t>Paused shops stay listed with a 'Not taking orders online' notice</t>
  </si>
  <si>
    <t>A shop that is paused, below its wallet minimum or missing a legal document stays among nearby shops with an amber notice; its page shows a banner and its products can still be browsed. Owner decision D-046.</t>
  </si>
  <si>
    <t>#246</t>
  </si>
  <si>
    <t>docs/decision-log.md D-046; tests/integration/qa-2026-10-24-sellers-pages.test.ts</t>
  </si>
  <si>
    <t>NEW-075</t>
  </si>
  <si>
    <t>Cart &amp; checkout</t>
  </si>
  <si>
    <t>Cart and checkout concurrency fixes</t>
  </si>
  <si>
    <t>Two simultaneous adds of the same product no longer answer 500 or lose units (D-102); units added while a checkout runs are ordered or stay in the cart, never dropped.</t>
  </si>
  <si>
    <t>F1.6.1</t>
  </si>
  <si>
    <t>#241; #243</t>
  </si>
  <si>
    <t>tests/integration/cart-concurrent-adds.test.ts; tests/integration/checkout-cart-race.test.ts</t>
  </si>
  <si>
    <t>QA-010</t>
  </si>
  <si>
    <t>Automated QA suite for the 798-case plan (UI + API) with the Claude QA agent and skills</t>
  </si>
  <si>
    <t>Playwright UI + API checks mapped to every test case and 37 end-to-end scenarios, in three tiers (guest, signed-in, local), desktop and phone; staging accounts signed in with the emailed codes; Cashfree sandbox payments through the workflow; results collected into docs/testing/qa-runs and the master test register. Agent gokesari-qa and skills gokesari-qa-run / -signin / -write-test / -report.</t>
  </si>
  <si>
    <t>F14.1.6</t>
  </si>
  <si>
    <t>Live (guest tier on production)</t>
  </si>
  <si>
    <t>#228; #232; #234; #238; #244; #246; #247</t>
  </si>
  <si>
    <t>Signed-in tier never runs on production (by rule); 41 staging failures and 45 local ones are mostly test-side follow-ups</t>
  </si>
  <si>
    <t>Fix the test-side follow-ups; re-run staging after #247</t>
  </si>
  <si>
    <t>tests/qa; docs/testing/GOKESARI_MASTER_TEST_REGISTER.xlsx; docs/testing/qa-defects.json</t>
  </si>
  <si>
    <t>GKS-FLAGS</t>
  </si>
  <si>
    <t>Dealer programme</t>
  </si>
  <si>
    <t>Feature flags &amp; geo areas</t>
  </si>
  <si>
    <t>Four flags (later five with the wizard), switched on for all India, chosen states or districts; Maharashtra districts, Pune talukas / localities, PIN prefixes; DEALER role</t>
  </si>
  <si>
    <t>F16.1.1</t>
  </si>
  <si>
    <t>Off on gokesari.com (flag dealer_programme_enabled); staging: on for Karnataka + Pune</t>
  </si>
  <si>
    <t>#268 (bc3f93a); migrations 0101-0103</t>
  </si>
  <si>
    <t>#268</t>
  </si>
  <si>
    <t>Owner: switch on per area (Admin &gt; Feature flags)</t>
  </si>
  <si>
    <t>NEW (not in 25 Oct)</t>
  </si>
  <si>
    <t>Added 25-29 Oct 2026</t>
  </si>
  <si>
    <t>src/server/services/feature-flags.ts; drizzle/0101-0103</t>
  </si>
  <si>
    <t>GKS-FEE</t>
  </si>
  <si>
    <t>Registration fee slabs</t>
  </si>
  <si>
    <t>Admin-defined registration-fee slabs by declared turnover (up to 20 slabs)</t>
  </si>
  <si>
    <t>F17.3.1</t>
  </si>
  <si>
    <t>#268 (ae3a421, 973d520)</t>
  </si>
  <si>
    <t>src/server/services/registration-fee*.ts</t>
  </si>
  <si>
    <t>GKS-DR-001</t>
  </si>
  <si>
    <t>Dealer registration</t>
  </si>
  <si>
    <t>Application by dealer type, mobile OTP, e-mail, documents per type, Rs 1 bank-account check, agreement</t>
  </si>
  <si>
    <t>F16.1.1, F16.1.2</t>
  </si>
  <si>
    <t>#268 (3d92aaf); migration 0104</t>
  </si>
  <si>
    <t>src/server/dealers/service.ts; src/app/dealer/apply</t>
  </si>
  <si>
    <t>GKS-DR-002</t>
  </si>
  <si>
    <t>Dealer documents &amp; approval</t>
  </si>
  <si>
    <t>Configurable document requirements; admin approval queue; suspend / reject / terminate</t>
  </si>
  <si>
    <t>F16.1.3</t>
  </si>
  <si>
    <t>#268 (3d92aaf, f588580)</t>
  </si>
  <si>
    <t>src/app/admin/dealers; src/app/api/admin/dealers/[id]/decision</t>
  </si>
  <si>
    <t>GKS-DR-003</t>
  </si>
  <si>
    <t>Dealer codes, link &amp; QR</t>
  </si>
  <si>
    <t>GKS-&lt;state&gt;-&lt;district&gt;-code, share link /shop/register?ref=, QR, suspend / replace a code</t>
  </si>
  <si>
    <t>F16.1.5</t>
  </si>
  <si>
    <t>#268 (3d92aaf)</t>
  </si>
  <si>
    <t>src/server/dealers/codes.ts</t>
  </si>
  <si>
    <t>GKS-DR-004</t>
  </si>
  <si>
    <t>Dealer employees</t>
  </si>
  <si>
    <t>Salespeople with optional Employee ID; legacy distributors migrated as dealers</t>
  </si>
  <si>
    <t>F16.1.6</t>
  </si>
  <si>
    <t>src/app/api/dealer/salespeople</t>
  </si>
  <si>
    <t>GKS-SH-001</t>
  </si>
  <si>
    <t>Self-registration attribution</t>
  </si>
  <si>
    <t>Dealer code typed or taken from ?ref=, optional Employee ID field on Add my shop</t>
  </si>
  <si>
    <t>F16.2.1</t>
  </si>
  <si>
    <t>#268 (611f979); migration 0105</t>
  </si>
  <si>
    <t>src/server/dealers/attribution.ts</t>
  </si>
  <si>
    <t>GKS-SH-002</t>
  </si>
  <si>
    <t>Dealer-assisted registration</t>
  </si>
  <si>
    <t>Dealer registers a shop together with the owner; the owner confirms with a code</t>
  </si>
  <si>
    <t>F16.2.2</t>
  </si>
  <si>
    <t>#268 (611f979)</t>
  </si>
  <si>
    <t>src/server/dealers/assisted.ts</t>
  </si>
  <si>
    <t>GKS-SH-003</t>
  </si>
  <si>
    <t>Duplicate shops</t>
  </si>
  <si>
    <t>Same phone / GSTIN / name within 150 m flagged; a duplicate earns no commission</t>
  </si>
  <si>
    <t>F16.2.3</t>
  </si>
  <si>
    <t>Staging check was automated tests only (28 Oct)</t>
  </si>
  <si>
    <t>src/server/services/shop-duplicates.ts</t>
  </si>
  <si>
    <t>GKS-RA-001</t>
  </si>
  <si>
    <t>Attribution, leads &amp; claims</t>
  </si>
  <si>
    <t>30-day leads (cap 200), attribution priority, dealer claims decided by staff</t>
  </si>
  <si>
    <t>F16.2.4</t>
  </si>
  <si>
    <t>src/server/dealers/leads.ts; src/server/dealers/disputes.ts</t>
  </si>
  <si>
    <t>GKS-SH-004</t>
  </si>
  <si>
    <t>Instant approval on GST/PAN + payment</t>
  </si>
  <si>
    <t>Government check + gateway fee -&gt; shop approved; ready-for-upload e-mail; evidence log; retry when the source is down</t>
  </si>
  <si>
    <t>F17.4.1, F17.4.4</t>
  </si>
  <si>
    <t>Off on gokesari.com (flag gov_verification_auto_approval_enabled); staging: Pune</t>
  </si>
  <si>
    <t>#268 (4500808, 6db91cd); migration 0106</t>
  </si>
  <si>
    <t>Owner: switch on per area</t>
  </si>
  <si>
    <t>src/server/services/gov-auto-approval.ts</t>
  </si>
  <si>
    <t>GKS-CM-001</t>
  </si>
  <si>
    <t>Commission rules</t>
  </si>
  <si>
    <t>Fixed / % / both, per shop type, India / state / district (most specific wins), milestone, versioned, admin only</t>
  </si>
  <si>
    <t>F16.3.1</t>
  </si>
  <si>
    <t>#268 (22a74db); migration 0107</t>
  </si>
  <si>
    <t>src/server/dealers/commission.ts</t>
  </si>
  <si>
    <t>GKS-CM-002</t>
  </si>
  <si>
    <t>Commission ledger &amp; payouts</t>
  </si>
  <si>
    <t>Earned -&gt; approved -&gt; paid; cap with override; reversals; payouts with bank reference; CSV statement; hold for shops approved without documents</t>
  </si>
  <si>
    <t>F16.3.4</t>
  </si>
  <si>
    <t>#268 (22a74db, 9e3e1b7)</t>
  </si>
  <si>
    <t>Payout not run on staging (28 Oct)</t>
  </si>
  <si>
    <t>GKS-CM-003</t>
  </si>
  <si>
    <t>Dealer rating &amp; bonus</t>
  </si>
  <si>
    <t>Rating 0-10 by live shops (slabs), start rating, downgrade, bonus</t>
  </si>
  <si>
    <t>F16.3.3</t>
  </si>
  <si>
    <t>Off on gokesari.com (flag dealer_rating_bonus_enabled); staging: Pune</t>
  </si>
  <si>
    <t>#268 (22a74db)</t>
  </si>
  <si>
    <t>GKS-CM-004</t>
  </si>
  <si>
    <t>Monthly commission payout</t>
  </si>
  <si>
    <t>Payout drafted on the 5th with a statement for each dealer; approve-at-close on by default (owner, 29 Oct); daily cron dealer-monthly-payout</t>
  </si>
  <si>
    <t>F16.3.5</t>
  </si>
  <si>
    <t>#271; migration 0116</t>
  </si>
  <si>
    <t>#281</t>
  </si>
  <si>
    <t>src/server/dealers/monthly-payout.ts</t>
  </si>
  <si>
    <t>GKS-CM-005</t>
  </si>
  <si>
    <t>Base commission % moved by rating</t>
  </si>
  <si>
    <t>Admin-set base % of the registration fee, moved up or down by the dealer rating, per dealer</t>
  </si>
  <si>
    <t>F16.3.2</t>
  </si>
  <si>
    <t>#280; migration 0117</t>
  </si>
  <si>
    <t>#285</t>
  </si>
  <si>
    <t>src/server/dealers/commission.ts; docs test results 29 Oct</t>
  </si>
  <si>
    <t>GKS-CM-006</t>
  </si>
  <si>
    <t>Waived fee earns no commission</t>
  </si>
  <si>
    <t>A waived registration fee is a zero base: no percentage commission or bonus at any milestone</t>
  </si>
  <si>
    <t>d8fc985; #275 (f2756b6, 6475bdd)</t>
  </si>
  <si>
    <t>#275</t>
  </si>
  <si>
    <t>GKS-DB-001</t>
  </si>
  <si>
    <t>Dealer dashboard</t>
  </si>
  <si>
    <t>Tiles, pending, performance by day / week / month, employees, areas; staff dealer list and overview</t>
  </si>
  <si>
    <t>F16.4.1</t>
  </si>
  <si>
    <t>#268 (89f66b9, c9ea939)</t>
  </si>
  <si>
    <t>src/app/dealer; src/app/admin/dealers</t>
  </si>
  <si>
    <t>GKS-SP-001</t>
  </si>
  <si>
    <t>Paid support services</t>
  </si>
  <si>
    <t>General (free), product upload, price update; admin charges; wallet / online payment; tickets; refunds</t>
  </si>
  <si>
    <t>F16.5.1, F16.5.2</t>
  </si>
  <si>
    <t>Off on gokesari.com (flag paid_support_services_enabled); staging: Pune</t>
  </si>
  <si>
    <t>#268 (c70e869); migration 0108</t>
  </si>
  <si>
    <t>src/server/services/support-services.ts</t>
  </si>
  <si>
    <t>GKS-GEO-001</t>
  </si>
  <si>
    <t>Coverage map &amp; targets</t>
  </si>
  <si>
    <t>Areas with dealers, shops, operational shops, target vs registered, gaps; drawn map</t>
  </si>
  <si>
    <t>F16.4.2</t>
  </si>
  <si>
    <t>#268 (bf53b23); migration 0110</t>
  </si>
  <si>
    <t>src/server/services/geo-areas.ts</t>
  </si>
  <si>
    <t>GKS-AN-001</t>
  </si>
  <si>
    <t>Dealer performance score</t>
  </si>
  <si>
    <t>Weighted score (admin weights), ranked within the district</t>
  </si>
  <si>
    <t>F16.4.3</t>
  </si>
  <si>
    <t>#268 (bf53b23)</t>
  </si>
  <si>
    <t>src/server/dealers/performance.ts</t>
  </si>
  <si>
    <t>GKS-AN-002</t>
  </si>
  <si>
    <t>Activation &amp; 30-day activity</t>
  </si>
  <si>
    <t>Activation and 30-day activity per dealer and employee</t>
  </si>
  <si>
    <t>src/server/dealers/analytics.ts</t>
  </si>
  <si>
    <t>GKS-APP</t>
  </si>
  <si>
    <t>Dealer programme in the app</t>
  </si>
  <si>
    <t>Website in the app shell; app links; downloads and print through the bridge (no native change needed)</t>
  </si>
  <si>
    <t>Live (same flags as the website)</t>
  </si>
  <si>
    <t>#268 (c89cf0b)</t>
  </si>
  <si>
    <t>Not run on staging in the app</t>
  </si>
  <si>
    <t>mobile/</t>
  </si>
  <si>
    <t>GKS-DOCS</t>
  </si>
  <si>
    <t>Dealer guides &amp; testing report</t>
  </si>
  <si>
    <t>Admin guide, dealer onboarding guide, testing report (and PDF)</t>
  </si>
  <si>
    <t>#268 (c9ea939, dc13efa)</t>
  </si>
  <si>
    <t>docs/dealer-programme-2026-10/</t>
  </si>
  <si>
    <t>GKS-IN-001</t>
  </si>
  <si>
    <t>All-India states &amp; districts</t>
  </si>
  <si>
    <t>28 states + 8 UTs with PIN prefixes; districts added by the admin with generated short codes</t>
  </si>
  <si>
    <t>F16.1.4</t>
  </si>
  <si>
    <t>#277 (a8258f1, 5f134ad); migration 0114</t>
  </si>
  <si>
    <t>#277</t>
  </si>
  <si>
    <t>src/server/services/geo-areas.ts; drizzle/0114_india_states.sql</t>
  </si>
  <si>
    <t>GKS-IN-002</t>
  </si>
  <si>
    <t>Add dealer (admin)</t>
  </si>
  <si>
    <t>Admin adds a dealer in any state / district (or a new one); approved at once; code GKS-&lt;state&gt;-&lt;district&gt;-XXXXXX</t>
  </si>
  <si>
    <t>#277 (a8258f1)</t>
  </si>
  <si>
    <t>src/app/api/admin/dealers</t>
  </si>
  <si>
    <t>GKS-IN-003</t>
  </si>
  <si>
    <t>Flags &amp; commission by state</t>
  </si>
  <si>
    <t>Flags on for whole states or districts; commission rules for India / state / district</t>
  </si>
  <si>
    <t>src/server/services/feature-flags.ts</t>
  </si>
  <si>
    <t>GKS-VER</t>
  </si>
  <si>
    <t>Seller verification</t>
  </si>
  <si>
    <t>PAN / GST / Udyam verification fixes</t>
  </si>
  <si>
    <t>PAN checked against the GSTIN's PAN in either order; reviewer approval survives the periodic re-check; reviewer row lock; state from any PIN; inoperative PAN not active; a licence re-runs the approval check</t>
  </si>
  <si>
    <t>F17.2.4</t>
  </si>
  <si>
    <t>#277 (faac963)</t>
  </si>
  <si>
    <t>Tested locally and in CI only; not run on staging</t>
  </si>
  <si>
    <t>QA: run on staging</t>
  </si>
  <si>
    <t>src/server/services/seller-verification.ts</t>
  </si>
  <si>
    <t>NEW-076</t>
  </si>
  <si>
    <t>Registration fee Rs 999 + GST with coupons</t>
  </si>
  <si>
    <t>Rs 999 + GST registration fee with admin-managed coupons; pay step; one pending registration per owner; online fee payment</t>
  </si>
  <si>
    <t>F17.3.1, F17.3.2, F17.3.3</t>
  </si>
  <si>
    <t>Live (turnover slabs set by the admin)</t>
  </si>
  <si>
    <t>#265 (86449de, 9cceb64, 522e0f8); migrations 0098, 0099</t>
  </si>
  <si>
    <t>src/server/services/registration-fee-coupons.ts; registration-fee-payment.ts</t>
  </si>
  <si>
    <t>NEW-077</t>
  </si>
  <si>
    <t>Shop referral code mandatory</t>
  </si>
  <si>
    <t>A referral (dealer) code is required on Add my shop</t>
  </si>
  <si>
    <t>F17.1.5</t>
  </si>
  <si>
    <t>ae3a421; migration 0100</t>
  </si>
  <si>
    <t>drizzle/0100_shop_referral_mandatory.sql</t>
  </si>
  <si>
    <t>NEW-078</t>
  </si>
  <si>
    <t>Six new shop types + admin shop types screen</t>
  </si>
  <si>
    <t>Six new shop types; Admin &gt; Shop types manages them; department stored as text</t>
  </si>
  <si>
    <t>F17.1.1</t>
  </si>
  <si>
    <t>7425434, 28c9f44; migration 0097</t>
  </si>
  <si>
    <t>src/server/services/shop-types.ts; src/app/admin/shop-types</t>
  </si>
  <si>
    <t>NEW-079</t>
  </si>
  <si>
    <t>Professional categories</t>
  </si>
  <si>
    <t>Professional shop categories in registration; faster seller pages</t>
  </si>
  <si>
    <t>#265; migration 0098</t>
  </si>
  <si>
    <t>drizzle/0098_professional_registration.sql</t>
  </si>
  <si>
    <t>NEW-080</t>
  </si>
  <si>
    <t>Product cards and search by owner name</t>
  </si>
  <si>
    <t>Owner name bold first, then shop, product and price; names wrap on phones; search matches the owner and every typed word in any order</t>
  </si>
  <si>
    <t>F1.3</t>
  </si>
  <si>
    <t>0586129, 28c3ffd, 2b15062</t>
  </si>
  <si>
    <t>tests/integration/storefront-search.test.ts</t>
  </si>
  <si>
    <t>NEW-081</t>
  </si>
  <si>
    <t>Dates in India time everywhere</t>
  </si>
  <si>
    <t>India time on client and server pages (React #418 fix); voucher upload refuses a past end date (D-105)</t>
  </si>
  <si>
    <t>#251</t>
  </si>
  <si>
    <t>PR #251</t>
  </si>
  <si>
    <t>NEW-082</t>
  </si>
  <si>
    <t>Owner decisions of 25 Oct</t>
  </si>
  <si>
    <t>D-103 signed-in header search placement, D-57, D-91, D-25, D-96, D-23, D-69</t>
  </si>
  <si>
    <t>#254; migrations 0092-0094</t>
  </si>
  <si>
    <t>#266 (first release #261 rolled back by #262, E-03)</t>
  </si>
  <si>
    <t>PR #254</t>
  </si>
  <si>
    <t>NEW-083</t>
  </si>
  <si>
    <t>Loose stock in decimals</t>
  </si>
  <si>
    <t>Loose stock records decimal quantities (D-95, TC-SPI-025)</t>
  </si>
  <si>
    <t>#257; migrations 0095, 0096</t>
  </si>
  <si>
    <t>drizzle/0096_cart_loose_quantity.sql</t>
  </si>
  <si>
    <t>NEW-084</t>
  </si>
  <si>
    <t>Lower Node process load</t>
  </si>
  <si>
    <t>Disputes escalate on touch, cron gate (legacy per-job routes answer 410), caching, prefetch off on list links</t>
  </si>
  <si>
    <t>907a756, 7049567, 7bd85e7</t>
  </si>
  <si>
    <t>src/proxy.ts (CRON_ROUTES_ENABLED)</t>
  </si>
  <si>
    <t>NEW-085</t>
  </si>
  <si>
    <t>One production release at a time + post-deploy check</t>
  </si>
  <si>
    <t>Release rule (DEPLOYMENT.md section 3) and the Post-deploy check workflow / scripts/release/post-deploy-check.sh (E-02)</t>
  </si>
  <si>
    <t>F18.3.1</t>
  </si>
  <si>
    <t>#260</t>
  </si>
  <si>
    <t>DEPLOYMENT.md; scripts/release/post-deploy-check.sh</t>
  </si>
  <si>
    <t>NEW-086</t>
  </si>
  <si>
    <t>Databases moved to Neon Singapore</t>
  </si>
  <si>
    <t>test.gokesari.com and gokesari.com moved from Ohio to Neon aws-ap-southeast-1 on 28 Oct (copy / relink / compare tooling); read-only window 1 h 30 min (test), 33 min (production)</t>
  </si>
  <si>
    <t>F18.1.1, F18.1.3</t>
  </si>
  <si>
    <t>b2e8ac1, 9aa774a, 41fd6ef, ce54be8, b8ed073 (scripts/db-region-move)</t>
  </si>
  <si>
    <t>Environment change 28 Oct (no code release)</t>
  </si>
  <si>
    <t>Run "Production database -&gt; verify" once; check cron runs; delete Ohio projects after 4 Nov (test) / 11 Nov (production)</t>
  </si>
  <si>
    <t>Owner (Blockers #73, #75)</t>
  </si>
  <si>
    <t>GOKESARI_DB_REGION_MOVE_PLAN_2026-10-28.md</t>
  </si>
  <si>
    <t>NEW-087</t>
  </si>
  <si>
    <t>Approvals reply once the decision is saved</t>
  </si>
  <si>
    <t>Approving a seller document answers as soon as the decision commits; audit, events, notifications and auto-approval run after the response</t>
  </si>
  <si>
    <t>F17.4.3</t>
  </si>
  <si>
    <t>ede4260</t>
  </si>
  <si>
    <t>src/server/api/defer.ts</t>
  </si>
  <si>
    <t>NEW-088</t>
  </si>
  <si>
    <t>Payment capture follow-ups after commit</t>
  </si>
  <si>
    <t>Capture follow-ups run after the commit in the same request, not on a timer</t>
  </si>
  <si>
    <t>3bf5a33</t>
  </si>
  <si>
    <t>commit 3bf5a33</t>
  </si>
  <si>
    <t>NEW-089</t>
  </si>
  <si>
    <t>Shop approval queue improvements</t>
  </si>
  <si>
    <t>Record the fee payment or waive the fee from the shop card; says when nothing is uploaded; remind the owner; admin approval without documents; Pending lists only shops still waiting</t>
  </si>
  <si>
    <t>F17.3.3, F17.4.2</t>
  </si>
  <si>
    <t>997748b, 99a3efb, efcfea9, 6db91cd; migration 0109</t>
  </si>
  <si>
    <t>src/app/admin/shops/missing-documents; /instant-approvals</t>
  </si>
  <si>
    <t>NEW-090</t>
  </si>
  <si>
    <t>Scan a document + more licences</t>
  </si>
  <si>
    <t>"Scan a document" detects the type; trade, legal metrology, fire NOC, agri-input and other licences</t>
  </si>
  <si>
    <t>F17.2.1</t>
  </si>
  <si>
    <t>#269; migration 0112</t>
  </si>
  <si>
    <t>#272</t>
  </si>
  <si>
    <t>src/server/services/legal-documents.ts</t>
  </si>
  <si>
    <t>NEW-091</t>
  </si>
  <si>
    <t>Shop onboarding wizard - step 1</t>
  </si>
  <si>
    <t>GSTIN-first checks with a background PAN check; shop filled from the GST record</t>
  </si>
  <si>
    <t>F17.1.2</t>
  </si>
  <si>
    <t>Off on gokesari.com (flag shop_onboarding_wizard_enabled)</t>
  </si>
  <si>
    <t>#267; migration 0111</t>
  </si>
  <si>
    <t>src/server/services/shop-registration-draft.ts</t>
  </si>
  <si>
    <t>NEW-092</t>
  </si>
  <si>
    <t>Shop onboarding wizard - step 2</t>
  </si>
  <si>
    <t>Udyam, FSSAI, Shop Act and map steps; the draft becomes the shop with checks copied; live after payment</t>
  </si>
  <si>
    <t>F17.1.3</t>
  </si>
  <si>
    <t>#270; migration 0113</t>
  </si>
  <si>
    <t>Owner decision B (live after payment) withdrawn 29 Oct: documents rule applies (9ff0680)</t>
  </si>
  <si>
    <t>src/server/services/shop-registration-wizard.ts</t>
  </si>
  <si>
    <t>NEW-093</t>
  </si>
  <si>
    <t>Wizard behind its flag (D-106)</t>
  </si>
  <si>
    <t>?wizard=1 opens the wizard only while its flag is on, or for an admin; its GSTIN and PAN steps check the flag too (no paid government lookup while off)</t>
  </si>
  <si>
    <t>F17.1.4</t>
  </si>
  <si>
    <t>Live (gate)</t>
  </si>
  <si>
    <t>#274 (efe32c3, 54f2f8d); 7558902</t>
  </si>
  <si>
    <t>#277; #285</t>
  </si>
  <si>
    <t>src/app/api/shops/registration-draft/gstin, /pan</t>
  </si>
  <si>
    <t>NEW-094</t>
  </si>
  <si>
    <t>Shop documents before the fee + follow-up</t>
  </si>
  <si>
    <t>Documents before the registration fee or a promise to send them; follow-up on the 1st and 15th with auto-suspension; operator approval card names the promised date (D-107, D-108 fixed)</t>
  </si>
  <si>
    <t>F17.2.2, F17.2.3, F17.4.2</t>
  </si>
  <si>
    <t>Live; daily cron shop-document-follow-up</t>
  </si>
  <si>
    <t>#273; ea20441; 63ccd62 (#286); migration 0115</t>
  </si>
  <si>
    <t>#277; #287</t>
  </si>
  <si>
    <t>src/server/services/shop-document-gate.ts; shop-document-follow-up.ts</t>
  </si>
  <si>
    <t>NEW-095</t>
  </si>
  <si>
    <t>Seller verification follow-ups (owner, 29 Oct)</t>
  </si>
  <si>
    <t>One source for GST/PAN; GSTIN = one business; Shop Act = one shop; PAN / Udyam / Shop Act copied onto the shop; 3 months for shops approved without documents, reminders every 15 days, promise 90 days</t>
  </si>
  <si>
    <t>32da8e5, 1132782</t>
  </si>
  <si>
    <t>3 staging shops verified before the change still show PAN "Not verified" until the next check</t>
  </si>
  <si>
    <t>Owner: one-time catch-up script? (Blockers #77)</t>
  </si>
  <si>
    <t>NEW-096</t>
  </si>
  <si>
    <t>Cron: one run of each entry point at a time</t>
  </si>
  <si>
    <t>Single-run guard per cron entry point; flock on the crontab lines</t>
  </si>
  <si>
    <t>F18.3.3</t>
  </si>
  <si>
    <t>6a2b174</t>
  </si>
  <si>
    <t>Confirm the every-minute / hourly / daily jobs actually run on both sites</t>
  </si>
  <si>
    <t>Owner + session (Blockers #4)</t>
  </si>
  <si>
    <t>src/server/cron/single-run.ts</t>
  </si>
  <si>
    <t>NEW-097</t>
  </si>
  <si>
    <t>Migrations only through the GitHub workflows</t>
  </si>
  <si>
    <t>migrate-on-build skips outside GitHub Actions: no migrations in Hostinger builds or PR previews (Blocker #71)</t>
  </si>
  <si>
    <t>F18.3.2</t>
  </si>
  <si>
    <t>#276 (f4507bf)</t>
  </si>
  <si>
    <t>scripts/migrate-on-build.mjs</t>
  </si>
  <si>
    <t>NEW-098</t>
  </si>
  <si>
    <t>Home page reads together; no logo prefetch</t>
  </si>
  <si>
    <t>Independent home-page reads start together; the logo link no longer prefetches the home page (P1 home, P3)</t>
  </si>
  <si>
    <t>F18.2.1</t>
  </si>
  <si>
    <t>#279 (cb38c27)</t>
  </si>
  <si>
    <t>#282</t>
  </si>
  <si>
    <t>Other home links still prefetch 7-9 pages per visit</t>
  </si>
  <si>
    <t>src/app/page.tsx; GOKESARI_PERFORMANCE_REPORT_2026-10-29.md</t>
  </si>
  <si>
    <t>NEW-099</t>
  </si>
  <si>
    <t>Product and shop pages: reads together (P1)</t>
  </si>
  <si>
    <t>Product page ~8 sequential awaits and shop page reads the shop twice; run them together / React cache(). Expected product 0.63 -&gt; ~0.25 s, shop 0.53 -&gt; ~0.25 s</t>
  </si>
  <si>
    <t>F18.2.2</t>
  </si>
  <si>
    <t>Not built</t>
  </si>
  <si>
    <t>Dev: staging first, re-measure</t>
  </si>
  <si>
    <t>GOKESARI_PERFORMANCE_REPORT_2026-10-29.md (P1)</t>
  </si>
  <si>
    <t>NEW-100</t>
  </si>
  <si>
    <t>Cache data shared by everyone (P2)</t>
  </si>
  <si>
    <t>Banners, popular-in-area per pincode, shop fallback list, category counts, product master row cached 30-120 s; stock and price stay live</t>
  </si>
  <si>
    <t>F18.2.3</t>
  </si>
  <si>
    <t>Dev</t>
  </si>
  <si>
    <t>GOKESARI_PERFORMANCE_REPORT_2026-10-29.md (P2)</t>
  </si>
  <si>
    <t>NEW-101</t>
  </si>
  <si>
    <t>Static pages from the CDN (P4)</t>
  </si>
  <si>
    <t>gk_return_to cookie only where needed; /about, /contact, legal pages static with public s-maxage</t>
  </si>
  <si>
    <t>F18.2.4</t>
  </si>
  <si>
    <t>P2</t>
  </si>
  <si>
    <t>GOKESARI_PERFORMANCE_REPORT_2026-10-29.md (P4)</t>
  </si>
  <si>
    <t>NEW-102</t>
  </si>
  <si>
    <t>No cold start after a quiet period (P5)</t>
  </si>
  <si>
    <t>First request after ~5 idle minutes waits 2.5 s: Neon scale-to-zero. The free plan cannot switch it off; a keep-awake ping could use up the monthly compute hours</t>
  </si>
  <si>
    <t>F18.1.2</t>
  </si>
  <si>
    <t>Neon paid plan with scale-to-zero off / min 0.5 CU</t>
  </si>
  <si>
    <t>Owner: billing decision (Blockers #72)</t>
  </si>
  <si>
    <t>GOKESARI_DB_REGION_MOVE_PLAN_2026-10-28.md (open item 3)</t>
  </si>
  <si>
    <t>NEW-103</t>
  </si>
  <si>
    <t>Smaller speed wins (P6)</t>
  </si>
  <si>
    <t>Logo as SVG / WebP, check the 250 KB home JavaScript, CDN MISS on /_next/static, short session cache</t>
  </si>
  <si>
    <t>Dev; owner for the Hostinger CDN question</t>
  </si>
  <si>
    <t>GOKESARI_PERFORMANCE_REPORT_2026-10-29.md (P6)</t>
  </si>
  <si>
    <t>NEW-104</t>
  </si>
  <si>
    <t>App and database in the same place (P7)</t>
  </si>
  <si>
    <t>Each query costs ~60 ms Mumbai -&gt; Singapore; Node app in Singapore would bring it to ~1-2 ms. Neon has no Mumbai region</t>
  </si>
  <si>
    <t>Hosting decision</t>
  </si>
  <si>
    <t>Owner (Blockers #80)</t>
  </si>
  <si>
    <t>GOKESARI_PERFORMANCE_REPORT_2026-10-29.md (P7)</t>
  </si>
  <si>
    <t>NEW-105</t>
  </si>
  <si>
    <t>QA guest checks follow intended behaviour</t>
  </si>
  <si>
    <t>Guest checks accept 410 on retired cron routes and the Seller Central sign-in shell</t>
  </si>
  <si>
    <t>#283</t>
  </si>
  <si>
    <t>tests/qa</t>
  </si>
  <si>
    <t>Gig worker flow (31 Oct 2026)</t>
  </si>
  <si>
    <t>GW-01</t>
  </si>
  <si>
    <t>Delivery partners</t>
  </si>
  <si>
    <t>Delivery partner registration with personal details</t>
  </si>
  <si>
    <t>Name, mobile, email, DOB (18+), gender, address, vehicle type and number, emergency contact; field-by-field validation; one partner per mobile number (duplicate-mobile check).</t>
  </si>
  <si>
    <t>Done</t>
  </si>
  <si>
    <t>Production (gokesari.com) and Test site since 31 Oct 2026</t>
  </si>
  <si>
    <t>Live on the Test site</t>
  </si>
  <si>
    <t>#306</t>
  </si>
  <si>
    <t>#302 (merged 31 Oct 2026 11:43 UTC; post-deploy check passed)</t>
  </si>
  <si>
    <t>NEW (not in 29 Oct)</t>
  </si>
  <si>
    <t>Added 31 Oct 2026</t>
  </si>
  <si>
    <t>src/components/delivery-partner-register-form.tsx; src/lib/gig/registration.ts; src/server/services/delivery-partners.ts</t>
  </si>
  <si>
    <t>GW-02</t>
  </si>
  <si>
    <t>PAN and Aadhaar authorisation</t>
  </si>
  <si>
    <t>Consent recorded (version, time, IP) before any check; PAN via the KYC provider (encrypted, masked); Aadhaar by OTP (masked + keyed token only, DB check refuses a stored number); Verified / Pending / Failed; admin decides by hand.</t>
  </si>
  <si>
    <t>Aadhaar OTP against the live provider (Test-site keys answer only saved examples); consent wording legal review</t>
  </si>
  <si>
    <t>See remaining scope</t>
  </si>
  <si>
    <t>src/server/services/rider-kyc.ts; src/server/kyc/adapters/{mock,sandbox-co}.ts; /delivery-partner/kyc</t>
  </si>
  <si>
    <t>GW-03</t>
  </si>
  <si>
    <t>Police verification form and character certificate upload</t>
  </si>
  <si>
    <t>PDF/JPG/PNG from the bytes; max size rule riderVerification.maxDocumentBytes (5 MB); encrypted in the database (no public bucket); admin Uploaded / Under review / Approved / Rejected with reason; audited file opening.</t>
  </si>
  <si>
    <t>src/server/services/rider-background-docs.ts; /delivery-partner/documents; /admin/rider-verification</t>
  </si>
  <si>
    <t>GW-04</t>
  </si>
  <si>
    <t>Location sharing during registration</t>
  </si>
  <si>
    <t>Device location requested on the form; submission blocked without it with a clear message; latitude, longitude and time saved.</t>
  </si>
  <si>
    <t>src/components/delivery-partner-register-form.tsx; POST /api/delivery-partner</t>
  </si>
  <si>
    <t>GW-05</t>
  </si>
  <si>
    <t>Offline / Active / Ready toggle</t>
  </si>
  <si>
    <t>availability column; only Ready gets new offers; Active/Ready blocked until PAN+Aadhaar Verified and both documents Approved, unless an admin overrides.</t>
  </si>
  <si>
    <t>On by default (rules riderVerification, riderZoning, orderCompletion, deliveryOtp.required)</t>
  </si>
  <si>
    <t>Decide gate on/off at release (existing riders need KYC + documents or an admin override)</t>
  </si>
  <si>
    <t>src/server/services/delivery-partners.ts (goOnline, getAvailabilityGate); delivery-partner-dashboard.tsx</t>
  </si>
  <si>
    <t>GW-06</t>
  </si>
  <si>
    <t>Zoning: pickup and delivery within 3–5 km</t>
  </si>
  <si>
    <t>Rule riderZoning (default 5 km, min 3, max 5) on the live location for pickup and drop; stale location ignored; offers re-checked on each location update and at acceptance.</t>
  </si>
  <si>
    <t>Decide zoning on/off at release (orders whose customer is &gt;5 km from the shop wait for a rider between them)</t>
  </si>
  <si>
    <t>src/server/services/delivery-eligibility.ts (checkZone); delivery-assignment.ts (withdrawOutOfZoneOffers)</t>
  </si>
  <si>
    <t>GW-07</t>
  </si>
  <si>
    <t>Shop owner view of authorised and blocked societies</t>
  </si>
  <si>
    <t>Admin authorises / blocks a partner per society; shop page Delivery partners shows counts and lists on tap.</t>
  </si>
  <si>
    <t>src/server/services/society-partner-access.ts; /shop/delivery-partners; /admin/rider-verification</t>
  </si>
  <si>
    <t>GW-08</t>
  </si>
  <si>
    <t>Hide partner identity for blocked societies</t>
  </si>
  <si>
    <t>Server side: shop order data, photo access and shop notifications never carry a blocked partner's name, photo or mobile — 'Partner pending assignment'; blocked partners kept off that society's orders.</t>
  </si>
  <si>
    <t>society-partner-access.ts (getShopOrderPartners); delivery-assignment.ts (deliveryEventContext); rider-files.ts</t>
  </si>
  <si>
    <t>GW-09</t>
  </si>
  <si>
    <t>Confirm order picked up</t>
  </si>
  <si>
    <t>Assigned → Picked Up with timestamp; optional pickup photo (delivery_proofs.kind PICKUP); shop and customer notified.</t>
  </si>
  <si>
    <t>delivery-proofs.ts; delivery-assignment.ts (markPickedUp)</t>
  </si>
  <si>
    <t>GW-10</t>
  </si>
  <si>
    <t>Confirm order delivered</t>
  </si>
  <si>
    <t>Picked Up → Delivered; OTP configurable (deliveryOtp.required), photo proof by deliveryProof.photoRequired.</t>
  </si>
  <si>
    <t>delivery-assignment.ts (startDelivery, markDelivered)</t>
  </si>
  <si>
    <t>GW-11</t>
  </si>
  <si>
    <t>Mark order complete and notify</t>
  </si>
  <si>
    <t>orders.completed_at on confirmed delivery (status stays DELIVERED); order.completed → push + SMS + in-app to customer and shop (rule orderCompletion).</t>
  </si>
  <si>
    <t>Completion SMS needs an SMS provider; push needs rule push on and the app installed</t>
  </si>
  <si>
    <t>src/server/services/orders.ts (completeDeliveredOrder); src/server/events/catalog.ts</t>
  </si>
  <si>
    <t>GoKesari process flow trees - status of every step (29 Oct 2026; F16-F18 added)</t>
  </si>
  <si>
    <t>Level 1 = end-to-end flow, level 2 = stage, level 3 = step. Step status is set by hand (dropdown in column G); stage and flow status are formulas: COMPLETED only when every step is; BLOCKED if any step is blocked; YET TO START when no step has started; otherwise IN PROGRESS.</t>
  </si>
  <si>
    <t>Flow / step ID</t>
  </si>
  <si>
    <t>Level</t>
  </si>
  <si>
    <t>Process flow tree</t>
  </si>
  <si>
    <t>Actor</t>
  </si>
  <si>
    <t>Feature IDs</t>
  </si>
  <si>
    <t>Gap / note</t>
  </si>
  <si>
    <t>Batch status (18 Oct)</t>
  </si>
  <si>
    <t>Batch PR(s)</t>
  </si>
  <si>
    <t>Batch gap / note</t>
  </si>
  <si>
    <t>F1</t>
  </si>
  <si>
    <t>F1.1</t>
  </si>
  <si>
    <t>F1.1  Sign in and profile</t>
  </si>
  <si>
    <t>Sign in with Google, email magic link or a code sent to email (mobile or email form)</t>
  </si>
  <si>
    <t>GS-001, NEW-018</t>
  </si>
  <si>
    <t>#10; #23; #31; #80</t>
  </si>
  <si>
    <t>F1.1.2</t>
  </si>
  <si>
    <t>Prove the mobile number by SMS OTP</t>
  </si>
  <si>
    <t>GS-001, GS-074</t>
  </si>
  <si>
    <t>#190, #192, #194</t>
  </si>
  <si>
    <t>DONE (18 Oct batch): 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</si>
  <si>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DONE</t>
  </si>
  <si>
    <t>Email channel live: OtpProvider routing, 6-digit codes, 5-minute expiry (verified on test.gokesari.com: emails now say 5 minutes), 5 attempts, resend cooldown, DB-backed limits per email/user/IP, hashed + audited, hourly purge. 'OTP sent to your email' wording. SMS = Phase-2 stub (vendor decision D2).</t>
  </si>
  <si>
    <t>F1.1.3</t>
  </si>
  <si>
    <t>First-time profile (/onboarding) and My Profile</t>
  </si>
  <si>
    <t>#31</t>
  </si>
  <si>
    <t>F1.2</t>
  </si>
  <si>
    <t>F1.2  Location and society</t>
  </si>
  <si>
    <t>Choose where to deliver: saved address, device position, PIN or map pin</t>
  </si>
  <si>
    <t>#10; #23; #83</t>
  </si>
  <si>
    <t>Map 'Confirm location' 500 was caused by the referrer-restricted server key (GAP-008); fixed 25 Oct, working on test and production</t>
  </si>
  <si>
    <t>F1.2.2</t>
  </si>
  <si>
    <t>Society recognised from the address</t>
  </si>
  <si>
    <t>F1.3  Discover shops and products</t>
  </si>
  <si>
    <t>Shops that deliver here / Shops near you, with filters and sort</t>
  </si>
  <si>
    <t>GS-019, NAV-001, NEW-019, NEW-051</t>
  </si>
  <si>
    <t>#10; #83</t>
  </si>
  <si>
    <t>Product search limited to serviceable shops</t>
  </si>
  <si>
    <t>#10; #48; #83</t>
  </si>
  <si>
    <t>Every shop selling a product</t>
  </si>
  <si>
    <t>Shops near me from the phone's location: radius 1-10 km, list or map, Directions; PIN box if location is refused</t>
  </si>
  <si>
    <t>NEW-057, NEW-059</t>
  </si>
  <si>
    <t>#133; #136; #135</t>
  </si>
  <si>
    <t>Live on gokesari.com</t>
  </si>
  <si>
    <t>F1.4</t>
  </si>
  <si>
    <t>F1.4  Compare prices</t>
  </si>
  <si>
    <t>Local price comparison across shops</t>
  </si>
  <si>
    <t>#10; #72</t>
  </si>
  <si>
    <t>F1.4.2</t>
  </si>
  <si>
    <t>Home-page price comparison (F9)</t>
  </si>
  <si>
    <t>#55</t>
  </si>
  <si>
    <t>Off by default</t>
  </si>
  <si>
    <t>Online (e-commerce) reference prices shown to customers</t>
  </si>
  <si>
    <t>#23; #190, #194</t>
  </si>
  <si>
    <t>DROPPED (18 Oct batch): Dropped by a code constant (not a setting): hidden on product pages and for shops, public API 404, admin menu entry removed, no scraping or external calls at runtime; PR #23 code kept and isolated; offline Open Prices CLI refuses to run.</t>
  </si>
  <si>
    <t>#190, #194</t>
  </si>
  <si>
    <t>Dropped by a code constant (not a setting): hidden on product pages and for shops, public API 404, admin menu entry removed, no scraping or external calls at runtime; PR #23 code kept and isolated; offline Open Prices CLI refuses to run.</t>
  </si>
  <si>
    <t>F1.5</t>
  </si>
  <si>
    <t>F1.5  Cart</t>
  </si>
  <si>
    <t>Add to cart with quantity controls on the product card</t>
  </si>
  <si>
    <t>GS-024, NEW-012</t>
  </si>
  <si>
    <t>F1.5.3</t>
  </si>
  <si>
    <t>Cart re-validated against the location (serviceability, stock, minimum order, paused shops)</t>
  </si>
  <si>
    <t>GS-026, NEW-005</t>
  </si>
  <si>
    <t>#11; #23</t>
  </si>
  <si>
    <t>Coupons (F7) and shop offers (F8)</t>
  </si>
  <si>
    <t>NAV-003, NAV-002</t>
  </si>
  <si>
    <t>Open-order prompt before paying (C3)</t>
  </si>
  <si>
    <t>#85; #120</t>
  </si>
  <si>
    <t>Live on gokesari.com since #120 (9 Oct)</t>
  </si>
  <si>
    <t>F1.6</t>
  </si>
  <si>
    <t>F1.6  Checkout</t>
  </si>
  <si>
    <t>Mobile number and delivery address required</t>
  </si>
  <si>
    <t>Delivery window or a scheduled time slot with capacity</t>
  </si>
  <si>
    <t>Baseline; #55; #58</t>
  </si>
  <si>
    <t>Slots off by default</t>
  </si>
  <si>
    <t>Order from a closed shop after confirmation</t>
  </si>
  <si>
    <t>F1.7</t>
  </si>
  <si>
    <t>F1.7  Payment</t>
  </si>
  <si>
    <t>Pay from wallet (topped up through Cashfree)</t>
  </si>
  <si>
    <t>GS-029, GS-028</t>
  </si>
  <si>
    <t>Cash on delivery with limits</t>
  </si>
  <si>
    <t>F1.7.3</t>
  </si>
  <si>
    <t>Pay the order directly by UPI / card / netbanking</t>
  </si>
  <si>
    <t>GS-028, NEW-007</t>
  </si>
  <si>
    <t>DONE-SANDBOX (18 Oct batch): 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</si>
  <si>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DONE-SANDBOX</t>
  </si>
  <si>
    <t>PaymentGateway interface: sandbox (working on test.gokesari.com after #192), Cashfree adapter, Razorpay/PhonePe scaffolds; UPI/card/netbanking via hosted checkout only (no card data). Production flag onlinePayments OFF until gateway choice, merchant account, live keys and webhook secret (Owner inputs §1-2).</t>
  </si>
  <si>
    <t>F1.8</t>
  </si>
  <si>
    <t>F1.8  Order engine</t>
  </si>
  <si>
    <t>F1.8.1</t>
  </si>
  <si>
    <t>Validate stock and service area</t>
  </si>
  <si>
    <t>GS-026, GS-016</t>
  </si>
  <si>
    <t>Split by shop; one parent GK- reference (F6)</t>
  </si>
  <si>
    <t>Baseline; #55</t>
  </si>
  <si>
    <t>Parent reference off by default</t>
  </si>
  <si>
    <t>F1.8.3</t>
  </si>
  <si>
    <t>Confirm wallet / COD payment inside the order transaction</t>
  </si>
  <si>
    <t>Gateway payment confirmation and payment state machine</t>
  </si>
  <si>
    <t>SM-005, GS-073</t>
  </si>
  <si>
    <t>DONE-SANDBOX (18 Oct batch): Payment state machine CREATED&gt;PENDING&gt;AUTHORIZED&gt;CAPTURED&gt;(PARTIALLY_)REFUNDED + FAILED/EXPIRED; signed webhooks, idempotent by event id, reconciled with the gateway's order status; 5-minute reconciliation job; order idempotency key; order CONFIRMED only on CAPTURED.</t>
  </si>
  <si>
    <t>Payment state machine CREATED&gt;PENDING&gt;AUTHORIZED&gt;CAPTURED&gt;(PARTIALLY_)REFUNDED + FAILED/EXPIRED; signed webhooks, idempotent by event id, reconciled with the gateway's order status; 5-minute reconciliation job; order idempotency key; order CONFIRMED only on CAPTURED.</t>
  </si>
  <si>
    <t>F1.8.5</t>
  </si>
  <si>
    <t>Create the shop order and notify the shop</t>
  </si>
  <si>
    <t>GS-032, GS-055</t>
  </si>
  <si>
    <t>#10; #23</t>
  </si>
  <si>
    <t>F1.9</t>
  </si>
  <si>
    <t>F1.9  Track and receive</t>
  </si>
  <si>
    <t>Order status and live tracking on My Orders</t>
  </si>
  <si>
    <t>NAV-004, GS-042</t>
  </si>
  <si>
    <t>#29</t>
  </si>
  <si>
    <t>Real-time events and 5-second tracking</t>
  </si>
  <si>
    <t>NEW-028, NEW-029</t>
  </si>
  <si>
    <t>#89; #120</t>
  </si>
  <si>
    <t>F1.9.3</t>
  </si>
  <si>
    <t>Delivery code (OTP) given to the rider at handover</t>
  </si>
  <si>
    <t>F1.9.4</t>
  </si>
  <si>
    <t>Delivery code hashed, emailed to the customer, resendable</t>
  </si>
  <si>
    <t>#91; #120</t>
  </si>
  <si>
    <t>Cancel from My Orders</t>
  </si>
  <si>
    <t>GAP-007, NEW-020, NAV-004</t>
  </si>
  <si>
    <t>#122; #123 (prod)</t>
  </si>
  <si>
    <t>Cancel order on My Orders before packing, with confirmation; follows rule cancellation</t>
  </si>
  <si>
    <t>F1.9.6</t>
  </si>
  <si>
    <t>Collect from the shop with a pickup code; see the delivery option, person and time on My Orders</t>
  </si>
  <si>
    <t>NEW-039, GS-041</t>
  </si>
  <si>
    <t>#102; #103; #120</t>
  </si>
  <si>
    <t>On gokesari.com since #120 (9 Oct), switched off by default - switch on in Admin &gt; Business rules</t>
  </si>
  <si>
    <t>F2</t>
  </si>
  <si>
    <t>Shop owner</t>
  </si>
  <si>
    <t>F2.1</t>
  </si>
  <si>
    <t>F2.1  Receive and decide</t>
  </si>
  <si>
    <t>Receive the order (in-app + email)</t>
  </si>
  <si>
    <t>GS-055, NAV-008</t>
  </si>
  <si>
    <t>SMS / WhatsApp waits on D2</t>
  </si>
  <si>
    <t>Accept or reject (reject = full refund + restock)</t>
  </si>
  <si>
    <t>F2.1.3</t>
  </si>
  <si>
    <t>Acceptance timeout: reminder, then auto-cancel with full refund</t>
  </si>
  <si>
    <t>#58</t>
  </si>
  <si>
    <t>F2.1.4</t>
  </si>
  <si>
    <t>Wallet minimum balance checked before accepting</t>
  </si>
  <si>
    <t>#91; #98; #120</t>
  </si>
  <si>
    <t>F2.2</t>
  </si>
  <si>
    <t>F2.2  Prepare</t>
  </si>
  <si>
    <t>Substitution with customer approval</t>
  </si>
  <si>
    <t>Pick and pack per line</t>
  </si>
  <si>
    <t>Mark READY - starts the rider search</t>
  </si>
  <si>
    <t>F2.2.4</t>
  </si>
  <si>
    <t>Choose pickup / own delivery / GoKesari partner with a date and 1-hour slot; change it with a customer notice</t>
  </si>
  <si>
    <t>NEW-039, GS-027</t>
  </si>
  <si>
    <t>F2.2.5</t>
  </si>
  <si>
    <t>Shop's own delivery staff: private delivery link, start delivery, customer's code to complete</t>
  </si>
  <si>
    <t>NEW-039, NEW-035</t>
  </si>
  <si>
    <t>#102; #120</t>
  </si>
  <si>
    <t>F3</t>
  </si>
  <si>
    <t>F3.1</t>
  </si>
  <si>
    <t>F3.1  Eligibility</t>
  </si>
  <si>
    <t>Society authorisation (whitelist, exclusive or priority)</t>
  </si>
  <si>
    <t>GA-001, GS-045</t>
  </si>
  <si>
    <t>Availability and online status</t>
  </si>
  <si>
    <t>GA-004, GS-038</t>
  </si>
  <si>
    <t>Baseline; #21</t>
  </si>
  <si>
    <t>F3.2</t>
  </si>
  <si>
    <t>F3.2  Ranking</t>
  </si>
  <si>
    <t>Preferred partner ranked higher</t>
  </si>
  <si>
    <t>GA-002, GS-040</t>
  </si>
  <si>
    <t>Distance, reliability and fairness</t>
  </si>
  <si>
    <t>GA-003, GA-007, GA-008</t>
  </si>
  <si>
    <t>Road ETA (F4), busy riders as fallback (F3), batching</t>
  </si>
  <si>
    <t>GS-072, GA-005</t>
  </si>
  <si>
    <t>#55; #58</t>
  </si>
  <si>
    <t>F3.3</t>
  </si>
  <si>
    <t>F3.3  Offer</t>
  </si>
  <si>
    <t>Offer to the best rider with expiry, retries and operator override</t>
  </si>
  <si>
    <t>GS-039, GA-009, RBAC-007</t>
  </si>
  <si>
    <t>Baseline; #10; #23</t>
  </si>
  <si>
    <t>Broadcast offers / widen the radius</t>
  </si>
  <si>
    <t>DONE (18 Oct batch): 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</si>
  <si>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Rider side: broadcast after N s, radius 2&gt;4&gt;6 km, atomic first accept, 'Offer taken' (rule dispatchBroadcast, OFF until the owner switches it on). Owner request: admin/operator broadcasts (audience, city/PIN, schedule, expiry) + Notification Centre (bell + /notifications, read/unread) on web and app; push/email by opt-in.</t>
  </si>
  <si>
    <t>F4</t>
  </si>
  <si>
    <t>Rider</t>
  </si>
  <si>
    <t>F4.1</t>
  </si>
  <si>
    <t>F4.1  Pickup</t>
  </si>
  <si>
    <t>Accept the job (Jobs screen; ordered trip list when batched)</t>
  </si>
  <si>
    <t>#21; #58</t>
  </si>
  <si>
    <t>Arrive at shop checkpoint and pickup code</t>
  </si>
  <si>
    <t>NEW-004, GS-041</t>
  </si>
  <si>
    <t>Pickup by QR code</t>
  </si>
  <si>
    <t>DONE (18 Oct batch): Signed single-use QR (HMAC) on the shop screen and printable packing slip; camera scan in the rider app; PICKED_UP with time + GPS, customer told at once; typed-code fallback. Rule pickupQr OFF; on gokesari.com set PICKUP_QR_SECRET first.</t>
  </si>
  <si>
    <t>Signed single-use QR (HMAC) on the shop screen and printable packing slip; camera scan in the rider app; PICKED_UP with time + GPS, customer told at once; typed-code fallback. Rule pickupQr OFF; on gokesari.com set PICKUP_QR_SECRET first.</t>
  </si>
  <si>
    <t>F4.2</t>
  </si>
  <si>
    <t>F4.2  Drop</t>
  </si>
  <si>
    <t>F4.2.1</t>
  </si>
  <si>
    <t>Navigate with a Google Maps deep link</t>
  </si>
  <si>
    <t>DONE-SANDBOX (18 Oct batch): RoutingProvider (mock / Google Routes / OSRM): route line, next manoeuvre, ETA, off-route re-route, voice prompts, Open-in-Google-Maps; keeps feeding live tracking. Mock router on test; real directions need a Google Routes key or own OSRM server. Rule riderNavigation OFF.</t>
  </si>
  <si>
    <t>RoutingProvider (mock / Google Routes / OSRM): route line, next manoeuvre, ETA, off-route re-route, voice prompts, Open-in-Google-Maps; keeps feeding live tracking. Mock router on test; real directions need a Google Routes key or own OSRM server. Rule riderNavigation OFF.</t>
  </si>
  <si>
    <t>F4.2.3</t>
  </si>
  <si>
    <t>Society gate access and instructions</t>
  </si>
  <si>
    <t>F4.2.4</t>
  </si>
  <si>
    <t>Delivery code, arrival checkpoint and photo proof</t>
  </si>
  <si>
    <t>GS-043, NEW-007</t>
  </si>
  <si>
    <t>#10; #23; #58</t>
  </si>
  <si>
    <t>Photo proof off by default</t>
  </si>
  <si>
    <t>F4.2.5</t>
  </si>
  <si>
    <t>Code lockout raises a ticket; shop cannot bypass the code</t>
  </si>
  <si>
    <t>Signature capture</t>
  </si>
  <si>
    <t>DEFERRED-PHASE-2 (18 Oct batch): Signature capture deferred to Phase 2 by the owner; not built.</t>
  </si>
  <si>
    <t>DEFERRED-PHASE-2</t>
  </si>
  <si>
    <t>Signature capture deferred to Phase 2 by the owner; not built.</t>
  </si>
  <si>
    <t>Failed delivery / return to shop</t>
  </si>
  <si>
    <t>SM-001, WF-005</t>
  </si>
  <si>
    <t>F5</t>
  </si>
  <si>
    <t>Society admin</t>
  </si>
  <si>
    <t>F5.1</t>
  </si>
  <si>
    <t>F5.1  Society set-up</t>
  </si>
  <si>
    <t>Register the society; operations verify it</t>
  </si>
  <si>
    <t>F5.1.2</t>
  </si>
  <si>
    <t>Members: admin, operator, resident</t>
  </si>
  <si>
    <t>GS-005, GS-002</t>
  </si>
  <si>
    <t>F5.2</t>
  </si>
  <si>
    <t>F5.2  Rider control</t>
  </si>
  <si>
    <t>Whitelist or revoke riders</t>
  </si>
  <si>
    <t>GS-045, RBAC-009</t>
  </si>
  <si>
    <t>Only verified societies may add riders (C2)</t>
  </si>
  <si>
    <t>F5.2.3</t>
  </si>
  <si>
    <t>Rider photo and ID on the society dashboard (C5)</t>
  </si>
  <si>
    <t>F5.3</t>
  </si>
  <si>
    <t>F5.3  Gate</t>
  </si>
  <si>
    <t>F5.3.1</t>
  </si>
  <si>
    <t>Delivery instructions for the assigned rider</t>
  </si>
  <si>
    <t>Security notified of the assigned rider</t>
  </si>
  <si>
    <t>F6</t>
  </si>
  <si>
    <t>Customer / Operator</t>
  </si>
  <si>
    <t>F6.1</t>
  </si>
  <si>
    <t>F6.1  Cancellation</t>
  </si>
  <si>
    <t>F6.1.1</t>
  </si>
  <si>
    <t>Cancel before packing: full refund incl. delivery fee</t>
  </si>
  <si>
    <t>F6.1.2</t>
  </si>
  <si>
    <t>Customer may cancel until packing (rule)</t>
  </si>
  <si>
    <t>F6.1.3</t>
  </si>
  <si>
    <t>After-packing treatments (D10) signed off</t>
  </si>
  <si>
    <t>DONE (18 Oct batch): Before packing: full refund incl. delivery (unchanged). After packing: per-shop fee (amount or %, cap, on/off) within admin limits, shown before confirming, written to the order ledger. Rule afterPackingCancellation OFF until the refund policy text is updated.</t>
  </si>
  <si>
    <t>Before packing: full refund incl. delivery (unchanged). After packing: per-shop fee (amount or %, cap, on/off) within admin limits, shown before confirming, written to the order ledger. Rule afterPackingCancellation OFF until the refund policy text is updated.</t>
  </si>
  <si>
    <t>F6.2</t>
  </si>
  <si>
    <t>F6.2  Returns and refunds</t>
  </si>
  <si>
    <t>Report an issue - grievance ticket</t>
  </si>
  <si>
    <t>Return request, pickup and refund to wallet</t>
  </si>
  <si>
    <t>GS-057, WF-007</t>
  </si>
  <si>
    <t>F6.2.3</t>
  </si>
  <si>
    <t>Refund to card / UPI</t>
  </si>
  <si>
    <t>DONE-SANDBOX (18 Oct batch): 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</si>
  <si>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Itemised refund breakdown; customer chooses original method (gateway refund API, intent &gt; REFUNDED/PARTIALLY_REFUNDED) or instant wallet (wallet created if missing); wallet/COD orders refund to wallet; email + push; refund timeline in the order. Original-method refunds live with onlinePayments.</t>
  </si>
  <si>
    <t>F6.3</t>
  </si>
  <si>
    <t>F6.3  Disputes</t>
  </si>
  <si>
    <t>Dispute case lifecycle with auto-escalation</t>
  </si>
  <si>
    <t>#40</t>
  </si>
  <si>
    <t>Conversation, attachments, 24 h SLA</t>
  </si>
  <si>
    <t>Issue state machine scope (SM-006)</t>
  </si>
  <si>
    <t>DONE (18 Oct batch): 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</si>
  <si>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Ticket state machine (OPEN&gt;ACK&gt;IN_PROGRESS&gt;AWAITING_CUSTOMER/SHOP&gt;RESOLVED&gt;CLOSED + REOPENED/ESCALATED), portal + from the order, attachments, queues, assignment, internal notes, canned replies, SLA timers + escalation (Rule 4: 48 h / one month, configurable), CSAT, notify every change, Grievance Officer editable in Admin. Counsel to confirm the rule text.</t>
  </si>
  <si>
    <t>F6.4</t>
  </si>
  <si>
    <t>F6.4  Ratings</t>
  </si>
  <si>
    <t>Shop and rider ratings with moderation</t>
  </si>
  <si>
    <t>GS-059, GS-060</t>
  </si>
  <si>
    <t>F7</t>
  </si>
  <si>
    <t>Customer / System</t>
  </si>
  <si>
    <t>F7.1</t>
  </si>
  <si>
    <t>F7.1  Set up</t>
  </si>
  <si>
    <t>Milk, vegetables and daily-goods subscriptions (draft, active)</t>
  </si>
  <si>
    <t>GS-048, GS-049, SM-004</t>
  </si>
  <si>
    <t>F7.2</t>
  </si>
  <si>
    <t>F7.2  Manage</t>
  </si>
  <si>
    <t>Skip, pause, resume, cancel with cut-offs; Tomorrow's delivery card</t>
  </si>
  <si>
    <t>GS-051, NEW-019</t>
  </si>
  <si>
    <t>Baseline; #11; #83</t>
  </si>
  <si>
    <t>F7.3</t>
  </si>
  <si>
    <t>F7.3  Run</t>
  </si>
  <si>
    <t>F7.3.1</t>
  </si>
  <si>
    <t>Daily order generation (idempotent)</t>
  </si>
  <si>
    <t>Wallet charge; payment pending; renewal pending</t>
  </si>
  <si>
    <t>GS-050, SM-004</t>
  </si>
  <si>
    <t>Baseline; #58</t>
  </si>
  <si>
    <t>Fulfilment and delivery through the normal flow; per-date status</t>
  </si>
  <si>
    <t>WF-006, NAV-005</t>
  </si>
  <si>
    <t>F8</t>
  </si>
  <si>
    <t>Shop owner / Operator</t>
  </si>
  <si>
    <t>F8.1</t>
  </si>
  <si>
    <t>F8.1  Register</t>
  </si>
  <si>
    <t>Register a shop (duplicate guard, at least one ID, GST field)</t>
  </si>
  <si>
    <t>#22; #45</t>
  </si>
  <si>
    <t>Self-registration with auto-approval and fee tiers</t>
  </si>
  <si>
    <t>#92; #120</t>
  </si>
  <si>
    <t>On gokesari.com since #120 (9 Oct), switched off by default - switch on in Admin &gt; Business rules; needs a real SMS/WhatsApp provider before it can be switched on</t>
  </si>
  <si>
    <t>Mandatory referral code; 'Request a referral code' with location, emailed to referrals@</t>
  </si>
  <si>
    <t>NEW-042, GS-054</t>
  </si>
  <si>
    <t>F8.1.4</t>
  </si>
  <si>
    <t>Admin sets the referral code Mandatory or Optional for customers and shops</t>
  </si>
  <si>
    <t>#133; #135</t>
  </si>
  <si>
    <t>Both OPTIONAL on production</t>
  </si>
  <si>
    <t>F8.2</t>
  </si>
  <si>
    <t>F8.2  Verify</t>
  </si>
  <si>
    <t>Seller documents: PAN, GSTIN, Udyam, FSSAI, Shop Act</t>
  </si>
  <si>
    <t>#53</t>
  </si>
  <si>
    <t>Mock vendor until Gridlines keys are set</t>
  </si>
  <si>
    <t>Real-time review events, 'more info', auto-approval</t>
  </si>
  <si>
    <t>Registration fee paid before approval</t>
  </si>
  <si>
    <t>Stages KYC pending -&gt; payment pending -&gt; verified -&gt; active</t>
  </si>
  <si>
    <t>Mandatory legal documents by shop type (FSSAI, drug licence, medical registration), grace period, expiry reminders, review</t>
  </si>
  <si>
    <t>NEW-040, GS-007</t>
  </si>
  <si>
    <t>Upload or photograph a document; auto-read fills the details; Verify &amp; Approve</t>
  </si>
  <si>
    <t>#146-#149; #169; #175</t>
  </si>
  <si>
    <t>Photos read in the owner's browser on gokesari.com since 15 Oct (#175); PDFs on the server</t>
  </si>
  <si>
    <t>FSSAI licence required before a food shop goes live</t>
  </si>
  <si>
    <t>#146; #149</t>
  </si>
  <si>
    <t>Rule on</t>
  </si>
  <si>
    <t>F8.3</t>
  </si>
  <si>
    <t>F8.3  Approve and set up</t>
  </si>
  <si>
    <t>Operator approval queue</t>
  </si>
  <si>
    <t>RBAC-006, WF-008</t>
  </si>
  <si>
    <t>Baseline; #53</t>
  </si>
  <si>
    <t>Shop categories, product categories, inventory fill, per-shop prices</t>
  </si>
  <si>
    <t>GS-009, NEW-008, NEW-010</t>
  </si>
  <si>
    <t>#23; #38; #45</t>
  </si>
  <si>
    <t>Service area: radius, extra PIN zones, minimum order, pause</t>
  </si>
  <si>
    <t>GS-010, NEW-005</t>
  </si>
  <si>
    <t>Shop's own customer contact numbers (C1)</t>
  </si>
  <si>
    <t>F8.4</t>
  </si>
  <si>
    <t>F8.4  Ongoing</t>
  </si>
  <si>
    <t>Suspension policy, impact preview, reinstatement</t>
  </si>
  <si>
    <t>Operator 'Limited' shop management</t>
  </si>
  <si>
    <t>DONE-SANDBOX (18 Oct batch): 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</si>
  <si>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New OPERATOR_LIMITED role (live on test): onboard with owner email-OTP consent, verify documents (approve/reject + reason), referral code, complete registration; fee by payment link or in session via the gateway (sandbox), success &gt; auto-approve rule, else admin queue; no finance/payouts/settings/other operators' shops; every action audited.</t>
  </si>
  <si>
    <t>Seller Central workspace for shop owners and the 'Sell on GoKesari' page</t>
  </si>
  <si>
    <t>#142; #143</t>
  </si>
  <si>
    <t>Owner with several shops switches shop in Seller Central</t>
  </si>
  <si>
    <t>#168; #175</t>
  </si>
  <si>
    <t>Live on gokesari.com since 15 Oct (#175)</t>
  </si>
  <si>
    <t>F9</t>
  </si>
  <si>
    <t>F9.1</t>
  </si>
  <si>
    <t>F9.1  Master data</t>
  </si>
  <si>
    <t>Ingest lawful sources, match, review duplicates</t>
  </si>
  <si>
    <t>PMD-001, PMD-003, PMD-005</t>
  </si>
  <si>
    <t>#4; #9</t>
  </si>
  <si>
    <t>GS1 India and manufacturer feeds</t>
  </si>
  <si>
    <t>#4; #190, #192, #193, #194</t>
  </si>
  <si>
    <t>DONE-SANDBOX (18 Oct batch): 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</si>
  <si>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#190, #192, #193, #194</t>
  </si>
  <si>
    <t>ProductDataSource: manufacturer portal (template + hashed API keys) live; GS1 DataKart = mock until an agreement (Owner inputs §8); Open Food Facts importer behind a flag (ODbL attribution). Staging + GTIN de-dup. docs/product-data-sources.md. Look-ups reply within 20 s and finish long imports in the background (#193; S-035 passes on test.gokesari.com).</t>
  </si>
  <si>
    <t>Large-scale ingestion; product browser and promote button</t>
  </si>
  <si>
    <t>PMD-006, PMD-007</t>
  </si>
  <si>
    <t>#190, #193, #194</t>
  </si>
  <si>
    <t>DONE (18 Oct batch): 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</si>
  <si>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Batched, resumable ingestion (100k rows staged in 16.8 s, full load ~133 rows/s), validation report + error file, image fetch/resize to ObjectStore, progress UI; product browser (search/filter/sort across staging and master, side-by-side merge, bulk edit); promote single/bulk. Shop MRP edits still apply to that shop only.</t>
  </si>
  <si>
    <t>F9.2</t>
  </si>
  <si>
    <t>F9.2  Shop catalogue</t>
  </si>
  <si>
    <t>F9.2.1</t>
  </si>
  <si>
    <t>Category master and one-time categorisation</t>
  </si>
  <si>
    <t>Create products, bulk Excel upload, approval queue</t>
  </si>
  <si>
    <t>GS-012, GS-013, RBAC-005</t>
  </si>
  <si>
    <t>MRP governance, price history, stock and thresholds</t>
  </si>
  <si>
    <t>GS-015, GS-016, GS-017, GS-018</t>
  </si>
  <si>
    <t>Baseline; #23; #45</t>
  </si>
  <si>
    <t>Product images, moderation (F10), photo catalogue</t>
  </si>
  <si>
    <t>GS-014, NEW-017</t>
  </si>
  <si>
    <t>#23; #55; #79</t>
  </si>
  <si>
    <t>Moderation off by default</t>
  </si>
  <si>
    <t>Five photos + descriptions per listing, bulk ZIP/CSV, shop staff</t>
  </si>
  <si>
    <t>Accounting / inventory sync and GST (GSP)</t>
  </si>
  <si>
    <t>#92; #120; #190, #194</t>
  </si>
  <si>
    <t>DONE (18 Oct batch): 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</si>
  <si>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Inventory sync descoped (rule inventorySync OFF; #92/#120 code kept). GST tax invoice per order on behalf of the shop: legal name, GSTIN or PAN-only wording, HSN, taxable value, CGST/SGST vs IGST by place of supply, series per shop per FY, QR, PDF, e-mailed to the customer + copy to the shop; credit notes for cancellations/returns; rates from HSN config. Rule invoiceDelivery OFF until switched on.</t>
  </si>
  <si>
    <t>Shop's own books: stock ledger, purchases and sales, GST returns and reconciliation, supplier bill scan</t>
  </si>
  <si>
    <t>#171, #172; released #179</t>
  </si>
  <si>
    <t>Live on gokesari.com since 15 Oct (release #179). Pages ~4 s on test after #172. GSP link and AI bill reading not switched on (owner decisions).</t>
  </si>
  <si>
    <t>F10</t>
  </si>
  <si>
    <t>Finance / System</t>
  </si>
  <si>
    <t>F10.1</t>
  </si>
  <si>
    <t>F10.1  Per order</t>
  </si>
  <si>
    <t>Commission and financial snapshot at delivery</t>
  </si>
  <si>
    <t>F10.1.2</t>
  </si>
  <si>
    <t>Tax invoice or bill of supply per delivered order</t>
  </si>
  <si>
    <t>Off by default; CA check pending</t>
  </si>
  <si>
    <t>Shop prepaid wallet: commission + Rs 5/km delivery charge debited</t>
  </si>
  <si>
    <t>NEW-033, NEW-034</t>
  </si>
  <si>
    <t>F10.2</t>
  </si>
  <si>
    <t>F10.2  Periodic</t>
  </si>
  <si>
    <t>Weekly shop settlement and rider payouts</t>
  </si>
  <si>
    <t>GS-062, GS-064, WF-010</t>
  </si>
  <si>
    <t>Reconciliation with exception queue</t>
  </si>
  <si>
    <t>Rider earnings rules (slots, incentives)</t>
  </si>
  <si>
    <t>Automated bank transfer</t>
  </si>
  <si>
    <t>DONE-SANDBOX (18 Oct batch): 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</si>
  <si>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PayoutProvider (sandbox; RazorpayX/Cashfree scaffolds), cycle every 5 days (configurable), itemised net payable incl. TCS/TDS/GST on fees, maker-checker, verified bank accounts only, webhooks + retries + UTR, statements PDF/CSV, bank file + 'mark paid with UTR' until live keys. Rule payouts OFF (Owner inputs §3).</t>
  </si>
  <si>
    <t>Platform invoice for GoKesari's own fees (D6)</t>
  </si>
  <si>
    <t>DONE-SANDBOX (18 Oct batch): 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</si>
  <si>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GoKesari fee invoices per cycle (commission, delivery/platform, registration, billing management) with GSTIN, &lt;=16-char FY series, SAC, CGST+SGST/IGST, recipient GSTIN, QR, PDF; credit/debit notes; monthly GSTR-1-ready export. Statutory TCS 0.5% / TDS 0.1% / 9(5) as dated settings, all 'not confirmed by CA'. Tested with a fake tax profile on test; production OFF until GSTIN + CA confirmation (Owner inputs §4-6).</t>
  </si>
  <si>
    <t>Rs 1-verified bank account / UPI before shop payouts; customer refund account</t>
  </si>
  <si>
    <t>NEW-041, GS-062</t>
  </si>
  <si>
    <t>On gokesari.com since #120 (9 Oct), switched off by default - switch on in Admin &gt; Business rules; Cashfree live keys needed for production</t>
  </si>
  <si>
    <t>F11</t>
  </si>
  <si>
    <t>F11.1</t>
  </si>
  <si>
    <t>F11.1  Campaigns</t>
  </si>
  <si>
    <t>Customer segments (consent-gated)</t>
  </si>
  <si>
    <t>Shop campaign -&gt; approval -&gt; send (budgets, frequency caps)</t>
  </si>
  <si>
    <t>GS-053, WF-009</t>
  </si>
  <si>
    <t>F11.2</t>
  </si>
  <si>
    <t>F11.2  Offers and referrals</t>
  </si>
  <si>
    <t>F11.2.1</t>
  </si>
  <si>
    <t>Shop offers (F8)</t>
  </si>
  <si>
    <t>Customer referral rewards (F11)</t>
  </si>
  <si>
    <t>#55; #56</t>
  </si>
  <si>
    <t>Marketing consent On/Off switch</t>
  </si>
  <si>
    <t>GS-070, NEW-016</t>
  </si>
  <si>
    <t>#77</t>
  </si>
  <si>
    <t>F12</t>
  </si>
  <si>
    <t>Operator / Admin</t>
  </si>
  <si>
    <t>F12.1</t>
  </si>
  <si>
    <t>F12.1  Monitor</t>
  </si>
  <si>
    <t>Global dashboard and KPI analytics</t>
  </si>
  <si>
    <t>GS-065, GS-069</t>
  </si>
  <si>
    <t>#18; #21; #23</t>
  </si>
  <si>
    <t>Order monitoring, exceptions queue, reassign</t>
  </si>
  <si>
    <t>GS-066, NAV-015, NAV-016</t>
  </si>
  <si>
    <t>#21; #74</t>
  </si>
  <si>
    <t>Hourly risk scan and review queue</t>
  </si>
  <si>
    <t>#18; #21</t>
  </si>
  <si>
    <t>Per-order risk rules</t>
  </si>
  <si>
    <t>F12.2</t>
  </si>
  <si>
    <t>F12.2  Control</t>
  </si>
  <si>
    <t>Roles, multi-role grants, privileges with explicit Save, audit log</t>
  </si>
  <si>
    <t>GS-002, GS-003, NEW-009, GS-067</t>
  </si>
  <si>
    <t>#18; #30</t>
  </si>
  <si>
    <t>Business-rules console</t>
  </si>
  <si>
    <t>Business limits as rules (item B)</t>
  </si>
  <si>
    <t>Consent view</t>
  </si>
  <si>
    <t>#34</t>
  </si>
  <si>
    <t>F12.2.5</t>
  </si>
  <si>
    <t>Rider KYC review (/admin/rider-kyc)</t>
  </si>
  <si>
    <t>F13</t>
  </si>
  <si>
    <t>F13.1</t>
  </si>
  <si>
    <t>F13.1  Channels</t>
  </si>
  <si>
    <t>In-app and email notifications with preferences</t>
  </si>
  <si>
    <t>GS-055, NEW-016</t>
  </si>
  <si>
    <t>#23; #75</t>
  </si>
  <si>
    <t>Mail host hourly sending cap seen on test (GAP-009)</t>
  </si>
  <si>
    <t>F13.1.2</t>
  </si>
  <si>
    <t>SMS, WhatsApp and push providers</t>
  </si>
  <si>
    <t>DONE-SANDBOX (18 Oct batch): One NotificationService path: email templates (live), Expo push (mock on test; production needs EAS/FCM/APNs keys and app 1.2.0), in-app Notification Centre; preferences; delivery log with retries + push receipts. WhatsApp/SMS = Phase-2 stubs.</t>
  </si>
  <si>
    <t>One NotificationService path: email templates (live), Expo push (mock on test; production needs EAS/FCM/APNs keys and app 1.2.0), in-app Notification Centre; preferences; delivery log with retries + push receipts. WhatsApp/SMS = Phase-2 stubs.</t>
  </si>
  <si>
    <t>F13.2</t>
  </si>
  <si>
    <t>F13.2  Events</t>
  </si>
  <si>
    <t>F13.2.1</t>
  </si>
  <si>
    <t>Domain events, outbox with retries, timeout sweep</t>
  </si>
  <si>
    <t>F14</t>
  </si>
  <si>
    <t>Developer / Owner</t>
  </si>
  <si>
    <t>F14.1</t>
  </si>
  <si>
    <t>F14.1  Build and test</t>
  </si>
  <si>
    <t>Feature branch -&gt; PR into staging -&gt; CI (typecheck, lint, tests, build)</t>
  </si>
  <si>
    <t>PLT-003, QA-001</t>
  </si>
  <si>
    <t>#7; #52</t>
  </si>
  <si>
    <t>Test database migrate / backup / verify through the 'Test database' workflow</t>
  </si>
  <si>
    <t>#90; #94</t>
  </si>
  <si>
    <t>Execute the 791 test cases and sign off on test.gokesari.com</t>
  </si>
  <si>
    <t>QA-003, QA-002, QA-008, QA-009</t>
  </si>
  <si>
    <t>#51 (framework); #190, #192, #194</t>
  </si>
  <si>
    <t>Automated by QA-010 and run on local, staging and production (guest); 8 defects open, 3 need an owner decision</t>
  </si>
  <si>
    <t>BLOCKED-OWNER-INPUT</t>
  </si>
  <si>
    <t>Released to gokesari.com by #194 (merge fc70223, 20:45:32 UTC = restore point). Automated: 283/283 batch cases + 8 mobile; whole suite 2191/2192 (1 pre-existing load flake); CI green on #190/#192/#193/#194. test.gokesari.com: remote checks 12/12; signed-in journeys 40 pass, 1 blocked (S-014 no rider online). gokesari.com: production-safe checks 12/12; Production database verify passed (run 39211030047, 19 Oct: 0079–0084 applied, none missing). Report: docs/test-reports/2026-10-batch.md. Production order lifecycle needs owner inputs §14.</t>
  </si>
  <si>
    <t>Pay Cashfree sandbox checkouts from a GitHub runner for E2E runs</t>
  </si>
  <si>
    <t>#102; #103</t>
  </si>
  <si>
    <t>Browser test run of the four features + regression recorded step by step</t>
  </si>
  <si>
    <t>#103; #104</t>
  </si>
  <si>
    <t>All PASS; 3 fixes re-checked</t>
  </si>
  <si>
    <t>Automated QA suite: run guest / signed-in / local tiers and record the register</t>
  </si>
  <si>
    <t>QA-010, QA-003</t>
  </si>
  <si>
    <t>Production guest tier 96 pass, 0 fail after release #242</t>
  </si>
  <si>
    <t>F14.2</t>
  </si>
  <si>
    <t>F14.2  Release</t>
  </si>
  <si>
    <t>Migrate production through the 'Production database' workflow</t>
  </si>
  <si>
    <t>#93; #118; #190, #194</t>
  </si>
  <si>
    <t>DONE (18 Oct batch): 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</si>
  <si>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Fixed and released (#190, #194): the job declares environment: production and a fail-fast preflight that lists what it can see without printing values. The owner added PROD_DATABASE_HOST / PROD_DATABASE_NAME to the production environment on 19 Oct (the values had been on an unused 'PROD' environment). Verify run 39211030047 (19 Oct) PASSED: all values visible, guard confirmed database neondb on the production Neon host, 86 migrations recorded, newest 0084_batch_f_notifications = release, none missing.</t>
  </si>
  <si>
    <t>Promote staging -&gt; main (deploys gokesari.com)</t>
  </si>
  <si>
    <t>PLT-006, PLT-007</t>
  </si>
  <si>
    <t>#86 reverted by #87; #120</t>
  </si>
  <si>
    <t>#120 merged 9 Oct 14:06 UTC: migrations 0056-0073 applied by MIGRATE_ON_BUILD, then the new code went live; verified 14:55 UTC</t>
  </si>
  <si>
    <t>Copy real shops from the test site to production</t>
  </si>
  <si>
    <t>#140; #144; #156</t>
  </si>
  <si>
    <t>Used once: 5 shops, 12-13 Oct (SQL in the Neon console)</t>
  </si>
  <si>
    <t>Split production into seller and customer databases</t>
  </si>
  <si>
    <t>#146-#162; #190, #194; #204, #211, #213, #215, #216, #218, #219</t>
  </si>
  <si>
    <t>Done: test switched 19 Oct 21:44 UTC, production 20 Oct 00:39 UTC (Database split runs 29 and 31); switch-status 20 Oct 05:46 UTC shows two databases on both sites. Earlier: BLOCKED-OWNER-INPUT (18 Oct batch): Split secrets verified visible (14 Oct production copy PASS: 190 tables, 486/486 rows, checksums equal, no broken links). Cut-over not performed: needs the owner's window, Neon logical replication and the phase-3 service moves (docs/db-split-2026-10/CUTOVER_2026-10-18.md).</t>
  </si>
  <si>
    <t>Split secrets verified visible (14 Oct production copy PASS: 190 tables, 486/486 rows, checksums equal, no broken links). Cut-over not performed: needs the owner's window, Neon logical replication and the phase-3 service moves (docs/db-split-2026-10/CUTOVER_2026-10-18.md).</t>
  </si>
  <si>
    <t>F15</t>
  </si>
  <si>
    <t>Customer / all roles</t>
  </si>
  <si>
    <t>F15.1</t>
  </si>
  <si>
    <t>F15.1  Install</t>
  </si>
  <si>
    <t>Android: download the test APK from GitHub Actions and install</t>
  </si>
  <si>
    <t>NEW-043, PLT-010</t>
  </si>
  <si>
    <t>Test signing key - not a store build</t>
  </si>
  <si>
    <t>iPhone: add gokesari.com to the home screen from Safari (full-screen, Back button)</t>
  </si>
  <si>
    <t>F15.1.3</t>
  </si>
  <si>
    <t>Publish on Google Play</t>
  </si>
  <si>
    <t>Owner</t>
  </si>
  <si>
    <t>ON-HOLD (18 Oct batch): Google Play publishing on hold (owner decision). Internal Android builds produced: APK production + preview (Android APK run 39146831653, artifacts 12143529084 / 12143309950, app 1.2.0).</t>
  </si>
  <si>
    <t>ON-HOLD</t>
  </si>
  <si>
    <t>Google Play publishing on hold (owner decision). Internal Android builds produced: APK production + preview (Android APK run 39146831653, artifacts 12143529084 / 12143309950, app 1.2.0).</t>
  </si>
  <si>
    <t>Publish on the App Store (or install a native build on an iPhone)</t>
  </si>
  <si>
    <t>#153; #157; -</t>
  </si>
  <si>
    <t>ON-HOLD (18 Oct batch): App Store publishing on hold (owner decision). 'iPhone app' workflow kept ready; trial internal build stopped at its pre-check: needs EXPO_TOKEN, the Expo project id and App Store Connect keys (Owner inputs §11).</t>
  </si>
  <si>
    <t>App Store publishing on hold (owner decision). 'iPhone app' workflow kept ready; trial internal build stopped at its pre-check: needs EXPO_TOKEN, the Expo project id and App Store Connect keys (Owner inputs §11).</t>
  </si>
  <si>
    <t>F15.2</t>
  </si>
  <si>
    <t>F15.2  Use</t>
  </si>
  <si>
    <t>F15.2.1</t>
  </si>
  <si>
    <t>Every website feature in the app, with native location, camera, downloads, print, share and offline screen</t>
  </si>
  <si>
    <t>F15.2.2</t>
  </si>
  <si>
    <t>Continue with Google from the app (system browser hand-off)</t>
  </si>
  <si>
    <t>F15.2.3</t>
  </si>
  <si>
    <t>gokesari.com links open the app (deep links)</t>
  </si>
  <si>
    <t>#100 (code); #190, #194</t>
  </si>
  <si>
    <t>BLOCKED-OWNER-INPUT (18 Oct batch): 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</si>
  <si>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Built and live on test: assetlinks.json (host-aware package) and apple-app-site-association (no extension, application/json) always served, intent filters with autoVerify, associated domains, route map product/shop/order/invite/notification/ticket, in-app routing, web fallback. Activates when the owner sets the SHA-256 fingerprint and Apple Team ID (docs/deep-links-activation.md).</t>
  </si>
  <si>
    <t>F16</t>
  </si>
  <si>
    <t>Dealer, staff</t>
  </si>
  <si>
    <t>F16.1</t>
  </si>
  <si>
    <t>F16.1  Join</t>
  </si>
  <si>
    <t>Apply by dealer type with mobile OTP, e-mail and documents per type</t>
  </si>
  <si>
    <t>Dealer</t>
  </si>
  <si>
    <t>GKS-DR-001, GKS-FLAGS</t>
  </si>
  <si>
    <t>Built, released #268; flag off on gokesari.com</t>
  </si>
  <si>
    <t>F16.1.2</t>
  </si>
  <si>
    <t>Rs 1 bank-account check and agreement</t>
  </si>
  <si>
    <t>Released #268; flag off</t>
  </si>
  <si>
    <t>Admin reviews documents; approve / reject / suspend / terminate</t>
  </si>
  <si>
    <t>Released #268; D-1 fixed</t>
  </si>
  <si>
    <t>Admin adds a dealer in any state / district (approved at once)</t>
  </si>
  <si>
    <t>GKS-IN-001, GKS-IN-002</t>
  </si>
  <si>
    <t>Released #277; staging pass 29 Oct (D-4 fixed)</t>
  </si>
  <si>
    <t>Dealer gets a code, share link and QR</t>
  </si>
  <si>
    <t>Released #268</t>
  </si>
  <si>
    <t>Dealer adds employees (salespeople, optional Employee ID)</t>
  </si>
  <si>
    <t>F16.2</t>
  </si>
  <si>
    <t>F16.2  Bring shops</t>
  </si>
  <si>
    <t>Shop self-registers with a dealer code (?ref= link or typed)</t>
  </si>
  <si>
    <t>Dealer registers a shop with the owner; owner confirms with a code</t>
  </si>
  <si>
    <t>Dealer, shop owner</t>
  </si>
  <si>
    <t>Duplicate check (phone, GSTIN, name within 150 m)</t>
  </si>
  <si>
    <t>Released #268; staging: automated tests only</t>
  </si>
  <si>
    <t>30-day leads, attribution priority, claims decided by staff</t>
  </si>
  <si>
    <t>F16.3</t>
  </si>
  <si>
    <t>F16.3  Earn</t>
  </si>
  <si>
    <t>Commission rules: fixed / % / both; India, state, district; shop type; milestone</t>
  </si>
  <si>
    <t>GKS-CM-001, GKS-IN-003</t>
  </si>
  <si>
    <t>#268; #277</t>
  </si>
  <si>
    <t>Released #268, #277</t>
  </si>
  <si>
    <t>Base % of the registration fee, moved up or down by rating, per dealer</t>
  </si>
  <si>
    <t>Released #285</t>
  </si>
  <si>
    <t>Rating 0-10 and bonus</t>
  </si>
  <si>
    <t>Released #268; flag dealer_rating_bonus_enabled off</t>
  </si>
  <si>
    <t>Ledger earned -&gt; approved -&gt; paid; holds, reversals; waived fee earns nothing</t>
  </si>
  <si>
    <t>System, admin</t>
  </si>
  <si>
    <t>GKS-CM-002, GKS-CM-006</t>
  </si>
  <si>
    <t>#268; #275</t>
  </si>
  <si>
    <t>Released #268, #275</t>
  </si>
  <si>
    <t>Monthly payout drafted on the 5th with a statement per dealer</t>
  </si>
  <si>
    <t>Released #281</t>
  </si>
  <si>
    <t>F16.4</t>
  </si>
  <si>
    <t>F16.4  Track</t>
  </si>
  <si>
    <t>Dealer board: tiles, pending, performance, employees, areas</t>
  </si>
  <si>
    <t>Coverage map and area targets</t>
  </si>
  <si>
    <t>Performance score, activation and 30-day activity</t>
  </si>
  <si>
    <t>GKS-AN-001, GKS-AN-002</t>
  </si>
  <si>
    <t>F16.5</t>
  </si>
  <si>
    <t>F16.5  Support services</t>
  </si>
  <si>
    <t>F16.5.1</t>
  </si>
  <si>
    <t>Shop requests a service: general (free), product upload, price update</t>
  </si>
  <si>
    <t>Released #268; flag paid_support_services_enabled off</t>
  </si>
  <si>
    <t>F16.5.2</t>
  </si>
  <si>
    <t>Pay by wallet or online; tickets; refunds</t>
  </si>
  <si>
    <t>Shop owner, staff</t>
  </si>
  <si>
    <t>F17</t>
  </si>
  <si>
    <t>F17.1</t>
  </si>
  <si>
    <t>F17.1  Register</t>
  </si>
  <si>
    <t>Add my shop: one pending registration, professional categories, new shop types</t>
  </si>
  <si>
    <t>NEW-078, NEW-079</t>
  </si>
  <si>
    <t>#266; #268</t>
  </si>
  <si>
    <t>Released #266, #268</t>
  </si>
  <si>
    <t>Wizard: GSTIN first, background PAN check, shop filled from the GST record</t>
  </si>
  <si>
    <t>Released #268; flag shop_onboarding_wizard_enabled off</t>
  </si>
  <si>
    <t>Wizard: Udyam, FSSAI, Shop Act and map; the draft becomes the shop</t>
  </si>
  <si>
    <t>Released #272; flag off</t>
  </si>
  <si>
    <t>Wizard only while its flag is on (or for an admin), GSTIN / PAN steps included</t>
  </si>
  <si>
    <t>Released #277, #285 (D-106)</t>
  </si>
  <si>
    <t>Shop referral (dealer) code required</t>
  </si>
  <si>
    <t>F17.2</t>
  </si>
  <si>
    <t>F17.2  Documents</t>
  </si>
  <si>
    <t>"Scan a document" detects its type; more licence types</t>
  </si>
  <si>
    <t>Released #272</t>
  </si>
  <si>
    <t>F17.2.2</t>
  </si>
  <si>
    <t>Documents before the registration fee, or a promise to send them</t>
  </si>
  <si>
    <t>Released #277</t>
  </si>
  <si>
    <t>F17.2.3</t>
  </si>
  <si>
    <t>Follow-up on the 1st and 15th; auto-suspension when the promise ends</t>
  </si>
  <si>
    <t>Released #277, #287 (D-107)</t>
  </si>
  <si>
    <t>Verification rules: GSTIN one business, Shop Act one shop, PAN / Udyam / Shop Act on the shop</t>
  </si>
  <si>
    <t>System, reviewer</t>
  </si>
  <si>
    <t>NEW-095, GKS-VER</t>
  </si>
  <si>
    <t>Released #277, #285</t>
  </si>
  <si>
    <t>F17.3</t>
  </si>
  <si>
    <t>F17.3  Registration fee</t>
  </si>
  <si>
    <t>Fee from the turnover slab set by the admin (Rs 999 + GST base)</t>
  </si>
  <si>
    <t>Admin, shop owner</t>
  </si>
  <si>
    <t>GKS-FEE, NEW-076</t>
  </si>
  <si>
    <t>F17.3.2</t>
  </si>
  <si>
    <t>Coupons on the registration fee</t>
  </si>
  <si>
    <t>F17.3.3</t>
  </si>
  <si>
    <t>Pay online, or staff record the payment / waive the fee</t>
  </si>
  <si>
    <t>NEW-076, NEW-089</t>
  </si>
  <si>
    <t>F17.4</t>
  </si>
  <si>
    <t>F17.4  Approve and go live</t>
  </si>
  <si>
    <t>F17.4.1</t>
  </si>
  <si>
    <t>Instant approval on GST/PAN verification + paid fee</t>
  </si>
  <si>
    <t>Released #268; flag gov_verification_auto_approval_enabled off</t>
  </si>
  <si>
    <t>F17.4.2</t>
  </si>
  <si>
    <t>Approval queue: missing documents, remind owner, approve without documents / on promise</t>
  </si>
  <si>
    <t>Admin, operator</t>
  </si>
  <si>
    <t>NEW-089, NEW-094</t>
  </si>
  <si>
    <t>#268; #287</t>
  </si>
  <si>
    <t>Released #268, #287 (D-108)</t>
  </si>
  <si>
    <t>Approval replies once saved; follow-ups run after the response</t>
  </si>
  <si>
    <t>F17.4.4</t>
  </si>
  <si>
    <t>Ready-for-upload e-mail; the shop goes live</t>
  </si>
  <si>
    <t>F18</t>
  </si>
  <si>
    <t>Dev, owner</t>
  </si>
  <si>
    <t>F18.1</t>
  </si>
  <si>
    <t>F18.1  Database location</t>
  </si>
  <si>
    <t>F18.1.1</t>
  </si>
  <si>
    <t>Both databases moved to Neon Singapore</t>
  </si>
  <si>
    <t>Done 28 Oct (test and production)</t>
  </si>
  <si>
    <t>No cold start: Neon scale-to-zero off (paid plan)</t>
  </si>
  <si>
    <t>Owner billing decision</t>
  </si>
  <si>
    <t>F18.1.3</t>
  </si>
  <si>
    <t>Delete the old Ohio projects (test after 4 Nov, production after 11 Nov)</t>
  </si>
  <si>
    <t>Kept frozen as fallback until then</t>
  </si>
  <si>
    <t>F18.2</t>
  </si>
  <si>
    <t>F18.2  Page speed</t>
  </si>
  <si>
    <t>Released #282 (median TTFB 0.34 s)</t>
  </si>
  <si>
    <t>Product and shop pages: reads together</t>
  </si>
  <si>
    <t>Cache data shared by everyone</t>
  </si>
  <si>
    <t>Static pages served from the CDN</t>
  </si>
  <si>
    <t>P4</t>
  </si>
  <si>
    <t>F18.3</t>
  </si>
  <si>
    <t>F18.3  Release safety</t>
  </si>
  <si>
    <t>Released #266</t>
  </si>
  <si>
    <t>Cron: one run of each entry point at a time (flock)</t>
  </si>
  <si>
    <t>F18.3.4</t>
  </si>
  <si>
    <t>Confirm the every-minute / hourly / daily jobs run on both sites</t>
  </si>
  <si>
    <t>Owner, dev</t>
  </si>
  <si>
    <t>Counters showed almost no every-minute runs on 28 Oct</t>
  </si>
  <si>
    <t>Dealer programme - every module, 29 Oct 2026 (from DEALER_PROGRAMME_TRACKER_2026-10-29.xlsx, plus #271, #275, #280)</t>
  </si>
  <si>
    <t>All modules built, tested and on gokesari.com with their flags off. Feature IDs match the Feature Register (FLAGS = GKS-FLAGS, FEE-SLABS = GKS-FEE, APP = GKS-APP, DOCS = GKS-DOCS, VER-FIX = GKS-VER).</t>
  </si>
  <si>
    <t>ID</t>
  </si>
  <si>
    <t>Module</t>
  </si>
  <si>
    <t>What it does</t>
  </si>
  <si>
    <t>Build step</t>
  </si>
  <si>
    <t>Migration</t>
  </si>
  <si>
    <t>Commit(s)</t>
  </si>
  <si>
    <t>Built</t>
  </si>
  <si>
    <t>Local + CI tests</t>
  </si>
  <si>
    <t>Staging (test.gokesari.com)</t>
  </si>
  <si>
    <t>Production</t>
  </si>
  <si>
    <t>FLAGS</t>
  </si>
  <si>
    <t>Four flags, per district; Maharashtra districts, Pune talukas / localities, PIN prefixes; DEALER role</t>
  </si>
  <si>
    <t>0101, 0102, 0103</t>
  </si>
  <si>
    <t>bc3f93a</t>
  </si>
  <si>
    <t>PASS</t>
  </si>
  <si>
    <t>Released (flags off): steps 1–10 on 28 Oct; all-India + verification fixes on 29 Oct (release 3, 88d288b)</t>
  </si>
  <si>
    <t>FEE-SLABS</t>
  </si>
  <si>
    <t>Admin-defined fee slabs by declared turnover (up to 20)</t>
  </si>
  <si>
    <t>—</t>
  </si>
  <si>
    <t>973d520</t>
  </si>
  <si>
    <t>Application by type, mobile OTP, e-mail, documents per type, ₹1 bank check, agreement</t>
  </si>
  <si>
    <t>0104</t>
  </si>
  <si>
    <t>3d92aaf</t>
  </si>
  <si>
    <t>GKS-MH-&lt;district&gt;-code, share link /shop/register?ref=, QR, suspend / replace</t>
  </si>
  <si>
    <t>Employees</t>
  </si>
  <si>
    <t>Code typed or from ?ref=, optional Employee ID field</t>
  </si>
  <si>
    <t>0105</t>
  </si>
  <si>
    <t>611f979</t>
  </si>
  <si>
    <t>Dealer registers with the owner; owner confirms with a code</t>
  </si>
  <si>
    <t>Duplicates</t>
  </si>
  <si>
    <t>Phone / GSTIN / name within 150 m flagged; no commission</t>
  </si>
  <si>
    <t>Attribution &amp; claims</t>
  </si>
  <si>
    <t>Government check + gateway fee → approved; ready-for-upload e-mail; evidence log; retry when source down</t>
  </si>
  <si>
    <t>0106</t>
  </si>
  <si>
    <t>4500808, 6db91cd</t>
  </si>
  <si>
    <t>Fixed / % / both, per shop type, district, milestone, versioned, admin only</t>
  </si>
  <si>
    <t>0107</t>
  </si>
  <si>
    <t>22a74db</t>
  </si>
  <si>
    <t>Ledger &amp; payouts</t>
  </si>
  <si>
    <t>Earned → approved → paid; cap with override; reversals; payouts with bank reference; CSV statement; hold for shops approved without documents</t>
  </si>
  <si>
    <t>22a74db, 9e3e1b7</t>
  </si>
  <si>
    <t>Rating &amp; bonus</t>
  </si>
  <si>
    <t>Rating 0–10 by live shops (slabs), start rating, downgrade, bonus</t>
  </si>
  <si>
    <t>Tiles, pending, performance by day / week / month, employees, areas; admin dealer list</t>
  </si>
  <si>
    <t>89f66b9, c9ea939</t>
  </si>
  <si>
    <t>Support services</t>
  </si>
  <si>
    <t>General (free), product upload, price update; admin charges; wallet / online pay; tickets; refunds</t>
  </si>
  <si>
    <t>0108</t>
  </si>
  <si>
    <t>c70e869</t>
  </si>
  <si>
    <t>Areas with dealers, shops, operational, target vs registered, gaps; drawn map</t>
  </si>
  <si>
    <t>0110</t>
  </si>
  <si>
    <t>bf53b23</t>
  </si>
  <si>
    <t>Performance score</t>
  </si>
  <si>
    <t>Weighted score (admin weights), ranked within district</t>
  </si>
  <si>
    <t>Per dealer and employee</t>
  </si>
  <si>
    <t>APP</t>
  </si>
  <si>
    <t>Mobile app parity</t>
  </si>
  <si>
    <t>Website in the app shell; app links; downloads and print through the bridge</t>
  </si>
  <si>
    <t>c89cf0b</t>
  </si>
  <si>
    <t>DOCS</t>
  </si>
  <si>
    <t>Guides &amp; report</t>
  </si>
  <si>
    <t>Admin guide, dealer onboarding guide, testing report</t>
  </si>
  <si>
    <t>c9ea939</t>
  </si>
  <si>
    <t>28 states + 8 UTs with PIN prefixes; districts added by admin with generated short codes</t>
  </si>
  <si>
    <t>0114</t>
  </si>
  <si>
    <t>a8258f1, 5f134ad</t>
  </si>
  <si>
    <t>PASS (29 Oct; D-4 fixed)</t>
  </si>
  <si>
    <t>Any state / district (or a new one); approved at once; code GKS-&lt;state&gt;-&lt;district&gt;-XXXXXX or GKS-&lt;state&gt;-XXXXXX</t>
  </si>
  <si>
    <t>a8258f1</t>
  </si>
  <si>
    <t>PASS (29 Oct)</t>
  </si>
  <si>
    <t>Flags on for whole states or districts; commission rules for India / state / district (most specific wins)</t>
  </si>
  <si>
    <t>VER-FIX</t>
  </si>
  <si>
    <t>PAN vs GSTIN's PAN in either order; reviewer approval survives re-check; reviewer row lock; state from any PIN; licence re-runs approval</t>
  </si>
  <si>
    <t>faac963</t>
  </si>
  <si>
    <t>Tests only (local + CI); not run on staging</t>
  </si>
  <si>
    <t>Payout drafted on the 5th with a statement per dealer; approve-at-close on by default</t>
  </si>
  <si>
    <t>0116</t>
  </si>
  <si>
    <t>35ce7d3, 71e5ca8, 6ef4b34 (#271)</t>
  </si>
  <si>
    <t>Not run (flag)</t>
  </si>
  <si>
    <t>Released 29 Oct in #281 (flags off)</t>
  </si>
  <si>
    <t>Base commission % by rating</t>
  </si>
  <si>
    <t>Admin-set base % of the fee, moved up or down by rating, per dealer</t>
  </si>
  <si>
    <t>0117</t>
  </si>
  <si>
    <t>f62c75d (#280)</t>
  </si>
  <si>
    <t>PASS (test results 29 Oct)</t>
  </si>
  <si>
    <t>Not run</t>
  </si>
  <si>
    <t>Released 29 Oct in #285 (flags off)</t>
  </si>
  <si>
    <t>A waived registration fee is a zero base at every milestone</t>
  </si>
  <si>
    <t>d8fc985, f2756b6 (#275)</t>
  </si>
  <si>
    <t>Released 29 Oct in #275</t>
  </si>
  <si>
    <t>Feature flags</t>
  </si>
  <si>
    <t>Flag</t>
  </si>
  <si>
    <t>Switches on</t>
  </si>
  <si>
    <t>Staging</t>
  </si>
  <si>
    <t>dealer_programme_enabled</t>
  </si>
  <si>
    <t>Dealer application and portal, codes, attribution, commission, analytics</t>
  </si>
  <si>
    <t>On: Karnataka (whole state) + Pune</t>
  </si>
  <si>
    <t>Off at release (not readable from this session)</t>
  </si>
  <si>
    <t>gov_verification_auto_approval_enabled</t>
  </si>
  <si>
    <t>Instant approval on GST/PAN + gateway fee</t>
  </si>
  <si>
    <t>On: Pune</t>
  </si>
  <si>
    <t>dealer_rating_bonus_enabled</t>
  </si>
  <si>
    <t>Rating bonus on commission</t>
  </si>
  <si>
    <t>paid_support_services_enabled</t>
  </si>
  <si>
    <t>Paid Support services page</t>
  </si>
  <si>
    <t>shop_onboarding_wizard_enabled</t>
  </si>
  <si>
    <t>The new shop onboarding wizard (GSTIN first, Udyam / FSSAI / Shop Act / map, draft -&gt; shop)</t>
  </si>
  <si>
    <t>See Admin &gt; Feature flags</t>
  </si>
  <si>
    <t>New and updated functions since the 25 Oct report (239 exported server functions added, 3dd995c..origin/main)</t>
  </si>
  <si>
    <t>Every exported function added under src/server and src/app/api between the 25 Oct report and production 4585627. Purpose = the doc comment above the function in the code. Feature = Feature Register ID.</t>
  </si>
  <si>
    <t>Area</t>
  </si>
  <si>
    <t>File</t>
  </si>
  <si>
    <t>Function</t>
  </si>
  <si>
    <t>Purpose (from the code comment)</t>
  </si>
  <si>
    <t>Added in commit</t>
  </si>
  <si>
    <t>Where</t>
  </si>
  <si>
    <t>aftercare</t>
  </si>
  <si>
    <t>src/server/aftercare/support-tickets.ts</t>
  </si>
  <si>
    <t>closeWithdrawnTicket</t>
  </si>
  <si>
    <t>The request behind a ticket was withdrawn before work started (docs/dealer-programme, paid support services): resolved with the note, then closed, in one go — the requester could not close an open ticket themselves. Already resolved or closed: left as is.</t>
  </si>
  <si>
    <t>c70e869 Dealer programme step 7: paid support services (general, product upload, price update) with admin charges, wallet / online payment, tickets and refunds</t>
  </si>
  <si>
    <t>On production + staging</t>
  </si>
  <si>
    <t>api</t>
  </si>
  <si>
    <t>runOrDefer</t>
  </si>
  <si>
    <t>Hands `task` to `defer`, or runs it now when there is none — or when `defer` refuses it (`after` throws outside a request, e.g. a route called from a test or a script). The change is already saved by then, so a refusal must not turn into a failed answer.</t>
  </si>
  <si>
    <t>ede4260 Approvals answer once the decision is saved; follow-ups run after the response</t>
  </si>
  <si>
    <t>cron</t>
  </si>
  <si>
    <t>runSingle</t>
  </si>
  <si>
    <t>6a2b174 Cron: one run of each entry point at a time; flock crontab lines</t>
  </si>
  <si>
    <t>db</t>
  </si>
  <si>
    <t>src/server/db/schema.ts</t>
  </si>
  <si>
    <t>shopTypeColumn</t>
  </si>
  <si>
    <t>Shop types are plain text keys, not a database enum, so staff can add a type from the admin screen without a migration (migration 0097). The built-in types live in `src/lib/shop-types.ts`; types staff add are rows of `shop_types`. A key is valid when it is...</t>
  </si>
  <si>
    <t>7425434 Add six shop types and an admin-managed shop types screen</t>
  </si>
  <si>
    <t>dealers</t>
  </si>
  <si>
    <t>coverageReport</t>
  </si>
  <si>
    <t>Coverage of every active area under `rootCode` (default: the whole state), at every level. Status: no approved dealer covers it → NO_DEALER; fewer shops than the target → UNDER_TARGET; half or more of its shops not operational → NOT_OPERATIONAL; otherwise...</t>
  </si>
  <si>
    <t>GKS-AN-002, GKS-DB-001</t>
  </si>
  <si>
    <t>bf53b23 Dealer programme step 8: coverage map with area targets, weighted performance score, activation and 30-day activity</t>
  </si>
  <si>
    <t>setAreaTarget</t>
  </si>
  <si>
    <t>ADMIN only: the target number of shops for an area (null removes it). Audited.</t>
  </si>
  <si>
    <t>activationReport</t>
  </si>
  <si>
    <t>Per dealer, and per employee within each dealer (GKS-AN-002). `dealerId` limits it to one dealer.</t>
  </si>
  <si>
    <t>dealerScores</t>
  </si>
  <si>
    <t>Weighted score 0–100 per approved dealer (GKS-AN-001). Each part is 0–1: activated shops and cost are measured against the best dealer in the same district; quality, activity and coverage are the dealer's own ratios.</t>
  </si>
  <si>
    <t>startAssistedRegistration</t>
  </si>
  <si>
    <t>Step 1: the owner's details; the code goes to the owner.</t>
  </si>
  <si>
    <t>611f979 Dealer programme step 3: attribution, leads, dealer-assisted registration, duplicates, claims</t>
  </si>
  <si>
    <t>verifyAssistedOwner</t>
  </si>
  <si>
    <t>Step 2: the code the owner told the dealer.</t>
  </si>
  <si>
    <t>submitAssistedShop</t>
  </si>
  <si>
    <t>Step 3: the shop, registered under the owner with the dealer's code; the owner pays the fee.</t>
  </si>
  <si>
    <t>listAssistedSessions</t>
  </si>
  <si>
    <t>normalizeIndianMobile</t>
  </si>
  <si>
    <t>+91XXXXXXXXXX from anything with a 10-digit Indian mobile in it, else null.</t>
  </si>
  <si>
    <t>GKS-SH-001, GKS-RA-001</t>
  </si>
  <si>
    <t>directDealer</t>
  </si>
  <si>
    <t>The internal GoKesari Direct dealer (made by migration 0104; made here if missing).</t>
  </si>
  <si>
    <t>findLikelyDuplicate</t>
  </si>
  <si>
    <t>Existing shops that look like this one: same mobile, GSTIN or PAN, or a similar name within duplicateDistanceMeters (or in the same PIN code when a location is missing). Rejected and deleted shops do not count.</t>
  </si>
  <si>
    <t>expireLeads</t>
  </si>
  <si>
    <t>Marks OPEN leads past their window EXPIRED (leads expire on their own; this keeps the rows honest).</t>
  </si>
  <si>
    <t>recordShopAttribution</t>
  </si>
  <si>
    <t>Records which dealer brought `shopId` (see the header). Returns the attribution, or null when the programme is off for the shop's district or no dealer is involved. Safe to call twice: an existing attribution is returned unchanged.</t>
  </si>
  <si>
    <t>recordShopAttributionSafely</t>
  </si>
  <si>
    <t>Never lets a dealer-attribution problem break a registration: logs and returns null.</t>
  </si>
  <si>
    <t>randomCodePart</t>
  </si>
  <si>
    <t>3d92aaf Dealer programme step 2: dealer registration, documents, codes, employees, legacy distributors</t>
  </si>
  <si>
    <t>dealerCodeFor</t>
  </si>
  <si>
    <t>A new dealer code for a state (two letters) and, when known, a district short code.</t>
  </si>
  <si>
    <t>salespersonCode</t>
  </si>
  <si>
    <t>issueCode</t>
  </si>
  <si>
    <t>Creates a new ACTIVE code (referral_codes + dealer_codes) inside `tx`, retrying on a collision. The referral_codes insert runs in a savepoint so a collision does not abort the caller's transaction; a serialization failure is passed up so the whole...</t>
  </si>
  <si>
    <t>setCodesStatus</t>
  </si>
  <si>
    <t>Moves codes to a new status and keeps their referral_codes rows in step (ACTIVE ↔ ACTIVE, anything else → INACTIVE). Only codes currently in one of `from` change, so a code retired earlier is never woken up.</t>
  </si>
  <si>
    <t>listDealerCodes</t>
  </si>
  <si>
    <t>A dealer's codes with their code strings, newest first.</t>
  </si>
  <si>
    <t>activeCodeFor</t>
  </si>
  <si>
    <t>The code a dealer or employee shares now (ACTIVE, newest), or null.</t>
  </si>
  <si>
    <t>replaceCode</t>
  </si>
  <si>
    <t>Replaces one code: the old one becomes REPLACED (refused for new registrations; shops already registered with it stay attributed — their redemptions point at the old referral code, which still belongs to the same dealer) and a new code of the same kind is...</t>
  </si>
  <si>
    <t>shareLinkFor</t>
  </si>
  <si>
    <t>The link a code is shared with: Add my shop with the code filled in.</t>
  </si>
  <si>
    <t>whatsappShareFor</t>
  </si>
  <si>
    <t>WhatsApp share (wa.me with the message only — no phone number).</t>
  </si>
  <si>
    <t>codeQrSvg</t>
  </si>
  <si>
    <t>getCommissionSettings</t>
  </si>
  <si>
    <t>GKS-CM-001..006</t>
  </si>
  <si>
    <t>22a74db Dealer programme step 5: commission rules, ledger, payouts and the onboarding rating</t>
  </si>
  <si>
    <t>setCommissionSettings</t>
  </si>
  <si>
    <t>listCommissionRules</t>
  </si>
  <si>
    <t>Current rules (ACTIVE), and with `all` their earlier versions.</t>
  </si>
  <si>
    <t>saveCommissionRule</t>
  </si>
  <si>
    <t>ADMIN only. Creates a rule (version 1) or edits one: the current version is SUPERSEDED and a new version takes its place — entries already accrued keep the version they were earned under. A reason is required.</t>
  </si>
  <si>
    <t>disableCommissionRule</t>
  </si>
  <si>
    <t>ADMIN only: switch a rule off (no new accruals under it).</t>
  </si>
  <si>
    <t>ruleFor</t>
  </si>
  <si>
    <t>feeWaived</t>
  </si>
  <si>
    <t>An admin waived this shop's fee (waiveRegistrationFee sets the fee to zero and leaves the base on record). A fee that was simply nothing — a free district, a full coupon — is not a waiver.</t>
  </si>
  <si>
    <t>f2756b6 Dealer commission: a waived registration fee earns no commission at any milestone</t>
  </si>
  <si>
    <t>feeBasePaise</t>
  </si>
  <si>
    <t>The registration fee actually paid, before GST, after any coupon.</t>
  </si>
  <si>
    <t>bonusBpForRating</t>
  </si>
  <si>
    <t>(rating − 5.0) percentage points, in basis points; never negative. Milestone rules model.</t>
  </si>
  <si>
    <t>ratingAdjustmentBp</t>
  </si>
  <si>
    <t>Base % model: (rating − 5.0) × the step, in basis points — negative below 5.0.</t>
  </si>
  <si>
    <t>f62c75d Dealer commission: admin-set base % of the fee, moved up or down by rating, per dealer</t>
  </si>
  <si>
    <t>dealerCommissionRate</t>
  </si>
  <si>
    <t>A dealer's commission % under the base % model, with or without the rating adjustment.</t>
  </si>
  <si>
    <t>percentCommissionAmount</t>
  </si>
  <si>
    <t>Base % model: the amount on the fee, and its split into the base part and the rating part (negative below 5.0).</t>
  </si>
  <si>
    <t>setDealerCommissionRates</t>
  </si>
  <si>
    <t>An admin sets one dealer's own base % and change per rating point (null: the default for everyone). Applies to commission earned from now on; entries already earned keep their amounts. Audited with the reason.</t>
  </si>
  <si>
    <t>dealerRateView</t>
  </si>
  <si>
    <t>A dealer's commission rate now (base % model), for the dealer and for staff.</t>
  </si>
  <si>
    <t>commissionAmount</t>
  </si>
  <si>
    <t>fixed + percent of the fee; the bonus adds points to a percentage rule, and for a fixed-only rule is figured on the fee or on the fixed amount.</t>
  </si>
  <si>
    <t>checkCommissionMilestones</t>
  </si>
  <si>
    <t>Accrues every milestone the shop has reached and not yet been paid for (idempotent; the unique index on shop + milestone guards double accrual). Cheap when the programme is off: one read of the flag.</t>
  </si>
  <si>
    <t>checkCommissionMilestonesSafely</t>
  </si>
  <si>
    <t>Never lets commission break the caller (approval, payment, a product upload): logs and returns [].</t>
  </si>
  <si>
    <t>reverseShopCommission</t>
  </si>
  <si>
    <t>Reverses every commission of a shop (fee refunded, fraud, duplicate): unpaid entries become REVERSED; a paid one gets a negative entry carried into the dealer's next payout. The shop stops counting for the dealer's rating.</t>
  </si>
  <si>
    <t>reverseShopCommissionSafely</t>
  </si>
  <si>
    <t>reverseWaivedFeeCommissionSafely</t>
  </si>
  <si>
    <t>The shop's fee was waived: reverses whatever it had already earned (say the catalogue milestone, reached before the fee was settled). The shop stays attributed to its dealer. Never breaks the waiver: logs and moves on.</t>
  </si>
  <si>
    <t>reverseEntry</t>
  </si>
  <si>
    <t>ADMIN only: reverse one entry with a reason (fraud, error).</t>
  </si>
  <si>
    <t>approveEntries</t>
  </si>
  <si>
    <t>ADMIN only. EARNED → APPROVED; a PENDING above-cap entry needs `capOverride` with a reason (audited). ON_HOLD entries are released or reversed, not approved.</t>
  </si>
  <si>
    <t>holdDealerCommission</t>
  </si>
  <si>
    <t>Dealer suspended / terminated → their open entries ON_HOLD; reactivated → released.</t>
  </si>
  <si>
    <t>releaseHeldEntry</t>
  </si>
  <si>
    <t>ADMIN only: release one held entry (back to its status) after a decision.</t>
  </si>
  <si>
    <t>createPayoutBatch</t>
  </si>
  <si>
    <t>ADMIN only: a payout for one dealer — every APPROVED entry plus any negative reversal not yet settled, netted. Refused when the net is not positive (the negative balance is carried to the next one).</t>
  </si>
  <si>
    <t>markPayoutPaid</t>
  </si>
  <si>
    <t>ADMIN only: the bank transfer was made (outside GoKesari) — record its reference; every entry becomes PAID. Reconciled: the entries must still add up to the batch total.</t>
  </si>
  <si>
    <t>cancelPayout</t>
  </si>
  <si>
    <t>ADMIN only: cancel a draft payout; its entries go back to waiting.</t>
  </si>
  <si>
    <t>listLedger</t>
  </si>
  <si>
    <t>commissionSummary</t>
  </si>
  <si>
    <t>Totals by status (paise); reversals count against EARNED until settled.</t>
  </si>
  <si>
    <t>listPayouts</t>
  </si>
  <si>
    <t>statementCsv</t>
  </si>
  <si>
    <t>A dealer's statement as CSV (their own rows only).</t>
  </si>
  <si>
    <t>listRatingSlabs</t>
  </si>
  <si>
    <t>saveRatingSlab</t>
  </si>
  <si>
    <t>ADMIN only: add or change a slab (activated shops → rating, 0.5 steps, at most 10). Audited with a reason.</t>
  </si>
  <si>
    <t>deleteRatingSlab</t>
  </si>
  <si>
    <t>ADMIN only: remove a slab (the 0-shop slab stays).</t>
  </si>
  <si>
    <t>slabFor</t>
  </si>
  <si>
    <t>The slab rating for a count, and the next slab (for progress bars).</t>
  </si>
  <si>
    <t>recountRating</t>
  </si>
  <si>
    <t>Recounts a dealer's activated shops (not duplicates, not reversed) and sets the rating: the slab's rating, never below the admin's start rating, at most 10 — or the admin's downgrade until the next slab is reached. Applies to commission accrued from now on...</t>
  </si>
  <si>
    <t>setStartRating</t>
  </si>
  <si>
    <t>ADMIN only: a proven dealer starts higher (e.g. 6.0 → +1.0% from day one). Audited.</t>
  </si>
  <si>
    <t>downgradeRating</t>
  </si>
  <si>
    <t>ADMIN only: lower a dealer's rating for quality or fraud, with a reason the dealer sees. It holds until the dealer reaches the next slab above today's count; then the slab decides again.</t>
  </si>
  <si>
    <t>ratingView</t>
  </si>
  <si>
    <t>applicableRates</t>
  </si>
  <si>
    <t>The rates that apply to a dealer's shops now (read-only, for the dealer).</t>
  </si>
  <si>
    <t>src/server/dealers/disputes.ts</t>
  </si>
  <si>
    <t>raiseDispute</t>
  </si>
  <si>
    <t>listDisputes</t>
  </si>
  <si>
    <t>Staff: claims (open first). The dealer: their own.</t>
  </si>
  <si>
    <t>decideDispute</t>
  </si>
  <si>
    <t>Staff (ADMIN or OPERATOR) decide a claim. Upholding needs the shop to have been found; it moves the shop's attribution to the claiming dealer (source ADMIN), keeping the old one in the audit log.</t>
  </si>
  <si>
    <t>listDealerShops</t>
  </si>
  <si>
    <t>The shops attributed to a dealer (theirs only).</t>
  </si>
  <si>
    <t>src/server/dealers/http.ts</t>
  </si>
  <si>
    <t>requireDealerProgramme</t>
  </si>
  <si>
    <t>Every dealer route: the programme must be on somewhere, or the route does not exist (404).</t>
  </si>
  <si>
    <t>originOf</t>
  </si>
  <si>
    <t>https: &lt;host the request came to&gt; — for share links and QR codes.</t>
  </si>
  <si>
    <t>originFromHeaders</t>
  </si>
  <si>
    <t>The same from a page's headers() (server components have no Request).</t>
  </si>
  <si>
    <t>smsAvailable</t>
  </si>
  <si>
    <t>src/server/dealers/leads.ts</t>
  </si>
  <si>
    <t>createLead</t>
  </si>
  <si>
    <t>listLeads</t>
  </si>
  <si>
    <t>closeLead</t>
  </si>
  <si>
    <t>The dealer closes one of their own open leads.</t>
  </si>
  <si>
    <t>monthLabel</t>
  </si>
  <si>
    <t>"2026-10" → "October 2026".</t>
  </si>
  <si>
    <t>35ce7d3 Dealer commission paid monthly: payout drafted on the 5th with a statement for each dealer</t>
  </si>
  <si>
    <t>previousMonth</t>
  </si>
  <si>
    <t>The calendar month before the one `today` is in.</t>
  </si>
  <si>
    <t>monthBounds</t>
  </si>
  <si>
    <t>The month's start and end as instants in the app's time zone (IST): [start, end).</t>
  </si>
  <si>
    <t>closeCommissionMonth</t>
  </si>
  <si>
    <t>Closes `month` (YYYY-MM): drafts each dealer's payout and sends the statements. `actor` null = the scheduled job; otherwise ADMIN only. A month not yet over is refused; a month already closed is reported, not closed again.</t>
  </si>
  <si>
    <t>runMonthlyDealerPayout</t>
  </si>
  <si>
    <t>The daily job: on or after the payout day, closes the month before (once). Nothing while the dealer programme is off or before the payout day.</t>
  </si>
  <si>
    <t>dealerMonthStatement</t>
  </si>
  <si>
    <t>One dealer's statement for one month — their own rows only.</t>
  </si>
  <si>
    <t>statementMonths</t>
  </si>
  <si>
    <t>The months a dealer's page lists: this month so far, then the closed months, newest first.</t>
  </si>
  <si>
    <t>listClosedMonths</t>
  </si>
  <si>
    <t>monthStatementCsv</t>
  </si>
  <si>
    <t>A month's statement as CSV: the registrations, the month's entries, the payout.</t>
  </si>
  <si>
    <t>dealerPerformance</t>
  </si>
  <si>
    <t>89f66b9 Dealer programme step 6: dealer board, performance views and staff dealer overview</t>
  </si>
  <si>
    <t>dealersOverview</t>
  </si>
  <si>
    <t>Staff: every dealer with rating, shops and commission (the "rating list across dealers").</t>
  </si>
  <si>
    <t>src/server/dealers/service.ts</t>
  </si>
  <si>
    <t>getDealerForUser</t>
  </si>
  <si>
    <t>GKS-DR-001, GKS-DR-002, GKS-DR-004, GKS-IN-002</t>
  </si>
  <si>
    <t>getDealer</t>
  </si>
  <si>
    <t>documentRequirements</t>
  </si>
  <si>
    <t>listDocumentRequirements</t>
  </si>
  <si>
    <t>setDocumentRequirement</t>
  </si>
  <si>
    <t>ADMIN only: whether a dealer type must upload a document. Audited.</t>
  </si>
  <si>
    <t>territoryCodes</t>
  </si>
  <si>
    <t>territoryDistricts</t>
  </si>
  <si>
    <t>The districts a dealer's territory lies in (code and short code), sorted by code.</t>
  </si>
  <si>
    <t>dealerView</t>
  </si>
  <si>
    <t>The dealer as the dealer and staff see it: personal numbers masked.</t>
  </si>
  <si>
    <t>saveApplication</t>
  </si>
  <si>
    <t>Creates or updates the signed-in user's application (DRAFT, or a REJECTED one, which goes back to DRAFT). The mobile number's verification is cleared when the number changes; bank details are checked with the bank after the save (checkDealerBank).</t>
  </si>
  <si>
    <t>sendDealerMobileOtp</t>
  </si>
  <si>
    <t>verifyDealerMobile</t>
  </si>
  <si>
    <t>uploadDealerDocument</t>
  </si>
  <si>
    <t>Uploads one document for the signed-in user's dealer (while DRAFT, REJECTED or PENDING — a pending applicant replaces a rejected document). PDF, JPEG, PNG or WebP, up to 5 MB, checked from the bytes; stored encrypted.</t>
  </si>
  <si>
    <t>submitApplication</t>
  </si>
  <si>
    <t>Submits the application (DRAFT → PENDING). Needs: mobile verified (or SMS not available on this site — then an admin confirms the number by phone at approval), every required document uploaded, the agreement accepted, and at least one area in a district...</t>
  </si>
  <si>
    <t>checkDealerBank</t>
  </si>
  <si>
    <t>Asks the bank (Cashfree Bank Account Verification, the same check shops' accounts get) whether the dealer's account is valid and in the holder's name. Not configured, or the bank unreachable → stays PENDING; an admin may then verify by the cancelled cheque...</t>
  </si>
  <si>
    <t>listDealers</t>
  </si>
  <si>
    <t>reviewDealerDocument</t>
  </si>
  <si>
    <t>ADMIN only: accept or reject one document (a rejection needs a note, sent to the dealer).</t>
  </si>
  <si>
    <t>dealerDocumentFile</t>
  </si>
  <si>
    <t>A document's file. The dealer may open their own; an ADMIN may open any, and every admin opening is audited. Operators and others are refused.</t>
  </si>
  <si>
    <t>revealDealerSecret</t>
  </si>
  <si>
    <t>ADMIN only: the full PAN or bank account number, each reveal audited with a reason.</t>
  </si>
  <si>
    <t>decideDealer</t>
  </si>
  <si>
    <t>ADMIN only. Approve (PENDING → APPROVED: documents accepted, mobile and bank verified — or confirmed by the admin — agreement dates; issues the code and grants the DEALER role), reject (PENDING), suspend (APPROVED), reactivate (SUSPENDED) or terminate...</t>
  </si>
  <si>
    <t>createDealerByAdmin</t>
  </si>
  <si>
    <t>ADMIN only: adds a dealer directly (source ADMIN) for any state and district of India — a district not yet on the list is added under the state — and approves it at once with a generated code GKS-&lt;state&gt;-&lt;district&gt;-&lt;6&gt; (unique; the database refuses a...</t>
  </si>
  <si>
    <t>a8258f1 Dealer programme across India: every state and UT, admin-added districts with generated short codes, admin Add dealer with a generated GKS-&lt;state&gt;-&lt;district&gt;-&lt;6&gt; code, flags and commission rules by state</t>
  </si>
  <si>
    <t>replaceDealerCode</t>
  </si>
  <si>
    <t>listSalespeople</t>
  </si>
  <si>
    <t>requireApprovedDealer</t>
  </si>
  <si>
    <t>The approved dealer behind the signed-in user (a dealer acting in their portal).</t>
  </si>
  <si>
    <t>addSalesperson</t>
  </si>
  <si>
    <t>The dealer adds an employee: the dealer's own Employee ID (unique within the dealer, any text), name and optional mobile. An employee code (GKS-FE-…) is issued at once. Each employee belongs to exactly one dealer.</t>
  </si>
  <si>
    <t>setSalespersonStatus</t>
  </si>
  <si>
    <t>Deactivates or reactivates an employee of `dealerId`. Deactivated: their code is refused for new registrations; shops they already brought stay theirs. An employee of another dealer is "not found".</t>
  </si>
  <si>
    <t>dealerAccountEmail</t>
  </si>
  <si>
    <t>Users named on the dealer (for staff screens): the applicant's account email.</t>
  </si>
  <si>
    <t>product-import</t>
  </si>
  <si>
    <t>src/server/product-import/normalise.ts</t>
  </si>
  <si>
    <t>stockQuantity</t>
  </si>
  <si>
    <t>A stock quantity: 0 or more, with at most three decimals (D-95: 2.5 kg of a loose good). Whether a fraction may be applied depends on the product (packaged goods stay whole) and is decided when the row is committed.</t>
  </si>
  <si>
    <t>1d718fd Loose stock records decimals (D-95, TC-SPI-025)</t>
  </si>
  <si>
    <t>registration</t>
  </si>
  <si>
    <t>src/server/registration/otp.ts</t>
  </si>
  <si>
    <t>sendRegistrationOtp</t>
  </si>
  <si>
    <t>services</t>
  </si>
  <si>
    <t>src/server/services/customer-referrals.ts</t>
  </si>
  <si>
    <t>reverseCustomerReferral</t>
  </si>
  <si>
    <t>D-25: takes back a rewarded referral found fraudulent. Each reward is debited from its wallet as a REVERSAL pointing at the original credit. A wallet never goes below zero: when the credit was already spent, the balance is taken and the rest recorded as...</t>
  </si>
  <si>
    <t>d83b433 D-25: an admin can reverse a rewarded customer referral found fraudulent</t>
  </si>
  <si>
    <t>src/server/services/disputes.ts</t>
  </si>
  <si>
    <t>runDisputeEscalationSweep</t>
  </si>
  <si>
    <t>The hourly dispute check (safety net): escalates to an administrator every live L1 case that - has waited for a reply from the shop or support longer than `responseSlaHours` (the SLA — trigger SLA), or - is older than `escalateAfterHours` however busy it...</t>
  </si>
  <si>
    <t>escalateOnTouch</t>
  </si>
  <si>
    <t>"Escalate on next touch": no scheduler needed. Called when a case is viewed or acted on (`disputeId`) and when the operations queue loads (no id = all overdue cases, bounded by the sweep's 200-row limit). Safe to race: `escalateDispute` locks the row and...</t>
  </si>
  <si>
    <t>907a756 Cut Node process load: escalate-on-touch disputes, cron gate, caching, no prefetch</t>
  </si>
  <si>
    <t>getFeatureFlags</t>
  </si>
  <si>
    <t>Every flag. A missing row, or a table that cannot be read, counts as OFF.</t>
  </si>
  <si>
    <t>GKS-FLAGS, GKS-IN-003</t>
  </si>
  <si>
    <t>bc3f93a Dealer programme step 1: feature flags, Maharashtra territory areas, DEALER role</t>
  </si>
  <si>
    <t>getFeatureFlag</t>
  </si>
  <si>
    <t>enabledFeatureKeys</t>
  </si>
  <si>
    <t>Keys of the flags that are on anywhere (for menus: an entry of a feature that is off is hidden).</t>
  </si>
  <si>
    <t>flagCoversDistrict</t>
  </si>
  <si>
    <t>True when the flag's district list covers this district (NULL list = every district).</t>
  </si>
  <si>
    <t>isFeatureEnabled</t>
  </si>
  <si>
    <t>Is the feature on? With `districtCode` (or `null` for "a shop whose district is unknown"): on for that district. Without the option: on anywhere.</t>
  </si>
  <si>
    <t>featureNotAvailable</t>
  </si>
  <si>
    <t>Error for a route of a feature that is switched off: 404, so the site looks as it did before.</t>
  </si>
  <si>
    <t>requireFeature</t>
  </si>
  <si>
    <t>Throws "not available" unless the flag is on (for the district, when given).</t>
  </si>
  <si>
    <t>setFeatureFlag</t>
  </si>
  <si>
    <t>Changes one flag. ADMIN only, a reason of at least 5 characters, and area codes that are active STATE or DISTRICT rows of geo_areas — a whole state ("KA") or a district ("MH-PUN") — (an empty list is refused — switch the flag off instead). Saving the value...</t>
  </si>
  <si>
    <t>listFeatureFlagChanges</t>
  </si>
  <si>
    <t>The most recent changes, newest first (all flags, or one).</t>
  </si>
  <si>
    <t>listDistricts</t>
  </si>
  <si>
    <t>GKS-GEO-001, GKS-IN-001</t>
  </si>
  <si>
    <t>listStates</t>
  </si>
  <si>
    <t>Every state and union territory, by name.</t>
  </si>
  <si>
    <t>listDistrictsOf</t>
  </si>
  <si>
    <t>A state's districts (directly under it or under one of its regions), by name.</t>
  </si>
  <si>
    <t>addDistrict</t>
  </si>
  <si>
    <t>ADMIN: adds a district to a state — directly under it — with a generated short code (unique among districts) and the code "&lt;STATE&gt;-&lt;SHORT&gt;". An existing district of that name in the state is returned as it is.</t>
  </si>
  <si>
    <t>listGeoAreas</t>
  </si>
  <si>
    <t>getGeoArea</t>
  </si>
  <si>
    <t>geoAncestry</t>
  </si>
  <si>
    <t>The area and all its ancestors, from the area up to the state.</t>
  </si>
  <si>
    <t>areaForPincode</t>
  </si>
  <si>
    <t>The area a 6-digit PIN code belongs to (longest prefix), with its district; null when unmapped.</t>
  </si>
  <si>
    <t>districtCodeForPincode</t>
  </si>
  <si>
    <t>The area used for flags, commission rules and dealer districts: the PIN's district when one is mapped, else its state (e.g. "KA" before Karnataka's districts are added); null when the PIN is not mapped at all.</t>
  </si>
  <si>
    <t>saveGeoArea</t>
  </si>
  <si>
    <t>Adds or updates an area below an existing parent (ADMIN only). The level must be the one below the parent's; districts need a 2–4 letter short code, unique among districts. PIN prefixes given here are added (none removed).</t>
  </si>
  <si>
    <t>openAreasFor</t>
  </si>
  <si>
    <t>The areas a dealer may choose where a feature is open: every state when the flag covers all of India, else the states it names whole and the named districts' states; under each state its districts (all of them for a whole state, only the named ones...</t>
  </si>
  <si>
    <t>govAutoApprovalApplies</t>
  </si>
  <si>
    <t>Is the instant-approval rule on for this shop? Its district's flag decides — except for a shop registered through the onboarding wizard, which is approved this way in every district (owner decision B, 28 Oct 2026; docs/shop-onboarding-wizard-2026-10).</t>
  </si>
  <si>
    <t>4500808 Dealer programme step 4: instant approval on GST/PAN verification + gateway payment</t>
  </si>
  <si>
    <t>isWizardShop</t>
  </si>
  <si>
    <t>The shop was created from an onboarding-wizard draft.</t>
  </si>
  <si>
    <t>8ea1e15 Shop onboarding wizard step 2: Udyam, FSSAI, Shop Act and map steps, draft → shop with checks copied, live after payment (decision B)</t>
  </si>
  <si>
    <t>decideGovAutoApproval</t>
  </si>
  <si>
    <t>The decision for one pending shop, with every reason it cannot be approved yet.</t>
  </si>
  <si>
    <t>logGovDecision</t>
  </si>
  <si>
    <t>Appends a decision, unless the shop's last one says the same.</t>
  </si>
  <si>
    <t>listGovDecisions</t>
  </si>
  <si>
    <t>Staff: the decisions, newest first (only the latest per shop unless `all`).</t>
  </si>
  <si>
    <t>legalDocLabel</t>
  </si>
  <si>
    <t>"Other licence" rows are known by the name the owner gave them.</t>
  </si>
  <si>
    <t>a2aabf3 Shop documents: "Scan a document" detects the type; trade, legal metrology, fire NOC, agri-input and other licences</t>
  </si>
  <si>
    <t>src/server/services/operator-limited.ts</t>
  </si>
  <si>
    <t>ownerAccountFor</t>
  </si>
  <si>
    <t>The owner's account for the verified email: the existing one, or a new customer account (email verified by the code).</t>
  </si>
  <si>
    <t>NEW-094 (D-108)</t>
  </si>
  <si>
    <t>onShopRegistrationFeeCaptured</t>
  </si>
  <si>
    <t>CAPTURED handler for purpose SHOP_REGISTRATION_FEE (purpose-handlers.ts). Runs inside the payment service's capture transaction: the fee is written to the shop's immutable ledger (shop_payments, method ONLINE) with the capture. Idempotent — a replayed...</t>
  </si>
  <si>
    <t>src/server/services/registration-fee-coupons.ts</t>
  </si>
  <si>
    <t>normalizeCouponCode</t>
  </si>
  <si>
    <t>9cceb64 Registration fee: ₹999 base + GST, with admin-managed coupons</t>
  </si>
  <si>
    <t>registrationFeeGstRateBp</t>
  </si>
  <si>
    <t>GST rate (basis points) on GoKesari's registration fee today.</t>
  </si>
  <si>
    <t>baseRegistrationFee</t>
  </si>
  <si>
    <t>The base fee for a new registration: rule registrationFeeByTurnover when it gives one, otherwise the flat fee. `feeId` is the flat fee row it came from.</t>
  </si>
  <si>
    <t>quoteRegistrationFee</t>
  </si>
  <si>
    <t>What a new registration would pay, with an optional coupon — for the form, before Submit. The fee actually charged is computed again when the shop is saved (registerShop), never taken from this.</t>
  </si>
  <si>
    <t>lockRegistrationFeeCoupon</t>
  </si>
  <si>
    <t>Inside registerShop's transaction: lock the coupon, check it again for this owner, and return it. The shop row written in the same transaction is the use.</t>
  </si>
  <si>
    <t>listRegistrationFeeCoupons</t>
  </si>
  <si>
    <t>saveRegistrationFeeCoupon</t>
  </si>
  <si>
    <t>src/server/services/registration-fee-payment.ts</t>
  </si>
  <si>
    <t>registrationFeeDue</t>
  </si>
  <si>
    <t>What is still owed on a shop's registration fee, in paise (0 when settled or waived).</t>
  </si>
  <si>
    <t>NEW-076, GKS-FEE</t>
  </si>
  <si>
    <t>86449de Add my shop: turnover-based registration fee, online fee payment, one pending registration, professional categories, faster seller pages</t>
  </si>
  <si>
    <t>ownShopForFee</t>
  </si>
  <si>
    <t>The caller's own shop, or 404 — another owner's shop is not even confirmed to exist.</t>
  </si>
  <si>
    <t>startRegistrationFeeCheckout</t>
  </si>
  <si>
    <t>Starts (or reopens) the checkout for what is still due. Returns where to send the browser: the gateway's hosted page, or our page that opens its SDK.</t>
  </si>
  <si>
    <t>checkRegistrationFeePayment</t>
  </si>
  <si>
    <t>Back from the gateway with `?intent=`: asks the gateway how that payment went (the webhook usually got there first) and returns the shop as it is now. Only the owner's own intent for this shop is looked at; anything else is ignored.</t>
  </si>
  <si>
    <t>latestRegistrationFeeAttempt</t>
  </si>
  <si>
    <t>The latest attempt's state, for the page: "PAID", "FAILED", "EXPIRED", "PENDING" … or null.</t>
  </si>
  <si>
    <t>stateCodeForPincode</t>
  </si>
  <si>
    <t>Two-letter state for state-specific lookups (Shop Act) and the GSTIN state check, for any Indian PIN code (lib/pincode-state: Goa's 403xxx is GA, not MH); where a PIN prefix spans two states, the shop's own state field decides. Unknown: the state check is...</t>
  </si>
  <si>
    <t>importRegistrationCheck</t>
  </si>
  <si>
    <t>Onboarding wizard (docs/shop-onboarding-wizard-2026-10): the shop is created from the owner's draft, and each government check already done there becomes the shop's seller verification — with the vendor's reference, so instant approval sees a...</t>
  </si>
  <si>
    <t>importRegistrationGstDeclaration</t>
  </si>
  <si>
    <t>Onboarding wizard, no-GSTIN route: the owner's "not GST-registered" declaration, as declareNoGstin() records it — waiting for an admin's review.</t>
  </si>
  <si>
    <t>recordLegacyGstPanDecision</t>
  </si>
  <si>
    <t>The older GST/PAN screens (services/gst-pan-verification.ts: the admin GST/PAN queue) decide on the shop row. Owner decision, 29 Oct 2026: these records are the source, so the same decision is recorded here as a reviewer's, on the document's row. The...</t>
  </si>
  <si>
    <t>32da8e5 Seller verification follow-ups (owner decisions 29 Oct): one source for GST/PAN, GSTIN one business, Shop Act one shop, Udyam on the shop, 3 months for shops approved without documents</t>
  </si>
  <si>
    <t>src/server/services/shop-closure.ts</t>
  </si>
  <si>
    <t>closeShopPermanently</t>
  </si>
  <si>
    <t>9a55e8c D-69: the owner can close the shop for now or permanently; a lapsed membership is not online</t>
  </si>
  <si>
    <t>src/server/services/shop-document-follow-up.ts</t>
  </si>
  <si>
    <t>shopsMissingDocuments</t>
  </si>
  <si>
    <t>Live shops with a mandatory document not verified — the admin "Missing documents" list and the job's input.</t>
  </si>
  <si>
    <t>3914270 wip: documents follow-up, promise approval</t>
  </si>
  <si>
    <t>nextFollowUpDay</t>
  </si>
  <si>
    <t>The next reminder day after `today` (1st / 15th by default).</t>
  </si>
  <si>
    <t>runShopDocumentFollowUp</t>
  </si>
  <si>
    <t>graceUntil</t>
  </si>
  <si>
    <t>The end of a waived or promised shop's grace: graceDays after its latest waiver, or after its approval when it promised its documents (never before the promised date). Null for other shops.</t>
  </si>
  <si>
    <t>src/server/services/shop-document-gate.ts</t>
  </si>
  <si>
    <t>documentsDueLabel</t>
  </si>
  <si>
    <t>"28 Nov 2026" — the promise's due date as the owner and the team read it (India time).</t>
  </si>
  <si>
    <t>shopDocumentGate</t>
  </si>
  <si>
    <t>9ff95b7 wip: document gate before registration fee</t>
  </si>
  <si>
    <t>splitMissing</t>
  </si>
  <si>
    <t>A shop without a GSTIN declares it is not GST-registered; the GSTIN row then waits in MANUAL_REVIEW for GoKesari's team. That is not a document the owner can provide, so it is neither promised nor chased — but it still keeps the shop from automatic approval.</t>
  </si>
  <si>
    <t>assertDocumentsAllowPayment</t>
  </si>
  <si>
    <t>The fee checkout refuses until the gate opens.</t>
  </si>
  <si>
    <t>setDocumentsPromise</t>
  </si>
  <si>
    <t>The documents promise, set inside a transaction that already holds the shop (the wizard's submit).</t>
  </si>
  <si>
    <t>promiseShopDocuments</t>
  </si>
  <si>
    <t>The owner ticks "I will provide all relevant documents within 30 days" (Add my shop → fee page). Needs one verified document; given once (a second tick keeps the first date).</t>
  </si>
  <si>
    <t>gstinHeldByOtherOwner</t>
  </si>
  <si>
    <t>Another owner's live shop that uses this GSTIN (normalised), or null.</t>
  </si>
  <si>
    <t>shopActHeldByOtherShop</t>
  </si>
  <si>
    <t>Another live shop (any owner) that uses this Shop Act licence (its matching key), or null.</t>
  </si>
  <si>
    <t>assertGstinNotHeldByOtherOwner</t>
  </si>
  <si>
    <t>Refuses a GSTIN that another owner's shop uses (CONFLICT, reason DUPLICATE_GSTIN).</t>
  </si>
  <si>
    <t>assertShopActNotHeldByOtherShop</t>
  </si>
  <si>
    <t>Refuses a Shop Act licence that another live shop uses (CONFLICT, reason DUPLICATE_SHOP_ACT).</t>
  </si>
  <si>
    <t>src/server/services/shop-membership.ts</t>
  </si>
  <si>
    <t>addMonths</t>
  </si>
  <si>
    <t>`date` plus whole calendar months (the 31st becomes the month's last day).</t>
  </si>
  <si>
    <t>membershipEndAfterPayment</t>
  </si>
  <si>
    <t>The new end after a payment on `paidAt`: from the current end while it lasts, else from the payment.</t>
  </si>
  <si>
    <t>extendMembership</t>
  </si>
  <si>
    <t>Called with a registration fee or renewal payment, in the same transaction (the shop row is locked by the caller).</t>
  </si>
  <si>
    <t>membershipStatus</t>
  </si>
  <si>
    <t>membershipOrderGate</t>
  </si>
  <si>
    <t>SQL on the outer `shops` row: true while the membership keeps the shop online.</t>
  </si>
  <si>
    <t>membershipLapsedShopIds</t>
  </si>
  <si>
    <t>The shops among `shopIds` that are not online because their membership lapsed.</t>
  </si>
  <si>
    <t>src/server/services/shop-onboarding.ts</t>
  </si>
  <si>
    <t>missingMandatoryDocuments</t>
  </si>
  <si>
    <t>Mandatory seller documents not yet VERIFIED for this shop (whatever the statusModels rule says). With `countDeferred` — the approval gates — a document listed in shop_deferred_document_reviews (owner decision B, 0113: an onboarding-wizard shop's Shop Act,...</t>
  </si>
  <si>
    <t>deferredReviewDocTypes</t>
  </si>
  <si>
    <t>Documents this shop may go live with while an admin still reviews them (0113).</t>
  </si>
  <si>
    <t>hasDocumentWaiver</t>
  </si>
  <si>
    <t>An admin approved this shop without its seller documents (0109). Commission milestones ignore it.</t>
  </si>
  <si>
    <t>99a3efb Shop approval queue: say when nothing is uploaded, remind the owner, admin approval without documents</t>
  </si>
  <si>
    <t>src/server/services/shop-payments.ts</t>
  </si>
  <si>
    <t>waiveRegistrationFee</t>
  </si>
  <si>
    <t>Waives one pending shop's registration fee (admin only, with a reason): the shop's fee snapshot becomes zero and its settlement is recomputed from the ledger, so it reads PAID like a shop registered with a waived fee. Refused once anything has been paid...</t>
  </si>
  <si>
    <t>997748b Shop approval queue: record the fee payment or waive the fee from the shop's card</t>
  </si>
  <si>
    <t>src/server/services/shop-ready-email.ts</t>
  </si>
  <si>
    <t>sendReadyForProductUpload</t>
  </si>
  <si>
    <t>message</t>
  </si>
  <si>
    <t>19c46a1 Shop onboarding wizard step 1: GSTIN-first checks with a background PAN check and the shop filled from the GST record</t>
  </si>
  <si>
    <t>str</t>
  </si>
  <si>
    <t>toDraftView</t>
  </si>
  <si>
    <t>findOpenDraft</t>
  </si>
  <si>
    <t>getOpenDraft</t>
  </si>
  <si>
    <t>The owner's registration in progress, or null — the wizard resumes from it.</t>
  </si>
  <si>
    <t>assertOwnerExists</t>
  </si>
  <si>
    <t>The owner is a platform user (no foreign key across the split): checked here.</t>
  </si>
  <si>
    <t>countCheck</t>
  </si>
  <si>
    <t>The per-draft hourly limit on paid checks the owner can start.</t>
  </si>
  <si>
    <t>submitDraftGstin</t>
  </si>
  <si>
    <t>Checks the GSTIN with the government source and, once it is verified, the PAN inside it — the owner types only the GSTIN. The GST record fills the draft's shop name, legal name and address.</t>
  </si>
  <si>
    <t>submitDraftPan</t>
  </si>
  <si>
    <t>No GSTIN: the PAN alone is checked, and the owner signs the "not GST-registered" declaration.</t>
  </si>
  <si>
    <t>wizardAvailableFor</t>
  </si>
  <si>
    <t>The wizard is open to everyone only while shop_onboarding_wizard_enabled is on. While it is off only an admin may use it (testing on staging): a link such as /shop/register?wizard=1 must not open a registration route the owner has not switched on.</t>
  </si>
  <si>
    <t>efe32c3 Onboarding wizard: ?wizard=1 opens it only while its flag is on, or for an admin</t>
  </si>
  <si>
    <t>requireWizardAvailable</t>
  </si>
  <si>
    <t>Throws "not available" (404) unless the wizard is open to this user — for the wizard's routes.</t>
  </si>
  <si>
    <t>showsWizard</t>
  </si>
  <si>
    <t>Add my shop: the wizard or the long form. ?form=1 always shows the long form; with the flag on everyone gets the wizard; with it off an admin gets it with ?wizard=1.</t>
  </si>
  <si>
    <t>toWizardView</t>
  </si>
  <si>
    <t>getWizardDraft</t>
  </si>
  <si>
    <t>The owner's registration in the wizard: the OPEN draft, else the latest one already turned into a shop (to show payment, waiting or done), else null.</t>
  </si>
  <si>
    <t>saveDraftDetails</t>
  </si>
  <si>
    <t>answerDraftDocument</t>
  </si>
  <si>
    <t>"I don't have Udyam / FSSAI / the Shop Act now." Owner decision 29 Oct 2026: a mandatory document (Shop Act, FSSAI for a food shop) may be left for later; it is then promised at "Create my shop and pay", and the shop waits for GoKesari's team (a food shop...</t>
  </si>
  <si>
    <t>submitDraftDocument</t>
  </si>
  <si>
    <t>Checks a Udyam, FSSAI or Shop Act number with the government source and keeps the result on the draft.</t>
  </si>
  <si>
    <t>saveDraftLocation</t>
  </si>
  <si>
    <t>submitDraftForPayment</t>
  </si>
  <si>
    <t>"Create my shop and pay": the shop is created from the draft — the same registration as Add my shop (duplicate checks, fee snapshot, referral code, role) — and every government check is copied to seller_verifications in the same transaction. Returns the...</t>
  </si>
  <si>
    <t>src/server/services/shop-types.ts</t>
  </si>
  <si>
    <t>listShopTypes</t>
  </si>
  <si>
    <t>Built-in types first, then staff-added; inactive ones only when asked (staff screens).</t>
  </si>
  <si>
    <t>isKnownShopType</t>
  </si>
  <si>
    <t>Every key a shop, rate or category may use — inactive staff-added types stay valid for shops that already have them.</t>
  </si>
  <si>
    <t>assertShopType</t>
  </si>
  <si>
    <t>Throws a validation error unless `key` is a built-in or an active staff-added type.</t>
  </si>
  <si>
    <t>loadShopTypeRegistry</t>
  </si>
  <si>
    <t>Server code that branches on the food flag calls this first so staff-added types are known.</t>
  </si>
  <si>
    <t>createShopType</t>
  </si>
  <si>
    <t>updateShopType</t>
  </si>
  <si>
    <t>Edit a staff-added type. The key never changes; built-in types are code and cannot be edited here.</t>
  </si>
  <si>
    <t>shopCountsByType</t>
  </si>
  <si>
    <t>How many shops use each type, for the admin list.</t>
  </si>
  <si>
    <t>src/server/services/shops.ts</t>
  </si>
  <si>
    <t>remindShopDocuments</t>
  </si>
  <si>
    <t>Operations nudge a pending shop's owner to upload the seller documents still missing (in-app and e-mail, plus SMS where an SMS provider is set up). At most once a day per shop: a second press the same day sends nothing and says so. `channels` names what...</t>
  </si>
  <si>
    <t>getSupportSettings</t>
  </si>
  <si>
    <t>currentCharge</t>
  </si>
  <si>
    <t>The charge in force for a service today.</t>
  </si>
  <si>
    <t>listSupportServices</t>
  </si>
  <si>
    <t>supportServicesOn</t>
  </si>
  <si>
    <t>Is the paid support services page on for this shop?</t>
  </si>
  <si>
    <t>requesterFor</t>
  </si>
  <si>
    <t>Who may ask for a shop: its owner, or an approved dealer the shop is attributed to. Anyone else: "not found" (no hint that the shop exists).</t>
  </si>
  <si>
    <t>priceFor</t>
  </si>
  <si>
    <t>The base price for a quantity under a charge (before GST).</t>
  </si>
  <si>
    <t>quoteSupportService</t>
  </si>
  <si>
    <t>The price the shop is shown before it submits (and the price it is charged).</t>
  </si>
  <si>
    <t>createSupportRequest</t>
  </si>
  <si>
    <t>Creates the request at the quoted price. A free one is paid at once and its ticket opened; a priced one waits for payment.</t>
  </si>
  <si>
    <t>getRequest</t>
  </si>
  <si>
    <t>payFromWallet</t>
  </si>
  <si>
    <t>Pays from the shop's prepaid wallet (the owner only). Not enough balance: 402 with the shortfall — top up or pay online; nothing is created.</t>
  </si>
  <si>
    <t>payOnline</t>
  </si>
  <si>
    <t>Pays online (UPI / card): a gateway checkout; the request is paid only when the signed webhook confirms it.</t>
  </si>
  <si>
    <t>onSupportServicePaymentCaptured</t>
  </si>
  <si>
    <t>The gateway confirmed the payment (purpose handler, inside the capture transaction): the request is paid when the amount is right; its ticket is opened after the commit.</t>
  </si>
  <si>
    <t>ensureTicket</t>
  </si>
  <si>
    <t>Opens the help-desk ticket of a paid request, once (the request row is locked while the ticket is made), and copies its files to the ticket. The help desk switched off: the request stays paid without a ticket and staff see it in the admin list.</t>
  </si>
  <si>
    <t>cancelSupportRequest</t>
  </si>
  <si>
    <t>The requester cancels. Waiting for payment: cancelled. Paid, before work starts (ticket still open or acknowledged): refunded by the admin's percentage, the ticket closed. After work starts: refused — an admin may still refund.</t>
  </si>
  <si>
    <t>adminRefund</t>
  </si>
  <si>
    <t>ADMIN only: refund a paid request (any stage), with a reason.</t>
  </si>
  <si>
    <t>listShopRequests</t>
  </si>
  <si>
    <t>listCharges</t>
  </si>
  <si>
    <t>saveCharge</t>
  </si>
  <si>
    <t>ADMIN only: a new charge version for a service. Requests already made keep theirs; open tickets are unaffected. Audited with the reason.</t>
  </si>
  <si>
    <t>saveSupportSettings</t>
  </si>
  <si>
    <t>ADMIN only: refund percentage before work starts; managed-billing shops free. Audited.</t>
  </si>
  <si>
    <t>supportServicesReport</t>
  </si>
  <si>
    <t>Staff: every request, and the report by service (requests, revenue, refunds, SLA kept).</t>
  </si>
  <si>
    <t>New pages and API routes since the 25 Oct report (71)</t>
  </si>
  <si>
    <t>Added under src/app between the 25 Oct report and production 4585627. Dealer and wizard routes answer only while their feature flag is on for the area (or for an admin).</t>
  </si>
  <si>
    <t>Type</t>
  </si>
  <si>
    <t>Path</t>
  </si>
  <si>
    <t>Methods</t>
  </si>
  <si>
    <t>Used by</t>
  </si>
  <si>
    <t>Page</t>
  </si>
  <si>
    <t>/admin/dealers/[id]</t>
  </si>
  <si>
    <t>page</t>
  </si>
  <si>
    <t>Admin / staff</t>
  </si>
  <si>
    <t>src/app/admin/dealers/[id]/page.tsx</t>
  </si>
  <si>
    <t>/admin/dealers/analytics</t>
  </si>
  <si>
    <t>src/app/admin/dealers/analytics/page.tsx</t>
  </si>
  <si>
    <t>/admin/dealers/claims</t>
  </si>
  <si>
    <t>src/app/admin/dealers/claims/page.tsx</t>
  </si>
  <si>
    <t>/admin/dealers/commission</t>
  </si>
  <si>
    <t>src/app/admin/dealers/commission/page.tsx</t>
  </si>
  <si>
    <t>/admin/dealers</t>
  </si>
  <si>
    <t>src/app/admin/dealers/page.tsx</t>
  </si>
  <si>
    <t>/admin/feature-flags</t>
  </si>
  <si>
    <t>src/app/admin/feature-flags/page.tsx</t>
  </si>
  <si>
    <t>/admin/shop-types</t>
  </si>
  <si>
    <t>src/app/admin/shop-types/page.tsx</t>
  </si>
  <si>
    <t>/admin/shops/instant-approvals</t>
  </si>
  <si>
    <t>src/app/admin/shops/instant-approvals/page.tsx</t>
  </si>
  <si>
    <t>/admin/shops/missing-documents</t>
  </si>
  <si>
    <t>src/app/admin/shops/missing-documents/page.tsx</t>
  </si>
  <si>
    <t>/admin/support-services</t>
  </si>
  <si>
    <t>src/app/admin/support-services/page.tsx</t>
  </si>
  <si>
    <t>API</t>
  </si>
  <si>
    <t>/api/admin/customer-referrals/[id]</t>
  </si>
  <si>
    <t>POST</t>
  </si>
  <si>
    <t>Customer referrals</t>
  </si>
  <si>
    <t>src/app/api/admin/customer-referrals/[id]/route.ts</t>
  </si>
  <si>
    <t>/api/admin/dealer-analytics</t>
  </si>
  <si>
    <t>GET, POST</t>
  </si>
  <si>
    <t>src/app/api/admin/dealer-analytics/route.ts</t>
  </si>
  <si>
    <t>/api/admin/dealer-commission</t>
  </si>
  <si>
    <t>GKS-CM-001..005</t>
  </si>
  <si>
    <t>src/app/api/admin/dealer-commission/route.ts</t>
  </si>
  <si>
    <t>/api/admin/dealer-disputes/[id]</t>
  </si>
  <si>
    <t>src/app/api/admin/dealer-disputes/[id]/route.ts</t>
  </si>
  <si>
    <t>/api/admin/dealer-disputes</t>
  </si>
  <si>
    <t>GET</t>
  </si>
  <si>
    <t>src/app/api/admin/dealer-disputes/route.ts</t>
  </si>
  <si>
    <t>/api/admin/dealer-document-requirements</t>
  </si>
  <si>
    <t>GET, PUT</t>
  </si>
  <si>
    <t>src/app/api/admin/dealer-document-requirements/route.ts</t>
  </si>
  <si>
    <t>/api/admin/dealers/[id]/bank-check</t>
  </si>
  <si>
    <t>src/app/api/admin/dealers/[id]/bank-check/route.ts</t>
  </si>
  <si>
    <t>/api/admin/dealers/[id]/codes/[codeId]/replace</t>
  </si>
  <si>
    <t>src/app/api/admin/dealers/[id]/codes/[codeId]/replace/route.ts</t>
  </si>
  <si>
    <t>/api/admin/dealers/[id]/decision</t>
  </si>
  <si>
    <t>src/app/api/admin/dealers/[id]/decision/route.ts</t>
  </si>
  <si>
    <t>/api/admin/dealers/[id]/documents/[docId]</t>
  </si>
  <si>
    <t>src/app/api/admin/dealers/[id]/documents/[docId]/route.ts</t>
  </si>
  <si>
    <t>/api/admin/dealers/[id]/rating</t>
  </si>
  <si>
    <t>src/app/api/admin/dealers/[id]/rating/route.ts</t>
  </si>
  <si>
    <t>/api/admin/dealers/[id]/reveal</t>
  </si>
  <si>
    <t>src/app/api/admin/dealers/[id]/reveal/route.ts</t>
  </si>
  <si>
    <t>/api/admin/dealers/[id]</t>
  </si>
  <si>
    <t>src/app/api/admin/dealers/[id]/route.ts</t>
  </si>
  <si>
    <t>/api/admin/dealers/[id]/salespeople/[spId]</t>
  </si>
  <si>
    <t>PATCH</t>
  </si>
  <si>
    <t>src/app/api/admin/dealers/[id]/salespeople/[spId]/route.ts</t>
  </si>
  <si>
    <t>/api/admin/dealers</t>
  </si>
  <si>
    <t>src/app/api/admin/dealers/route.ts</t>
  </si>
  <si>
    <t>/api/admin/escalation-sweep</t>
  </si>
  <si>
    <t>src/app/api/admin/escalation-sweep/route.ts</t>
  </si>
  <si>
    <t>/api/admin/feature-flags</t>
  </si>
  <si>
    <t>src/app/api/admin/feature-flags/route.ts</t>
  </si>
  <si>
    <t>/api/admin/registration-fee-coupons/[id]</t>
  </si>
  <si>
    <t>PUT</t>
  </si>
  <si>
    <t>src/app/api/admin/registration-fee-coupons/[id]/route.ts</t>
  </si>
  <si>
    <t>/api/admin/registration-fee-coupons</t>
  </si>
  <si>
    <t>src/app/api/admin/registration-fee-coupons/route.ts</t>
  </si>
  <si>
    <t>/api/admin/support-services</t>
  </si>
  <si>
    <t>src/app/api/admin/support-services/route.ts</t>
  </si>
  <si>
    <t>/api/dealer/application/documents</t>
  </si>
  <si>
    <t>src/app/api/dealer/application/documents/route.ts</t>
  </si>
  <si>
    <t>/api/dealer/application/otp</t>
  </si>
  <si>
    <t>src/app/api/dealer/application/otp/route.ts</t>
  </si>
  <si>
    <t>/api/dealer/application</t>
  </si>
  <si>
    <t>src/app/api/dealer/application/route.ts</t>
  </si>
  <si>
    <t>/api/dealer/application/submit</t>
  </si>
  <si>
    <t>src/app/api/dealer/application/submit/route.ts</t>
  </si>
  <si>
    <t>/api/dealer/assisted/[id]/shop</t>
  </si>
  <si>
    <t>src/app/api/dealer/assisted/[id]/shop/route.ts</t>
  </si>
  <si>
    <t>/api/dealer/assisted/[id]/verify</t>
  </si>
  <si>
    <t>src/app/api/dealer/assisted/[id]/verify/route.ts</t>
  </si>
  <si>
    <t>/api/dealer/assisted</t>
  </si>
  <si>
    <t>src/app/api/dealer/assisted/route.ts</t>
  </si>
  <si>
    <t>/api/dealer/code</t>
  </si>
  <si>
    <t>src/app/api/dealer/code/route.ts</t>
  </si>
  <si>
    <t>/api/dealer/commission</t>
  </si>
  <si>
    <t>src/app/api/dealer/commission/route.ts</t>
  </si>
  <si>
    <t>/api/dealer/commission/statement</t>
  </si>
  <si>
    <t>src/app/api/dealer/commission/statement/route.ts</t>
  </si>
  <si>
    <t>/api/dealer/disputes</t>
  </si>
  <si>
    <t>src/app/api/dealer/disputes/route.ts</t>
  </si>
  <si>
    <t>/api/dealer/documents/[id]</t>
  </si>
  <si>
    <t>src/app/api/dealer/documents/[id]/route.ts</t>
  </si>
  <si>
    <t>/api/dealer/leads/[id]</t>
  </si>
  <si>
    <t>src/app/api/dealer/leads/[id]/route.ts</t>
  </si>
  <si>
    <t>/api/dealer/leads</t>
  </si>
  <si>
    <t>src/app/api/dealer/leads/route.ts</t>
  </si>
  <si>
    <t>/api/dealer/salespeople/[id]</t>
  </si>
  <si>
    <t>src/app/api/dealer/salespeople/[id]/route.ts</t>
  </si>
  <si>
    <t>/api/dealer/salespeople</t>
  </si>
  <si>
    <t>src/app/api/dealer/salespeople/route.ts</t>
  </si>
  <si>
    <t>/api/dealer/shops</t>
  </si>
  <si>
    <t>src/app/api/dealer/shops/route.ts</t>
  </si>
  <si>
    <t>/api/geo-areas</t>
  </si>
  <si>
    <t>Signed-in / public</t>
  </si>
  <si>
    <t>src/app/api/geo-areas/route.ts</t>
  </si>
  <si>
    <t>/api/shop-types/[key]</t>
  </si>
  <si>
    <t>src/app/api/shop-types/[key]/route.ts</t>
  </si>
  <si>
    <t>/api/shop-types</t>
  </si>
  <si>
    <t>src/app/api/shop-types/route.ts</t>
  </si>
  <si>
    <t>/api/shops/[id]/close</t>
  </si>
  <si>
    <t>Shop closure</t>
  </si>
  <si>
    <t>src/app/api/shops/[id]/close/route.ts</t>
  </si>
  <si>
    <t>/api/shops/[id]/documents-promise</t>
  </si>
  <si>
    <t>src/app/api/shops/[id]/documents-promise/route.ts</t>
  </si>
  <si>
    <t>/api/shops/[id]/registration-fee</t>
  </si>
  <si>
    <t>src/app/api/shops/[id]/registration-fee/route.ts</t>
  </si>
  <si>
    <t>/api/shops/[id]/remind-documents</t>
  </si>
  <si>
    <t>src/app/api/shops/[id]/remind-documents/route.ts</t>
  </si>
  <si>
    <t>/api/shops/[id]/waive-fee</t>
  </si>
  <si>
    <t>src/app/api/shops/[id]/waive-fee/route.ts</t>
  </si>
  <si>
    <t>/api/shops/registration-draft/details</t>
  </si>
  <si>
    <t>NEW-091, NEW-092</t>
  </si>
  <si>
    <t>src/app/api/shops/registration-draft/details/route.ts</t>
  </si>
  <si>
    <t>/api/shops/registration-draft/documents</t>
  </si>
  <si>
    <t>src/app/api/shops/registration-draft/documents/route.ts</t>
  </si>
  <si>
    <t>/api/shops/registration-draft/gstin</t>
  </si>
  <si>
    <t>src/app/api/shops/registration-draft/gstin/route.ts</t>
  </si>
  <si>
    <t>/api/shops/registration-draft/location</t>
  </si>
  <si>
    <t>src/app/api/shops/registration-draft/location/route.ts</t>
  </si>
  <si>
    <t>/api/shops/registration-draft/pan</t>
  </si>
  <si>
    <t>src/app/api/shops/registration-draft/pan/route.ts</t>
  </si>
  <si>
    <t>/api/shops/registration-draft</t>
  </si>
  <si>
    <t>src/app/api/shops/registration-draft/route.ts</t>
  </si>
  <si>
    <t>/api/shops/registration-draft/submit</t>
  </si>
  <si>
    <t>src/app/api/shops/registration-draft/submit/route.ts</t>
  </si>
  <si>
    <t>/api/shops/registration-fee-quote</t>
  </si>
  <si>
    <t>src/app/api/shops/registration-fee-quote/route.ts</t>
  </si>
  <si>
    <t>/api/support-services/[id]/cancel</t>
  </si>
  <si>
    <t>src/app/api/support-services/[id]/cancel/route.ts</t>
  </si>
  <si>
    <t>/api/support-services/[id]/pay</t>
  </si>
  <si>
    <t>src/app/api/support-services/[id]/pay/route.ts</t>
  </si>
  <si>
    <t>/api/support-services/quote</t>
  </si>
  <si>
    <t>src/app/api/support-services/quote/route.ts</t>
  </si>
  <si>
    <t>/api/support-services</t>
  </si>
  <si>
    <t>src/app/api/support-services/route.ts</t>
  </si>
  <si>
    <t>/dealer/apply</t>
  </si>
  <si>
    <t>src/app/dealer/apply/page.tsx</t>
  </si>
  <si>
    <t>/dealer</t>
  </si>
  <si>
    <t>src/app/dealer/page.tsx</t>
  </si>
  <si>
    <t>/shop/registration-fee</t>
  </si>
  <si>
    <t>src/app/shop/registration-fee/page.tsx</t>
  </si>
  <si>
    <t>/shop/support-services</t>
  </si>
  <si>
    <t>src/app/shop/support-services/page.tsx</t>
  </si>
  <si>
    <t>What is not yet on production - 29 Oct 2026 (from GOKESARI_PENDING_FOR_PRODUCTION_2026-10-29.md, updated from git)</t>
  </si>
  <si>
    <t>Production (main) is at 4585627 (#287, Release 29 Oct (6)), merged 29 Oct 14:00 UTC. Staging is ahead of production by docs only (#288, #289). Its post-deploy check result could not be read from this session.</t>
  </si>
  <si>
    <t>A. Releases since the 25 Oct report (production, newest first)</t>
  </si>
  <si>
    <t>Merged (IST)</t>
  </si>
  <si>
    <t>PR</t>
  </si>
  <si>
    <t>Commit</t>
  </si>
  <si>
    <t>What</t>
  </si>
  <si>
    <t>29 Oct 19:30</t>
  </si>
  <si>
    <t>#287</t>
  </si>
  <si>
    <t>4585627</t>
  </si>
  <si>
    <t>Release 29 Oct (6): shop documents D-107 / D-108 fixes, staging QA results</t>
  </si>
  <si>
    <t>29 Oct 18:25</t>
  </si>
  <si>
    <t>84c2279</t>
  </si>
  <si>
    <t>Release 29 Oct (5): dealer base commission, verification follow-ups, wizard GST/PAN flag, cron single-run, QA tests</t>
  </si>
  <si>
    <t>29 Oct 15:58</t>
  </si>
  <si>
    <t>01d0d26</t>
  </si>
  <si>
    <t>Release: home page database reads run together; logo link no longer prefetches home</t>
  </si>
  <si>
    <t>29 Oct 15:35</t>
  </si>
  <si>
    <t>6f161fa</t>
  </si>
  <si>
    <t>Release 29 Oct (4): dealer monthly payout; migrations only in GitHub Actions</t>
  </si>
  <si>
    <t>29 Oct 13:12</t>
  </si>
  <si>
    <t>88d288b</t>
  </si>
  <si>
    <t>Release 29 Oct (3): shop documents before the fee + 1st/15th follow-up, wizard behind its flag, dealers across India</t>
  </si>
  <si>
    <t>29 Oct 11:58</t>
  </si>
  <si>
    <t>381e2a2</t>
  </si>
  <si>
    <t>Release: a waived registration fee earns the dealer no commission</t>
  </si>
  <si>
    <t>29 Oct 07:55</t>
  </si>
  <si>
    <t>8219c82</t>
  </si>
  <si>
    <t>Release 29 Oct: shop documents scan + more licences, onboarding wizard step 2</t>
  </si>
  <si>
    <t>28 Oct 23:27</t>
  </si>
  <si>
    <t>direct merge</t>
  </si>
  <si>
    <t>8d6ef40</t>
  </si>
  <si>
    <t>Release 28 Oct (2): payment follow-up fix, fee record/waive, dealer commission holds, dealer docs.</t>
  </si>
  <si>
    <t>28 Oct 22:50</t>
  </si>
  <si>
    <t>87372c0</t>
  </si>
  <si>
    <t>Release 28 Oct: staging to main (registration fee, dealer programme 1–9, approval queue, onboarding wizard step 1)</t>
  </si>
  <si>
    <t>27 Oct 23:42</t>
  </si>
  <si>
    <t>f7c0032</t>
  </si>
  <si>
    <t>Release 27 Oct: staging to main (product cards, search, shop types, D-95, GAP fixes)</t>
  </si>
  <si>
    <t>B. On staging, not on production</t>
  </si>
  <si>
    <t>Item</t>
  </si>
  <si>
    <t>Commit / PR</t>
  </si>
  <si>
    <t>State</t>
  </si>
  <si>
    <t>Docs: D-108 retest passed; pending-for-production list after #285</t>
  </si>
  <si>
    <t>6eef5ac (#288), eb2f628 (#289)</t>
  </si>
  <si>
    <t>Docs only - goes with the next release</t>
  </si>
  <si>
    <t>C. Open defects and gaps</t>
  </si>
  <si>
    <t>Impact</t>
  </si>
  <si>
    <t>State / fix</t>
  </si>
  <si>
    <t>D-106</t>
  </si>
  <si>
    <t>Wizard GSTIN / PAN step routes answered a signed-in non-admin while the flag was off</t>
  </si>
  <si>
    <t>Paid government lookups reachable without the wizard</t>
  </si>
  <si>
    <t>Fixed and released in #285; on gokesari.com a guest gets 401 from both routes</t>
  </si>
  <si>
    <t>D-107</t>
  </si>
  <si>
    <t>Shop documents follow-up (staging QA SD-03w / SD-07)</t>
  </si>
  <si>
    <t>Fixed (ea20441), released #287</t>
  </si>
  <si>
    <t>D-108</t>
  </si>
  <si>
    <t>Operator approval card did not name the promised date</t>
  </si>
  <si>
    <t>Fixed (63ccd62, #286), retest passed, released #287</t>
  </si>
  <si>
    <t>E-04</t>
  </si>
  <si>
    <t>Staging registration-fee checkout uses the in-process SANDBOX gateway, not the Cashfree sandbox</t>
  </si>
  <si>
    <t>Cashfree sandbox workflow not usable for fee tests</t>
  </si>
  <si>
    <t>Resolved by owner decision 29 Oct: pay on the built-in test page</t>
  </si>
  <si>
    <t>3 staging shops have a verified PAN not yet copied onto the shop row</t>
  </si>
  <si>
    <t>Shop GST/PAN card shows PAN "Not verified" until the next check</t>
  </si>
  <si>
    <t>Owner: one-time catch-up script, if wanted (Blockers #77)</t>
  </si>
  <si>
    <t>D. Built and on production, switched off (feature flags)</t>
  </si>
  <si>
    <t>Dealer application and portal, codes, attribution, commission, analytics, all-India add dealer</t>
  </si>
  <si>
    <t>Instant shop approval on GST/PAN verification + online fee</t>
  </si>
  <si>
    <t>Rating bonus on dealer commission</t>
  </si>
  <si>
    <t>Paid Support services page for shops</t>
  </si>
  <si>
    <t>The new shop onboarding wizard</t>
  </si>
  <si>
    <t>E. Branches deleted (owner, 29 Oct)</t>
  </si>
  <si>
    <t>Branch</t>
  </si>
  <si>
    <t>Last commit (restore: git push origin &lt;sha&gt;:refs/heads/&lt;branch&gt;)</t>
  </si>
  <si>
    <t>release/2026-10-29-waived-fee</t>
  </si>
  <si>
    <t>6475bdde5defa8847e1899c8a6ce18d23b65f735 (already on production as f2756b6)</t>
  </si>
  <si>
    <t>claude/festive-ride-udspyl</t>
  </si>
  <si>
    <t>d83c91fa7ffc8497111f3a7ada0f3f2ce5adb9e0 ("Driving Simulator" placeholder page, 25 Oct)</t>
  </si>
  <si>
    <t>Speed and database location - 28-29 Oct 2026 (from the performance diagnosis, performance report and region move plan)</t>
  </si>
  <si>
    <t>1. Measured response times (gokesari.com)</t>
  </si>
  <si>
    <t>28 Oct - database in Ohio</t>
  </si>
  <si>
    <t>29 Oct 09:40 - Singapore</t>
  </si>
  <si>
    <t>29 Oct 10:35 - after #282</t>
  </si>
  <si>
    <t>Target after P1/P2</t>
  </si>
  <si>
    <t>/ home (signed out)</t>
  </si>
  <si>
    <t>1.8-2.1 s</t>
  </si>
  <si>
    <t>0.42-0.52 s</t>
  </si>
  <si>
    <t>0.33-0.46 s (median 0.34 s)</t>
  </si>
  <si>
    <t>~0.20 s; ~0.05-0.10 s with P2</t>
  </si>
  <si>
    <t>/products/&lt;id&gt; product</t>
  </si>
  <si>
    <t>0.67-0.91 s</t>
  </si>
  <si>
    <t>unchanged</t>
  </si>
  <si>
    <t>~0.25 s</t>
  </si>
  <si>
    <t>/shops/&lt;slug&gt; shop</t>
  </si>
  <si>
    <t>0.57 s</t>
  </si>
  <si>
    <t>/shops list</t>
  </si>
  <si>
    <t>0.18-0.26 s</t>
  </si>
  <si>
    <t>/about, /contact, /categories</t>
  </si>
  <si>
    <t>0.05-0.06 s</t>
  </si>
  <si>
    <t>~40 ms from the CDN (P4)</t>
  </si>
  <si>
    <t>First request after idle</t>
  </si>
  <si>
    <t>~4 s</t>
  </si>
  <si>
    <t>2.5 s</t>
  </si>
  <si>
    <t>Needs Neon scale-to-zero off (P5)</t>
  </si>
  <si>
    <t>Approve a seller document</t>
  </si>
  <si>
    <t>5-15 s</t>
  </si>
  <si>
    <t>~2-4 s expected</t>
  </si>
  <si>
    <t>Replies once saved (ede4260)</t>
  </si>
  <si>
    <t>2. Recommendations and status</t>
  </si>
  <si>
    <t>Recommendation</t>
  </si>
  <si>
    <t>Note</t>
  </si>
  <si>
    <t>P1 home</t>
  </si>
  <si>
    <t>Run independent home-page reads together</t>
  </si>
  <si>
    <t>Released #282, 29 Oct</t>
  </si>
  <si>
    <t>P1 product / shop</t>
  </si>
  <si>
    <t>Product and shop page reads together; cache() the shop read</t>
  </si>
  <si>
    <t>Cache data shared by everyone (30-120 s)</t>
  </si>
  <si>
    <t>Keep stock and price live</t>
  </si>
  <si>
    <t>P3</t>
  </si>
  <si>
    <t>Stop the home page prefetching itself</t>
  </si>
  <si>
    <t>Logo link; 7-9 other links still prefetch</t>
  </si>
  <si>
    <t>Let the CDN cache static pages</t>
  </si>
  <si>
    <t>gk_return_to cookie only where needed</t>
  </si>
  <si>
    <t>P5</t>
  </si>
  <si>
    <t>Remove the cold first request</t>
  </si>
  <si>
    <t>Neon free plan: owner billing decision</t>
  </si>
  <si>
    <t>P6</t>
  </si>
  <si>
    <t>Smaller wins (logo, JS, CDN MISS, session cache)</t>
  </si>
  <si>
    <t>P7</t>
  </si>
  <si>
    <t>App and database in the same place</t>
  </si>
  <si>
    <t>Owner hosting decision</t>
  </si>
  <si>
    <t>Diag. 2</t>
  </si>
  <si>
    <t>Take follow-up work out of the approval request</t>
  </si>
  <si>
    <t>ede4260 (#268)</t>
  </si>
  <si>
    <t>Diag. 4</t>
  </si>
  <si>
    <t>pg_stat_statements on production</t>
  </si>
  <si>
    <t>Installed in the Singapore projects</t>
  </si>
  <si>
    <t>3. Database region move (Ohio -&gt; Neon Singapore aws-ap-southeast-1)</t>
  </si>
  <si>
    <t>Site</t>
  </si>
  <si>
    <t>Project</t>
  </si>
  <si>
    <t>Freeze (UTC)</t>
  </si>
  <si>
    <t>Writes opened (UTC)</t>
  </si>
  <si>
    <t>Read-only window</t>
  </si>
  <si>
    <t>Compare result</t>
  </si>
  <si>
    <t>test.gokesari.com</t>
  </si>
  <si>
    <t>GoKesari-test-sg (curly-night-16641982)</t>
  </si>
  <si>
    <t>28 Oct 10:43:53</t>
  </si>
  <si>
    <t>28 Oct 12:14:09</t>
  </si>
  <si>
    <t>1 h 30 min</t>
  </si>
  <si>
    <t>All five databases identical</t>
  </si>
  <si>
    <t>gokesari.com</t>
  </si>
  <si>
    <t>GoKesari-prod-sg (lively-frost-99365966)</t>
  </si>
  <si>
    <t>28 Oct 12:50:33</t>
  </si>
  <si>
    <t>28 Oct 13:23:28</t>
  </si>
  <si>
    <t>32 min 55 s</t>
  </si>
  <si>
    <t>All three databases identical</t>
  </si>
  <si>
    <t>4. Open items after the move</t>
  </si>
  <si>
    <t>Who</t>
  </si>
  <si>
    <t>Blocker #</t>
  </si>
  <si>
    <t>Run "Production database -&gt; verify" once on main</t>
  </si>
  <si>
    <t>Check the every-minute / hourly / daily jobs run on both sites</t>
  </si>
  <si>
    <t>Owner + session</t>
  </si>
  <si>
    <t>#4</t>
  </si>
  <si>
    <t>Neon plan for production (scale-to-zero)</t>
  </si>
  <si>
    <t>Owner (billing)</t>
  </si>
  <si>
    <t>#72</t>
  </si>
  <si>
    <t>Delete old Ohio projects: test after 4 Nov, production after 11 Nov</t>
  </si>
  <si>
    <t>Owner, then a session</t>
  </si>
  <si>
    <t>#75</t>
  </si>
  <si>
    <t>Keep a copy of the backup dumps</t>
  </si>
  <si>
    <t>What is needed</t>
  </si>
  <si>
    <t>Unblocks (feature IDs)</t>
  </si>
  <si>
    <t>Source</t>
  </si>
  <si>
    <t>Release blocker</t>
  </si>
  <si>
    <t>Production database is behind (0055) - next release cannot ship</t>
  </si>
  <si>
    <t>Resolved 9 Oct: the owner set MIGRATE_ON_BUILD=true for gokesari.com and the #120 deploy applied migrations 0056-0073 before the new code went live (Neon snapshot taken first).</t>
  </si>
  <si>
    <t>NEW-020-026, NEW-028-042, PLT-007</t>
  </si>
  <si>
    <t>Resolved</t>
  </si>
  <si>
    <t>PR #86, #87; ITEMS_A_E_2026-10-07.md section 3a</t>
  </si>
  <si>
    <t>'Production database' workflow is only on staging</t>
  </si>
  <si>
    <t>Resolved 9 Oct: #118 put the workflow on main. Running it still needs repository secrets - see #32.</t>
  </si>
  <si>
    <t>PLT-009 (and the release blocker above)</t>
  </si>
  <si>
    <t>Owner / dev</t>
  </si>
  <si>
    <t>PR #93; docs/event-driven-2026-10/PROD_DB.md</t>
  </si>
  <si>
    <t>Go-live blocker</t>
  </si>
  <si>
    <t>No recorded browser / QA sign-off</t>
  </si>
  <si>
    <t>Execute the 791-case plan and record results. 24 Oct: automated (QA-010) and run on local, staging and production (guest); register in docs/testing/GOKESARI_MASTER_TEST_REGISTER.xlsx. Remaining: 8 open defects and the test-side follow-ups.</t>
  </si>
  <si>
    <t>QA-003; QA-005; go-live</t>
  </si>
  <si>
    <t>QA / owner</t>
  </si>
  <si>
    <t>In progress</t>
  </si>
  <si>
    <t>6 Oct report; TEST_SUMMARY_AND_STATUS.md</t>
  </si>
  <si>
    <t>Production cron jobs</t>
  </si>
  <si>
    <t>Schedule seller-verification, dispute-escalation, shop-acceptance, delivery-dispatch and notifications on gokesari.com. 28 Oct: database counters showed almost no every-minute runs (production 0 in ~15 min, test 2 in ~1 h). New daily jobs since 25 Oct: dealer-monthly-payout, shop-document-follow-up. Check the Hostinger cron list and the [cron:every-minute] log lines.</t>
  </si>
  <si>
    <t>GS-007, GS-058, NEW-007, NEW-028</t>
  </si>
  <si>
    <t>Open</t>
  </si>
  <si>
    <t>DEPLOY_RUNBOOK.md; ITEMS_A_E section 3a.7</t>
  </si>
  <si>
    <t>Decision</t>
  </si>
  <si>
    <t>Per-order online payment (GS-028 / NEW-007)</t>
  </si>
  <si>
    <t>Resolved 18 Oct: per-order online payment built (#190, released #194) on the sandbox; going live needs the gateway keys (Owner inputs §1-2).</t>
  </si>
  <si>
    <t>GS-028, GS-073, SM-005, WF-001, NAV-003, NEW-007</t>
  </si>
  <si>
    <t>6 Oct report</t>
  </si>
  <si>
    <t>Vendor</t>
  </si>
  <si>
    <t>D2 - SMS / OTP vendor (DLT) and WhatsApp provider</t>
  </si>
  <si>
    <t>Resolved 18 Oct (D-A02): email is the OTP channel; SMS stays a Phase-2 stub. WhatsApp / push providers: keys in Owner inputs §11.</t>
  </si>
  <si>
    <t>GS-001, GS-074, NEW-035 (SMS code), NEW-038</t>
  </si>
  <si>
    <t>6 Oct report; three-modules PLAN.md P2</t>
  </si>
  <si>
    <t>D7 - licensed external price source</t>
  </si>
  <si>
    <t>Resolved 18 Oct (D-A03): online reference prices dropped by owner decision (GS-023 DROPPED).</t>
  </si>
  <si>
    <t>D10 - cancellation after packing</t>
  </si>
  <si>
    <t>Resolved 18 Oct: D10 signed off and built - after-packing per-shop fee within admin limits (F6.1.3).</t>
  </si>
  <si>
    <t>NEW-006 sign-off, NEW-020</t>
  </si>
  <si>
    <t>ITEMS_A_E section 1-A</t>
  </si>
  <si>
    <t>D6 - delivery fee kept on cancellation; platform invoicing of its own fees</t>
  </si>
  <si>
    <t>Resolved 18 Oct: GoKesari fee invoices built (F10.2.5, sandbox); needs GoKesari GSTIN, legal details and prefix (Owner inputs §4-5).</t>
  </si>
  <si>
    <t>Owner / CA</t>
  </si>
  <si>
    <t>3 Oct open features; ITEMS_A_E section 5</t>
  </si>
  <si>
    <t>RBAC-003 - operator 'Limited' shop management</t>
  </si>
  <si>
    <t>Resolved 18 Oct: OPERATOR_LIMITED role built (F8.4.2).</t>
  </si>
  <si>
    <t>SM-006 scope</t>
  </si>
  <si>
    <t>Resolved 18 Oct: ticket / issue state machine built with the help desk (F6.3.3).</t>
  </si>
  <si>
    <t>ITEMS_A_E section 5</t>
  </si>
  <si>
    <t>Which off-by-default features to switch on in production</t>
  </si>
  <si>
    <t>Choose which of the now-released off-by-default features to switch on in production: F3-F11 and #58 rules, plus fulfilmentOptions, legalDocuments, bankAccounts, bankRefunds, bankAccountCheck, shopReferral, customerSignupReferral, shopWallet, selfRegistration, cancellation PREPARING (all off on gokesari.com after #120). 29 Oct: five more flags built and off on gokesari.com: dealer_programme_enabled, gov_verification_auto_approval_enabled, dealer_rating_bonus_enabled, paid_support_services_enabled, shop_onboarding_wizard_enabled (switch on for all India, states or districts in Admin &gt; Feature flags).</t>
  </si>
  <si>
    <t>GS-014, GS-027, GS-033, GS-054, GS-072, GA-005, NAV-001, NAV-002, NAV-003, NEW-007</t>
  </si>
  <si>
    <t>Pending</t>
  </si>
  <si>
    <t>Event-layer decisions to confirm</t>
  </si>
  <si>
    <t>Dispatch starts at READY; customer not told when a rider declines; shops propose resolutions only after triage; auto-approved shops classified GREEN; 'support' = operators + admins.</t>
  </si>
  <si>
    <t>NEW-028, NEW-030, NEW-031</t>
  </si>
  <si>
    <t>Pending confirmation</t>
  </si>
  <si>
    <t>docs/event-driven-2026-10/README.md</t>
  </si>
  <si>
    <t>Gridlines live keys (seller verification)</t>
  </si>
  <si>
    <t>Sandbox then live keys; confirm FSSAI / GSTIN fields, Shop Act coverage, IP whitelist, retention and DPA. Production shows verification as paused until then.</t>
  </si>
  <si>
    <t>GS-007 automatic checks</t>
  </si>
  <si>
    <t>docs/seller-verification/DEPLOY.md</t>
  </si>
  <si>
    <t>Legal / CA</t>
  </si>
  <si>
    <t>CA check of GST rates, HSN codes and invoice wording</t>
  </si>
  <si>
    <t>Run scripts/gst-hsn-report.sql and have a CA confirm rates, HSN codes, bill-of-supply wording and numbering before invoicing is used for filing. Update 15 Oct: also covers the GST liability, set-off and invoice figures in Inventory &amp; Accounting (NEW-067, on test). Since 19 Oct the rates can be entered in the app (/admin/product-gst, NEW-068).</t>
  </si>
  <si>
    <t>NEW-007 (invoicing), NEW-027, NEW-068</t>
  </si>
  <si>
    <t>Seller-verification retention and Shop Act needs</t>
  </si>
  <si>
    <t>Lawyer/CA to confirm the retention period after closure (default 1,095 days) and Shop Act needs for non-MH / home sellers.</t>
  </si>
  <si>
    <t>GS-007 compliance</t>
  </si>
  <si>
    <t>Owner / lawyer</t>
  </si>
  <si>
    <t>docs/seller-verification/COMPLIANCE.md</t>
  </si>
  <si>
    <t>Holding shops' prepaid money</t>
  </si>
  <si>
    <t>Legal review of the shop prepaid wallet; at least a seller-terms clause.</t>
  </si>
  <si>
    <t>docs/shop-wallet-delivery-otp-2026-10/README.md section 6</t>
  </si>
  <si>
    <t>Owner inputs</t>
  </si>
  <si>
    <t>Inputs for PR #92 modules 2 and 3</t>
  </si>
  <si>
    <t>Modules 2 and 3 are on gokesari.com since #120 (module 2 on mock providers, module 3 switched off). Inputs P1-P6 are needed before using them for real.</t>
  </si>
  <si>
    <t>NEW-037, NEW-038</t>
  </si>
  <si>
    <t>docs/three-modules-2026-10/PLAN.md</t>
  </si>
  <si>
    <t>Agreement</t>
  </si>
  <si>
    <t>GS1 India and brand permissions</t>
  </si>
  <si>
    <t>Agreement / written permission and a real sample file for each source; then go-ahead for large-scale ingestion.</t>
  </si>
  <si>
    <t>PMD-002, PMD-006</t>
  </si>
  <si>
    <t>PR housekeeping</t>
  </si>
  <si>
    <t>PR #92 migration number clash</t>
  </si>
  <si>
    <t>Resolved 8 Oct: #92 renumbered its migrations to 0065-0068 (after staging's 0061-0064); drizzle-kit reports no drift.</t>
  </si>
  <si>
    <t>PR #92 branch vs staging</t>
  </si>
  <si>
    <t>PR #99 open</t>
  </si>
  <si>
    <t>Resolved: #99 merged into staging 8 Oct 18:09 UTC.</t>
  </si>
  <si>
    <t>NEW-033 testing</t>
  </si>
  <si>
    <t>PR #99</t>
  </si>
  <si>
    <t>Release step</t>
  </si>
  <si>
    <t>Purge CDN cache for /api/images/* after releasing C5</t>
  </si>
  <si>
    <t>Release #120 is out: purge the CDN cache for /api/images/* now (rider photos used to be cached publicly).</t>
  </si>
  <si>
    <t>At release</t>
  </si>
  <si>
    <t>ITEMS_A_E section 3</t>
  </si>
  <si>
    <t>PR #92 ready for review</t>
  </si>
  <si>
    <t>Resolved: #92 merged into staging 9 Oct 08:34 UTC and released in #120.</t>
  </si>
  <si>
    <t>NEW-036, NEW-037, NEW-038</t>
  </si>
  <si>
    <t>PR #92</t>
  </si>
  <si>
    <t>Cashfree live keys and Refunds API</t>
  </si>
  <si>
    <t>Set CASHFREE_APP_ID / CASHFREE_SECRET_KEY / CASHFREE_ENV=production and confirm the Refunds API is enabled - the Rs 1 bank-account check refunds every payment.</t>
  </si>
  <si>
    <t>docs/four-features-2026-10/README.md section 5</t>
  </si>
  <si>
    <t>Email sending capacity</t>
  </si>
  <si>
    <t>The test site hit the mail host's hourly cap (451). Raise the limit or use a transactional email service before go-live; check SPF/DKIM for gokesari.com.</t>
  </si>
  <si>
    <t>GAP-009, GS-055, NEW-039-042</t>
  </si>
  <si>
    <t>TEST_RESULTS.md (S-5)</t>
  </si>
  <si>
    <t>referrals@gokesari.com and referral codes</t>
  </si>
  <si>
    <t>Create the mailbox and confirm mail arrives (not readable from the test run); decide who else gets requests (shopReferral.notifyEmails); create referral codes before switching shopReferral.required on.</t>
  </si>
  <si>
    <t>README sections 5-6</t>
  </si>
  <si>
    <t>Four-features decisions</t>
  </si>
  <si>
    <t>Resolved 9 Oct: the owner decided (O-1 to O-8); built in #106, #109, #110, #111, #115, #117 and released switched off in #120.</t>
  </si>
  <si>
    <t>NEW-039, NEW-040, NEW-041, NEW-042</t>
  </si>
  <si>
    <t>docs/four-features-2026-10/README.md section 6</t>
  </si>
  <si>
    <t>Tell shop owners before switching legalDocuments on</t>
  </si>
  <si>
    <t>Shops without the required licence get 15 days; announce it before switching the rule on in production.</t>
  </si>
  <si>
    <t>README section 5 item 7</t>
  </si>
  <si>
    <t>Accounts</t>
  </si>
  <si>
    <t>App store publishing</t>
  </si>
  <si>
    <t>Expo account + EAS project id in mobile/app.config.ts; Google Play Console ($25) with the first .aab uploaded by hand; Apple Developer Program ($99/yr); store listings (privacy policy URL, Data safety form, screenshots). Then set MOBILE_* env vars for deep links. Update 14 Oct: the 'iPhone app' workflow (#153) is ready; it needs EXPO_TOKEN, ASC_API_KEY_P8, ASC_KEY_ID, ASC_ISSUER_ID, APPLE_TEAM_ID, the Expo project id and the App Store Connect app record. 18 Oct: store publishing ON HOLD by owner decision.</t>
  </si>
  <si>
    <t>NEW-043, NEW-044</t>
  </si>
  <si>
    <t>On hold</t>
  </si>
  <si>
    <t>mobile/README.md</t>
  </si>
  <si>
    <t>CI</t>
  </si>
  <si>
    <t>Staging CI red on 76e2cc5</t>
  </si>
  <si>
    <t>CI on the staging merge of #104 (docs only) failed in 'Unit and integration tests'; the same code passed on the PR head and on 6f3c28f. Investigate the failing test / re-run before the next staging merge. 10 Oct: resolved - CI is green again - PR #132 (the production code at 0ec63f3 plus this report) passed typecheck, lint, unit and integration tests, the production build and the mobile job at 12:09 UTC.</t>
  </si>
  <si>
    <t>Actions run 37855030692</t>
  </si>
  <si>
    <t>Defect</t>
  </si>
  <si>
    <t>Map 'Confirm location' 500 (test and production)</t>
  </si>
  <si>
    <t>Resolved 25 Oct: the owner changed the GOOGLE_MAPS_SERVER_API_KEY restriction (was HTTP referrer, which Google refuses for server calls) and Confirm location works again. Log check: test succeeded from 14 Oct; production was still failing on 21 Oct.</t>
  </si>
  <si>
    <t>TEST_RESULTS.md</t>
  </si>
  <si>
    <t>Release step / access</t>
  </si>
  <si>
    <t>Production database workflow has no repository secrets</t>
  </si>
  <si>
    <t>Resolved 19 Oct: PROD_DATABASE_HOST / NAME set on the production environment; Production database verify passed (run 39211030047, #197).</t>
  </si>
  <si>
    <t>Actions run 37937847750 (9 Oct 13:34 UTC)</t>
  </si>
  <si>
    <t>Rotate database passwords before go-live</t>
  </si>
  <si>
    <t>Urgent: the production Neon neondb_owner password was posted in a chat on 12 Oct - reset it now and update DATABASE_URL in hPanel (and the GitHub secrets). Rotate the other database passwords before go-live as planned.</t>
  </si>
  <si>
    <t>Go-live</t>
  </si>
  <si>
    <t>Owner, 9 Oct</t>
  </si>
  <si>
    <t>Tile Board: build the four entries that have no feature behind them?</t>
  </si>
  <si>
    <t>Customer Favourites, App theme, Call rider (rider number is not shown to customers today); shop owner Theme. The board shows the nearest real page in their place.</t>
  </si>
  <si>
    <t>docs/tile-board-2026-10/README.md</t>
  </si>
  <si>
    <t>Performance / hosting</t>
  </si>
  <si>
    <t>Slow signed-in pages and cold first visits</t>
  </si>
  <si>
    <t>Partly resolved 28 Oct: both databases moved to Neon Singapore (home page 1.8-2.1 s -&gt; 0.34 s median). Still open: the cold start after ~5 idle minutes (Blockers #72) and P7 (Blockers #80).</t>
  </si>
  <si>
    <t>GAP-010; PLT-013</t>
  </si>
  <si>
    <t>Partly resolved</t>
  </si>
  <si>
    <t>Turn on prepared statements (DATABASE_PREPARED_STATEMENTS=on)</t>
  </si>
  <si>
    <t>Set it for test.gokesari.com, check signed-in pages and that Neon's pooled host accepts prepared statements, then set it for gokesari.com.</t>
  </si>
  <si>
    <t>Commit 98cb8e7 (PR #124)</t>
  </si>
  <si>
    <t>Access / tooling</t>
  </si>
  <si>
    <t>GitHub Actions stopped starting jobs (billing / spending limit)</t>
  </si>
  <si>
    <t>Resolved: jobs started again 10 Oct 11:48 UTC; CI green on PR #132 (12:09 UTC) and on every release since (#135-#163); nightly Test database backup ran 13 Oct 23:54 UTC. #134 cuts minutes used.</t>
  </si>
  <si>
    <t>PLT-003; PLT-008; PLT-011; QA-005</t>
  </si>
  <si>
    <t>Actions runs 37973592123, 38008566333, 38016672801</t>
  </si>
  <si>
    <t>Translate the body of inner pages into Hindi / Marathi?</t>
  </si>
  <si>
    <t>Boards, header, menus, tabs and error screens are translated; forms, tables and policy pages are English. Thousands of strings; needs a native-speaker review.</t>
  </si>
  <si>
    <t>GAP-015; NEW-047</t>
  </si>
  <si>
    <t>Delete the downloaded copy-shops SQL files</t>
  </si>
  <si>
    <t>copy-shops-1-PREVIEW.sql / copy-shops-2-APPLY.sql hold the 5 owners' contact details - delete every downloaded copy.</t>
  </si>
  <si>
    <t>docs/copy-shops-2026-10/README.md</t>
  </si>
  <si>
    <t>Copied shops: sign-in, legal documents, two shops without location</t>
  </si>
  <si>
    <t>The 5 copied owners sign in on gokesari.com and upload their legal documents; add map locations for the 2 original production shops (Asmy super market x2) so Nearby can list them.</t>
  </si>
  <si>
    <t>PLT-018, NEW-057, NEW-040</t>
  </si>
  <si>
    <t>copy-shops README; nearby TEST_RESULTS</t>
  </si>
  <si>
    <t>Document auto-read engine</t>
  </si>
  <si>
    <t>Resolved 15 Oct: #169 reads the photo in the owner's browser (no document leaves the device to be read); released to gokesari.com (#175 / #177) and verified on test and production. No decision on Claude for KYC documents is needed. Before: the local OCR worker did not start on Hostinger.</t>
  </si>
  <si>
    <t>docs/document-upload-2026-10/TEST_RESULTS.md</t>
  </si>
  <si>
    <t>Production database split - check the split secrets</t>
  </si>
  <si>
    <t>Resolved 20 Oct: owner approved; test switched 19 Oct 21:44 UTC and production 20 Oct 00:39 UTC (Database split runs 29, 31); both sites run two databases (switch-status 05:46 UTC). Before: Go-ahead and a window for the seller / customer split cut-over (DB_SPLIT_MODE) plus Neon logical replication - runbook docs/db-split-2026-10/CUTOVER_2026-10-18.md (Owner inputs §13).</t>
  </si>
  <si>
    <t>Actions 'Database split' runs 7-19</t>
  </si>
  <si>
    <t>Record browser runs for Seller Central and the saffron wordmark</t>
  </si>
  <si>
    <t>Seller Central (#142) has only local checks; no staging / production run after #153. Run both on test and gokesari.com and record results. Update 15 Oct: Seller Central was used on test in the order-lifecycle run (TR-23, shop switcher checked); a full Seller Central pass and the saffron wordmark run are still to record.</t>
  </si>
  <si>
    <t>NEW-060, NEW-064</t>
  </si>
  <si>
    <t>QA / dev</t>
  </si>
  <si>
    <t>seller-central TEST_RESULTS; 13 Oct status sheet</t>
  </si>
  <si>
    <t>Production order-lifecycle run (real payment)</t>
  </si>
  <si>
    <t>For QA-009: a production shop with delivery on and its owner's sign-in email; an approved rider (or permission to register one for approval); confirmation that the Cashfree live keys are set; the owner pays the small real top-up. No test data or sandbox keys on gokesari.com. Listed again in Owner inputs §14 (18 Oct).</t>
  </si>
  <si>
    <t>Inventory &amp; Accounting - before release</t>
  </si>
  <si>
    <t>Done 15 Oct: staging run recorded (TESTING_REPORT.md), ~40 s load fixed (#172), released by #179. Still open as separate rows: AI bill reading decision, GSP, CA check (#15).</t>
  </si>
  <si>
    <t>Dev / Owner</t>
  </si>
  <si>
    <t>docs/inventory-accounting-2026-10/README.md</t>
  </si>
  <si>
    <t>Release staging to production (#168, #169, #171)</t>
  </si>
  <si>
    <t>Released: #168 and #169 via #175 / #177; #171, #172 (and #173, #174) via #179 on 15 Oct.</t>
  </si>
  <si>
    <t>NEW-066, NEW-062, NEW-067</t>
  </si>
  <si>
    <t>git log main..staging</t>
  </si>
  <si>
    <t>Bulk product upload: production checks signed in</t>
  </si>
  <si>
    <t>Resolved 19 Oct: signed-in production smoke with a test shop 4/4 pass (#191); clean-up passed (#199).</t>
  </si>
  <si>
    <t>BPU-16</t>
  </si>
  <si>
    <t>docs/product-import-2026-10/README.md</t>
  </si>
  <si>
    <t>Bulk upload: MRP in the file</t>
  </si>
  <si>
    <t>Stored as the listing MRP (shop_listing_details.mrp_paise); master MRP unchanged; price above it not applied</t>
  </si>
  <si>
    <t>BPU-03</t>
  </si>
  <si>
    <t>Dev (recorded)</t>
  </si>
  <si>
    <t>Decided</t>
  </si>
  <si>
    <t>Bulk upload: uncategorised products</t>
  </si>
  <si>
    <t>Go to the system category General</t>
  </si>
  <si>
    <t>BPU-04</t>
  </si>
  <si>
    <t>Bulk upload: mobile store builds</t>
  </si>
  <si>
    <t>EAS / Expo account and Apple Developer account for the AAB and the iPhone build</t>
  </si>
  <si>
    <t>BPU-10, BPU-11</t>
  </si>
  <si>
    <t>Owner action</t>
  </si>
  <si>
    <t>Inventory &amp; Accounting: INTEGRATION_ENCRYPTION_KEY value</t>
  </si>
  <si>
    <t>The variable is set on test and production but is not base64 of 32 bytes (test reports encryption not configured; GST link answers 500). Set `openssl rand -base64 32` (a different value per site) in Hostinger and redeploy.</t>
  </si>
  <si>
    <t>IA-056, IA-020, IA-048, NEW-037</t>
  </si>
  <si>
    <t>docs/inventory-accounting-2026-10/TESTING_REPORT.md</t>
  </si>
  <si>
    <t>Decision / vendor</t>
  </si>
  <si>
    <t>Inventory &amp; Accounting: licensed GSP for GST returns</t>
  </si>
  <si>
    <t>Choose and contract a GSP (Masters India, ClearTax, IRIS, Tally GSP, Vayana) for live GSTR-2B/2A/1 pull; until then owners upload the file from gst.gov.in (works on production).</t>
  </si>
  <si>
    <t>IA-022, IA-023</t>
  </si>
  <si>
    <t>Inventory &amp; Accounting: AI reading of supplier bills</t>
  </si>
  <si>
    <t>Allow bills to be read by Claude (ANTHROPIC_API_KEY + INVOICE_EXTRACTION_PROVIDER=claude): needed for photos, handwriting, Hindi and Marathi. Without it: e-invoice, Excel, PDF text and typing.</t>
  </si>
  <si>
    <t>IA-034, IA-039</t>
  </si>
  <si>
    <t>Inventory &amp; Accounting: crons</t>
  </si>
  <si>
    <t>Schedule POST /api/cron/gst-reminders daily and /api/cron/bill-captures every 10 min (Bearer CRON_SECRET) on both sites.</t>
  </si>
  <si>
    <t>IA-027, IA-050</t>
  </si>
  <si>
    <t>Inventory &amp; Accounting: bill forwarding by email and S3 bucket</t>
  </si>
  <si>
    <t>Inbound mail provider (INBOUND_EMAIL_SECRET / _DOMAIN) for forwarding; S3-compatible bucket credentials (ACCOUNTS_S3_*) - bills stay in the database until then.</t>
  </si>
  <si>
    <t>IA-032, IA-049</t>
  </si>
  <si>
    <t>Flaky test: PMD parallel loader</t>
  </si>
  <si>
    <t>Resolved 16 Oct: #184 (each parallel worker scores only its own committed batch; shared products rescored at the end; reproduced 1 in 3 before, 15/15 after) released to gokesari.com by #185.</t>
  </si>
  <si>
    <t>Payment gateway live keys and webhook secrets</t>
  </si>
  <si>
    <t>PAYMENT_GATEWAY + Cashfree (or Razorpay / PhonePe) live keys; payment and payout webhook secrets</t>
  </si>
  <si>
    <t>GS-028, GS-073, SM-005, WF-001, NAV-003, NEW-007, GS-058</t>
  </si>
  <si>
    <t>docs/batch-2026-10/OWNER_INPUTS_NEEDED.md §1-2</t>
  </si>
  <si>
    <t>Payout account and keys</t>
  </si>
  <si>
    <t>RazorpayX / Cashfree payout account and keys for the 5-day shop payouts</t>
  </si>
  <si>
    <t>OWNER_INPUTS_NEEDED.md §3</t>
  </si>
  <si>
    <t>GoKesari GSTIN, legal details and invoice prefix</t>
  </si>
  <si>
    <t>For GoKesari fee invoices (F10.2.5)</t>
  </si>
  <si>
    <t>OWNER_INPUTS_NEEDED.md §4-5</t>
  </si>
  <si>
    <t>CA confirmation of TCS / TDS / SAC rates</t>
  </si>
  <si>
    <t>Rates looked up 18 Oct; CA must confirm before production use</t>
  </si>
  <si>
    <t>GAP-005, GAP-006</t>
  </si>
  <si>
    <t>OWNER_INPUTS_NEEDED.md §6; decision-log.md</t>
  </si>
  <si>
    <t>Grievance Officer details</t>
  </si>
  <si>
    <t>Name, contact and address to publish on the grievance portal (consumer protection rules)</t>
  </si>
  <si>
    <t>OWNER_INPUTS_NEEDED.md §7</t>
  </si>
  <si>
    <t>Deep links: Android signing fingerprint and Apple Team ID</t>
  </si>
  <si>
    <t>MOBILE_* values so gokesari.com links open the app</t>
  </si>
  <si>
    <t>OWNER_INPUTS_NEEDED.md §10</t>
  </si>
  <si>
    <t>Mobile push keys</t>
  </si>
  <si>
    <t>EAS project + FCM / APNs keys for real push notifications (app 1.2.0)</t>
  </si>
  <si>
    <t>GS-074, NEW-043</t>
  </si>
  <si>
    <t>OWNER_INPUTS_NEEDED.md §11</t>
  </si>
  <si>
    <t>Owner choice</t>
  </si>
  <si>
    <t>Switch on the new batch features in production</t>
  </si>
  <si>
    <t>Every batch feature is OFF on gokesari.com: online payments, broadcast offers, pickup QR (needs PICKUP_QR_SECRET), rider navigation, payouts, fee invoices, push</t>
  </si>
  <si>
    <t>GAP-001, GAP-002, GAP-004, GAP-005, GAP-006, GS-028</t>
  </si>
  <si>
    <t>OWNER_INPUTS_NEEDED.md §12</t>
  </si>
  <si>
    <t>Batch cron jobs on both sites</t>
  </si>
  <si>
    <t>payments-reconcile (5 min), auth-housekeeping, timeout-sweep, payouts and the other entries in crontab.txt</t>
  </si>
  <si>
    <t>GS-028, GAP-004, GAP-005</t>
  </si>
  <si>
    <t>docs/batch-2026-10/crontab.txt; OWNER_INPUTS_NEEDED.md §9</t>
  </si>
  <si>
    <t>Hostinger builds stopped (test from 19 Oct 16:17 UTC until #209, and 19 Oct 22:24 - 20 Oct 04:45 UTC; production after #219 on 20 Oct)</t>
  </si>
  <si>
    <t>Resolved: build worker cap (#209); seller database URL corrected on Hostinger and checked by migrations (#215, #218). 21 Oct check: both sites serve the latest releases (/admin/product-gst 307, /api/search/suggest 200).</t>
  </si>
  <si>
    <t>PLT-019, NEW-068, NEW-069</t>
  </si>
  <si>
    <t>PR #209, #215, #218; docs/homepage-uiux-2026-10/README.md</t>
  </si>
  <si>
    <t>iPhone app builds from GitHub</t>
  </si>
  <si>
    <t>Repository secret EXPO_TOKEN and the Expo project id in mobile/app.config.ts; the 'iPhone app' workflow failed on 18 Oct without them</t>
  </si>
  <si>
    <t>NEW-069 (app), GS-074</t>
  </si>
  <si>
    <t>mobile/README.md 'iPhone builds from GitHub'; PR #217</t>
  </si>
  <si>
    <t>Signed-in checks on the test and production sites</t>
  </si>
  <si>
    <t>Resolved 24 Oct: the owner allowed the QA session to read the GoKesari sign-in codes of the staging test accounts (Gmail, read only); the signed-in tier now runs on test.gokesari.com. Production stays guest-only.</t>
  </si>
  <si>
    <t>NEW-069, QA-003</t>
  </si>
  <si>
    <t>PR #217 (D-28)</t>
  </si>
  <si>
    <t>Enter GST rates and HSN codes for the live catalogue</t>
  </si>
  <si>
    <t>No product has a GST rate or HSN code, so tax invoices use the 0% default. Enter them at /admin/product-gst once the CA confirms (see #15).</t>
  </si>
  <si>
    <t>NEW-027, NEW-068, NEW-007</t>
  </si>
  <si>
    <t>src/app/admin/product-gst; Blockers #15</t>
  </si>
  <si>
    <t>Defects waiting on a business decision</t>
  </si>
  <si>
    <t>D-25 reversing a rewarded referral found fraudulent; D-57 approving riders with no identity documents; D-69 letting an owner close their shop</t>
  </si>
  <si>
    <t>docs/testing/qa-defects.json</t>
  </si>
  <si>
    <t>Hostinger PR preview builds migrate the target site's database</t>
  </si>
  <si>
    <t>Resolved 29 Oct by #276 (released #281): migrations run only in the GitHub workflows; Hostinger builds and PR previews no longer migrate.</t>
  </si>
  <si>
    <t>PLT-006, PLT-009</t>
  </si>
  <si>
    <t>D-99 in docs/testing/qa-defects.json</t>
  </si>
  <si>
    <t>Owner billing</t>
  </si>
  <si>
    <t>Neon plan for production</t>
  </si>
  <si>
    <t>The account is on the free plan (free_v3), so scale-to-zero cannot be switched off: the first visitor after ~5 idle minutes waits ~2.5 s. A keep-awake ping is not safe on the free plan (it can use up the monthly compute hours). Decide together with #4 (cron also keeps the database awake).</t>
  </si>
  <si>
    <t>NEW-102, GAP-010</t>
  </si>
  <si>
    <t>Proves the updated production secrets point at ep-calm-salad-ao1homrr (Singapore) / neondb.</t>
  </si>
  <si>
    <t>Owner (GitHub Actions)</t>
  </si>
  <si>
    <t>GOKESARI_DB_REGION_MOVE_PLAN_2026-10-28.md (open item 1)</t>
  </si>
  <si>
    <t>Test site database settings after the move</t>
  </si>
  <si>
    <t>TEST_DATABASE_HOST must name ep-hidden-star-b3k0l6ih (Singapore) so the "Test database" workflow guard passes. Not re-checked for this report: confirm with "Test database -&gt; verify".</t>
  </si>
  <si>
    <t>Check</t>
  </si>
  <si>
    <t>GOKESARI_DB_REGION_MOVE_PLAN_2026-10-28.md (section C)</t>
  </si>
  <si>
    <t>Delete the old Ohio Neon projects</t>
  </si>
  <si>
    <t>GoKesari-test (frozen) after 4 Nov 2026; GoKesari-prod (frozen) after 11 Nov 2026, on the owner's word. Keep a final dump of production first.</t>
  </si>
  <si>
    <t>Pending (dated)</t>
  </si>
  <si>
    <t>GOKESARI_DB_REGION_MOVE_PLAN_2026-10-28.md (open item 4)</t>
  </si>
  <si>
    <t>Switch on the dealer programme and onboarding flags on gokesari.com</t>
  </si>
  <si>
    <t>All five flags were released off. Staging: dealer_programme_enabled on for Karnataka + Pune; the other dealer flags for Pune. Production values could not be read from this session.</t>
  </si>
  <si>
    <t>GKS-*, NEW-091, NEW-092</t>
  </si>
  <si>
    <t>GOKESARI_PENDING_FOR_PRODUCTION_2026-10-29.md (D)</t>
  </si>
  <si>
    <t>One-time PAN catch-up for shops verified before 29 Oct</t>
  </si>
  <si>
    <t>3 staging shops have a verified PAN that is not yet copied onto the shop row (production not checked). A one-time script, if wanted.</t>
  </si>
  <si>
    <t>GOKESARI_PENDING_FOR_PRODUCTION_2026-10-29.md (C)</t>
  </si>
  <si>
    <t>Test environment</t>
  </si>
  <si>
    <t>E-04: staging registration-fee checkout uses the in-process SANDBOX gateway</t>
  </si>
  <si>
    <t>Resolved by owner decision 29 Oct: while test.gokesari.com runs PAYMENT_GATEWAY=SANDBOX, fee tests pay on the built-in test page (/orders/pay/sandbox/..., "Pay (success)").</t>
  </si>
  <si>
    <t>CLAUDE.md (Payment testing); #286</t>
  </si>
  <si>
    <t>Hosting</t>
  </si>
  <si>
    <t>Hostinger CDN reports MISS for /_next/static</t>
  </si>
  <si>
    <t>Files carry immutable, max-age=1y but repeat requests still MISS. Ask Hostinger support or check the hPanel CDN settings (~45 ms per file).</t>
  </si>
  <si>
    <t>Host the Node app next to the database (P7)</t>
  </si>
  <si>
    <t>Mumbai -&gt; Singapore costs ~60 ms per query. Hosting the app in Singapore would bring it to ~1-2 ms. Neon has no Mumbai region.</t>
  </si>
  <si>
    <t>Database backups from the move are only in a session scratchpad</t>
  </si>
  <si>
    <t>Copies of the old test (28 Oct 10:38) and production (backup-prod-20261028-1245) dumps: keep a copy in the owner's backups if wanted.</t>
  </si>
  <si>
    <t>Post-deploy check for release #287</t>
  </si>
  <si>
    <t>Release #287 merged into main 29 Oct 14:00 UTC. Its Post-deploy check result could not be read from this session (GitHub API unreachable). Confirm the run passed.</t>
  </si>
  <si>
    <t>Release #287</t>
  </si>
  <si>
    <t>CLAUDE.md (Production releases)</t>
  </si>
  <si>
    <t>PR #</t>
  </si>
  <si>
    <t>Title</t>
  </si>
  <si>
    <t>Branch (head -&gt; base)</t>
  </si>
  <si>
    <t>Target</t>
  </si>
  <si>
    <t>Created</t>
  </si>
  <si>
    <t>Merged / closed</t>
  </si>
  <si>
    <t>Features built / extended</t>
  </si>
  <si>
    <t>Features released to production</t>
  </si>
  <si>
    <t>Released to production via</t>
  </si>
  <si>
    <t>Notes</t>
  </si>
  <si>
    <t>1</t>
  </si>
  <si>
    <t>Add the Product Master Data Platform (pilot)</t>
  </si>
  <si>
    <t>feature/product-master-platform -&gt; main</t>
  </si>
  <si>
    <t>Production (main -&gt; gokesari.com)</t>
  </si>
  <si>
    <t>2026-09-20</t>
  </si>
  <si>
    <t>2026-09-21</t>
  </si>
  <si>
    <t>Superseded by #4 (closed unmerged).</t>
  </si>
  <si>
    <t>2</t>
  </si>
  <si>
    <t>Add GS1 India and manufacturer-catalogue connectors (Excel, mapping templates)</t>
  </si>
  <si>
    <t>feature/pmd-gs1-manufacturer-feeds -&gt; feature/product-master-platform</t>
  </si>
  <si>
    <t>Stacked on feature/product-master-platform</t>
  </si>
  <si>
    <t>Stacked on #1; superseded by #4.</t>
  </si>
  <si>
    <t>3</t>
  </si>
  <si>
    <t>PMD: loader rework for scale (bulk path, workers, dashboard/index fixes)</t>
  </si>
  <si>
    <t>feature/pmd-loader-rework -&gt; feature/product-master-platform</t>
  </si>
  <si>
    <t>4</t>
  </si>
  <si>
    <t>Product Master: platform, feeds, loader rework and shop-catalogue promotion (into staging)</t>
  </si>
  <si>
    <t>release/pmd-to-staging -&gt; staging</t>
  </si>
  <si>
    <t>Test site (staging -&gt; test.gokesari.com)</t>
  </si>
  <si>
    <t>GS-011, PMD-001, PMD-002, PMD-003, PMD-004</t>
  </si>
  <si>
    <t>Released by #8.</t>
  </si>
  <si>
    <t>5</t>
  </si>
  <si>
    <t>Product Master: one-command copy of the pilot data into a target database</t>
  </si>
  <si>
    <t>feature/pmd-copy-script -&gt; staging</t>
  </si>
  <si>
    <t>6</t>
  </si>
  <si>
    <t>Product Master: fix duplicate brand on concurrent promotion; parallel promotion option</t>
  </si>
  <si>
    <t>feature/pmd-promote-concurrency -&gt; staging</t>
  </si>
  <si>
    <t>7</t>
  </si>
  <si>
    <t>CI: checkout and setup-node v5 (Node 24)</t>
  </si>
  <si>
    <t>chore/ci-node24-actions -&gt; staging</t>
  </si>
  <si>
    <t>8</t>
  </si>
  <si>
    <t>Promote staging to main: Product Master platform (deploys live)</t>
  </si>
  <si>
    <t>staging -&gt; main</t>
  </si>
  <si>
    <t>GS-011, PMD-001, PMD-002, PMD-003, PMD-004, PLT-003</t>
  </si>
  <si>
    <t>Itself (merged to main)</t>
  </si>
  <si>
    <t>9</t>
  </si>
  <si>
    <t>Product Master: script to apply duplicate-review decisions</t>
  </si>
  <si>
    <t>feature/pmd-review-decide -&gt; staging</t>
  </si>
  <si>
    <t>Released by #12.</t>
  </si>
  <si>
    <t>10</t>
  </si>
  <si>
    <t>Phase 1 go-live development (for QA on staging)</t>
  </si>
  <si>
    <t>dev/phase1-go-live -&gt; staging</t>
  </si>
  <si>
    <t>2026-09-24</t>
  </si>
  <si>
    <t>2026-09-28</t>
  </si>
  <si>
    <t>GS-001, GS-002, GS-004, GS-010, GS-019, GS-020, GS-021, GS-022, GS-025, GS-031, GS-032, GS-034, GS-035, GS-036, GS-039, GS-041, GS-043, GS-055, GS-057, GS-061, GS-062, GS-064, GS-067, GS-070, GS-071, WF-001, WF-002, WF-003, WF-005, WF-007, WF-010, RBAC-002, RBAC-007, RBAC-011, RBAC-012, RBAC-015, SM-001, GA-006, GA-009, NAV-008, NAV-010, NEW-006</t>
  </si>
  <si>
    <t>Squash-merged into staging; released by #14.</t>
  </si>
  <si>
    <t>11</t>
  </si>
  <si>
    <t>Phase 2: society, ratings, subscription expansion (for QA on staging)</t>
  </si>
  <si>
    <t>dev/phase2-society -&gt; staging</t>
  </si>
  <si>
    <t>2026-09-25</t>
  </si>
  <si>
    <t>GS-002, GS-005, GS-026, GS-040, GS-044, GS-045, GS-046, GS-047, GS-049, GS-051, GS-056, GS-059, GS-060, WF-001, WF-003, WF-004, WF-006, RBAC-009, SM-004, SM-006, GA-001, GA-002, GA-007, GA-008, NAV-002, NAV-014</t>
  </si>
  <si>
    <t>12</t>
  </si>
  <si>
    <t>Promote staging to main: Phase 1 + Phase 2 (deploys live)</t>
  </si>
  <si>
    <t>Squash release of #9 to main.</t>
  </si>
  <si>
    <t>13</t>
  </si>
  <si>
    <t>Hotfix: log the root cause of failed database queries</t>
  </si>
  <si>
    <t>hotfix/log-db-error-cause -&gt; staging</t>
  </si>
  <si>
    <t>14</t>
  </si>
  <si>
    <t>Squash release of Phase 1 (#10) to main.</t>
  </si>
  <si>
    <t>15</t>
  </si>
  <si>
    <t>fix: patch Node.js security vulnerabilities</t>
  </si>
  <si>
    <t>fix/patch-vulnerabilities-07273736-1790597348 -&gt; staging</t>
  </si>
  <si>
    <t>Superseded by the Next.js 16.3.6 bump released in #19.</t>
  </si>
  <si>
    <t>16</t>
  </si>
  <si>
    <t>Pin Node 20, bump Next.js to 16.3.6, log DB error causes</t>
  </si>
  <si>
    <t>claude/turbopack-css-crash-2y3or2 -&gt; main</t>
  </si>
  <si>
    <t>PLT-002, PLT-004</t>
  </si>
  <si>
    <t>Closed; its DB-error logging landed via #13.</t>
  </si>
  <si>
    <t>17</t>
  </si>
  <si>
    <t>Hotfix: build with webpack so Hostinger deploys succeed</t>
  </si>
  <si>
    <t>hotfix/hostinger-webpack-build -&gt; staging</t>
  </si>
  <si>
    <t>Squash-merged into staging; released by #19.</t>
  </si>
  <si>
    <t>18</t>
  </si>
  <si>
    <t>Phase 3: multi-role grants, COD, shop marketing, risk rules, KPI analytics</t>
  </si>
  <si>
    <t>dev/phase3-growth -&gt; staging</t>
  </si>
  <si>
    <t>GS-003, GS-030, GS-052, GS-053, GS-068, GS-069, WF-009, RBAC-013, NAV-009, NAV-018, NAV-019, KPI-001, KPI-002, KPI-003, KPI-004, KPI-005, KPI-006, KPI-007, KPI-008, KPI-009, KPI-010, KPI-011, KPI-012, KPI-013, KPI-014, KPI-015</t>
  </si>
  <si>
    <t>19</t>
  </si>
  <si>
    <t>2026-09-30</t>
  </si>
  <si>
    <t>GS-002, GS-003, GS-005, GS-006, GS-026, GS-030, GS-034, GS-038, GS-040, GS-042, GS-044, GS-045, GS-046, GS-047, GS-049, GS-051, GS-052, GS-053, GS-056, GS-059, GS-060, GS-065, GS-066, GS-068, GS-069, WF-001, WF-003, WF-004, WF-006, WF-008, WF-009, RBAC-009, RBAC-010, RBAC-013, SM-004, SM-006, GA-001, GA-002, GA-007, GA-008, NAV-002, NAV-009, NAV-011, NAV-012, NAV-013, NAV-014, NAV-015, NAV-016, NAV-017, NAV-018, NAV-019, KPI-001, KPI-002, KPI-003, KPI-004, KPI-005, KPI-006, KPI-007, KPI-008, KPI-009, KPI-010, KPI-011, KPI-012, KPI-013, KPI-014, KPI-015, PLT-001, PLT-002, PLT-004</t>
  </si>
  <si>
    <t>Release of Phases 2-4 (#11, #18, #21), #13, #17, #20, #22 to main.</t>
  </si>
  <si>
    <t>20</t>
  </si>
  <si>
    <t>Hotfix: resolve @/ imports in Hostinger webpack builds</t>
  </si>
  <si>
    <t>hotfix/webpack-src-alias -&gt; staging</t>
  </si>
  <si>
    <t>21</t>
  </si>
  <si>
    <t>Phase 4: operations, exceptions, fraud, and tracking hardening</t>
  </si>
  <si>
    <t>dev/phase4-operations -&gt; staging</t>
  </si>
  <si>
    <t>2026-09-29</t>
  </si>
  <si>
    <t>GS-034, GS-038, GS-042, GS-065, GS-066, GS-068, RBAC-010, NAV-011, NAV-012, NAV-013, NAV-015, NAV-016, NAV-017</t>
  </si>
  <si>
    <t>Rebased onto staging; released by #19.</t>
  </si>
  <si>
    <t>22</t>
  </si>
  <si>
    <t>Stop the same shop being registered twice</t>
  </si>
  <si>
    <t>fix/shop-duplicate-registration -&gt; staging</t>
  </si>
  <si>
    <t>GS-006, WF-008</t>
  </si>
  <si>
    <t>Merged into staging by hand; released by #19.</t>
  </si>
  <si>
    <t>23</t>
  </si>
  <si>
    <t>Release: Phases A–J, shop categories, migrations 0025–0035</t>
  </si>
  <si>
    <t>2026-10-01</t>
  </si>
  <si>
    <t>GS-001, GS-004, GS-009, GS-010, GS-014, GS-015, GS-017, GS-018, GS-023, GS-026, GS-039, GS-043, GS-047, GS-055, GS-057, GS-063, GS-065, GS-072, GS-074, WF-001, WF-003, WF-005, WF-007, RBAC-007, RBAC-014, SM-002, SM-003, GA-009, NAV-001, NAV-003, NAV-006, NAV-012, NAV-017, NEW-001, NEW-002, NEW-004, NEW-005, NEW-006, NEW-007</t>
  </si>
  <si>
    <t>Phases A-J, the settings screen and shop categories were committed straight to staging, so this release PR is their only PR.</t>
  </si>
  <si>
    <t>24</t>
  </si>
  <si>
    <t>Release: closed-shop ordering with confirmation and alerts; IST opening hours</t>
  </si>
  <si>
    <t>WF-001, WF-002, NAV-002, NEW-003</t>
  </si>
  <si>
    <t>Closed-shop ordering was committed straight to staging; this release PR is its only PR.</t>
  </si>
  <si>
    <t>25</t>
  </si>
  <si>
    <t>Point CNAME and domain examples at gokesari.com</t>
  </si>
  <si>
    <t>claude/charming-edison-ofoncf -&gt; staging</t>
  </si>
  <si>
    <t>2026-10-02</t>
  </si>
  <si>
    <t>26</t>
  </si>
  <si>
    <t>Port GoKesari from PostgreSQL to MySQL</t>
  </si>
  <si>
    <t>claude/awesome-dijkstra-fmccpl -&gt; main</t>
  </si>
  <si>
    <t>2026-10-07</t>
  </si>
  <si>
    <t>Closed without merging - the app stays on PostgreSQL.</t>
  </si>
  <si>
    <t>27</t>
  </si>
  <si>
    <t>Point this repo's deployment docs at GoKesari, not bkesari</t>
  </si>
  <si>
    <t>claude/amazing-cannon-5n3fro -&gt; main</t>
  </si>
  <si>
    <t>2026-10-03</t>
  </si>
  <si>
    <t>Closed; superseded by #25 and #33.</t>
  </si>
  <si>
    <t>28</t>
  </si>
  <si>
    <t>Re-audit the feature status workbook against the code on main</t>
  </si>
  <si>
    <t>claude/confident-albattani-dqw1dk -&gt; main</t>
  </si>
  <si>
    <t>29</t>
  </si>
  <si>
    <t>Mount the live tracking screen and enforce the registration-fee gate</t>
  </si>
  <si>
    <t>GS-008, GS-042, WF-005, WF-008, NAV-004, NAV-016</t>
  </si>
  <si>
    <t>30</t>
  </si>
  <si>
    <t>Explicit Save flow on three admin screens</t>
  </si>
  <si>
    <t>claude/eloquent-darwin-n8yblq -&gt; main</t>
  </si>
  <si>
    <t>GS-009, RBAC-013, NEW-009</t>
  </si>
  <si>
    <t>Also merged into staging by hand; released by #32.</t>
  </si>
  <si>
    <t>31</t>
  </si>
  <si>
    <t>Login by mobile or email, first-time profile and My Profile</t>
  </si>
  <si>
    <t>claude/tender-cannon-vmecpj -&gt; staging</t>
  </si>
  <si>
    <t>GS-001, GS-026, WF-001, NAV-003</t>
  </si>
  <si>
    <t>32</t>
  </si>
  <si>
    <t>Release: explicit Save flow on admin screens; gokesari.com domain corrections</t>
  </si>
  <si>
    <t>GS-009, RBAC-013, NEW-009, PLT-005</t>
  </si>
  <si>
    <t>33</t>
  </si>
  <si>
    <t>Delete DEPLOY_NOW.md, a runbook for the other brand's domain</t>
  </si>
  <si>
    <t>#36</t>
  </si>
  <si>
    <t>34</t>
  </si>
  <si>
    <t>Add the operations consent view (NAV-019)</t>
  </si>
  <si>
    <t>GS-070, NAV-019</t>
  </si>
  <si>
    <t>35</t>
  </si>
  <si>
    <t>Make `npm run dev` start again under Next 16</t>
  </si>
  <si>
    <t>36</t>
  </si>
  <si>
    <t>Promote staging: delete DEPLOY_NOW.md</t>
  </si>
  <si>
    <t>37</t>
  </si>
  <si>
    <t>Add a GoKesari deploy runbook</t>
  </si>
  <si>
    <t>38</t>
  </si>
  <si>
    <t>Product Master: category management (category master, shop categories, one-time categorisation)</t>
  </si>
  <si>
    <t>claude/wizardly-goldberg-cb4pqg -&gt; staging</t>
  </si>
  <si>
    <t>GS-011, GS-012, GS-013, RBAC-004, NAV-007, NEW-008</t>
  </si>
  <si>
    <t>39</t>
  </si>
  <si>
    <t>Categorisation script: --fallback category and --from-json reports</t>
  </si>
  <si>
    <t>40</t>
  </si>
  <si>
    <t>GS-058: dispute case lifecycle</t>
  </si>
  <si>
    <t>GS-058, SM-006</t>
  </si>
  <si>
    <t>41</t>
  </si>
  <si>
    <t>Limit this project's Claude chats to GoKesari</t>
  </si>
  <si>
    <t>42</t>
  </si>
  <si>
    <t>Merge main into staging: fix the migration 0037 clash; feature status report 3 Oct</t>
  </si>
  <si>
    <t>claude/pensive-cray-ccof2w -&gt; staging</t>
  </si>
  <si>
    <t>43</t>
  </si>
  <si>
    <t>Release: staging → main (product category management, login/profile, GoKesari-only chat rule)</t>
  </si>
  <si>
    <t>GS-001, GS-011, GS-012, GS-013, GS-026, WF-001, RBAC-004, NAV-003, NAV-007, NEW-008, PLT-005</t>
  </si>
  <si>
    <t>44</t>
  </si>
  <si>
    <t>Merge main into staging: renumber dispute migration to 0039</t>
  </si>
  <si>
    <t>Closed; superseded by #42 (migration renumbering).</t>
  </si>
  <si>
    <t>45</t>
  </si>
  <si>
    <t>Shop owner fixes: registration validation, inventory fill, per-shop prices, owner name, Sign out</t>
  </si>
  <si>
    <t>claude/magical-hamilton-kbhqm0 -&gt; staging</t>
  </si>
  <si>
    <t>GS-006, GS-012, GS-015, WF-008, NAV-006, NAV-007, NEW-010</t>
  </si>
  <si>
    <t>46</t>
  </si>
  <si>
    <t>Add open features summary spreadsheet (3 Oct 2026)</t>
  </si>
  <si>
    <t>claude/focused-ptolemy-55j95o -&gt; main</t>
  </si>
  <si>
    <t>2026-10-05</t>
  </si>
  <si>
    <t>47</t>
  </si>
  <si>
    <t>Release: shop owner fixes (staging → main)</t>
  </si>
  <si>
    <t>48</t>
  </si>
  <si>
    <t>Add cart and checkout flow enhancements</t>
  </si>
  <si>
    <t>claude/brave-mendel-615f3y -&gt; staging</t>
  </si>
  <si>
    <t>GS-020, GS-024, NAV-003, NEW-012</t>
  </si>
  <si>
    <t>#71</t>
  </si>
  <si>
    <t>49</t>
  </si>
  <si>
    <t>Fix ENOENT race when the Excel import skips a sheet</t>
  </si>
  <si>
    <t>2026-10-04</t>
  </si>
  <si>
    <t>#50</t>
  </si>
  <si>
    <t>50</t>
  </si>
  <si>
    <t>Release: fix Excel import ENOENT race (staging → main)</t>
  </si>
  <si>
    <t>51</t>
  </si>
  <si>
    <t>Add comprehensive test execution framework for 791 test cases</t>
  </si>
  <si>
    <t>claude/excel-test-cases-xk1gjq -&gt; staging</t>
  </si>
  <si>
    <t>QA-001, QA-002</t>
  </si>
  <si>
    <t>52</t>
  </si>
  <si>
    <t>Update e2e acceptance tests to current sign-in and wallet flows</t>
  </si>
  <si>
    <t>#54</t>
  </si>
  <si>
    <t>53</t>
  </si>
  <si>
    <t>Seller verification: KYC core, document rules, seller/admin screens, daily job, compliance controls</t>
  </si>
  <si>
    <t>claude/gracious-hypatia-t6lkul -&gt; staging</t>
  </si>
  <si>
    <t>GS-006, GS-007, WF-008</t>
  </si>
  <si>
    <t>54</t>
  </si>
  <si>
    <t>Release: seller document verification to production</t>
  </si>
  <si>
    <t>GS-006, GS-007, WF-008, QA-001</t>
  </si>
  <si>
    <t>55</t>
  </si>
  <si>
    <t>Marketplace features F1–F11 (behind business rules, off by default)</t>
  </si>
  <si>
    <t>GS-014, GS-022, GS-027, GS-033, GS-054, GS-072, WF-001, WF-003, SM-002, SM-003, SM-004, GA-005, NAV-001, NAV-002, NAV-003, NAV-009, NAV-013</t>
  </si>
  <si>
    <t>#57</t>
  </si>
  <si>
    <t>56</t>
  </si>
  <si>
    <t>Fix referral link redirect pointing at the internal host</t>
  </si>
  <si>
    <t>2026-10-06</t>
  </si>
  <si>
    <t>57</t>
  </si>
  <si>
    <t>Release to production: marketplace features F1–F11</t>
  </si>
  <si>
    <t>58</t>
  </si>
  <si>
    <t>Shop and subscription states, chosen delivery slot, rider batching, order completion (+ 6 Oct status report)</t>
  </si>
  <si>
    <t>claude/admiring-ritchie-rhs1x8 -&gt; staging</t>
  </si>
  <si>
    <t>GS-027, GS-034, GS-043, GS-051, WF-002, WF-003, WF-006, WF-008, SM-002, SM-004, GA-005, NAV-005, NAV-010, NAV-011, NEW-007</t>
  </si>
  <si>
    <t>#65</t>
  </si>
  <si>
    <t>59</t>
  </si>
  <si>
    <t>Header: GoKesari logo mark, name and tagline "Your Neighbourhood, Delivered"</t>
  </si>
  <si>
    <t>claude/serene-tesla-l4ggjm -&gt; staging</t>
  </si>
  <si>
    <t>#65 (same change on main via #60)</t>
  </si>
  <si>
    <t>60</t>
  </si>
  <si>
    <t>Production: GoKesari logo mark, name and tagline "Everything for Everyone" in the header</t>
  </si>
  <si>
    <t>claude/serene-tesla-l4ggjm -&gt; main</t>
  </si>
  <si>
    <t>61</t>
  </si>
  <si>
    <t>Tagline: "Everything for Everyone" (bring staging in line with production)</t>
  </si>
  <si>
    <t>62</t>
  </si>
  <si>
    <t>Production: GoKesari GK favicon instead of the Next.js template icon</t>
  </si>
  <si>
    <t>63</t>
  </si>
  <si>
    <t>GoKesari GK favicon instead of the Next.js template icon</t>
  </si>
  <si>
    <t>#65 (same change on main via #62)</t>
  </si>
  <si>
    <t>64</t>
  </si>
  <si>
    <t>Scheduled-slots tests: stop failing every evening after the test shop closes</t>
  </si>
  <si>
    <t>claude/fix-scheduled-slots-clock -&gt; staging</t>
  </si>
  <si>
    <t>65</t>
  </si>
  <si>
    <t>Release: staging → main (order lifecycle backlog, migrations 0051–0055)</t>
  </si>
  <si>
    <t>GS-027, GS-034, GS-043, GS-051, WF-002, WF-003, WF-006, WF-008, SM-002, SM-004, GA-005, NAV-001, NAV-005, NAV-010, NAV-011, NEW-007, NEW-013, NEW-014, PLT-004</t>
  </si>
  <si>
    <t>66</t>
  </si>
  <si>
    <t>Patch flagged npm packages: sharp, brace-expansion, source-map-js, js-yaml</t>
  </si>
  <si>
    <t>claude/intelligent-noether-rogv14 -&gt; staging</t>
  </si>
  <si>
    <t>67</t>
  </si>
  <si>
    <t>Home page: PageSpeed performance and accessibility fixes</t>
  </si>
  <si>
    <t>claude/wizardly-galileo-t8kfcl -&gt; staging</t>
  </si>
  <si>
    <t>NAV-001, NEW-013, NEW-014</t>
  </si>
  <si>
    <t>68</t>
  </si>
  <si>
    <t>Home page: keep the page usable if the shop lists' stream fails</t>
  </si>
  <si>
    <t>NAV-001, NEW-013</t>
  </si>
  <si>
    <t>#69</t>
  </si>
  <si>
    <t>69</t>
  </si>
  <si>
    <t>Release: staging → main (home page error boundary)</t>
  </si>
  <si>
    <t>70</t>
  </si>
  <si>
    <t>Release: staging → main (test execution framework)</t>
  </si>
  <si>
    <t>71</t>
  </si>
  <si>
    <t>Release: staging → main (product card quantity controls, search bar row)</t>
  </si>
  <si>
    <t>72</t>
  </si>
  <si>
    <t>Stop whole DB rows reaching browsers; product card cart state after reload; faster home page</t>
  </si>
  <si>
    <t>ccr-4ba4bca6-l80mi4 -&gt; staging</t>
  </si>
  <si>
    <t>GS-022, GS-024, GS-071, NEW-012, NEW-014</t>
  </si>
  <si>
    <t>73</t>
  </si>
  <si>
    <t>Release: staging → main (data-exposure fixes, cart state after reload, faster home page, header menu links)</t>
  </si>
  <si>
    <t>GS-022, GS-024, GS-071, NAV-015, NAV-016, NAV-017, NEW-012, NEW-014, NEW-015</t>
  </si>
  <si>
    <t>74</t>
  </si>
  <si>
    <t>Header menus: link the operations dashboard and the rider's gig pages</t>
  </si>
  <si>
    <t>NAV-015, NAV-016, NAV-017, NEW-015</t>
  </si>
  <si>
    <t>75</t>
  </si>
  <si>
    <t>Notification settings: drop the "Offers &amp; campaigns" row</t>
  </si>
  <si>
    <t>#76</t>
  </si>
  <si>
    <t>76</t>
  </si>
  <si>
    <t>Release: staging → main (notification settings without the "Offers &amp; campaigns" row)</t>
  </si>
  <si>
    <t>77</t>
  </si>
  <si>
    <t>Profile: show the marketing consent as a labelled on/off switch</t>
  </si>
  <si>
    <t>#78</t>
  </si>
  <si>
    <t>78</t>
  </si>
  <si>
    <t>Release: staging → main (clearer "Offers and promotions" switch on /profile)</t>
  </si>
  <si>
    <t>79</t>
  </si>
  <si>
    <t>Shop photo catalogue: every product as a photo with its price</t>
  </si>
  <si>
    <t>claude/product-image-catalogue-pricing-fosflc -&gt; staging</t>
  </si>
  <si>
    <t>GS-014, NAV-007, NEW-017</t>
  </si>
  <si>
    <t>80</t>
  </si>
  <si>
    <t>Sign-in: same reply to every OTP request, so it can't reveal accounts</t>
  </si>
  <si>
    <t>81</t>
  </si>
  <si>
    <t>Release: staging → main (OTP same reply #80)</t>
  </si>
  <si>
    <t>82</t>
  </si>
  <si>
    <t>Release: staging → main (shop photo catalogue #79)</t>
  </si>
  <si>
    <t>83</t>
  </si>
  <si>
    <t>Home and Shops redesign: header, tomorrow's delivery, nearby shops</t>
  </si>
  <si>
    <t>claude/home-redesign -&gt; staging</t>
  </si>
  <si>
    <t>GS-004, GS-019, GS-020, GS-051, NAV-001, NAV-005, NEW-019</t>
  </si>
  <si>
    <t>84</t>
  </si>
  <si>
    <t>Promote staging to main: home and Shops redesign</t>
  </si>
  <si>
    <t>GS-004, GS-019, GS-020, GS-051, NAV-001, NAV-005, NEW-017, NEW-019</t>
  </si>
  <si>
    <t>85</t>
  </si>
  <si>
    <t>Decisions A–E: cancellation refunds, admin settings, data exposure, 6 Oct features (test only)</t>
  </si>
  <si>
    <t>claude/hopeful-meitner-ia1fxd -&gt; staging</t>
  </si>
  <si>
    <t>2026-10-08</t>
  </si>
  <si>
    <t>NEW-020, NEW-021, NEW-022, NEW-023, NEW-024, NEW-025, NEW-026, NEW-027, PLT-007, QA-001</t>
  </si>
  <si>
    <t>#86 - reverted by #87</t>
  </si>
  <si>
    <t>Merged to staging only; production release #86 was reverted by #87.</t>
  </si>
  <si>
    <t>86</t>
  </si>
  <si>
    <t>Release to production: decisions A–E + optional build-time migration</t>
  </si>
  <si>
    <t>Reverted by #87 - NEW-020, NEW-021, NEW-022, NEW-023, NEW-024, NEW-026, PLT-007</t>
  </si>
  <si>
    <t>Reverted by #87 the same day: production DB lacked migrations 0056/0057, shop pages returned 500.</t>
  </si>
  <si>
    <t>87</t>
  </si>
  <si>
    <t>Revert release #86: shop pages fail without migrations 0056/0057</t>
  </si>
  <si>
    <t>claude/gifted-allen-rh2ta2 -&gt; main</t>
  </si>
  <si>
    <t>Re-release A-E after production has 0056/0057 by reverting this commit (a plain staging -&gt; main merge will not bring them back).</t>
  </si>
  <si>
    <t>88</t>
  </si>
  <si>
    <t>Runbook: stop the row-count checks going stale every release</t>
  </si>
  <si>
    <t>89</t>
  </si>
  <si>
    <t>Event layer: real-time workflows, cron only as a safety net (test site)</t>
  </si>
  <si>
    <t>claude/affectionate-albattani-texk4z -&gt; staging</t>
  </si>
  <si>
    <t>NEW-028, NEW-029, NEW-030, NEW-031, NEW-032</t>
  </si>
  <si>
    <t>Not yet (test site only)</t>
  </si>
  <si>
    <t>90</t>
  </si>
  <si>
    <t>Automate test-database work: "Test database" workflow + shared migration lock</t>
  </si>
  <si>
    <t>PLT-007, PLT-008</t>
  </si>
  <si>
    <t>91</t>
  </si>
  <si>
    <t>Shop prepaid wallet + OTP-confirmed delivery (test site)</t>
  </si>
  <si>
    <t>claude/compassionate-ritchie-d4zal1 -&gt; staging</t>
  </si>
  <si>
    <t>NEW-033, NEW-035</t>
  </si>
  <si>
    <t>92</t>
  </si>
  <si>
    <t>Three modules: shop product media, accounting integration &amp; GST, shop self-registration (test site)</t>
  </si>
  <si>
    <t>claude/laughing-mendel-ftwcgo -&gt; staging</t>
  </si>
  <si>
    <t>2026-10-09</t>
  </si>
  <si>
    <t>Merged into staging 9 Oct 08:34 UTC; released to production in #120.</t>
  </si>
  <si>
    <t>93</t>
  </si>
  <si>
    <t>Production database workflow: by hand, from main, typed confirmation</t>
  </si>
  <si>
    <t>#118 (workflow onto main) and #120</t>
  </si>
  <si>
    <t>On main since #118 (9 Oct); not runnable until the repository secrets are set.</t>
  </si>
  <si>
    <t>94</t>
  </si>
  <si>
    <t>Test database: switch the shop wallet on (1% commission) via the workflow</t>
  </si>
  <si>
    <t>NEW-033, PLT-008</t>
  </si>
  <si>
    <t>Test site only</t>
  </si>
  <si>
    <t>95</t>
  </si>
  <si>
    <t>Test database: credit Kesari Dairy Farm ₹500 and Asmy Exports ₹1,000</t>
  </si>
  <si>
    <t>96</t>
  </si>
  <si>
    <t>Test wallet credits: Asmy Exports ₹1,000 and QA Test Bakery A ₹500</t>
  </si>
  <si>
    <t>97</t>
  </si>
  <si>
    <t>Test wallet credits: QA Test Bakery B ₹500</t>
  </si>
  <si>
    <t>98</t>
  </si>
  <si>
    <t>Shop wallet: ₹5/km delivery charge, no checkout below the minimum, commission back on refunds</t>
  </si>
  <si>
    <t>99</t>
  </si>
  <si>
    <t>Test wallet credits: ₹5,000 to every shop onboarded by 8 Oct 2026 17:55 UTC</t>
  </si>
  <si>
    <t>Merged 8 Oct 18:09 UTC: Rs 5,000 test-wallet credit to every shop approved by 8 Oct 17:55 UTC (test site only).</t>
  </si>
  <si>
    <t>100</t>
  </si>
  <si>
    <t>Android and iPhone app for gokesari.com (mobile/)</t>
  </si>
  <si>
    <t>claude/fervent-carson-mra5my -&gt; main</t>
  </si>
  <si>
    <t>NEW-043, NEW-044, NEW-045, PLT-010</t>
  </si>
  <si>
    <t>NEW-044, NEW-045</t>
  </si>
  <si>
    <t>Merged 9 Oct 04:19 UTC. Website parts live on gokesari.com; the app itself is not in any store yet (Android APK test builds only).</t>
  </si>
  <si>
    <t>101</t>
  </si>
  <si>
    <t>Feature, process-flow and PR status workbook (8 Oct 2026)</t>
  </si>
  <si>
    <t>claude/sweet-volta-ryv75e -&gt; main</t>
  </si>
  <si>
    <t>The 8 Oct version of this workbook.</t>
  </si>
  <si>
    <t>102</t>
  </si>
  <si>
    <t>Four features: delivery options &amp; scheduling, legal documents, bank accounts with Rs 1 verification, mandatory referral code</t>
  </si>
  <si>
    <t>claude/busy-euler-5ipjns -&gt; staging</t>
  </si>
  <si>
    <t>NEW-039, NEW-040, NEW-041, NEW-042, PLT-011</t>
  </si>
  <si>
    <t>NEW-039, NEW-040, NEW-041, NEW-042 (switched off)</t>
  </si>
  <si>
    <t>Migrations 0061-0064 (renumbered after staging's 0060); each feature a rule, off by default, on for test.</t>
  </si>
  <si>
    <t>103</t>
  </si>
  <si>
    <t>Four features: fixes from the staging run, sandbox payment tooling, test results</t>
  </si>
  <si>
    <t>NEW-039, NEW-040, NEW-041, NEW-042, PLT-011, QA-004</t>
  </si>
  <si>
    <t>Fixes S-1 (repeat-safe mark ready / handovers), S-2 (Rs 1 refund status), S-3 (wording); TEST_RESULTS.md.</t>
  </si>
  <si>
    <t>104</t>
  </si>
  <si>
    <t>Four features: re-check of the follow-up fixes on test, email sending limit (docs)</t>
  </si>
  <si>
    <t>QA-004, GAP-009</t>
  </si>
  <si>
    <t>Docs only. Note: CI on the staging merge commit (76e2cc5) failed in 'Unit and integration tests' although the same tests passed on the PR head - to investigate / re-run.</t>
  </si>
  <si>
    <t>105</t>
  </si>
  <si>
    <t>Feature, process-flow and PR status workbook (9 Oct 2026)</t>
  </si>
  <si>
    <t>claude/peaceful-pascal-jai8w2 -&gt; main</t>
  </si>
  <si>
    <t>The morning version of this workbook.</t>
  </si>
  <si>
    <t>106</t>
  </si>
  <si>
    <t>Owner's decisions: pickup refunds the delivery fee, refunds to bank, referral code at customer registration</t>
  </si>
  <si>
    <t>NEW-039, NEW-048, NEW-049</t>
  </si>
  <si>
    <t>NEW-048, NEW-049 (switched off)</t>
  </si>
  <si>
    <t>Behind business rules, off by default.</t>
  </si>
  <si>
    <t>107</t>
  </si>
  <si>
    <t>CLAUDE.md: standard folders for GoKesari reports and test results</t>
  </si>
  <si>
    <t>108</t>
  </si>
  <si>
    <t>Four features: test results for the owner's decisions (docs)</t>
  </si>
  <si>
    <t>Docs only.</t>
  </si>
  <si>
    <t>109</t>
  </si>
  <si>
    <t>Four features: owner's second-round decisions (blocked shops show as paused, mandatory customer referral code)</t>
  </si>
  <si>
    <t>NEW-040, NEW-048</t>
  </si>
  <si>
    <t>NEW-040, NEW-048 (switched off)</t>
  </si>
  <si>
    <t>Decisions O-4, O-5; migration 0072.</t>
  </si>
  <si>
    <t>110</t>
  </si>
  <si>
    <t>Staging-run fixes: repeated customer code request; paused shops read 'Not taking new orders'</t>
  </si>
  <si>
    <t>Fixes S-6, S-7.</t>
  </si>
  <si>
    <t>111</t>
  </si>
  <si>
    <t>Four features: second-round test results; approved refunds-to-bank wording (O-8)</t>
  </si>
  <si>
    <t>NEW-049, QA-004</t>
  </si>
  <si>
    <t>NEW-049 (switched off)</t>
  </si>
  <si>
    <t>112</t>
  </si>
  <si>
    <t>Tile Board home screens for customer, shop owner, admin and operator</t>
  </si>
  <si>
    <t>claude/serene-gates-7cymxj -&gt; staging</t>
  </si>
  <si>
    <t>NEW-046, NEW-047, NAV-001, NAV-006, NAV-017</t>
  </si>
  <si>
    <t>NEW-046, NEW-047</t>
  </si>
  <si>
    <t>Approved design 'Theme 1 Tile Board'; 29 new unit tests; no migrations.</t>
  </si>
  <si>
    <t>113</t>
  </si>
  <si>
    <t>Cashfree sandbox test data for staging payment tests (CLAUDE.md + docs)</t>
  </si>
  <si>
    <t>114</t>
  </si>
  <si>
    <t>Tile Board: fit the app's shorter screen; test-site results</t>
  </si>
  <si>
    <t>Phone screens under 760px tall (the app's WebView).</t>
  </si>
  <si>
    <t>115</t>
  </si>
  <si>
    <t>O-7: bank check with Cashfree's Verification Suite; staging vs main report</t>
  </si>
  <si>
    <t>NEW-050 (switched off)</t>
  </si>
  <si>
    <t>Migration 0073.</t>
  </si>
  <si>
    <t>116</t>
  </si>
  <si>
    <t>Merge main into staging (mobile app work), keeping release #86</t>
  </si>
  <si>
    <t>NEW-043, NEW-044, NEW-045, NEW-046</t>
  </si>
  <si>
    <t>Undid the #86 revert (e16dd6d) before merging main, so staging kept every feature; removed the 10 staging-&gt;main conflicts. Also added /delivery/ and /disputes to the app's link list.</t>
  </si>
  <si>
    <t>117</t>
  </si>
  <si>
    <t>O-7: accept Cashfree's own key names; staging check results</t>
  </si>
  <si>
    <t>118</t>
  </si>
  <si>
    <t>Production database workflow onto main (no application change)</t>
  </si>
  <si>
    <t>claude/serene-gates-7cymxj -&gt; main</t>
  </si>
  <si>
    <t>Workflow, scripts and runbook only; gokesari.com redeployed with unchanged code.</t>
  </si>
  <si>
    <t>119</t>
  </si>
  <si>
    <t>Production database workflow on main (tooling only)</t>
  </si>
  <si>
    <t>claude/busy-euler-5ipjns -&gt; main</t>
  </si>
  <si>
    <t>Duplicate of #118; closed.</t>
  </si>
  <si>
    <t>120</t>
  </si>
  <si>
    <t>Release: staging -&gt; main (gokesari.com), migrations 0056-0073 via MIGRATE_ON_BUILD</t>
  </si>
  <si>
    <t>Everything on staging (PRs #85-#117)</t>
  </si>
  <si>
    <t>Merged 14:06 UTC. Production migrated by MIGRATE_ON_BUILD during the deploy; Neon snapshot taken first. Verified 14:55 UTC: pages 200, new build live.</t>
  </si>
  <si>
    <t>121</t>
  </si>
  <si>
    <t>Sign-in: one Terms &amp; Privacy box instead of three; 9 Oct status report (end of day)</t>
  </si>
  <si>
    <t>NEW-056; GS-001</t>
  </si>
  <si>
    <t>Also carried the 9 Oct end-of-day status report.</t>
  </si>
  <si>
    <t>122</t>
  </si>
  <si>
    <t>Tile Board everywhere: one-screen role homes, one path to every function</t>
  </si>
  <si>
    <t>claude/bold-volta-vxs1yf -&gt; staging</t>
  </si>
  <si>
    <t>NEW-046; NEW-047; NEW-051 to NEW-055; GAP-007; NAV-001, NAV-002, NAV-004 to NAV-008, NAV-017</t>
  </si>
  <si>
    <t>Same</t>
  </si>
  <si>
    <t>UI layer only - no database, API or payment change. Merged 18:04 UTC (the last CI run before GitHub Actions stopped).</t>
  </si>
  <si>
    <t>123</t>
  </si>
  <si>
    <t>Release: staging -&gt; main (gokesari.com) - Tile Board everywhere (#122) and single sign-in consent (#121)</t>
  </si>
  <si>
    <t>Everything in #121, #122</t>
  </si>
  <si>
    <t>Merged 19:28 UTC. No migration.</t>
  </si>
  <si>
    <t>124</t>
  </si>
  <si>
    <t>Performance and second UI pass: fewer database reads per page; one screen per view on the longest pages</t>
  </si>
  <si>
    <t>PLT-012; PLT-013; NEW-021; NEW-052; NEW-054; NAV-002, NAV-006, NAV-007, NAV-017; QA-005</t>
  </si>
  <si>
    <t>Merged 21:25 UTC without CI on the owner's instruction (GitHub Actions billing); local tsc, eslint, next build, Vitest 1,662 passed. Includes the UI pass test report and issue register.</t>
  </si>
  <si>
    <t>125</t>
  </si>
  <si>
    <t>PMD rollback script: drop the stray phpMyAdmin mention</t>
  </si>
  <si>
    <t>claude/focused-carson-4pa1e2 -&gt; staging</t>
  </si>
  <si>
    <t>2026-10-10</t>
  </si>
  <si>
    <t>PMD-001 (comment only)</t>
  </si>
  <si>
    <t>#131</t>
  </si>
  <si>
    <t>Comment-only change to a manual rollback script; merged without CI.</t>
  </si>
  <si>
    <t>126</t>
  </si>
  <si>
    <t>Release: staging -&gt; main (gokesari.com) - performance and second UI pass (#124)</t>
  </si>
  <si>
    <t>Everything in #124</t>
  </si>
  <si>
    <t>Merged 21:41 UTC without CI (owner's instruction). Production checks 21:44 UTC: pages 200, signed-in pages redirect to sign-in, Lighthouse mobile home 93/100/100/100.</t>
  </si>
  <si>
    <t>127</t>
  </si>
  <si>
    <t>Board: keep the shared shop and category figures for a minute</t>
  </si>
  <si>
    <t>#129</t>
  </si>
  <si>
    <t>Fixes 'badge dropped' on cold starts; test site home 0.70-0.92 s after 100 s idle (production without it 3.39-4.46 s).</t>
  </si>
  <si>
    <t>128</t>
  </si>
  <si>
    <t>Test report: production checks after #126 and #127 verified on test</t>
  </si>
  <si>
    <t>QA-005 (report)</t>
  </si>
  <si>
    <t>129</t>
  </si>
  <si>
    <t>Release: board figures cache (#127) and test report (#128)</t>
  </si>
  <si>
    <t>Everything in #127, #128</t>
  </si>
  <si>
    <t>Merged 02:21 UTC.</t>
  </si>
  <si>
    <t>130</t>
  </si>
  <si>
    <t>Board: give live figures 8 s before dropping a badge</t>
  </si>
  <si>
    <t>claude/nifty-carson-utdcht -&gt; staging</t>
  </si>
  <si>
    <t>Default allowance 4 s -&gt; 8 s; Buy again 6 s -&gt; 10 s.</t>
  </si>
  <si>
    <t>131</t>
  </si>
  <si>
    <t>Release: staging -&gt; main (gokesari.com) - board timeout 8 s (#130)</t>
  </si>
  <si>
    <t>Everything in #125, #130</t>
  </si>
  <si>
    <t>Merged 08:22 UTC. staging and main hold the same code after this release.</t>
  </si>
  <si>
    <t>132</t>
  </si>
  <si>
    <t>Feature status report 10 Oct 2026 (after releases #123, #126, #129, #131)</t>
  </si>
  <si>
    <t>claude/peaceful-faraday-xsfhp4 -&gt; staging</t>
  </si>
  <si>
    <t>Not needed (docs)</t>
  </si>
  <si>
    <t>133</t>
  </si>
  <si>
    <t>Nearby shops from the real location; referral code Mandatory/Optional by admin toggle</t>
  </si>
  <si>
    <t>claude/clever-dijkstra-beqakc -&gt; staging</t>
  </si>
  <si>
    <t>NEW-057, NEW-058, NEW-059</t>
  </si>
  <si>
    <t>Migration 0074.</t>
  </si>
  <si>
    <t>134</t>
  </si>
  <si>
    <t>CI: skip runs that cannot find anything new (save Actions minutes)</t>
  </si>
  <si>
    <t>claude/pensive-sagan-7kcr92 -&gt; staging</t>
  </si>
  <si>
    <t>135</t>
  </si>
  <si>
    <t>Release: staging -&gt; main - nearby shops, referral toggle (#133, #136), CI minutes (#134)</t>
  </si>
  <si>
    <t>NEW-057, NEW-058, NEW-059, PLT-016</t>
  </si>
  <si>
    <t>Migration 0074 applied by MIGRATE_ON_BUILD (Neon restore point 20:27 UTC).</t>
  </si>
  <si>
    <t>136</t>
  </si>
  <si>
    <t>Nearby: PIN box when the location prompt is ignored; test results for Nearby + referral settings</t>
  </si>
  <si>
    <t>NEW-057, QA-006</t>
  </si>
  <si>
    <t>137</t>
  </si>
  <si>
    <t>Docs: Nearby + referral settings - production release checks and mobile apps</t>
  </si>
  <si>
    <t>138</t>
  </si>
  <si>
    <t>Fix Admin -&gt; Referral codes showing 0 shops for every code (and 0 society members)</t>
  </si>
  <si>
    <t>2026-10-11</t>
  </si>
  <si>
    <t>139</t>
  </si>
  <si>
    <t>Release: fix Admin -&gt; Referral codes showing 0 shops (and 0 society members)</t>
  </si>
  <si>
    <t>140</t>
  </si>
  <si>
    <t>Copy the 5 real test shops to production (guarded workflow) + record the referral-count fix</t>
  </si>
  <si>
    <t>#141</t>
  </si>
  <si>
    <t>141</t>
  </si>
  <si>
    <t>Release: 'Copy shops to production' workflow (no application change)</t>
  </si>
  <si>
    <t>142</t>
  </si>
  <si>
    <t>GoKesari Seller Central and the 'Sell on GoKesari' page</t>
  </si>
  <si>
    <t>claude/adoring-hawking-5palvj -&gt; staging</t>
  </si>
  <si>
    <t>2026-10-12</t>
  </si>
  <si>
    <t>143</t>
  </si>
  <si>
    <t>Release staging to production: GoKesari Seller Central and 'Sell on GoKesari'</t>
  </si>
  <si>
    <t>144</t>
  </si>
  <si>
    <t>Copy shops: SQL files for the Neon console (sql mode)</t>
  </si>
  <si>
    <t>#145</t>
  </si>
  <si>
    <t>Used because Actions could not see PROD_DATABASE_URL.</t>
  </si>
  <si>
    <t>145</t>
  </si>
  <si>
    <t>Release: copy shops SQL mode (no application change)</t>
  </si>
  <si>
    <t>146</t>
  </si>
  <si>
    <t>Seller/customer DB split tooling, document upload with auto-read, FSSAI for food shops, compact footer, green wordmark</t>
  </si>
  <si>
    <t>claude/compassionate-galileo-6jpqg3 -&gt; staging</t>
  </si>
  <si>
    <t>2026-10-13</t>
  </si>
  <si>
    <t>PLT-015, NEW-062, NEW-063, NEW-064</t>
  </si>
  <si>
    <t>147</t>
  </si>
  <si>
    <t>Document reader: 25 s limit, 'type the details' fallback, admin health check</t>
  </si>
  <si>
    <t>NEW-062, QA-007</t>
  </si>
  <si>
    <t>Fixed the staging 504 on the first read.</t>
  </si>
  <si>
    <t>148</t>
  </si>
  <si>
    <t>Ship the OCR model and WebAssembly with the document routes (Hostinger)</t>
  </si>
  <si>
    <t>The OCR worker still does not start on Hostinger.</t>
  </si>
  <si>
    <t>149</t>
  </si>
  <si>
    <t>Release: compact footer, green wordmark, document upload + FSSAI for food shops, DB-split tooling</t>
  </si>
  <si>
    <t>NEW-062, NEW-063, NEW-064, PLT-015</t>
  </si>
  <si>
    <t>Migration 0075 applied in the Hostinger build (06:42 UTC).</t>
  </si>
  <si>
    <t>150</t>
  </si>
  <si>
    <t>Footer: no stray '·' at the start of a wrapped line on phones; release test results</t>
  </si>
  <si>
    <t>NEW-064, QA-007</t>
  </si>
  <si>
    <t>#151</t>
  </si>
  <si>
    <t>151</t>
  </si>
  <si>
    <t>Release: footer - no stray '·' at the start of a wrapped line on phones (#150)</t>
  </si>
  <si>
    <t>152</t>
  </si>
  <si>
    <t>DB split: stop the copy hanging on Neon; accept Neon's channel_binding URLs</t>
  </si>
  <si>
    <t>153</t>
  </si>
  <si>
    <t>Saffron GoKesari wordmark, and an iPhone build workflow</t>
  </si>
  <si>
    <t>NEW-064, PLT-017</t>
  </si>
  <si>
    <t>154</t>
  </si>
  <si>
    <t>DB split: test verification report (PASS)</t>
  </si>
  <si>
    <t>PLT-015, QA-007</t>
  </si>
  <si>
    <t>155</t>
  </si>
  <si>
    <t>Release: DB split tool fixes (#152) - copy no longer hangs on Neon; channel_binding URLs accepted</t>
  </si>
  <si>
    <t>Closed unmerged; superseded by #157.</t>
  </si>
  <si>
    <t>156</t>
  </si>
  <si>
    <t>Docs: record the copy of the 5 real shops to production</t>
  </si>
  <si>
    <t>157</t>
  </si>
  <si>
    <t>Release: saffron GoKesari wordmark, DB split tool fixes, iPhone build workflow</t>
  </si>
  <si>
    <t>NEW-064, PLT-015, PLT-017, PLT-018</t>
  </si>
  <si>
    <t>158</t>
  </si>
  <si>
    <t>DB split: leave Neon's sample table (playing_with_neon) in the source</t>
  </si>
  <si>
    <t>#159</t>
  </si>
  <si>
    <t>159</t>
  </si>
  <si>
    <t>Release: DB split leaves Neon's sample table in the source (#158)</t>
  </si>
  <si>
    <t>160</t>
  </si>
  <si>
    <t>DB split: say which roles point at the same database</t>
  </si>
  <si>
    <t>#161</t>
  </si>
  <si>
    <t>161</t>
  </si>
  <si>
    <t>Release: DB split names the roles that point at the same database (#160)</t>
  </si>
  <si>
    <t>162</t>
  </si>
  <si>
    <t>DB split: log which database each secret points at</t>
  </si>
  <si>
    <t>2026-10-14</t>
  </si>
  <si>
    <t>#163</t>
  </si>
  <si>
    <t>163</t>
  </si>
  <si>
    <t>Release: DB split logs which database each secret points at (#162)</t>
  </si>
  <si>
    <t>164</t>
  </si>
  <si>
    <t>DB split: production verification report (PASS)</t>
  </si>
  <si>
    <t>#165</t>
  </si>
  <si>
    <t>165</t>
  </si>
  <si>
    <t>Release: production DB split verification report (#164)</t>
  </si>
  <si>
    <t>Docs only; staging and main the same code afterwards.</t>
  </si>
  <si>
    <t>166</t>
  </si>
  <si>
    <t>Feature, process-flow and PR status workbook (14 Oct 2026)</t>
  </si>
  <si>
    <t>167</t>
  </si>
  <si>
    <t>Test results tracker (14 Oct 2026)</t>
  </si>
  <si>
    <t>168</t>
  </si>
  <si>
    <t>Seller Central: shop switcher for owners with more than one shop</t>
  </si>
  <si>
    <t>claude/peaceful-pascal-jai8w2 -&gt; staging</t>
  </si>
  <si>
    <t>NEW-066, QA-008</t>
  </si>
  <si>
    <t>Found by the 14 Oct order-lifecycle run; re-checked on test (TR-23).</t>
  </si>
  <si>
    <t>169</t>
  </si>
  <si>
    <t>Document upload: read photos in the owner's browser (fixes D-18)</t>
  </si>
  <si>
    <t>claude/gracious-einstein-24qjjh -&gt; staging</t>
  </si>
  <si>
    <t>#175 (cherry-pick); #177</t>
  </si>
  <si>
    <t>CSP adds 'wasm-unsafe-eval'; switch DOCUMENT_OCR_BROWSER=off goes back to server-only. Verified on test 15 Oct (TR-26).</t>
  </si>
  <si>
    <t>170</t>
  </si>
  <si>
    <t>Order lifecycle on staging (14 Oct): test results and tracker update</t>
  </si>
  <si>
    <t>2026-10-15</t>
  </si>
  <si>
    <t>Merged by the owner 15 Oct; results, tracker and the morning 15 Oct status report.</t>
  </si>
  <si>
    <t>171</t>
  </si>
  <si>
    <t>Inventory &amp; Accounting for shop owners: stock ledger, books, GST portal, supplier bill scan/upload</t>
  </si>
  <si>
    <t>claude/nice-cori-6p1wb2 -&gt; staging</t>
  </si>
  <si>
    <t>#179 (15 Oct)</t>
  </si>
  <si>
    <t>Migration 0076 (24 tables, additive; rollback-0076.sql).</t>
  </si>
  <si>
    <t>172</t>
  </si>
  <si>
    <t>Inventory &amp; Accounting: staging findings - fast GST figures, cancel = SALE_RETURN (0078), share-target redirect, live test scripts</t>
  </si>
  <si>
    <t>Migration 0078 (trigger function only; rollback-0078.sql). Board/GST page ~40 s -&gt; ~4 s on test.</t>
  </si>
  <si>
    <t>173</t>
  </si>
  <si>
    <t>Bulk product upload (Excel/CSV) with shop inventory update</t>
  </si>
  <si>
    <t>claude/amazing-ritchie-9vlq9f -&gt; staging</t>
  </si>
  <si>
    <t>#179</t>
  </si>
  <si>
    <t>Migration 0077.</t>
  </si>
  <si>
    <t>174</t>
  </si>
  <si>
    <t>Bulk product upload: live test run on test.gokesari.com (23/23 pass)</t>
  </si>
  <si>
    <t>175</t>
  </si>
  <si>
    <t>Release: shop switcher (#168) and browser document reading (#169)</t>
  </si>
  <si>
    <t>NEW-066, NEW-062</t>
  </si>
  <si>
    <t>Cherry-picks of #168 and #169 only; live 14:43 UTC. Production checks PASS.</t>
  </si>
  <si>
    <t>176</t>
  </si>
  <si>
    <t>Release: document photos read in the owner's browser (#169, fixes D-18)</t>
  </si>
  <si>
    <t>Closed: staging also carried #168, #171 (migration 0076) and #173 (migration 0077), not approved for release here. Replaced by #177.</t>
  </si>
  <si>
    <t>177</t>
  </si>
  <si>
    <t>claude/gracious-einstein-24qjjh -&gt; main</t>
  </si>
  <si>
    <t>Same commit as #175's cherry-pick of #169, merged after it: no code change. Production checks 15 Oct (TR-27) PASS.</t>
  </si>
  <si>
    <t>178</t>
  </si>
  <si>
    <t>Browser document reading (#169): test results on test and production; trackers</t>
  </si>
  <si>
    <t>Merged to main 15 Oct (f9eee23); the 16 Oct report still showed it as an open draft. Mirrored on staging by #186.</t>
  </si>
  <si>
    <t>179</t>
  </si>
  <si>
    <t>Release: Inventory &amp; Accounting (#171, #172), Bulk product upload (#173, #174); migrations 0076-0078</t>
  </si>
  <si>
    <t>claude/amazing-ritchie-9vlq9f -&gt; main</t>
  </si>
  <si>
    <t>NEW-067, GS-013</t>
  </si>
  <si>
    <t>Migrations 0076-0078 via MIGRATE_ON_BUILD.</t>
  </si>
  <si>
    <t>180</t>
  </si>
  <si>
    <t>Release: Inventory &amp; Accounting (#171, #172) + bulk product upload (#173, #174)</t>
  </si>
  <si>
    <t>claude/nice-cori-6p1wb2 -&gt; main</t>
  </si>
  <si>
    <t>Superseded by #179</t>
  </si>
  <si>
    <t>Same staging code as #179, which merged first; CI was green (preview APK re-run after a corrupt NDK download). Duplicate of #179.</t>
  </si>
  <si>
    <t>181</t>
  </si>
  <si>
    <t>Bulk product upload: production results; staging level with main after release #179</t>
  </si>
  <si>
    <t>182</t>
  </si>
  <si>
    <t>Inventory &amp; Accounting: testing report, tracker and 15 Oct status report (after release #179)</t>
  </si>
  <si>
    <t>183</t>
  </si>
  <si>
    <t>Feature status report 15 Oct (evening) and 16 Oct</t>
  </si>
  <si>
    <t>2026-10-19</t>
  </si>
  <si>
    <t>Merged to main 19 Oct (0cc78e5); 15 Oct evening and 16 Oct workbooks.</t>
  </si>
  <si>
    <t>184</t>
  </si>
  <si>
    <t>PMD loader: fix parallel-worker race that left quality scores stale or missing</t>
  </si>
  <si>
    <t>2026-10-16</t>
  </si>
  <si>
    <t>PMD-003, QA-001</t>
  </si>
  <si>
    <t>#185</t>
  </si>
  <si>
    <t>Fixes the flaky PMD loader test (Blockers #56). Released by #185 on 16 Oct.</t>
  </si>
  <si>
    <t>185</t>
  </si>
  <si>
    <t>Release: staging -&gt; main (gokesari.com) - PMD loader parallel-worker fix (#184), report scripts and docs (#181, #182)</t>
  </si>
  <si>
    <t>No migrations. main @c96cd04 (16 Oct 04:24 UTC). Live checks 18 Oct: public pages 200, Seller Central 307 (sign-in).</t>
  </si>
  <si>
    <t>186</t>
  </si>
  <si>
    <t>Staging: #169 test results and trackers (same as #178 on main)</t>
  </si>
  <si>
    <t>187</t>
  </si>
  <si>
    <t>Bring staging level with main after release #185</t>
  </si>
  <si>
    <t>main -&gt; staging</t>
  </si>
  <si>
    <t>Not needed (sync)</t>
  </si>
  <si>
    <t>staging @3a701c9 has the same application code as main.</t>
  </si>
  <si>
    <t>188</t>
  </si>
  <si>
    <t>Competitive analysis deck: GoKesari vs top 10 Indian e-commerce and quick-commerce players</t>
  </si>
  <si>
    <t>-&gt; main</t>
  </si>
  <si>
    <t>2026-10-18</t>
  </si>
  <si>
    <t>Merged to main 19 Oct (418392d). Docs only.</t>
  </si>
  <si>
    <t>189</t>
  </si>
  <si>
    <t>Feature and product status 18 Oct 2026 (+ 19 Oct update)</t>
  </si>
  <si>
    <t>claude/jolly-goldberg-nsq65m -&gt; main</t>
  </si>
  <si>
    <t>This workbook, open-features.xlsx and the Product Master spec status.</t>
  </si>
  <si>
    <t>190</t>
  </si>
  <si>
    <t>Build &amp; integrate batch (18 Oct 2026): payments, dispatch, help desk, payouts, invoices, notifications, deep links</t>
  </si>
  <si>
    <t>claude/vigilant-wright-0oyy7r -&gt; staging</t>
  </si>
  <si>
    <t>GS-001, GS-028, GS-073, GS-074, SM-005, SM-006, WF-001, NAV-003, NEW-007, NEW-037, RBAC-003, PMD-002, PMD-006, PMD-007, PLT-009, GAP-001, GAP-002, GAP-004, GAP-005, GAP-006, GS-023 (dropped)</t>
  </si>
  <si>
    <t>Six workstreams WS-A..F; migrations 0079-0084; every new feature OFF in production.</t>
  </si>
  <si>
    <t>191</t>
  </si>
  <si>
    <t>Bulk product upload: production smoke with a test shop (18 Oct) - 4/4 pass</t>
  </si>
  <si>
    <t>#198</t>
  </si>
  <si>
    <t>Blockers #47 resolved.</t>
  </si>
  <si>
    <t>192</t>
  </si>
  <si>
    <t>Batch 2026-10 staging fixes: sandbox / mock / QR on test.gokesari.com; signed-in staging journeys</t>
  </si>
  <si>
    <t>GS-028, GAP-001, QA-003</t>
  </si>
  <si>
    <t>193</t>
  </si>
  <si>
    <t>Batch 2026-10: GS1 / OFF look-up replies within 20 s (S-035)</t>
  </si>
  <si>
    <t>194</t>
  </si>
  <si>
    <t>Release: staging -&gt; main (gokesari.com) - build &amp; integrate batch 18 Oct 2026 (#190, #192, #193)</t>
  </si>
  <si>
    <t>GS-001, GS-028, GS-073, GS-074, SM-005, SM-006, WF-001, NAV-003, NEW-007, NEW-037, RBAC-003, PMD-002, PMD-006, PMD-007, PLT-009, GAP-001, GAP-002, GAP-004, GAP-005, GAP-006</t>
  </si>
  <si>
    <t>Live 20:45:32 UTC (restore point); migrations 0079-0084 via MIGRATE_ON_BUILD; new features OFF.</t>
  </si>
  <si>
    <t>195</t>
  </si>
  <si>
    <t>Batch 2026-10: testing report, tracker and production results</t>
  </si>
  <si>
    <t>#196</t>
  </si>
  <si>
    <t>docs/test-reports/2026-10-batch.md; GOKESARI_FEATURE_STATUS_REPORT_2026-10-18_batch.xlsx.</t>
  </si>
  <si>
    <t>196</t>
  </si>
  <si>
    <t>Release: staging -&gt; main (gokesari.com) - batch 2026-10 testing report and tracker (#195)</t>
  </si>
  <si>
    <t>197</t>
  </si>
  <si>
    <t>Batch 2026-10: production database verify passed - F14.2.1 DONE</t>
  </si>
  <si>
    <t>Blockers #32 resolved.</t>
  </si>
  <si>
    <t>198</t>
  </si>
  <si>
    <t>Release: staging -&gt; main (gokesari.com) - bulk upload production smoke (#191, #199) and batch DB verify docs (#197)</t>
  </si>
  <si>
    <t>Docs / tests only; also carried #183.</t>
  </si>
  <si>
    <t>199</t>
  </si>
  <si>
    <t>Bulk upload test report: E-08 (prod clean-up) passed by PROD-04</t>
  </si>
  <si>
    <t>200</t>
  </si>
  <si>
    <t>Admin: product GST rates screen (/admin/product-gst)</t>
  </si>
  <si>
    <t>NEW-068, NEW-027</t>
  </si>
  <si>
    <t>#207</t>
  </si>
  <si>
    <t>Merged into staging 19 Oct 16:17 UTC; released on its own by #207.</t>
  </si>
  <si>
    <t>201</t>
  </si>
  <si>
    <t>Bring staging level with main after release #198 (+ #183 status reports)</t>
  </si>
  <si>
    <t>202</t>
  </si>
  <si>
    <t>Parity and production test run (19 Oct): local = staging = main; gokesari.com 61/61</t>
  </si>
  <si>
    <t>Not needed (tests)</t>
  </si>
  <si>
    <t>Code and schema level on local, staging and main; production checks 61/61.</t>
  </si>
  <si>
    <t>203</t>
  </si>
  <si>
    <t>Parity report: local full suite 2,198/2,198 pass; PDF</t>
  </si>
  <si>
    <t>#205</t>
  </si>
  <si>
    <t>204</t>
  </si>
  <si>
    <t>Seller/customer database split: code for two databases, migrations, and the switch</t>
  </si>
  <si>
    <t>#210</t>
  </si>
  <si>
    <t>CI test-split (whole suite on two databases) made blocking.</t>
  </si>
  <si>
    <t>205</t>
  </si>
  <si>
    <t>Release: staging -&gt; main (gokesari.com) - parity and production test report (#202, #203)</t>
  </si>
  <si>
    <t>Docs / tests only.</t>
  </si>
  <si>
    <t>206</t>
  </si>
  <si>
    <t>Bring staging level with main after release #205 (+ #188 competitive analysis docs)</t>
  </si>
  <si>
    <t>207</t>
  </si>
  <si>
    <t>Release #200 to gokesari.com: admin product GST rates screen</t>
  </si>
  <si>
    <t>#200's commit on its own (the split #204 held back). Live on the 21 Oct check.</t>
  </si>
  <si>
    <t>208</t>
  </si>
  <si>
    <t>Two-database strategy in CLAUDE.md; no outside call repeated by a transaction re-run</t>
  </si>
  <si>
    <t>209</t>
  </si>
  <si>
    <t>Build: cap Next's build workers at 7 so staging builds on Hostinger again</t>
  </si>
  <si>
    <t>claude/trusting-allen-97xhex -&gt; staging</t>
  </si>
  <si>
    <t>test.gokesari.com had stopped building new commits after 19 Oct 16:17 UTC.</t>
  </si>
  <si>
    <t>210</t>
  </si>
  <si>
    <t>Release: staging -&gt; main (gokesari.com) - seller/customer DB split code (#204), build worker cap (#209), #208, #189</t>
  </si>
  <si>
    <t>PLT-015, PLT-019</t>
  </si>
  <si>
    <t>Code only; the site stayed on one database until the switch (#216).</t>
  </si>
  <si>
    <t>211</t>
  </si>
  <si>
    <t>Split: switch works on PostgreSQL 17+ (partition identity); CI split job on PostgreSQL 18</t>
  </si>
  <si>
    <t>#216</t>
  </si>
  <si>
    <t>212</t>
  </si>
  <si>
    <t>Split: leave partitions out when seller identity columns accept core ids</t>
  </si>
  <si>
    <t>Closed unmerged; the PostgreSQL 17+ partition fix landed in #211.</t>
  </si>
  <si>
    <t>213</t>
  </si>
  <si>
    <t>Split: the switch script exits once its step is done</t>
  </si>
  <si>
    <t>214</t>
  </si>
  <si>
    <t>Homepage UI/UX upgrade (F1-F6): discovery home, search with suggestions + voice, banners, empty states, compare, footer, mobile chrome</t>
  </si>
  <si>
    <t>claude/gifted-brahmagupta-nj0bt9 -&gt; staging</t>
  </si>
  <si>
    <t>NEW-069, NEW-013</t>
  </si>
  <si>
    <t>#219</t>
  </si>
  <si>
    <t>Migrations 0086 (core) and 0087 (seller).</t>
  </si>
  <si>
    <t>215</t>
  </si>
  <si>
    <t>Split sites: migrations open the seller DB with a cleaned URL (unblocks test.gokesari.com deploy of #214)</t>
  </si>
  <si>
    <t>PLT-019, PLT-015</t>
  </si>
  <si>
    <t>216</t>
  </si>
  <si>
    <t>Release: split fixes to main (gokesari.com) - #211, #213, #215; no migrations</t>
  </si>
  <si>
    <t>claude/vigilant-wright-0oyy7r -&gt; main</t>
  </si>
  <si>
    <t>2026-10-20</t>
  </si>
  <si>
    <t>Then production switched to two databases (Database split run 31, 20 Oct 00:39 UTC).</t>
  </si>
  <si>
    <t>217</t>
  </si>
  <si>
    <t>Homepage UI/UX: final status workbook, staging + production results, split check</t>
  </si>
  <si>
    <t>2026-10-24</t>
  </si>
  <si>
    <t>Not yet</t>
  </si>
  <si>
    <t>Carries GoKesari_Homepage_UIUX_Status_2026-10-20.xlsx. Merged 2026-10-24 (updated 29 Oct).</t>
  </si>
  <si>
    <t>218</t>
  </si>
  <si>
    <t>Split: transactions never commit half way; migrations refuse a wrong seller DB; product master opens Neon URLs</t>
  </si>
  <si>
    <t>Core at READ COMMITTED on the split layout.</t>
  </si>
  <si>
    <t>219</t>
  </si>
  <si>
    <t>Release: staging -&gt; main (gokesari.com) - homepage UI/UX (#214), split transaction fix (#218); migrations 0086-0087 already applied</t>
  </si>
  <si>
    <t>NEW-069, PLT-015, PLT-019</t>
  </si>
  <si>
    <t>Production database run 39372089225 (restore point) before the merge.</t>
  </si>
  <si>
    <t>220</t>
  </si>
  <si>
    <t>Homepage UI/UX: guest test results on test.gokesari.com (20 Oct)</t>
  </si>
  <si>
    <t>#221</t>
  </si>
  <si>
    <t>221</t>
  </si>
  <si>
    <t>Release: staging -&gt; main (gokesari.com) - test-site results (#220); rebuilds the #219 release</t>
  </si>
  <si>
    <t>Production = main @99789f4.</t>
  </si>
  <si>
    <t>222</t>
  </si>
  <si>
    <t>Homepage UI/UX: guest results on gokesari.com (release live, 20 Oct)</t>
  </si>
  <si>
    <t>2026-10-21</t>
  </si>
  <si>
    <t>Not yet (docs; next release)</t>
  </si>
  <si>
    <t>Production guest suite passed (results JSON).</t>
  </si>
  <si>
    <t>223</t>
  </si>
  <si>
    <t>Feature status report 21 Oct 2026: GST rates screen, two databases, homepage</t>
  </si>
  <si>
    <t>2026-10-25</t>
  </si>
  <si>
    <t>This workbook; waits for the owner's merge. Merged 2026-10-25 (updated 29 Oct).</t>
  </si>
  <si>
    <t>224</t>
  </si>
  <si>
    <t>claude/hostinger-plugin-install-4js2f8 -&gt; staging</t>
  </si>
  <si>
    <t>308 redirect for pages; /api and /.well-known untouched; fixed destinations. Merged 2026-10-25 (updated 29 Oct).</t>
  </si>
  <si>
    <t>Find the shopper's location by itself and save it</t>
  </si>
  <si>
    <t>claude/brave-knuth-i5phuh -&gt; staging</t>
  </si>
  <si>
    <t>Approximate street address for the detected location (OpenStreetMap)</t>
  </si>
  <si>
    <t>Release: location found by itself (#225), OpenStreetMap address (#226)</t>
  </si>
  <si>
    <t>QA suite for the 798-case plan (UI + API, Claude QA agent) and fixes for the 6 defects it found</t>
  </si>
  <si>
    <t>claude/hopeful-cerf-x2gaow -&gt; staging</t>
  </si>
  <si>
    <t>D-01 to D-06</t>
  </si>
  <si>
    <t>Privacy policy: location data</t>
  </si>
  <si>
    <t>#233</t>
  </si>
  <si>
    <t>Cookie Policy: every first-party cookie</t>
  </si>
  <si>
    <t>claude/confident-goldberg-c86f6q -&gt; staging</t>
  </si>
  <si>
    <t>#235</t>
  </si>
  <si>
    <t>Purchase lists: weekly / monthly shopping and medicine lists</t>
  </si>
  <si>
    <t>claude/cool-euler-y1bg0h -&gt; staging</t>
  </si>
  <si>
    <t>Migration 0090 (and 0089 repair, D-99)</t>
  </si>
  <si>
    <t>QA suite for every module, and fixes for the 92 defects it found</t>
  </si>
  <si>
    <t>D-07 to D-98</t>
  </si>
  <si>
    <t>Release: privacy policy for location data (#229)</t>
  </si>
  <si>
    <t>claude/brave-knuth-i5phuh -&gt; main</t>
  </si>
  <si>
    <t>Session check survives a failed revocation read; QA run follow-ups</t>
  </si>
  <si>
    <t>D-99</t>
  </si>
  <si>
    <t>Release: Cookie Policy (#230)</t>
  </si>
  <si>
    <t>Cookie and Privacy Policy updates; Trending counts people; guest searches not saved</t>
  </si>
  <si>
    <t>Migration 0091</t>
  </si>
  <si>
    <t>Release: purchase lists (#231)</t>
  </si>
  <si>
    <t>claude/release-purchase-lists -&gt; main</t>
  </si>
  <si>
    <t>QA suite fixes from the staging round-2 run; migration journal guard</t>
  </si>
  <si>
    <t>D-99 guard</t>
  </si>
  <si>
    <t>QA: purchase lists - staging and production results</t>
  </si>
  <si>
    <t>claude/qa-purchase-lists-results -&gt; staging</t>
  </si>
  <si>
    <t>Merged through #246; defects renumbered D-102, D-103</t>
  </si>
  <si>
    <t>Cart: simultaneous adds no longer 500 (TC-CART-001)</t>
  </si>
  <si>
    <t>claude/serene-curie-pwjjh2 -&gt; staging</t>
  </si>
  <si>
    <t>Superseded by #241</t>
  </si>
  <si>
    <t>Cart: concurrent adds no longer 500 or lose units (D-102); vouchers use the IST date</t>
  </si>
  <si>
    <t>claude/gracious-gauss-46g5dk -&gt; staging</t>
  </si>
  <si>
    <t>D-102, D-101</t>
  </si>
  <si>
    <t>Release: staging -&gt; main - QA suite and fixes, paused-shop notice, checkout cart race, IST vouchers</t>
  </si>
  <si>
    <t>claude/hopeful-cerf-x2gaow -&gt; main</t>
  </si>
  <si>
    <t>QA-010, NEW-072, NEW-074, NEW-075</t>
  </si>
  <si>
    <t>Migrations to 0091 already on production; guest tier 96 pass / 0 fail after</t>
  </si>
  <si>
    <t>Checkout: units added while it runs are ordered or stay in the cart</t>
  </si>
  <si>
    <t>claude/nifty-noether-m1k1rf -&gt; staging</t>
  </si>
  <si>
    <t>Merged through #246</t>
  </si>
  <si>
    <t>Fix product-master promotion on two databases (D-100); QA run fixes</t>
  </si>
  <si>
    <t>PMD-001, QA-010</t>
  </si>
  <si>
    <t>D-100</t>
  </si>
  <si>
    <t>Release: staging -&gt; main - cookie and privacy policy, Trending, guest searches</t>
  </si>
  <si>
    <t>Superseded by #242 (same files)</t>
  </si>
  <si>
    <t>Paused shops stay listed with a 'not taking orders online' notice (D-046); vouchers in IST (D-101)</t>
  </si>
  <si>
    <t>Also carried #243, #239</t>
  </si>
  <si>
    <t>Shop owner menus link to the public page only for an approved shop (D-104); QA round-3 results</t>
  </si>
  <si>
    <t>Waiting for CI Merged 2026-10-25 (updated 29 Oct).</t>
  </si>
  <si>
    <t>248</t>
  </si>
  <si>
    <t>Release: shop owner menus link to the public page only for an approved shop (#247) to main (gokesari.com)</t>
  </si>
  <si>
    <t>Itself</t>
  </si>
  <si>
    <t>250</t>
  </si>
  <si>
    <t>Fix the seven open bugs (GAP-011, 012, 014, 016, 017, 018, 019)</t>
  </si>
  <si>
    <t>GAP-011, GAP-012, GAP-014, GAP-016, GAP-017, GAP-018, GAP-019</t>
  </si>
  <si>
    <t>251</t>
  </si>
  <si>
    <t>Dates in India time everywhere (React #418, UTC on server pages) + voucher upload past end date (TC-FLD-114)</t>
  </si>
  <si>
    <t>claude/laughing-brown-c0vkcu -&gt; staging</t>
  </si>
  <si>
    <t>NEW-081, GAP-017</t>
  </si>
  <si>
    <t>252</t>
  </si>
  <si>
    <t>Docs only. D-102 → Fixed - retest passed (8 of 8 rounds on test.gokesari.com, build e44252b). Checkout race (#243) on build 0523754: 5 of 5 decided rounds kept every unit; all test orders refunded, wallet and cart as before.</t>
  </si>
  <si>
    <t>- -&gt; staging</t>
  </si>
  <si>
    <t>253</t>
  </si>
  <si>
    <t>QA 25 Oct: production retest after #248; incident note for the post-deploy hang (E-02)</t>
  </si>
  <si>
    <t>254</t>
  </si>
  <si>
    <t>Owner decisions of 25 Oct: D-103, D-57, D-91, D-25, D-96, D-23, D-69</t>
  </si>
  <si>
    <t>256</t>
  </si>
  <si>
    <t>Report 25 Oct: detailed gap analysis (sessions, all defects, PR gaps)</t>
  </si>
  <si>
    <t>257</t>
  </si>
  <si>
    <t>Loose stock records decimals (D-95, TC-SPI-025)</t>
  </si>
  <si>
    <t>258</t>
  </si>
  <si>
    <t>Status report 25 Oct: GAP-008 resolved</t>
  </si>
  <si>
    <t>claude/gracious-volta-fyp37o -&gt; staging</t>
  </si>
  <si>
    <t>259</t>
  </si>
  <si>
    <t>GAP-013 rider returns wait for goods at the shop; GAP-019 faster checkout</t>
  </si>
  <si>
    <t>GAP-013, GAP-019</t>
  </si>
  <si>
    <t>260</t>
  </si>
  <si>
    <t>Release steps: one production release at a time, and a post-deploy check (E-02)</t>
  </si>
  <si>
    <t>261</t>
  </si>
  <si>
    <t>Release: owner decisions of 25 Oct (#254) to main (gokesari.com)</t>
  </si>
  <si>
    <t>262</t>
  </si>
  <si>
    <t>Roll back gokesari.com to the previous release (revert #261)</t>
  </si>
  <si>
    <t>Rolled back #261 (outage E-03).</t>
  </si>
  <si>
    <t>263</t>
  </si>
  <si>
    <t>QA: D-101 voucher dates re-tested on test.gokesari.com (TC-FLD-114 pass)</t>
  </si>
  <si>
    <t>2026-10-26</t>
  </si>
  <si>
    <t>2026-10-28</t>
  </si>
  <si>
    <t>264</t>
  </si>
  <si>
    <t>Report 26 Oct: staging vs main, open defects, features and blockers; E-03 logged</t>
  </si>
  <si>
    <t>265</t>
  </si>
  <si>
    <t>Add my shop: ₹999 + GST registration fee with coupons, pay step, pending lock, professional categories, speed</t>
  </si>
  <si>
    <t>claude/shop-registration-fee-categories -&gt; staging</t>
  </si>
  <si>
    <t>2026-10-27</t>
  </si>
  <si>
    <t>NEW-076, NEW-079</t>
  </si>
  <si>
    <t>266</t>
  </si>
  <si>
    <t>GAP-011..019, NEW-070, NEW-078, NEW-080..080</t>
  </si>
  <si>
    <t>267</t>
  </si>
  <si>
    <t>Shop onboarding wizard step 1: GSTIN-first checks with a background PAN check and the shop filled from the GST record</t>
  </si>
  <si>
    <t>claude/onboarding-wizard-step1 -&gt; staging</t>
  </si>
  <si>
    <t>268</t>
  </si>
  <si>
    <t>release/2026-10-28 -&gt; main</t>
  </si>
  <si>
    <t>Dealer programme steps 1-10 (GKS-*), NEW-076..074, NEW-087..084, NEW-091</t>
  </si>
  <si>
    <t>269</t>
  </si>
  <si>
    <t>Shop documents: "Scan a document" + trade, legal metrology, fire NOC, agri-input and other licences</t>
  </si>
  <si>
    <t>claude/scan-and-more-licences -&gt; staging</t>
  </si>
  <si>
    <t>270</t>
  </si>
  <si>
    <t>Shop onboarding wizard step 2: Udyam, FSSAI, Shop Act, map, draft → shop, live after payment (decision B)</t>
  </si>
  <si>
    <t>claude/onboarding-wizard-step2-b1ade0 -&gt; staging</t>
  </si>
  <si>
    <t>2026-10-29</t>
  </si>
  <si>
    <t>271</t>
  </si>
  <si>
    <t>Dealer commission paid monthly on the 5th, with a statement for each dealer</t>
  </si>
  <si>
    <t>claude/dealer-monthly-payout -&gt; staging</t>
  </si>
  <si>
    <t>272</t>
  </si>
  <si>
    <t>release/2026-10-29-1 -&gt; main</t>
  </si>
  <si>
    <t>273</t>
  </si>
  <si>
    <t>Shop documents before the registration fee, 30-day promise, 1st/15th follow-up with auto-suspension</t>
  </si>
  <si>
    <t>274</t>
  </si>
  <si>
    <t>Onboarding wizard: ?wizard=1 only while its flag is on, or for an admin</t>
  </si>
  <si>
    <t>claude/wizard-link-gate -&gt; staging</t>
  </si>
  <si>
    <t>275</t>
  </si>
  <si>
    <t>release/2026-10-29-waived-fee -&gt; main</t>
  </si>
  <si>
    <t>276</t>
  </si>
  <si>
    <t>Migrations only through the GitHub workflows: no migrations in Hostinger builds or PR previews (Blocker #71)</t>
  </si>
  <si>
    <t>claude/migrate-only-in-actions -&gt; staging</t>
  </si>
  <si>
    <t>277</t>
  </si>
  <si>
    <t>release (squash) -&gt; main</t>
  </si>
  <si>
    <t>278</t>
  </si>
  <si>
    <t>Shop documents: staging QA 29 Oct, QA shop approved; fix D-107 and D-108; D-106 retest passed</t>
  </si>
  <si>
    <t>279</t>
  </si>
  <si>
    <t>Home page: database reads run together; logo link no longer prefetches home</t>
  </si>
  <si>
    <t>perf/home-quick-fixes -&gt; staging</t>
  </si>
  <si>
    <t>280</t>
  </si>
  <si>
    <t>Dealer commission: admin-set base %, moved up or down by rating, per dealer</t>
  </si>
  <si>
    <t>281</t>
  </si>
  <si>
    <t>282</t>
  </si>
  <si>
    <t>perf/home-quick-fixes -&gt; main</t>
  </si>
  <si>
    <t>283</t>
  </si>
  <si>
    <t>QA guest checks: accept retired-cron 410 and the Seller Central sign-in shell</t>
  </si>
  <si>
    <t>claude/qa-guest-expectations -&gt; staging</t>
  </si>
  <si>
    <t>284</t>
  </si>
  <si>
    <t>Release 29 Oct (5) - first attempt</t>
  </si>
  <si>
    <t>Replaced by #285.</t>
  </si>
  <si>
    <t>285</t>
  </si>
  <si>
    <t>release/2026-10-29-5 -&gt; main</t>
  </si>
  <si>
    <t>286</t>
  </si>
  <si>
    <t>D-108: operator's approval card says "Approve on promise"; staging retest results; fee tests use the built-in test page</t>
  </si>
  <si>
    <t>287</t>
  </si>
  <si>
    <t>- -&gt; main</t>
  </si>
  <si>
    <t>288</t>
  </si>
  <si>
    <t>Docs: D-108 retest passed on the operator's approval card</t>
  </si>
  <si>
    <t>Not yet (docs only)</t>
  </si>
  <si>
    <t>289</t>
  </si>
  <si>
    <t>Docs: pending-for-production list after release #285</t>
  </si>
  <si>
    <t>docs/pending-after-285 -&gt; staging</t>
  </si>
  <si>
    <t>306</t>
  </si>
  <si>
    <t>Gig worker flow: delivery partner registration, KYC, police verification, availability, zoning, society access, pickup and completion</t>
  </si>
  <si>
    <t>feat/gig-worker-flow -&gt; staging</t>
  </si>
  <si>
    <t>2026-10-31</t>
  </si>
  <si>
    <t>GW-01..GW-11</t>
  </si>
  <si>
    <t>#302</t>
  </si>
  <si>
    <t>Migration 0121 (split: core) applied to the Test database 31 Oct 08:38 UTC.</t>
  </si>
  <si>
    <t>308</t>
  </si>
  <si>
    <t>Gig worker registration: a refused field no longer wipes the form (+ Active → Ready location fix)</t>
  </si>
  <si>
    <t>fix/gig-register-form-keeps-input -&gt; staging</t>
  </si>
  <si>
    <t>GW-01, GW-05</t>
  </si>
  <si>
    <t>Defects D-11 and D-12 found by the Test-site E2E run.</t>
  </si>
  <si>
    <t>GoKesari build &amp; integrate batch (18 Oct 2026) — status of every flow step in the brief</t>
  </si>
  <si>
    <t>DONE = built, merged, tested; DONE-SANDBOX = complete on the sandbox/mock provider, production flag OFF until the owner's keys exist</t>
  </si>
  <si>
    <t>Step</t>
  </si>
  <si>
    <t>Batch status</t>
  </si>
  <si>
    <t>PR(s)</t>
  </si>
  <si>
    <t>Totals</t>
  </si>
  <si>
    <t>Bulk product upload (Excel/CSV) with shop inventory update - sub-feature status</t>
  </si>
  <si>
    <t>Statuses: Not started / In progress / Done on Test / Done on Prod / Blocked. Design: docs/product-import-2026-10/README.md. Tests: docs/testing/bulk-product-upload-test-report.md.</t>
  </si>
  <si>
    <t>Sub-feature</t>
  </si>
  <si>
    <t>Date</t>
  </si>
  <si>
    <t>Branch / PR</t>
  </si>
  <si>
    <t>BPU-01</t>
  </si>
  <si>
    <t>Parser (Amazon template)</t>
  </si>
  <si>
    <t>Done on Prod</t>
  </si>
  <si>
    <t>Built and unit-tested locally: Template sheet chosen, headings found by content (labels, attribute keys, section headers), ABC123 example + notice rows skipped, key-first mapping with qualifiers stripped (audience kept), repeated #1-#5 columns to arrays, lossless raw cells. 309-column PUZZLES fixture parses in ~0.2 s. Generic: no product-type logic. Not yet on Test. Live on test.gokesari.com 15 Oct: PI-03 pass (PUZZLES.xlsm: 309 columns, rows 6-7 left out, macros not run). Released to gokesari.com 15 Oct 15:58 UTC (PR #179); signed-out prod checks pass.</t>
  </si>
  <si>
    <t>PR #173, #174, release #179</t>
  </si>
  <si>
    <t>BPU-02</t>
  </si>
  <si>
    <t>Parser (GoKesari template + CSV)</t>
  </si>
  <si>
    <t>Simple template (Products + Instructions sheets, Barcode Type/Unit/Action dropdowns, EXAMPLE row never imported) and CSV (comma/semicolon/tab, BOM). Header aliases case-insensitive. Tested locally. Live on test.gokesari.com 15 Oct: PI-02 template download, PI-09 template import pass. Released to gokesari.com 15 Oct 15:58 UTC (PR #179); signed-out prod checks pass.</t>
  </si>
  <si>
    <t>Field mapping</t>
  </si>
  <si>
    <t>All §2 fields mapped; Indian numbers, dd/mm/yyyy and Excel-serial dates, Y/N, units to cm/g. Unreadable values = warnings, raw kept. Decision: file MRP = listing MRP (shop_listing_details), never master. Live on test.gokesari.com 15 Oct: PI-03/PI-04/PI-09 pass. Released to gokesari.com 15 Oct 15:58 UTC (PR #179); signed-out prod checks pass.</t>
  </si>
  <si>
    <t>Matching &amp; master catalogue</t>
  </si>
  <si>
    <t>SKU (or P-code) → barcode → name+brand(+size/color) → new Pending product. Pending products visible to the existing duplicate check. Decision: fallback category = General (system 'uncategorised'). Live on test.gokesari.com 15 Oct: PI-05 re-import matched all 5 by SKU (5 updated); PI-11 Edit with no match skipped. Released to gokesari.com 15 Oct 15:58 UTC (PR #179); signed-out prod checks pass.</t>
  </si>
  <si>
    <t>BPU-05</t>
  </si>
  <si>
    <t>Inventory update + ledger</t>
  </si>
  <si>
    <t>Set / Add modes, blank / negative / non-numeric quantity rules, duplicate-SKU merge, inventory_movements with source=bulk_upload + import_job_id + user, row lock + atomic add (tested with concurrent orders). Online stock. Live on test.gokesari.com 15 Oct: PI-10 Set 11 then Add 4 = 15; PI-11 blank/negative unchanged; PI-13 Delete = stock 0. Released to gokesari.com 15 Oct 15:58 UTC (PR #179); signed-out prod checks pass.</t>
  </si>
  <si>
    <t>BPU-06</t>
  </si>
  <si>
    <t>Image import</t>
  </si>
  <si>
    <t>Async after commit; http/https only, SSRF guard at connect time, JPEG/PNG/WebP, 5 MB, 15 s, each URL once; existing photo pipeline + moderation; failures are row warnings. Live on test.gokesari.com 15 Oct: Fixture image URLs (example CDN) refused with row warnings, products still created. Real image URLs not tried on the site. Released to gokesari.com 15 Oct 15:58 UTC (PR #179); signed-out prod checks pass.</t>
  </si>
  <si>
    <t>BPU-07</t>
  </si>
  <si>
    <t>Web UI (shop owner)</t>
  </si>
  <si>
    <t>Inventory → Bulk upload (Excel/CSV) tile; /shop/product-import: drag-and-drop, template, help, background check with progress, preview (summary, paginated table, warnings filter, stock mode), import progress, result + report, history, duplicate-file prompt. Checked in a browser locally (screenshots in docs/product-import-2026-10/screenshots). Live on test.gokesari.com 15 Oct: PI-01..PI-15 pass (desktop + phone cards with the Android app agent). Released to gokesari.com 15 Oct 15:58 UTC (PR #179); signed-out prod checks pass.</t>
  </si>
  <si>
    <t>BPU-08</t>
  </si>
  <si>
    <t>Web UI (admin/operator)</t>
  </si>
  <si>
    <t>/admin/product-import with shop picker; tiles under admin Product master and operator Catalogue. Checked locally as admin and operator. Operators' prices go to the owner for approval (existing rule). Live on test.gokesari.com 15 Oct: Admin and operator PS-01..04 pass; operator prices go to the owner, admin prices apply. Released to gokesari.com 15 Oct 15:58 UTC (PR #179); signed-out prod checks pass.</t>
  </si>
  <si>
    <t>BPU-09</t>
  </si>
  <si>
    <t>8 endpoints under /api/v1 (+ shop picker). Owner = own shops only; operator/admin any shop; audit-logged. Route tests pass. Live on test.gokesari.com 15 Oct: PI-08/PI-09/PI-15 and the staff runs use /api/v1. Released to gokesari.com 15 Oct 15:58 UTC (PR #179); signed-out prod checks pass.</t>
  </si>
  <si>
    <t>BPU-10</t>
  </si>
  <si>
    <t>Android app</t>
  </si>
  <si>
    <t>Version 1.1.0 / versionCode 2. The app shows the website: the upload uses Android's system document picker (Files, Drive, WhatsApp, e-mail attachments). APKs built by the PR's 'Android APK' workflow; Play Store AAB needs EAS (Expo account) - not run. Live on test.gokesari.com 15 Oct: APK run 19 (Android APK workflow) built 1.1.0/versionCode 2; phone-width app agent preview pass (PI-12). System file picker on a real phone not tried; AAB needs EAS.</t>
  </si>
  <si>
    <t>BPU-11</t>
  </si>
  <si>
    <t>iOS app</t>
  </si>
  <si>
    <t>Blocked</t>
  </si>
  <si>
    <t>Code is shared with Android (version 1.1.0 / buildNumber 2; iPhone Files picker). iPhone build/TestFlight runs on EAS and needs EXPO_TOKEN + Apple Developer account - not available to this session.</t>
  </si>
  <si>
    <t>BPU-12</t>
  </si>
  <si>
    <t>Event shop.product_import_finished (event layer, no cron) to owner and the operator/admin who ran it; in-app + PUSH queued. Push provider not chosen yet (existing gap). Live on test.gokesari.com 15 Oct: PI-14: owner gets 'Bulk product upload finished' in app, also for admin/operator imports. Push: no provider configured. Released to gokesari.com 15 Oct 15:58 UTC (PR #179); signed-out prod checks pass.</t>
  </si>
  <si>
    <t>BPU-13</t>
  </si>
  <si>
    <t>Import history &amp; reports</t>
  </si>
  <si>
    <t>History list; result report XLSX/CSV (original rows + status + messages); file hash duplicate prompt; 90-day retention purge in the daily seller sweep. Live on test.gokesari.com 15 Oct: PI-06 report, PI-07 duplicate prompt, PI-08 history pass. Released to gokesari.com 15 Oct 15:58 UTC (PR #179); signed-out prod checks pass.</t>
  </si>
  <si>
    <t>BPU-14</t>
  </si>
  <si>
    <t>Automated tests</t>
  </si>
  <si>
    <t>Unit 18 + integration 23 + load 1 (5,000 rows: parse ~2 s, import ~95 s locally) pass; full suite run for regressions (see test report). Live on test.gokesari.com 15 Oct: 1,811 tests pass locally; CI green on PR #173; live run 23/23 pass. Released to gokesari.com 15 Oct 15:58 UTC (PR #179); signed-out prod checks pass.</t>
  </si>
  <si>
    <t>BPU-15</t>
  </si>
  <si>
    <t>Test-server deployment</t>
  </si>
  <si>
    <t>PR #173 merged into staging (2886cf3); test.gokesari.com deployed; Test database run 31 confirms 0077 (80 migrations). Live run 23/23 pass. Released to gokesari.com 15 Oct 15:58 UTC (PR #179); signed-out prod checks pass.</t>
  </si>
  <si>
    <t>Prod deployment</t>
  </si>
  <si>
    <t>Release PR #179 merged to main (acfaa6a); Hostinger build applied migrations 0076-0078 (MIGRATE_ON_BUILD) and gokesari.com went live 15:58 UTC. Signed-out smoke 13/13 pass. Signed-in import on prod not run (no designated test shop). The Production database workflow needs PROD_DATABASE_HOST / PROD_DATABASE_NAME / TEST_DATABASE_HOST repository variables (owner). 18-19 Oct: signed-in production smoke with a designated test shop 4/4 pass (#191); clean-up E-08 passed (#199); Production database verify passed (#197).</t>
  </si>
  <si>
    <t>PR #173, #174, release #179, #191, #199</t>
  </si>
  <si>
    <t>BPU-17</t>
  </si>
  <si>
    <t>Testing report</t>
  </si>
  <si>
    <t>Test report md + PDF: Test 23/23 (section 2.7), Prod signed-out 13/13 (section 2.8).</t>
  </si>
  <si>
    <t>Inventory &amp; Accounting for shop owners (NEW-067) - feature and sub-feature status</t>
  </si>
  <si>
    <t>Statuses: Not started / In progress / Done / Blocked (dropdown in column E). Done = built, tested and live on gokesari.com (released by #179). Design: docs/inventory-accounting-2026-10/README.md. Tests: docs/inventory-accounting-2026-10/TESTING_REPORT.md and INVENTORY_ACCOUNTING_TEST_REPORT_2026-10-15.xlsx.</t>
  </si>
  <si>
    <t>Part</t>
  </si>
  <si>
    <t>Feature / sub-feature</t>
  </si>
  <si>
    <t>Notes / blocked on</t>
  </si>
  <si>
    <t>IA-001</t>
  </si>
  <si>
    <t>1 Inventory</t>
  </si>
  <si>
    <t>Product master per shop</t>
  </si>
  <si>
    <t>Listings linked to the gokesari.com master product (MRP, HSN, GST rate, unit, barcode/GTIN); shop-level HSN/GST/price stay per shop</t>
  </si>
  <si>
    <t>Production (gokesari.com) and test</t>
  </si>
  <si>
    <t>#171, released #179</t>
  </si>
  <si>
    <t>IA-002</t>
  </si>
  <si>
    <t>Stock ledger</t>
  </si>
  <si>
    <t>inv_stock_ledger: every movement (opening, purchase, sale, sale return, damage/expiry write-off, adjustment, reversal) with date, source document, qty, cost/rate, user; current stock = sum of the ledger</t>
  </si>
  <si>
    <t>IA-003</t>
  </si>
  <si>
    <t>Online orders reduce stock in real time</t>
  </si>
  <si>
    <t>DB triggers on shop_products / inventory_movements write the ledger row in the checkout / cancellation / subscription / catalogue transaction (event-driven, no cron, existing code unchanged)</t>
  </si>
  <si>
    <t>Verified on test.gokesari.com with a real customer order (stock 199 → 198, SALE row with the order id) and its cancellation; a cancellation is labelled SALE_RETURN since migration 0078 (found in staging testing)</t>
  </si>
  <si>
    <t>#171, #172 (0078), released #179</t>
  </si>
  <si>
    <t>IA-004</t>
  </si>
  <si>
    <t>Opening balance backfill</t>
  </si>
  <si>
    <t>Migration 0076 writes today's stock of every listing as OPENING so ledger = stock from day one; drift check on the stock page</t>
  </si>
  <si>
    <t>IA-005</t>
  </si>
  <si>
    <t>Batch &amp; expiry tracking</t>
  </si>
  <si>
    <t>Per listing (auto-on when a bill has batch numbers); FEFO batch balances; expiring-soon list with alert window setting</t>
  </si>
  <si>
    <t>IA-006</t>
  </si>
  <si>
    <t>Low stock / reorder level</t>
  </si>
  <si>
    <t>Existing per-shop thresholds and stock alerts reused; purchases and write-offs re-evaluate alerts</t>
  </si>
  <si>
    <t>IA-007</t>
  </si>
  <si>
    <t>Stock valuation FIFO / weighted average</t>
  </si>
  <si>
    <t>Selectable per shop; reversals take back exactly the reversed cost; uncosted opening stock valued at last purchase rate and reported</t>
  </si>
  <si>
    <t>IA-008</t>
  </si>
  <si>
    <t>Loose goods &amp; unit conversions</t>
  </si>
  <si>
    <t>kg/g/L/ml/piece/dozen, UQC codes, Hindi/Marathi unit words; owner-saved conversions (1 case = 24); fractional quantities exact in the ledger</t>
  </si>
  <si>
    <t>IA-009</t>
  </si>
  <si>
    <t>Write-off and physical count</t>
  </si>
  <si>
    <t>Damage / expiry write-off at cost (P&amp;L line); physical count posts the difference as an adjustment</t>
  </si>
  <si>
    <t>IA-010</t>
  </si>
  <si>
    <t>2 Accounting</t>
  </si>
  <si>
    <t>Purchase register</t>
  </si>
  <si>
    <t>Confirmed bills, versions, cancellations; month filter</t>
  </si>
  <si>
    <t>IA-011</t>
  </si>
  <si>
    <t>Sales register</t>
  </si>
  <si>
    <t>Own GST invoices plus GoKesari order tax invoices</t>
  </si>
  <si>
    <t>IA-012</t>
  </si>
  <si>
    <t>Supplier &amp; customer ledgers</t>
  </si>
  <si>
    <t>Parties with GSTIN, credit days, opening balance; running-balance ledger from the books</t>
  </si>
  <si>
    <t>IA-013</t>
  </si>
  <si>
    <t>Cash / bank book</t>
  </si>
  <si>
    <t>Opening, in, out, closing, running balance</t>
  </si>
  <si>
    <t>IA-014</t>
  </si>
  <si>
    <t>Expenses</t>
  </si>
  <si>
    <t>Categories, claimable GST, cash/bank/credit, cancel with reason</t>
  </si>
  <si>
    <t>IA-015</t>
  </si>
  <si>
    <t>Payables / receivables with ageing</t>
  </si>
  <si>
    <t>0-30 / 31-60 / 61-90 / 90+ by due date; payments applied to the named bill, then oldest first</t>
  </si>
  <si>
    <t>IA-016</t>
  </si>
  <si>
    <t>Double-entry books</t>
  </si>
  <si>
    <t>Balanced vouchers, append-only, reversing vouchers for corrections and cancellations; trial balance</t>
  </si>
  <si>
    <t>IA-017</t>
  </si>
  <si>
    <t>GST sales invoice (CGST/SGST/IGST by place of supply)</t>
  </si>
  <si>
    <t>Rule-46 fields, numbering per FY, GST-inclusive pricing option, PDF, cancel</t>
  </si>
  <si>
    <t>IA-018</t>
  </si>
  <si>
    <t>Reports: P&amp;L, stock summary, day book, GST summary, registers</t>
  </si>
  <si>
    <t>Perpetual COGS, write-offs, expenses net of GST</t>
  </si>
  <si>
    <t>IA-019</t>
  </si>
  <si>
    <t>Export Excel / PDF / Tally XML</t>
  </si>
  <si>
    <t>Every report as xlsx and PDF; Tally import XML with party masters (GSTIN) and vouchers</t>
  </si>
  <si>
    <t>Tally import to be confirmed on the shop's own TallyPrime</t>
  </si>
  <si>
    <t>IA-020</t>
  </si>
  <si>
    <t>3 GST portal</t>
  </si>
  <si>
    <t>Link GSTIN once (consent + OTP)</t>
  </si>
  <si>
    <t>Consent text recorded, portal username, OTP, token stored encrypted, unlink</t>
  </si>
  <si>
    <t>Consent + username + OTP through the GSP adapter; refused on production (no licensed GSP, IA-022). On test.gokesari.com blocked by the encryption key format (IA-056) — tokens are never stored unencrypted. Passes in the integration tests (mock GSP)</t>
  </si>
  <si>
    <t>IA-021</t>
  </si>
  <si>
    <t>Pluggable GSP adapter</t>
  </si>
  <si>
    <t>GST_RETURNS_PROVIDER: none / mock / GSP slots (masters_india, cleartax, iris, tally_gsp, vayana)</t>
  </si>
  <si>
    <t>IA-022</t>
  </si>
  <si>
    <t>Licensed GSP live connection</t>
  </si>
  <si>
    <t>Real GSTR-2B/2A/1 pull from the GST system</t>
  </si>
  <si>
    <t>Code on production; waits on the item in Notes</t>
  </si>
  <si>
    <t>Needs a GSP contract and API credentials chosen by the owner; until then the manual upload works on gokesari.com</t>
  </si>
  <si>
    <t>IA-023</t>
  </si>
  <si>
    <t>Pull GSTR-2B / 2A / GSTR-1 (API)</t>
  </si>
  <si>
    <t>Through the configured adapter; mock on test.gokesari.com</t>
  </si>
  <si>
    <t>Live only with a GSP (IA-022); on test blocked by IA-056. Passes in the integration tests (mock GSP, OTP 575757)</t>
  </si>
  <si>
    <t>IA-024</t>
  </si>
  <si>
    <t>Manual fallback: upload GSTR-2B JSON / Excel</t>
  </si>
  <si>
    <t>GSTR-2B JSON (both shapes), GSTR-2A, GSTR-1 JSON, GSTR-2B Excel with merged headers</t>
  </si>
  <si>
    <t>IA-025</t>
  </si>
  <si>
    <t>Reconciliation</t>
  </si>
  <si>
    <t>Supplier GSTIN + invoice no. + date + amount; matched, amount mismatch, missing in books, missing on portal; ITC status updated</t>
  </si>
  <si>
    <t>IA-026</t>
  </si>
  <si>
    <t>GST liability dashboard (month / quarter)</t>
  </si>
  <si>
    <t>Output - reconciled ITC = net payable per CGST/SGST/IGST/cess with the legal set-off order and carry forward; pending ITC shown separately</t>
  </si>
  <si>
    <t>IA-027</t>
  </si>
  <si>
    <t>Due dates and reminders</t>
  </si>
  <si>
    <t>Monthly / QRMP due dates (GSTR-1, GSTR-3B, PMT-06); daily reminder cron, one reminder per return and period</t>
  </si>
  <si>
    <t>Owner to schedule /api/cron/gst-reminders on the server (see README)</t>
  </si>
  <si>
    <t>IA-028</t>
  </si>
  <si>
    <t>Estimates only, no filing</t>
  </si>
  <si>
    <t>'Verify with your CA before filing' on every GST figure; nothing is filed</t>
  </si>
  <si>
    <t>IA-029</t>
  </si>
  <si>
    <t>4 Soft copy</t>
  </si>
  <si>
    <t>Upload PDF / photo / Excel / e-invoice JSON</t>
  </si>
  <si>
    <t>Up to 10 files, sniffed types, progress bar for slow networks</t>
  </si>
  <si>
    <t>IA-030</t>
  </si>
  <si>
    <t>Share to app (WhatsApp / email / Files)</t>
  </si>
  <si>
    <t>PWA share target: installed site on Android receives shared bills</t>
  </si>
  <si>
    <t>IA-031</t>
  </si>
  <si>
    <t>Share straight into the native Android/iOS app</t>
  </si>
  <si>
    <t>Native share-intent module + new store build</t>
  </si>
  <si>
    <t>Needs a native share-intent module and an EAS store build tested on a device; share to the installed website or forward by email meanwhile</t>
  </si>
  <si>
    <t>IA-032</t>
  </si>
  <si>
    <t>Forward by email</t>
  </si>
  <si>
    <t>Private per-shop address bills+&lt;id&gt;-&lt;sig&gt;@domain; inbound webhook /api/inbound/bill-email</t>
  </si>
  <si>
    <t>Code done and tested; needs an inbound mail provider + INBOUND_EMAIL_SECRET / INBOUND_EMAIL_DOMAIN on the server</t>
  </si>
  <si>
    <t>IA-033</t>
  </si>
  <si>
    <t>E-invoice JSON / signed QR as trusted source</t>
  </si>
  <si>
    <t>IRP JSON (plain or signed), signed QR decoded from photos and PDFs; RS256 check when NIC key configured</t>
  </si>
  <si>
    <t>Signature check needs EINVOICE_QR_PUBLIC_KEY (NIC public key)</t>
  </si>
  <si>
    <t>IA-034</t>
  </si>
  <si>
    <t>AI document parsing</t>
  </si>
  <si>
    <t>Claude reads supplier, GSTIN, number, date, lines, totals with per-field confidence</t>
  </si>
  <si>
    <t>Code done; needs ANTHROPIC_API_KEY + INVOICE_EXTRACTION_PROVIDER=claude on the servers (owner decision: bills are sent to Anthropic for reading)</t>
  </si>
  <si>
    <t>IA-035</t>
  </si>
  <si>
    <t>Local extraction fallback</t>
  </si>
  <si>
    <t>Excel item tables, PDF text layer, OCR text with rules</t>
  </si>
  <si>
    <t>OCR worker does not start on Hostinger (same as the document reader, NEW-062): photos fall back to typing</t>
  </si>
  <si>
    <t>IA-036</t>
  </si>
  <si>
    <t>Match lines to product master</t>
  </si>
  <si>
    <t>Remembered supplier mapping, barcode/GTIN, HSN + name, name; suggestions; create new product (reuses the master by barcode)</t>
  </si>
  <si>
    <t>IA-037</t>
  </si>
  <si>
    <t>Validation</t>
  </si>
  <si>
    <t>Line maths, GST maths, totals = invoice total, GSTIN format + check digit, duplicate (supplier + number), e-invoice QR agreement, place of supply</t>
  </si>
  <si>
    <t>IA-038</t>
  </si>
  <si>
    <t>5 Hard copy</t>
  </si>
  <si>
    <t>Camera scan (web + app)</t>
  </si>
  <si>
    <t>Edge detection, crop, de-skew, enhance (colour / grey / B&amp;W), corner adjust, multi-page, blur warning, small JPEGs</t>
  </si>
  <si>
    <t>IA-039</t>
  </si>
  <si>
    <t>OCR + AI for printed and handwritten bills (English, Hindi, Marathi)</t>
  </si>
  <si>
    <t>AI reader handles handwriting and Hindi/Marathi; local OCR English only</t>
  </si>
  <si>
    <t>Hindi/Marathi and handwriting need the AI reader (IA-034)</t>
  </si>
  <si>
    <t>IA-040</t>
  </si>
  <si>
    <t>Per-field confidence, low confidence highlighted</t>
  </si>
  <si>
    <t>Amber = not sure, red = must fix; confidence % next to the field</t>
  </si>
  <si>
    <t>IA-041</t>
  </si>
  <si>
    <t>6 Review</t>
  </si>
  <si>
    <t>Side-by-side review &amp; correction screen</t>
  </si>
  <si>
    <t>Original bill + editable table (phone: switch); edit any field, add/remove lines, change mapping, auto-save</t>
  </si>
  <si>
    <t>IA-042</t>
  </si>
  <si>
    <t>Nothing touches stock until Confirm</t>
  </si>
  <si>
    <t>Captures hold drafts only</t>
  </si>
  <si>
    <t>IA-043</t>
  </si>
  <si>
    <t>Confirm in one DB transaction</t>
  </si>
  <si>
    <t>Stock + cost + batches, purchase, supplier ledger, ITC record, mappings, files</t>
  </si>
  <si>
    <t>IA-044</t>
  </si>
  <si>
    <t>Post-confirmation correction</t>
  </si>
  <si>
    <t>Reopen -&gt; reversing + corrected entries in stock, books and ITC; never an overwrite</t>
  </si>
  <si>
    <t>IA-045</t>
  </si>
  <si>
    <t>Audit trail</t>
  </si>
  <si>
    <t>acc_change_log: who, when, old value, new value, reason; shown on the bill</t>
  </si>
  <si>
    <t>IA-046</t>
  </si>
  <si>
    <t>Corrections feed back into extraction</t>
  </si>
  <si>
    <t>Supplier-specific product + unit mappings used first on the next bill</t>
  </si>
  <si>
    <t>IA-047</t>
  </si>
  <si>
    <t>7 Data &amp; security</t>
  </si>
  <si>
    <t>Seller DB tables scoped by shop_id</t>
  </si>
  <si>
    <t>24 tables, ownership map; every API checks the shop; isolation tested</t>
  </si>
  <si>
    <t>IA-048</t>
  </si>
  <si>
    <t>Encryption at rest</t>
  </si>
  <si>
    <t>GST tokens (AES-256-GCM); uploaded bills encrypted when INTEGRATION_ENCRYPTION_KEY is set</t>
  </si>
  <si>
    <t>GST portal tokens: always encrypted (refused without a valid key). Stored bills: encrypted when INTEGRATION_ENCRYPTION_KEY is valid (IA-056); always served only through the access-checked route</t>
  </si>
  <si>
    <t>IA-049</t>
  </si>
  <si>
    <t>Object storage with per-shop access control</t>
  </si>
  <si>
    <t>S3-compatible bucket (ACCOUNTS_STORAGE=s3) or MEDIA_DIR / DB; served only via the access-checked route</t>
  </si>
  <si>
    <t>Code done; bucket credentials not configured yet, so files are in the database / MEDIA_DIR</t>
  </si>
  <si>
    <t>IA-050</t>
  </si>
  <si>
    <t>Background job queue + progress</t>
  </si>
  <si>
    <t>inv_bill_captures queue with progress %, SKIP LOCKED, retry; cron safety net</t>
  </si>
  <si>
    <t>Owner to schedule /api/cron/bill-captures (optional safety net)</t>
  </si>
  <si>
    <t>IA-051</t>
  </si>
  <si>
    <t>Real-time notification when ready</t>
  </si>
  <si>
    <t>In-app (+ email) notification and live progress polling on the screen</t>
  </si>
  <si>
    <t>IA-052</t>
  </si>
  <si>
    <t>Slow networks / one screen</t>
  </si>
  <si>
    <t>Compressed scans, upload progress, Tile Board one-screen hub, phone layouts</t>
  </si>
  <si>
    <t>Board and GST page were ~40 s on test.gokesari.com (database far from the web server); fixed in #172 — every module page ~4 s on test (Seller Central /shop ~8 s there)</t>
  </si>
  <si>
    <t>#171, #172, released #179</t>
  </si>
  <si>
    <t>IA-053</t>
  </si>
  <si>
    <t>UI</t>
  </si>
  <si>
    <t>Theme 1 Tile Board hub (web + app)</t>
  </si>
  <si>
    <t>/shop/accounts with 12 tiles, live counts, 4 headline figures, EN/HI/MR; Inventory tile 'Bills &amp; GST' and Finance hub links</t>
  </si>
  <si>
    <t>IA-054</t>
  </si>
  <si>
    <t>Mobile</t>
  </si>
  <si>
    <t>Android and iOS apps</t>
  </si>
  <si>
    <t>WebView apps show the module on deploy (no store update); camera via photo picker; downloads via bridge</t>
  </si>
  <si>
    <t>Native share-intent is IA-031</t>
  </si>
  <si>
    <t>IA-055</t>
  </si>
  <si>
    <t>Testing on test.gokesari.com and gokesari.com</t>
  </si>
  <si>
    <t>Unit, integration, E2E; staging functional run; production read-only checks</t>
  </si>
  <si>
    <t>Local: 149 module unit/integration + E2E 11/11; CI full suite 1,915 tests green on the release. test.gokesari.com: smoke 11/11, functional 26/27 + live order/cancel PASS (GST link blocked by IA-056). gokesari.com: read-only smoke 11/11 after release #179. See TESTING_REPORT.md</t>
  </si>
  <si>
    <t>IA-056</t>
  </si>
  <si>
    <t>Encryption key on the servers</t>
  </si>
  <si>
    <t>INTEGRATION_ENCRYPTION_KEY (base64, 32 bytes) set on test.gokesari.com and gokesari.com — needed for GST portal linking and for encrypting stored bills</t>
  </si>
  <si>
    <t>Server settings (test and production)</t>
  </si>
  <si>
    <t>Owner added the variable on test and production (15 Oct), but the value is not base64 of 32 bytes: test.gokesari.com reports encryption not configured (/api/shops/{id}/integration → ready.encryption=false) and GST linking answers 500. Fix: set the value from `openssl rand -base64 32` (44 characters ending in '='), a different one per site, and redeploy. Nothing has been encrypted with the old values</t>
  </si>
  <si>
    <t>Count</t>
  </si>
  <si>
    <t>Files consolidated into this report</t>
  </si>
  <si>
    <t>Used for</t>
  </si>
  <si>
    <t>docs/gokesari-audit/GOKESARI_FEATURE_STATUS_REPORT_2026-10-25.xlsx (main tracker)</t>
  </si>
  <si>
    <t>Baseline: Feature Register (277 rows), Process Flow Tree F1-F15, PR Register to #247, Blockers #1-#71, Batch, Bulk upload, Inventory &amp; Accounting sheets</t>
  </si>
  <si>
    <t>DEALER_PROGRAMME_TRACKER_2026-10-29.xlsx</t>
  </si>
  <si>
    <t>Dealer Programme sheet; GKS-* rows in the Feature Register; F16</t>
  </si>
  <si>
    <t>GOKESARI_DEALER_PROGRAMME_TRACKER_2026-10-28.xlsx</t>
  </si>
  <si>
    <t>Earlier staging results (superseded by 29 Oct; noted where a check was partial or not run)</t>
  </si>
  <si>
    <t>GOKESARI_PENDING_FOR_PRODUCTION_2026-10-29.md</t>
  </si>
  <si>
    <t>Pending for Production sheet; defects D-106, E-04; flags; Blockers #76-#78</t>
  </si>
  <si>
    <t>GOKESARI_PERFORMANCE_REPORT_2026-10-29.md</t>
  </si>
  <si>
    <t>Performance &amp; DB sheet; NEW-098..099; F18.2</t>
  </si>
  <si>
    <t>GOKESARI_PERFORMANCE_DIAGNOSIS_2026-10-28.md</t>
  </si>
  <si>
    <t>Performance &amp; DB sheet (Ohio measurements, approval delay)</t>
  </si>
  <si>
    <t>NEW-086, F18.1, Blockers #72-#75, #81</t>
  </si>
  <si>
    <t>GOKESARI_LOCAL_STAGING_MAIN_GAP_2026-10-27.md</t>
  </si>
  <si>
    <t>NEW-078..079 and the 25-27 Oct releases</t>
  </si>
  <si>
    <t>git history (origin/main, origin/staging) 25-29 Oct</t>
  </si>
  <si>
    <t>PR Register #250-#289, release list, New Functions and New Routes &amp; Pages sheets</t>
  </si>
  <si>
    <t>ATIP_FEATURE_LIST_2026-09-29.xlsx, ATIP_MASTER_TRACKER.xlsx</t>
  </si>
  <si>
    <t>Not used: ATIP is a separate project and is not tracked in GoKesari reports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</si>
</sst>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3" x14ac:knownFonts="1">
    <font>
      <color theme="1"/>
      <family val="2"/>
      <scheme val="minor"/>
      <sz val="11"/>
      <name val="Calibri"/>
    </font>
    <font>
      <b/>
      <charset val="1"/>
      <color rgb="FF9A3412"/>
      <sz val="14"/>
      <name val="Arial"/>
    </font>
    <font>
      <i/>
      <charset val="1"/>
      <color rgb="FF475569"/>
      <sz val="9"/>
      <name val="Arial"/>
    </font>
    <font>
      <b/>
      <charset val="1"/>
      <sz val="11"/>
      <name val="Arial"/>
    </font>
    <font>
      <b/>
      <charset val="1"/>
      <color rgb="FFFFFFFF"/>
      <sz val="10"/>
      <name val="Arial"/>
    </font>
    <font>
      <b/>
      <charset val="1"/>
      <sz val="9"/>
      <name val="Arial"/>
    </font>
    <font>
      <charset val="1"/>
      <sz val="9"/>
      <name val="Arial"/>
    </font>
    <font>
      <charset val="1"/>
      <color theme="1"/>
      <family val="2"/>
      <sz val="11"/>
      <name val="Calibri"/>
    </font>
    <font>
      <b/>
      <charset val="1"/>
      <sz val="11"/>
      <name val="Cambria"/>
    </font>
    <font>
      <b/>
      <charset val="1"/>
      <sz val="10"/>
      <name val="Arial"/>
    </font>
    <font>
      <b/>
      <u/>
      <charset val="1"/>
      <color rgb="FF1D4ED8"/>
      <sz val="9"/>
      <name val="Arial"/>
    </font>
    <font>
      <b/>
      <charset val="1"/>
      <sz val="13"/>
      <name val="Cambria"/>
    </font>
    <font>
      <b/>
      <charset val="1"/>
      <color rgb="FFFFFFFF"/>
      <sz val="11"/>
      <name val="Cambria"/>
    </font>
  </fonts>
  <fills count="16">
    <fill>
      <patternFill patternType="none"/>
    </fill>
    <fill>
      <patternFill patternType="gray125"/>
    </fill>
    <fill>
      <patternFill/>
    </fill>
    <fill>
      <patternFill patternType="solid">
        <fgColor rgb="FFC9450C"/>
        <bgColor rgb="FFC2410C"/>
      </patternFill>
    </fill>
    <fill>
      <patternFill patternType="solid">
        <fgColor rgb="FFFFEDD5"/>
        <bgColor rgb="FFFFF2CC"/>
      </patternFill>
    </fill>
    <fill>
      <patternFill patternType="solid">
        <fgColor rgb="FFFFF7ED"/>
        <bgColor rgb="FFFFFFFF"/>
      </patternFill>
    </fill>
    <fill>
      <patternFill patternType="solid">
        <fgColor rgb="FFC6EFCE"/>
        <bgColor rgb="FFD1FAE5"/>
      </patternFill>
    </fill>
    <fill>
      <patternFill patternType="solid">
        <fgColor rgb="FFD9D9D9"/>
        <bgColor rgb="FFD6D3D1"/>
      </patternFill>
    </fill>
    <fill>
      <patternFill patternType="solid">
        <fgColor rgb="FFDDEBF7"/>
        <bgColor rgb="FFE5E7EB"/>
      </patternFill>
    </fill>
    <fill>
      <patternFill patternType="solid">
        <fgColor rgb="FFFFF2CC"/>
        <bgColor rgb="FFFEF3C7"/>
      </patternFill>
    </fill>
    <fill>
      <patternFill patternType="solid">
        <fgColor rgb="FFF8CBAD"/>
        <bgColor rgb="FFFECACA"/>
      </patternFill>
    </fill>
    <fill>
      <patternFill patternType="solid">
        <fgColor rgb="FFC2410C"/>
        <bgColor rgb="FFC9450C"/>
      </patternFill>
    </fill>
    <fill>
      <patternFill patternType="solid">
        <fgColor rgb="FFFEF3C7"/>
        <bgColor rgb="FFFFF2CC"/>
      </patternFill>
    </fill>
    <fill>
      <patternFill patternType="solid">
        <fgColor rgb="FFFECACA"/>
        <bgColor rgb="FFF8CBAD"/>
      </patternFill>
    </fill>
    <fill>
      <patternFill patternType="solid">
        <fgColor rgb="FFDCFCE7"/>
        <bgColor rgb="FFD1FAE5"/>
      </patternFill>
    </fill>
    <fill>
      <patternFill patternType="solid">
        <fgColor rgb="FFFEE2E2"/>
        <bgColor rgb="FFFFEDD5"/>
      </patternFill>
    </fill>
  </fills>
  <borders count="2">
    <border>
      <left/>
      <right/>
      <top/>
      <bottom/>
      <diagonal/>
    </border>
    <border>
      <left style="thin">
        <color rgb="FFD6D3D1"/>
      </left>
      <right style="thin">
        <color rgb="FFD6D3D1"/>
      </right>
      <top style="thin">
        <color rgb="FFD6D3D1"/>
      </top>
      <bottom style="thin">
        <color rgb="FFD6D3D1"/>
      </bottom>
      <diagonal/>
    </border>
  </borders>
  <cellStyleXfs count="1">
    <xf numFmtId="0" fontId="0" fillId="0" borderId="0"/>
  </cellStyleXfs>
  <cellXfs count="33">
    <xf numFmtId="0" fontId="0" fillId="0" borderId="0" xfId="0"/>
    <xf numFmtId="0" fontId="1" fillId="2" borderId="0" xfId="0" applyFont="1" applyFill="1" applyAlignment="1">
      <alignment vertical="bottom"/>
    </xf>
    <xf numFmtId="0" fontId="2" fillId="2" borderId="0" xfId="0" applyFont="1" applyFill="1" applyAlignment="1">
      <alignment vertical="top" wrapText="1"/>
    </xf>
    <xf numFmtId="0" fontId="3" fillId="2" borderId="0" xfId="0" applyFont="1" applyFill="1" applyAlignment="1">
      <alignment vertical="bottom"/>
    </xf>
    <xf numFmtId="0" fontId="4" fillId="3" borderId="1" xfId="0" applyFont="1" applyFill="1" applyBorder="1" applyAlignment="1">
      <alignment horizontal="center" vertical="top" wrapText="1"/>
    </xf>
    <xf numFmtId="0" fontId="5" fillId="2" borderId="1" xfId="0" applyFont="1" applyFill="1" applyBorder="1" applyAlignment="1">
      <alignment vertical="top" wrapText="1"/>
    </xf>
    <xf numFmtId="0" fontId="6" fillId="2" borderId="1" xfId="0" applyFont="1" applyFill="1" applyBorder="1" applyAlignment="1">
      <alignment horizontal="center" vertical="top" wrapText="1"/>
    </xf>
    <xf numFmtId="9" fontId="6" fillId="2" borderId="1" xfId="0" applyNumberFormat="1" applyFont="1" applyFill="1" applyBorder="1" applyAlignment="1">
      <alignment horizontal="center" vertical="top" wrapText="1"/>
    </xf>
    <xf numFmtId="0" fontId="5" fillId="2" borderId="1" xfId="0" applyFont="1" applyFill="1" applyBorder="1" applyAlignment="1">
      <alignment horizontal="center" vertical="top" wrapText="1"/>
    </xf>
    <xf numFmtId="0" fontId="6" fillId="2" borderId="0" xfId="0" applyFont="1" applyFill="1" applyAlignment="1">
      <alignment vertical="top" wrapText="1"/>
    </xf>
    <xf numFmtId="0" fontId="7" fillId="2" borderId="0" xfId="0" applyFont="1" applyFill="1" applyAlignment="1">
      <alignment vertical="bottom"/>
    </xf>
    <xf numFmtId="0" fontId="6" fillId="2" borderId="1" xfId="0" applyFont="1" applyFill="1" applyBorder="1" applyAlignment="1">
      <alignment vertical="top" wrapText="1"/>
    </xf>
    <xf numFmtId="0" fontId="7" fillId="2" borderId="0" xfId="0" applyFont="1" applyFill="1"/>
    <xf numFmtId="0" fontId="8" fillId="2" borderId="0" xfId="0" applyFont="1" applyFill="1" applyAlignment="1">
      <alignment vertical="bottom"/>
    </xf>
    <xf numFmtId="0" fontId="9" fillId="4" borderId="1" xfId="0" applyFont="1" applyFill="1" applyBorder="1" applyAlignment="1">
      <alignment vertical="top" wrapText="1"/>
    </xf>
    <xf numFmtId="0" fontId="9" fillId="4" borderId="1" xfId="0" applyFont="1" applyFill="1" applyBorder="1" applyAlignment="1">
      <alignment horizontal="center" vertical="top" wrapText="1"/>
    </xf>
    <xf numFmtId="0" fontId="5" fillId="5" borderId="1" xfId="0" applyFont="1" applyFill="1" applyBorder="1" applyAlignment="1">
      <alignment vertical="top" wrapText="1"/>
    </xf>
    <xf numFmtId="0" fontId="5" fillId="5" borderId="1" xfId="0" applyFont="1" applyFill="1" applyBorder="1" applyAlignment="1">
      <alignment horizontal="center" vertical="top" wrapText="1"/>
    </xf>
    <xf numFmtId="0" fontId="5" fillId="5" borderId="1" xfId="0" applyFont="1" applyFill="1" applyBorder="1" applyAlignment="1">
      <alignment vertical="top" wrapText="1" indent="2"/>
    </xf>
    <xf numFmtId="0" fontId="6" fillId="2" borderId="1" xfId="0" applyFont="1" applyFill="1" applyBorder="1" applyAlignment="1">
      <alignment vertical="top" wrapText="1" indent="4"/>
    </xf>
    <xf numFmtId="0" fontId="7" fillId="6" borderId="0" xfId="0" applyFont="1" applyFill="1" applyAlignment="1">
      <alignment vertical="bottom"/>
    </xf>
    <xf numFmtId="0" fontId="7" fillId="2" borderId="0" xfId="0" applyFont="1" applyFill="1" applyAlignment="1">
      <alignment vertical="top" wrapText="1"/>
    </xf>
    <xf numFmtId="0" fontId="7" fillId="7" borderId="0" xfId="0" applyFont="1" applyFill="1" applyAlignment="1">
      <alignment vertical="bottom"/>
    </xf>
    <xf numFmtId="0" fontId="7" fillId="8" borderId="0" xfId="0" applyFont="1" applyFill="1" applyAlignment="1">
      <alignment vertical="bottom"/>
    </xf>
    <xf numFmtId="0" fontId="7" fillId="9" borderId="0" xfId="0" applyFont="1" applyFill="1" applyAlignment="1">
      <alignment vertical="bottom"/>
    </xf>
    <xf numFmtId="0" fontId="7" fillId="10" borderId="0" xfId="0" applyFont="1" applyFill="1" applyAlignment="1">
      <alignment vertical="bottom"/>
    </xf>
    <xf numFmtId="0" fontId="10" fillId="2" borderId="1" xfId="0" applyFont="1" applyFill="1" applyBorder="1" applyAlignment="1">
      <alignment horizontal="center" vertical="top" wrapText="1"/>
    </xf>
    <xf numFmtId="0" fontId="11" fillId="2" borderId="0" xfId="0" applyFont="1" applyFill="1" applyAlignment="1">
      <alignment vertical="bottom"/>
    </xf>
    <xf numFmtId="0" fontId="12" fillId="11" borderId="0" xfId="0" applyFont="1" applyFill="1" applyAlignment="1">
      <alignment vertical="bottom"/>
    </xf>
    <xf numFmtId="0" fontId="7" fillId="12" borderId="0" xfId="0" applyFont="1" applyFill="1" applyAlignment="1">
      <alignment vertical="top" wrapText="1"/>
    </xf>
    <xf numFmtId="0" fontId="7" fillId="13" borderId="0" xfId="0" applyFont="1" applyFill="1" applyAlignment="1">
      <alignment vertical="top" wrapText="1"/>
    </xf>
    <xf numFmtId="0" fontId="7" fillId="14" borderId="0" xfId="0" applyFont="1" applyFill="1" applyAlignment="1">
      <alignment vertical="top" wrapText="1"/>
    </xf>
    <xf numFmtId="0" fontId="7" fillId="15" borderId="0" xfId="0" applyFont="1" applyFill="1" applyAlignment="1">
      <alignment vertical="top" wrapText="1"/>
    </xf>
  </cellXfs>
  <cellStyles count="1">
    <cellStyle name="Normal" xfId="0" builtinId="0"/>
  </cellStyles>
  <dxfs count="37">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065F46"/>
      </font>
      <fill>
        <patternFill>
          <bgColor rgb="FFD1FAE5"/>
        </patternFill>
      </fill>
    </dxf>
    <dxf>
      <font>
        <b/>
        <color rgb="FF92400E"/>
      </font>
      <fill>
        <patternFill>
          <bgColor rgb="FFFEF3C7"/>
        </patternFill>
      </fill>
    </dxf>
    <dxf>
      <font>
        <b/>
        <color rgb="FF374151"/>
      </font>
      <fill>
        <patternFill>
          <bgColor rgb="FFE5E7EB"/>
        </patternFill>
      </fill>
    </dxf>
    <dxf>
      <font>
        <b/>
        <color rgb="FF991B1B"/>
      </font>
      <fill>
        <patternFill>
          <bgColor rgb="FFFEE2E2"/>
        </patternFill>
      </fill>
    </dxf>
    <dxf>
      <font>
        <b/>
        <color rgb="FF991B1B"/>
      </font>
      <fill>
        <patternFill>
          <bgColor rgb="FFFEE2E2"/>
        </patternFill>
      </fill>
    </dxf>
    <dxf>
      <font>
        <b/>
        <color rgb="FF92400E"/>
      </font>
      <fill>
        <patternFill>
          <bgColor rgb="FFFEF3C7"/>
        </patternFill>
      </fill>
    </dxf>
    <dxf>
      <font>
        <b/>
        <color rgb="FF92400E"/>
      </font>
      <fill>
        <patternFill>
          <bgColor rgb="FFFEF3C7"/>
        </patternFill>
      </fill>
    </dxf>
    <dxf>
      <font>
        <b/>
        <color rgb="FF374151"/>
      </font>
      <fill>
        <patternFill>
          <bgColor rgb="FFE5E7EB"/>
        </patternFill>
      </fill>
    </dxf>
    <dxf>
      <font>
        <b/>
        <color rgb="FF065F46"/>
      </font>
      <fill>
        <patternFill>
          <bgColor rgb="FFD1FAE5"/>
        </patternFill>
      </fill>
    </dxf>
    <dxf>
      <font>
        <b/>
        <color rgb="FF065F46"/>
      </font>
      <fill>
        <patternFill>
          <bgColor rgb="FFD1FAE5"/>
        </patternFill>
      </fill>
    </dxf>
    <dxf>
      <font>
        <b/>
        <color rgb="FF374151"/>
      </font>
      <fill>
        <patternFill>
          <bgColor rgb="FFE5E7EB"/>
        </patternFill>
      </fill>
    </dxf>
    <dxf>
      <font>
        <b/>
        <color rgb="FF92400E"/>
      </font>
      <fill>
        <patternFill>
          <bgColor rgb="FFFEF3C7"/>
        </patternFill>
      </fill>
    </dxf>
    <dxf>
      <font>
        <b/>
        <color rgb="FF991B1B"/>
      </font>
      <fill>
        <patternFill>
          <bgColor rgb="FFFEE2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15.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worksheet" Target="worksheets/sheet9.xml"/><Relationship Id="rId9" Type="http://schemas.openxmlformats.org/officeDocument/2006/relationships/worksheet" Target="worksheets/sheet10.xml"/><Relationship Id="rId10" Type="http://schemas.openxmlformats.org/officeDocument/2006/relationships/worksheet" Target="worksheets/sheet11.xml"/><Relationship Id="rId11" Type="http://schemas.openxmlformats.org/officeDocument/2006/relationships/worksheet" Target="worksheets/sheet12.xml"/><Relationship Id="rId12" Type="http://schemas.openxmlformats.org/officeDocument/2006/relationships/worksheet" Target="worksheets/sheet13.xml"/><Relationship Id="rId13" Type="http://schemas.openxmlformats.org/officeDocument/2006/relationships/worksheet" Target="worksheets/sheet8.xml"/><Relationship Id="rId14" Type="http://schemas.openxmlformats.org/officeDocument/2006/relationships/worksheet" Target="worksheets/sheet7.xml"/><Relationship Id="rId15" Type="http://schemas.openxmlformats.org/officeDocument/2006/relationships/worksheet" Target="worksheets/sheet2.xml"/><Relationship Id="rId16" Type="http://schemas.openxmlformats.org/officeDocument/2006/relationships/worksheet" Target="worksheets/sheet3.xml"/><Relationship Id="rId17" Type="http://schemas.openxmlformats.org/officeDocument/2006/relationships/worksheet" Target="worksheets/sheet4.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1.png"/><Relationship Id="rId3"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editAs="oneCell">
    <xdr:from>
      <xdr:col>1</xdr:col>
      <xdr:colOff>0</xdr:colOff>
      <xdr:row>3</xdr:row>
      <xdr:rowOff>0</xdr:rowOff>
    </xdr:from>
    <xdr:ext cx="10039350" cy="405765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1</xdr:col>
      <xdr:colOff>0</xdr:colOff>
      <xdr:row>28</xdr:row>
      <xdr:rowOff>0</xdr:rowOff>
    </xdr:from>
    <xdr:ext cx="10039350" cy="3971925"/>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oneCellAnchor editAs="oneCell">
    <xdr:from>
      <xdr:col>1</xdr:col>
      <xdr:colOff>0</xdr:colOff>
      <xdr:row>52</xdr:row>
      <xdr:rowOff>0</xdr:rowOff>
    </xdr:from>
    <xdr:ext cx="10039350" cy="3409950"/>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standalone="yes"?>
<Relationships xmlns="http://schemas.openxmlformats.org/package/2006/relationships"><Relationship Id="rId1" Type="http://schemas.openxmlformats.org/officeDocument/2006/relationships/hyperlink" Target="https://github.com/sanjaymorankar-debug/GoKesari/pull/306" TargetMode="External"/><Relationship Id="rId2" Type="http://schemas.openxmlformats.org/officeDocument/2006/relationships/hyperlink" Target="https://github.com/sanjaymorankar-debug/GoKesari/pull/306" TargetMode="External"/><Relationship Id="rId3" Type="http://schemas.openxmlformats.org/officeDocument/2006/relationships/hyperlink" Target="https://github.com/sanjaymorankar-debug/GoKesari/pull/306" TargetMode="External"/><Relationship Id="rId4" Type="http://schemas.openxmlformats.org/officeDocument/2006/relationships/hyperlink" Target="https://github.com/sanjaymorankar-debug/GoKesari/pull/306" TargetMode="External"/><Relationship Id="rId5" Type="http://schemas.openxmlformats.org/officeDocument/2006/relationships/hyperlink" Target="https://github.com/sanjaymorankar-debug/GoKesari/pull/306" TargetMode="External"/><Relationship Id="rId6" Type="http://schemas.openxmlformats.org/officeDocument/2006/relationships/hyperlink" Target="https://github.com/sanjaymorankar-debug/GoKesari/pull/306" TargetMode="External"/><Relationship Id="rId7" Type="http://schemas.openxmlformats.org/officeDocument/2006/relationships/hyperlink" Target="https://github.com/sanjaymorankar-debug/GoKesari/pull/306" TargetMode="External"/><Relationship Id="rId8" Type="http://schemas.openxmlformats.org/officeDocument/2006/relationships/hyperlink" Target="https://github.com/sanjaymorankar-debug/GoKesari/pull/306" TargetMode="External"/><Relationship Id="rId9" Type="http://schemas.openxmlformats.org/officeDocument/2006/relationships/hyperlink" Target="https://github.com/sanjaymorankar-debug/GoKesari/pull/306" TargetMode="External"/><Relationship Id="rId10" Type="http://schemas.openxmlformats.org/officeDocument/2006/relationships/hyperlink" Target="https://github.com/sanjaymorankar-debug/GoKesari/pull/306" TargetMode="External"/><Relationship Id="rId11" Type="http://schemas.openxmlformats.org/officeDocument/2006/relationships/hyperlink" Target="https://github.com/sanjaymorankar-debug/GoKesari/pull/306"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github.com/sanjaymorankar-debug/GoKesari/pull/1" TargetMode="External"/><Relationship Id="rId2" Type="http://schemas.openxmlformats.org/officeDocument/2006/relationships/hyperlink" Target="https://github.com/sanjaymorankar-debug/GoKesari/pull/2" TargetMode="External"/><Relationship Id="rId3" Type="http://schemas.openxmlformats.org/officeDocument/2006/relationships/hyperlink" Target="https://github.com/sanjaymorankar-debug/GoKesari/pull/3" TargetMode="External"/><Relationship Id="rId4" Type="http://schemas.openxmlformats.org/officeDocument/2006/relationships/hyperlink" Target="https://github.com/sanjaymorankar-debug/GoKesari/pull/4" TargetMode="External"/><Relationship Id="rId5" Type="http://schemas.openxmlformats.org/officeDocument/2006/relationships/hyperlink" Target="https://github.com/sanjaymorankar-debug/GoKesari/pull/5" TargetMode="External"/><Relationship Id="rId6" Type="http://schemas.openxmlformats.org/officeDocument/2006/relationships/hyperlink" Target="https://github.com/sanjaymorankar-debug/GoKesari/pull/6" TargetMode="External"/><Relationship Id="rId7" Type="http://schemas.openxmlformats.org/officeDocument/2006/relationships/hyperlink" Target="https://github.com/sanjaymorankar-debug/GoKesari/pull/7" TargetMode="External"/><Relationship Id="rId8" Type="http://schemas.openxmlformats.org/officeDocument/2006/relationships/hyperlink" Target="https://github.com/sanjaymorankar-debug/GoKesari/pull/8" TargetMode="External"/><Relationship Id="rId9" Type="http://schemas.openxmlformats.org/officeDocument/2006/relationships/hyperlink" Target="https://github.com/sanjaymorankar-debug/GoKesari/pull/9" TargetMode="External"/><Relationship Id="rId10" Type="http://schemas.openxmlformats.org/officeDocument/2006/relationships/hyperlink" Target="https://github.com/sanjaymorankar-debug/GoKesari/pull/10" TargetMode="External"/><Relationship Id="rId11" Type="http://schemas.openxmlformats.org/officeDocument/2006/relationships/hyperlink" Target="https://github.com/sanjaymorankar-debug/GoKesari/pull/11" TargetMode="External"/><Relationship Id="rId12" Type="http://schemas.openxmlformats.org/officeDocument/2006/relationships/hyperlink" Target="https://github.com/sanjaymorankar-debug/GoKesari/pull/12" TargetMode="External"/><Relationship Id="rId13" Type="http://schemas.openxmlformats.org/officeDocument/2006/relationships/hyperlink" Target="https://github.com/sanjaymorankar-debug/GoKesari/pull/13" TargetMode="External"/><Relationship Id="rId14" Type="http://schemas.openxmlformats.org/officeDocument/2006/relationships/hyperlink" Target="https://github.com/sanjaymorankar-debug/GoKesari/pull/14" TargetMode="External"/><Relationship Id="rId15" Type="http://schemas.openxmlformats.org/officeDocument/2006/relationships/hyperlink" Target="https://github.com/sanjaymorankar-debug/GoKesari/pull/15" TargetMode="External"/><Relationship Id="rId16" Type="http://schemas.openxmlformats.org/officeDocument/2006/relationships/hyperlink" Target="https://github.com/sanjaymorankar-debug/GoKesari/pull/16" TargetMode="External"/><Relationship Id="rId17" Type="http://schemas.openxmlformats.org/officeDocument/2006/relationships/hyperlink" Target="https://github.com/sanjaymorankar-debug/GoKesari/pull/17" TargetMode="External"/><Relationship Id="rId18" Type="http://schemas.openxmlformats.org/officeDocument/2006/relationships/hyperlink" Target="https://github.com/sanjaymorankar-debug/GoKesari/pull/18" TargetMode="External"/><Relationship Id="rId19" Type="http://schemas.openxmlformats.org/officeDocument/2006/relationships/hyperlink" Target="https://github.com/sanjaymorankar-debug/GoKesari/pull/19" TargetMode="External"/><Relationship Id="rId20" Type="http://schemas.openxmlformats.org/officeDocument/2006/relationships/hyperlink" Target="https://github.com/sanjaymorankar-debug/GoKesari/pull/20" TargetMode="External"/><Relationship Id="rId21" Type="http://schemas.openxmlformats.org/officeDocument/2006/relationships/hyperlink" Target="https://github.com/sanjaymorankar-debug/GoKesari/pull/21" TargetMode="External"/><Relationship Id="rId22" Type="http://schemas.openxmlformats.org/officeDocument/2006/relationships/hyperlink" Target="https://github.com/sanjaymorankar-debug/GoKesari/pull/22" TargetMode="External"/><Relationship Id="rId23" Type="http://schemas.openxmlformats.org/officeDocument/2006/relationships/hyperlink" Target="https://github.com/sanjaymorankar-debug/GoKesari/pull/23" TargetMode="External"/><Relationship Id="rId24" Type="http://schemas.openxmlformats.org/officeDocument/2006/relationships/hyperlink" Target="https://github.com/sanjaymorankar-debug/GoKesari/pull/24" TargetMode="External"/><Relationship Id="rId25" Type="http://schemas.openxmlformats.org/officeDocument/2006/relationships/hyperlink" Target="https://github.com/sanjaymorankar-debug/GoKesari/pull/25" TargetMode="External"/><Relationship Id="rId26" Type="http://schemas.openxmlformats.org/officeDocument/2006/relationships/hyperlink" Target="https://github.com/sanjaymorankar-debug/GoKesari/pull/26" TargetMode="External"/><Relationship Id="rId27" Type="http://schemas.openxmlformats.org/officeDocument/2006/relationships/hyperlink" Target="https://github.com/sanjaymorankar-debug/GoKesari/pull/27" TargetMode="External"/><Relationship Id="rId28" Type="http://schemas.openxmlformats.org/officeDocument/2006/relationships/hyperlink" Target="https://github.com/sanjaymorankar-debug/GoKesari/pull/28" TargetMode="External"/><Relationship Id="rId29" Type="http://schemas.openxmlformats.org/officeDocument/2006/relationships/hyperlink" Target="https://github.com/sanjaymorankar-debug/GoKesari/pull/29" TargetMode="External"/><Relationship Id="rId30" Type="http://schemas.openxmlformats.org/officeDocument/2006/relationships/hyperlink" Target="https://github.com/sanjaymorankar-debug/GoKesari/pull/30" TargetMode="External"/><Relationship Id="rId31" Type="http://schemas.openxmlformats.org/officeDocument/2006/relationships/hyperlink" Target="https://github.com/sanjaymorankar-debug/GoKesari/pull/31" TargetMode="External"/><Relationship Id="rId32" Type="http://schemas.openxmlformats.org/officeDocument/2006/relationships/hyperlink" Target="https://github.com/sanjaymorankar-debug/GoKesari/pull/32" TargetMode="External"/><Relationship Id="rId33" Type="http://schemas.openxmlformats.org/officeDocument/2006/relationships/hyperlink" Target="https://github.com/sanjaymorankar-debug/GoKesari/pull/33" TargetMode="External"/><Relationship Id="rId34" Type="http://schemas.openxmlformats.org/officeDocument/2006/relationships/hyperlink" Target="https://github.com/sanjaymorankar-debug/GoKesari/pull/34" TargetMode="External"/><Relationship Id="rId35" Type="http://schemas.openxmlformats.org/officeDocument/2006/relationships/hyperlink" Target="https://github.com/sanjaymorankar-debug/GoKesari/pull/35" TargetMode="External"/><Relationship Id="rId36" Type="http://schemas.openxmlformats.org/officeDocument/2006/relationships/hyperlink" Target="https://github.com/sanjaymorankar-debug/GoKesari/pull/36" TargetMode="External"/><Relationship Id="rId37" Type="http://schemas.openxmlformats.org/officeDocument/2006/relationships/hyperlink" Target="https://github.com/sanjaymorankar-debug/GoKesari/pull/37" TargetMode="External"/><Relationship Id="rId38" Type="http://schemas.openxmlformats.org/officeDocument/2006/relationships/hyperlink" Target="https://github.com/sanjaymorankar-debug/GoKesari/pull/38" TargetMode="External"/><Relationship Id="rId39" Type="http://schemas.openxmlformats.org/officeDocument/2006/relationships/hyperlink" Target="https://github.com/sanjaymorankar-debug/GoKesari/pull/39" TargetMode="External"/><Relationship Id="rId40" Type="http://schemas.openxmlformats.org/officeDocument/2006/relationships/hyperlink" Target="https://github.com/sanjaymorankar-debug/GoKesari/pull/40" TargetMode="External"/><Relationship Id="rId41" Type="http://schemas.openxmlformats.org/officeDocument/2006/relationships/hyperlink" Target="https://github.com/sanjaymorankar-debug/GoKesari/pull/41" TargetMode="External"/><Relationship Id="rId42" Type="http://schemas.openxmlformats.org/officeDocument/2006/relationships/hyperlink" Target="https://github.com/sanjaymorankar-debug/GoKesari/pull/42" TargetMode="External"/><Relationship Id="rId43" Type="http://schemas.openxmlformats.org/officeDocument/2006/relationships/hyperlink" Target="https://github.com/sanjaymorankar-debug/GoKesari/pull/43" TargetMode="External"/><Relationship Id="rId44" Type="http://schemas.openxmlformats.org/officeDocument/2006/relationships/hyperlink" Target="https://github.com/sanjaymorankar-debug/GoKesari/pull/44" TargetMode="External"/><Relationship Id="rId45" Type="http://schemas.openxmlformats.org/officeDocument/2006/relationships/hyperlink" Target="https://github.com/sanjaymorankar-debug/GoKesari/pull/45" TargetMode="External"/><Relationship Id="rId46" Type="http://schemas.openxmlformats.org/officeDocument/2006/relationships/hyperlink" Target="https://github.com/sanjaymorankar-debug/GoKesari/pull/46" TargetMode="External"/><Relationship Id="rId47" Type="http://schemas.openxmlformats.org/officeDocument/2006/relationships/hyperlink" Target="https://github.com/sanjaymorankar-debug/GoKesari/pull/47" TargetMode="External"/><Relationship Id="rId48" Type="http://schemas.openxmlformats.org/officeDocument/2006/relationships/hyperlink" Target="https://github.com/sanjaymorankar-debug/GoKesari/pull/48" TargetMode="External"/><Relationship Id="rId49" Type="http://schemas.openxmlformats.org/officeDocument/2006/relationships/hyperlink" Target="https://github.com/sanjaymorankar-debug/GoKesari/pull/49" TargetMode="External"/><Relationship Id="rId50" Type="http://schemas.openxmlformats.org/officeDocument/2006/relationships/hyperlink" Target="https://github.com/sanjaymorankar-debug/GoKesari/pull/50" TargetMode="External"/><Relationship Id="rId51" Type="http://schemas.openxmlformats.org/officeDocument/2006/relationships/hyperlink" Target="https://github.com/sanjaymorankar-debug/GoKesari/pull/51" TargetMode="External"/><Relationship Id="rId52" Type="http://schemas.openxmlformats.org/officeDocument/2006/relationships/hyperlink" Target="https://github.com/sanjaymorankar-debug/GoKesari/pull/52" TargetMode="External"/><Relationship Id="rId53" Type="http://schemas.openxmlformats.org/officeDocument/2006/relationships/hyperlink" Target="https://github.com/sanjaymorankar-debug/GoKesari/pull/53" TargetMode="External"/><Relationship Id="rId54" Type="http://schemas.openxmlformats.org/officeDocument/2006/relationships/hyperlink" Target="https://github.com/sanjaymorankar-debug/GoKesari/pull/54" TargetMode="External"/><Relationship Id="rId55" Type="http://schemas.openxmlformats.org/officeDocument/2006/relationships/hyperlink" Target="https://github.com/sanjaymorankar-debug/GoKesari/pull/55" TargetMode="External"/><Relationship Id="rId56" Type="http://schemas.openxmlformats.org/officeDocument/2006/relationships/hyperlink" Target="https://github.com/sanjaymorankar-debug/GoKesari/pull/56" TargetMode="External"/><Relationship Id="rId57" Type="http://schemas.openxmlformats.org/officeDocument/2006/relationships/hyperlink" Target="https://github.com/sanjaymorankar-debug/GoKesari/pull/57" TargetMode="External"/><Relationship Id="rId58" Type="http://schemas.openxmlformats.org/officeDocument/2006/relationships/hyperlink" Target="https://github.com/sanjaymorankar-debug/GoKesari/pull/58" TargetMode="External"/><Relationship Id="rId59" Type="http://schemas.openxmlformats.org/officeDocument/2006/relationships/hyperlink" Target="https://github.com/sanjaymorankar-debug/GoKesari/pull/59" TargetMode="External"/><Relationship Id="rId60" Type="http://schemas.openxmlformats.org/officeDocument/2006/relationships/hyperlink" Target="https://github.com/sanjaymorankar-debug/GoKesari/pull/60" TargetMode="External"/><Relationship Id="rId61" Type="http://schemas.openxmlformats.org/officeDocument/2006/relationships/hyperlink" Target="https://github.com/sanjaymorankar-debug/GoKesari/pull/61" TargetMode="External"/><Relationship Id="rId62" Type="http://schemas.openxmlformats.org/officeDocument/2006/relationships/hyperlink" Target="https://github.com/sanjaymorankar-debug/GoKesari/pull/62" TargetMode="External"/><Relationship Id="rId63" Type="http://schemas.openxmlformats.org/officeDocument/2006/relationships/hyperlink" Target="https://github.com/sanjaymorankar-debug/GoKesari/pull/63" TargetMode="External"/><Relationship Id="rId64" Type="http://schemas.openxmlformats.org/officeDocument/2006/relationships/hyperlink" Target="https://github.com/sanjaymorankar-debug/GoKesari/pull/64" TargetMode="External"/><Relationship Id="rId65" Type="http://schemas.openxmlformats.org/officeDocument/2006/relationships/hyperlink" Target="https://github.com/sanjaymorankar-debug/GoKesari/pull/65" TargetMode="External"/><Relationship Id="rId66" Type="http://schemas.openxmlformats.org/officeDocument/2006/relationships/hyperlink" Target="https://github.com/sanjaymorankar-debug/GoKesari/pull/66" TargetMode="External"/><Relationship Id="rId67" Type="http://schemas.openxmlformats.org/officeDocument/2006/relationships/hyperlink" Target="https://github.com/sanjaymorankar-debug/GoKesari/pull/67" TargetMode="External"/><Relationship Id="rId68" Type="http://schemas.openxmlformats.org/officeDocument/2006/relationships/hyperlink" Target="https://github.com/sanjaymorankar-debug/GoKesari/pull/68" TargetMode="External"/><Relationship Id="rId69" Type="http://schemas.openxmlformats.org/officeDocument/2006/relationships/hyperlink" Target="https://github.com/sanjaymorankar-debug/GoKesari/pull/69" TargetMode="External"/><Relationship Id="rId70" Type="http://schemas.openxmlformats.org/officeDocument/2006/relationships/hyperlink" Target="https://github.com/sanjaymorankar-debug/GoKesari/pull/70" TargetMode="External"/><Relationship Id="rId71" Type="http://schemas.openxmlformats.org/officeDocument/2006/relationships/hyperlink" Target="https://github.com/sanjaymorankar-debug/GoKesari/pull/71" TargetMode="External"/><Relationship Id="rId72" Type="http://schemas.openxmlformats.org/officeDocument/2006/relationships/hyperlink" Target="https://github.com/sanjaymorankar-debug/GoKesari/pull/72" TargetMode="External"/><Relationship Id="rId73" Type="http://schemas.openxmlformats.org/officeDocument/2006/relationships/hyperlink" Target="https://github.com/sanjaymorankar-debug/GoKesari/pull/73" TargetMode="External"/><Relationship Id="rId74" Type="http://schemas.openxmlformats.org/officeDocument/2006/relationships/hyperlink" Target="https://github.com/sanjaymorankar-debug/GoKesari/pull/74" TargetMode="External"/><Relationship Id="rId75" Type="http://schemas.openxmlformats.org/officeDocument/2006/relationships/hyperlink" Target="https://github.com/sanjaymorankar-debug/GoKesari/pull/75" TargetMode="External"/><Relationship Id="rId76" Type="http://schemas.openxmlformats.org/officeDocument/2006/relationships/hyperlink" Target="https://github.com/sanjaymorankar-debug/GoKesari/pull/76" TargetMode="External"/><Relationship Id="rId77" Type="http://schemas.openxmlformats.org/officeDocument/2006/relationships/hyperlink" Target="https://github.com/sanjaymorankar-debug/GoKesari/pull/77" TargetMode="External"/><Relationship Id="rId78" Type="http://schemas.openxmlformats.org/officeDocument/2006/relationships/hyperlink" Target="https://github.com/sanjaymorankar-debug/GoKesari/pull/78" TargetMode="External"/><Relationship Id="rId79" Type="http://schemas.openxmlformats.org/officeDocument/2006/relationships/hyperlink" Target="https://github.com/sanjaymorankar-debug/GoKesari/pull/79" TargetMode="External"/><Relationship Id="rId80" Type="http://schemas.openxmlformats.org/officeDocument/2006/relationships/hyperlink" Target="https://github.com/sanjaymorankar-debug/GoKesari/pull/80" TargetMode="External"/><Relationship Id="rId81" Type="http://schemas.openxmlformats.org/officeDocument/2006/relationships/hyperlink" Target="https://github.com/sanjaymorankar-debug/GoKesari/pull/81" TargetMode="External"/><Relationship Id="rId82" Type="http://schemas.openxmlformats.org/officeDocument/2006/relationships/hyperlink" Target="https://github.com/sanjaymorankar-debug/GoKesari/pull/82" TargetMode="External"/><Relationship Id="rId83" Type="http://schemas.openxmlformats.org/officeDocument/2006/relationships/hyperlink" Target="https://github.com/sanjaymorankar-debug/GoKesari/pull/83" TargetMode="External"/><Relationship Id="rId84" Type="http://schemas.openxmlformats.org/officeDocument/2006/relationships/hyperlink" Target="https://github.com/sanjaymorankar-debug/GoKesari/pull/84" TargetMode="External"/><Relationship Id="rId85" Type="http://schemas.openxmlformats.org/officeDocument/2006/relationships/hyperlink" Target="https://github.com/sanjaymorankar-debug/GoKesari/pull/85" TargetMode="External"/><Relationship Id="rId86" Type="http://schemas.openxmlformats.org/officeDocument/2006/relationships/hyperlink" Target="https://github.com/sanjaymorankar-debug/GoKesari/pull/86" TargetMode="External"/><Relationship Id="rId87" Type="http://schemas.openxmlformats.org/officeDocument/2006/relationships/hyperlink" Target="https://github.com/sanjaymorankar-debug/GoKesari/pull/87" TargetMode="External"/><Relationship Id="rId88" Type="http://schemas.openxmlformats.org/officeDocument/2006/relationships/hyperlink" Target="https://github.com/sanjaymorankar-debug/GoKesari/pull/88" TargetMode="External"/><Relationship Id="rId89" Type="http://schemas.openxmlformats.org/officeDocument/2006/relationships/hyperlink" Target="https://github.com/sanjaymorankar-debug/GoKesari/pull/89" TargetMode="External"/><Relationship Id="rId90" Type="http://schemas.openxmlformats.org/officeDocument/2006/relationships/hyperlink" Target="https://github.com/sanjaymorankar-debug/GoKesari/pull/90" TargetMode="External"/><Relationship Id="rId91" Type="http://schemas.openxmlformats.org/officeDocument/2006/relationships/hyperlink" Target="https://github.com/sanjaymorankar-debug/GoKesari/pull/91" TargetMode="External"/><Relationship Id="rId92" Type="http://schemas.openxmlformats.org/officeDocument/2006/relationships/hyperlink" Target="https://github.com/sanjaymorankar-debug/GoKesari/pull/92" TargetMode="External"/><Relationship Id="rId93" Type="http://schemas.openxmlformats.org/officeDocument/2006/relationships/hyperlink" Target="https://github.com/sanjaymorankar-debug/GoKesari/pull/93" TargetMode="External"/><Relationship Id="rId94" Type="http://schemas.openxmlformats.org/officeDocument/2006/relationships/hyperlink" Target="https://github.com/sanjaymorankar-debug/GoKesari/pull/94" TargetMode="External"/><Relationship Id="rId95" Type="http://schemas.openxmlformats.org/officeDocument/2006/relationships/hyperlink" Target="https://github.com/sanjaymorankar-debug/GoKesari/pull/95" TargetMode="External"/><Relationship Id="rId96" Type="http://schemas.openxmlformats.org/officeDocument/2006/relationships/hyperlink" Target="https://github.com/sanjaymorankar-debug/GoKesari/pull/96" TargetMode="External"/><Relationship Id="rId97" Type="http://schemas.openxmlformats.org/officeDocument/2006/relationships/hyperlink" Target="https://github.com/sanjaymorankar-debug/GoKesari/pull/97" TargetMode="External"/><Relationship Id="rId98" Type="http://schemas.openxmlformats.org/officeDocument/2006/relationships/hyperlink" Target="https://github.com/sanjaymorankar-debug/GoKesari/pull/98" TargetMode="External"/><Relationship Id="rId99" Type="http://schemas.openxmlformats.org/officeDocument/2006/relationships/hyperlink" Target="https://github.com/sanjaymorankar-debug/GoKesari/pull/99" TargetMode="External"/><Relationship Id="rId100" Type="http://schemas.openxmlformats.org/officeDocument/2006/relationships/hyperlink" Target="https://github.com/sanjaymorankar-debug/GoKesari/pull/100" TargetMode="External"/><Relationship Id="rId101" Type="http://schemas.openxmlformats.org/officeDocument/2006/relationships/hyperlink" Target="https://github.com/sanjaymorankar-debug/GoKesari/pull/101" TargetMode="External"/><Relationship Id="rId102" Type="http://schemas.openxmlformats.org/officeDocument/2006/relationships/hyperlink" Target="https://github.com/sanjaymorankar-debug/GoKesari/pull/102" TargetMode="External"/><Relationship Id="rId103" Type="http://schemas.openxmlformats.org/officeDocument/2006/relationships/hyperlink" Target="https://github.com/sanjaymorankar-debug/GoKesari/pull/103" TargetMode="External"/><Relationship Id="rId104" Type="http://schemas.openxmlformats.org/officeDocument/2006/relationships/hyperlink" Target="https://github.com/sanjaymorankar-debug/GoKesari/pull/104" TargetMode="External"/><Relationship Id="rId105" Type="http://schemas.openxmlformats.org/officeDocument/2006/relationships/hyperlink" Target="https://github.com/sanjaymorankar-debug/GoKesari/pull/105" TargetMode="External"/><Relationship Id="rId106" Type="http://schemas.openxmlformats.org/officeDocument/2006/relationships/hyperlink" Target="https://github.com/sanjaymorankar-debug/GoKesari/pull/106" TargetMode="External"/><Relationship Id="rId107" Type="http://schemas.openxmlformats.org/officeDocument/2006/relationships/hyperlink" Target="https://github.com/sanjaymorankar-debug/GoKesari/pull/107" TargetMode="External"/><Relationship Id="rId108" Type="http://schemas.openxmlformats.org/officeDocument/2006/relationships/hyperlink" Target="https://github.com/sanjaymorankar-debug/GoKesari/pull/108" TargetMode="External"/><Relationship Id="rId109" Type="http://schemas.openxmlformats.org/officeDocument/2006/relationships/hyperlink" Target="https://github.com/sanjaymorankar-debug/GoKesari/pull/109" TargetMode="External"/><Relationship Id="rId110" Type="http://schemas.openxmlformats.org/officeDocument/2006/relationships/hyperlink" Target="https://github.com/sanjaymorankar-debug/GoKesari/pull/110" TargetMode="External"/><Relationship Id="rId111" Type="http://schemas.openxmlformats.org/officeDocument/2006/relationships/hyperlink" Target="https://github.com/sanjaymorankar-debug/GoKesari/pull/111" TargetMode="External"/><Relationship Id="rId112" Type="http://schemas.openxmlformats.org/officeDocument/2006/relationships/hyperlink" Target="https://github.com/sanjaymorankar-debug/GoKesari/pull/112" TargetMode="External"/><Relationship Id="rId113" Type="http://schemas.openxmlformats.org/officeDocument/2006/relationships/hyperlink" Target="https://github.com/sanjaymorankar-debug/GoKesari/pull/113" TargetMode="External"/><Relationship Id="rId114" Type="http://schemas.openxmlformats.org/officeDocument/2006/relationships/hyperlink" Target="https://github.com/sanjaymorankar-debug/GoKesari/pull/114" TargetMode="External"/><Relationship Id="rId115" Type="http://schemas.openxmlformats.org/officeDocument/2006/relationships/hyperlink" Target="https://github.com/sanjaymorankar-debug/GoKesari/pull/115" TargetMode="External"/><Relationship Id="rId116" Type="http://schemas.openxmlformats.org/officeDocument/2006/relationships/hyperlink" Target="https://github.com/sanjaymorankar-debug/GoKesari/pull/116" TargetMode="External"/><Relationship Id="rId117" Type="http://schemas.openxmlformats.org/officeDocument/2006/relationships/hyperlink" Target="https://github.com/sanjaymorankar-debug/GoKesari/pull/117" TargetMode="External"/><Relationship Id="rId118" Type="http://schemas.openxmlformats.org/officeDocument/2006/relationships/hyperlink" Target="https://github.com/sanjaymorankar-debug/GoKesari/pull/118" TargetMode="External"/><Relationship Id="rId119" Type="http://schemas.openxmlformats.org/officeDocument/2006/relationships/hyperlink" Target="https://github.com/sanjaymorankar-debug/GoKesari/pull/119" TargetMode="External"/><Relationship Id="rId120" Type="http://schemas.openxmlformats.org/officeDocument/2006/relationships/hyperlink" Target="https://github.com/sanjaymorankar-debug/GoKesari/pull/120" TargetMode="External"/><Relationship Id="rId121" Type="http://schemas.openxmlformats.org/officeDocument/2006/relationships/hyperlink" Target="https://github.com/sanjaymorankar-debug/GoKesari/pull/121" TargetMode="External"/><Relationship Id="rId122" Type="http://schemas.openxmlformats.org/officeDocument/2006/relationships/hyperlink" Target="https://github.com/sanjaymorankar-debug/GoKesari/pull/122" TargetMode="External"/><Relationship Id="rId123" Type="http://schemas.openxmlformats.org/officeDocument/2006/relationships/hyperlink" Target="https://github.com/sanjaymorankar-debug/GoKesari/pull/123" TargetMode="External"/><Relationship Id="rId124" Type="http://schemas.openxmlformats.org/officeDocument/2006/relationships/hyperlink" Target="https://github.com/sanjaymorankar-debug/GoKesari/pull/124" TargetMode="External"/><Relationship Id="rId125" Type="http://schemas.openxmlformats.org/officeDocument/2006/relationships/hyperlink" Target="https://github.com/sanjaymorankar-debug/GoKesari/pull/125" TargetMode="External"/><Relationship Id="rId126" Type="http://schemas.openxmlformats.org/officeDocument/2006/relationships/hyperlink" Target="https://github.com/sanjaymorankar-debug/GoKesari/pull/126" TargetMode="External"/><Relationship Id="rId127" Type="http://schemas.openxmlformats.org/officeDocument/2006/relationships/hyperlink" Target="https://github.com/sanjaymorankar-debug/GoKesari/pull/127" TargetMode="External"/><Relationship Id="rId128" Type="http://schemas.openxmlformats.org/officeDocument/2006/relationships/hyperlink" Target="https://github.com/sanjaymorankar-debug/GoKesari/pull/128" TargetMode="External"/><Relationship Id="rId129" Type="http://schemas.openxmlformats.org/officeDocument/2006/relationships/hyperlink" Target="https://github.com/sanjaymorankar-debug/GoKesari/pull/129" TargetMode="External"/><Relationship Id="rId130" Type="http://schemas.openxmlformats.org/officeDocument/2006/relationships/hyperlink" Target="https://github.com/sanjaymorankar-debug/GoKesari/pull/130" TargetMode="External"/><Relationship Id="rId131" Type="http://schemas.openxmlformats.org/officeDocument/2006/relationships/hyperlink" Target="https://github.com/sanjaymorankar-debug/GoKesari/pull/131" TargetMode="External"/><Relationship Id="rId132" Type="http://schemas.openxmlformats.org/officeDocument/2006/relationships/hyperlink" Target="https://github.com/sanjaymorankar-debug/GoKesari/pull/132" TargetMode="External"/><Relationship Id="rId133" Type="http://schemas.openxmlformats.org/officeDocument/2006/relationships/hyperlink" Target="https://github.com/sanjaymorankar-debug/GoKesari/pull/133" TargetMode="External"/><Relationship Id="rId134" Type="http://schemas.openxmlformats.org/officeDocument/2006/relationships/hyperlink" Target="https://github.com/sanjaymorankar-debug/GoKesari/pull/134" TargetMode="External"/><Relationship Id="rId135" Type="http://schemas.openxmlformats.org/officeDocument/2006/relationships/hyperlink" Target="https://github.com/sanjaymorankar-debug/GoKesari/pull/135" TargetMode="External"/><Relationship Id="rId136" Type="http://schemas.openxmlformats.org/officeDocument/2006/relationships/hyperlink" Target="https://github.com/sanjaymorankar-debug/GoKesari/pull/136" TargetMode="External"/><Relationship Id="rId137" Type="http://schemas.openxmlformats.org/officeDocument/2006/relationships/hyperlink" Target="https://github.com/sanjaymorankar-debug/GoKesari/pull/137" TargetMode="External"/><Relationship Id="rId138" Type="http://schemas.openxmlformats.org/officeDocument/2006/relationships/hyperlink" Target="https://github.com/sanjaymorankar-debug/GoKesari/pull/138" TargetMode="External"/><Relationship Id="rId139" Type="http://schemas.openxmlformats.org/officeDocument/2006/relationships/hyperlink" Target="https://github.com/sanjaymorankar-debug/GoKesari/pull/139" TargetMode="External"/><Relationship Id="rId140" Type="http://schemas.openxmlformats.org/officeDocument/2006/relationships/hyperlink" Target="https://github.com/sanjaymorankar-debug/GoKesari/pull/140" TargetMode="External"/><Relationship Id="rId141" Type="http://schemas.openxmlformats.org/officeDocument/2006/relationships/hyperlink" Target="https://github.com/sanjaymorankar-debug/GoKesari/pull/141" TargetMode="External"/><Relationship Id="rId142" Type="http://schemas.openxmlformats.org/officeDocument/2006/relationships/hyperlink" Target="https://github.com/sanjaymorankar-debug/GoKesari/pull/142" TargetMode="External"/><Relationship Id="rId143" Type="http://schemas.openxmlformats.org/officeDocument/2006/relationships/hyperlink" Target="https://github.com/sanjaymorankar-debug/GoKesari/pull/143" TargetMode="External"/><Relationship Id="rId144" Type="http://schemas.openxmlformats.org/officeDocument/2006/relationships/hyperlink" Target="https://github.com/sanjaymorankar-debug/GoKesari/pull/144" TargetMode="External"/><Relationship Id="rId145" Type="http://schemas.openxmlformats.org/officeDocument/2006/relationships/hyperlink" Target="https://github.com/sanjaymorankar-debug/GoKesari/pull/145" TargetMode="External"/><Relationship Id="rId146" Type="http://schemas.openxmlformats.org/officeDocument/2006/relationships/hyperlink" Target="https://github.com/sanjaymorankar-debug/GoKesari/pull/146" TargetMode="External"/><Relationship Id="rId147" Type="http://schemas.openxmlformats.org/officeDocument/2006/relationships/hyperlink" Target="https://github.com/sanjaymorankar-debug/GoKesari/pull/147" TargetMode="External"/><Relationship Id="rId148" Type="http://schemas.openxmlformats.org/officeDocument/2006/relationships/hyperlink" Target="https://github.com/sanjaymorankar-debug/GoKesari/pull/148" TargetMode="External"/><Relationship Id="rId149" Type="http://schemas.openxmlformats.org/officeDocument/2006/relationships/hyperlink" Target="https://github.com/sanjaymorankar-debug/GoKesari/pull/149" TargetMode="External"/><Relationship Id="rId150" Type="http://schemas.openxmlformats.org/officeDocument/2006/relationships/hyperlink" Target="https://github.com/sanjaymorankar-debug/GoKesari/pull/150" TargetMode="External"/><Relationship Id="rId151" Type="http://schemas.openxmlformats.org/officeDocument/2006/relationships/hyperlink" Target="https://github.com/sanjaymorankar-debug/GoKesari/pull/151" TargetMode="External"/><Relationship Id="rId152" Type="http://schemas.openxmlformats.org/officeDocument/2006/relationships/hyperlink" Target="https://github.com/sanjaymorankar-debug/GoKesari/pull/152" TargetMode="External"/><Relationship Id="rId153" Type="http://schemas.openxmlformats.org/officeDocument/2006/relationships/hyperlink" Target="https://github.com/sanjaymorankar-debug/GoKesari/pull/153" TargetMode="External"/><Relationship Id="rId154" Type="http://schemas.openxmlformats.org/officeDocument/2006/relationships/hyperlink" Target="https://github.com/sanjaymorankar-debug/GoKesari/pull/154" TargetMode="External"/><Relationship Id="rId155" Type="http://schemas.openxmlformats.org/officeDocument/2006/relationships/hyperlink" Target="https://github.com/sanjaymorankar-debug/GoKesari/pull/155" TargetMode="External"/><Relationship Id="rId156" Type="http://schemas.openxmlformats.org/officeDocument/2006/relationships/hyperlink" Target="https://github.com/sanjaymorankar-debug/GoKesari/pull/156" TargetMode="External"/><Relationship Id="rId157" Type="http://schemas.openxmlformats.org/officeDocument/2006/relationships/hyperlink" Target="https://github.com/sanjaymorankar-debug/GoKesari/pull/157" TargetMode="External"/><Relationship Id="rId158" Type="http://schemas.openxmlformats.org/officeDocument/2006/relationships/hyperlink" Target="https://github.com/sanjaymorankar-debug/GoKesari/pull/158" TargetMode="External"/><Relationship Id="rId159" Type="http://schemas.openxmlformats.org/officeDocument/2006/relationships/hyperlink" Target="https://github.com/sanjaymorankar-debug/GoKesari/pull/159" TargetMode="External"/><Relationship Id="rId160" Type="http://schemas.openxmlformats.org/officeDocument/2006/relationships/hyperlink" Target="https://github.com/sanjaymorankar-debug/GoKesari/pull/160" TargetMode="External"/><Relationship Id="rId161" Type="http://schemas.openxmlformats.org/officeDocument/2006/relationships/hyperlink" Target="https://github.com/sanjaymorankar-debug/GoKesari/pull/161" TargetMode="External"/><Relationship Id="rId162" Type="http://schemas.openxmlformats.org/officeDocument/2006/relationships/hyperlink" Target="https://github.com/sanjaymorankar-debug/GoKesari/pull/162" TargetMode="External"/><Relationship Id="rId163" Type="http://schemas.openxmlformats.org/officeDocument/2006/relationships/hyperlink" Target="https://github.com/sanjaymorankar-debug/GoKesari/pull/163" TargetMode="External"/><Relationship Id="rId164" Type="http://schemas.openxmlformats.org/officeDocument/2006/relationships/hyperlink" Target="https://github.com/sanjaymorankar-debug/GoKesari/pull/164" TargetMode="External"/><Relationship Id="rId165" Type="http://schemas.openxmlformats.org/officeDocument/2006/relationships/hyperlink" Target="https://github.com/sanjaymorankar-debug/GoKesari/pull/165" TargetMode="External"/><Relationship Id="rId166" Type="http://schemas.openxmlformats.org/officeDocument/2006/relationships/hyperlink" Target="https://github.com/sanjaymorankar-debug/GoKesari/pull/166" TargetMode="External"/><Relationship Id="rId167" Type="http://schemas.openxmlformats.org/officeDocument/2006/relationships/hyperlink" Target="https://github.com/sanjaymorankar-debug/GoKesari/pull/167" TargetMode="External"/><Relationship Id="rId168" Type="http://schemas.openxmlformats.org/officeDocument/2006/relationships/hyperlink" Target="https://github.com/sanjaymorankar-debug/GoKesari/pull/168" TargetMode="External"/><Relationship Id="rId169" Type="http://schemas.openxmlformats.org/officeDocument/2006/relationships/hyperlink" Target="https://github.com/sanjaymorankar-debug/GoKesari/pull/169" TargetMode="External"/><Relationship Id="rId170" Type="http://schemas.openxmlformats.org/officeDocument/2006/relationships/hyperlink" Target="https://github.com/sanjaymorankar-debug/GoKesari/pull/170" TargetMode="External"/><Relationship Id="rId171" Type="http://schemas.openxmlformats.org/officeDocument/2006/relationships/hyperlink" Target="https://github.com/sanjaymorankar-debug/GoKesari/pull/171" TargetMode="External"/><Relationship Id="rId172" Type="http://schemas.openxmlformats.org/officeDocument/2006/relationships/hyperlink" Target="https://github.com/sanjaymorankar-debug/GoKesari/pull/172" TargetMode="External"/><Relationship Id="rId173" Type="http://schemas.openxmlformats.org/officeDocument/2006/relationships/hyperlink" Target="https://github.com/sanjaymorankar-debug/GoKesari/pull/173" TargetMode="External"/><Relationship Id="rId174" Type="http://schemas.openxmlformats.org/officeDocument/2006/relationships/hyperlink" Target="https://github.com/sanjaymorankar-debug/GoKesari/pull/174" TargetMode="External"/><Relationship Id="rId175" Type="http://schemas.openxmlformats.org/officeDocument/2006/relationships/hyperlink" Target="https://github.com/sanjaymorankar-debug/GoKesari/pull/175" TargetMode="External"/><Relationship Id="rId176" Type="http://schemas.openxmlformats.org/officeDocument/2006/relationships/hyperlink" Target="https://github.com/sanjaymorankar-debug/GoKesari/pull/176" TargetMode="External"/><Relationship Id="rId177" Type="http://schemas.openxmlformats.org/officeDocument/2006/relationships/hyperlink" Target="https://github.com/sanjaymorankar-debug/GoKesari/pull/177" TargetMode="External"/><Relationship Id="rId178" Type="http://schemas.openxmlformats.org/officeDocument/2006/relationships/hyperlink" Target="https://github.com/sanjaymorankar-debug/GoKesari/pull/178" TargetMode="External"/><Relationship Id="rId179" Type="http://schemas.openxmlformats.org/officeDocument/2006/relationships/hyperlink" Target="https://github.com/sanjaymorankar-debug/GoKesari/pull/179" TargetMode="External"/><Relationship Id="rId180" Type="http://schemas.openxmlformats.org/officeDocument/2006/relationships/hyperlink" Target="https://github.com/sanjaymorankar-debug/GoKesari/pull/180" TargetMode="External"/><Relationship Id="rId181" Type="http://schemas.openxmlformats.org/officeDocument/2006/relationships/hyperlink" Target="https://github.com/sanjaymorankar-debug/GoKesari/pull/181" TargetMode="External"/><Relationship Id="rId182" Type="http://schemas.openxmlformats.org/officeDocument/2006/relationships/hyperlink" Target="https://github.com/sanjaymorankar-debug/GoKesari/pull/182" TargetMode="External"/><Relationship Id="rId183" Type="http://schemas.openxmlformats.org/officeDocument/2006/relationships/hyperlink" Target="https://github.com/sanjaymorankar-debug/GoKesari/pull/183" TargetMode="External"/><Relationship Id="rId184" Type="http://schemas.openxmlformats.org/officeDocument/2006/relationships/hyperlink" Target="https://github.com/sanjaymorankar-debug/GoKesari/pull/184" TargetMode="External"/><Relationship Id="rId185" Type="http://schemas.openxmlformats.org/officeDocument/2006/relationships/hyperlink" Target="https://github.com/sanjaymorankar-debug/GoKesari/pull/185" TargetMode="External"/><Relationship Id="rId186" Type="http://schemas.openxmlformats.org/officeDocument/2006/relationships/hyperlink" Target="https://github.com/sanjaymorankar-debug/GoKesari/pull/186" TargetMode="External"/><Relationship Id="rId187" Type="http://schemas.openxmlformats.org/officeDocument/2006/relationships/hyperlink" Target="https://github.com/sanjaymorankar-debug/GoKesari/pull/187" TargetMode="External"/><Relationship Id="rId188" Type="http://schemas.openxmlformats.org/officeDocument/2006/relationships/hyperlink" Target="https://github.com/sanjaymorankar-debug/GoKesari/pull/188" TargetMode="External"/><Relationship Id="rId189" Type="http://schemas.openxmlformats.org/officeDocument/2006/relationships/hyperlink" Target="https://github.com/sanjaymorankar-debug/GoKesari/pull/189" TargetMode="External"/><Relationship Id="rId190" Type="http://schemas.openxmlformats.org/officeDocument/2006/relationships/hyperlink" Target="https://github.com/sanjaymorankar-debug/GoKesari/pull/190" TargetMode="External"/><Relationship Id="rId191" Type="http://schemas.openxmlformats.org/officeDocument/2006/relationships/hyperlink" Target="https://github.com/sanjaymorankar-debug/GoKesari/pull/191" TargetMode="External"/><Relationship Id="rId192" Type="http://schemas.openxmlformats.org/officeDocument/2006/relationships/hyperlink" Target="https://github.com/sanjaymorankar-debug/GoKesari/pull/192" TargetMode="External"/><Relationship Id="rId193" Type="http://schemas.openxmlformats.org/officeDocument/2006/relationships/hyperlink" Target="https://github.com/sanjaymorankar-debug/GoKesari/pull/193" TargetMode="External"/><Relationship Id="rId194" Type="http://schemas.openxmlformats.org/officeDocument/2006/relationships/hyperlink" Target="https://github.com/sanjaymorankar-debug/GoKesari/pull/194" TargetMode="External"/><Relationship Id="rId195" Type="http://schemas.openxmlformats.org/officeDocument/2006/relationships/hyperlink" Target="https://github.com/sanjaymorankar-debug/GoKesari/pull/195" TargetMode="External"/><Relationship Id="rId196" Type="http://schemas.openxmlformats.org/officeDocument/2006/relationships/hyperlink" Target="https://github.com/sanjaymorankar-debug/GoKesari/pull/196" TargetMode="External"/><Relationship Id="rId197" Type="http://schemas.openxmlformats.org/officeDocument/2006/relationships/hyperlink" Target="https://github.com/sanjaymorankar-debug/GoKesari/pull/197" TargetMode="External"/><Relationship Id="rId198" Type="http://schemas.openxmlformats.org/officeDocument/2006/relationships/hyperlink" Target="https://github.com/sanjaymorankar-debug/GoKesari/pull/198" TargetMode="External"/><Relationship Id="rId199" Type="http://schemas.openxmlformats.org/officeDocument/2006/relationships/hyperlink" Target="https://github.com/sanjaymorankar-debug/GoKesari/pull/199" TargetMode="External"/><Relationship Id="rId200" Type="http://schemas.openxmlformats.org/officeDocument/2006/relationships/hyperlink" Target="https://github.com/sanjaymorankar-debug/GoKesari/pull/200" TargetMode="External"/><Relationship Id="rId201" Type="http://schemas.openxmlformats.org/officeDocument/2006/relationships/hyperlink" Target="https://github.com/sanjaymorankar-debug/GoKesari/pull/201" TargetMode="External"/><Relationship Id="rId202" Type="http://schemas.openxmlformats.org/officeDocument/2006/relationships/hyperlink" Target="https://github.com/sanjaymorankar-debug/GoKesari/pull/202" TargetMode="External"/><Relationship Id="rId203" Type="http://schemas.openxmlformats.org/officeDocument/2006/relationships/hyperlink" Target="https://github.com/sanjaymorankar-debug/GoKesari/pull/203" TargetMode="External"/><Relationship Id="rId204" Type="http://schemas.openxmlformats.org/officeDocument/2006/relationships/hyperlink" Target="https://github.com/sanjaymorankar-debug/GoKesari/pull/204" TargetMode="External"/><Relationship Id="rId205" Type="http://schemas.openxmlformats.org/officeDocument/2006/relationships/hyperlink" Target="https://github.com/sanjaymorankar-debug/GoKesari/pull/205" TargetMode="External"/><Relationship Id="rId206" Type="http://schemas.openxmlformats.org/officeDocument/2006/relationships/hyperlink" Target="https://github.com/sanjaymorankar-debug/GoKesari/pull/206" TargetMode="External"/><Relationship Id="rId207" Type="http://schemas.openxmlformats.org/officeDocument/2006/relationships/hyperlink" Target="https://github.com/sanjaymorankar-debug/GoKesari/pull/207" TargetMode="External"/><Relationship Id="rId208" Type="http://schemas.openxmlformats.org/officeDocument/2006/relationships/hyperlink" Target="https://github.com/sanjaymorankar-debug/GoKesari/pull/208" TargetMode="External"/><Relationship Id="rId209" Type="http://schemas.openxmlformats.org/officeDocument/2006/relationships/hyperlink" Target="https://github.com/sanjaymorankar-debug/GoKesari/pull/209" TargetMode="External"/><Relationship Id="rId210" Type="http://schemas.openxmlformats.org/officeDocument/2006/relationships/hyperlink" Target="https://github.com/sanjaymorankar-debug/GoKesari/pull/210" TargetMode="External"/><Relationship Id="rId211" Type="http://schemas.openxmlformats.org/officeDocument/2006/relationships/hyperlink" Target="https://github.com/sanjaymorankar-debug/GoKesari/pull/211" TargetMode="External"/><Relationship Id="rId212" Type="http://schemas.openxmlformats.org/officeDocument/2006/relationships/hyperlink" Target="https://github.com/sanjaymorankar-debug/GoKesari/pull/212" TargetMode="External"/><Relationship Id="rId213" Type="http://schemas.openxmlformats.org/officeDocument/2006/relationships/hyperlink" Target="https://github.com/sanjaymorankar-debug/GoKesari/pull/213" TargetMode="External"/><Relationship Id="rId214" Type="http://schemas.openxmlformats.org/officeDocument/2006/relationships/hyperlink" Target="https://github.com/sanjaymorankar-debug/GoKesari/pull/214" TargetMode="External"/><Relationship Id="rId215" Type="http://schemas.openxmlformats.org/officeDocument/2006/relationships/hyperlink" Target="https://github.com/sanjaymorankar-debug/GoKesari/pull/215" TargetMode="External"/><Relationship Id="rId216" Type="http://schemas.openxmlformats.org/officeDocument/2006/relationships/hyperlink" Target="https://github.com/sanjaymorankar-debug/GoKesari/pull/216" TargetMode="External"/><Relationship Id="rId217" Type="http://schemas.openxmlformats.org/officeDocument/2006/relationships/hyperlink" Target="https://github.com/sanjaymorankar-debug/GoKesari/pull/217" TargetMode="External"/><Relationship Id="rId218" Type="http://schemas.openxmlformats.org/officeDocument/2006/relationships/hyperlink" Target="https://github.com/sanjaymorankar-debug/GoKesari/pull/218" TargetMode="External"/><Relationship Id="rId219" Type="http://schemas.openxmlformats.org/officeDocument/2006/relationships/hyperlink" Target="https://github.com/sanjaymorankar-debug/GoKesari/pull/219" TargetMode="External"/><Relationship Id="rId220" Type="http://schemas.openxmlformats.org/officeDocument/2006/relationships/hyperlink" Target="https://github.com/sanjaymorankar-debug/GoKesari/pull/220" TargetMode="External"/><Relationship Id="rId221" Type="http://schemas.openxmlformats.org/officeDocument/2006/relationships/hyperlink" Target="https://github.com/sanjaymorankar-debug/GoKesari/pull/221" TargetMode="External"/><Relationship Id="rId222" Type="http://schemas.openxmlformats.org/officeDocument/2006/relationships/hyperlink" Target="https://github.com/sanjaymorankar-debug/GoKesari/pull/222" TargetMode="External"/><Relationship Id="rId223" Type="http://schemas.openxmlformats.org/officeDocument/2006/relationships/hyperlink" Target="https://github.com/sanjaymorankar-debug/GoKesari/pull/223" TargetMode="External"/><Relationship Id="rId224" Type="http://schemas.openxmlformats.org/officeDocument/2006/relationships/hyperlink" Target="https://github.com/sanjaymorankar-debug/GoKesari/pull/224" TargetMode="External"/><Relationship Id="rId225" Type="http://schemas.openxmlformats.org/officeDocument/2006/relationships/hyperlink" Target="https://github.com/sanjaymorankar-debug/GoKesari/pull/248" TargetMode="External"/><Relationship Id="rId226" Type="http://schemas.openxmlformats.org/officeDocument/2006/relationships/hyperlink" Target="https://github.com/sanjaymorankar-debug/GoKesari/pull/250" TargetMode="External"/><Relationship Id="rId227" Type="http://schemas.openxmlformats.org/officeDocument/2006/relationships/hyperlink" Target="https://github.com/sanjaymorankar-debug/GoKesari/pull/251" TargetMode="External"/><Relationship Id="rId228" Type="http://schemas.openxmlformats.org/officeDocument/2006/relationships/hyperlink" Target="https://github.com/sanjaymorankar-debug/GoKesari/pull/252" TargetMode="External"/><Relationship Id="rId229" Type="http://schemas.openxmlformats.org/officeDocument/2006/relationships/hyperlink" Target="https://github.com/sanjaymorankar-debug/GoKesari/pull/253" TargetMode="External"/><Relationship Id="rId230" Type="http://schemas.openxmlformats.org/officeDocument/2006/relationships/hyperlink" Target="https://github.com/sanjaymorankar-debug/GoKesari/pull/254" TargetMode="External"/><Relationship Id="rId231" Type="http://schemas.openxmlformats.org/officeDocument/2006/relationships/hyperlink" Target="https://github.com/sanjaymorankar-debug/GoKesari/pull/256" TargetMode="External"/><Relationship Id="rId232" Type="http://schemas.openxmlformats.org/officeDocument/2006/relationships/hyperlink" Target="https://github.com/sanjaymorankar-debug/GoKesari/pull/257" TargetMode="External"/><Relationship Id="rId233" Type="http://schemas.openxmlformats.org/officeDocument/2006/relationships/hyperlink" Target="https://github.com/sanjaymorankar-debug/GoKesari/pull/258" TargetMode="External"/><Relationship Id="rId234" Type="http://schemas.openxmlformats.org/officeDocument/2006/relationships/hyperlink" Target="https://github.com/sanjaymorankar-debug/GoKesari/pull/259" TargetMode="External"/><Relationship Id="rId235" Type="http://schemas.openxmlformats.org/officeDocument/2006/relationships/hyperlink" Target="https://github.com/sanjaymorankar-debug/GoKesari/pull/260" TargetMode="External"/><Relationship Id="rId236" Type="http://schemas.openxmlformats.org/officeDocument/2006/relationships/hyperlink" Target="https://github.com/sanjaymorankar-debug/GoKesari/pull/261" TargetMode="External"/><Relationship Id="rId237" Type="http://schemas.openxmlformats.org/officeDocument/2006/relationships/hyperlink" Target="https://github.com/sanjaymorankar-debug/GoKesari/pull/262" TargetMode="External"/><Relationship Id="rId238" Type="http://schemas.openxmlformats.org/officeDocument/2006/relationships/hyperlink" Target="https://github.com/sanjaymorankar-debug/GoKesari/pull/263" TargetMode="External"/><Relationship Id="rId239" Type="http://schemas.openxmlformats.org/officeDocument/2006/relationships/hyperlink" Target="https://github.com/sanjaymorankar-debug/GoKesari/pull/264" TargetMode="External"/><Relationship Id="rId240" Type="http://schemas.openxmlformats.org/officeDocument/2006/relationships/hyperlink" Target="https://github.com/sanjaymorankar-debug/GoKesari/pull/265" TargetMode="External"/><Relationship Id="rId241" Type="http://schemas.openxmlformats.org/officeDocument/2006/relationships/hyperlink" Target="https://github.com/sanjaymorankar-debug/GoKesari/pull/266" TargetMode="External"/><Relationship Id="rId242" Type="http://schemas.openxmlformats.org/officeDocument/2006/relationships/hyperlink" Target="https://github.com/sanjaymorankar-debug/GoKesari/pull/267" TargetMode="External"/><Relationship Id="rId243" Type="http://schemas.openxmlformats.org/officeDocument/2006/relationships/hyperlink" Target="https://github.com/sanjaymorankar-debug/GoKesari/pull/268" TargetMode="External"/><Relationship Id="rId244" Type="http://schemas.openxmlformats.org/officeDocument/2006/relationships/hyperlink" Target="https://github.com/sanjaymorankar-debug/GoKesari/pull/269" TargetMode="External"/><Relationship Id="rId245" Type="http://schemas.openxmlformats.org/officeDocument/2006/relationships/hyperlink" Target="https://github.com/sanjaymorankar-debug/GoKesari/pull/270" TargetMode="External"/><Relationship Id="rId246" Type="http://schemas.openxmlformats.org/officeDocument/2006/relationships/hyperlink" Target="https://github.com/sanjaymorankar-debug/GoKesari/pull/271" TargetMode="External"/><Relationship Id="rId247" Type="http://schemas.openxmlformats.org/officeDocument/2006/relationships/hyperlink" Target="https://github.com/sanjaymorankar-debug/GoKesari/pull/272" TargetMode="External"/><Relationship Id="rId248" Type="http://schemas.openxmlformats.org/officeDocument/2006/relationships/hyperlink" Target="https://github.com/sanjaymorankar-debug/GoKesari/pull/273" TargetMode="External"/><Relationship Id="rId249" Type="http://schemas.openxmlformats.org/officeDocument/2006/relationships/hyperlink" Target="https://github.com/sanjaymorankar-debug/GoKesari/pull/274" TargetMode="External"/><Relationship Id="rId250" Type="http://schemas.openxmlformats.org/officeDocument/2006/relationships/hyperlink" Target="https://github.com/sanjaymorankar-debug/GoKesari/pull/275" TargetMode="External"/><Relationship Id="rId251" Type="http://schemas.openxmlformats.org/officeDocument/2006/relationships/hyperlink" Target="https://github.com/sanjaymorankar-debug/GoKesari/pull/276" TargetMode="External"/><Relationship Id="rId252" Type="http://schemas.openxmlformats.org/officeDocument/2006/relationships/hyperlink" Target="https://github.com/sanjaymorankar-debug/GoKesari/pull/277" TargetMode="External"/><Relationship Id="rId253" Type="http://schemas.openxmlformats.org/officeDocument/2006/relationships/hyperlink" Target="https://github.com/sanjaymorankar-debug/GoKesari/pull/278" TargetMode="External"/><Relationship Id="rId254" Type="http://schemas.openxmlformats.org/officeDocument/2006/relationships/hyperlink" Target="https://github.com/sanjaymorankar-debug/GoKesari/pull/279" TargetMode="External"/><Relationship Id="rId255" Type="http://schemas.openxmlformats.org/officeDocument/2006/relationships/hyperlink" Target="https://github.com/sanjaymorankar-debug/GoKesari/pull/280" TargetMode="External"/><Relationship Id="rId256" Type="http://schemas.openxmlformats.org/officeDocument/2006/relationships/hyperlink" Target="https://github.com/sanjaymorankar-debug/GoKesari/pull/281" TargetMode="External"/><Relationship Id="rId257" Type="http://schemas.openxmlformats.org/officeDocument/2006/relationships/hyperlink" Target="https://github.com/sanjaymorankar-debug/GoKesari/pull/282" TargetMode="External"/><Relationship Id="rId258" Type="http://schemas.openxmlformats.org/officeDocument/2006/relationships/hyperlink" Target="https://github.com/sanjaymorankar-debug/GoKesari/pull/283" TargetMode="External"/><Relationship Id="rId259" Type="http://schemas.openxmlformats.org/officeDocument/2006/relationships/hyperlink" Target="https://github.com/sanjaymorankar-debug/GoKesari/pull/284" TargetMode="External"/><Relationship Id="rId260" Type="http://schemas.openxmlformats.org/officeDocument/2006/relationships/hyperlink" Target="https://github.com/sanjaymorankar-debug/GoKesari/pull/285" TargetMode="External"/><Relationship Id="rId261" Type="http://schemas.openxmlformats.org/officeDocument/2006/relationships/hyperlink" Target="https://github.com/sanjaymorankar-debug/GoKesari/pull/286" TargetMode="External"/><Relationship Id="rId262" Type="http://schemas.openxmlformats.org/officeDocument/2006/relationships/hyperlink" Target="https://github.com/sanjaymorankar-debug/GoKesari/pull/287" TargetMode="External"/><Relationship Id="rId263" Type="http://schemas.openxmlformats.org/officeDocument/2006/relationships/hyperlink" Target="https://github.com/sanjaymorankar-debug/GoKesari/pull/288" TargetMode="External"/><Relationship Id="rId264" Type="http://schemas.openxmlformats.org/officeDocument/2006/relationships/hyperlink" Target="https://github.com/sanjaymorankar-debug/GoKesari/pull/289" TargetMode="External"/><Relationship Id="rId265" Type="http://schemas.openxmlformats.org/officeDocument/2006/relationships/hyperlink" Target="https://github.com/sanjaymorankar-debug/GoKesari/pull/306" TargetMode="External"/><Relationship Id="rId266" Type="http://schemas.openxmlformats.org/officeDocument/2006/relationships/hyperlink" Target="https://github.com/sanjaymorankar-debug/GoKesari/pull/308"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9"/>
  <sheetFormatPr defaultRowHeight="15" outlineLevelRow="0" outlineLevelCol="0" x14ac:dyDescent="55"/>
  <cols>
    <col min="1" max="1" width="46" customWidth="1"/>
    <col min="2" max="5" width="14" customWidth="1"/>
    <col min="6" max="6" width="12" customWidth="1"/>
    <col min="7" max="7" width="50" customWidth="1"/>
  </cols>
  <sheetData>
    <row r="1" ht="22" customHeight="1" spans="1:7" x14ac:dyDescent="0.25">
      <c r="A1" s="1" t="s">
        <v>0</v>
      </c>
      <c r="B1"/>
      <c r="C1"/>
      <c r="D1"/>
      <c r="E1"/>
      <c r="F1"/>
      <c r="G1"/>
    </row>
    <row r="2" ht="26" customHeight="1" spans="1:7" x14ac:dyDescent="0.25">
      <c r="A2" s="2" t="s">
        <v>1</v>
      </c>
      <c r="B2"/>
      <c r="C2"/>
      <c r="D2"/>
      <c r="E2"/>
      <c r="F2"/>
      <c r="G2"/>
    </row>
    <row r="3" ht="26" customHeight="1" spans="1:7" x14ac:dyDescent="0.25">
      <c r="A3" s="2" t="s">
        <v>2</v>
      </c>
      <c r="B3"/>
      <c r="C3"/>
      <c r="D3"/>
      <c r="E3"/>
      <c r="F3"/>
      <c r="G3"/>
    </row>
    <row r="4" ht="26" customHeight="1" spans="1:7" x14ac:dyDescent="0.25">
      <c r="A4" s="2" t="s">
        <v>3</v>
      </c>
      <c r="B4"/>
      <c r="C4"/>
      <c r="D4"/>
      <c r="E4"/>
      <c r="F4"/>
      <c r="G4"/>
    </row>
    <row r="5" ht="26" customHeight="1" spans="1:7" x14ac:dyDescent="0.25">
      <c r="A5" s="2" t="s">
        <v>4</v>
      </c>
      <c r="B5"/>
      <c r="C5"/>
      <c r="D5"/>
      <c r="E5"/>
      <c r="F5"/>
      <c r="G5"/>
    </row>
    <row r="7" spans="1:1" x14ac:dyDescent="0.25">
      <c r="A7" s="3" t="s">
        <v>5</v>
      </c>
    </row>
    <row r="8" spans="1:5" x14ac:dyDescent="0.25">
      <c r="A8" s="4" t="s">
        <v>6</v>
      </c>
      <c r="B8" s="4" t="s">
        <v>7</v>
      </c>
      <c r="C8" s="4" t="s">
        <v>8</v>
      </c>
      <c r="D8" s="4" t="s">
        <v>9</v>
      </c>
      <c r="E8" s="4" t="s">
        <v>10</v>
      </c>
    </row>
    <row r="9" spans="1:5" x14ac:dyDescent="0.25">
      <c r="A9" s="5" t="s">
        <v>11</v>
      </c>
      <c r="B9" s="6">
        <f>COUNTIF('Feature Register'!$I$2:$I$336,A9)</f>
        <v>319</v>
      </c>
      <c r="C9" s="7">
        <f>IF($B$15=0,0,B9/$B$15)</f>
        <v>0.9522388059701492</v>
      </c>
      <c r="D9" s="6">
        <f>COUNTIF('Feature Register'!$P$2:$P$336,A9)</f>
        <v>259</v>
      </c>
      <c r="E9" s="6">
        <f>B9-D9</f>
        <v>60</v>
      </c>
    </row>
    <row r="10" spans="1:5" x14ac:dyDescent="0.25">
      <c r="A10" s="5" t="s">
        <v>12</v>
      </c>
      <c r="B10" s="6">
        <f>COUNTIF('Feature Register'!$I$2:$I$336,A10)</f>
        <v>3</v>
      </c>
      <c r="C10" s="7">
        <f>IF($B$15=0,0,B10/$B$15)</f>
        <v>0.008955223880597015</v>
      </c>
      <c r="D10" s="6">
        <f>COUNTIF('Feature Register'!$P$2:$P$336,A10)</f>
        <v>4</v>
      </c>
      <c r="E10" s="6">
        <f>B10-D10</f>
        <v>-1</v>
      </c>
    </row>
    <row r="11" spans="1:5" x14ac:dyDescent="0.25">
      <c r="A11" s="5" t="s">
        <v>13</v>
      </c>
      <c r="B11" s="6">
        <f>COUNTIF('Feature Register'!$I$2:$I$336,A11)</f>
        <v>7</v>
      </c>
      <c r="C11" s="7">
        <f>IF($B$15=0,0,B11/$B$15)</f>
        <v>0.020895522388059702</v>
      </c>
      <c r="D11" s="6">
        <f>COUNTIF('Feature Register'!$P$2:$P$336,A11)</f>
        <v>9</v>
      </c>
      <c r="E11" s="6">
        <f>B11-D11</f>
        <v>-2</v>
      </c>
    </row>
    <row r="12" spans="1:5" x14ac:dyDescent="0.25">
      <c r="A12" s="5" t="s">
        <v>14</v>
      </c>
      <c r="B12" s="6">
        <f>COUNTIF('Feature Register'!$I$2:$I$336,A12)</f>
        <v>5</v>
      </c>
      <c r="C12" s="7">
        <f>IF($B$15=0,0,B12/$B$15)</f>
        <v>0.014925373134328358</v>
      </c>
      <c r="D12" s="6">
        <f>COUNTIF('Feature Register'!$P$2:$P$336,A12)</f>
        <v>4</v>
      </c>
      <c r="E12" s="6">
        <f>B12-D12</f>
        <v>1</v>
      </c>
    </row>
    <row r="13" spans="1:5" x14ac:dyDescent="0.25">
      <c r="A13" s="5" t="s">
        <v>15</v>
      </c>
      <c r="B13" s="6">
        <f>COUNTIF('Feature Register'!$I$2:$I$336,A13)</f>
        <v>1</v>
      </c>
      <c r="C13" s="7">
        <f>IF($B$15=0,0,B13/$B$15)</f>
        <v>0.0029850746268656717</v>
      </c>
      <c r="D13" s="6">
        <f>COUNTIF('Feature Register'!$P$2:$P$336,A13)</f>
        <v>1</v>
      </c>
      <c r="E13" s="6">
        <f>B13-D13</f>
        <v>0</v>
      </c>
    </row>
    <row r="14" spans="1:4" x14ac:dyDescent="0.25">
      <c r="A14" s="5" t="s">
        <v>16</v>
      </c>
      <c r="D14" s="6">
        <f>COUNTIF('Feature Register'!$P$2:$P$336,"NEW (not in 25 Oct)")</f>
        <v>58</v>
      </c>
    </row>
    <row r="15" spans="1:4" x14ac:dyDescent="0.25">
      <c r="A15" s="5" t="s">
        <v>17</v>
      </c>
      <c r="B15" s="8">
        <f>SUM(B9:B13)</f>
        <v>335</v>
      </c>
      <c r="C15" s="7">
        <f>SUM(C9:C13)</f>
        <v>1</v>
      </c>
      <c r="D15" s="8">
        <f>SUM(D9:D14)</f>
        <v>335</v>
      </c>
    </row>
    <row r="17" spans="1:1" x14ac:dyDescent="0.25">
      <c r="A17" s="3" t="s">
        <v>18</v>
      </c>
    </row>
    <row r="18" spans="1:7" x14ac:dyDescent="0.25">
      <c r="A18" s="4" t="s">
        <v>19</v>
      </c>
      <c r="B18" s="4" t="s">
        <v>11</v>
      </c>
      <c r="C18" s="4" t="s">
        <v>12</v>
      </c>
      <c r="D18" s="4" t="s">
        <v>13</v>
      </c>
      <c r="E18" s="4" t="s">
        <v>14</v>
      </c>
      <c r="F18" s="4" t="s">
        <v>20</v>
      </c>
      <c r="G18" s="4" t="s">
        <v>21</v>
      </c>
    </row>
    <row r="19" spans="1:7" x14ac:dyDescent="0.25">
      <c r="A19" s="5" t="s">
        <v>22</v>
      </c>
      <c r="B19" s="6">
        <f>COUNTIFS('Feature Register'!$B$2:$B$336,$A19,'Feature Register'!$I$2:$I$336,B$18)</f>
        <v>73</v>
      </c>
      <c r="C19" s="6">
        <f>COUNTIFS('Feature Register'!$B$2:$B$336,$A19,'Feature Register'!$I$2:$I$336,C$18)</f>
        <v>0</v>
      </c>
      <c r="D19" s="6">
        <f>COUNTIFS('Feature Register'!$B$2:$B$336,$A19,'Feature Register'!$I$2:$I$336,D$18)</f>
        <v>0</v>
      </c>
      <c r="E19" s="6">
        <f>COUNTIFS('Feature Register'!$B$2:$B$336,$A19,'Feature Register'!$I$2:$I$336,E$18)</f>
        <v>0</v>
      </c>
      <c r="F19" s="6">
        <f>COUNTIF('Feature Register'!$B$2:$B$336,$A19)</f>
        <v>74</v>
      </c>
      <c r="G19" s="7">
        <f>IF(F19=0,0,B19/F19)</f>
        <v>0.9864864864864865</v>
      </c>
    </row>
    <row r="20" spans="1:7" x14ac:dyDescent="0.25">
      <c r="A20" s="5" t="s">
        <v>23</v>
      </c>
      <c r="B20" s="6">
        <f>COUNTIFS('Feature Register'!$B$2:$B$336,$A20,'Feature Register'!$I$2:$I$336,B$18)</f>
        <v>10</v>
      </c>
      <c r="C20" s="6">
        <f>COUNTIFS('Feature Register'!$B$2:$B$336,$A20,'Feature Register'!$I$2:$I$336,C$18)</f>
        <v>0</v>
      </c>
      <c r="D20" s="6">
        <f>COUNTIFS('Feature Register'!$B$2:$B$336,$A20,'Feature Register'!$I$2:$I$336,D$18)</f>
        <v>0</v>
      </c>
      <c r="E20" s="6">
        <f>COUNTIFS('Feature Register'!$B$2:$B$336,$A20,'Feature Register'!$I$2:$I$336,E$18)</f>
        <v>0</v>
      </c>
      <c r="F20" s="6">
        <f>COUNTIF('Feature Register'!$B$2:$B$336,$A20)</f>
        <v>10</v>
      </c>
      <c r="G20" s="7">
        <f>IF(F20=0,0,B20/F20)</f>
        <v>1</v>
      </c>
    </row>
    <row r="21" spans="1:7" x14ac:dyDescent="0.25">
      <c r="A21" s="5" t="s">
        <v>24</v>
      </c>
      <c r="B21" s="6">
        <f>COUNTIFS('Feature Register'!$B$2:$B$336,$A21,'Feature Register'!$I$2:$I$336,B$18)</f>
        <v>15</v>
      </c>
      <c r="C21" s="6">
        <f>COUNTIFS('Feature Register'!$B$2:$B$336,$A21,'Feature Register'!$I$2:$I$336,C$18)</f>
        <v>0</v>
      </c>
      <c r="D21" s="6">
        <f>COUNTIFS('Feature Register'!$B$2:$B$336,$A21,'Feature Register'!$I$2:$I$336,D$18)</f>
        <v>0</v>
      </c>
      <c r="E21" s="6">
        <f>COUNTIFS('Feature Register'!$B$2:$B$336,$A21,'Feature Register'!$I$2:$I$336,E$18)</f>
        <v>0</v>
      </c>
      <c r="F21" s="6">
        <f>COUNTIF('Feature Register'!$B$2:$B$336,$A21)</f>
        <v>15</v>
      </c>
      <c r="G21" s="7">
        <f>IF(F21=0,0,B21/F21)</f>
        <v>1</v>
      </c>
    </row>
    <row r="22" spans="1:7" x14ac:dyDescent="0.25">
      <c r="A22" s="5" t="s">
        <v>25</v>
      </c>
      <c r="B22" s="6">
        <f>COUNTIFS('Feature Register'!$B$2:$B$336,$A22,'Feature Register'!$I$2:$I$336,B$18)</f>
        <v>6</v>
      </c>
      <c r="C22" s="6">
        <f>COUNTIFS('Feature Register'!$B$2:$B$336,$A22,'Feature Register'!$I$2:$I$336,C$18)</f>
        <v>0</v>
      </c>
      <c r="D22" s="6">
        <f>COUNTIFS('Feature Register'!$B$2:$B$336,$A22,'Feature Register'!$I$2:$I$336,D$18)</f>
        <v>0</v>
      </c>
      <c r="E22" s="6">
        <f>COUNTIFS('Feature Register'!$B$2:$B$336,$A22,'Feature Register'!$I$2:$I$336,E$18)</f>
        <v>0</v>
      </c>
      <c r="F22" s="6">
        <f>COUNTIF('Feature Register'!$B$2:$B$336,$A22)</f>
        <v>6</v>
      </c>
      <c r="G22" s="7">
        <f>IF(F22=0,0,B22/F22)</f>
        <v>1</v>
      </c>
    </row>
    <row r="23" spans="1:7" x14ac:dyDescent="0.25">
      <c r="A23" s="5" t="s">
        <v>26</v>
      </c>
      <c r="B23" s="6">
        <f>COUNTIFS('Feature Register'!$B$2:$B$336,$A23,'Feature Register'!$I$2:$I$336,B$18)</f>
        <v>9</v>
      </c>
      <c r="C23" s="6">
        <f>COUNTIFS('Feature Register'!$B$2:$B$336,$A23,'Feature Register'!$I$2:$I$336,C$18)</f>
        <v>0</v>
      </c>
      <c r="D23" s="6">
        <f>COUNTIFS('Feature Register'!$B$2:$B$336,$A23,'Feature Register'!$I$2:$I$336,D$18)</f>
        <v>0</v>
      </c>
      <c r="E23" s="6">
        <f>COUNTIFS('Feature Register'!$B$2:$B$336,$A23,'Feature Register'!$I$2:$I$336,E$18)</f>
        <v>0</v>
      </c>
      <c r="F23" s="6">
        <f>COUNTIF('Feature Register'!$B$2:$B$336,$A23)</f>
        <v>9</v>
      </c>
      <c r="G23" s="7">
        <f>IF(F23=0,0,B23/F23)</f>
        <v>1</v>
      </c>
    </row>
    <row r="24" spans="1:7" x14ac:dyDescent="0.25">
      <c r="A24" s="5" t="s">
        <v>27</v>
      </c>
      <c r="B24" s="6">
        <f>COUNTIFS('Feature Register'!$B$2:$B$336,$A24,'Feature Register'!$I$2:$I$336,B$18)</f>
        <v>19</v>
      </c>
      <c r="C24" s="6">
        <f>COUNTIFS('Feature Register'!$B$2:$B$336,$A24,'Feature Register'!$I$2:$I$336,C$18)</f>
        <v>0</v>
      </c>
      <c r="D24" s="6">
        <f>COUNTIFS('Feature Register'!$B$2:$B$336,$A24,'Feature Register'!$I$2:$I$336,D$18)</f>
        <v>0</v>
      </c>
      <c r="E24" s="6">
        <f>COUNTIFS('Feature Register'!$B$2:$B$336,$A24,'Feature Register'!$I$2:$I$336,E$18)</f>
        <v>0</v>
      </c>
      <c r="F24" s="6">
        <f>COUNTIF('Feature Register'!$B$2:$B$336,$A24)</f>
        <v>19</v>
      </c>
      <c r="G24" s="7">
        <f>IF(F24=0,0,B24/F24)</f>
        <v>1</v>
      </c>
    </row>
    <row r="25" spans="1:7" x14ac:dyDescent="0.25">
      <c r="A25" s="5" t="s">
        <v>28</v>
      </c>
      <c r="B25" s="6">
        <f>COUNTIFS('Feature Register'!$B$2:$B$336,$A25,'Feature Register'!$I$2:$I$336,B$18)</f>
        <v>15</v>
      </c>
      <c r="C25" s="6">
        <f>COUNTIFS('Feature Register'!$B$2:$B$336,$A25,'Feature Register'!$I$2:$I$336,C$18)</f>
        <v>0</v>
      </c>
      <c r="D25" s="6">
        <f>COUNTIFS('Feature Register'!$B$2:$B$336,$A25,'Feature Register'!$I$2:$I$336,D$18)</f>
        <v>0</v>
      </c>
      <c r="E25" s="6">
        <f>COUNTIFS('Feature Register'!$B$2:$B$336,$A25,'Feature Register'!$I$2:$I$336,E$18)</f>
        <v>0</v>
      </c>
      <c r="F25" s="6">
        <f>COUNTIF('Feature Register'!$B$2:$B$336,$A25)</f>
        <v>15</v>
      </c>
      <c r="G25" s="7">
        <f>IF(F25=0,0,B25/F25)</f>
        <v>1</v>
      </c>
    </row>
    <row r="26" spans="1:7" x14ac:dyDescent="0.25">
      <c r="A26" s="5" t="s">
        <v>29</v>
      </c>
      <c r="B26" s="6">
        <f>COUNTIFS('Feature Register'!$B$2:$B$336,$A26,'Feature Register'!$I$2:$I$336,B$18)</f>
        <v>10</v>
      </c>
      <c r="C26" s="6">
        <f>COUNTIFS('Feature Register'!$B$2:$B$336,$A26,'Feature Register'!$I$2:$I$336,C$18)</f>
        <v>0</v>
      </c>
      <c r="D26" s="6">
        <f>COUNTIFS('Feature Register'!$B$2:$B$336,$A26,'Feature Register'!$I$2:$I$336,D$18)</f>
        <v>0</v>
      </c>
      <c r="E26" s="6">
        <f>COUNTIFS('Feature Register'!$B$2:$B$336,$A26,'Feature Register'!$I$2:$I$336,E$18)</f>
        <v>0</v>
      </c>
      <c r="F26" s="6">
        <f>COUNTIF('Feature Register'!$B$2:$B$336,$A26)</f>
        <v>10</v>
      </c>
      <c r="G26" s="7">
        <f>IF(F26=0,0,B26/F26)</f>
        <v>1</v>
      </c>
    </row>
    <row r="27" spans="1:7" x14ac:dyDescent="0.25">
      <c r="A27" s="5" t="s">
        <v>30</v>
      </c>
      <c r="B27" s="6">
        <f>COUNTIFS('Feature Register'!$B$2:$B$336,$A27,'Feature Register'!$I$2:$I$336,B$18)</f>
        <v>27</v>
      </c>
      <c r="C27" s="6">
        <f>COUNTIFS('Feature Register'!$B$2:$B$336,$A27,'Feature Register'!$I$2:$I$336,C$18)</f>
        <v>0</v>
      </c>
      <c r="D27" s="6">
        <f>COUNTIFS('Feature Register'!$B$2:$B$336,$A27,'Feature Register'!$I$2:$I$336,D$18)</f>
        <v>0</v>
      </c>
      <c r="E27" s="6">
        <f>COUNTIFS('Feature Register'!$B$2:$B$336,$A27,'Feature Register'!$I$2:$I$336,E$18)</f>
        <v>1</v>
      </c>
      <c r="F27" s="6">
        <f>COUNTIF('Feature Register'!$B$2:$B$336,$A27)</f>
        <v>28</v>
      </c>
      <c r="G27" s="7">
        <f>IF(F27=0,0,B27/F27)</f>
        <v>0.9642857142857143</v>
      </c>
    </row>
    <row r="28" spans="1:7" x14ac:dyDescent="0.25">
      <c r="A28" s="5" t="s">
        <v>31</v>
      </c>
      <c r="B28" s="6">
        <f>COUNTIFS('Feature Register'!$B$2:$B$336,$A28,'Feature Register'!$I$2:$I$336,B$18)</f>
        <v>11</v>
      </c>
      <c r="C28" s="6">
        <f>COUNTIFS('Feature Register'!$B$2:$B$336,$A28,'Feature Register'!$I$2:$I$336,C$18)</f>
        <v>1</v>
      </c>
      <c r="D28" s="6">
        <f>COUNTIFS('Feature Register'!$B$2:$B$336,$A28,'Feature Register'!$I$2:$I$336,D$18)</f>
        <v>0</v>
      </c>
      <c r="E28" s="6">
        <f>COUNTIFS('Feature Register'!$B$2:$B$336,$A28,'Feature Register'!$I$2:$I$336,E$18)</f>
        <v>0</v>
      </c>
      <c r="F28" s="6">
        <f>COUNTIF('Feature Register'!$B$2:$B$336,$A28)</f>
        <v>12</v>
      </c>
      <c r="G28" s="7">
        <f>IF(F28=0,0,B28/F28)</f>
        <v>0.9166666666666666</v>
      </c>
    </row>
    <row r="29" spans="1:7" x14ac:dyDescent="0.25">
      <c r="A29" s="5" t="s">
        <v>32</v>
      </c>
      <c r="B29" s="6">
        <f>COUNTIFS('Feature Register'!$B$2:$B$336,$A29,'Feature Register'!$I$2:$I$336,B$18)</f>
        <v>6</v>
      </c>
      <c r="C29" s="6">
        <f>COUNTIFS('Feature Register'!$B$2:$B$336,$A29,'Feature Register'!$I$2:$I$336,C$18)</f>
        <v>0</v>
      </c>
      <c r="D29" s="6">
        <f>COUNTIFS('Feature Register'!$B$2:$B$336,$A29,'Feature Register'!$I$2:$I$336,D$18)</f>
        <v>0</v>
      </c>
      <c r="E29" s="6">
        <f>COUNTIFS('Feature Register'!$B$2:$B$336,$A29,'Feature Register'!$I$2:$I$336,E$18)</f>
        <v>0</v>
      </c>
      <c r="F29" s="6">
        <f>COUNTIF('Feature Register'!$B$2:$B$336,$A29)</f>
        <v>6</v>
      </c>
      <c r="G29" s="7">
        <f>IF(F29=0,0,B29/F29)</f>
        <v>1</v>
      </c>
    </row>
    <row r="30" spans="1:7" x14ac:dyDescent="0.25">
      <c r="A30" s="5" t="s">
        <v>33</v>
      </c>
      <c r="B30" s="6">
        <f>COUNTIFS('Feature Register'!$B$2:$B$336,$A30,'Feature Register'!$I$2:$I$336,B$18)</f>
        <v>8</v>
      </c>
      <c r="C30" s="6">
        <f>COUNTIFS('Feature Register'!$B$2:$B$336,$A30,'Feature Register'!$I$2:$I$336,C$18)</f>
        <v>0</v>
      </c>
      <c r="D30" s="6">
        <f>COUNTIFS('Feature Register'!$B$2:$B$336,$A30,'Feature Register'!$I$2:$I$336,D$18)</f>
        <v>0</v>
      </c>
      <c r="E30" s="6">
        <f>COUNTIFS('Feature Register'!$B$2:$B$336,$A30,'Feature Register'!$I$2:$I$336,E$18)</f>
        <v>0</v>
      </c>
      <c r="F30" s="6">
        <f>COUNTIF('Feature Register'!$B$2:$B$336,$A30)</f>
        <v>8</v>
      </c>
      <c r="G30" s="7">
        <f>IF(F30=0,0,B30/F30)</f>
        <v>1</v>
      </c>
    </row>
    <row r="31" spans="1:7" x14ac:dyDescent="0.25">
      <c r="A31" s="5" t="s">
        <v>34</v>
      </c>
      <c r="B31" s="6">
        <f>COUNTIFS('Feature Register'!$B$2:$B$336,$A31,'Feature Register'!$I$2:$I$336,B$18)</f>
        <v>2</v>
      </c>
      <c r="C31" s="6">
        <f>COUNTIFS('Feature Register'!$B$2:$B$336,$A31,'Feature Register'!$I$2:$I$336,C$18)</f>
        <v>0</v>
      </c>
      <c r="D31" s="6">
        <f>COUNTIFS('Feature Register'!$B$2:$B$336,$A31,'Feature Register'!$I$2:$I$336,D$18)</f>
        <v>0</v>
      </c>
      <c r="E31" s="6">
        <f>COUNTIFS('Feature Register'!$B$2:$B$336,$A31,'Feature Register'!$I$2:$I$336,E$18)</f>
        <v>0</v>
      </c>
      <c r="F31" s="6">
        <f>COUNTIF('Feature Register'!$B$2:$B$336,$A31)</f>
        <v>2</v>
      </c>
      <c r="G31" s="7">
        <f>IF(F31=0,0,B31/F31)</f>
        <v>1</v>
      </c>
    </row>
    <row r="32" spans="1:7" x14ac:dyDescent="0.25">
      <c r="A32" s="5" t="s">
        <v>35</v>
      </c>
      <c r="B32" s="6">
        <f>COUNTIFS('Feature Register'!$B$2:$B$336,$A32,'Feature Register'!$I$2:$I$336,B$18)</f>
        <v>7</v>
      </c>
      <c r="C32" s="6">
        <f>COUNTIFS('Feature Register'!$B$2:$B$336,$A32,'Feature Register'!$I$2:$I$336,C$18)</f>
        <v>0</v>
      </c>
      <c r="D32" s="6">
        <f>COUNTIFS('Feature Register'!$B$2:$B$336,$A32,'Feature Register'!$I$2:$I$336,D$18)</f>
        <v>0</v>
      </c>
      <c r="E32" s="6">
        <f>COUNTIFS('Feature Register'!$B$2:$B$336,$A32,'Feature Register'!$I$2:$I$336,E$18)</f>
        <v>0</v>
      </c>
      <c r="F32" s="6">
        <f>COUNTIF('Feature Register'!$B$2:$B$336,$A32)</f>
        <v>7</v>
      </c>
      <c r="G32" s="7">
        <f>IF(F32=0,0,B32/F32)</f>
        <v>1</v>
      </c>
    </row>
    <row r="33" spans="1:7" x14ac:dyDescent="0.25">
      <c r="A33" s="5" t="s">
        <v>36</v>
      </c>
      <c r="B33" s="6">
        <f>COUNTIFS('Feature Register'!$B$2:$B$336,$A33,'Feature Register'!$I$2:$I$336,B$18)</f>
        <v>18</v>
      </c>
      <c r="C33" s="6">
        <f>COUNTIFS('Feature Register'!$B$2:$B$336,$A33,'Feature Register'!$I$2:$I$336,C$18)</f>
        <v>0</v>
      </c>
      <c r="D33" s="6">
        <f>COUNTIFS('Feature Register'!$B$2:$B$336,$A33,'Feature Register'!$I$2:$I$336,D$18)</f>
        <v>0</v>
      </c>
      <c r="E33" s="6">
        <f>COUNTIFS('Feature Register'!$B$2:$B$336,$A33,'Feature Register'!$I$2:$I$336,E$18)</f>
        <v>1</v>
      </c>
      <c r="F33" s="6">
        <f>COUNTIF('Feature Register'!$B$2:$B$336,$A33)</f>
        <v>19</v>
      </c>
      <c r="G33" s="7">
        <f>IF(F33=0,0,B33/F33)</f>
        <v>0.9473684210526315</v>
      </c>
    </row>
    <row r="34" spans="1:7" x14ac:dyDescent="0.25">
      <c r="A34" s="5" t="s">
        <v>37</v>
      </c>
      <c r="B34" s="6">
        <f>COUNTIFS('Feature Register'!$B$2:$B$336,$A34,'Feature Register'!$I$2:$I$336,B$18)</f>
        <v>7</v>
      </c>
      <c r="C34" s="6">
        <f>COUNTIFS('Feature Register'!$B$2:$B$336,$A34,'Feature Register'!$I$2:$I$336,C$18)</f>
        <v>1</v>
      </c>
      <c r="D34" s="6">
        <f>COUNTIFS('Feature Register'!$B$2:$B$336,$A34,'Feature Register'!$I$2:$I$336,D$18)</f>
        <v>0</v>
      </c>
      <c r="E34" s="6">
        <f>COUNTIFS('Feature Register'!$B$2:$B$336,$A34,'Feature Register'!$I$2:$I$336,E$18)</f>
        <v>1</v>
      </c>
      <c r="F34" s="6">
        <f>COUNTIF('Feature Register'!$B$2:$B$336,$A34)</f>
        <v>9</v>
      </c>
      <c r="G34" s="7">
        <f>IF(F34=0,0,B34/F34)</f>
        <v>0.7777777777777778</v>
      </c>
    </row>
    <row r="35" spans="1:7" x14ac:dyDescent="0.25">
      <c r="A35" s="5" t="s">
        <v>38</v>
      </c>
      <c r="B35" s="6">
        <f>COUNTIFS('Feature Register'!$B$2:$B$336,$A35,'Feature Register'!$I$2:$I$336,B$18)</f>
        <v>15</v>
      </c>
      <c r="C35" s="6">
        <f>COUNTIFS('Feature Register'!$B$2:$B$336,$A35,'Feature Register'!$I$2:$I$336,C$18)</f>
        <v>1</v>
      </c>
      <c r="D35" s="6">
        <f>COUNTIFS('Feature Register'!$B$2:$B$336,$A35,'Feature Register'!$I$2:$I$336,D$18)</f>
        <v>3</v>
      </c>
      <c r="E35" s="6">
        <f>COUNTIFS('Feature Register'!$B$2:$B$336,$A35,'Feature Register'!$I$2:$I$336,E$18)</f>
        <v>0</v>
      </c>
      <c r="F35" s="6">
        <f>COUNTIF('Feature Register'!$B$2:$B$336,$A35)</f>
        <v>19</v>
      </c>
      <c r="G35" s="7">
        <f>IF(F35=0,0,B35/F35)</f>
        <v>0.7894736842105263</v>
      </c>
    </row>
    <row r="36" spans="1:7" x14ac:dyDescent="0.25">
      <c r="A36" s="5" t="s">
        <v>39</v>
      </c>
      <c r="B36" s="6">
        <f>COUNTIFS('Feature Register'!$B$2:$B$336,$A36,'Feature Register'!$I$2:$I$336,B$18)</f>
        <v>3</v>
      </c>
      <c r="C36" s="6">
        <f>COUNTIFS('Feature Register'!$B$2:$B$336,$A36,'Feature Register'!$I$2:$I$336,C$18)</f>
        <v>0</v>
      </c>
      <c r="D36" s="6">
        <f>COUNTIFS('Feature Register'!$B$2:$B$336,$A36,'Feature Register'!$I$2:$I$336,D$18)</f>
        <v>0</v>
      </c>
      <c r="E36" s="6">
        <f>COUNTIFS('Feature Register'!$B$2:$B$336,$A36,'Feature Register'!$I$2:$I$336,E$18)</f>
        <v>0</v>
      </c>
      <c r="F36" s="6">
        <f>COUNTIF('Feature Register'!$B$2:$B$336,$A36)</f>
        <v>3</v>
      </c>
      <c r="G36" s="7">
        <f>IF(F36=0,0,B36/F36)</f>
        <v>1</v>
      </c>
    </row>
    <row r="37" spans="1:7" x14ac:dyDescent="0.25">
      <c r="A37" s="5" t="s">
        <v>40</v>
      </c>
      <c r="B37" s="6">
        <f>COUNTIFS('Feature Register'!$B$2:$B$336,$A37,'Feature Register'!$I$2:$I$336,B$18)</f>
        <v>6</v>
      </c>
      <c r="C37" s="6">
        <f>COUNTIFS('Feature Register'!$B$2:$B$336,$A37,'Feature Register'!$I$2:$I$336,C$18)</f>
        <v>0</v>
      </c>
      <c r="D37" s="6">
        <f>COUNTIFS('Feature Register'!$B$2:$B$336,$A37,'Feature Register'!$I$2:$I$336,D$18)</f>
        <v>0</v>
      </c>
      <c r="E37" s="6">
        <f>COUNTIFS('Feature Register'!$B$2:$B$336,$A37,'Feature Register'!$I$2:$I$336,E$18)</f>
        <v>0</v>
      </c>
      <c r="F37" s="6">
        <f>COUNTIF('Feature Register'!$B$2:$B$336,$A37)</f>
        <v>6</v>
      </c>
      <c r="G37" s="7">
        <f>IF(F37=0,0,B37/F37)</f>
        <v>1</v>
      </c>
    </row>
    <row r="38" spans="1:7" x14ac:dyDescent="0.25">
      <c r="A38" s="5" t="s">
        <v>41</v>
      </c>
      <c r="B38" s="6">
        <f>COUNTIFS('Feature Register'!$B$2:$B$336,$A38,'Feature Register'!$I$2:$I$336,B$18)</f>
        <v>28</v>
      </c>
      <c r="C38" s="6">
        <f>COUNTIFS('Feature Register'!$B$2:$B$336,$A38,'Feature Register'!$I$2:$I$336,C$18)</f>
        <v>0</v>
      </c>
      <c r="D38" s="6">
        <f>COUNTIFS('Feature Register'!$B$2:$B$336,$A38,'Feature Register'!$I$2:$I$336,D$18)</f>
        <v>0</v>
      </c>
      <c r="E38" s="6">
        <f>COUNTIFS('Feature Register'!$B$2:$B$336,$A38,'Feature Register'!$I$2:$I$336,E$18)</f>
        <v>0</v>
      </c>
      <c r="F38" s="6">
        <f>COUNTIF('Feature Register'!$B$2:$B$336,$A38)</f>
        <v>28</v>
      </c>
      <c r="G38" s="7">
        <f>IF(F38=0,0,B38/F38)</f>
        <v>1</v>
      </c>
    </row>
    <row r="39" spans="1:7" x14ac:dyDescent="0.25">
      <c r="A39" s="5" t="s">
        <v>42</v>
      </c>
      <c r="B39" s="6">
        <f>COUNTIFS('Feature Register'!$B$2:$B$336,$A39,'Feature Register'!$I$2:$I$336,B$18)</f>
        <v>24</v>
      </c>
      <c r="C39" s="6">
        <f>COUNTIFS('Feature Register'!$B$2:$B$336,$A39,'Feature Register'!$I$2:$I$336,C$18)</f>
        <v>0</v>
      </c>
      <c r="D39" s="6">
        <f>COUNTIFS('Feature Register'!$B$2:$B$336,$A39,'Feature Register'!$I$2:$I$336,D$18)</f>
        <v>4</v>
      </c>
      <c r="E39" s="6">
        <f>COUNTIFS('Feature Register'!$B$2:$B$336,$A39,'Feature Register'!$I$2:$I$336,E$18)</f>
        <v>2</v>
      </c>
      <c r="F39" s="6">
        <f>COUNTIF('Feature Register'!$B$2:$B$336,$A39)</f>
        <v>30</v>
      </c>
      <c r="G39" s="7">
        <f>IF(F39=0,0,B39/F39)</f>
        <v>0.8</v>
      </c>
    </row>
    <row r="40" spans="1:7" x14ac:dyDescent="0.25">
      <c r="A40" s="5" t="s">
        <v>20</v>
      </c>
      <c r="B40" s="8">
        <f>SUM(B19:B39)</f>
        <v>319</v>
      </c>
      <c r="C40" s="8">
        <f>SUM(C19:C39)</f>
        <v>3</v>
      </c>
      <c r="D40" s="8">
        <f>SUM(D19:D39)</f>
        <v>7</v>
      </c>
      <c r="E40" s="8">
        <f>SUM(E19:E39)</f>
        <v>5</v>
      </c>
      <c r="F40" s="8">
        <f>SUM(F19:F39)</f>
        <v>335</v>
      </c>
      <c r="G40" s="7">
        <f>IF(F40=0,0,B40/F40)</f>
        <v>0.9522388059701492</v>
      </c>
    </row>
    <row r="42" spans="1:1" x14ac:dyDescent="0.25">
      <c r="A42" s="3" t="s">
        <v>43</v>
      </c>
    </row>
    <row r="43" spans="1:2" x14ac:dyDescent="0.25">
      <c r="A43" s="4" t="s">
        <v>44</v>
      </c>
      <c r="B43" s="4" t="s">
        <v>7</v>
      </c>
    </row>
    <row r="44" spans="1:2" x14ac:dyDescent="0.25">
      <c r="A44" s="5" t="s">
        <v>45</v>
      </c>
      <c r="B44" s="6">
        <f>COUNTIF('Feature Register'!$J$2:$J$336,A44)</f>
        <v>246</v>
      </c>
    </row>
    <row r="45" spans="1:2" x14ac:dyDescent="0.25">
      <c r="A45" s="5" t="s">
        <v>46</v>
      </c>
      <c r="B45" s="6">
        <f>COUNTIF('Feature Register'!$J$2:$J$336,A45)</f>
        <v>60</v>
      </c>
    </row>
    <row r="46" spans="1:2" x14ac:dyDescent="0.25">
      <c r="A46" s="5" t="s">
        <v>47</v>
      </c>
      <c r="B46" s="6">
        <f>COUNTIF('Feature Register'!$J$2:$J$336,A46)</f>
        <v>1</v>
      </c>
    </row>
    <row r="47" spans="1:2" x14ac:dyDescent="0.25">
      <c r="A47" s="5" t="s">
        <v>48</v>
      </c>
      <c r="B47" s="6">
        <f>COUNTIF('Feature Register'!$J$2:$J$336,A47)</f>
        <v>1</v>
      </c>
    </row>
    <row r="48" spans="1:2" x14ac:dyDescent="0.25">
      <c r="A48" s="5" t="s">
        <v>49</v>
      </c>
      <c r="B48" s="6">
        <f>COUNTIF('Feature Register'!$J$2:$J$336,A48)</f>
        <v>2</v>
      </c>
    </row>
    <row r="49" spans="1:2" x14ac:dyDescent="0.25">
      <c r="A49" s="5" t="s">
        <v>50</v>
      </c>
      <c r="B49" s="6">
        <f>COUNTIF('Feature Register'!$J$2:$J$336,A49)</f>
        <v>7</v>
      </c>
    </row>
    <row r="50" spans="1:2" x14ac:dyDescent="0.25">
      <c r="A50" s="5" t="s">
        <v>51</v>
      </c>
      <c r="B50" s="6">
        <f>COUNTIF('Feature Register'!$J$2:$J$336,A50)</f>
        <v>2</v>
      </c>
    </row>
    <row r="51" spans="1:2" x14ac:dyDescent="0.25">
      <c r="A51" s="5" t="s">
        <v>52</v>
      </c>
      <c r="B51" s="6">
        <f>COUNTIF('Feature Register'!$J$2:$J$336,A51)</f>
        <v>5</v>
      </c>
    </row>
    <row r="52" spans="1:2" x14ac:dyDescent="0.25">
      <c r="A52" s="5" t="s">
        <v>53</v>
      </c>
      <c r="B52" s="6">
        <f>COUNTIF('Feature Register'!$J$2:$J$336,A52)</f>
        <v>10</v>
      </c>
    </row>
    <row r="53" spans="1:2" x14ac:dyDescent="0.25">
      <c r="A53" s="5" t="s">
        <v>54</v>
      </c>
      <c r="B53" s="6">
        <f>COUNTIF('Feature Register'!$J$2:$J$336,A53)</f>
        <v>1</v>
      </c>
    </row>
    <row r="54" spans="1:2" x14ac:dyDescent="0.25">
      <c r="A54" s="5" t="s">
        <v>20</v>
      </c>
      <c r="B54" s="8">
        <f>SUM(B44:B53)</f>
        <v>335</v>
      </c>
    </row>
    <row r="56" spans="1:1" x14ac:dyDescent="0.25">
      <c r="A56" s="3" t="s">
        <v>55</v>
      </c>
    </row>
    <row r="57" spans="1:4" x14ac:dyDescent="0.25">
      <c r="A57" s="4" t="s">
        <v>6</v>
      </c>
      <c r="B57" s="4" t="s">
        <v>56</v>
      </c>
      <c r="C57" s="4" t="s">
        <v>57</v>
      </c>
      <c r="D57" s="4" t="s">
        <v>58</v>
      </c>
    </row>
    <row r="58" spans="1:4" x14ac:dyDescent="0.25">
      <c r="A58" s="5" t="s">
        <v>11</v>
      </c>
      <c r="B58" s="6">
        <f>COUNTIFS('Process Flow Tree'!$B$5:$B$280,3,'Process Flow Tree'!$G$5:$G$280,$A58)</f>
        <v>190</v>
      </c>
      <c r="C58" s="6">
        <f>COUNTIFS('Process Flow Tree'!$B$5:$B$280,2,'Process Flow Tree'!$G$5:$G$280,$A58)</f>
        <v>48</v>
      </c>
      <c r="D58" s="6">
        <f>COUNTIFS('Process Flow Tree'!$B$5:$B$280,1,'Process Flow Tree'!$G$5:$G$280,$A58)</f>
        <v>13</v>
      </c>
    </row>
    <row r="59" spans="1:4" x14ac:dyDescent="0.25">
      <c r="A59" s="5" t="s">
        <v>12</v>
      </c>
      <c r="B59" s="6">
        <f>COUNTIFS('Process Flow Tree'!$B$5:$B$280,3,'Process Flow Tree'!$G$5:$G$280,$A59)</f>
        <v>1</v>
      </c>
      <c r="C59" s="6">
        <f>COUNTIFS('Process Flow Tree'!$B$5:$B$280,2,'Process Flow Tree'!$G$5:$G$280,$A59)</f>
        <v>3</v>
      </c>
      <c r="D59" s="6">
        <f>COUNTIFS('Process Flow Tree'!$B$5:$B$280,1,'Process Flow Tree'!$G$5:$G$280,$A59)</f>
        <v>1</v>
      </c>
    </row>
    <row r="60" spans="1:4" x14ac:dyDescent="0.25">
      <c r="A60" s="5" t="s">
        <v>13</v>
      </c>
      <c r="B60" s="6">
        <f>COUNTIFS('Process Flow Tree'!$B$5:$B$280,3,'Process Flow Tree'!$G$5:$G$280,$A60)</f>
        <v>5</v>
      </c>
      <c r="C60" s="6">
        <f>COUNTIFS('Process Flow Tree'!$B$5:$B$280,2,'Process Flow Tree'!$G$5:$G$280,$A60)</f>
        <v>0</v>
      </c>
      <c r="D60" s="6">
        <f>COUNTIFS('Process Flow Tree'!$B$5:$B$280,1,'Process Flow Tree'!$G$5:$G$280,$A60)</f>
        <v>0</v>
      </c>
    </row>
    <row r="61" spans="1:4" x14ac:dyDescent="0.25">
      <c r="A61" s="5" t="s">
        <v>14</v>
      </c>
      <c r="B61" s="6">
        <f>COUNTIFS('Process Flow Tree'!$B$5:$B$280,3,'Process Flow Tree'!$G$5:$G$280,$A61)</f>
        <v>6</v>
      </c>
      <c r="C61" s="6">
        <f>COUNTIFS('Process Flow Tree'!$B$5:$B$280,2,'Process Flow Tree'!$G$5:$G$280,$A61)</f>
        <v>5</v>
      </c>
      <c r="D61" s="6">
        <f>COUNTIFS('Process Flow Tree'!$B$5:$B$280,1,'Process Flow Tree'!$G$5:$G$280,$A61)</f>
        <v>4</v>
      </c>
    </row>
    <row r="62" spans="1:4" x14ac:dyDescent="0.25">
      <c r="A62" s="5" t="s">
        <v>20</v>
      </c>
      <c r="B62" s="8">
        <f>SUM(B58:B61)</f>
        <v>202</v>
      </c>
      <c r="C62" s="8">
        <f>SUM(C58:C61)</f>
        <v>56</v>
      </c>
      <c r="D62" s="8">
        <f>SUM(D58:D61)</f>
        <v>18</v>
      </c>
    </row>
    <row r="64" spans="1:1" x14ac:dyDescent="0.25">
      <c r="A64" s="3" t="s">
        <v>59</v>
      </c>
    </row>
    <row r="65" spans="1:3" x14ac:dyDescent="0.25">
      <c r="A65" s="4" t="s">
        <v>60</v>
      </c>
      <c r="B65" s="4" t="s">
        <v>61</v>
      </c>
      <c r="C65" s="4" t="s">
        <v>6</v>
      </c>
    </row>
    <row r="66" spans="1:3" x14ac:dyDescent="0.25">
      <c r="A66" s="5" t="s">
        <v>62</v>
      </c>
      <c r="B66" s="6" t="str">
        <f>'Process Flow Tree'!F5</f>
        <v>33 / 34</v>
      </c>
      <c r="C66" s="5" t="str">
        <f>'Process Flow Tree'!G5</f>
        <v>BLOCKED</v>
      </c>
    </row>
    <row r="67" spans="1:3" x14ac:dyDescent="0.25">
      <c r="A67" s="5" t="s">
        <v>63</v>
      </c>
      <c r="B67" s="6" t="str">
        <f>'Process Flow Tree'!F49</f>
        <v>9 / 9</v>
      </c>
      <c r="C67" s="5" t="str">
        <f>'Process Flow Tree'!G49</f>
        <v>COMPLETED</v>
      </c>
    </row>
    <row r="68" spans="1:3" x14ac:dyDescent="0.25">
      <c r="A68" s="5" t="s">
        <v>64</v>
      </c>
      <c r="B68" s="6" t="str">
        <f>'Process Flow Tree'!F61</f>
        <v>7 / 7</v>
      </c>
      <c r="C68" s="5" t="str">
        <f>'Process Flow Tree'!G61</f>
        <v>COMPLETED</v>
      </c>
    </row>
    <row r="69" spans="1:3" x14ac:dyDescent="0.25">
      <c r="A69" s="5" t="s">
        <v>65</v>
      </c>
      <c r="B69" s="6" t="str">
        <f>'Process Flow Tree'!F72</f>
        <v>9 / 10</v>
      </c>
      <c r="C69" s="5" t="str">
        <f>'Process Flow Tree'!G72</f>
        <v>BLOCKED</v>
      </c>
    </row>
    <row r="70" spans="1:3" x14ac:dyDescent="0.25">
      <c r="A70" s="5" t="s">
        <v>66</v>
      </c>
      <c r="B70" s="6" t="str">
        <f>'Process Flow Tree'!F85</f>
        <v>7 / 7</v>
      </c>
      <c r="C70" s="5" t="str">
        <f>'Process Flow Tree'!G85</f>
        <v>COMPLETED</v>
      </c>
    </row>
    <row r="71" spans="1:3" x14ac:dyDescent="0.25">
      <c r="A71" s="5" t="s">
        <v>67</v>
      </c>
      <c r="B71" s="6" t="str">
        <f>'Process Flow Tree'!F96</f>
        <v>10 / 10</v>
      </c>
      <c r="C71" s="5" t="str">
        <f>'Process Flow Tree'!G96</f>
        <v>COMPLETED</v>
      </c>
    </row>
    <row r="72" spans="1:3" x14ac:dyDescent="0.25">
      <c r="A72" s="5" t="s">
        <v>68</v>
      </c>
      <c r="B72" s="6" t="str">
        <f>'Process Flow Tree'!F111</f>
        <v>5 / 5</v>
      </c>
      <c r="C72" s="5" t="str">
        <f>'Process Flow Tree'!G111</f>
        <v>COMPLETED</v>
      </c>
    </row>
    <row r="73" spans="1:3" x14ac:dyDescent="0.25">
      <c r="A73" s="5" t="s">
        <v>69</v>
      </c>
      <c r="B73" s="6" t="str">
        <f>'Process Flow Tree'!F120</f>
        <v>19 / 19</v>
      </c>
      <c r="C73" s="5" t="str">
        <f>'Process Flow Tree'!G120</f>
        <v>COMPLETED</v>
      </c>
    </row>
    <row r="74" spans="1:3" x14ac:dyDescent="0.25">
      <c r="A74" s="5" t="s">
        <v>70</v>
      </c>
      <c r="B74" s="6" t="str">
        <f>'Process Flow Tree'!F144</f>
        <v>11 / 11</v>
      </c>
      <c r="C74" s="5" t="str">
        <f>'Process Flow Tree'!G144</f>
        <v>COMPLETED</v>
      </c>
    </row>
    <row r="75" spans="1:3" x14ac:dyDescent="0.25">
      <c r="A75" s="5" t="s">
        <v>71</v>
      </c>
      <c r="B75" s="6" t="str">
        <f>'Process Flow Tree'!F158</f>
        <v>9 / 9</v>
      </c>
      <c r="C75" s="5" t="str">
        <f>'Process Flow Tree'!G158</f>
        <v>COMPLETED</v>
      </c>
    </row>
    <row r="76" spans="1:3" x14ac:dyDescent="0.25">
      <c r="A76" s="5" t="s">
        <v>72</v>
      </c>
      <c r="B76" s="6" t="str">
        <f>'Process Flow Tree'!F170</f>
        <v>5 / 5</v>
      </c>
      <c r="C76" s="5" t="str">
        <f>'Process Flow Tree'!G170</f>
        <v>COMPLETED</v>
      </c>
    </row>
    <row r="77" spans="1:3" x14ac:dyDescent="0.25">
      <c r="A77" s="5" t="s">
        <v>73</v>
      </c>
      <c r="B77" s="6" t="str">
        <f>'Process Flow Tree'!F178</f>
        <v>9 / 9</v>
      </c>
      <c r="C77" s="5" t="str">
        <f>'Process Flow Tree'!G178</f>
        <v>COMPLETED</v>
      </c>
    </row>
    <row r="78" spans="1:3" x14ac:dyDescent="0.25">
      <c r="A78" s="5" t="s">
        <v>74</v>
      </c>
      <c r="B78" s="6" t="str">
        <f>'Process Flow Tree'!F190</f>
        <v>3 / 3</v>
      </c>
      <c r="C78" s="5" t="str">
        <f>'Process Flow Tree'!G190</f>
        <v>COMPLETED</v>
      </c>
    </row>
    <row r="79" spans="1:3" x14ac:dyDescent="0.25">
      <c r="A79" s="5" t="s">
        <v>75</v>
      </c>
      <c r="B79" s="6" t="str">
        <f>'Process Flow Tree'!F196</f>
        <v>9 / 10</v>
      </c>
      <c r="C79" s="5" t="str">
        <f>'Process Flow Tree'!G196</f>
        <v>IN PROGRESS</v>
      </c>
    </row>
    <row r="80" spans="1:3" x14ac:dyDescent="0.25">
      <c r="A80" s="5" t="s">
        <v>76</v>
      </c>
      <c r="B80" s="6" t="str">
        <f>'Process Flow Tree'!F209</f>
        <v>4 / 7</v>
      </c>
      <c r="C80" s="5" t="str">
        <f>'Process Flow Tree'!G209</f>
        <v>BLOCKED</v>
      </c>
    </row>
    <row r="81" spans="1:3" x14ac:dyDescent="0.25">
      <c r="A81" s="5" t="s">
        <v>77</v>
      </c>
      <c r="B81" s="6" t="str">
        <f>'Process Flow Tree'!F219</f>
        <v>20 / 20</v>
      </c>
      <c r="C81" s="5" t="str">
        <f>'Process Flow Tree'!G219</f>
        <v>COMPLETED</v>
      </c>
    </row>
    <row r="82" spans="1:3" x14ac:dyDescent="0.25">
      <c r="A82" s="5" t="s">
        <v>78</v>
      </c>
      <c r="B82" s="6" t="str">
        <f>'Process Flow Tree'!F245</f>
        <v>16 / 16</v>
      </c>
      <c r="C82" s="5" t="str">
        <f>'Process Flow Tree'!G245</f>
        <v>COMPLETED</v>
      </c>
    </row>
    <row r="83" spans="1:3" x14ac:dyDescent="0.25">
      <c r="A83" s="5" t="s">
        <v>79</v>
      </c>
      <c r="B83" s="6" t="str">
        <f>'Process Flow Tree'!F266</f>
        <v>5 / 11</v>
      </c>
      <c r="C83" s="5" t="str">
        <f>'Process Flow Tree'!G266</f>
        <v>BLOCKED</v>
      </c>
    </row>
    <row r="85" spans="1:1" x14ac:dyDescent="0.25">
      <c r="A85" s="3" t="s">
        <v>80</v>
      </c>
    </row>
    <row r="86" spans="1:2" x14ac:dyDescent="0.25">
      <c r="A86" s="4" t="s">
        <v>81</v>
      </c>
      <c r="B86" s="4" t="s">
        <v>82</v>
      </c>
    </row>
    <row r="87" spans="1:2" x14ac:dyDescent="0.25">
      <c r="A87" s="5" t="s">
        <v>83</v>
      </c>
      <c r="B87" s="6">
        <f>COUNTIF('PR Register'!$F$2:$F$288,A87)</f>
        <v>16</v>
      </c>
    </row>
    <row r="88" spans="1:2" x14ac:dyDescent="0.25">
      <c r="A88" s="5" t="s">
        <v>84</v>
      </c>
      <c r="B88" s="6">
        <f>COUNTIF('PR Register'!$F$2:$F$288,A88)</f>
        <v>270</v>
      </c>
    </row>
    <row r="89" spans="1:2" x14ac:dyDescent="0.25">
      <c r="A89" s="5" t="s">
        <v>85</v>
      </c>
      <c r="B89" s="6">
        <f>COUNTIF('PR Register'!$F$2:$F$288,A89)</f>
        <v>1</v>
      </c>
    </row>
    <row r="90" spans="1:2" x14ac:dyDescent="0.25">
      <c r="A90" s="5" t="s">
        <v>20</v>
      </c>
      <c r="B90" s="8">
        <f>SUM(B87:B89)</f>
        <v>287</v>
      </c>
    </row>
    <row r="91" spans="1:2" x14ac:dyDescent="0.25">
      <c r="A91" s="4" t="s">
        <v>86</v>
      </c>
      <c r="B91" s="4" t="s">
        <v>82</v>
      </c>
    </row>
    <row r="92" spans="1:2" x14ac:dyDescent="0.25">
      <c r="A92" s="5" t="s">
        <v>87</v>
      </c>
      <c r="B92" s="6">
        <f>COUNTIF('PR Register'!$C$2:$C$288,A92)</f>
        <v>6</v>
      </c>
    </row>
    <row r="93" spans="1:2" x14ac:dyDescent="0.25">
      <c r="A93" s="5" t="s">
        <v>88</v>
      </c>
      <c r="B93" s="6">
        <f>COUNTIF('PR Register'!$C$2:$C$288,A93)</f>
        <v>18</v>
      </c>
    </row>
    <row r="94" spans="1:2" x14ac:dyDescent="0.25">
      <c r="A94" s="5" t="s">
        <v>89</v>
      </c>
      <c r="B94" s="6">
        <f>COUNTIF('PR Register'!$C$2:$C$288,A94)</f>
        <v>2</v>
      </c>
    </row>
    <row r="95" spans="1:2" x14ac:dyDescent="0.25">
      <c r="A95" s="5" t="s">
        <v>90</v>
      </c>
      <c r="B95" s="6">
        <f>COUNTIF('PR Register'!$C$2:$C$288,A95)</f>
        <v>36</v>
      </c>
    </row>
    <row r="96" spans="1:2" x14ac:dyDescent="0.25">
      <c r="A96" s="5" t="s">
        <v>91</v>
      </c>
      <c r="B96" s="6">
        <f>COUNTIF('PR Register'!$C$2:$C$288,A96)</f>
        <v>61</v>
      </c>
    </row>
    <row r="97" spans="1:2" x14ac:dyDescent="0.25">
      <c r="A97" s="5" t="s">
        <v>92</v>
      </c>
      <c r="B97" s="6">
        <f>COUNTIF('PR Register'!$C$2:$C$288,A97)</f>
        <v>6</v>
      </c>
    </row>
    <row r="98" spans="1:2" x14ac:dyDescent="0.25">
      <c r="A98" s="5" t="s">
        <v>93</v>
      </c>
      <c r="B98" s="6">
        <f>COUNTIF('PR Register'!$C$2:$C$288,A98)</f>
        <v>39</v>
      </c>
    </row>
    <row r="99" spans="1:2" x14ac:dyDescent="0.25">
      <c r="A99" s="5" t="s">
        <v>94</v>
      </c>
      <c r="B99" s="6">
        <f>COUNTIF('PR Register'!$C$2:$C$288,A99)</f>
        <v>15</v>
      </c>
    </row>
    <row r="100" spans="1:2" x14ac:dyDescent="0.25">
      <c r="A100" s="5" t="s">
        <v>95</v>
      </c>
      <c r="B100" s="6">
        <f>COUNTIF('PR Register'!$C$2:$C$288,A100)</f>
        <v>1</v>
      </c>
    </row>
    <row r="101" spans="1:2" x14ac:dyDescent="0.25">
      <c r="A101" s="5" t="s">
        <v>96</v>
      </c>
      <c r="B101" s="6">
        <f>COUNTIF('PR Register'!$C$2:$C$288,A101)</f>
        <v>1</v>
      </c>
    </row>
    <row r="102" spans="1:2" x14ac:dyDescent="0.25">
      <c r="A102" s="5" t="s">
        <v>97</v>
      </c>
      <c r="B102" s="6">
        <f>COUNTIF('PR Register'!$C$2:$C$288,A102)</f>
        <v>1</v>
      </c>
    </row>
    <row r="103" spans="1:2" x14ac:dyDescent="0.25">
      <c r="A103" s="5" t="s">
        <v>98</v>
      </c>
      <c r="B103" s="6">
        <f>COUNTIF('PR Register'!$C$2:$C$288,A103)</f>
        <v>17</v>
      </c>
    </row>
    <row r="104" spans="1:2" x14ac:dyDescent="0.25">
      <c r="A104" s="5" t="s">
        <v>99</v>
      </c>
      <c r="B104" s="6">
        <f>COUNTIF('PR Register'!$C$2:$C$288,A104)</f>
        <v>6</v>
      </c>
    </row>
    <row r="105" spans="1:2" x14ac:dyDescent="0.25">
      <c r="A105" s="5" t="s">
        <v>100</v>
      </c>
      <c r="B105" s="6">
        <f>COUNTIF('PR Register'!$C$2:$C$288,A105)</f>
        <v>67</v>
      </c>
    </row>
    <row r="106" spans="1:2" x14ac:dyDescent="0.25">
      <c r="A106" s="5" t="s">
        <v>101</v>
      </c>
      <c r="B106" s="6">
        <f>COUNTIF('PR Register'!$C$2:$C$288,A106)</f>
        <v>1</v>
      </c>
    </row>
    <row r="107" spans="1:2" x14ac:dyDescent="0.25">
      <c r="A107" s="5" t="s">
        <v>102</v>
      </c>
      <c r="B107" s="6">
        <f>COUNTIF('PR Register'!$C$2:$C$288,A107)</f>
        <v>2</v>
      </c>
    </row>
    <row r="108" spans="1:2" x14ac:dyDescent="0.25">
      <c r="A108" s="5" t="s">
        <v>103</v>
      </c>
      <c r="B108" s="6">
        <f>COUNTIF('PR Register'!$C$2:$C$288,A108)</f>
        <v>3</v>
      </c>
    </row>
    <row r="109" spans="1:2" x14ac:dyDescent="0.25">
      <c r="A109" s="5" t="s">
        <v>104</v>
      </c>
      <c r="B109" s="6">
        <f>COUNTIF('PR Register'!$C$2:$C$288,A109)</f>
        <v>5</v>
      </c>
    </row>
    <row r="110" spans="1:2" x14ac:dyDescent="0.25">
      <c r="A110" s="5" t="s">
        <v>20</v>
      </c>
      <c r="B110" s="8">
        <f>SUM(B92:B109)</f>
        <v>287</v>
      </c>
    </row>
    <row r="112" spans="1:1" x14ac:dyDescent="0.25">
      <c r="A112" s="3" t="s">
        <v>105</v>
      </c>
    </row>
    <row r="113" ht="26" customHeight="1" spans="1:7" x14ac:dyDescent="0.25">
      <c r="A113" s="9" t="s">
        <v>106</v>
      </c>
      <c r="B113"/>
      <c r="C113"/>
      <c r="D113"/>
      <c r="E113"/>
      <c r="F113"/>
      <c r="G113"/>
    </row>
    <row r="114" ht="26" customHeight="1" spans="1:7" x14ac:dyDescent="0.25">
      <c r="A114" s="9" t="s">
        <v>107</v>
      </c>
      <c r="B114"/>
      <c r="C114"/>
      <c r="D114"/>
      <c r="E114"/>
      <c r="F114"/>
      <c r="G114"/>
    </row>
    <row r="115" ht="26" customHeight="1" spans="1:7" x14ac:dyDescent="0.25">
      <c r="A115" s="9" t="s">
        <v>108</v>
      </c>
      <c r="B115"/>
      <c r="C115"/>
      <c r="D115"/>
      <c r="E115"/>
      <c r="F115"/>
      <c r="G115"/>
    </row>
    <row r="116" ht="26" customHeight="1" spans="1:7" x14ac:dyDescent="0.25">
      <c r="A116" s="9" t="s">
        <v>109</v>
      </c>
      <c r="B116"/>
      <c r="C116"/>
      <c r="D116"/>
      <c r="E116"/>
      <c r="F116"/>
      <c r="G116"/>
    </row>
    <row r="117" ht="26" customHeight="1" spans="1:7" x14ac:dyDescent="0.25">
      <c r="A117" s="9" t="s">
        <v>110</v>
      </c>
      <c r="B117"/>
      <c r="C117"/>
      <c r="D117"/>
      <c r="E117"/>
      <c r="F117"/>
      <c r="G117"/>
    </row>
    <row r="118" ht="26" customHeight="1" spans="1:7" x14ac:dyDescent="0.25">
      <c r="A118" s="9" t="s">
        <v>111</v>
      </c>
      <c r="B118"/>
      <c r="C118"/>
      <c r="D118"/>
      <c r="E118"/>
      <c r="F118"/>
      <c r="G118"/>
    </row>
    <row r="119" ht="26" customHeight="1" spans="1:7" x14ac:dyDescent="0.25">
      <c r="A119" s="9" t="s">
        <v>112</v>
      </c>
      <c r="B119"/>
      <c r="C119"/>
      <c r="D119"/>
      <c r="E119"/>
      <c r="F119"/>
      <c r="G119"/>
    </row>
  </sheetData>
  <mergeCells count="12">
    <mergeCell ref="A1:G1"/>
    <mergeCell ref="A2:G2"/>
    <mergeCell ref="A3:G3"/>
    <mergeCell ref="A4:G4"/>
    <mergeCell ref="A5:G5"/>
    <mergeCell ref="A113:G113"/>
    <mergeCell ref="A114:G114"/>
    <mergeCell ref="A115:G115"/>
    <mergeCell ref="A116:G116"/>
    <mergeCell ref="A117:G117"/>
    <mergeCell ref="A118:G118"/>
    <mergeCell ref="A119:G119"/>
  </mergeCells>
  <conditionalFormatting sqref="A9:A13">
    <cfRule type="cellIs" dxfId="0" priority="2" operator="equal">
      <formula>"COMPLETED"</formula>
    </cfRule>
    <cfRule type="cellIs" dxfId="1" priority="3" operator="equal">
      <formula>"IN PROGRESS"</formula>
    </cfRule>
    <cfRule type="cellIs" dxfId="2" priority="4" operator="equal">
      <formula>"YET TO START"</formula>
    </cfRule>
    <cfRule type="cellIs" dxfId="3" priority="5" operator="equal">
      <formula>"BLOCKED"</formula>
    </cfRule>
  </conditionalFormatting>
  <conditionalFormatting sqref="A58:A61">
    <cfRule type="cellIs" dxfId="4" priority="2" operator="equal">
      <formula>"COMPLETED"</formula>
    </cfRule>
    <cfRule type="cellIs" dxfId="5" priority="3" operator="equal">
      <formula>"IN PROGRESS"</formula>
    </cfRule>
    <cfRule type="cellIs" dxfId="6" priority="4" operator="equal">
      <formula>"YET TO START"</formula>
    </cfRule>
    <cfRule type="cellIs" dxfId="7" priority="5" operator="equal">
      <formula>"BLOCKED"</formula>
    </cfRule>
  </conditionalFormatting>
  <conditionalFormatting sqref="C66:C83">
    <cfRule type="cellIs" dxfId="8" priority="2" operator="equal">
      <formula>"COMPLETED"</formula>
    </cfRule>
    <cfRule type="cellIs" dxfId="9" priority="3" operator="equal">
      <formula>"IN PROGRESS"</formula>
    </cfRule>
    <cfRule type="cellIs" dxfId="10" priority="4" operator="equal">
      <formula>"YET TO START"</formula>
    </cfRule>
    <cfRule type="cellIs" dxfId="11" priority="5" operator="equal">
      <formula>"BLOCKED"</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E36"/>
  <sheetViews>
    <sheetView workbookViewId="0" zoomScale="100" zoomScaleNormal="100" view="normal">
      <selection activeCell="A1" sqref="A1"/>
    </sheetView>
  </sheetViews>
  <sheetFormatPr defaultRowHeight="15" outlineLevelRow="0" outlineLevelCol="0" x14ac:dyDescent="0" defaultColWidth="8.6796875"/>
  <cols>
    <col min="1" max="1" width="14" style="10" customWidth="1"/>
    <col min="2" max="2" width="50" style="10" customWidth="1"/>
    <col min="3" max="3" width="22" style="10" customWidth="1"/>
    <col min="4" max="4" width="12" style="10" customWidth="1"/>
    <col min="5" max="5" width="90" style="10" customWidth="1"/>
  </cols>
  <sheetData>
    <row r="1" ht="15" customHeight="1" spans="1:1" s="12" customFormat="1" x14ac:dyDescent="0.25">
      <c r="A1" s="10" t="s">
        <v>5197</v>
      </c>
    </row>
    <row r="2" ht="15" customHeight="1" spans="1:1" s="12" customFormat="1" x14ac:dyDescent="0.25">
      <c r="A2" s="10" t="s">
        <v>5198</v>
      </c>
    </row>
    <row r="4" ht="15" customHeight="1" spans="1:5" s="12" customFormat="1" x14ac:dyDescent="0.25">
      <c r="A4" s="13" t="s">
        <v>2313</v>
      </c>
      <c r="B4" s="13" t="s">
        <v>5199</v>
      </c>
      <c r="C4" s="13" t="s">
        <v>5200</v>
      </c>
      <c r="D4" s="13" t="s">
        <v>5201</v>
      </c>
      <c r="E4" s="13" t="s">
        <v>2318</v>
      </c>
    </row>
    <row r="5" ht="41.75" customHeight="1" spans="1:5" s="12" customFormat="1" x14ac:dyDescent="0.25">
      <c r="A5" s="10" t="s">
        <v>2328</v>
      </c>
      <c r="B5" s="10" t="s">
        <v>2329</v>
      </c>
      <c r="C5" s="20" t="s">
        <v>2333</v>
      </c>
      <c r="D5" s="10" t="s">
        <v>2331</v>
      </c>
      <c r="E5" s="21" t="s">
        <v>2334</v>
      </c>
    </row>
    <row r="6" ht="41.75" customHeight="1" spans="1:5" s="12" customFormat="1" x14ac:dyDescent="0.25">
      <c r="A6" s="10" t="s">
        <v>294</v>
      </c>
      <c r="B6" s="10" t="s">
        <v>2364</v>
      </c>
      <c r="C6" s="22" t="s">
        <v>15</v>
      </c>
      <c r="D6" s="10" t="s">
        <v>2367</v>
      </c>
      <c r="E6" s="21" t="s">
        <v>2368</v>
      </c>
    </row>
    <row r="7" ht="55.2" customHeight="1" spans="1:5" s="12" customFormat="1" x14ac:dyDescent="0.25">
      <c r="A7" s="10" t="s">
        <v>2394</v>
      </c>
      <c r="B7" s="10" t="s">
        <v>2395</v>
      </c>
      <c r="C7" s="23" t="s">
        <v>2398</v>
      </c>
      <c r="D7" s="10" t="s">
        <v>2331</v>
      </c>
      <c r="E7" s="21" t="s">
        <v>2399</v>
      </c>
    </row>
    <row r="8" ht="41.75" customHeight="1" spans="1:5" s="12" customFormat="1" x14ac:dyDescent="0.25">
      <c r="A8" s="10" t="s">
        <v>778</v>
      </c>
      <c r="B8" s="10" t="s">
        <v>2410</v>
      </c>
      <c r="C8" s="23" t="s">
        <v>2398</v>
      </c>
      <c r="D8" s="10" t="s">
        <v>2331</v>
      </c>
      <c r="E8" s="21" t="s">
        <v>2413</v>
      </c>
    </row>
    <row r="9" ht="55.2" customHeight="1" spans="1:5" s="12" customFormat="1" x14ac:dyDescent="0.25">
      <c r="A9" s="10" t="s">
        <v>1715</v>
      </c>
      <c r="B9" s="10" t="s">
        <v>2488</v>
      </c>
      <c r="C9" s="20" t="s">
        <v>2333</v>
      </c>
      <c r="D9" s="10" t="s">
        <v>2367</v>
      </c>
      <c r="E9" s="21" t="s">
        <v>2490</v>
      </c>
    </row>
    <row r="10" ht="41.75" customHeight="1" spans="1:5" s="12" customFormat="1" x14ac:dyDescent="0.25">
      <c r="A10" s="10" t="s">
        <v>1693</v>
      </c>
      <c r="B10" s="10" t="s">
        <v>2499</v>
      </c>
      <c r="C10" s="20" t="s">
        <v>2333</v>
      </c>
      <c r="D10" s="10" t="s">
        <v>2331</v>
      </c>
      <c r="E10" s="21" t="s">
        <v>2501</v>
      </c>
    </row>
    <row r="11" ht="41.75" customHeight="1" spans="1:5" s="12" customFormat="1" x14ac:dyDescent="0.25">
      <c r="A11" s="10" t="s">
        <v>1700</v>
      </c>
      <c r="B11" s="10" t="s">
        <v>1698</v>
      </c>
      <c r="C11" s="23" t="s">
        <v>2398</v>
      </c>
      <c r="D11" s="10" t="s">
        <v>2367</v>
      </c>
      <c r="E11" s="21" t="s">
        <v>2507</v>
      </c>
    </row>
    <row r="12" ht="15" customHeight="1" spans="1:5" s="12" customFormat="1" x14ac:dyDescent="0.25">
      <c r="A12" s="10" t="s">
        <v>1708</v>
      </c>
      <c r="B12" s="10" t="s">
        <v>2517</v>
      </c>
      <c r="C12" s="24" t="s">
        <v>2519</v>
      </c>
      <c r="D12" s="10" t="s">
        <v>142</v>
      </c>
      <c r="E12" s="21" t="s">
        <v>2520</v>
      </c>
    </row>
    <row r="13" ht="41.75" customHeight="1" spans="1:5" s="12" customFormat="1" x14ac:dyDescent="0.25">
      <c r="A13" s="10" t="s">
        <v>2551</v>
      </c>
      <c r="B13" s="10" t="s">
        <v>2552</v>
      </c>
      <c r="C13" s="20" t="s">
        <v>2333</v>
      </c>
      <c r="D13" s="10" t="s">
        <v>2367</v>
      </c>
      <c r="E13" s="21" t="s">
        <v>2554</v>
      </c>
    </row>
    <row r="14" ht="55.2" customHeight="1" spans="1:5" s="12" customFormat="1" x14ac:dyDescent="0.25">
      <c r="A14" s="10" t="s">
        <v>2560</v>
      </c>
      <c r="B14" s="10" t="s">
        <v>2561</v>
      </c>
      <c r="C14" s="23" t="s">
        <v>2398</v>
      </c>
      <c r="D14" s="10" t="s">
        <v>2367</v>
      </c>
      <c r="E14" s="21" t="s">
        <v>2563</v>
      </c>
    </row>
    <row r="15" ht="55.2" customHeight="1" spans="1:5" s="12" customFormat="1" x14ac:dyDescent="0.25">
      <c r="A15" s="10" t="s">
        <v>785</v>
      </c>
      <c r="B15" s="10" t="s">
        <v>2569</v>
      </c>
      <c r="C15" s="20" t="s">
        <v>2333</v>
      </c>
      <c r="D15" s="10" t="s">
        <v>2367</v>
      </c>
      <c r="E15" s="21" t="s">
        <v>2571</v>
      </c>
    </row>
    <row r="16" ht="55.2" customHeight="1" spans="1:5" s="12" customFormat="1" x14ac:dyDescent="0.25">
      <c r="A16" s="10" t="s">
        <v>696</v>
      </c>
      <c r="B16" s="10" t="s">
        <v>2641</v>
      </c>
      <c r="C16" s="23" t="s">
        <v>2398</v>
      </c>
      <c r="D16" s="10" t="s">
        <v>2367</v>
      </c>
      <c r="E16" s="21" t="s">
        <v>2643</v>
      </c>
    </row>
    <row r="17" ht="55.2" customHeight="1" spans="1:5" s="12" customFormat="1" x14ac:dyDescent="0.25">
      <c r="A17" s="10" t="s">
        <v>1464</v>
      </c>
      <c r="B17" s="10" t="s">
        <v>2655</v>
      </c>
      <c r="C17" s="23" t="s">
        <v>2398</v>
      </c>
      <c r="D17" s="10" t="s">
        <v>2658</v>
      </c>
      <c r="E17" s="21" t="s">
        <v>2659</v>
      </c>
    </row>
    <row r="18" ht="55.2" customHeight="1" spans="1:5" s="12" customFormat="1" x14ac:dyDescent="0.25">
      <c r="A18" s="10" t="s">
        <v>1495</v>
      </c>
      <c r="B18" s="10" t="s">
        <v>2660</v>
      </c>
      <c r="C18" s="20" t="s">
        <v>2333</v>
      </c>
      <c r="D18" s="10" t="s">
        <v>2662</v>
      </c>
      <c r="E18" s="21" t="s">
        <v>2664</v>
      </c>
    </row>
    <row r="19" ht="55.2" customHeight="1" spans="1:5" s="12" customFormat="1" x14ac:dyDescent="0.25">
      <c r="A19" s="10" t="s">
        <v>1223</v>
      </c>
      <c r="B19" s="10" t="s">
        <v>2679</v>
      </c>
      <c r="C19" s="20" t="s">
        <v>2333</v>
      </c>
      <c r="D19" s="10" t="s">
        <v>2367</v>
      </c>
      <c r="E19" s="21" t="s">
        <v>2682</v>
      </c>
    </row>
    <row r="20" ht="55.2" customHeight="1" spans="1:5" s="12" customFormat="1" x14ac:dyDescent="0.25">
      <c r="A20" s="10" t="s">
        <v>1722</v>
      </c>
      <c r="B20" s="10" t="s">
        <v>2702</v>
      </c>
      <c r="C20" s="23" t="s">
        <v>2398</v>
      </c>
      <c r="D20" s="10" t="s">
        <v>2367</v>
      </c>
      <c r="E20" s="21" t="s">
        <v>2704</v>
      </c>
    </row>
    <row r="21" ht="55.2" customHeight="1" spans="1:5" s="12" customFormat="1" x14ac:dyDescent="0.25">
      <c r="A21" s="10" t="s">
        <v>1730</v>
      </c>
      <c r="B21" s="10" t="s">
        <v>2705</v>
      </c>
      <c r="C21" s="23" t="s">
        <v>2398</v>
      </c>
      <c r="D21" s="10" t="s">
        <v>2367</v>
      </c>
      <c r="E21" s="21" t="s">
        <v>2707</v>
      </c>
    </row>
    <row r="22" ht="41.75" customHeight="1" spans="1:5" s="12" customFormat="1" x14ac:dyDescent="0.25">
      <c r="A22" s="10" t="s">
        <v>2757</v>
      </c>
      <c r="B22" s="10" t="s">
        <v>2758</v>
      </c>
      <c r="C22" s="23" t="s">
        <v>2398</v>
      </c>
      <c r="D22" s="10" t="s">
        <v>2367</v>
      </c>
      <c r="E22" s="21" t="s">
        <v>2760</v>
      </c>
    </row>
    <row r="23" ht="82.05" customHeight="1" spans="1:5" s="12" customFormat="1" x14ac:dyDescent="0.25">
      <c r="A23" s="10" t="s">
        <v>1640</v>
      </c>
      <c r="B23" s="10" t="s">
        <v>2774</v>
      </c>
      <c r="C23" s="25" t="s">
        <v>2778</v>
      </c>
      <c r="D23" s="10" t="s">
        <v>2331</v>
      </c>
      <c r="E23" s="21" t="s">
        <v>2779</v>
      </c>
    </row>
    <row r="24" ht="82.05" customHeight="1" spans="1:5" s="12" customFormat="1" x14ac:dyDescent="0.25">
      <c r="A24" s="10" t="s">
        <v>1559</v>
      </c>
      <c r="B24" s="10" t="s">
        <v>2790</v>
      </c>
      <c r="C24" s="20" t="s">
        <v>2333</v>
      </c>
      <c r="D24" s="10" t="s">
        <v>2367</v>
      </c>
      <c r="E24" s="21" t="s">
        <v>2793</v>
      </c>
    </row>
    <row r="25" ht="41.75" customHeight="1" spans="1:5" s="12" customFormat="1" x14ac:dyDescent="0.25">
      <c r="A25" s="10" t="s">
        <v>1598</v>
      </c>
      <c r="B25" s="10" t="s">
        <v>2801</v>
      </c>
      <c r="C25" s="25" t="s">
        <v>2778</v>
      </c>
      <c r="D25" s="10" t="s">
        <v>2367</v>
      </c>
      <c r="E25" s="21" t="s">
        <v>2804</v>
      </c>
    </row>
    <row r="26" ht="28.35" customHeight="1" spans="1:5" s="12" customFormat="1" x14ac:dyDescent="0.25">
      <c r="A26" s="10" t="s">
        <v>2813</v>
      </c>
      <c r="B26" s="10" t="s">
        <v>2814</v>
      </c>
      <c r="C26" s="24" t="s">
        <v>2817</v>
      </c>
      <c r="D26" s="10" t="s">
        <v>142</v>
      </c>
      <c r="E26" s="21" t="s">
        <v>2818</v>
      </c>
    </row>
    <row r="27" ht="41.75" customHeight="1" spans="1:5" s="12" customFormat="1" x14ac:dyDescent="0.25">
      <c r="A27" s="10" t="s">
        <v>1612</v>
      </c>
      <c r="B27" s="10" t="s">
        <v>2819</v>
      </c>
      <c r="C27" s="24" t="s">
        <v>2817</v>
      </c>
      <c r="D27" s="10" t="s">
        <v>142</v>
      </c>
      <c r="E27" s="21" t="s">
        <v>2822</v>
      </c>
    </row>
    <row r="28" ht="55.2" customHeight="1" spans="1:5" s="12" customFormat="1" x14ac:dyDescent="0.25">
      <c r="A28" s="10" t="s">
        <v>2829</v>
      </c>
      <c r="B28" s="10" t="s">
        <v>2830</v>
      </c>
      <c r="C28" s="25" t="s">
        <v>2778</v>
      </c>
      <c r="D28" s="10" t="s">
        <v>2367</v>
      </c>
      <c r="E28" s="21" t="s">
        <v>2833</v>
      </c>
    </row>
    <row r="30" ht="15" customHeight="1" spans="1:1" s="12" customFormat="1" x14ac:dyDescent="0.25">
      <c r="A30" s="10" t="s">
        <v>5202</v>
      </c>
    </row>
    <row r="31" ht="15" customHeight="1" spans="1:2" s="12" customFormat="1" x14ac:dyDescent="0.25">
      <c r="A31" s="10" t="s">
        <v>2333</v>
      </c>
      <c r="B31" s="10">
        <f>COUNTIF($C$5:$C$28,"DONE")</f>
      </c>
    </row>
    <row r="32" ht="15" customHeight="1" spans="1:2" s="12" customFormat="1" x14ac:dyDescent="0.25">
      <c r="A32" s="10" t="s">
        <v>2398</v>
      </c>
      <c r="B32" s="10">
        <f>COUNTIF($C$5:$C$28,"DONE-SANDBOX")</f>
      </c>
    </row>
    <row r="33" ht="15" customHeight="1" spans="1:2" s="12" customFormat="1" x14ac:dyDescent="0.25">
      <c r="A33" s="10" t="s">
        <v>15</v>
      </c>
      <c r="B33" s="10">
        <f>COUNTIF($C$5:$C$28,"DROPPED")</f>
      </c>
    </row>
    <row r="34" ht="15" customHeight="1" spans="1:2" s="12" customFormat="1" x14ac:dyDescent="0.25">
      <c r="A34" s="10" t="s">
        <v>2519</v>
      </c>
      <c r="B34" s="10">
        <f>COUNTIF($C$5:$C$28,"DEFERRED-PHASE-2")</f>
      </c>
    </row>
    <row r="35" ht="15" customHeight="1" spans="1:2" s="12" customFormat="1" x14ac:dyDescent="0.25">
      <c r="A35" s="10" t="s">
        <v>2817</v>
      </c>
      <c r="B35" s="10">
        <f>COUNTIF($C$5:$C$28,"ON-HOLD")</f>
      </c>
    </row>
    <row r="36" ht="15" customHeight="1" spans="1:2" s="12" customFormat="1" x14ac:dyDescent="0.25">
      <c r="A36" s="10" t="s">
        <v>2778</v>
      </c>
      <c r="B36" s="10">
        <f>COUNTIF($C$5:$C$28,"BLOCKED-OWNER-INPUT")</f>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F21"/>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9" style="10" customWidth="1"/>
    <col min="2" max="2" width="32" style="10" customWidth="1"/>
    <col min="3" max="3" width="14" style="10" customWidth="1"/>
    <col min="4" max="4" width="12" style="10" customWidth="1"/>
    <col min="5" max="5" width="110" style="10" customWidth="1"/>
    <col min="6" max="6" width="30" style="10" customWidth="1"/>
  </cols>
  <sheetData>
    <row r="1" ht="16.15" customHeight="1" spans="1:1" s="12" customFormat="1" x14ac:dyDescent="0.25">
      <c r="A1" s="27" t="s">
        <v>5203</v>
      </c>
    </row>
    <row r="2" ht="15" customHeight="1" spans="1:1" s="12" customFormat="1" x14ac:dyDescent="0.25">
      <c r="A2" s="10" t="s">
        <v>5204</v>
      </c>
    </row>
    <row r="4" ht="15" customHeight="1" spans="1:6" s="12" customFormat="1" x14ac:dyDescent="0.25">
      <c r="A4" s="28" t="s">
        <v>2973</v>
      </c>
      <c r="B4" s="28" t="s">
        <v>5205</v>
      </c>
      <c r="C4" s="28" t="s">
        <v>6</v>
      </c>
      <c r="D4" s="28" t="s">
        <v>5206</v>
      </c>
      <c r="E4" s="28" t="s">
        <v>4240</v>
      </c>
      <c r="F4" s="28" t="s">
        <v>5207</v>
      </c>
    </row>
    <row r="5" ht="68.65" customHeight="1" spans="1:6" s="12" customFormat="1" x14ac:dyDescent="0.25">
      <c r="A5" s="21" t="s">
        <v>5208</v>
      </c>
      <c r="B5" s="21" t="s">
        <v>5209</v>
      </c>
      <c r="C5" s="29" t="s">
        <v>5210</v>
      </c>
      <c r="D5" s="21" t="s">
        <v>4834</v>
      </c>
      <c r="E5" s="21" t="s">
        <v>5211</v>
      </c>
      <c r="F5" s="21" t="s">
        <v>5212</v>
      </c>
    </row>
    <row r="6" ht="41.75" customHeight="1" spans="1:6" s="12" customFormat="1" x14ac:dyDescent="0.25">
      <c r="A6" s="21" t="s">
        <v>5213</v>
      </c>
      <c r="B6" s="21" t="s">
        <v>5214</v>
      </c>
      <c r="C6" s="29" t="s">
        <v>5210</v>
      </c>
      <c r="D6" s="21" t="s">
        <v>4834</v>
      </c>
      <c r="E6" s="21" t="s">
        <v>5215</v>
      </c>
      <c r="F6" s="21" t="s">
        <v>5212</v>
      </c>
    </row>
    <row r="7" ht="41.75" customHeight="1" spans="1:6" s="12" customFormat="1" x14ac:dyDescent="0.25">
      <c r="A7" s="21" t="s">
        <v>4109</v>
      </c>
      <c r="B7" s="21" t="s">
        <v>5216</v>
      </c>
      <c r="C7" s="29" t="s">
        <v>5210</v>
      </c>
      <c r="D7" s="21" t="s">
        <v>4834</v>
      </c>
      <c r="E7" s="21" t="s">
        <v>5217</v>
      </c>
      <c r="F7" s="21" t="s">
        <v>5212</v>
      </c>
    </row>
    <row r="8" ht="55.2" customHeight="1" spans="1:6" s="12" customFormat="1" x14ac:dyDescent="0.25">
      <c r="A8" s="21" t="s">
        <v>4114</v>
      </c>
      <c r="B8" s="21" t="s">
        <v>5218</v>
      </c>
      <c r="C8" s="29" t="s">
        <v>5210</v>
      </c>
      <c r="D8" s="21" t="s">
        <v>4834</v>
      </c>
      <c r="E8" s="21" t="s">
        <v>5219</v>
      </c>
      <c r="F8" s="21" t="s">
        <v>5212</v>
      </c>
    </row>
    <row r="9" ht="55.2" customHeight="1" spans="1:6" s="12" customFormat="1" x14ac:dyDescent="0.25">
      <c r="A9" s="21" t="s">
        <v>5220</v>
      </c>
      <c r="B9" s="21" t="s">
        <v>5221</v>
      </c>
      <c r="C9" s="29" t="s">
        <v>5210</v>
      </c>
      <c r="D9" s="21" t="s">
        <v>4834</v>
      </c>
      <c r="E9" s="21" t="s">
        <v>5222</v>
      </c>
      <c r="F9" s="21" t="s">
        <v>5212</v>
      </c>
    </row>
    <row r="10" ht="55.2" customHeight="1" spans="1:6" s="12" customFormat="1" x14ac:dyDescent="0.25">
      <c r="A10" s="21" t="s">
        <v>5223</v>
      </c>
      <c r="B10" s="21" t="s">
        <v>5224</v>
      </c>
      <c r="C10" s="29" t="s">
        <v>5210</v>
      </c>
      <c r="D10" s="21" t="s">
        <v>4834</v>
      </c>
      <c r="E10" s="21" t="s">
        <v>5225</v>
      </c>
      <c r="F10" s="21" t="s">
        <v>5212</v>
      </c>
    </row>
    <row r="11" ht="68.65" customHeight="1" spans="1:6" s="12" customFormat="1" x14ac:dyDescent="0.25">
      <c r="A11" s="21" t="s">
        <v>5226</v>
      </c>
      <c r="B11" s="21" t="s">
        <v>5227</v>
      </c>
      <c r="C11" s="29" t="s">
        <v>5210</v>
      </c>
      <c r="D11" s="21" t="s">
        <v>4834</v>
      </c>
      <c r="E11" s="21" t="s">
        <v>5228</v>
      </c>
      <c r="F11" s="21" t="s">
        <v>5212</v>
      </c>
    </row>
    <row r="12" ht="55.2" customHeight="1" spans="1:6" s="12" customFormat="1" x14ac:dyDescent="0.25">
      <c r="A12" s="21" t="s">
        <v>5229</v>
      </c>
      <c r="B12" s="21" t="s">
        <v>5230</v>
      </c>
      <c r="C12" s="29" t="s">
        <v>5210</v>
      </c>
      <c r="D12" s="21" t="s">
        <v>4834</v>
      </c>
      <c r="E12" s="21" t="s">
        <v>5231</v>
      </c>
      <c r="F12" s="21" t="s">
        <v>5212</v>
      </c>
    </row>
    <row r="13" ht="41.75" customHeight="1" spans="1:6" s="12" customFormat="1" x14ac:dyDescent="0.25">
      <c r="A13" s="21" t="s">
        <v>5232</v>
      </c>
      <c r="B13" s="21" t="s">
        <v>3610</v>
      </c>
      <c r="C13" s="29" t="s">
        <v>5210</v>
      </c>
      <c r="D13" s="21" t="s">
        <v>4834</v>
      </c>
      <c r="E13" s="21" t="s">
        <v>5233</v>
      </c>
      <c r="F13" s="21" t="s">
        <v>5212</v>
      </c>
    </row>
    <row r="14" ht="55.2" customHeight="1" spans="1:6" s="12" customFormat="1" x14ac:dyDescent="0.25">
      <c r="A14" s="21" t="s">
        <v>5234</v>
      </c>
      <c r="B14" s="21" t="s">
        <v>5235</v>
      </c>
      <c r="C14" s="29" t="s">
        <v>3934</v>
      </c>
      <c r="D14" s="21" t="s">
        <v>4834</v>
      </c>
      <c r="E14" s="21" t="s">
        <v>5236</v>
      </c>
      <c r="F14" s="21" t="s">
        <v>5212</v>
      </c>
    </row>
    <row r="15" ht="28.35" customHeight="1" spans="1:6" s="12" customFormat="1" x14ac:dyDescent="0.25">
      <c r="A15" s="21" t="s">
        <v>5237</v>
      </c>
      <c r="B15" s="21" t="s">
        <v>5238</v>
      </c>
      <c r="C15" s="30" t="s">
        <v>5239</v>
      </c>
      <c r="D15" s="21" t="s">
        <v>4834</v>
      </c>
      <c r="E15" s="21" t="s">
        <v>5240</v>
      </c>
      <c r="F15" s="21" t="s">
        <v>5212</v>
      </c>
    </row>
    <row r="16" ht="55.2" customHeight="1" spans="1:6" s="12" customFormat="1" x14ac:dyDescent="0.25">
      <c r="A16" s="21" t="s">
        <v>5241</v>
      </c>
      <c r="B16" s="21" t="s">
        <v>491</v>
      </c>
      <c r="C16" s="29" t="s">
        <v>5210</v>
      </c>
      <c r="D16" s="21" t="s">
        <v>4834</v>
      </c>
      <c r="E16" s="21" t="s">
        <v>5242</v>
      </c>
      <c r="F16" s="21" t="s">
        <v>5212</v>
      </c>
    </row>
    <row r="17" ht="41.75" customHeight="1" spans="1:6" s="12" customFormat="1" x14ac:dyDescent="0.25">
      <c r="A17" s="21" t="s">
        <v>5243</v>
      </c>
      <c r="B17" s="21" t="s">
        <v>5244</v>
      </c>
      <c r="C17" s="29" t="s">
        <v>5210</v>
      </c>
      <c r="D17" s="21" t="s">
        <v>4834</v>
      </c>
      <c r="E17" s="21" t="s">
        <v>5245</v>
      </c>
      <c r="F17" s="21" t="s">
        <v>5212</v>
      </c>
    </row>
    <row r="18" ht="41.75" customHeight="1" spans="1:6" s="12" customFormat="1" x14ac:dyDescent="0.25">
      <c r="A18" s="21" t="s">
        <v>5246</v>
      </c>
      <c r="B18" s="21" t="s">
        <v>5247</v>
      </c>
      <c r="C18" s="29" t="s">
        <v>5210</v>
      </c>
      <c r="D18" s="21" t="s">
        <v>4834</v>
      </c>
      <c r="E18" s="21" t="s">
        <v>5248</v>
      </c>
      <c r="F18" s="21" t="s">
        <v>5212</v>
      </c>
    </row>
    <row r="19" ht="28.35" customHeight="1" spans="1:6" s="12" customFormat="1" x14ac:dyDescent="0.25">
      <c r="A19" s="21" t="s">
        <v>5249</v>
      </c>
      <c r="B19" s="21" t="s">
        <v>5250</v>
      </c>
      <c r="C19" s="30" t="s">
        <v>5210</v>
      </c>
      <c r="D19" s="21" t="s">
        <v>4834</v>
      </c>
      <c r="E19" s="21" t="s">
        <v>5251</v>
      </c>
      <c r="F19" s="21" t="s">
        <v>5212</v>
      </c>
    </row>
    <row r="20" ht="68.65" customHeight="1" spans="1:6" s="12" customFormat="1" x14ac:dyDescent="0.25">
      <c r="A20" s="21" t="s">
        <v>4105</v>
      </c>
      <c r="B20" s="21" t="s">
        <v>5252</v>
      </c>
      <c r="C20" s="30" t="s">
        <v>5210</v>
      </c>
      <c r="D20" s="21" t="s">
        <v>4834</v>
      </c>
      <c r="E20" s="21" t="s">
        <v>5253</v>
      </c>
      <c r="F20" s="21" t="s">
        <v>5254</v>
      </c>
    </row>
    <row r="21" ht="15" customHeight="1" spans="1:6" s="12" customFormat="1" x14ac:dyDescent="0.25">
      <c r="A21" s="21" t="s">
        <v>5255</v>
      </c>
      <c r="B21" s="21" t="s">
        <v>5256</v>
      </c>
      <c r="C21" s="29" t="s">
        <v>5210</v>
      </c>
      <c r="D21" s="21" t="s">
        <v>4834</v>
      </c>
      <c r="E21" s="21" t="s">
        <v>5257</v>
      </c>
      <c r="F21" s="21" t="s">
        <v>5212</v>
      </c>
    </row>
  </sheetData>
  <pageMargins left="0.75" right="0.75" top="1" bottom="1" header="0.511811023622047" footer="0.511811023622047"/>
  <pageSetup paperSize="9" orientation="portrait" horizontalDpi="300" verticalDpi="300"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1" summaryRight="1"/>
  </sheetPr>
  <dimension ref="A1:I66"/>
  <sheetViews>
    <sheetView workbookViewId="0" zoomScale="100" zoomScaleNormal="100" view="normal">
      <pane ySplit="4" topLeftCell="A5" activePane="bottomLeft" state="frozen"/>
      <selection pane="bottomLeft" activeCell="A1" sqref="A1"/>
    </sheetView>
  </sheetViews>
  <sheetFormatPr defaultRowHeight="15" outlineLevelRow="0" outlineLevelCol="0" x14ac:dyDescent="0" defaultColWidth="8.6796875"/>
  <cols>
    <col min="1" max="1" width="10" style="10" customWidth="1"/>
    <col min="2" max="2" width="16" style="10" customWidth="1"/>
    <col min="3" max="3" width="34" style="10" customWidth="1"/>
    <col min="4" max="4" width="60" style="10" customWidth="1"/>
    <col min="5" max="5" width="12" style="10" customWidth="1"/>
    <col min="6" max="6" width="24" style="10" customWidth="1"/>
    <col min="7" max="7" width="11" style="10" customWidth="1"/>
    <col min="8" max="8" width="70" style="10" customWidth="1"/>
    <col min="9" max="9" width="22" style="10" customWidth="1"/>
  </cols>
  <sheetData>
    <row r="1" ht="16.15" customHeight="1" spans="1:1" s="12" customFormat="1" x14ac:dyDescent="0.25">
      <c r="A1" s="27" t="s">
        <v>5258</v>
      </c>
    </row>
    <row r="2" ht="15" customHeight="1" spans="1:1" s="12" customFormat="1" x14ac:dyDescent="0.25">
      <c r="A2" s="10" t="s">
        <v>5259</v>
      </c>
    </row>
    <row r="4" ht="15" customHeight="1" spans="1:9" s="12" customFormat="1" x14ac:dyDescent="0.25">
      <c r="A4" s="28" t="s">
        <v>2973</v>
      </c>
      <c r="B4" s="28" t="s">
        <v>5260</v>
      </c>
      <c r="C4" s="28" t="s">
        <v>5261</v>
      </c>
      <c r="D4" s="28" t="s">
        <v>2975</v>
      </c>
      <c r="E4" s="28" t="s">
        <v>6</v>
      </c>
      <c r="F4" s="28" t="s">
        <v>44</v>
      </c>
      <c r="G4" s="28" t="s">
        <v>5206</v>
      </c>
      <c r="H4" s="28" t="s">
        <v>5262</v>
      </c>
      <c r="I4" s="28" t="s">
        <v>5201</v>
      </c>
    </row>
    <row r="5" ht="28.35" customHeight="1" spans="1:9" s="21" customFormat="1" x14ac:dyDescent="0.25">
      <c r="A5" s="21" t="s">
        <v>5263</v>
      </c>
      <c r="B5" s="21" t="s">
        <v>5264</v>
      </c>
      <c r="C5" s="21" t="s">
        <v>5265</v>
      </c>
      <c r="D5" s="21" t="s">
        <v>5266</v>
      </c>
      <c r="E5" s="31" t="s">
        <v>2257</v>
      </c>
      <c r="F5" s="21" t="s">
        <v>5267</v>
      </c>
      <c r="G5" s="21" t="s">
        <v>4834</v>
      </c>
      <c r="H5" s="21" t="s">
        <v>142</v>
      </c>
      <c r="I5" s="21" t="s">
        <v>5268</v>
      </c>
    </row>
    <row r="6" ht="55.2" customHeight="1" spans="1:9" s="21" customFormat="1" x14ac:dyDescent="0.25">
      <c r="A6" s="21" t="s">
        <v>5269</v>
      </c>
      <c r="B6" s="21" t="s">
        <v>5264</v>
      </c>
      <c r="C6" s="21" t="s">
        <v>5270</v>
      </c>
      <c r="D6" s="21" t="s">
        <v>5271</v>
      </c>
      <c r="E6" s="31" t="s">
        <v>2257</v>
      </c>
      <c r="F6" s="21" t="s">
        <v>5267</v>
      </c>
      <c r="G6" s="21" t="s">
        <v>4834</v>
      </c>
      <c r="H6" s="21" t="s">
        <v>142</v>
      </c>
      <c r="I6" s="21" t="s">
        <v>5268</v>
      </c>
    </row>
    <row r="7" ht="41.75" customHeight="1" spans="1:9" s="21" customFormat="1" x14ac:dyDescent="0.25">
      <c r="A7" s="21" t="s">
        <v>5272</v>
      </c>
      <c r="B7" s="21" t="s">
        <v>5264</v>
      </c>
      <c r="C7" s="21" t="s">
        <v>5273</v>
      </c>
      <c r="D7" s="21" t="s">
        <v>5274</v>
      </c>
      <c r="E7" s="31" t="s">
        <v>2257</v>
      </c>
      <c r="F7" s="21" t="s">
        <v>5267</v>
      </c>
      <c r="G7" s="21" t="s">
        <v>4834</v>
      </c>
      <c r="H7" s="21" t="s">
        <v>5275</v>
      </c>
      <c r="I7" s="21" t="s">
        <v>5276</v>
      </c>
    </row>
    <row r="8" ht="28.35" customHeight="1" spans="1:9" s="21" customFormat="1" x14ac:dyDescent="0.25">
      <c r="A8" s="21" t="s">
        <v>5277</v>
      </c>
      <c r="B8" s="21" t="s">
        <v>5264</v>
      </c>
      <c r="C8" s="21" t="s">
        <v>5278</v>
      </c>
      <c r="D8" s="21" t="s">
        <v>5279</v>
      </c>
      <c r="E8" s="31" t="s">
        <v>2257</v>
      </c>
      <c r="F8" s="21" t="s">
        <v>5267</v>
      </c>
      <c r="G8" s="21" t="s">
        <v>4834</v>
      </c>
      <c r="H8" s="21" t="s">
        <v>142</v>
      </c>
      <c r="I8" s="21" t="s">
        <v>5268</v>
      </c>
    </row>
    <row r="9" ht="28.35" customHeight="1" spans="1:9" s="21" customFormat="1" x14ac:dyDescent="0.25">
      <c r="A9" s="21" t="s">
        <v>5280</v>
      </c>
      <c r="B9" s="21" t="s">
        <v>5264</v>
      </c>
      <c r="C9" s="21" t="s">
        <v>5281</v>
      </c>
      <c r="D9" s="21" t="s">
        <v>5282</v>
      </c>
      <c r="E9" s="31" t="s">
        <v>2257</v>
      </c>
      <c r="F9" s="21" t="s">
        <v>5267</v>
      </c>
      <c r="G9" s="21" t="s">
        <v>4834</v>
      </c>
      <c r="H9" s="21" t="s">
        <v>142</v>
      </c>
      <c r="I9" s="21" t="s">
        <v>5268</v>
      </c>
    </row>
    <row r="10" ht="28.35" customHeight="1" spans="1:9" s="21" customFormat="1" x14ac:dyDescent="0.25">
      <c r="A10" s="21" t="s">
        <v>5283</v>
      </c>
      <c r="B10" s="21" t="s">
        <v>5264</v>
      </c>
      <c r="C10" s="21" t="s">
        <v>5284</v>
      </c>
      <c r="D10" s="21" t="s">
        <v>5285</v>
      </c>
      <c r="E10" s="31" t="s">
        <v>2257</v>
      </c>
      <c r="F10" s="21" t="s">
        <v>5267</v>
      </c>
      <c r="G10" s="21" t="s">
        <v>4834</v>
      </c>
      <c r="H10" s="21" t="s">
        <v>142</v>
      </c>
      <c r="I10" s="21" t="s">
        <v>5268</v>
      </c>
    </row>
    <row r="11" ht="28.35" customHeight="1" spans="1:9" s="21" customFormat="1" x14ac:dyDescent="0.25">
      <c r="A11" s="21" t="s">
        <v>5286</v>
      </c>
      <c r="B11" s="21" t="s">
        <v>5264</v>
      </c>
      <c r="C11" s="21" t="s">
        <v>5287</v>
      </c>
      <c r="D11" s="21" t="s">
        <v>5288</v>
      </c>
      <c r="E11" s="31" t="s">
        <v>2257</v>
      </c>
      <c r="F11" s="21" t="s">
        <v>5267</v>
      </c>
      <c r="G11" s="21" t="s">
        <v>4834</v>
      </c>
      <c r="H11" s="21" t="s">
        <v>142</v>
      </c>
      <c r="I11" s="21" t="s">
        <v>5268</v>
      </c>
    </row>
    <row r="12" ht="41.75" customHeight="1" spans="1:9" s="21" customFormat="1" x14ac:dyDescent="0.25">
      <c r="A12" s="21" t="s">
        <v>5289</v>
      </c>
      <c r="B12" s="21" t="s">
        <v>5264</v>
      </c>
      <c r="C12" s="21" t="s">
        <v>5290</v>
      </c>
      <c r="D12" s="21" t="s">
        <v>5291</v>
      </c>
      <c r="E12" s="31" t="s">
        <v>2257</v>
      </c>
      <c r="F12" s="21" t="s">
        <v>5267</v>
      </c>
      <c r="G12" s="21" t="s">
        <v>4834</v>
      </c>
      <c r="H12" s="21" t="s">
        <v>142</v>
      </c>
      <c r="I12" s="21" t="s">
        <v>5268</v>
      </c>
    </row>
    <row r="13" ht="28.35" customHeight="1" spans="1:9" s="21" customFormat="1" x14ac:dyDescent="0.25">
      <c r="A13" s="21" t="s">
        <v>5292</v>
      </c>
      <c r="B13" s="21" t="s">
        <v>5264</v>
      </c>
      <c r="C13" s="21" t="s">
        <v>5293</v>
      </c>
      <c r="D13" s="21" t="s">
        <v>5294</v>
      </c>
      <c r="E13" s="31" t="s">
        <v>2257</v>
      </c>
      <c r="F13" s="21" t="s">
        <v>5267</v>
      </c>
      <c r="G13" s="21" t="s">
        <v>4834</v>
      </c>
      <c r="H13" s="21" t="s">
        <v>142</v>
      </c>
      <c r="I13" s="21" t="s">
        <v>5268</v>
      </c>
    </row>
    <row r="14" ht="28.35" customHeight="1" spans="1:9" s="21" customFormat="1" x14ac:dyDescent="0.25">
      <c r="A14" s="21" t="s">
        <v>5295</v>
      </c>
      <c r="B14" s="21" t="s">
        <v>5296</v>
      </c>
      <c r="C14" s="21" t="s">
        <v>5297</v>
      </c>
      <c r="D14" s="21" t="s">
        <v>5298</v>
      </c>
      <c r="E14" s="31" t="s">
        <v>2257</v>
      </c>
      <c r="F14" s="21" t="s">
        <v>5267</v>
      </c>
      <c r="G14" s="21" t="s">
        <v>4834</v>
      </c>
      <c r="H14" s="21" t="s">
        <v>142</v>
      </c>
      <c r="I14" s="21" t="s">
        <v>5268</v>
      </c>
    </row>
    <row r="15" ht="28.35" customHeight="1" spans="1:9" s="21" customFormat="1" x14ac:dyDescent="0.25">
      <c r="A15" s="21" t="s">
        <v>5299</v>
      </c>
      <c r="B15" s="21" t="s">
        <v>5296</v>
      </c>
      <c r="C15" s="21" t="s">
        <v>5300</v>
      </c>
      <c r="D15" s="21" t="s">
        <v>5301</v>
      </c>
      <c r="E15" s="31" t="s">
        <v>2257</v>
      </c>
      <c r="F15" s="21" t="s">
        <v>5267</v>
      </c>
      <c r="G15" s="21" t="s">
        <v>4834</v>
      </c>
      <c r="H15" s="21" t="s">
        <v>142</v>
      </c>
      <c r="I15" s="21" t="s">
        <v>5268</v>
      </c>
    </row>
    <row r="16" ht="28.35" customHeight="1" spans="1:9" s="21" customFormat="1" x14ac:dyDescent="0.25">
      <c r="A16" s="21" t="s">
        <v>5302</v>
      </c>
      <c r="B16" s="21" t="s">
        <v>5296</v>
      </c>
      <c r="C16" s="21" t="s">
        <v>5303</v>
      </c>
      <c r="D16" s="21" t="s">
        <v>5304</v>
      </c>
      <c r="E16" s="31" t="s">
        <v>2257</v>
      </c>
      <c r="F16" s="21" t="s">
        <v>5267</v>
      </c>
      <c r="G16" s="21" t="s">
        <v>4834</v>
      </c>
      <c r="H16" s="21" t="s">
        <v>142</v>
      </c>
      <c r="I16" s="21" t="s">
        <v>5268</v>
      </c>
    </row>
    <row r="17" ht="28.35" customHeight="1" spans="1:9" s="21" customFormat="1" x14ac:dyDescent="0.25">
      <c r="A17" s="21" t="s">
        <v>5305</v>
      </c>
      <c r="B17" s="21" t="s">
        <v>5296</v>
      </c>
      <c r="C17" s="21" t="s">
        <v>5306</v>
      </c>
      <c r="D17" s="21" t="s">
        <v>5307</v>
      </c>
      <c r="E17" s="31" t="s">
        <v>2257</v>
      </c>
      <c r="F17" s="21" t="s">
        <v>5267</v>
      </c>
      <c r="G17" s="21" t="s">
        <v>4834</v>
      </c>
      <c r="H17" s="21" t="s">
        <v>142</v>
      </c>
      <c r="I17" s="21" t="s">
        <v>5268</v>
      </c>
    </row>
    <row r="18" ht="28.35" customHeight="1" spans="1:9" s="21" customFormat="1" x14ac:dyDescent="0.25">
      <c r="A18" s="21" t="s">
        <v>5308</v>
      </c>
      <c r="B18" s="21" t="s">
        <v>5296</v>
      </c>
      <c r="C18" s="21" t="s">
        <v>5309</v>
      </c>
      <c r="D18" s="21" t="s">
        <v>5310</v>
      </c>
      <c r="E18" s="31" t="s">
        <v>2257</v>
      </c>
      <c r="F18" s="21" t="s">
        <v>5267</v>
      </c>
      <c r="G18" s="21" t="s">
        <v>4834</v>
      </c>
      <c r="H18" s="21" t="s">
        <v>142</v>
      </c>
      <c r="I18" s="21" t="s">
        <v>5268</v>
      </c>
    </row>
    <row r="19" ht="28.35" customHeight="1" spans="1:9" s="21" customFormat="1" x14ac:dyDescent="0.25">
      <c r="A19" s="21" t="s">
        <v>5311</v>
      </c>
      <c r="B19" s="21" t="s">
        <v>5296</v>
      </c>
      <c r="C19" s="21" t="s">
        <v>5312</v>
      </c>
      <c r="D19" s="21" t="s">
        <v>5313</v>
      </c>
      <c r="E19" s="31" t="s">
        <v>2257</v>
      </c>
      <c r="F19" s="21" t="s">
        <v>5267</v>
      </c>
      <c r="G19" s="21" t="s">
        <v>4834</v>
      </c>
      <c r="H19" s="21" t="s">
        <v>142</v>
      </c>
      <c r="I19" s="21" t="s">
        <v>5268</v>
      </c>
    </row>
    <row r="20" ht="28.35" customHeight="1" spans="1:9" s="21" customFormat="1" x14ac:dyDescent="0.25">
      <c r="A20" s="21" t="s">
        <v>5314</v>
      </c>
      <c r="B20" s="21" t="s">
        <v>5296</v>
      </c>
      <c r="C20" s="21" t="s">
        <v>5315</v>
      </c>
      <c r="D20" s="21" t="s">
        <v>5316</v>
      </c>
      <c r="E20" s="31" t="s">
        <v>2257</v>
      </c>
      <c r="F20" s="21" t="s">
        <v>5267</v>
      </c>
      <c r="G20" s="21" t="s">
        <v>4834</v>
      </c>
      <c r="H20" s="21" t="s">
        <v>142</v>
      </c>
      <c r="I20" s="21" t="s">
        <v>5268</v>
      </c>
    </row>
    <row r="21" ht="28.35" customHeight="1" spans="1:9" s="21" customFormat="1" x14ac:dyDescent="0.25">
      <c r="A21" s="21" t="s">
        <v>5317</v>
      </c>
      <c r="B21" s="21" t="s">
        <v>5296</v>
      </c>
      <c r="C21" s="21" t="s">
        <v>5318</v>
      </c>
      <c r="D21" s="21" t="s">
        <v>5319</v>
      </c>
      <c r="E21" s="31" t="s">
        <v>2257</v>
      </c>
      <c r="F21" s="21" t="s">
        <v>5267</v>
      </c>
      <c r="G21" s="21" t="s">
        <v>4834</v>
      </c>
      <c r="H21" s="21" t="s">
        <v>142</v>
      </c>
      <c r="I21" s="21" t="s">
        <v>5268</v>
      </c>
    </row>
    <row r="22" ht="28.35" customHeight="1" spans="1:9" s="21" customFormat="1" x14ac:dyDescent="0.25">
      <c r="A22" s="21" t="s">
        <v>5320</v>
      </c>
      <c r="B22" s="21" t="s">
        <v>5296</v>
      </c>
      <c r="C22" s="21" t="s">
        <v>5321</v>
      </c>
      <c r="D22" s="21" t="s">
        <v>5322</v>
      </c>
      <c r="E22" s="31" t="s">
        <v>2257</v>
      </c>
      <c r="F22" s="21" t="s">
        <v>5267</v>
      </c>
      <c r="G22" s="21" t="s">
        <v>4834</v>
      </c>
      <c r="H22" s="21" t="s">
        <v>142</v>
      </c>
      <c r="I22" s="21" t="s">
        <v>5268</v>
      </c>
    </row>
    <row r="23" ht="28.35" customHeight="1" spans="1:9" s="21" customFormat="1" x14ac:dyDescent="0.25">
      <c r="A23" s="21" t="s">
        <v>5323</v>
      </c>
      <c r="B23" s="21" t="s">
        <v>5296</v>
      </c>
      <c r="C23" s="21" t="s">
        <v>5324</v>
      </c>
      <c r="D23" s="21" t="s">
        <v>5325</v>
      </c>
      <c r="E23" s="31" t="s">
        <v>2257</v>
      </c>
      <c r="F23" s="21" t="s">
        <v>5267</v>
      </c>
      <c r="G23" s="21" t="s">
        <v>4834</v>
      </c>
      <c r="H23" s="21" t="s">
        <v>5326</v>
      </c>
      <c r="I23" s="21" t="s">
        <v>5268</v>
      </c>
    </row>
    <row r="24" ht="55.2" customHeight="1" spans="1:9" s="21" customFormat="1" x14ac:dyDescent="0.25">
      <c r="A24" s="21" t="s">
        <v>5327</v>
      </c>
      <c r="B24" s="21" t="s">
        <v>5328</v>
      </c>
      <c r="C24" s="21" t="s">
        <v>5329</v>
      </c>
      <c r="D24" s="21" t="s">
        <v>5330</v>
      </c>
      <c r="E24" s="31" t="s">
        <v>2257</v>
      </c>
      <c r="F24" s="21" t="s">
        <v>5267</v>
      </c>
      <c r="G24" s="21" t="s">
        <v>4834</v>
      </c>
      <c r="H24" s="21" t="s">
        <v>5331</v>
      </c>
      <c r="I24" s="21" t="s">
        <v>5268</v>
      </c>
    </row>
    <row r="25" ht="28.35" customHeight="1" spans="1:9" s="21" customFormat="1" x14ac:dyDescent="0.25">
      <c r="A25" s="21" t="s">
        <v>5332</v>
      </c>
      <c r="B25" s="21" t="s">
        <v>5328</v>
      </c>
      <c r="C25" s="21" t="s">
        <v>5333</v>
      </c>
      <c r="D25" s="21" t="s">
        <v>5334</v>
      </c>
      <c r="E25" s="31" t="s">
        <v>2257</v>
      </c>
      <c r="F25" s="21" t="s">
        <v>5267</v>
      </c>
      <c r="G25" s="21" t="s">
        <v>4834</v>
      </c>
      <c r="H25" s="21" t="s">
        <v>142</v>
      </c>
      <c r="I25" s="21" t="s">
        <v>5268</v>
      </c>
    </row>
    <row r="26" ht="28.35" customHeight="1" spans="1:9" s="21" customFormat="1" x14ac:dyDescent="0.25">
      <c r="A26" s="21" t="s">
        <v>5335</v>
      </c>
      <c r="B26" s="21" t="s">
        <v>5328</v>
      </c>
      <c r="C26" s="21" t="s">
        <v>5336</v>
      </c>
      <c r="D26" s="21" t="s">
        <v>5337</v>
      </c>
      <c r="E26" s="32" t="s">
        <v>5239</v>
      </c>
      <c r="F26" s="21" t="s">
        <v>5338</v>
      </c>
      <c r="G26" s="21" t="s">
        <v>4834</v>
      </c>
      <c r="H26" s="21" t="s">
        <v>5339</v>
      </c>
      <c r="I26" s="21" t="s">
        <v>5268</v>
      </c>
    </row>
    <row r="27" ht="28.35" customHeight="1" spans="1:9" s="21" customFormat="1" x14ac:dyDescent="0.25">
      <c r="A27" s="21" t="s">
        <v>5340</v>
      </c>
      <c r="B27" s="21" t="s">
        <v>5328</v>
      </c>
      <c r="C27" s="21" t="s">
        <v>5341</v>
      </c>
      <c r="D27" s="21" t="s">
        <v>5342</v>
      </c>
      <c r="E27" s="31" t="s">
        <v>2257</v>
      </c>
      <c r="F27" s="21" t="s">
        <v>5267</v>
      </c>
      <c r="G27" s="21" t="s">
        <v>4834</v>
      </c>
      <c r="H27" s="21" t="s">
        <v>5343</v>
      </c>
      <c r="I27" s="21" t="s">
        <v>5268</v>
      </c>
    </row>
    <row r="28" ht="28.35" customHeight="1" spans="1:9" s="21" customFormat="1" x14ac:dyDescent="0.25">
      <c r="A28" s="21" t="s">
        <v>5344</v>
      </c>
      <c r="B28" s="21" t="s">
        <v>5328</v>
      </c>
      <c r="C28" s="21" t="s">
        <v>5345</v>
      </c>
      <c r="D28" s="21" t="s">
        <v>5346</v>
      </c>
      <c r="E28" s="31" t="s">
        <v>2257</v>
      </c>
      <c r="F28" s="21" t="s">
        <v>5267</v>
      </c>
      <c r="G28" s="21" t="s">
        <v>4834</v>
      </c>
      <c r="H28" s="21" t="s">
        <v>142</v>
      </c>
      <c r="I28" s="21" t="s">
        <v>5268</v>
      </c>
    </row>
    <row r="29" ht="28.35" customHeight="1" spans="1:9" s="21" customFormat="1" x14ac:dyDescent="0.25">
      <c r="A29" s="21" t="s">
        <v>5347</v>
      </c>
      <c r="B29" s="21" t="s">
        <v>5328</v>
      </c>
      <c r="C29" s="21" t="s">
        <v>5348</v>
      </c>
      <c r="D29" s="21" t="s">
        <v>5349</v>
      </c>
      <c r="E29" s="31" t="s">
        <v>2257</v>
      </c>
      <c r="F29" s="21" t="s">
        <v>5267</v>
      </c>
      <c r="G29" s="21" t="s">
        <v>4834</v>
      </c>
      <c r="H29" s="21" t="s">
        <v>142</v>
      </c>
      <c r="I29" s="21" t="s">
        <v>5268</v>
      </c>
    </row>
    <row r="30" ht="41.75" customHeight="1" spans="1:9" s="21" customFormat="1" x14ac:dyDescent="0.25">
      <c r="A30" s="21" t="s">
        <v>5350</v>
      </c>
      <c r="B30" s="21" t="s">
        <v>5328</v>
      </c>
      <c r="C30" s="21" t="s">
        <v>5351</v>
      </c>
      <c r="D30" s="21" t="s">
        <v>5352</v>
      </c>
      <c r="E30" s="31" t="s">
        <v>2257</v>
      </c>
      <c r="F30" s="21" t="s">
        <v>5267</v>
      </c>
      <c r="G30" s="21" t="s">
        <v>4834</v>
      </c>
      <c r="H30" s="21" t="s">
        <v>142</v>
      </c>
      <c r="I30" s="21" t="s">
        <v>5268</v>
      </c>
    </row>
    <row r="31" ht="28.35" customHeight="1" spans="1:9" s="21" customFormat="1" x14ac:dyDescent="0.25">
      <c r="A31" s="21" t="s">
        <v>5353</v>
      </c>
      <c r="B31" s="21" t="s">
        <v>5328</v>
      </c>
      <c r="C31" s="21" t="s">
        <v>5354</v>
      </c>
      <c r="D31" s="21" t="s">
        <v>5355</v>
      </c>
      <c r="E31" s="31" t="s">
        <v>2257</v>
      </c>
      <c r="F31" s="21" t="s">
        <v>5267</v>
      </c>
      <c r="G31" s="21" t="s">
        <v>4834</v>
      </c>
      <c r="H31" s="21" t="s">
        <v>5356</v>
      </c>
      <c r="I31" s="21" t="s">
        <v>5268</v>
      </c>
    </row>
    <row r="32" ht="28.35" customHeight="1" spans="1:9" s="21" customFormat="1" x14ac:dyDescent="0.25">
      <c r="A32" s="21" t="s">
        <v>5357</v>
      </c>
      <c r="B32" s="21" t="s">
        <v>5328</v>
      </c>
      <c r="C32" s="21" t="s">
        <v>5358</v>
      </c>
      <c r="D32" s="21" t="s">
        <v>5359</v>
      </c>
      <c r="E32" s="31" t="s">
        <v>2257</v>
      </c>
      <c r="F32" s="21" t="s">
        <v>5267</v>
      </c>
      <c r="G32" s="21" t="s">
        <v>4834</v>
      </c>
      <c r="H32" s="21" t="s">
        <v>142</v>
      </c>
      <c r="I32" s="21" t="s">
        <v>5268</v>
      </c>
    </row>
    <row r="33" ht="28.35" customHeight="1" spans="1:9" s="21" customFormat="1" x14ac:dyDescent="0.25">
      <c r="A33" s="21" t="s">
        <v>5360</v>
      </c>
      <c r="B33" s="21" t="s">
        <v>5361</v>
      </c>
      <c r="C33" s="21" t="s">
        <v>5362</v>
      </c>
      <c r="D33" s="21" t="s">
        <v>5363</v>
      </c>
      <c r="E33" s="31" t="s">
        <v>2257</v>
      </c>
      <c r="F33" s="21" t="s">
        <v>5267</v>
      </c>
      <c r="G33" s="21" t="s">
        <v>4834</v>
      </c>
      <c r="H33" s="21" t="s">
        <v>142</v>
      </c>
      <c r="I33" s="21" t="s">
        <v>5268</v>
      </c>
    </row>
    <row r="34" ht="28.35" customHeight="1" spans="1:9" s="21" customFormat="1" x14ac:dyDescent="0.25">
      <c r="A34" s="21" t="s">
        <v>5364</v>
      </c>
      <c r="B34" s="21" t="s">
        <v>5361</v>
      </c>
      <c r="C34" s="21" t="s">
        <v>5365</v>
      </c>
      <c r="D34" s="21" t="s">
        <v>5366</v>
      </c>
      <c r="E34" s="31" t="s">
        <v>2257</v>
      </c>
      <c r="F34" s="21" t="s">
        <v>5267</v>
      </c>
      <c r="G34" s="21" t="s">
        <v>4834</v>
      </c>
      <c r="H34" s="21" t="s">
        <v>142</v>
      </c>
      <c r="I34" s="21" t="s">
        <v>5268</v>
      </c>
    </row>
    <row r="35" ht="28.35" customHeight="1" spans="1:9" s="21" customFormat="1" x14ac:dyDescent="0.25">
      <c r="A35" s="21" t="s">
        <v>5367</v>
      </c>
      <c r="B35" s="21" t="s">
        <v>5361</v>
      </c>
      <c r="C35" s="21" t="s">
        <v>5368</v>
      </c>
      <c r="D35" s="21" t="s">
        <v>5369</v>
      </c>
      <c r="E35" s="32" t="s">
        <v>5239</v>
      </c>
      <c r="F35" s="21" t="s">
        <v>5338</v>
      </c>
      <c r="G35" s="21" t="s">
        <v>4834</v>
      </c>
      <c r="H35" s="21" t="s">
        <v>5370</v>
      </c>
      <c r="I35" s="21" t="s">
        <v>5268</v>
      </c>
    </row>
    <row r="36" ht="28.35" customHeight="1" spans="1:9" s="21" customFormat="1" x14ac:dyDescent="0.25">
      <c r="A36" s="21" t="s">
        <v>5371</v>
      </c>
      <c r="B36" s="21" t="s">
        <v>5361</v>
      </c>
      <c r="C36" s="21" t="s">
        <v>5372</v>
      </c>
      <c r="D36" s="21" t="s">
        <v>5373</v>
      </c>
      <c r="E36" s="32" t="s">
        <v>5239</v>
      </c>
      <c r="F36" s="21" t="s">
        <v>5338</v>
      </c>
      <c r="G36" s="21" t="s">
        <v>4834</v>
      </c>
      <c r="H36" s="21" t="s">
        <v>5374</v>
      </c>
      <c r="I36" s="21" t="s">
        <v>5268</v>
      </c>
    </row>
    <row r="37" ht="28.35" customHeight="1" spans="1:9" s="21" customFormat="1" x14ac:dyDescent="0.25">
      <c r="A37" s="21" t="s">
        <v>5375</v>
      </c>
      <c r="B37" s="21" t="s">
        <v>5361</v>
      </c>
      <c r="C37" s="21" t="s">
        <v>5376</v>
      </c>
      <c r="D37" s="21" t="s">
        <v>5377</v>
      </c>
      <c r="E37" s="31" t="s">
        <v>2257</v>
      </c>
      <c r="F37" s="21" t="s">
        <v>5267</v>
      </c>
      <c r="G37" s="21" t="s">
        <v>4834</v>
      </c>
      <c r="H37" s="21" t="s">
        <v>5378</v>
      </c>
      <c r="I37" s="21" t="s">
        <v>5268</v>
      </c>
    </row>
    <row r="38" ht="41.75" customHeight="1" spans="1:9" s="21" customFormat="1" x14ac:dyDescent="0.25">
      <c r="A38" s="21" t="s">
        <v>5379</v>
      </c>
      <c r="B38" s="21" t="s">
        <v>5361</v>
      </c>
      <c r="C38" s="21" t="s">
        <v>5380</v>
      </c>
      <c r="D38" s="21" t="s">
        <v>5381</v>
      </c>
      <c r="E38" s="32" t="s">
        <v>5239</v>
      </c>
      <c r="F38" s="21" t="s">
        <v>5338</v>
      </c>
      <c r="G38" s="21" t="s">
        <v>4834</v>
      </c>
      <c r="H38" s="21" t="s">
        <v>5382</v>
      </c>
      <c r="I38" s="21" t="s">
        <v>5268</v>
      </c>
    </row>
    <row r="39" ht="28.35" customHeight="1" spans="1:9" s="21" customFormat="1" x14ac:dyDescent="0.25">
      <c r="A39" s="21" t="s">
        <v>5383</v>
      </c>
      <c r="B39" s="21" t="s">
        <v>5361</v>
      </c>
      <c r="C39" s="21" t="s">
        <v>5384</v>
      </c>
      <c r="D39" s="21" t="s">
        <v>5385</v>
      </c>
      <c r="E39" s="31" t="s">
        <v>2257</v>
      </c>
      <c r="F39" s="21" t="s">
        <v>5267</v>
      </c>
      <c r="G39" s="21" t="s">
        <v>4834</v>
      </c>
      <c r="H39" s="21" t="s">
        <v>5386</v>
      </c>
      <c r="I39" s="21" t="s">
        <v>5268</v>
      </c>
    </row>
    <row r="40" ht="28.35" customHeight="1" spans="1:9" s="21" customFormat="1" x14ac:dyDescent="0.25">
      <c r="A40" s="21" t="s">
        <v>5387</v>
      </c>
      <c r="B40" s="21" t="s">
        <v>5361</v>
      </c>
      <c r="C40" s="21" t="s">
        <v>5388</v>
      </c>
      <c r="D40" s="21" t="s">
        <v>5389</v>
      </c>
      <c r="E40" s="31" t="s">
        <v>2257</v>
      </c>
      <c r="F40" s="21" t="s">
        <v>5267</v>
      </c>
      <c r="G40" s="21" t="s">
        <v>4834</v>
      </c>
      <c r="H40" s="21" t="s">
        <v>142</v>
      </c>
      <c r="I40" s="21" t="s">
        <v>5268</v>
      </c>
    </row>
    <row r="41" ht="41.75" customHeight="1" spans="1:9" s="21" customFormat="1" x14ac:dyDescent="0.25">
      <c r="A41" s="21" t="s">
        <v>5390</v>
      </c>
      <c r="B41" s="21" t="s">
        <v>5361</v>
      </c>
      <c r="C41" s="21" t="s">
        <v>5391</v>
      </c>
      <c r="D41" s="21" t="s">
        <v>5392</v>
      </c>
      <c r="E41" s="31" t="s">
        <v>2257</v>
      </c>
      <c r="F41" s="21" t="s">
        <v>5267</v>
      </c>
      <c r="G41" s="21" t="s">
        <v>4834</v>
      </c>
      <c r="H41" s="21" t="s">
        <v>142</v>
      </c>
      <c r="I41" s="21" t="s">
        <v>5268</v>
      </c>
    </row>
    <row r="42" ht="28.35" customHeight="1" spans="1:9" s="21" customFormat="1" x14ac:dyDescent="0.25">
      <c r="A42" s="21" t="s">
        <v>5393</v>
      </c>
      <c r="B42" s="21" t="s">
        <v>5394</v>
      </c>
      <c r="C42" s="21" t="s">
        <v>5395</v>
      </c>
      <c r="D42" s="21" t="s">
        <v>5396</v>
      </c>
      <c r="E42" s="31" t="s">
        <v>2257</v>
      </c>
      <c r="F42" s="21" t="s">
        <v>5267</v>
      </c>
      <c r="G42" s="21" t="s">
        <v>4834</v>
      </c>
      <c r="H42" s="21" t="s">
        <v>142</v>
      </c>
      <c r="I42" s="21" t="s">
        <v>5268</v>
      </c>
    </row>
    <row r="43" ht="28.35" customHeight="1" spans="1:9" s="21" customFormat="1" x14ac:dyDescent="0.25">
      <c r="A43" s="21" t="s">
        <v>5397</v>
      </c>
      <c r="B43" s="21" t="s">
        <v>5394</v>
      </c>
      <c r="C43" s="21" t="s">
        <v>5398</v>
      </c>
      <c r="D43" s="21" t="s">
        <v>5399</v>
      </c>
      <c r="E43" s="32" t="s">
        <v>5239</v>
      </c>
      <c r="F43" s="21" t="s">
        <v>5338</v>
      </c>
      <c r="G43" s="21" t="s">
        <v>4834</v>
      </c>
      <c r="H43" s="21" t="s">
        <v>5400</v>
      </c>
      <c r="I43" s="21" t="s">
        <v>5268</v>
      </c>
    </row>
    <row r="44" ht="28.35" customHeight="1" spans="1:9" s="21" customFormat="1" x14ac:dyDescent="0.25">
      <c r="A44" s="21" t="s">
        <v>5401</v>
      </c>
      <c r="B44" s="21" t="s">
        <v>5394</v>
      </c>
      <c r="C44" s="21" t="s">
        <v>5402</v>
      </c>
      <c r="D44" s="21" t="s">
        <v>5403</v>
      </c>
      <c r="E44" s="31" t="s">
        <v>2257</v>
      </c>
      <c r="F44" s="21" t="s">
        <v>5267</v>
      </c>
      <c r="G44" s="21" t="s">
        <v>4834</v>
      </c>
      <c r="H44" s="21" t="s">
        <v>142</v>
      </c>
      <c r="I44" s="21" t="s">
        <v>5268</v>
      </c>
    </row>
    <row r="45" ht="28.35" customHeight="1" spans="1:9" s="21" customFormat="1" x14ac:dyDescent="0.25">
      <c r="A45" s="21" t="s">
        <v>5404</v>
      </c>
      <c r="B45" s="21" t="s">
        <v>5405</v>
      </c>
      <c r="C45" s="21" t="s">
        <v>5406</v>
      </c>
      <c r="D45" s="21" t="s">
        <v>5407</v>
      </c>
      <c r="E45" s="31" t="s">
        <v>2257</v>
      </c>
      <c r="F45" s="21" t="s">
        <v>5267</v>
      </c>
      <c r="G45" s="21" t="s">
        <v>4834</v>
      </c>
      <c r="H45" s="21" t="s">
        <v>142</v>
      </c>
      <c r="I45" s="21" t="s">
        <v>5268</v>
      </c>
    </row>
    <row r="46" ht="28.35" customHeight="1" spans="1:9" s="21" customFormat="1" x14ac:dyDescent="0.25">
      <c r="A46" s="21" t="s">
        <v>5408</v>
      </c>
      <c r="B46" s="21" t="s">
        <v>5405</v>
      </c>
      <c r="C46" s="21" t="s">
        <v>5409</v>
      </c>
      <c r="D46" s="21" t="s">
        <v>5410</v>
      </c>
      <c r="E46" s="31" t="s">
        <v>2257</v>
      </c>
      <c r="F46" s="21" t="s">
        <v>5267</v>
      </c>
      <c r="G46" s="21" t="s">
        <v>4834</v>
      </c>
      <c r="H46" s="21" t="s">
        <v>142</v>
      </c>
      <c r="I46" s="21" t="s">
        <v>5268</v>
      </c>
    </row>
    <row r="47" ht="28.35" customHeight="1" spans="1:9" s="21" customFormat="1" x14ac:dyDescent="0.25">
      <c r="A47" s="21" t="s">
        <v>5411</v>
      </c>
      <c r="B47" s="21" t="s">
        <v>5405</v>
      </c>
      <c r="C47" s="21" t="s">
        <v>5412</v>
      </c>
      <c r="D47" s="21" t="s">
        <v>5413</v>
      </c>
      <c r="E47" s="31" t="s">
        <v>2257</v>
      </c>
      <c r="F47" s="21" t="s">
        <v>5267</v>
      </c>
      <c r="G47" s="21" t="s">
        <v>4834</v>
      </c>
      <c r="H47" s="21" t="s">
        <v>142</v>
      </c>
      <c r="I47" s="21" t="s">
        <v>5268</v>
      </c>
    </row>
    <row r="48" ht="28.35" customHeight="1" spans="1:9" s="21" customFormat="1" x14ac:dyDescent="0.25">
      <c r="A48" s="21" t="s">
        <v>5414</v>
      </c>
      <c r="B48" s="21" t="s">
        <v>5405</v>
      </c>
      <c r="C48" s="21" t="s">
        <v>5415</v>
      </c>
      <c r="D48" s="21" t="s">
        <v>5416</v>
      </c>
      <c r="E48" s="31" t="s">
        <v>2257</v>
      </c>
      <c r="F48" s="21" t="s">
        <v>5267</v>
      </c>
      <c r="G48" s="21" t="s">
        <v>4834</v>
      </c>
      <c r="H48" s="21" t="s">
        <v>142</v>
      </c>
      <c r="I48" s="21" t="s">
        <v>5268</v>
      </c>
    </row>
    <row r="49" ht="28.35" customHeight="1" spans="1:9" s="21" customFormat="1" x14ac:dyDescent="0.25">
      <c r="A49" s="21" t="s">
        <v>5417</v>
      </c>
      <c r="B49" s="21" t="s">
        <v>5405</v>
      </c>
      <c r="C49" s="21" t="s">
        <v>5418</v>
      </c>
      <c r="D49" s="21" t="s">
        <v>5419</v>
      </c>
      <c r="E49" s="31" t="s">
        <v>2257</v>
      </c>
      <c r="F49" s="21" t="s">
        <v>5267</v>
      </c>
      <c r="G49" s="21" t="s">
        <v>4834</v>
      </c>
      <c r="H49" s="21" t="s">
        <v>142</v>
      </c>
      <c r="I49" s="21" t="s">
        <v>5268</v>
      </c>
    </row>
    <row r="50" ht="28.35" customHeight="1" spans="1:9" s="21" customFormat="1" x14ac:dyDescent="0.25">
      <c r="A50" s="21" t="s">
        <v>5420</v>
      </c>
      <c r="B50" s="21" t="s">
        <v>5405</v>
      </c>
      <c r="C50" s="21" t="s">
        <v>5421</v>
      </c>
      <c r="D50" s="21" t="s">
        <v>5422</v>
      </c>
      <c r="E50" s="31" t="s">
        <v>2257</v>
      </c>
      <c r="F50" s="21" t="s">
        <v>5267</v>
      </c>
      <c r="G50" s="21" t="s">
        <v>4834</v>
      </c>
      <c r="H50" s="21" t="s">
        <v>142</v>
      </c>
      <c r="I50" s="21" t="s">
        <v>5268</v>
      </c>
    </row>
    <row r="51" ht="28.35" customHeight="1" spans="1:9" s="21" customFormat="1" x14ac:dyDescent="0.25">
      <c r="A51" s="21" t="s">
        <v>5423</v>
      </c>
      <c r="B51" s="21" t="s">
        <v>5424</v>
      </c>
      <c r="C51" s="21" t="s">
        <v>5425</v>
      </c>
      <c r="D51" s="21" t="s">
        <v>5426</v>
      </c>
      <c r="E51" s="31" t="s">
        <v>2257</v>
      </c>
      <c r="F51" s="21" t="s">
        <v>5267</v>
      </c>
      <c r="G51" s="21" t="s">
        <v>4834</v>
      </c>
      <c r="H51" s="21" t="s">
        <v>142</v>
      </c>
      <c r="I51" s="21" t="s">
        <v>5268</v>
      </c>
    </row>
    <row r="52" ht="41.75" customHeight="1" spans="1:9" s="21" customFormat="1" x14ac:dyDescent="0.25">
      <c r="A52" s="21" t="s">
        <v>5427</v>
      </c>
      <c r="B52" s="21" t="s">
        <v>5424</v>
      </c>
      <c r="C52" s="21" t="s">
        <v>5428</v>
      </c>
      <c r="D52" s="21" t="s">
        <v>5429</v>
      </c>
      <c r="E52" s="31" t="s">
        <v>2257</v>
      </c>
      <c r="F52" s="21" t="s">
        <v>5267</v>
      </c>
      <c r="G52" s="21" t="s">
        <v>4834</v>
      </c>
      <c r="H52" s="21" t="s">
        <v>5430</v>
      </c>
      <c r="I52" s="21" t="s">
        <v>5268</v>
      </c>
    </row>
    <row r="53" ht="28.35" customHeight="1" spans="1:9" s="21" customFormat="1" x14ac:dyDescent="0.25">
      <c r="A53" s="21" t="s">
        <v>5431</v>
      </c>
      <c r="B53" s="21" t="s">
        <v>5424</v>
      </c>
      <c r="C53" s="21" t="s">
        <v>5432</v>
      </c>
      <c r="D53" s="21" t="s">
        <v>5433</v>
      </c>
      <c r="E53" s="29" t="s">
        <v>3934</v>
      </c>
      <c r="F53" s="21" t="s">
        <v>5338</v>
      </c>
      <c r="G53" s="21" t="s">
        <v>4834</v>
      </c>
      <c r="H53" s="21" t="s">
        <v>5434</v>
      </c>
      <c r="I53" s="21" t="s">
        <v>5268</v>
      </c>
    </row>
    <row r="54" ht="28.35" customHeight="1" spans="1:9" s="21" customFormat="1" x14ac:dyDescent="0.25">
      <c r="A54" s="21" t="s">
        <v>5435</v>
      </c>
      <c r="B54" s="21" t="s">
        <v>5424</v>
      </c>
      <c r="C54" s="21" t="s">
        <v>5436</v>
      </c>
      <c r="D54" s="21" t="s">
        <v>5437</v>
      </c>
      <c r="E54" s="31" t="s">
        <v>2257</v>
      </c>
      <c r="F54" s="21" t="s">
        <v>5267</v>
      </c>
      <c r="G54" s="21" t="s">
        <v>4834</v>
      </c>
      <c r="H54" s="21" t="s">
        <v>5438</v>
      </c>
      <c r="I54" s="21" t="s">
        <v>5268</v>
      </c>
    </row>
    <row r="55" ht="28.35" customHeight="1" spans="1:9" s="21" customFormat="1" x14ac:dyDescent="0.25">
      <c r="A55" s="21" t="s">
        <v>5439</v>
      </c>
      <c r="B55" s="21" t="s">
        <v>5424</v>
      </c>
      <c r="C55" s="21" t="s">
        <v>5440</v>
      </c>
      <c r="D55" s="21" t="s">
        <v>5441</v>
      </c>
      <c r="E55" s="31" t="s">
        <v>2257</v>
      </c>
      <c r="F55" s="21" t="s">
        <v>5267</v>
      </c>
      <c r="G55" s="21" t="s">
        <v>4834</v>
      </c>
      <c r="H55" s="21" t="s">
        <v>142</v>
      </c>
      <c r="I55" s="21" t="s">
        <v>5268</v>
      </c>
    </row>
    <row r="56" ht="41.75" customHeight="1" spans="1:9" s="21" customFormat="1" x14ac:dyDescent="0.25">
      <c r="A56" s="21" t="s">
        <v>5442</v>
      </c>
      <c r="B56" s="21" t="s">
        <v>5424</v>
      </c>
      <c r="C56" s="21" t="s">
        <v>5443</v>
      </c>
      <c r="D56" s="21" t="s">
        <v>5444</v>
      </c>
      <c r="E56" s="31" t="s">
        <v>2257</v>
      </c>
      <c r="F56" s="21" t="s">
        <v>5267</v>
      </c>
      <c r="G56" s="21" t="s">
        <v>4834</v>
      </c>
      <c r="H56" s="21" t="s">
        <v>5445</v>
      </c>
      <c r="I56" s="21" t="s">
        <v>5446</v>
      </c>
    </row>
    <row r="57" ht="28.35" customHeight="1" spans="1:9" s="21" customFormat="1" x14ac:dyDescent="0.25">
      <c r="A57" s="21" t="s">
        <v>5447</v>
      </c>
      <c r="B57" s="21" t="s">
        <v>5448</v>
      </c>
      <c r="C57" s="21" t="s">
        <v>5449</v>
      </c>
      <c r="D57" s="21" t="s">
        <v>5450</v>
      </c>
      <c r="E57" s="31" t="s">
        <v>2257</v>
      </c>
      <c r="F57" s="21" t="s">
        <v>5267</v>
      </c>
      <c r="G57" s="21" t="s">
        <v>4834</v>
      </c>
      <c r="H57" s="21" t="s">
        <v>142</v>
      </c>
      <c r="I57" s="21" t="s">
        <v>5268</v>
      </c>
    </row>
    <row r="58" ht="28.35" customHeight="1" spans="1:9" s="21" customFormat="1" x14ac:dyDescent="0.25">
      <c r="A58" s="21" t="s">
        <v>5451</v>
      </c>
      <c r="B58" s="21" t="s">
        <v>5452</v>
      </c>
      <c r="C58" s="21" t="s">
        <v>5453</v>
      </c>
      <c r="D58" s="21" t="s">
        <v>5454</v>
      </c>
      <c r="E58" s="31" t="s">
        <v>2257</v>
      </c>
      <c r="F58" s="21" t="s">
        <v>5267</v>
      </c>
      <c r="G58" s="21" t="s">
        <v>4834</v>
      </c>
      <c r="H58" s="21" t="s">
        <v>5455</v>
      </c>
      <c r="I58" s="21" t="s">
        <v>5268</v>
      </c>
    </row>
    <row r="59" ht="55.2" customHeight="1" spans="1:9" s="21" customFormat="1" x14ac:dyDescent="0.25">
      <c r="A59" s="21" t="s">
        <v>5456</v>
      </c>
      <c r="B59" s="21" t="s">
        <v>1630</v>
      </c>
      <c r="C59" s="21" t="s">
        <v>5457</v>
      </c>
      <c r="D59" s="21" t="s">
        <v>5458</v>
      </c>
      <c r="E59" s="31" t="s">
        <v>2257</v>
      </c>
      <c r="F59" s="21" t="s">
        <v>5267</v>
      </c>
      <c r="G59" s="21" t="s">
        <v>4834</v>
      </c>
      <c r="H59" s="21" t="s">
        <v>5459</v>
      </c>
      <c r="I59" s="21" t="s">
        <v>5268</v>
      </c>
    </row>
    <row r="60" ht="82.05" customHeight="1" spans="1:9" s="21" customFormat="1" x14ac:dyDescent="0.25">
      <c r="A60" s="21" t="s">
        <v>5460</v>
      </c>
      <c r="B60" s="21" t="s">
        <v>5424</v>
      </c>
      <c r="C60" s="21" t="s">
        <v>5461</v>
      </c>
      <c r="D60" s="21" t="s">
        <v>5462</v>
      </c>
      <c r="E60" s="32" t="s">
        <v>5239</v>
      </c>
      <c r="F60" s="21" t="s">
        <v>5463</v>
      </c>
      <c r="G60" s="21" t="s">
        <v>4834</v>
      </c>
      <c r="H60" s="21" t="s">
        <v>5464</v>
      </c>
      <c r="I60" s="21" t="s">
        <v>5268</v>
      </c>
    </row>
    <row r="62" ht="15" customHeight="1" spans="1:3" s="12" customFormat="1" x14ac:dyDescent="0.25">
      <c r="A62" s="13" t="s">
        <v>5465</v>
      </c>
      <c r="B62" s="10" t="s">
        <v>2257</v>
      </c>
      <c r="C62" s="10">
        <f>COUNTIF($E$5:$E$60,B62)</f>
      </c>
    </row>
    <row r="63" ht="15" customHeight="1" spans="2:3" s="12" customFormat="1" x14ac:dyDescent="0.25">
      <c r="B63" s="10" t="s">
        <v>3934</v>
      </c>
      <c r="C63" s="10">
        <f>COUNTIF($E$5:$E$60,B63)</f>
      </c>
    </row>
    <row r="64" ht="15" customHeight="1" spans="2:3" s="12" customFormat="1" x14ac:dyDescent="0.25">
      <c r="B64" s="10" t="s">
        <v>53</v>
      </c>
      <c r="C64" s="10">
        <f>COUNTIF($E$5:$E$60,B64)</f>
      </c>
    </row>
    <row r="65" ht="15" customHeight="1" spans="2:3" s="12" customFormat="1" x14ac:dyDescent="0.25">
      <c r="B65" s="10" t="s">
        <v>5239</v>
      </c>
      <c r="C65" s="10">
        <f>COUNTIF($E$5:$E$60,B65)</f>
      </c>
    </row>
    <row r="66" ht="15" customHeight="1" spans="2:3" s="12" customFormat="1" x14ac:dyDescent="0.25">
      <c r="B66" s="10" t="s">
        <v>20</v>
      </c>
      <c r="C66" s="10">
        <f>SUM(C62:C65)</f>
      </c>
    </row>
  </sheetData>
  <dataValidations count="2">
    <dataValidation type="list" errorStyle="stop" sqref="E10:E60">
      <formula1>"Not started,In progress,Done,Blocked"</formula1>
      <formula2>0</formula2>
    </dataValidation>
    <dataValidation type="list" errorStyle="stop" sqref="E5:E60">
      <formula1>"Not started,In progress,Done,Blocked"</formula1>
      <formula2>0</formula2>
    </dataValidation>
  </dataValidations>
  <pageMargins left="0.7" right="0.7" top="0.75" bottom="0.75" header="0.511811023622047" footer="0.511811023622047"/>
  <pageSetup paperSize="1" orientation="portrait" horizontalDpi="300" verticalDpi="300"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9450C"/>
    <pageSetUpPr fitToPage="1"/>
    <outlinePr summaryBelow="1" summaryRight="1"/>
  </sheetPr>
  <dimension ref="A1:R347"/>
  <sheetViews>
    <sheetView workbookViewId="0" zoomScale="90" zoomScaleNormal="90" view="normal">
      <pane xSplit="5" ySplit="1" topLeftCell="F2" activePane="bottomRight" state="frozen"/>
      <selection pane="bottomRight" activeCell="A1" sqref="A1"/>
    </sheetView>
  </sheetViews>
  <sheetFormatPr defaultRowHeight="15" outlineLevelRow="0" outlineLevelCol="0" x14ac:dyDescent="0" defaultColWidth="8.6796875"/>
  <cols>
    <col min="1" max="1" width="5" style="10" customWidth="1"/>
    <col min="2" max="2" width="16" style="10" customWidth="1"/>
    <col min="3" max="3" width="10" style="10" customWidth="1"/>
    <col min="4" max="4" width="14" style="10" customWidth="1"/>
    <col min="5" max="5" width="30" style="10" customWidth="1"/>
    <col min="6" max="6" width="60" style="10" customWidth="1"/>
    <col min="7" max="7" width="13" style="10" customWidth="1"/>
    <col min="8" max="8" width="8" style="10" customWidth="1"/>
    <col min="9" max="9" width="14" style="10" customWidth="1"/>
    <col min="10" max="10" width="22" style="10" customWidth="1"/>
    <col min="11" max="11" width="24" style="10" customWidth="1"/>
    <col min="12" max="12" width="30" style="10" customWidth="1"/>
    <col min="13" max="13" width="22" style="10" customWidth="1"/>
    <col min="14" max="15" width="34" style="10" customWidth="1"/>
    <col min="16" max="16" width="12" style="10" customWidth="1"/>
    <col min="17" max="17" width="40" style="10" customWidth="1"/>
    <col min="18" max="18" width="34" style="10" customWidth="1"/>
  </cols>
  <sheetData>
    <row r="1" ht="30" customHeight="1" spans="1:18" s="10" customFormat="1" x14ac:dyDescent="0.25">
      <c r="A1" s="4" t="s">
        <v>118</v>
      </c>
      <c r="B1" s="4" t="s">
        <v>19</v>
      </c>
      <c r="C1" s="4" t="s">
        <v>119</v>
      </c>
      <c r="D1" s="4" t="s">
        <v>120</v>
      </c>
      <c r="E1" s="4" t="s">
        <v>91</v>
      </c>
      <c r="F1" s="4" t="s">
        <v>121</v>
      </c>
      <c r="G1" s="4" t="s">
        <v>122</v>
      </c>
      <c r="H1" s="4" t="s">
        <v>123</v>
      </c>
      <c r="I1" s="4" t="s">
        <v>124</v>
      </c>
      <c r="J1" s="4" t="s">
        <v>44</v>
      </c>
      <c r="K1" s="4" t="s">
        <v>125</v>
      </c>
      <c r="L1" s="4" t="s">
        <v>126</v>
      </c>
      <c r="M1" s="4" t="s">
        <v>127</v>
      </c>
      <c r="N1" s="4" t="s">
        <v>128</v>
      </c>
      <c r="O1" s="4" t="s">
        <v>129</v>
      </c>
      <c r="P1" s="4" t="s">
        <v>9</v>
      </c>
      <c r="Q1" s="4" t="s">
        <v>130</v>
      </c>
      <c r="R1" s="4" t="s">
        <v>131</v>
      </c>
    </row>
    <row r="2" ht="51" customHeight="1" spans="1:18" s="10" customFormat="1" x14ac:dyDescent="0.25">
      <c r="A2" s="6">
        <v>1</v>
      </c>
      <c r="B2" s="11" t="s">
        <v>22</v>
      </c>
      <c r="C2" s="5" t="s">
        <v>132</v>
      </c>
      <c r="D2" s="11" t="s">
        <v>133</v>
      </c>
      <c r="E2" s="11" t="s">
        <v>134</v>
      </c>
      <c r="F2" s="11" t="s">
        <v>135</v>
      </c>
      <c r="G2" s="11" t="s">
        <v>136</v>
      </c>
      <c r="H2" s="11" t="s">
        <v>137</v>
      </c>
      <c r="I2" s="6" t="s">
        <v>11</v>
      </c>
      <c r="J2" s="11" t="s">
        <v>45</v>
      </c>
      <c r="K2" s="11" t="s">
        <v>138</v>
      </c>
      <c r="L2" s="11" t="s">
        <v>139</v>
      </c>
      <c r="M2" s="11" t="s">
        <v>140</v>
      </c>
      <c r="N2" s="11" t="s">
        <v>141</v>
      </c>
      <c r="O2" s="11" t="s">
        <v>142</v>
      </c>
      <c r="P2" s="11" t="s">
        <v>11</v>
      </c>
      <c r="Q2" s="11" t="s">
        <v>143</v>
      </c>
      <c r="R2" s="11" t="s">
        <v>144</v>
      </c>
    </row>
    <row r="3" ht="27" customHeight="1" spans="1:18" s="10" customFormat="1" x14ac:dyDescent="0.25">
      <c r="A3" s="6">
        <v>2</v>
      </c>
      <c r="B3" s="11" t="s">
        <v>22</v>
      </c>
      <c r="C3" s="5" t="s">
        <v>145</v>
      </c>
      <c r="D3" s="11" t="s">
        <v>133</v>
      </c>
      <c r="E3" s="11" t="s">
        <v>146</v>
      </c>
      <c r="F3" s="11" t="s">
        <v>147</v>
      </c>
      <c r="G3" s="11" t="s">
        <v>148</v>
      </c>
      <c r="H3" s="11" t="s">
        <v>137</v>
      </c>
      <c r="I3" s="6" t="s">
        <v>11</v>
      </c>
      <c r="J3" s="11" t="s">
        <v>45</v>
      </c>
      <c r="K3" s="11" t="s">
        <v>149</v>
      </c>
      <c r="L3" s="11" t="s">
        <v>150</v>
      </c>
      <c r="M3" s="11" t="s">
        <v>151</v>
      </c>
      <c r="N3" s="11" t="s">
        <v>142</v>
      </c>
      <c r="O3" s="11" t="s">
        <v>142</v>
      </c>
      <c r="P3" s="11" t="s">
        <v>11</v>
      </c>
      <c r="Q3" s="11" t="s">
        <v>143</v>
      </c>
      <c r="R3" s="11" t="s">
        <v>152</v>
      </c>
    </row>
    <row r="4" ht="27" customHeight="1" spans="1:18" s="10" customFormat="1" x14ac:dyDescent="0.25">
      <c r="A4" s="6">
        <v>3</v>
      </c>
      <c r="B4" s="11" t="s">
        <v>22</v>
      </c>
      <c r="C4" s="5" t="s">
        <v>153</v>
      </c>
      <c r="D4" s="11" t="s">
        <v>133</v>
      </c>
      <c r="E4" s="11" t="s">
        <v>154</v>
      </c>
      <c r="F4" s="11" t="s">
        <v>155</v>
      </c>
      <c r="G4" s="11" t="s">
        <v>156</v>
      </c>
      <c r="H4" s="11" t="s">
        <v>157</v>
      </c>
      <c r="I4" s="6" t="s">
        <v>11</v>
      </c>
      <c r="J4" s="11" t="s">
        <v>45</v>
      </c>
      <c r="K4" s="11" t="s">
        <v>149</v>
      </c>
      <c r="L4" s="11" t="s">
        <v>158</v>
      </c>
      <c r="M4" s="11" t="s">
        <v>159</v>
      </c>
      <c r="N4" s="11" t="s">
        <v>142</v>
      </c>
      <c r="O4" s="11" t="s">
        <v>142</v>
      </c>
      <c r="P4" s="11" t="s">
        <v>11</v>
      </c>
      <c r="Q4" s="11" t="s">
        <v>143</v>
      </c>
      <c r="R4" s="11" t="s">
        <v>160</v>
      </c>
    </row>
    <row r="5" ht="51" customHeight="1" spans="1:18" s="10" customFormat="1" x14ac:dyDescent="0.25">
      <c r="A5" s="6">
        <v>4</v>
      </c>
      <c r="B5" s="11" t="s">
        <v>22</v>
      </c>
      <c r="C5" s="5" t="s">
        <v>161</v>
      </c>
      <c r="D5" s="11" t="s">
        <v>162</v>
      </c>
      <c r="E5" s="11" t="s">
        <v>163</v>
      </c>
      <c r="F5" s="11" t="s">
        <v>164</v>
      </c>
      <c r="G5" s="11" t="s">
        <v>165</v>
      </c>
      <c r="H5" s="11" t="s">
        <v>137</v>
      </c>
      <c r="I5" s="6" t="s">
        <v>11</v>
      </c>
      <c r="J5" s="11" t="s">
        <v>45</v>
      </c>
      <c r="K5" s="11" t="s">
        <v>149</v>
      </c>
      <c r="L5" s="11" t="s">
        <v>166</v>
      </c>
      <c r="M5" s="11" t="s">
        <v>167</v>
      </c>
      <c r="N5" s="11" t="s">
        <v>142</v>
      </c>
      <c r="O5" s="11" t="s">
        <v>142</v>
      </c>
      <c r="P5" s="11" t="s">
        <v>11</v>
      </c>
      <c r="Q5" s="11" t="s">
        <v>143</v>
      </c>
      <c r="R5" s="11" t="s">
        <v>168</v>
      </c>
    </row>
    <row r="6" ht="15" customHeight="1" spans="1:18" s="10" customFormat="1" x14ac:dyDescent="0.25">
      <c r="A6" s="6">
        <v>5</v>
      </c>
      <c r="B6" s="11" t="s">
        <v>22</v>
      </c>
      <c r="C6" s="5" t="s">
        <v>169</v>
      </c>
      <c r="D6" s="11" t="s">
        <v>162</v>
      </c>
      <c r="E6" s="11" t="s">
        <v>170</v>
      </c>
      <c r="F6" s="11" t="s">
        <v>171</v>
      </c>
      <c r="G6" s="11" t="s">
        <v>172</v>
      </c>
      <c r="H6" s="11" t="s">
        <v>137</v>
      </c>
      <c r="I6" s="6" t="s">
        <v>11</v>
      </c>
      <c r="J6" s="11" t="s">
        <v>45</v>
      </c>
      <c r="K6" s="11" t="s">
        <v>149</v>
      </c>
      <c r="L6" s="11" t="s">
        <v>173</v>
      </c>
      <c r="M6" s="11" t="s">
        <v>159</v>
      </c>
      <c r="N6" s="11" t="s">
        <v>142</v>
      </c>
      <c r="O6" s="11" t="s">
        <v>142</v>
      </c>
      <c r="P6" s="11" t="s">
        <v>11</v>
      </c>
      <c r="Q6" s="11" t="s">
        <v>143</v>
      </c>
      <c r="R6" s="11" t="s">
        <v>174</v>
      </c>
    </row>
    <row r="7" ht="51" customHeight="1" spans="1:18" s="10" customFormat="1" x14ac:dyDescent="0.25">
      <c r="A7" s="6">
        <v>6</v>
      </c>
      <c r="B7" s="11" t="s">
        <v>22</v>
      </c>
      <c r="C7" s="5" t="s">
        <v>175</v>
      </c>
      <c r="D7" s="11" t="s">
        <v>176</v>
      </c>
      <c r="E7" s="11" t="s">
        <v>177</v>
      </c>
      <c r="F7" s="11" t="s">
        <v>178</v>
      </c>
      <c r="G7" s="11" t="s">
        <v>179</v>
      </c>
      <c r="H7" s="11" t="s">
        <v>137</v>
      </c>
      <c r="I7" s="6" t="s">
        <v>11</v>
      </c>
      <c r="J7" s="11" t="s">
        <v>45</v>
      </c>
      <c r="K7" s="11" t="s">
        <v>149</v>
      </c>
      <c r="L7" s="11" t="s">
        <v>180</v>
      </c>
      <c r="M7" s="11" t="s">
        <v>181</v>
      </c>
      <c r="N7" s="11" t="s">
        <v>182</v>
      </c>
      <c r="O7" s="11" t="s">
        <v>142</v>
      </c>
      <c r="P7" s="11" t="s">
        <v>11</v>
      </c>
      <c r="Q7" s="11" t="s">
        <v>143</v>
      </c>
      <c r="R7" s="11" t="s">
        <v>142</v>
      </c>
    </row>
    <row r="8" ht="75" customHeight="1" spans="1:18" s="10" customFormat="1" x14ac:dyDescent="0.25">
      <c r="A8" s="6">
        <v>7</v>
      </c>
      <c r="B8" s="11" t="s">
        <v>22</v>
      </c>
      <c r="C8" s="5" t="s">
        <v>183</v>
      </c>
      <c r="D8" s="11" t="s">
        <v>176</v>
      </c>
      <c r="E8" s="11" t="s">
        <v>184</v>
      </c>
      <c r="F8" s="11" t="s">
        <v>185</v>
      </c>
      <c r="G8" s="11" t="s">
        <v>186</v>
      </c>
      <c r="H8" s="11" t="s">
        <v>137</v>
      </c>
      <c r="I8" s="6" t="s">
        <v>11</v>
      </c>
      <c r="J8" s="11" t="s">
        <v>45</v>
      </c>
      <c r="K8" s="11" t="s">
        <v>187</v>
      </c>
      <c r="L8" s="11" t="s">
        <v>188</v>
      </c>
      <c r="M8" s="11" t="s">
        <v>189</v>
      </c>
      <c r="N8" s="11" t="s">
        <v>190</v>
      </c>
      <c r="O8" s="11" t="s">
        <v>142</v>
      </c>
      <c r="P8" s="11" t="s">
        <v>11</v>
      </c>
      <c r="Q8" s="11" t="s">
        <v>143</v>
      </c>
      <c r="R8" s="11" t="s">
        <v>191</v>
      </c>
    </row>
    <row r="9" ht="63" customHeight="1" spans="1:18" s="10" customFormat="1" x14ac:dyDescent="0.25">
      <c r="A9" s="6">
        <v>8</v>
      </c>
      <c r="B9" s="11" t="s">
        <v>22</v>
      </c>
      <c r="C9" s="5" t="s">
        <v>192</v>
      </c>
      <c r="D9" s="11" t="s">
        <v>176</v>
      </c>
      <c r="E9" s="11" t="s">
        <v>193</v>
      </c>
      <c r="F9" s="11" t="s">
        <v>194</v>
      </c>
      <c r="G9" s="11" t="s">
        <v>195</v>
      </c>
      <c r="H9" s="11" t="s">
        <v>137</v>
      </c>
      <c r="I9" s="6" t="s">
        <v>11</v>
      </c>
      <c r="J9" s="11" t="s">
        <v>45</v>
      </c>
      <c r="K9" s="11" t="s">
        <v>149</v>
      </c>
      <c r="L9" s="11" t="s">
        <v>196</v>
      </c>
      <c r="M9" s="11" t="s">
        <v>197</v>
      </c>
      <c r="N9" s="11" t="s">
        <v>142</v>
      </c>
      <c r="O9" s="11" t="s">
        <v>142</v>
      </c>
      <c r="P9" s="11" t="s">
        <v>11</v>
      </c>
      <c r="Q9" s="11" t="s">
        <v>143</v>
      </c>
      <c r="R9" s="11" t="s">
        <v>198</v>
      </c>
    </row>
    <row r="10" ht="63" customHeight="1" spans="1:18" s="10" customFormat="1" x14ac:dyDescent="0.25">
      <c r="A10" s="6">
        <v>9</v>
      </c>
      <c r="B10" s="11" t="s">
        <v>22</v>
      </c>
      <c r="C10" s="5" t="s">
        <v>199</v>
      </c>
      <c r="D10" s="11" t="s">
        <v>176</v>
      </c>
      <c r="E10" s="11" t="s">
        <v>200</v>
      </c>
      <c r="F10" s="11" t="s">
        <v>201</v>
      </c>
      <c r="G10" s="11" t="s">
        <v>202</v>
      </c>
      <c r="H10" s="11" t="s">
        <v>137</v>
      </c>
      <c r="I10" s="6" t="s">
        <v>11</v>
      </c>
      <c r="J10" s="11" t="s">
        <v>45</v>
      </c>
      <c r="K10" s="11" t="s">
        <v>149</v>
      </c>
      <c r="L10" s="11" t="s">
        <v>203</v>
      </c>
      <c r="M10" s="11" t="s">
        <v>204</v>
      </c>
      <c r="N10" s="11" t="s">
        <v>142</v>
      </c>
      <c r="O10" s="11" t="s">
        <v>142</v>
      </c>
      <c r="P10" s="11" t="s">
        <v>11</v>
      </c>
      <c r="Q10" s="11" t="s">
        <v>143</v>
      </c>
      <c r="R10" s="11" t="s">
        <v>205</v>
      </c>
    </row>
    <row r="11" ht="39" customHeight="1" spans="1:18" s="10" customFormat="1" x14ac:dyDescent="0.25">
      <c r="A11" s="6">
        <v>10</v>
      </c>
      <c r="B11" s="11" t="s">
        <v>22</v>
      </c>
      <c r="C11" s="5" t="s">
        <v>206</v>
      </c>
      <c r="D11" s="11" t="s">
        <v>176</v>
      </c>
      <c r="E11" s="11" t="s">
        <v>207</v>
      </c>
      <c r="F11" s="11" t="s">
        <v>208</v>
      </c>
      <c r="G11" s="11" t="s">
        <v>209</v>
      </c>
      <c r="H11" s="11" t="s">
        <v>137</v>
      </c>
      <c r="I11" s="6" t="s">
        <v>11</v>
      </c>
      <c r="J11" s="11" t="s">
        <v>45</v>
      </c>
      <c r="K11" s="11" t="s">
        <v>149</v>
      </c>
      <c r="L11" s="11" t="s">
        <v>210</v>
      </c>
      <c r="M11" s="11" t="s">
        <v>211</v>
      </c>
      <c r="N11" s="11" t="s">
        <v>142</v>
      </c>
      <c r="O11" s="11" t="s">
        <v>142</v>
      </c>
      <c r="P11" s="11" t="s">
        <v>11</v>
      </c>
      <c r="Q11" s="11" t="s">
        <v>143</v>
      </c>
      <c r="R11" s="11" t="s">
        <v>212</v>
      </c>
    </row>
    <row r="12" ht="39" customHeight="1" spans="1:18" s="10" customFormat="1" x14ac:dyDescent="0.25">
      <c r="A12" s="6">
        <v>11</v>
      </c>
      <c r="B12" s="11" t="s">
        <v>22</v>
      </c>
      <c r="C12" s="5" t="s">
        <v>213</v>
      </c>
      <c r="D12" s="11" t="s">
        <v>214</v>
      </c>
      <c r="E12" s="11" t="s">
        <v>215</v>
      </c>
      <c r="F12" s="11" t="s">
        <v>216</v>
      </c>
      <c r="G12" s="11" t="s">
        <v>142</v>
      </c>
      <c r="H12" s="11" t="s">
        <v>137</v>
      </c>
      <c r="I12" s="6" t="s">
        <v>11</v>
      </c>
      <c r="J12" s="11" t="s">
        <v>45</v>
      </c>
      <c r="K12" s="11" t="s">
        <v>149</v>
      </c>
      <c r="L12" s="11" t="s">
        <v>217</v>
      </c>
      <c r="M12" s="11" t="s">
        <v>218</v>
      </c>
      <c r="N12" s="11" t="s">
        <v>142</v>
      </c>
      <c r="O12" s="11" t="s">
        <v>142</v>
      </c>
      <c r="P12" s="11" t="s">
        <v>11</v>
      </c>
      <c r="Q12" s="11" t="s">
        <v>143</v>
      </c>
      <c r="R12" s="11" t="s">
        <v>142</v>
      </c>
    </row>
    <row r="13" ht="39" customHeight="1" spans="1:18" s="10" customFormat="1" x14ac:dyDescent="0.25">
      <c r="A13" s="6">
        <v>12</v>
      </c>
      <c r="B13" s="11" t="s">
        <v>22</v>
      </c>
      <c r="C13" s="5" t="s">
        <v>219</v>
      </c>
      <c r="D13" s="11" t="s">
        <v>214</v>
      </c>
      <c r="E13" s="11" t="s">
        <v>220</v>
      </c>
      <c r="F13" s="11" t="s">
        <v>221</v>
      </c>
      <c r="G13" s="11" t="s">
        <v>222</v>
      </c>
      <c r="H13" s="11" t="s">
        <v>137</v>
      </c>
      <c r="I13" s="6" t="s">
        <v>11</v>
      </c>
      <c r="J13" s="11" t="s">
        <v>45</v>
      </c>
      <c r="K13" s="11" t="s">
        <v>149</v>
      </c>
      <c r="L13" s="11" t="s">
        <v>223</v>
      </c>
      <c r="M13" s="11" t="s">
        <v>224</v>
      </c>
      <c r="N13" s="11" t="s">
        <v>142</v>
      </c>
      <c r="O13" s="11" t="s">
        <v>142</v>
      </c>
      <c r="P13" s="11" t="s">
        <v>11</v>
      </c>
      <c r="Q13" s="11" t="s">
        <v>143</v>
      </c>
      <c r="R13" s="11" t="s">
        <v>142</v>
      </c>
    </row>
    <row r="14" ht="39" customHeight="1" spans="1:18" s="10" customFormat="1" x14ac:dyDescent="0.25">
      <c r="A14" s="6">
        <v>13</v>
      </c>
      <c r="B14" s="11" t="s">
        <v>22</v>
      </c>
      <c r="C14" s="5" t="s">
        <v>225</v>
      </c>
      <c r="D14" s="11" t="s">
        <v>214</v>
      </c>
      <c r="E14" s="11" t="s">
        <v>226</v>
      </c>
      <c r="F14" s="11" t="s">
        <v>227</v>
      </c>
      <c r="G14" s="11" t="s">
        <v>222</v>
      </c>
      <c r="H14" s="11" t="s">
        <v>137</v>
      </c>
      <c r="I14" s="6" t="s">
        <v>11</v>
      </c>
      <c r="J14" s="11" t="s">
        <v>45</v>
      </c>
      <c r="K14" s="11" t="s">
        <v>149</v>
      </c>
      <c r="L14" s="11" t="s">
        <v>228</v>
      </c>
      <c r="M14" s="11" t="s">
        <v>229</v>
      </c>
      <c r="N14" s="11" t="s">
        <v>142</v>
      </c>
      <c r="O14" s="11" t="s">
        <v>142</v>
      </c>
      <c r="P14" s="11" t="s">
        <v>11</v>
      </c>
      <c r="Q14" s="11" t="s">
        <v>143</v>
      </c>
      <c r="R14" s="11" t="s">
        <v>142</v>
      </c>
    </row>
    <row r="15" ht="39" customHeight="1" spans="1:18" s="10" customFormat="1" x14ac:dyDescent="0.25">
      <c r="A15" s="6">
        <v>14</v>
      </c>
      <c r="B15" s="11" t="s">
        <v>22</v>
      </c>
      <c r="C15" s="5" t="s">
        <v>230</v>
      </c>
      <c r="D15" s="11" t="s">
        <v>214</v>
      </c>
      <c r="E15" s="11" t="s">
        <v>231</v>
      </c>
      <c r="F15" s="11" t="s">
        <v>232</v>
      </c>
      <c r="G15" s="11" t="s">
        <v>233</v>
      </c>
      <c r="H15" s="11" t="s">
        <v>157</v>
      </c>
      <c r="I15" s="6" t="s">
        <v>11</v>
      </c>
      <c r="J15" s="11" t="s">
        <v>46</v>
      </c>
      <c r="K15" s="11" t="s">
        <v>234</v>
      </c>
      <c r="L15" s="11" t="s">
        <v>235</v>
      </c>
      <c r="M15" s="11" t="s">
        <v>236</v>
      </c>
      <c r="N15" s="11" t="s">
        <v>142</v>
      </c>
      <c r="O15" s="11" t="s">
        <v>142</v>
      </c>
      <c r="P15" s="11" t="s">
        <v>11</v>
      </c>
      <c r="Q15" s="11" t="s">
        <v>143</v>
      </c>
      <c r="R15" s="11" t="s">
        <v>237</v>
      </c>
    </row>
    <row r="16" ht="63" customHeight="1" spans="1:18" s="10" customFormat="1" x14ac:dyDescent="0.25">
      <c r="A16" s="6">
        <v>15</v>
      </c>
      <c r="B16" s="11" t="s">
        <v>22</v>
      </c>
      <c r="C16" s="5" t="s">
        <v>238</v>
      </c>
      <c r="D16" s="11" t="s">
        <v>214</v>
      </c>
      <c r="E16" s="11" t="s">
        <v>239</v>
      </c>
      <c r="F16" s="11" t="s">
        <v>240</v>
      </c>
      <c r="G16" s="11" t="s">
        <v>241</v>
      </c>
      <c r="H16" s="11" t="s">
        <v>137</v>
      </c>
      <c r="I16" s="6" t="s">
        <v>11</v>
      </c>
      <c r="J16" s="11" t="s">
        <v>45</v>
      </c>
      <c r="K16" s="11" t="s">
        <v>149</v>
      </c>
      <c r="L16" s="11" t="s">
        <v>242</v>
      </c>
      <c r="M16" s="11" t="s">
        <v>243</v>
      </c>
      <c r="N16" s="11" t="s">
        <v>142</v>
      </c>
      <c r="O16" s="11" t="s">
        <v>142</v>
      </c>
      <c r="P16" s="11" t="s">
        <v>11</v>
      </c>
      <c r="Q16" s="11" t="s">
        <v>143</v>
      </c>
      <c r="R16" s="11" t="s">
        <v>244</v>
      </c>
    </row>
    <row r="17" ht="63" customHeight="1" spans="1:18" s="10" customFormat="1" x14ac:dyDescent="0.25">
      <c r="A17" s="6">
        <v>16</v>
      </c>
      <c r="B17" s="11" t="s">
        <v>22</v>
      </c>
      <c r="C17" s="5" t="s">
        <v>245</v>
      </c>
      <c r="D17" s="11" t="s">
        <v>246</v>
      </c>
      <c r="E17" s="11" t="s">
        <v>247</v>
      </c>
      <c r="F17" s="11" t="s">
        <v>248</v>
      </c>
      <c r="G17" s="11" t="s">
        <v>249</v>
      </c>
      <c r="H17" s="11" t="s">
        <v>137</v>
      </c>
      <c r="I17" s="6" t="s">
        <v>11</v>
      </c>
      <c r="J17" s="11" t="s">
        <v>45</v>
      </c>
      <c r="K17" s="11" t="s">
        <v>149</v>
      </c>
      <c r="L17" s="11" t="s">
        <v>250</v>
      </c>
      <c r="M17" s="11" t="s">
        <v>250</v>
      </c>
      <c r="N17" s="11" t="s">
        <v>142</v>
      </c>
      <c r="O17" s="11" t="s">
        <v>142</v>
      </c>
      <c r="P17" s="11" t="s">
        <v>11</v>
      </c>
      <c r="Q17" s="11" t="s">
        <v>143</v>
      </c>
      <c r="R17" s="11" t="s">
        <v>142</v>
      </c>
    </row>
    <row r="18" ht="27" customHeight="1" spans="1:18" s="10" customFormat="1" x14ac:dyDescent="0.25">
      <c r="A18" s="6">
        <v>17</v>
      </c>
      <c r="B18" s="11" t="s">
        <v>22</v>
      </c>
      <c r="C18" s="5" t="s">
        <v>251</v>
      </c>
      <c r="D18" s="11" t="s">
        <v>246</v>
      </c>
      <c r="E18" s="11" t="s">
        <v>252</v>
      </c>
      <c r="F18" s="11" t="s">
        <v>253</v>
      </c>
      <c r="G18" s="11" t="s">
        <v>241</v>
      </c>
      <c r="H18" s="11" t="s">
        <v>157</v>
      </c>
      <c r="I18" s="6" t="s">
        <v>11</v>
      </c>
      <c r="J18" s="11" t="s">
        <v>45</v>
      </c>
      <c r="K18" s="11" t="s">
        <v>149</v>
      </c>
      <c r="L18" s="11" t="s">
        <v>254</v>
      </c>
      <c r="M18" s="11" t="s">
        <v>255</v>
      </c>
      <c r="N18" s="11" t="s">
        <v>142</v>
      </c>
      <c r="O18" s="11" t="s">
        <v>142</v>
      </c>
      <c r="P18" s="11" t="s">
        <v>11</v>
      </c>
      <c r="Q18" s="11" t="s">
        <v>143</v>
      </c>
      <c r="R18" s="11" t="s">
        <v>142</v>
      </c>
    </row>
    <row r="19" ht="51" customHeight="1" spans="1:18" s="10" customFormat="1" x14ac:dyDescent="0.25">
      <c r="A19" s="6">
        <v>18</v>
      </c>
      <c r="B19" s="11" t="s">
        <v>22</v>
      </c>
      <c r="C19" s="5" t="s">
        <v>256</v>
      </c>
      <c r="D19" s="11" t="s">
        <v>246</v>
      </c>
      <c r="E19" s="11" t="s">
        <v>257</v>
      </c>
      <c r="F19" s="11" t="s">
        <v>258</v>
      </c>
      <c r="G19" s="11" t="s">
        <v>241</v>
      </c>
      <c r="H19" s="11" t="s">
        <v>157</v>
      </c>
      <c r="I19" s="6" t="s">
        <v>11</v>
      </c>
      <c r="J19" s="11" t="s">
        <v>45</v>
      </c>
      <c r="K19" s="11" t="s">
        <v>149</v>
      </c>
      <c r="L19" s="11" t="s">
        <v>259</v>
      </c>
      <c r="M19" s="11" t="s">
        <v>255</v>
      </c>
      <c r="N19" s="11" t="s">
        <v>260</v>
      </c>
      <c r="O19" s="11" t="s">
        <v>142</v>
      </c>
      <c r="P19" s="11" t="s">
        <v>11</v>
      </c>
      <c r="Q19" s="11" t="s">
        <v>143</v>
      </c>
      <c r="R19" s="11" t="s">
        <v>261</v>
      </c>
    </row>
    <row r="20" ht="27" customHeight="1" spans="1:18" s="10" customFormat="1" x14ac:dyDescent="0.25">
      <c r="A20" s="6">
        <v>19</v>
      </c>
      <c r="B20" s="11" t="s">
        <v>22</v>
      </c>
      <c r="C20" s="5" t="s">
        <v>262</v>
      </c>
      <c r="D20" s="11" t="s">
        <v>263</v>
      </c>
      <c r="E20" s="11" t="s">
        <v>264</v>
      </c>
      <c r="F20" s="11" t="s">
        <v>265</v>
      </c>
      <c r="G20" s="11" t="s">
        <v>266</v>
      </c>
      <c r="H20" s="11" t="s">
        <v>137</v>
      </c>
      <c r="I20" s="6" t="s">
        <v>11</v>
      </c>
      <c r="J20" s="11" t="s">
        <v>45</v>
      </c>
      <c r="K20" s="11" t="s">
        <v>149</v>
      </c>
      <c r="L20" s="11" t="s">
        <v>267</v>
      </c>
      <c r="M20" s="11" t="s">
        <v>268</v>
      </c>
      <c r="N20" s="11" t="s">
        <v>142</v>
      </c>
      <c r="O20" s="11" t="s">
        <v>142</v>
      </c>
      <c r="P20" s="11" t="s">
        <v>11</v>
      </c>
      <c r="Q20" s="11" t="s">
        <v>143</v>
      </c>
      <c r="R20" s="11" t="s">
        <v>269</v>
      </c>
    </row>
    <row r="21" ht="27" customHeight="1" spans="1:18" s="10" customFormat="1" x14ac:dyDescent="0.25">
      <c r="A21" s="6">
        <v>20</v>
      </c>
      <c r="B21" s="11" t="s">
        <v>22</v>
      </c>
      <c r="C21" s="5" t="s">
        <v>270</v>
      </c>
      <c r="D21" s="11" t="s">
        <v>263</v>
      </c>
      <c r="E21" s="11" t="s">
        <v>271</v>
      </c>
      <c r="F21" s="11" t="s">
        <v>272</v>
      </c>
      <c r="G21" s="11" t="s">
        <v>273</v>
      </c>
      <c r="H21" s="11" t="s">
        <v>137</v>
      </c>
      <c r="I21" s="6" t="s">
        <v>11</v>
      </c>
      <c r="J21" s="11" t="s">
        <v>45</v>
      </c>
      <c r="K21" s="11" t="s">
        <v>149</v>
      </c>
      <c r="L21" s="11" t="s">
        <v>274</v>
      </c>
      <c r="M21" s="11" t="s">
        <v>275</v>
      </c>
      <c r="N21" s="11" t="s">
        <v>142</v>
      </c>
      <c r="O21" s="11" t="s">
        <v>142</v>
      </c>
      <c r="P21" s="11" t="s">
        <v>11</v>
      </c>
      <c r="Q21" s="11" t="s">
        <v>143</v>
      </c>
      <c r="R21" s="11" t="s">
        <v>276</v>
      </c>
    </row>
    <row r="22" ht="15" customHeight="1" spans="1:18" s="10" customFormat="1" x14ac:dyDescent="0.25">
      <c r="A22" s="6">
        <v>21</v>
      </c>
      <c r="B22" s="11" t="s">
        <v>22</v>
      </c>
      <c r="C22" s="5" t="s">
        <v>277</v>
      </c>
      <c r="D22" s="11" t="s">
        <v>263</v>
      </c>
      <c r="E22" s="11" t="s">
        <v>278</v>
      </c>
      <c r="F22" s="11" t="s">
        <v>279</v>
      </c>
      <c r="G22" s="11" t="s">
        <v>280</v>
      </c>
      <c r="H22" s="11" t="s">
        <v>137</v>
      </c>
      <c r="I22" s="6" t="s">
        <v>11</v>
      </c>
      <c r="J22" s="11" t="s">
        <v>45</v>
      </c>
      <c r="K22" s="11" t="s">
        <v>149</v>
      </c>
      <c r="L22" s="11" t="s">
        <v>281</v>
      </c>
      <c r="M22" s="11" t="s">
        <v>282</v>
      </c>
      <c r="N22" s="11" t="s">
        <v>142</v>
      </c>
      <c r="O22" s="11" t="s">
        <v>142</v>
      </c>
      <c r="P22" s="11" t="s">
        <v>11</v>
      </c>
      <c r="Q22" s="11" t="s">
        <v>143</v>
      </c>
      <c r="R22" s="11" t="s">
        <v>283</v>
      </c>
    </row>
    <row r="23" ht="27" customHeight="1" spans="1:18" s="10" customFormat="1" x14ac:dyDescent="0.25">
      <c r="A23" s="6">
        <v>22</v>
      </c>
      <c r="B23" s="11" t="s">
        <v>22</v>
      </c>
      <c r="C23" s="5" t="s">
        <v>284</v>
      </c>
      <c r="D23" s="11" t="s">
        <v>285</v>
      </c>
      <c r="E23" s="11" t="s">
        <v>286</v>
      </c>
      <c r="F23" s="11" t="s">
        <v>287</v>
      </c>
      <c r="G23" s="11" t="s">
        <v>288</v>
      </c>
      <c r="H23" s="11" t="s">
        <v>137</v>
      </c>
      <c r="I23" s="6" t="s">
        <v>11</v>
      </c>
      <c r="J23" s="11" t="s">
        <v>45</v>
      </c>
      <c r="K23" s="11" t="s">
        <v>149</v>
      </c>
      <c r="L23" s="11" t="s">
        <v>289</v>
      </c>
      <c r="M23" s="11" t="s">
        <v>290</v>
      </c>
      <c r="N23" s="11" t="s">
        <v>142</v>
      </c>
      <c r="O23" s="11" t="s">
        <v>142</v>
      </c>
      <c r="P23" s="11" t="s">
        <v>11</v>
      </c>
      <c r="Q23" s="11" t="s">
        <v>143</v>
      </c>
      <c r="R23" s="11" t="s">
        <v>283</v>
      </c>
    </row>
    <row r="24" ht="39" customHeight="1" spans="1:18" s="10" customFormat="1" x14ac:dyDescent="0.25">
      <c r="A24" s="6">
        <v>23</v>
      </c>
      <c r="B24" s="11" t="s">
        <v>22</v>
      </c>
      <c r="C24" s="5" t="s">
        <v>291</v>
      </c>
      <c r="D24" s="11" t="s">
        <v>285</v>
      </c>
      <c r="E24" s="11" t="s">
        <v>292</v>
      </c>
      <c r="F24" s="11" t="s">
        <v>293</v>
      </c>
      <c r="G24" s="11" t="s">
        <v>294</v>
      </c>
      <c r="H24" s="11" t="s">
        <v>157</v>
      </c>
      <c r="I24" s="6" t="s">
        <v>15</v>
      </c>
      <c r="J24" s="11" t="s">
        <v>47</v>
      </c>
      <c r="K24" s="11" t="s">
        <v>295</v>
      </c>
      <c r="L24" s="11" t="s">
        <v>296</v>
      </c>
      <c r="M24" s="11" t="s">
        <v>297</v>
      </c>
      <c r="N24" s="11" t="s">
        <v>142</v>
      </c>
      <c r="O24" s="11" t="s">
        <v>142</v>
      </c>
      <c r="P24" s="11" t="s">
        <v>15</v>
      </c>
      <c r="Q24" s="11" t="s">
        <v>143</v>
      </c>
      <c r="R24" s="11" t="s">
        <v>298</v>
      </c>
    </row>
    <row r="25" ht="27" customHeight="1" spans="1:18" s="10" customFormat="1" x14ac:dyDescent="0.25">
      <c r="A25" s="6">
        <v>24</v>
      </c>
      <c r="B25" s="11" t="s">
        <v>22</v>
      </c>
      <c r="C25" s="5" t="s">
        <v>299</v>
      </c>
      <c r="D25" s="11" t="s">
        <v>300</v>
      </c>
      <c r="E25" s="11" t="s">
        <v>301</v>
      </c>
      <c r="F25" s="11" t="s">
        <v>302</v>
      </c>
      <c r="G25" s="11" t="s">
        <v>303</v>
      </c>
      <c r="H25" s="11" t="s">
        <v>137</v>
      </c>
      <c r="I25" s="6" t="s">
        <v>11</v>
      </c>
      <c r="J25" s="11" t="s">
        <v>45</v>
      </c>
      <c r="K25" s="11" t="s">
        <v>149</v>
      </c>
      <c r="L25" s="11" t="s">
        <v>304</v>
      </c>
      <c r="M25" s="11" t="s">
        <v>305</v>
      </c>
      <c r="N25" s="11" t="s">
        <v>142</v>
      </c>
      <c r="O25" s="11" t="s">
        <v>142</v>
      </c>
      <c r="P25" s="11" t="s">
        <v>11</v>
      </c>
      <c r="Q25" s="11" t="s">
        <v>143</v>
      </c>
      <c r="R25" s="11" t="s">
        <v>142</v>
      </c>
    </row>
    <row r="26" ht="27" customHeight="1" spans="1:18" s="10" customFormat="1" x14ac:dyDescent="0.25">
      <c r="A26" s="6">
        <v>25</v>
      </c>
      <c r="B26" s="11" t="s">
        <v>22</v>
      </c>
      <c r="C26" s="5" t="s">
        <v>306</v>
      </c>
      <c r="D26" s="11" t="s">
        <v>300</v>
      </c>
      <c r="E26" s="11" t="s">
        <v>307</v>
      </c>
      <c r="F26" s="11" t="s">
        <v>308</v>
      </c>
      <c r="G26" s="11" t="s">
        <v>309</v>
      </c>
      <c r="H26" s="11" t="s">
        <v>157</v>
      </c>
      <c r="I26" s="6" t="s">
        <v>11</v>
      </c>
      <c r="J26" s="11" t="s">
        <v>45</v>
      </c>
      <c r="K26" s="11" t="s">
        <v>149</v>
      </c>
      <c r="L26" s="11" t="s">
        <v>310</v>
      </c>
      <c r="M26" s="11" t="s">
        <v>311</v>
      </c>
      <c r="N26" s="11" t="s">
        <v>142</v>
      </c>
      <c r="O26" s="11" t="s">
        <v>142</v>
      </c>
      <c r="P26" s="11" t="s">
        <v>11</v>
      </c>
      <c r="Q26" s="11" t="s">
        <v>143</v>
      </c>
      <c r="R26" s="11" t="s">
        <v>142</v>
      </c>
    </row>
    <row r="27" ht="63" customHeight="1" spans="1:18" s="10" customFormat="1" x14ac:dyDescent="0.25">
      <c r="A27" s="6">
        <v>26</v>
      </c>
      <c r="B27" s="11" t="s">
        <v>22</v>
      </c>
      <c r="C27" s="5" t="s">
        <v>312</v>
      </c>
      <c r="D27" s="11" t="s">
        <v>313</v>
      </c>
      <c r="E27" s="11" t="s">
        <v>314</v>
      </c>
      <c r="F27" s="11" t="s">
        <v>315</v>
      </c>
      <c r="G27" s="11" t="s">
        <v>316</v>
      </c>
      <c r="H27" s="11" t="s">
        <v>137</v>
      </c>
      <c r="I27" s="6" t="s">
        <v>11</v>
      </c>
      <c r="J27" s="11" t="s">
        <v>45</v>
      </c>
      <c r="K27" s="11" t="s">
        <v>149</v>
      </c>
      <c r="L27" s="11" t="s">
        <v>317</v>
      </c>
      <c r="M27" s="11" t="s">
        <v>318</v>
      </c>
      <c r="N27" s="11" t="s">
        <v>142</v>
      </c>
      <c r="O27" s="11" t="s">
        <v>142</v>
      </c>
      <c r="P27" s="11" t="s">
        <v>11</v>
      </c>
      <c r="Q27" s="11" t="s">
        <v>143</v>
      </c>
      <c r="R27" s="11" t="s">
        <v>319</v>
      </c>
    </row>
    <row r="28" ht="87" customHeight="1" spans="1:18" s="10" customFormat="1" x14ac:dyDescent="0.25">
      <c r="A28" s="6">
        <v>27</v>
      </c>
      <c r="B28" s="11" t="s">
        <v>22</v>
      </c>
      <c r="C28" s="5" t="s">
        <v>320</v>
      </c>
      <c r="D28" s="11" t="s">
        <v>313</v>
      </c>
      <c r="E28" s="11" t="s">
        <v>321</v>
      </c>
      <c r="F28" s="11" t="s">
        <v>322</v>
      </c>
      <c r="G28" s="11" t="s">
        <v>323</v>
      </c>
      <c r="H28" s="11" t="s">
        <v>137</v>
      </c>
      <c r="I28" s="6" t="s">
        <v>11</v>
      </c>
      <c r="J28" s="11" t="s">
        <v>46</v>
      </c>
      <c r="K28" s="11" t="s">
        <v>324</v>
      </c>
      <c r="L28" s="11" t="s">
        <v>325</v>
      </c>
      <c r="M28" s="11" t="s">
        <v>326</v>
      </c>
      <c r="N28" s="11" t="s">
        <v>142</v>
      </c>
      <c r="O28" s="11" t="s">
        <v>142</v>
      </c>
      <c r="P28" s="11" t="s">
        <v>11</v>
      </c>
      <c r="Q28" s="11" t="s">
        <v>143</v>
      </c>
      <c r="R28" s="11" t="s">
        <v>327</v>
      </c>
    </row>
    <row r="29" ht="63" customHeight="1" spans="1:18" s="10" customFormat="1" x14ac:dyDescent="0.25">
      <c r="A29" s="6">
        <v>28</v>
      </c>
      <c r="B29" s="11" t="s">
        <v>22</v>
      </c>
      <c r="C29" s="5" t="s">
        <v>328</v>
      </c>
      <c r="D29" s="11" t="s">
        <v>329</v>
      </c>
      <c r="E29" s="11" t="s">
        <v>330</v>
      </c>
      <c r="F29" s="11" t="s">
        <v>331</v>
      </c>
      <c r="G29" s="11" t="s">
        <v>332</v>
      </c>
      <c r="H29" s="11" t="s">
        <v>137</v>
      </c>
      <c r="I29" s="6" t="s">
        <v>11</v>
      </c>
      <c r="J29" s="11" t="s">
        <v>46</v>
      </c>
      <c r="K29" s="11" t="s">
        <v>333</v>
      </c>
      <c r="L29" s="11" t="s">
        <v>334</v>
      </c>
      <c r="M29" s="11" t="s">
        <v>335</v>
      </c>
      <c r="N29" s="11" t="s">
        <v>336</v>
      </c>
      <c r="O29" s="11" t="s">
        <v>337</v>
      </c>
      <c r="P29" s="11" t="s">
        <v>11</v>
      </c>
      <c r="Q29" s="11" t="s">
        <v>143</v>
      </c>
      <c r="R29" s="11" t="s">
        <v>338</v>
      </c>
    </row>
    <row r="30" ht="39" customHeight="1" spans="1:18" s="10" customFormat="1" x14ac:dyDescent="0.25">
      <c r="A30" s="6">
        <v>29</v>
      </c>
      <c r="B30" s="11" t="s">
        <v>22</v>
      </c>
      <c r="C30" s="5" t="s">
        <v>339</v>
      </c>
      <c r="D30" s="11" t="s">
        <v>329</v>
      </c>
      <c r="E30" s="11" t="s">
        <v>340</v>
      </c>
      <c r="F30" s="11" t="s">
        <v>341</v>
      </c>
      <c r="G30" s="11" t="s">
        <v>342</v>
      </c>
      <c r="H30" s="11" t="s">
        <v>157</v>
      </c>
      <c r="I30" s="6" t="s">
        <v>11</v>
      </c>
      <c r="J30" s="11" t="s">
        <v>45</v>
      </c>
      <c r="K30" s="11" t="s">
        <v>149</v>
      </c>
      <c r="L30" s="11" t="s">
        <v>250</v>
      </c>
      <c r="M30" s="11" t="s">
        <v>250</v>
      </c>
      <c r="N30" s="11" t="s">
        <v>142</v>
      </c>
      <c r="O30" s="11" t="s">
        <v>142</v>
      </c>
      <c r="P30" s="11" t="s">
        <v>11</v>
      </c>
      <c r="Q30" s="11" t="s">
        <v>143</v>
      </c>
      <c r="R30" s="11" t="s">
        <v>142</v>
      </c>
    </row>
    <row r="31" ht="39" customHeight="1" spans="1:18" s="10" customFormat="1" x14ac:dyDescent="0.25">
      <c r="A31" s="6">
        <v>30</v>
      </c>
      <c r="B31" s="11" t="s">
        <v>22</v>
      </c>
      <c r="C31" s="5" t="s">
        <v>343</v>
      </c>
      <c r="D31" s="11" t="s">
        <v>329</v>
      </c>
      <c r="E31" s="11" t="s">
        <v>344</v>
      </c>
      <c r="F31" s="11" t="s">
        <v>345</v>
      </c>
      <c r="G31" s="11" t="s">
        <v>346</v>
      </c>
      <c r="H31" s="11" t="s">
        <v>157</v>
      </c>
      <c r="I31" s="6" t="s">
        <v>11</v>
      </c>
      <c r="J31" s="11" t="s">
        <v>45</v>
      </c>
      <c r="K31" s="11" t="s">
        <v>149</v>
      </c>
      <c r="L31" s="11" t="s">
        <v>158</v>
      </c>
      <c r="M31" s="11" t="s">
        <v>159</v>
      </c>
      <c r="N31" s="11" t="s">
        <v>142</v>
      </c>
      <c r="O31" s="11" t="s">
        <v>142</v>
      </c>
      <c r="P31" s="11" t="s">
        <v>11</v>
      </c>
      <c r="Q31" s="11" t="s">
        <v>143</v>
      </c>
      <c r="R31" s="11" t="s">
        <v>347</v>
      </c>
    </row>
    <row r="32" ht="27" customHeight="1" spans="1:18" s="10" customFormat="1" x14ac:dyDescent="0.25">
      <c r="A32" s="6">
        <v>31</v>
      </c>
      <c r="B32" s="11" t="s">
        <v>22</v>
      </c>
      <c r="C32" s="5" t="s">
        <v>348</v>
      </c>
      <c r="D32" s="11" t="s">
        <v>329</v>
      </c>
      <c r="E32" s="11" t="s">
        <v>349</v>
      </c>
      <c r="F32" s="11" t="s">
        <v>350</v>
      </c>
      <c r="G32" s="11" t="s">
        <v>351</v>
      </c>
      <c r="H32" s="11" t="s">
        <v>137</v>
      </c>
      <c r="I32" s="6" t="s">
        <v>11</v>
      </c>
      <c r="J32" s="11" t="s">
        <v>45</v>
      </c>
      <c r="K32" s="11" t="s">
        <v>149</v>
      </c>
      <c r="L32" s="11" t="s">
        <v>281</v>
      </c>
      <c r="M32" s="11" t="s">
        <v>282</v>
      </c>
      <c r="N32" s="11" t="s">
        <v>352</v>
      </c>
      <c r="O32" s="11" t="s">
        <v>142</v>
      </c>
      <c r="P32" s="11" t="s">
        <v>11</v>
      </c>
      <c r="Q32" s="11" t="s">
        <v>143</v>
      </c>
      <c r="R32" s="11" t="s">
        <v>353</v>
      </c>
    </row>
    <row r="33" ht="27" customHeight="1" spans="1:18" s="10" customFormat="1" x14ac:dyDescent="0.25">
      <c r="A33" s="6">
        <v>32</v>
      </c>
      <c r="B33" s="11" t="s">
        <v>22</v>
      </c>
      <c r="C33" s="5" t="s">
        <v>354</v>
      </c>
      <c r="D33" s="11" t="s">
        <v>355</v>
      </c>
      <c r="E33" s="11" t="s">
        <v>356</v>
      </c>
      <c r="F33" s="11" t="s">
        <v>357</v>
      </c>
      <c r="G33" s="11" t="s">
        <v>358</v>
      </c>
      <c r="H33" s="11" t="s">
        <v>137</v>
      </c>
      <c r="I33" s="6" t="s">
        <v>11</v>
      </c>
      <c r="J33" s="11" t="s">
        <v>45</v>
      </c>
      <c r="K33" s="11" t="s">
        <v>149</v>
      </c>
      <c r="L33" s="11" t="s">
        <v>359</v>
      </c>
      <c r="M33" s="11" t="s">
        <v>311</v>
      </c>
      <c r="N33" s="11" t="s">
        <v>142</v>
      </c>
      <c r="O33" s="11" t="s">
        <v>142</v>
      </c>
      <c r="P33" s="11" t="s">
        <v>11</v>
      </c>
      <c r="Q33" s="11" t="s">
        <v>143</v>
      </c>
      <c r="R33" s="11" t="s">
        <v>142</v>
      </c>
    </row>
    <row r="34" ht="39" customHeight="1" spans="1:18" s="10" customFormat="1" x14ac:dyDescent="0.25">
      <c r="A34" s="6">
        <v>33</v>
      </c>
      <c r="B34" s="11" t="s">
        <v>22</v>
      </c>
      <c r="C34" s="5" t="s">
        <v>360</v>
      </c>
      <c r="D34" s="11" t="s">
        <v>355</v>
      </c>
      <c r="E34" s="11" t="s">
        <v>361</v>
      </c>
      <c r="F34" s="11" t="s">
        <v>362</v>
      </c>
      <c r="G34" s="11" t="s">
        <v>363</v>
      </c>
      <c r="H34" s="11" t="s">
        <v>137</v>
      </c>
      <c r="I34" s="6" t="s">
        <v>11</v>
      </c>
      <c r="J34" s="11" t="s">
        <v>46</v>
      </c>
      <c r="K34" s="11" t="s">
        <v>364</v>
      </c>
      <c r="L34" s="11" t="s">
        <v>365</v>
      </c>
      <c r="M34" s="11" t="s">
        <v>366</v>
      </c>
      <c r="N34" s="11" t="s">
        <v>142</v>
      </c>
      <c r="O34" s="11" t="s">
        <v>142</v>
      </c>
      <c r="P34" s="11" t="s">
        <v>11</v>
      </c>
      <c r="Q34" s="11" t="s">
        <v>143</v>
      </c>
      <c r="R34" s="11" t="s">
        <v>367</v>
      </c>
    </row>
    <row r="35" ht="63" customHeight="1" spans="1:18" s="10" customFormat="1" x14ac:dyDescent="0.25">
      <c r="A35" s="6">
        <v>34</v>
      </c>
      <c r="B35" s="11" t="s">
        <v>22</v>
      </c>
      <c r="C35" s="5" t="s">
        <v>368</v>
      </c>
      <c r="D35" s="11" t="s">
        <v>355</v>
      </c>
      <c r="E35" s="11" t="s">
        <v>369</v>
      </c>
      <c r="F35" s="11" t="s">
        <v>370</v>
      </c>
      <c r="G35" s="11" t="s">
        <v>371</v>
      </c>
      <c r="H35" s="11" t="s">
        <v>137</v>
      </c>
      <c r="I35" s="6" t="s">
        <v>11</v>
      </c>
      <c r="J35" s="11" t="s">
        <v>45</v>
      </c>
      <c r="K35" s="11" t="s">
        <v>149</v>
      </c>
      <c r="L35" s="11" t="s">
        <v>372</v>
      </c>
      <c r="M35" s="11" t="s">
        <v>373</v>
      </c>
      <c r="N35" s="11" t="s">
        <v>374</v>
      </c>
      <c r="O35" s="11" t="s">
        <v>142</v>
      </c>
      <c r="P35" s="11" t="s">
        <v>11</v>
      </c>
      <c r="Q35" s="11" t="s">
        <v>143</v>
      </c>
      <c r="R35" s="11" t="s">
        <v>375</v>
      </c>
    </row>
    <row r="36" ht="27" customHeight="1" spans="1:18" s="10" customFormat="1" x14ac:dyDescent="0.25">
      <c r="A36" s="6">
        <v>35</v>
      </c>
      <c r="B36" s="11" t="s">
        <v>22</v>
      </c>
      <c r="C36" s="5" t="s">
        <v>376</v>
      </c>
      <c r="D36" s="11" t="s">
        <v>355</v>
      </c>
      <c r="E36" s="11" t="s">
        <v>377</v>
      </c>
      <c r="F36" s="11" t="s">
        <v>378</v>
      </c>
      <c r="G36" s="11" t="s">
        <v>379</v>
      </c>
      <c r="H36" s="11" t="s">
        <v>157</v>
      </c>
      <c r="I36" s="6" t="s">
        <v>11</v>
      </c>
      <c r="J36" s="11" t="s">
        <v>45</v>
      </c>
      <c r="K36" s="11" t="s">
        <v>149</v>
      </c>
      <c r="L36" s="11" t="s">
        <v>281</v>
      </c>
      <c r="M36" s="11" t="s">
        <v>282</v>
      </c>
      <c r="N36" s="11" t="s">
        <v>142</v>
      </c>
      <c r="O36" s="11" t="s">
        <v>142</v>
      </c>
      <c r="P36" s="11" t="s">
        <v>11</v>
      </c>
      <c r="Q36" s="11" t="s">
        <v>143</v>
      </c>
      <c r="R36" s="11" t="s">
        <v>380</v>
      </c>
    </row>
    <row r="37" ht="51" customHeight="1" spans="1:18" s="10" customFormat="1" x14ac:dyDescent="0.25">
      <c r="A37" s="6">
        <v>36</v>
      </c>
      <c r="B37" s="11" t="s">
        <v>22</v>
      </c>
      <c r="C37" s="5" t="s">
        <v>381</v>
      </c>
      <c r="D37" s="11" t="s">
        <v>355</v>
      </c>
      <c r="E37" s="11" t="s">
        <v>382</v>
      </c>
      <c r="F37" s="11" t="s">
        <v>383</v>
      </c>
      <c r="G37" s="11" t="s">
        <v>384</v>
      </c>
      <c r="H37" s="11" t="s">
        <v>137</v>
      </c>
      <c r="I37" s="6" t="s">
        <v>11</v>
      </c>
      <c r="J37" s="11" t="s">
        <v>45</v>
      </c>
      <c r="K37" s="11" t="s">
        <v>149</v>
      </c>
      <c r="L37" s="11" t="s">
        <v>281</v>
      </c>
      <c r="M37" s="11" t="s">
        <v>282</v>
      </c>
      <c r="N37" s="11" t="s">
        <v>385</v>
      </c>
      <c r="O37" s="11" t="s">
        <v>142</v>
      </c>
      <c r="P37" s="11" t="s">
        <v>11</v>
      </c>
      <c r="Q37" s="11" t="s">
        <v>143</v>
      </c>
      <c r="R37" s="11" t="s">
        <v>386</v>
      </c>
    </row>
    <row r="38" ht="39" customHeight="1" spans="1:18" s="10" customFormat="1" x14ac:dyDescent="0.25">
      <c r="A38" s="6">
        <v>37</v>
      </c>
      <c r="B38" s="11" t="s">
        <v>22</v>
      </c>
      <c r="C38" s="5" t="s">
        <v>387</v>
      </c>
      <c r="D38" s="11" t="s">
        <v>388</v>
      </c>
      <c r="E38" s="11" t="s">
        <v>389</v>
      </c>
      <c r="F38" s="11" t="s">
        <v>390</v>
      </c>
      <c r="G38" s="11" t="s">
        <v>142</v>
      </c>
      <c r="H38" s="11" t="s">
        <v>137</v>
      </c>
      <c r="I38" s="6" t="s">
        <v>11</v>
      </c>
      <c r="J38" s="11" t="s">
        <v>45</v>
      </c>
      <c r="K38" s="11" t="s">
        <v>149</v>
      </c>
      <c r="L38" s="11" t="s">
        <v>250</v>
      </c>
      <c r="M38" s="11" t="s">
        <v>250</v>
      </c>
      <c r="N38" s="11" t="s">
        <v>142</v>
      </c>
      <c r="O38" s="11" t="s">
        <v>142</v>
      </c>
      <c r="P38" s="11" t="s">
        <v>11</v>
      </c>
      <c r="Q38" s="11" t="s">
        <v>143</v>
      </c>
      <c r="R38" s="11" t="s">
        <v>142</v>
      </c>
    </row>
    <row r="39" ht="39" customHeight="1" spans="1:18" s="10" customFormat="1" x14ac:dyDescent="0.25">
      <c r="A39" s="6">
        <v>38</v>
      </c>
      <c r="B39" s="11" t="s">
        <v>22</v>
      </c>
      <c r="C39" s="5" t="s">
        <v>391</v>
      </c>
      <c r="D39" s="11" t="s">
        <v>388</v>
      </c>
      <c r="E39" s="11" t="s">
        <v>392</v>
      </c>
      <c r="F39" s="11" t="s">
        <v>393</v>
      </c>
      <c r="G39" s="11" t="s">
        <v>394</v>
      </c>
      <c r="H39" s="11" t="s">
        <v>137</v>
      </c>
      <c r="I39" s="6" t="s">
        <v>11</v>
      </c>
      <c r="J39" s="11" t="s">
        <v>45</v>
      </c>
      <c r="K39" s="11" t="s">
        <v>149</v>
      </c>
      <c r="L39" s="11" t="s">
        <v>395</v>
      </c>
      <c r="M39" s="11" t="s">
        <v>396</v>
      </c>
      <c r="N39" s="11" t="s">
        <v>142</v>
      </c>
      <c r="O39" s="11" t="s">
        <v>142</v>
      </c>
      <c r="P39" s="11" t="s">
        <v>11</v>
      </c>
      <c r="Q39" s="11" t="s">
        <v>143</v>
      </c>
      <c r="R39" s="11" t="s">
        <v>142</v>
      </c>
    </row>
    <row r="40" ht="39" customHeight="1" spans="1:18" s="10" customFormat="1" x14ac:dyDescent="0.25">
      <c r="A40" s="6">
        <v>39</v>
      </c>
      <c r="B40" s="11" t="s">
        <v>22</v>
      </c>
      <c r="C40" s="5" t="s">
        <v>397</v>
      </c>
      <c r="D40" s="11" t="s">
        <v>388</v>
      </c>
      <c r="E40" s="11" t="s">
        <v>398</v>
      </c>
      <c r="F40" s="11" t="s">
        <v>399</v>
      </c>
      <c r="G40" s="11" t="s">
        <v>400</v>
      </c>
      <c r="H40" s="11" t="s">
        <v>137</v>
      </c>
      <c r="I40" s="6" t="s">
        <v>11</v>
      </c>
      <c r="J40" s="11" t="s">
        <v>45</v>
      </c>
      <c r="K40" s="11" t="s">
        <v>149</v>
      </c>
      <c r="L40" s="11" t="s">
        <v>401</v>
      </c>
      <c r="M40" s="11" t="s">
        <v>211</v>
      </c>
      <c r="N40" s="11" t="s">
        <v>142</v>
      </c>
      <c r="O40" s="11" t="s">
        <v>142</v>
      </c>
      <c r="P40" s="11" t="s">
        <v>11</v>
      </c>
      <c r="Q40" s="11" t="s">
        <v>143</v>
      </c>
      <c r="R40" s="11" t="s">
        <v>402</v>
      </c>
    </row>
    <row r="41" ht="27" customHeight="1" spans="1:18" s="10" customFormat="1" x14ac:dyDescent="0.25">
      <c r="A41" s="6">
        <v>40</v>
      </c>
      <c r="B41" s="11" t="s">
        <v>22</v>
      </c>
      <c r="C41" s="5" t="s">
        <v>403</v>
      </c>
      <c r="D41" s="11" t="s">
        <v>388</v>
      </c>
      <c r="E41" s="11" t="s">
        <v>404</v>
      </c>
      <c r="F41" s="11" t="s">
        <v>405</v>
      </c>
      <c r="G41" s="11" t="s">
        <v>406</v>
      </c>
      <c r="H41" s="11" t="s">
        <v>137</v>
      </c>
      <c r="I41" s="6" t="s">
        <v>11</v>
      </c>
      <c r="J41" s="11" t="s">
        <v>45</v>
      </c>
      <c r="K41" s="11" t="s">
        <v>149</v>
      </c>
      <c r="L41" s="11" t="s">
        <v>173</v>
      </c>
      <c r="M41" s="11" t="s">
        <v>159</v>
      </c>
      <c r="N41" s="11" t="s">
        <v>142</v>
      </c>
      <c r="O41" s="11" t="s">
        <v>142</v>
      </c>
      <c r="P41" s="11" t="s">
        <v>11</v>
      </c>
      <c r="Q41" s="11" t="s">
        <v>143</v>
      </c>
      <c r="R41" s="11" t="s">
        <v>407</v>
      </c>
    </row>
    <row r="42" ht="27" customHeight="1" spans="1:18" s="10" customFormat="1" x14ac:dyDescent="0.25">
      <c r="A42" s="6">
        <v>41</v>
      </c>
      <c r="B42" s="11" t="s">
        <v>22</v>
      </c>
      <c r="C42" s="5" t="s">
        <v>408</v>
      </c>
      <c r="D42" s="11" t="s">
        <v>388</v>
      </c>
      <c r="E42" s="11" t="s">
        <v>409</v>
      </c>
      <c r="F42" s="11" t="s">
        <v>410</v>
      </c>
      <c r="G42" s="11" t="s">
        <v>411</v>
      </c>
      <c r="H42" s="11" t="s">
        <v>137</v>
      </c>
      <c r="I42" s="6" t="s">
        <v>11</v>
      </c>
      <c r="J42" s="11" t="s">
        <v>45</v>
      </c>
      <c r="K42" s="11" t="s">
        <v>149</v>
      </c>
      <c r="L42" s="11" t="s">
        <v>281</v>
      </c>
      <c r="M42" s="11" t="s">
        <v>282</v>
      </c>
      <c r="N42" s="11" t="s">
        <v>412</v>
      </c>
      <c r="O42" s="11" t="s">
        <v>142</v>
      </c>
      <c r="P42" s="11" t="s">
        <v>11</v>
      </c>
      <c r="Q42" s="11" t="s">
        <v>143</v>
      </c>
      <c r="R42" s="11" t="s">
        <v>413</v>
      </c>
    </row>
    <row r="43" ht="63" customHeight="1" spans="1:18" s="10" customFormat="1" x14ac:dyDescent="0.25">
      <c r="A43" s="6">
        <v>42</v>
      </c>
      <c r="B43" s="11" t="s">
        <v>22</v>
      </c>
      <c r="C43" s="5" t="s">
        <v>414</v>
      </c>
      <c r="D43" s="11" t="s">
        <v>388</v>
      </c>
      <c r="E43" s="11" t="s">
        <v>415</v>
      </c>
      <c r="F43" s="11" t="s">
        <v>416</v>
      </c>
      <c r="G43" s="11" t="s">
        <v>417</v>
      </c>
      <c r="H43" s="11" t="s">
        <v>137</v>
      </c>
      <c r="I43" s="6" t="s">
        <v>11</v>
      </c>
      <c r="J43" s="11" t="s">
        <v>45</v>
      </c>
      <c r="K43" s="11" t="s">
        <v>149</v>
      </c>
      <c r="L43" s="11" t="s">
        <v>418</v>
      </c>
      <c r="M43" s="11" t="s">
        <v>419</v>
      </c>
      <c r="N43" s="11" t="s">
        <v>142</v>
      </c>
      <c r="O43" s="11" t="s">
        <v>142</v>
      </c>
      <c r="P43" s="11" t="s">
        <v>11</v>
      </c>
      <c r="Q43" s="11" t="s">
        <v>143</v>
      </c>
      <c r="R43" s="11" t="s">
        <v>420</v>
      </c>
    </row>
    <row r="44" ht="63" customHeight="1" spans="1:18" s="10" customFormat="1" x14ac:dyDescent="0.25">
      <c r="A44" s="6">
        <v>43</v>
      </c>
      <c r="B44" s="11" t="s">
        <v>22</v>
      </c>
      <c r="C44" s="5" t="s">
        <v>421</v>
      </c>
      <c r="D44" s="11" t="s">
        <v>388</v>
      </c>
      <c r="E44" s="11" t="s">
        <v>422</v>
      </c>
      <c r="F44" s="11" t="s">
        <v>423</v>
      </c>
      <c r="G44" s="11" t="s">
        <v>424</v>
      </c>
      <c r="H44" s="11" t="s">
        <v>137</v>
      </c>
      <c r="I44" s="6" t="s">
        <v>11</v>
      </c>
      <c r="J44" s="11" t="s">
        <v>45</v>
      </c>
      <c r="K44" s="11" t="s">
        <v>149</v>
      </c>
      <c r="L44" s="11" t="s">
        <v>425</v>
      </c>
      <c r="M44" s="11" t="s">
        <v>426</v>
      </c>
      <c r="N44" s="11" t="s">
        <v>427</v>
      </c>
      <c r="O44" s="11" t="s">
        <v>142</v>
      </c>
      <c r="P44" s="11" t="s">
        <v>11</v>
      </c>
      <c r="Q44" s="11" t="s">
        <v>143</v>
      </c>
      <c r="R44" s="11" t="s">
        <v>428</v>
      </c>
    </row>
    <row r="45" ht="27" customHeight="1" spans="1:18" s="10" customFormat="1" x14ac:dyDescent="0.25">
      <c r="A45" s="6">
        <v>44</v>
      </c>
      <c r="B45" s="11" t="s">
        <v>22</v>
      </c>
      <c r="C45" s="5" t="s">
        <v>429</v>
      </c>
      <c r="D45" s="11" t="s">
        <v>430</v>
      </c>
      <c r="E45" s="11" t="s">
        <v>431</v>
      </c>
      <c r="F45" s="11" t="s">
        <v>432</v>
      </c>
      <c r="G45" s="11" t="s">
        <v>433</v>
      </c>
      <c r="H45" s="11" t="s">
        <v>157</v>
      </c>
      <c r="I45" s="6" t="s">
        <v>11</v>
      </c>
      <c r="J45" s="11" t="s">
        <v>45</v>
      </c>
      <c r="K45" s="11" t="s">
        <v>149</v>
      </c>
      <c r="L45" s="11" t="s">
        <v>173</v>
      </c>
      <c r="M45" s="11" t="s">
        <v>159</v>
      </c>
      <c r="N45" s="11" t="s">
        <v>434</v>
      </c>
      <c r="O45" s="11" t="s">
        <v>142</v>
      </c>
      <c r="P45" s="11" t="s">
        <v>11</v>
      </c>
      <c r="Q45" s="11" t="s">
        <v>143</v>
      </c>
      <c r="R45" s="11" t="s">
        <v>435</v>
      </c>
    </row>
    <row r="46" ht="27" customHeight="1" spans="1:18" s="10" customFormat="1" x14ac:dyDescent="0.25">
      <c r="A46" s="6">
        <v>45</v>
      </c>
      <c r="B46" s="11" t="s">
        <v>22</v>
      </c>
      <c r="C46" s="5" t="s">
        <v>436</v>
      </c>
      <c r="D46" s="11" t="s">
        <v>430</v>
      </c>
      <c r="E46" s="11" t="s">
        <v>437</v>
      </c>
      <c r="F46" s="11" t="s">
        <v>438</v>
      </c>
      <c r="G46" s="11" t="s">
        <v>439</v>
      </c>
      <c r="H46" s="11" t="s">
        <v>137</v>
      </c>
      <c r="I46" s="6" t="s">
        <v>11</v>
      </c>
      <c r="J46" s="11" t="s">
        <v>45</v>
      </c>
      <c r="K46" s="11" t="s">
        <v>149</v>
      </c>
      <c r="L46" s="11" t="s">
        <v>173</v>
      </c>
      <c r="M46" s="11" t="s">
        <v>159</v>
      </c>
      <c r="N46" s="11" t="s">
        <v>142</v>
      </c>
      <c r="O46" s="11" t="s">
        <v>142</v>
      </c>
      <c r="P46" s="11" t="s">
        <v>11</v>
      </c>
      <c r="Q46" s="11" t="s">
        <v>143</v>
      </c>
      <c r="R46" s="11" t="s">
        <v>440</v>
      </c>
    </row>
    <row r="47" ht="15" customHeight="1" spans="1:18" s="10" customFormat="1" x14ac:dyDescent="0.25">
      <c r="A47" s="6">
        <v>46</v>
      </c>
      <c r="B47" s="11" t="s">
        <v>22</v>
      </c>
      <c r="C47" s="5" t="s">
        <v>441</v>
      </c>
      <c r="D47" s="11" t="s">
        <v>430</v>
      </c>
      <c r="E47" s="11" t="s">
        <v>442</v>
      </c>
      <c r="F47" s="11" t="s">
        <v>443</v>
      </c>
      <c r="G47" s="11" t="s">
        <v>444</v>
      </c>
      <c r="H47" s="11" t="s">
        <v>157</v>
      </c>
      <c r="I47" s="6" t="s">
        <v>11</v>
      </c>
      <c r="J47" s="11" t="s">
        <v>45</v>
      </c>
      <c r="K47" s="11" t="s">
        <v>149</v>
      </c>
      <c r="L47" s="11" t="s">
        <v>173</v>
      </c>
      <c r="M47" s="11" t="s">
        <v>159</v>
      </c>
      <c r="N47" s="11" t="s">
        <v>142</v>
      </c>
      <c r="O47" s="11" t="s">
        <v>142</v>
      </c>
      <c r="P47" s="11" t="s">
        <v>11</v>
      </c>
      <c r="Q47" s="11" t="s">
        <v>143</v>
      </c>
      <c r="R47" s="11" t="s">
        <v>174</v>
      </c>
    </row>
    <row r="48" ht="51" customHeight="1" spans="1:18" s="10" customFormat="1" x14ac:dyDescent="0.25">
      <c r="A48" s="6">
        <v>47</v>
      </c>
      <c r="B48" s="11" t="s">
        <v>22</v>
      </c>
      <c r="C48" s="5" t="s">
        <v>445</v>
      </c>
      <c r="D48" s="11" t="s">
        <v>430</v>
      </c>
      <c r="E48" s="11" t="s">
        <v>446</v>
      </c>
      <c r="F48" s="11" t="s">
        <v>447</v>
      </c>
      <c r="G48" s="11" t="s">
        <v>448</v>
      </c>
      <c r="H48" s="11" t="s">
        <v>157</v>
      </c>
      <c r="I48" s="6" t="s">
        <v>11</v>
      </c>
      <c r="J48" s="11" t="s">
        <v>45</v>
      </c>
      <c r="K48" s="11" t="s">
        <v>149</v>
      </c>
      <c r="L48" s="11" t="s">
        <v>449</v>
      </c>
      <c r="M48" s="11" t="s">
        <v>450</v>
      </c>
      <c r="N48" s="11" t="s">
        <v>142</v>
      </c>
      <c r="O48" s="11" t="s">
        <v>142</v>
      </c>
      <c r="P48" s="11" t="s">
        <v>11</v>
      </c>
      <c r="Q48" s="11" t="s">
        <v>143</v>
      </c>
      <c r="R48" s="11" t="s">
        <v>451</v>
      </c>
    </row>
    <row r="49" ht="27" customHeight="1" spans="1:18" s="10" customFormat="1" x14ac:dyDescent="0.25">
      <c r="A49" s="6">
        <v>48</v>
      </c>
      <c r="B49" s="11" t="s">
        <v>22</v>
      </c>
      <c r="C49" s="5" t="s">
        <v>452</v>
      </c>
      <c r="D49" s="11" t="s">
        <v>453</v>
      </c>
      <c r="E49" s="11" t="s">
        <v>454</v>
      </c>
      <c r="F49" s="11" t="s">
        <v>455</v>
      </c>
      <c r="G49" s="11" t="s">
        <v>456</v>
      </c>
      <c r="H49" s="11" t="s">
        <v>137</v>
      </c>
      <c r="I49" s="6" t="s">
        <v>11</v>
      </c>
      <c r="J49" s="11" t="s">
        <v>45</v>
      </c>
      <c r="K49" s="11" t="s">
        <v>149</v>
      </c>
      <c r="L49" s="11" t="s">
        <v>250</v>
      </c>
      <c r="M49" s="11" t="s">
        <v>250</v>
      </c>
      <c r="N49" s="11" t="s">
        <v>142</v>
      </c>
      <c r="O49" s="11" t="s">
        <v>142</v>
      </c>
      <c r="P49" s="11" t="s">
        <v>11</v>
      </c>
      <c r="Q49" s="11" t="s">
        <v>143</v>
      </c>
      <c r="R49" s="11" t="s">
        <v>142</v>
      </c>
    </row>
    <row r="50" ht="15" customHeight="1" spans="1:18" s="10" customFormat="1" x14ac:dyDescent="0.25">
      <c r="A50" s="6">
        <v>49</v>
      </c>
      <c r="B50" s="11" t="s">
        <v>22</v>
      </c>
      <c r="C50" s="5" t="s">
        <v>457</v>
      </c>
      <c r="D50" s="11" t="s">
        <v>453</v>
      </c>
      <c r="E50" s="11" t="s">
        <v>458</v>
      </c>
      <c r="F50" s="11" t="s">
        <v>459</v>
      </c>
      <c r="G50" s="11" t="s">
        <v>456</v>
      </c>
      <c r="H50" s="11" t="s">
        <v>157</v>
      </c>
      <c r="I50" s="6" t="s">
        <v>11</v>
      </c>
      <c r="J50" s="11" t="s">
        <v>45</v>
      </c>
      <c r="K50" s="11" t="s">
        <v>149</v>
      </c>
      <c r="L50" s="11" t="s">
        <v>460</v>
      </c>
      <c r="M50" s="11" t="s">
        <v>396</v>
      </c>
      <c r="N50" s="11" t="s">
        <v>142</v>
      </c>
      <c r="O50" s="11" t="s">
        <v>142</v>
      </c>
      <c r="P50" s="11" t="s">
        <v>11</v>
      </c>
      <c r="Q50" s="11" t="s">
        <v>143</v>
      </c>
      <c r="R50" s="11" t="s">
        <v>461</v>
      </c>
    </row>
    <row r="51" ht="27" customHeight="1" spans="1:18" s="10" customFormat="1" x14ac:dyDescent="0.25">
      <c r="A51" s="6">
        <v>50</v>
      </c>
      <c r="B51" s="11" t="s">
        <v>22</v>
      </c>
      <c r="C51" s="5" t="s">
        <v>462</v>
      </c>
      <c r="D51" s="11" t="s">
        <v>453</v>
      </c>
      <c r="E51" s="11" t="s">
        <v>463</v>
      </c>
      <c r="F51" s="11" t="s">
        <v>464</v>
      </c>
      <c r="G51" s="11" t="s">
        <v>465</v>
      </c>
      <c r="H51" s="11" t="s">
        <v>137</v>
      </c>
      <c r="I51" s="6" t="s">
        <v>11</v>
      </c>
      <c r="J51" s="11" t="s">
        <v>45</v>
      </c>
      <c r="K51" s="11" t="s">
        <v>149</v>
      </c>
      <c r="L51" s="11" t="s">
        <v>250</v>
      </c>
      <c r="M51" s="11" t="s">
        <v>250</v>
      </c>
      <c r="N51" s="11" t="s">
        <v>142</v>
      </c>
      <c r="O51" s="11" t="s">
        <v>142</v>
      </c>
      <c r="P51" s="11" t="s">
        <v>11</v>
      </c>
      <c r="Q51" s="11" t="s">
        <v>143</v>
      </c>
      <c r="R51" s="11" t="s">
        <v>142</v>
      </c>
    </row>
    <row r="52" ht="39" customHeight="1" spans="1:18" s="10" customFormat="1" x14ac:dyDescent="0.25">
      <c r="A52" s="6">
        <v>51</v>
      </c>
      <c r="B52" s="11" t="s">
        <v>22</v>
      </c>
      <c r="C52" s="5" t="s">
        <v>466</v>
      </c>
      <c r="D52" s="11" t="s">
        <v>453</v>
      </c>
      <c r="E52" s="11" t="s">
        <v>467</v>
      </c>
      <c r="F52" s="11" t="s">
        <v>468</v>
      </c>
      <c r="G52" s="11" t="s">
        <v>469</v>
      </c>
      <c r="H52" s="11" t="s">
        <v>137</v>
      </c>
      <c r="I52" s="6" t="s">
        <v>11</v>
      </c>
      <c r="J52" s="11" t="s">
        <v>45</v>
      </c>
      <c r="K52" s="11" t="s">
        <v>149</v>
      </c>
      <c r="L52" s="11" t="s">
        <v>470</v>
      </c>
      <c r="M52" s="11" t="s">
        <v>471</v>
      </c>
      <c r="N52" s="11" t="s">
        <v>142</v>
      </c>
      <c r="O52" s="11" t="s">
        <v>142</v>
      </c>
      <c r="P52" s="11" t="s">
        <v>11</v>
      </c>
      <c r="Q52" s="11" t="s">
        <v>143</v>
      </c>
      <c r="R52" s="11" t="s">
        <v>142</v>
      </c>
    </row>
    <row r="53" ht="27" customHeight="1" spans="1:18" s="10" customFormat="1" x14ac:dyDescent="0.25">
      <c r="A53" s="6">
        <v>52</v>
      </c>
      <c r="B53" s="11" t="s">
        <v>22</v>
      </c>
      <c r="C53" s="5" t="s">
        <v>472</v>
      </c>
      <c r="D53" s="11" t="s">
        <v>473</v>
      </c>
      <c r="E53" s="11" t="s">
        <v>474</v>
      </c>
      <c r="F53" s="11" t="s">
        <v>475</v>
      </c>
      <c r="G53" s="11" t="s">
        <v>476</v>
      </c>
      <c r="H53" s="11" t="s">
        <v>157</v>
      </c>
      <c r="I53" s="6" t="s">
        <v>11</v>
      </c>
      <c r="J53" s="11" t="s">
        <v>45</v>
      </c>
      <c r="K53" s="11" t="s">
        <v>149</v>
      </c>
      <c r="L53" s="11" t="s">
        <v>158</v>
      </c>
      <c r="M53" s="11" t="s">
        <v>159</v>
      </c>
      <c r="N53" s="11" t="s">
        <v>142</v>
      </c>
      <c r="O53" s="11" t="s">
        <v>142</v>
      </c>
      <c r="P53" s="11" t="s">
        <v>11</v>
      </c>
      <c r="Q53" s="11" t="s">
        <v>143</v>
      </c>
      <c r="R53" s="11" t="s">
        <v>477</v>
      </c>
    </row>
    <row r="54" ht="15" customHeight="1" spans="1:18" s="10" customFormat="1" x14ac:dyDescent="0.25">
      <c r="A54" s="6">
        <v>53</v>
      </c>
      <c r="B54" s="11" t="s">
        <v>22</v>
      </c>
      <c r="C54" s="5" t="s">
        <v>478</v>
      </c>
      <c r="D54" s="11" t="s">
        <v>473</v>
      </c>
      <c r="E54" s="11" t="s">
        <v>479</v>
      </c>
      <c r="F54" s="11" t="s">
        <v>480</v>
      </c>
      <c r="G54" s="11" t="s">
        <v>481</v>
      </c>
      <c r="H54" s="11" t="s">
        <v>157</v>
      </c>
      <c r="I54" s="6" t="s">
        <v>11</v>
      </c>
      <c r="J54" s="11" t="s">
        <v>45</v>
      </c>
      <c r="K54" s="11" t="s">
        <v>149</v>
      </c>
      <c r="L54" s="11" t="s">
        <v>158</v>
      </c>
      <c r="M54" s="11" t="s">
        <v>159</v>
      </c>
      <c r="N54" s="11" t="s">
        <v>142</v>
      </c>
      <c r="O54" s="11" t="s">
        <v>142</v>
      </c>
      <c r="P54" s="11" t="s">
        <v>11</v>
      </c>
      <c r="Q54" s="11" t="s">
        <v>143</v>
      </c>
      <c r="R54" s="11" t="s">
        <v>482</v>
      </c>
    </row>
    <row r="55" ht="51" customHeight="1" spans="1:18" s="10" customFormat="1" x14ac:dyDescent="0.25">
      <c r="A55" s="6">
        <v>54</v>
      </c>
      <c r="B55" s="11" t="s">
        <v>22</v>
      </c>
      <c r="C55" s="5" t="s">
        <v>483</v>
      </c>
      <c r="D55" s="11" t="s">
        <v>473</v>
      </c>
      <c r="E55" s="11" t="s">
        <v>484</v>
      </c>
      <c r="F55" s="11" t="s">
        <v>485</v>
      </c>
      <c r="G55" s="11" t="s">
        <v>486</v>
      </c>
      <c r="H55" s="11" t="s">
        <v>157</v>
      </c>
      <c r="I55" s="6" t="s">
        <v>11</v>
      </c>
      <c r="J55" s="11" t="s">
        <v>46</v>
      </c>
      <c r="K55" s="11" t="s">
        <v>487</v>
      </c>
      <c r="L55" s="11" t="s">
        <v>488</v>
      </c>
      <c r="M55" s="11" t="s">
        <v>366</v>
      </c>
      <c r="N55" s="11" t="s">
        <v>142</v>
      </c>
      <c r="O55" s="11" t="s">
        <v>142</v>
      </c>
      <c r="P55" s="11" t="s">
        <v>11</v>
      </c>
      <c r="Q55" s="11" t="s">
        <v>143</v>
      </c>
      <c r="R55" s="11" t="s">
        <v>489</v>
      </c>
    </row>
    <row r="56" ht="63" customHeight="1" spans="1:18" s="10" customFormat="1" x14ac:dyDescent="0.25">
      <c r="A56" s="6">
        <v>55</v>
      </c>
      <c r="B56" s="11" t="s">
        <v>22</v>
      </c>
      <c r="C56" s="5" t="s">
        <v>490</v>
      </c>
      <c r="D56" s="11" t="s">
        <v>491</v>
      </c>
      <c r="E56" s="11" t="s">
        <v>492</v>
      </c>
      <c r="F56" s="11" t="s">
        <v>493</v>
      </c>
      <c r="G56" s="11" t="s">
        <v>494</v>
      </c>
      <c r="H56" s="11" t="s">
        <v>137</v>
      </c>
      <c r="I56" s="6" t="s">
        <v>11</v>
      </c>
      <c r="J56" s="11" t="s">
        <v>45</v>
      </c>
      <c r="K56" s="11" t="s">
        <v>149</v>
      </c>
      <c r="L56" s="11" t="s">
        <v>495</v>
      </c>
      <c r="M56" s="11" t="s">
        <v>211</v>
      </c>
      <c r="N56" s="11" t="s">
        <v>496</v>
      </c>
      <c r="O56" s="11" t="s">
        <v>142</v>
      </c>
      <c r="P56" s="11" t="s">
        <v>11</v>
      </c>
      <c r="Q56" s="11" t="s">
        <v>143</v>
      </c>
      <c r="R56" s="11" t="s">
        <v>497</v>
      </c>
    </row>
    <row r="57" ht="15" customHeight="1" spans="1:18" s="10" customFormat="1" x14ac:dyDescent="0.25">
      <c r="A57" s="6">
        <v>56</v>
      </c>
      <c r="B57" s="11" t="s">
        <v>22</v>
      </c>
      <c r="C57" s="5" t="s">
        <v>498</v>
      </c>
      <c r="D57" s="11" t="s">
        <v>499</v>
      </c>
      <c r="E57" s="11" t="s">
        <v>500</v>
      </c>
      <c r="F57" s="11" t="s">
        <v>501</v>
      </c>
      <c r="G57" s="11" t="s">
        <v>502</v>
      </c>
      <c r="H57" s="11" t="s">
        <v>137</v>
      </c>
      <c r="I57" s="6" t="s">
        <v>11</v>
      </c>
      <c r="J57" s="11" t="s">
        <v>45</v>
      </c>
      <c r="K57" s="11" t="s">
        <v>149</v>
      </c>
      <c r="L57" s="11" t="s">
        <v>173</v>
      </c>
      <c r="M57" s="11" t="s">
        <v>159</v>
      </c>
      <c r="N57" s="11" t="s">
        <v>142</v>
      </c>
      <c r="O57" s="11" t="s">
        <v>142</v>
      </c>
      <c r="P57" s="11" t="s">
        <v>11</v>
      </c>
      <c r="Q57" s="11" t="s">
        <v>143</v>
      </c>
      <c r="R57" s="11" t="s">
        <v>503</v>
      </c>
    </row>
    <row r="58" ht="99" customHeight="1" spans="1:18" s="10" customFormat="1" x14ac:dyDescent="0.25">
      <c r="A58" s="6">
        <v>57</v>
      </c>
      <c r="B58" s="11" t="s">
        <v>22</v>
      </c>
      <c r="C58" s="5" t="s">
        <v>504</v>
      </c>
      <c r="D58" s="11" t="s">
        <v>499</v>
      </c>
      <c r="E58" s="11" t="s">
        <v>505</v>
      </c>
      <c r="F58" s="11" t="s">
        <v>506</v>
      </c>
      <c r="G58" s="11" t="s">
        <v>507</v>
      </c>
      <c r="H58" s="11" t="s">
        <v>137</v>
      </c>
      <c r="I58" s="6" t="s">
        <v>11</v>
      </c>
      <c r="J58" s="11" t="s">
        <v>45</v>
      </c>
      <c r="K58" s="11" t="s">
        <v>149</v>
      </c>
      <c r="L58" s="11" t="s">
        <v>508</v>
      </c>
      <c r="M58" s="11" t="s">
        <v>509</v>
      </c>
      <c r="N58" s="11" t="s">
        <v>510</v>
      </c>
      <c r="O58" s="11" t="s">
        <v>142</v>
      </c>
      <c r="P58" s="11" t="s">
        <v>11</v>
      </c>
      <c r="Q58" s="11" t="s">
        <v>143</v>
      </c>
      <c r="R58" s="11" t="s">
        <v>511</v>
      </c>
    </row>
    <row r="59" ht="87" customHeight="1" spans="1:18" s="10" customFormat="1" x14ac:dyDescent="0.25">
      <c r="A59" s="6">
        <v>58</v>
      </c>
      <c r="B59" s="11" t="s">
        <v>22</v>
      </c>
      <c r="C59" s="5" t="s">
        <v>512</v>
      </c>
      <c r="D59" s="11" t="s">
        <v>499</v>
      </c>
      <c r="E59" s="11" t="s">
        <v>513</v>
      </c>
      <c r="F59" s="11" t="s">
        <v>514</v>
      </c>
      <c r="G59" s="11" t="s">
        <v>515</v>
      </c>
      <c r="H59" s="11" t="s">
        <v>137</v>
      </c>
      <c r="I59" s="6" t="s">
        <v>11</v>
      </c>
      <c r="J59" s="11" t="s">
        <v>45</v>
      </c>
      <c r="K59" s="11" t="s">
        <v>149</v>
      </c>
      <c r="L59" s="11" t="s">
        <v>516</v>
      </c>
      <c r="M59" s="11" t="s">
        <v>517</v>
      </c>
      <c r="N59" s="11" t="s">
        <v>518</v>
      </c>
      <c r="O59" s="11" t="s">
        <v>142</v>
      </c>
      <c r="P59" s="11" t="s">
        <v>11</v>
      </c>
      <c r="Q59" s="11" t="s">
        <v>143</v>
      </c>
      <c r="R59" s="11" t="s">
        <v>519</v>
      </c>
    </row>
    <row r="60" ht="15" customHeight="1" spans="1:18" s="10" customFormat="1" x14ac:dyDescent="0.25">
      <c r="A60" s="6">
        <v>59</v>
      </c>
      <c r="B60" s="11" t="s">
        <v>22</v>
      </c>
      <c r="C60" s="5" t="s">
        <v>520</v>
      </c>
      <c r="D60" s="11" t="s">
        <v>521</v>
      </c>
      <c r="E60" s="11" t="s">
        <v>522</v>
      </c>
      <c r="F60" s="11" t="s">
        <v>523</v>
      </c>
      <c r="G60" s="11" t="s">
        <v>524</v>
      </c>
      <c r="H60" s="11" t="s">
        <v>157</v>
      </c>
      <c r="I60" s="6" t="s">
        <v>11</v>
      </c>
      <c r="J60" s="11" t="s">
        <v>45</v>
      </c>
      <c r="K60" s="11" t="s">
        <v>149</v>
      </c>
      <c r="L60" s="11" t="s">
        <v>173</v>
      </c>
      <c r="M60" s="11" t="s">
        <v>159</v>
      </c>
      <c r="N60" s="11" t="s">
        <v>142</v>
      </c>
      <c r="O60" s="11" t="s">
        <v>142</v>
      </c>
      <c r="P60" s="11" t="s">
        <v>11</v>
      </c>
      <c r="Q60" s="11" t="s">
        <v>143</v>
      </c>
      <c r="R60" s="11" t="s">
        <v>525</v>
      </c>
    </row>
    <row r="61" ht="15" customHeight="1" spans="1:18" s="10" customFormat="1" x14ac:dyDescent="0.25">
      <c r="A61" s="6">
        <v>60</v>
      </c>
      <c r="B61" s="11" t="s">
        <v>22</v>
      </c>
      <c r="C61" s="5" t="s">
        <v>526</v>
      </c>
      <c r="D61" s="11" t="s">
        <v>521</v>
      </c>
      <c r="E61" s="11" t="s">
        <v>527</v>
      </c>
      <c r="F61" s="11" t="s">
        <v>528</v>
      </c>
      <c r="G61" s="11" t="s">
        <v>524</v>
      </c>
      <c r="H61" s="11" t="s">
        <v>157</v>
      </c>
      <c r="I61" s="6" t="s">
        <v>11</v>
      </c>
      <c r="J61" s="11" t="s">
        <v>45</v>
      </c>
      <c r="K61" s="11" t="s">
        <v>149</v>
      </c>
      <c r="L61" s="11" t="s">
        <v>173</v>
      </c>
      <c r="M61" s="11" t="s">
        <v>159</v>
      </c>
      <c r="N61" s="11" t="s">
        <v>142</v>
      </c>
      <c r="O61" s="11" t="s">
        <v>142</v>
      </c>
      <c r="P61" s="11" t="s">
        <v>11</v>
      </c>
      <c r="Q61" s="11" t="s">
        <v>143</v>
      </c>
      <c r="R61" s="11" t="s">
        <v>525</v>
      </c>
    </row>
    <row r="62" ht="15" customHeight="1" spans="1:18" s="10" customFormat="1" x14ac:dyDescent="0.25">
      <c r="A62" s="6">
        <v>61</v>
      </c>
      <c r="B62" s="11" t="s">
        <v>22</v>
      </c>
      <c r="C62" s="5" t="s">
        <v>529</v>
      </c>
      <c r="D62" s="11" t="s">
        <v>530</v>
      </c>
      <c r="E62" s="11" t="s">
        <v>531</v>
      </c>
      <c r="F62" s="11" t="s">
        <v>532</v>
      </c>
      <c r="G62" s="11" t="s">
        <v>533</v>
      </c>
      <c r="H62" s="11" t="s">
        <v>137</v>
      </c>
      <c r="I62" s="6" t="s">
        <v>11</v>
      </c>
      <c r="J62" s="11" t="s">
        <v>45</v>
      </c>
      <c r="K62" s="11" t="s">
        <v>149</v>
      </c>
      <c r="L62" s="11" t="s">
        <v>281</v>
      </c>
      <c r="M62" s="11" t="s">
        <v>282</v>
      </c>
      <c r="N62" s="11" t="s">
        <v>142</v>
      </c>
      <c r="O62" s="11" t="s">
        <v>142</v>
      </c>
      <c r="P62" s="11" t="s">
        <v>11</v>
      </c>
      <c r="Q62" s="11" t="s">
        <v>143</v>
      </c>
      <c r="R62" s="11" t="s">
        <v>534</v>
      </c>
    </row>
    <row r="63" ht="15" customHeight="1" spans="1:18" s="10" customFormat="1" x14ac:dyDescent="0.25">
      <c r="A63" s="6">
        <v>62</v>
      </c>
      <c r="B63" s="11" t="s">
        <v>22</v>
      </c>
      <c r="C63" s="5" t="s">
        <v>535</v>
      </c>
      <c r="D63" s="11" t="s">
        <v>530</v>
      </c>
      <c r="E63" s="11" t="s">
        <v>536</v>
      </c>
      <c r="F63" s="11" t="s">
        <v>537</v>
      </c>
      <c r="G63" s="11" t="s">
        <v>538</v>
      </c>
      <c r="H63" s="11" t="s">
        <v>137</v>
      </c>
      <c r="I63" s="6" t="s">
        <v>11</v>
      </c>
      <c r="J63" s="11" t="s">
        <v>45</v>
      </c>
      <c r="K63" s="11" t="s">
        <v>149</v>
      </c>
      <c r="L63" s="11" t="s">
        <v>281</v>
      </c>
      <c r="M63" s="11" t="s">
        <v>282</v>
      </c>
      <c r="N63" s="11" t="s">
        <v>142</v>
      </c>
      <c r="O63" s="11" t="s">
        <v>142</v>
      </c>
      <c r="P63" s="11" t="s">
        <v>11</v>
      </c>
      <c r="Q63" s="11" t="s">
        <v>143</v>
      </c>
      <c r="R63" s="11" t="s">
        <v>539</v>
      </c>
    </row>
    <row r="64" ht="87" customHeight="1" spans="1:18" s="10" customFormat="1" x14ac:dyDescent="0.25">
      <c r="A64" s="6">
        <v>63</v>
      </c>
      <c r="B64" s="11" t="s">
        <v>22</v>
      </c>
      <c r="C64" s="5" t="s">
        <v>540</v>
      </c>
      <c r="D64" s="11" t="s">
        <v>530</v>
      </c>
      <c r="E64" s="11" t="s">
        <v>541</v>
      </c>
      <c r="F64" s="11" t="s">
        <v>542</v>
      </c>
      <c r="G64" s="11" t="s">
        <v>543</v>
      </c>
      <c r="H64" s="11" t="s">
        <v>137</v>
      </c>
      <c r="I64" s="6" t="s">
        <v>11</v>
      </c>
      <c r="J64" s="11" t="s">
        <v>45</v>
      </c>
      <c r="K64" s="11" t="s">
        <v>149</v>
      </c>
      <c r="L64" s="11" t="s">
        <v>544</v>
      </c>
      <c r="M64" s="11" t="s">
        <v>255</v>
      </c>
      <c r="N64" s="11" t="s">
        <v>142</v>
      </c>
      <c r="O64" s="11" t="s">
        <v>142</v>
      </c>
      <c r="P64" s="11" t="s">
        <v>11</v>
      </c>
      <c r="Q64" s="11" t="s">
        <v>143</v>
      </c>
      <c r="R64" s="11" t="s">
        <v>545</v>
      </c>
    </row>
    <row r="65" ht="27" customHeight="1" spans="1:18" s="10" customFormat="1" x14ac:dyDescent="0.25">
      <c r="A65" s="6">
        <v>64</v>
      </c>
      <c r="B65" s="11" t="s">
        <v>22</v>
      </c>
      <c r="C65" s="5" t="s">
        <v>546</v>
      </c>
      <c r="D65" s="11" t="s">
        <v>530</v>
      </c>
      <c r="E65" s="11" t="s">
        <v>547</v>
      </c>
      <c r="F65" s="11" t="s">
        <v>548</v>
      </c>
      <c r="G65" s="11" t="s">
        <v>538</v>
      </c>
      <c r="H65" s="11" t="s">
        <v>137</v>
      </c>
      <c r="I65" s="6" t="s">
        <v>11</v>
      </c>
      <c r="J65" s="11" t="s">
        <v>45</v>
      </c>
      <c r="K65" s="11" t="s">
        <v>149</v>
      </c>
      <c r="L65" s="11" t="s">
        <v>281</v>
      </c>
      <c r="M65" s="11" t="s">
        <v>282</v>
      </c>
      <c r="N65" s="11" t="s">
        <v>549</v>
      </c>
      <c r="O65" s="11" t="s">
        <v>142</v>
      </c>
      <c r="P65" s="11" t="s">
        <v>11</v>
      </c>
      <c r="Q65" s="11" t="s">
        <v>143</v>
      </c>
      <c r="R65" s="11" t="s">
        <v>550</v>
      </c>
    </row>
    <row r="66" ht="39" customHeight="1" spans="1:18" s="10" customFormat="1" x14ac:dyDescent="0.25">
      <c r="A66" s="6">
        <v>65</v>
      </c>
      <c r="B66" s="11" t="s">
        <v>22</v>
      </c>
      <c r="C66" s="5" t="s">
        <v>551</v>
      </c>
      <c r="D66" s="11" t="s">
        <v>552</v>
      </c>
      <c r="E66" s="11" t="s">
        <v>553</v>
      </c>
      <c r="F66" s="11" t="s">
        <v>554</v>
      </c>
      <c r="G66" s="11" t="s">
        <v>555</v>
      </c>
      <c r="H66" s="11" t="s">
        <v>137</v>
      </c>
      <c r="I66" s="6" t="s">
        <v>11</v>
      </c>
      <c r="J66" s="11" t="s">
        <v>45</v>
      </c>
      <c r="K66" s="11" t="s">
        <v>149</v>
      </c>
      <c r="L66" s="11" t="s">
        <v>556</v>
      </c>
      <c r="M66" s="11" t="s">
        <v>450</v>
      </c>
      <c r="N66" s="11" t="s">
        <v>142</v>
      </c>
      <c r="O66" s="11" t="s">
        <v>142</v>
      </c>
      <c r="P66" s="11" t="s">
        <v>11</v>
      </c>
      <c r="Q66" s="11" t="s">
        <v>143</v>
      </c>
      <c r="R66" s="11" t="s">
        <v>557</v>
      </c>
    </row>
    <row r="67" ht="75" customHeight="1" spans="1:18" s="10" customFormat="1" x14ac:dyDescent="0.25">
      <c r="A67" s="6">
        <v>66</v>
      </c>
      <c r="B67" s="11" t="s">
        <v>22</v>
      </c>
      <c r="C67" s="5" t="s">
        <v>558</v>
      </c>
      <c r="D67" s="11" t="s">
        <v>552</v>
      </c>
      <c r="E67" s="11" t="s">
        <v>559</v>
      </c>
      <c r="F67" s="11" t="s">
        <v>560</v>
      </c>
      <c r="G67" s="11" t="s">
        <v>561</v>
      </c>
      <c r="H67" s="11" t="s">
        <v>137</v>
      </c>
      <c r="I67" s="6" t="s">
        <v>11</v>
      </c>
      <c r="J67" s="11" t="s">
        <v>45</v>
      </c>
      <c r="K67" s="11" t="s">
        <v>149</v>
      </c>
      <c r="L67" s="11" t="s">
        <v>562</v>
      </c>
      <c r="M67" s="11" t="s">
        <v>159</v>
      </c>
      <c r="N67" s="11" t="s">
        <v>142</v>
      </c>
      <c r="O67" s="11" t="s">
        <v>142</v>
      </c>
      <c r="P67" s="11" t="s">
        <v>11</v>
      </c>
      <c r="Q67" s="11" t="s">
        <v>143</v>
      </c>
      <c r="R67" s="11" t="s">
        <v>563</v>
      </c>
    </row>
    <row r="68" ht="27" customHeight="1" spans="1:18" s="10" customFormat="1" x14ac:dyDescent="0.25">
      <c r="A68" s="6">
        <v>67</v>
      </c>
      <c r="B68" s="11" t="s">
        <v>22</v>
      </c>
      <c r="C68" s="5" t="s">
        <v>564</v>
      </c>
      <c r="D68" s="11" t="s">
        <v>552</v>
      </c>
      <c r="E68" s="11" t="s">
        <v>565</v>
      </c>
      <c r="F68" s="11" t="s">
        <v>566</v>
      </c>
      <c r="G68" s="11" t="s">
        <v>156</v>
      </c>
      <c r="H68" s="11" t="s">
        <v>137</v>
      </c>
      <c r="I68" s="6" t="s">
        <v>11</v>
      </c>
      <c r="J68" s="11" t="s">
        <v>45</v>
      </c>
      <c r="K68" s="11" t="s">
        <v>149</v>
      </c>
      <c r="L68" s="11" t="s">
        <v>567</v>
      </c>
      <c r="M68" s="11" t="s">
        <v>311</v>
      </c>
      <c r="N68" s="11" t="s">
        <v>568</v>
      </c>
      <c r="O68" s="11" t="s">
        <v>142</v>
      </c>
      <c r="P68" s="11" t="s">
        <v>11</v>
      </c>
      <c r="Q68" s="11" t="s">
        <v>143</v>
      </c>
      <c r="R68" s="11" t="s">
        <v>569</v>
      </c>
    </row>
    <row r="69" ht="27" customHeight="1" spans="1:18" s="10" customFormat="1" x14ac:dyDescent="0.25">
      <c r="A69" s="6">
        <v>68</v>
      </c>
      <c r="B69" s="11" t="s">
        <v>22</v>
      </c>
      <c r="C69" s="5" t="s">
        <v>570</v>
      </c>
      <c r="D69" s="11" t="s">
        <v>552</v>
      </c>
      <c r="E69" s="11" t="s">
        <v>571</v>
      </c>
      <c r="F69" s="11" t="s">
        <v>572</v>
      </c>
      <c r="G69" s="11" t="s">
        <v>573</v>
      </c>
      <c r="H69" s="11" t="s">
        <v>157</v>
      </c>
      <c r="I69" s="6" t="s">
        <v>11</v>
      </c>
      <c r="J69" s="11" t="s">
        <v>45</v>
      </c>
      <c r="K69" s="11" t="s">
        <v>149</v>
      </c>
      <c r="L69" s="11" t="s">
        <v>574</v>
      </c>
      <c r="M69" s="11" t="s">
        <v>159</v>
      </c>
      <c r="N69" s="11" t="s">
        <v>142</v>
      </c>
      <c r="O69" s="11" t="s">
        <v>142</v>
      </c>
      <c r="P69" s="11" t="s">
        <v>11</v>
      </c>
      <c r="Q69" s="11" t="s">
        <v>143</v>
      </c>
      <c r="R69" s="11" t="s">
        <v>575</v>
      </c>
    </row>
    <row r="70" ht="39" customHeight="1" spans="1:18" s="10" customFormat="1" x14ac:dyDescent="0.25">
      <c r="A70" s="6">
        <v>69</v>
      </c>
      <c r="B70" s="11" t="s">
        <v>22</v>
      </c>
      <c r="C70" s="5" t="s">
        <v>576</v>
      </c>
      <c r="D70" s="11" t="s">
        <v>577</v>
      </c>
      <c r="E70" s="11" t="s">
        <v>578</v>
      </c>
      <c r="F70" s="11" t="s">
        <v>579</v>
      </c>
      <c r="G70" s="11" t="s">
        <v>555</v>
      </c>
      <c r="H70" s="11" t="s">
        <v>137</v>
      </c>
      <c r="I70" s="6" t="s">
        <v>11</v>
      </c>
      <c r="J70" s="11" t="s">
        <v>45</v>
      </c>
      <c r="K70" s="11" t="s">
        <v>149</v>
      </c>
      <c r="L70" s="11" t="s">
        <v>158</v>
      </c>
      <c r="M70" s="11" t="s">
        <v>159</v>
      </c>
      <c r="N70" s="11" t="s">
        <v>142</v>
      </c>
      <c r="O70" s="11" t="s">
        <v>142</v>
      </c>
      <c r="P70" s="11" t="s">
        <v>11</v>
      </c>
      <c r="Q70" s="11" t="s">
        <v>143</v>
      </c>
      <c r="R70" s="11" t="s">
        <v>580</v>
      </c>
    </row>
    <row r="71" ht="39" customHeight="1" spans="1:18" s="10" customFormat="1" x14ac:dyDescent="0.25">
      <c r="A71" s="6">
        <v>70</v>
      </c>
      <c r="B71" s="11" t="s">
        <v>22</v>
      </c>
      <c r="C71" s="5" t="s">
        <v>581</v>
      </c>
      <c r="D71" s="11" t="s">
        <v>582</v>
      </c>
      <c r="E71" s="11" t="s">
        <v>583</v>
      </c>
      <c r="F71" s="11" t="s">
        <v>584</v>
      </c>
      <c r="G71" s="11" t="s">
        <v>585</v>
      </c>
      <c r="H71" s="11" t="s">
        <v>137</v>
      </c>
      <c r="I71" s="6" t="s">
        <v>11</v>
      </c>
      <c r="J71" s="11" t="s">
        <v>45</v>
      </c>
      <c r="K71" s="11" t="s">
        <v>149</v>
      </c>
      <c r="L71" s="11" t="s">
        <v>586</v>
      </c>
      <c r="M71" s="11" t="s">
        <v>587</v>
      </c>
      <c r="N71" s="11" t="s">
        <v>142</v>
      </c>
      <c r="O71" s="11" t="s">
        <v>142</v>
      </c>
      <c r="P71" s="11" t="s">
        <v>11</v>
      </c>
      <c r="Q71" s="11" t="s">
        <v>143</v>
      </c>
      <c r="R71" s="11" t="s">
        <v>588</v>
      </c>
    </row>
    <row r="72" ht="39" customHeight="1" spans="1:18" s="10" customFormat="1" x14ac:dyDescent="0.25">
      <c r="A72" s="6">
        <v>71</v>
      </c>
      <c r="B72" s="11" t="s">
        <v>22</v>
      </c>
      <c r="C72" s="5" t="s">
        <v>589</v>
      </c>
      <c r="D72" s="11" t="s">
        <v>582</v>
      </c>
      <c r="E72" s="11" t="s">
        <v>590</v>
      </c>
      <c r="F72" s="11" t="s">
        <v>591</v>
      </c>
      <c r="G72" s="11" t="s">
        <v>142</v>
      </c>
      <c r="H72" s="11" t="s">
        <v>137</v>
      </c>
      <c r="I72" s="6" t="s">
        <v>11</v>
      </c>
      <c r="J72" s="11" t="s">
        <v>45</v>
      </c>
      <c r="K72" s="11" t="s">
        <v>149</v>
      </c>
      <c r="L72" s="11" t="s">
        <v>592</v>
      </c>
      <c r="M72" s="11" t="s">
        <v>593</v>
      </c>
      <c r="N72" s="11" t="s">
        <v>142</v>
      </c>
      <c r="O72" s="11" t="s">
        <v>142</v>
      </c>
      <c r="P72" s="11" t="s">
        <v>11</v>
      </c>
      <c r="Q72" s="11" t="s">
        <v>143</v>
      </c>
      <c r="R72" s="11" t="s">
        <v>142</v>
      </c>
    </row>
    <row r="73" ht="51" customHeight="1" spans="1:18" s="10" customFormat="1" x14ac:dyDescent="0.25">
      <c r="A73" s="6">
        <v>72</v>
      </c>
      <c r="B73" s="11" t="s">
        <v>22</v>
      </c>
      <c r="C73" s="5" t="s">
        <v>594</v>
      </c>
      <c r="D73" s="11" t="s">
        <v>595</v>
      </c>
      <c r="E73" s="11" t="s">
        <v>596</v>
      </c>
      <c r="F73" s="11" t="s">
        <v>597</v>
      </c>
      <c r="G73" s="11" t="s">
        <v>598</v>
      </c>
      <c r="H73" s="11" t="s">
        <v>137</v>
      </c>
      <c r="I73" s="6" t="s">
        <v>11</v>
      </c>
      <c r="J73" s="11" t="s">
        <v>46</v>
      </c>
      <c r="K73" s="11" t="s">
        <v>599</v>
      </c>
      <c r="L73" s="11" t="s">
        <v>600</v>
      </c>
      <c r="M73" s="11" t="s">
        <v>601</v>
      </c>
      <c r="N73" s="11" t="s">
        <v>602</v>
      </c>
      <c r="O73" s="11" t="s">
        <v>142</v>
      </c>
      <c r="P73" s="11" t="s">
        <v>11</v>
      </c>
      <c r="Q73" s="11" t="s">
        <v>143</v>
      </c>
      <c r="R73" s="11" t="s">
        <v>603</v>
      </c>
    </row>
    <row r="74" ht="27" customHeight="1" spans="1:18" s="10" customFormat="1" x14ac:dyDescent="0.25">
      <c r="A74" s="6">
        <v>73</v>
      </c>
      <c r="B74" s="11" t="s">
        <v>22</v>
      </c>
      <c r="C74" s="5" t="s">
        <v>604</v>
      </c>
      <c r="D74" s="11" t="s">
        <v>595</v>
      </c>
      <c r="E74" s="11" t="s">
        <v>605</v>
      </c>
      <c r="F74" s="11" t="s">
        <v>606</v>
      </c>
      <c r="G74" s="11" t="s">
        <v>607</v>
      </c>
      <c r="H74" s="11" t="s">
        <v>137</v>
      </c>
      <c r="I74" s="6" t="s">
        <v>11</v>
      </c>
      <c r="J74" s="11" t="s">
        <v>46</v>
      </c>
      <c r="K74" s="11" t="s">
        <v>608</v>
      </c>
      <c r="L74" s="11" t="s">
        <v>609</v>
      </c>
      <c r="M74" s="11" t="s">
        <v>335</v>
      </c>
      <c r="N74" s="11" t="s">
        <v>610</v>
      </c>
      <c r="O74" s="11" t="s">
        <v>337</v>
      </c>
      <c r="P74" s="11" t="s">
        <v>11</v>
      </c>
      <c r="Q74" s="11" t="s">
        <v>143</v>
      </c>
      <c r="R74" s="11" t="s">
        <v>611</v>
      </c>
    </row>
    <row r="75" ht="39" customHeight="1" spans="1:18" s="10" customFormat="1" x14ac:dyDescent="0.25">
      <c r="A75" s="6">
        <v>74</v>
      </c>
      <c r="B75" s="11" t="s">
        <v>22</v>
      </c>
      <c r="C75" s="5" t="s">
        <v>612</v>
      </c>
      <c r="D75" s="11" t="s">
        <v>595</v>
      </c>
      <c r="E75" s="11" t="s">
        <v>613</v>
      </c>
      <c r="F75" s="11" t="s">
        <v>614</v>
      </c>
      <c r="G75" s="11" t="s">
        <v>615</v>
      </c>
      <c r="H75" s="11" t="s">
        <v>157</v>
      </c>
      <c r="I75" s="6" t="s">
        <v>11</v>
      </c>
      <c r="J75" s="11" t="s">
        <v>46</v>
      </c>
      <c r="K75" s="11" t="s">
        <v>616</v>
      </c>
      <c r="L75" s="11" t="s">
        <v>617</v>
      </c>
      <c r="M75" s="11" t="s">
        <v>297</v>
      </c>
      <c r="N75" s="11" t="s">
        <v>618</v>
      </c>
      <c r="O75" s="11" t="s">
        <v>619</v>
      </c>
      <c r="P75" s="11" t="s">
        <v>11</v>
      </c>
      <c r="Q75" s="11" t="s">
        <v>143</v>
      </c>
      <c r="R75" s="11" t="s">
        <v>620</v>
      </c>
    </row>
    <row r="76" ht="39" customHeight="1" spans="1:18" s="10" customFormat="1" x14ac:dyDescent="0.25">
      <c r="A76" s="6">
        <v>75</v>
      </c>
      <c r="B76" s="11" t="s">
        <v>23</v>
      </c>
      <c r="C76" s="5" t="s">
        <v>621</v>
      </c>
      <c r="D76" s="11" t="s">
        <v>622</v>
      </c>
      <c r="E76" s="11" t="s">
        <v>623</v>
      </c>
      <c r="F76" s="11" t="s">
        <v>624</v>
      </c>
      <c r="G76" s="11" t="s">
        <v>142</v>
      </c>
      <c r="H76" s="11" t="s">
        <v>142</v>
      </c>
      <c r="I76" s="6" t="s">
        <v>11</v>
      </c>
      <c r="J76" s="11" t="s">
        <v>46</v>
      </c>
      <c r="K76" s="11" t="s">
        <v>625</v>
      </c>
      <c r="L76" s="11" t="s">
        <v>626</v>
      </c>
      <c r="M76" s="11" t="s">
        <v>627</v>
      </c>
      <c r="N76" s="11" t="s">
        <v>628</v>
      </c>
      <c r="O76" s="11" t="s">
        <v>337</v>
      </c>
      <c r="P76" s="11" t="s">
        <v>11</v>
      </c>
      <c r="Q76" s="11" t="s">
        <v>143</v>
      </c>
      <c r="R76" s="11" t="s">
        <v>629</v>
      </c>
    </row>
    <row r="77" ht="27" customHeight="1" spans="1:18" s="10" customFormat="1" x14ac:dyDescent="0.25">
      <c r="A77" s="6">
        <v>76</v>
      </c>
      <c r="B77" s="11" t="s">
        <v>23</v>
      </c>
      <c r="C77" s="5" t="s">
        <v>630</v>
      </c>
      <c r="D77" s="11" t="s">
        <v>631</v>
      </c>
      <c r="E77" s="11" t="s">
        <v>632</v>
      </c>
      <c r="F77" s="11" t="s">
        <v>633</v>
      </c>
      <c r="G77" s="11" t="s">
        <v>142</v>
      </c>
      <c r="H77" s="11" t="s">
        <v>142</v>
      </c>
      <c r="I77" s="6" t="s">
        <v>11</v>
      </c>
      <c r="J77" s="11" t="s">
        <v>45</v>
      </c>
      <c r="K77" s="11" t="s">
        <v>149</v>
      </c>
      <c r="L77" s="11" t="s">
        <v>634</v>
      </c>
      <c r="M77" s="11" t="s">
        <v>635</v>
      </c>
      <c r="N77" s="11" t="s">
        <v>142</v>
      </c>
      <c r="O77" s="11" t="s">
        <v>142</v>
      </c>
      <c r="P77" s="11" t="s">
        <v>11</v>
      </c>
      <c r="Q77" s="11" t="s">
        <v>143</v>
      </c>
      <c r="R77" s="11" t="s">
        <v>386</v>
      </c>
    </row>
    <row r="78" ht="39" customHeight="1" spans="1:18" s="10" customFormat="1" x14ac:dyDescent="0.25">
      <c r="A78" s="6">
        <v>77</v>
      </c>
      <c r="B78" s="11" t="s">
        <v>23</v>
      </c>
      <c r="C78" s="5" t="s">
        <v>636</v>
      </c>
      <c r="D78" s="11" t="s">
        <v>637</v>
      </c>
      <c r="E78" s="11" t="s">
        <v>638</v>
      </c>
      <c r="F78" s="11" t="s">
        <v>639</v>
      </c>
      <c r="G78" s="11" t="s">
        <v>142</v>
      </c>
      <c r="H78" s="11" t="s">
        <v>142</v>
      </c>
      <c r="I78" s="6" t="s">
        <v>11</v>
      </c>
      <c r="J78" s="11" t="s">
        <v>45</v>
      </c>
      <c r="K78" s="11" t="s">
        <v>149</v>
      </c>
      <c r="L78" s="11" t="s">
        <v>640</v>
      </c>
      <c r="M78" s="11" t="s">
        <v>641</v>
      </c>
      <c r="N78" s="11" t="s">
        <v>642</v>
      </c>
      <c r="O78" s="11" t="s">
        <v>142</v>
      </c>
      <c r="P78" s="11" t="s">
        <v>11</v>
      </c>
      <c r="Q78" s="11" t="s">
        <v>143</v>
      </c>
      <c r="R78" s="11" t="s">
        <v>413</v>
      </c>
    </row>
    <row r="79" ht="27" customHeight="1" spans="1:18" s="10" customFormat="1" x14ac:dyDescent="0.25">
      <c r="A79" s="6">
        <v>78</v>
      </c>
      <c r="B79" s="11" t="s">
        <v>23</v>
      </c>
      <c r="C79" s="5" t="s">
        <v>643</v>
      </c>
      <c r="D79" s="11" t="s">
        <v>644</v>
      </c>
      <c r="E79" s="11" t="s">
        <v>645</v>
      </c>
      <c r="F79" s="11" t="s">
        <v>646</v>
      </c>
      <c r="G79" s="11" t="s">
        <v>142</v>
      </c>
      <c r="H79" s="11" t="s">
        <v>142</v>
      </c>
      <c r="I79" s="6" t="s">
        <v>11</v>
      </c>
      <c r="J79" s="11" t="s">
        <v>45</v>
      </c>
      <c r="K79" s="11" t="s">
        <v>149</v>
      </c>
      <c r="L79" s="11" t="s">
        <v>173</v>
      </c>
      <c r="M79" s="11" t="s">
        <v>159</v>
      </c>
      <c r="N79" s="11" t="s">
        <v>142</v>
      </c>
      <c r="O79" s="11" t="s">
        <v>142</v>
      </c>
      <c r="P79" s="11" t="s">
        <v>11</v>
      </c>
      <c r="Q79" s="11" t="s">
        <v>143</v>
      </c>
      <c r="R79" s="11" t="s">
        <v>647</v>
      </c>
    </row>
    <row r="80" ht="39" customHeight="1" spans="1:18" s="10" customFormat="1" x14ac:dyDescent="0.25">
      <c r="A80" s="6">
        <v>79</v>
      </c>
      <c r="B80" s="11" t="s">
        <v>23</v>
      </c>
      <c r="C80" s="5" t="s">
        <v>648</v>
      </c>
      <c r="D80" s="11" t="s">
        <v>649</v>
      </c>
      <c r="E80" s="11" t="s">
        <v>388</v>
      </c>
      <c r="F80" s="11" t="s">
        <v>650</v>
      </c>
      <c r="G80" s="11" t="s">
        <v>651</v>
      </c>
      <c r="H80" s="11" t="s">
        <v>142</v>
      </c>
      <c r="I80" s="6" t="s">
        <v>11</v>
      </c>
      <c r="J80" s="11" t="s">
        <v>45</v>
      </c>
      <c r="K80" s="11" t="s">
        <v>149</v>
      </c>
      <c r="L80" s="11" t="s">
        <v>652</v>
      </c>
      <c r="M80" s="11" t="s">
        <v>653</v>
      </c>
      <c r="N80" s="11" t="s">
        <v>654</v>
      </c>
      <c r="O80" s="11" t="s">
        <v>142</v>
      </c>
      <c r="P80" s="11" t="s">
        <v>11</v>
      </c>
      <c r="Q80" s="11" t="s">
        <v>143</v>
      </c>
      <c r="R80" s="11" t="s">
        <v>655</v>
      </c>
    </row>
    <row r="81" ht="27" customHeight="1" spans="1:18" s="10" customFormat="1" x14ac:dyDescent="0.25">
      <c r="A81" s="6">
        <v>80</v>
      </c>
      <c r="B81" s="11" t="s">
        <v>23</v>
      </c>
      <c r="C81" s="5" t="s">
        <v>656</v>
      </c>
      <c r="D81" s="11" t="s">
        <v>657</v>
      </c>
      <c r="E81" s="11" t="s">
        <v>453</v>
      </c>
      <c r="F81" s="11" t="s">
        <v>658</v>
      </c>
      <c r="G81" s="11" t="s">
        <v>659</v>
      </c>
      <c r="H81" s="11" t="s">
        <v>142</v>
      </c>
      <c r="I81" s="6" t="s">
        <v>11</v>
      </c>
      <c r="J81" s="11" t="s">
        <v>45</v>
      </c>
      <c r="K81" s="11" t="s">
        <v>149</v>
      </c>
      <c r="L81" s="11" t="s">
        <v>660</v>
      </c>
      <c r="M81" s="11" t="s">
        <v>661</v>
      </c>
      <c r="N81" s="11" t="s">
        <v>142</v>
      </c>
      <c r="O81" s="11" t="s">
        <v>142</v>
      </c>
      <c r="P81" s="11" t="s">
        <v>11</v>
      </c>
      <c r="Q81" s="11" t="s">
        <v>143</v>
      </c>
      <c r="R81" s="11" t="s">
        <v>461</v>
      </c>
    </row>
    <row r="82" ht="39" customHeight="1" spans="1:18" s="10" customFormat="1" x14ac:dyDescent="0.25">
      <c r="A82" s="6">
        <v>81</v>
      </c>
      <c r="B82" s="11" t="s">
        <v>23</v>
      </c>
      <c r="C82" s="5" t="s">
        <v>662</v>
      </c>
      <c r="D82" s="11" t="s">
        <v>663</v>
      </c>
      <c r="E82" s="11" t="s">
        <v>664</v>
      </c>
      <c r="F82" s="11" t="s">
        <v>665</v>
      </c>
      <c r="G82" s="11" t="s">
        <v>507</v>
      </c>
      <c r="H82" s="11" t="s">
        <v>142</v>
      </c>
      <c r="I82" s="6" t="s">
        <v>11</v>
      </c>
      <c r="J82" s="11" t="s">
        <v>45</v>
      </c>
      <c r="K82" s="11" t="s">
        <v>149</v>
      </c>
      <c r="L82" s="11" t="s">
        <v>666</v>
      </c>
      <c r="M82" s="11" t="s">
        <v>509</v>
      </c>
      <c r="N82" s="11" t="s">
        <v>667</v>
      </c>
      <c r="O82" s="11" t="s">
        <v>142</v>
      </c>
      <c r="P82" s="11" t="s">
        <v>11</v>
      </c>
      <c r="Q82" s="11" t="s">
        <v>143</v>
      </c>
      <c r="R82" s="11" t="s">
        <v>668</v>
      </c>
    </row>
    <row r="83" ht="75" customHeight="1" spans="1:18" s="10" customFormat="1" x14ac:dyDescent="0.25">
      <c r="A83" s="6">
        <v>82</v>
      </c>
      <c r="B83" s="11" t="s">
        <v>23</v>
      </c>
      <c r="C83" s="5" t="s">
        <v>669</v>
      </c>
      <c r="D83" s="11" t="s">
        <v>670</v>
      </c>
      <c r="E83" s="11" t="s">
        <v>671</v>
      </c>
      <c r="F83" s="11" t="s">
        <v>672</v>
      </c>
      <c r="G83" s="11" t="s">
        <v>673</v>
      </c>
      <c r="H83" s="11" t="s">
        <v>142</v>
      </c>
      <c r="I83" s="6" t="s">
        <v>11</v>
      </c>
      <c r="J83" s="11" t="s">
        <v>45</v>
      </c>
      <c r="K83" s="11" t="s">
        <v>149</v>
      </c>
      <c r="L83" s="11" t="s">
        <v>674</v>
      </c>
      <c r="M83" s="11" t="s">
        <v>675</v>
      </c>
      <c r="N83" s="11" t="s">
        <v>142</v>
      </c>
      <c r="O83" s="11" t="s">
        <v>142</v>
      </c>
      <c r="P83" s="11" t="s">
        <v>11</v>
      </c>
      <c r="Q83" s="11" t="s">
        <v>143</v>
      </c>
      <c r="R83" s="11" t="s">
        <v>676</v>
      </c>
    </row>
    <row r="84" ht="27" customHeight="1" spans="1:18" s="10" customFormat="1" x14ac:dyDescent="0.25">
      <c r="A84" s="6">
        <v>83</v>
      </c>
      <c r="B84" s="11" t="s">
        <v>23</v>
      </c>
      <c r="C84" s="5" t="s">
        <v>677</v>
      </c>
      <c r="D84" s="11" t="s">
        <v>631</v>
      </c>
      <c r="E84" s="11" t="s">
        <v>678</v>
      </c>
      <c r="F84" s="11" t="s">
        <v>679</v>
      </c>
      <c r="G84" s="11" t="s">
        <v>481</v>
      </c>
      <c r="H84" s="11" t="s">
        <v>142</v>
      </c>
      <c r="I84" s="6" t="s">
        <v>11</v>
      </c>
      <c r="J84" s="11" t="s">
        <v>45</v>
      </c>
      <c r="K84" s="11" t="s">
        <v>149</v>
      </c>
      <c r="L84" s="11" t="s">
        <v>158</v>
      </c>
      <c r="M84" s="11" t="s">
        <v>159</v>
      </c>
      <c r="N84" s="11" t="s">
        <v>142</v>
      </c>
      <c r="O84" s="11" t="s">
        <v>142</v>
      </c>
      <c r="P84" s="11" t="s">
        <v>11</v>
      </c>
      <c r="Q84" s="11" t="s">
        <v>143</v>
      </c>
      <c r="R84" s="11" t="s">
        <v>680</v>
      </c>
    </row>
    <row r="85" ht="27" customHeight="1" spans="1:18" s="10" customFormat="1" x14ac:dyDescent="0.25">
      <c r="A85" s="6">
        <v>84</v>
      </c>
      <c r="B85" s="11" t="s">
        <v>23</v>
      </c>
      <c r="C85" s="5" t="s">
        <v>681</v>
      </c>
      <c r="D85" s="11" t="s">
        <v>682</v>
      </c>
      <c r="E85" s="11" t="s">
        <v>683</v>
      </c>
      <c r="F85" s="11" t="s">
        <v>684</v>
      </c>
      <c r="G85" s="11" t="s">
        <v>538</v>
      </c>
      <c r="H85" s="11" t="s">
        <v>142</v>
      </c>
      <c r="I85" s="6" t="s">
        <v>11</v>
      </c>
      <c r="J85" s="11" t="s">
        <v>45</v>
      </c>
      <c r="K85" s="11" t="s">
        <v>149</v>
      </c>
      <c r="L85" s="11" t="s">
        <v>281</v>
      </c>
      <c r="M85" s="11" t="s">
        <v>282</v>
      </c>
      <c r="N85" s="11" t="s">
        <v>142</v>
      </c>
      <c r="O85" s="11" t="s">
        <v>142</v>
      </c>
      <c r="P85" s="11" t="s">
        <v>11</v>
      </c>
      <c r="Q85" s="11" t="s">
        <v>143</v>
      </c>
      <c r="R85" s="11" t="s">
        <v>685</v>
      </c>
    </row>
    <row r="86" ht="27" customHeight="1" spans="1:18" s="10" customFormat="1" x14ac:dyDescent="0.25">
      <c r="A86" s="6">
        <v>85</v>
      </c>
      <c r="B86" s="11" t="s">
        <v>24</v>
      </c>
      <c r="C86" s="5" t="s">
        <v>686</v>
      </c>
      <c r="D86" s="11" t="s">
        <v>582</v>
      </c>
      <c r="E86" s="11" t="s">
        <v>687</v>
      </c>
      <c r="F86" s="11" t="s">
        <v>688</v>
      </c>
      <c r="G86" s="11" t="s">
        <v>142</v>
      </c>
      <c r="H86" s="11" t="s">
        <v>142</v>
      </c>
      <c r="I86" s="6" t="s">
        <v>11</v>
      </c>
      <c r="J86" s="11" t="s">
        <v>45</v>
      </c>
      <c r="K86" s="11" t="s">
        <v>149</v>
      </c>
      <c r="L86" s="11" t="s">
        <v>250</v>
      </c>
      <c r="M86" s="11" t="s">
        <v>250</v>
      </c>
      <c r="N86" s="11" t="s">
        <v>142</v>
      </c>
      <c r="O86" s="11" t="s">
        <v>142</v>
      </c>
      <c r="P86" s="11" t="s">
        <v>11</v>
      </c>
      <c r="Q86" s="11" t="s">
        <v>143</v>
      </c>
      <c r="R86" s="11" t="s">
        <v>142</v>
      </c>
    </row>
    <row r="87" ht="27" customHeight="1" spans="1:18" s="10" customFormat="1" x14ac:dyDescent="0.25">
      <c r="A87" s="6">
        <v>86</v>
      </c>
      <c r="B87" s="11" t="s">
        <v>24</v>
      </c>
      <c r="C87" s="5" t="s">
        <v>689</v>
      </c>
      <c r="D87" s="11" t="s">
        <v>582</v>
      </c>
      <c r="E87" s="11" t="s">
        <v>690</v>
      </c>
      <c r="F87" s="11" t="s">
        <v>691</v>
      </c>
      <c r="G87" s="11" t="s">
        <v>142</v>
      </c>
      <c r="H87" s="11" t="s">
        <v>142</v>
      </c>
      <c r="I87" s="6" t="s">
        <v>11</v>
      </c>
      <c r="J87" s="11" t="s">
        <v>45</v>
      </c>
      <c r="K87" s="11" t="s">
        <v>149</v>
      </c>
      <c r="L87" s="11" t="s">
        <v>359</v>
      </c>
      <c r="M87" s="11" t="s">
        <v>311</v>
      </c>
      <c r="N87" s="11" t="s">
        <v>142</v>
      </c>
      <c r="O87" s="11" t="s">
        <v>142</v>
      </c>
      <c r="P87" s="11" t="s">
        <v>11</v>
      </c>
      <c r="Q87" s="11" t="s">
        <v>143</v>
      </c>
      <c r="R87" s="11" t="s">
        <v>692</v>
      </c>
    </row>
    <row r="88" ht="27" customHeight="1" spans="1:18" s="10" customFormat="1" x14ac:dyDescent="0.25">
      <c r="A88" s="6">
        <v>87</v>
      </c>
      <c r="B88" s="11" t="s">
        <v>24</v>
      </c>
      <c r="C88" s="5" t="s">
        <v>693</v>
      </c>
      <c r="D88" s="11" t="s">
        <v>582</v>
      </c>
      <c r="E88" s="11" t="s">
        <v>694</v>
      </c>
      <c r="F88" s="11" t="s">
        <v>695</v>
      </c>
      <c r="G88" s="11" t="s">
        <v>696</v>
      </c>
      <c r="H88" s="11" t="s">
        <v>142</v>
      </c>
      <c r="I88" s="6" t="s">
        <v>11</v>
      </c>
      <c r="J88" s="11" t="s">
        <v>46</v>
      </c>
      <c r="K88" s="11" t="s">
        <v>697</v>
      </c>
      <c r="L88" s="11" t="s">
        <v>698</v>
      </c>
      <c r="M88" s="11" t="s">
        <v>335</v>
      </c>
      <c r="N88" s="11" t="s">
        <v>142</v>
      </c>
      <c r="O88" s="11" t="s">
        <v>142</v>
      </c>
      <c r="P88" s="11" t="s">
        <v>11</v>
      </c>
      <c r="Q88" s="11" t="s">
        <v>143</v>
      </c>
      <c r="R88" s="11" t="s">
        <v>699</v>
      </c>
    </row>
    <row r="89" ht="27" customHeight="1" spans="1:18" s="10" customFormat="1" x14ac:dyDescent="0.25">
      <c r="A89" s="6">
        <v>88</v>
      </c>
      <c r="B89" s="11" t="s">
        <v>24</v>
      </c>
      <c r="C89" s="5" t="s">
        <v>700</v>
      </c>
      <c r="D89" s="11" t="s">
        <v>582</v>
      </c>
      <c r="E89" s="11" t="s">
        <v>701</v>
      </c>
      <c r="F89" s="11" t="s">
        <v>702</v>
      </c>
      <c r="G89" s="11" t="s">
        <v>142</v>
      </c>
      <c r="H89" s="11" t="s">
        <v>142</v>
      </c>
      <c r="I89" s="6" t="s">
        <v>11</v>
      </c>
      <c r="J89" s="11" t="s">
        <v>45</v>
      </c>
      <c r="K89" s="11" t="s">
        <v>149</v>
      </c>
      <c r="L89" s="11" t="s">
        <v>703</v>
      </c>
      <c r="M89" s="11" t="s">
        <v>229</v>
      </c>
      <c r="N89" s="11" t="s">
        <v>142</v>
      </c>
      <c r="O89" s="11" t="s">
        <v>142</v>
      </c>
      <c r="P89" s="11" t="s">
        <v>11</v>
      </c>
      <c r="Q89" s="11" t="s">
        <v>143</v>
      </c>
      <c r="R89" s="11" t="s">
        <v>142</v>
      </c>
    </row>
    <row r="90" ht="27" customHeight="1" spans="1:18" s="10" customFormat="1" x14ac:dyDescent="0.25">
      <c r="A90" s="6">
        <v>89</v>
      </c>
      <c r="B90" s="11" t="s">
        <v>24</v>
      </c>
      <c r="C90" s="5" t="s">
        <v>704</v>
      </c>
      <c r="D90" s="11" t="s">
        <v>582</v>
      </c>
      <c r="E90" s="11" t="s">
        <v>705</v>
      </c>
      <c r="F90" s="11" t="s">
        <v>706</v>
      </c>
      <c r="G90" s="11" t="s">
        <v>222</v>
      </c>
      <c r="H90" s="11" t="s">
        <v>142</v>
      </c>
      <c r="I90" s="6" t="s">
        <v>11</v>
      </c>
      <c r="J90" s="11" t="s">
        <v>45</v>
      </c>
      <c r="K90" s="11" t="s">
        <v>149</v>
      </c>
      <c r="L90" s="11" t="s">
        <v>250</v>
      </c>
      <c r="M90" s="11" t="s">
        <v>250</v>
      </c>
      <c r="N90" s="11" t="s">
        <v>142</v>
      </c>
      <c r="O90" s="11" t="s">
        <v>142</v>
      </c>
      <c r="P90" s="11" t="s">
        <v>11</v>
      </c>
      <c r="Q90" s="11" t="s">
        <v>143</v>
      </c>
      <c r="R90" s="11" t="s">
        <v>142</v>
      </c>
    </row>
    <row r="91" ht="15" customHeight="1" spans="1:18" s="10" customFormat="1" x14ac:dyDescent="0.25">
      <c r="A91" s="6">
        <v>90</v>
      </c>
      <c r="B91" s="11" t="s">
        <v>24</v>
      </c>
      <c r="C91" s="5" t="s">
        <v>707</v>
      </c>
      <c r="D91" s="11" t="s">
        <v>582</v>
      </c>
      <c r="E91" s="11" t="s">
        <v>708</v>
      </c>
      <c r="F91" s="11" t="s">
        <v>709</v>
      </c>
      <c r="G91" s="11" t="s">
        <v>673</v>
      </c>
      <c r="H91" s="11" t="s">
        <v>142</v>
      </c>
      <c r="I91" s="6" t="s">
        <v>11</v>
      </c>
      <c r="J91" s="11" t="s">
        <v>45</v>
      </c>
      <c r="K91" s="11" t="s">
        <v>149</v>
      </c>
      <c r="L91" s="11" t="s">
        <v>250</v>
      </c>
      <c r="M91" s="11" t="s">
        <v>250</v>
      </c>
      <c r="N91" s="11" t="s">
        <v>142</v>
      </c>
      <c r="O91" s="11" t="s">
        <v>142</v>
      </c>
      <c r="P91" s="11" t="s">
        <v>11</v>
      </c>
      <c r="Q91" s="11" t="s">
        <v>143</v>
      </c>
      <c r="R91" s="11" t="s">
        <v>142</v>
      </c>
    </row>
    <row r="92" ht="63" customHeight="1" spans="1:18" s="10" customFormat="1" x14ac:dyDescent="0.25">
      <c r="A92" s="6">
        <v>91</v>
      </c>
      <c r="B92" s="11" t="s">
        <v>24</v>
      </c>
      <c r="C92" s="5" t="s">
        <v>710</v>
      </c>
      <c r="D92" s="11" t="s">
        <v>582</v>
      </c>
      <c r="E92" s="11" t="s">
        <v>711</v>
      </c>
      <c r="F92" s="11" t="s">
        <v>712</v>
      </c>
      <c r="G92" s="11" t="s">
        <v>400</v>
      </c>
      <c r="H92" s="11" t="s">
        <v>142</v>
      </c>
      <c r="I92" s="6" t="s">
        <v>11</v>
      </c>
      <c r="J92" s="11" t="s">
        <v>45</v>
      </c>
      <c r="K92" s="11" t="s">
        <v>149</v>
      </c>
      <c r="L92" s="11" t="s">
        <v>713</v>
      </c>
      <c r="M92" s="11" t="s">
        <v>211</v>
      </c>
      <c r="N92" s="11" t="s">
        <v>142</v>
      </c>
      <c r="O92" s="11" t="s">
        <v>142</v>
      </c>
      <c r="P92" s="11" t="s">
        <v>11</v>
      </c>
      <c r="Q92" s="11" t="s">
        <v>143</v>
      </c>
      <c r="R92" s="11" t="s">
        <v>714</v>
      </c>
    </row>
    <row r="93" ht="27" customHeight="1" spans="1:18" s="10" customFormat="1" x14ac:dyDescent="0.25">
      <c r="A93" s="6">
        <v>92</v>
      </c>
      <c r="B93" s="11" t="s">
        <v>24</v>
      </c>
      <c r="C93" s="5" t="s">
        <v>715</v>
      </c>
      <c r="D93" s="11" t="s">
        <v>582</v>
      </c>
      <c r="E93" s="11" t="s">
        <v>716</v>
      </c>
      <c r="F93" s="11" t="s">
        <v>717</v>
      </c>
      <c r="G93" s="11" t="s">
        <v>142</v>
      </c>
      <c r="H93" s="11" t="s">
        <v>142</v>
      </c>
      <c r="I93" s="6" t="s">
        <v>11</v>
      </c>
      <c r="J93" s="11" t="s">
        <v>45</v>
      </c>
      <c r="K93" s="11" t="s">
        <v>149</v>
      </c>
      <c r="L93" s="11" t="s">
        <v>250</v>
      </c>
      <c r="M93" s="11" t="s">
        <v>250</v>
      </c>
      <c r="N93" s="11" t="s">
        <v>142</v>
      </c>
      <c r="O93" s="11" t="s">
        <v>142</v>
      </c>
      <c r="P93" s="11" t="s">
        <v>11</v>
      </c>
      <c r="Q93" s="11" t="s">
        <v>143</v>
      </c>
      <c r="R93" s="11" t="s">
        <v>142</v>
      </c>
    </row>
    <row r="94" ht="15" customHeight="1" spans="1:18" s="10" customFormat="1" x14ac:dyDescent="0.25">
      <c r="A94" s="6">
        <v>93</v>
      </c>
      <c r="B94" s="11" t="s">
        <v>24</v>
      </c>
      <c r="C94" s="5" t="s">
        <v>718</v>
      </c>
      <c r="D94" s="11" t="s">
        <v>582</v>
      </c>
      <c r="E94" s="11" t="s">
        <v>719</v>
      </c>
      <c r="F94" s="11" t="s">
        <v>720</v>
      </c>
      <c r="G94" s="11" t="s">
        <v>721</v>
      </c>
      <c r="H94" s="11" t="s">
        <v>142</v>
      </c>
      <c r="I94" s="6" t="s">
        <v>11</v>
      </c>
      <c r="J94" s="11" t="s">
        <v>45</v>
      </c>
      <c r="K94" s="11" t="s">
        <v>149</v>
      </c>
      <c r="L94" s="11" t="s">
        <v>173</v>
      </c>
      <c r="M94" s="11" t="s">
        <v>159</v>
      </c>
      <c r="N94" s="11" t="s">
        <v>142</v>
      </c>
      <c r="O94" s="11" t="s">
        <v>142</v>
      </c>
      <c r="P94" s="11" t="s">
        <v>11</v>
      </c>
      <c r="Q94" s="11" t="s">
        <v>143</v>
      </c>
      <c r="R94" s="11" t="s">
        <v>699</v>
      </c>
    </row>
    <row r="95" ht="39" customHeight="1" spans="1:18" s="10" customFormat="1" x14ac:dyDescent="0.25">
      <c r="A95" s="6">
        <v>94</v>
      </c>
      <c r="B95" s="11" t="s">
        <v>24</v>
      </c>
      <c r="C95" s="5" t="s">
        <v>722</v>
      </c>
      <c r="D95" s="11" t="s">
        <v>582</v>
      </c>
      <c r="E95" s="11" t="s">
        <v>723</v>
      </c>
      <c r="F95" s="11" t="s">
        <v>724</v>
      </c>
      <c r="G95" s="11" t="s">
        <v>142</v>
      </c>
      <c r="H95" s="11" t="s">
        <v>142</v>
      </c>
      <c r="I95" s="6" t="s">
        <v>11</v>
      </c>
      <c r="J95" s="11" t="s">
        <v>45</v>
      </c>
      <c r="K95" s="11" t="s">
        <v>149</v>
      </c>
      <c r="L95" s="11" t="s">
        <v>725</v>
      </c>
      <c r="M95" s="11" t="s">
        <v>396</v>
      </c>
      <c r="N95" s="11" t="s">
        <v>142</v>
      </c>
      <c r="O95" s="11" t="s">
        <v>142</v>
      </c>
      <c r="P95" s="11" t="s">
        <v>11</v>
      </c>
      <c r="Q95" s="11" t="s">
        <v>143</v>
      </c>
      <c r="R95" s="11" t="s">
        <v>726</v>
      </c>
    </row>
    <row r="96" ht="15" customHeight="1" spans="1:18" s="10" customFormat="1" x14ac:dyDescent="0.25">
      <c r="A96" s="6">
        <v>95</v>
      </c>
      <c r="B96" s="11" t="s">
        <v>24</v>
      </c>
      <c r="C96" s="5" t="s">
        <v>727</v>
      </c>
      <c r="D96" s="11" t="s">
        <v>582</v>
      </c>
      <c r="E96" s="11" t="s">
        <v>728</v>
      </c>
      <c r="F96" s="11" t="s">
        <v>729</v>
      </c>
      <c r="G96" s="11" t="s">
        <v>142</v>
      </c>
      <c r="H96" s="11" t="s">
        <v>142</v>
      </c>
      <c r="I96" s="6" t="s">
        <v>11</v>
      </c>
      <c r="J96" s="11" t="s">
        <v>45</v>
      </c>
      <c r="K96" s="11" t="s">
        <v>149</v>
      </c>
      <c r="L96" s="11" t="s">
        <v>281</v>
      </c>
      <c r="M96" s="11" t="s">
        <v>282</v>
      </c>
      <c r="N96" s="11" t="s">
        <v>142</v>
      </c>
      <c r="O96" s="11" t="s">
        <v>142</v>
      </c>
      <c r="P96" s="11" t="s">
        <v>11</v>
      </c>
      <c r="Q96" s="11" t="s">
        <v>143</v>
      </c>
      <c r="R96" s="11" t="s">
        <v>699</v>
      </c>
    </row>
    <row r="97" ht="15" customHeight="1" spans="1:18" s="10" customFormat="1" x14ac:dyDescent="0.25">
      <c r="A97" s="6">
        <v>96</v>
      </c>
      <c r="B97" s="11" t="s">
        <v>24</v>
      </c>
      <c r="C97" s="5" t="s">
        <v>730</v>
      </c>
      <c r="D97" s="11" t="s">
        <v>582</v>
      </c>
      <c r="E97" s="11" t="s">
        <v>683</v>
      </c>
      <c r="F97" s="11" t="s">
        <v>731</v>
      </c>
      <c r="G97" s="11" t="s">
        <v>142</v>
      </c>
      <c r="H97" s="11" t="s">
        <v>142</v>
      </c>
      <c r="I97" s="6" t="s">
        <v>11</v>
      </c>
      <c r="J97" s="11" t="s">
        <v>45</v>
      </c>
      <c r="K97" s="11" t="s">
        <v>149</v>
      </c>
      <c r="L97" s="11" t="s">
        <v>281</v>
      </c>
      <c r="M97" s="11" t="s">
        <v>282</v>
      </c>
      <c r="N97" s="11" t="s">
        <v>142</v>
      </c>
      <c r="O97" s="11" t="s">
        <v>142</v>
      </c>
      <c r="P97" s="11" t="s">
        <v>11</v>
      </c>
      <c r="Q97" s="11" t="s">
        <v>143</v>
      </c>
      <c r="R97" s="11" t="s">
        <v>699</v>
      </c>
    </row>
    <row r="98" ht="27" customHeight="1" spans="1:18" s="10" customFormat="1" x14ac:dyDescent="0.25">
      <c r="A98" s="6">
        <v>97</v>
      </c>
      <c r="B98" s="11" t="s">
        <v>24</v>
      </c>
      <c r="C98" s="5" t="s">
        <v>732</v>
      </c>
      <c r="D98" s="11" t="s">
        <v>582</v>
      </c>
      <c r="E98" s="11" t="s">
        <v>733</v>
      </c>
      <c r="F98" s="11" t="s">
        <v>734</v>
      </c>
      <c r="G98" s="11" t="s">
        <v>142</v>
      </c>
      <c r="H98" s="11" t="s">
        <v>142</v>
      </c>
      <c r="I98" s="6" t="s">
        <v>11</v>
      </c>
      <c r="J98" s="11" t="s">
        <v>45</v>
      </c>
      <c r="K98" s="11" t="s">
        <v>149</v>
      </c>
      <c r="L98" s="11" t="s">
        <v>735</v>
      </c>
      <c r="M98" s="11" t="s">
        <v>736</v>
      </c>
      <c r="N98" s="11" t="s">
        <v>142</v>
      </c>
      <c r="O98" s="11" t="s">
        <v>142</v>
      </c>
      <c r="P98" s="11" t="s">
        <v>11</v>
      </c>
      <c r="Q98" s="11" t="s">
        <v>143</v>
      </c>
      <c r="R98" s="11" t="s">
        <v>142</v>
      </c>
    </row>
    <row r="99" ht="15" customHeight="1" spans="1:18" s="10" customFormat="1" x14ac:dyDescent="0.25">
      <c r="A99" s="6">
        <v>98</v>
      </c>
      <c r="B99" s="11" t="s">
        <v>24</v>
      </c>
      <c r="C99" s="5" t="s">
        <v>737</v>
      </c>
      <c r="D99" s="11" t="s">
        <v>582</v>
      </c>
      <c r="E99" s="11" t="s">
        <v>738</v>
      </c>
      <c r="F99" s="11" t="s">
        <v>739</v>
      </c>
      <c r="G99" s="11" t="s">
        <v>142</v>
      </c>
      <c r="H99" s="11" t="s">
        <v>142</v>
      </c>
      <c r="I99" s="6" t="s">
        <v>11</v>
      </c>
      <c r="J99" s="11" t="s">
        <v>45</v>
      </c>
      <c r="K99" s="11" t="s">
        <v>149</v>
      </c>
      <c r="L99" s="11" t="s">
        <v>740</v>
      </c>
      <c r="M99" s="11" t="s">
        <v>741</v>
      </c>
      <c r="N99" s="11" t="s">
        <v>142</v>
      </c>
      <c r="O99" s="11" t="s">
        <v>142</v>
      </c>
      <c r="P99" s="11" t="s">
        <v>11</v>
      </c>
      <c r="Q99" s="11" t="s">
        <v>143</v>
      </c>
      <c r="R99" s="11" t="s">
        <v>142</v>
      </c>
    </row>
    <row r="100" ht="15" customHeight="1" spans="1:18" s="10" customFormat="1" x14ac:dyDescent="0.25">
      <c r="A100" s="6">
        <v>99</v>
      </c>
      <c r="B100" s="11" t="s">
        <v>24</v>
      </c>
      <c r="C100" s="5" t="s">
        <v>742</v>
      </c>
      <c r="D100" s="11" t="s">
        <v>582</v>
      </c>
      <c r="E100" s="11" t="s">
        <v>565</v>
      </c>
      <c r="F100" s="11" t="s">
        <v>743</v>
      </c>
      <c r="G100" s="11" t="s">
        <v>142</v>
      </c>
      <c r="H100" s="11" t="s">
        <v>142</v>
      </c>
      <c r="I100" s="6" t="s">
        <v>11</v>
      </c>
      <c r="J100" s="11" t="s">
        <v>45</v>
      </c>
      <c r="K100" s="11" t="s">
        <v>149</v>
      </c>
      <c r="L100" s="11" t="s">
        <v>281</v>
      </c>
      <c r="M100" s="11" t="s">
        <v>282</v>
      </c>
      <c r="N100" s="11" t="s">
        <v>142</v>
      </c>
      <c r="O100" s="11" t="s">
        <v>142</v>
      </c>
      <c r="P100" s="11" t="s">
        <v>11</v>
      </c>
      <c r="Q100" s="11" t="s">
        <v>143</v>
      </c>
      <c r="R100" s="11" t="s">
        <v>142</v>
      </c>
    </row>
    <row r="101" ht="27" customHeight="1" spans="1:18" s="10" customFormat="1" x14ac:dyDescent="0.25">
      <c r="A101" s="6">
        <v>100</v>
      </c>
      <c r="B101" s="11" t="s">
        <v>25</v>
      </c>
      <c r="C101" s="5" t="s">
        <v>744</v>
      </c>
      <c r="D101" s="11" t="s">
        <v>745</v>
      </c>
      <c r="E101" s="11" t="s">
        <v>746</v>
      </c>
      <c r="F101" s="11" t="s">
        <v>747</v>
      </c>
      <c r="G101" s="11" t="s">
        <v>651</v>
      </c>
      <c r="H101" s="11" t="s">
        <v>142</v>
      </c>
      <c r="I101" s="6" t="s">
        <v>11</v>
      </c>
      <c r="J101" s="11" t="s">
        <v>45</v>
      </c>
      <c r="K101" s="11" t="s">
        <v>149</v>
      </c>
      <c r="L101" s="11" t="s">
        <v>310</v>
      </c>
      <c r="M101" s="11" t="s">
        <v>311</v>
      </c>
      <c r="N101" s="11" t="s">
        <v>142</v>
      </c>
      <c r="O101" s="11" t="s">
        <v>142</v>
      </c>
      <c r="P101" s="11" t="s">
        <v>11</v>
      </c>
      <c r="Q101" s="11" t="s">
        <v>143</v>
      </c>
      <c r="R101" s="11" t="s">
        <v>748</v>
      </c>
    </row>
    <row r="102" ht="87" customHeight="1" spans="1:18" s="10" customFormat="1" x14ac:dyDescent="0.25">
      <c r="A102" s="6">
        <v>101</v>
      </c>
      <c r="B102" s="11" t="s">
        <v>25</v>
      </c>
      <c r="C102" s="5" t="s">
        <v>749</v>
      </c>
      <c r="D102" s="11" t="s">
        <v>631</v>
      </c>
      <c r="E102" s="11" t="s">
        <v>750</v>
      </c>
      <c r="F102" s="11" t="s">
        <v>751</v>
      </c>
      <c r="G102" s="11" t="s">
        <v>752</v>
      </c>
      <c r="H102" s="11" t="s">
        <v>142</v>
      </c>
      <c r="I102" s="6" t="s">
        <v>11</v>
      </c>
      <c r="J102" s="11" t="s">
        <v>45</v>
      </c>
      <c r="K102" s="11" t="s">
        <v>753</v>
      </c>
      <c r="L102" s="11" t="s">
        <v>754</v>
      </c>
      <c r="M102" s="11" t="s">
        <v>755</v>
      </c>
      <c r="N102" s="11" t="s">
        <v>756</v>
      </c>
      <c r="O102" s="11" t="s">
        <v>142</v>
      </c>
      <c r="P102" s="11" t="s">
        <v>11</v>
      </c>
      <c r="Q102" s="11" t="s">
        <v>143</v>
      </c>
      <c r="R102" s="11" t="s">
        <v>757</v>
      </c>
    </row>
    <row r="103" ht="63" customHeight="1" spans="1:18" s="10" customFormat="1" x14ac:dyDescent="0.25">
      <c r="A103" s="6">
        <v>102</v>
      </c>
      <c r="B103" s="11" t="s">
        <v>25</v>
      </c>
      <c r="C103" s="5" t="s">
        <v>758</v>
      </c>
      <c r="D103" s="11" t="s">
        <v>649</v>
      </c>
      <c r="E103" s="11" t="s">
        <v>759</v>
      </c>
      <c r="F103" s="11" t="s">
        <v>760</v>
      </c>
      <c r="G103" s="11" t="s">
        <v>142</v>
      </c>
      <c r="H103" s="11" t="s">
        <v>142</v>
      </c>
      <c r="I103" s="6" t="s">
        <v>11</v>
      </c>
      <c r="J103" s="11" t="s">
        <v>45</v>
      </c>
      <c r="K103" s="11" t="s">
        <v>761</v>
      </c>
      <c r="L103" s="11" t="s">
        <v>762</v>
      </c>
      <c r="M103" s="11" t="s">
        <v>763</v>
      </c>
      <c r="N103" s="11" t="s">
        <v>764</v>
      </c>
      <c r="O103" s="11" t="s">
        <v>142</v>
      </c>
      <c r="P103" s="11" t="s">
        <v>11</v>
      </c>
      <c r="Q103" s="11" t="s">
        <v>143</v>
      </c>
      <c r="R103" s="11" t="s">
        <v>765</v>
      </c>
    </row>
    <row r="104" ht="87" customHeight="1" spans="1:18" s="10" customFormat="1" x14ac:dyDescent="0.25">
      <c r="A104" s="6">
        <v>103</v>
      </c>
      <c r="B104" s="11" t="s">
        <v>25</v>
      </c>
      <c r="C104" s="5" t="s">
        <v>766</v>
      </c>
      <c r="D104" s="11" t="s">
        <v>453</v>
      </c>
      <c r="E104" s="11" t="s">
        <v>767</v>
      </c>
      <c r="F104" s="11" t="s">
        <v>768</v>
      </c>
      <c r="G104" s="11" t="s">
        <v>769</v>
      </c>
      <c r="H104" s="11" t="s">
        <v>142</v>
      </c>
      <c r="I104" s="6" t="s">
        <v>11</v>
      </c>
      <c r="J104" s="11" t="s">
        <v>45</v>
      </c>
      <c r="K104" s="11" t="s">
        <v>770</v>
      </c>
      <c r="L104" s="11" t="s">
        <v>771</v>
      </c>
      <c r="M104" s="11" t="s">
        <v>772</v>
      </c>
      <c r="N104" s="11" t="s">
        <v>142</v>
      </c>
      <c r="O104" s="11" t="s">
        <v>142</v>
      </c>
      <c r="P104" s="11" t="s">
        <v>11</v>
      </c>
      <c r="Q104" s="11" t="s">
        <v>143</v>
      </c>
      <c r="R104" s="11" t="s">
        <v>773</v>
      </c>
    </row>
    <row r="105" ht="51" customHeight="1" spans="1:18" s="10" customFormat="1" x14ac:dyDescent="0.25">
      <c r="A105" s="6">
        <v>104</v>
      </c>
      <c r="B105" s="11" t="s">
        <v>25</v>
      </c>
      <c r="C105" s="5" t="s">
        <v>774</v>
      </c>
      <c r="D105" s="11" t="s">
        <v>775</v>
      </c>
      <c r="E105" s="11" t="s">
        <v>776</v>
      </c>
      <c r="F105" s="11" t="s">
        <v>777</v>
      </c>
      <c r="G105" s="11" t="s">
        <v>778</v>
      </c>
      <c r="H105" s="11" t="s">
        <v>142</v>
      </c>
      <c r="I105" s="6" t="s">
        <v>11</v>
      </c>
      <c r="J105" s="11" t="s">
        <v>46</v>
      </c>
      <c r="K105" s="11" t="s">
        <v>608</v>
      </c>
      <c r="L105" s="11" t="s">
        <v>698</v>
      </c>
      <c r="M105" s="11" t="s">
        <v>335</v>
      </c>
      <c r="N105" s="11" t="s">
        <v>779</v>
      </c>
      <c r="O105" s="11" t="s">
        <v>337</v>
      </c>
      <c r="P105" s="11" t="s">
        <v>11</v>
      </c>
      <c r="Q105" s="11" t="s">
        <v>143</v>
      </c>
      <c r="R105" s="11" t="s">
        <v>780</v>
      </c>
    </row>
    <row r="106" ht="51" customHeight="1" spans="1:18" s="10" customFormat="1" x14ac:dyDescent="0.25">
      <c r="A106" s="6">
        <v>105</v>
      </c>
      <c r="B106" s="11" t="s">
        <v>25</v>
      </c>
      <c r="C106" s="5" t="s">
        <v>781</v>
      </c>
      <c r="D106" s="11" t="s">
        <v>782</v>
      </c>
      <c r="E106" s="11" t="s">
        <v>783</v>
      </c>
      <c r="F106" s="11" t="s">
        <v>784</v>
      </c>
      <c r="G106" s="11" t="s">
        <v>785</v>
      </c>
      <c r="H106" s="11" t="s">
        <v>142</v>
      </c>
      <c r="I106" s="6" t="s">
        <v>11</v>
      </c>
      <c r="J106" s="11" t="s">
        <v>45</v>
      </c>
      <c r="K106" s="11" t="s">
        <v>786</v>
      </c>
      <c r="L106" s="11" t="s">
        <v>787</v>
      </c>
      <c r="M106" s="11" t="s">
        <v>788</v>
      </c>
      <c r="N106" s="11" t="s">
        <v>789</v>
      </c>
      <c r="O106" s="11" t="s">
        <v>790</v>
      </c>
      <c r="P106" s="11" t="s">
        <v>11</v>
      </c>
      <c r="Q106" s="11" t="s">
        <v>143</v>
      </c>
      <c r="R106" s="11" t="s">
        <v>791</v>
      </c>
    </row>
    <row r="107" ht="27" customHeight="1" spans="1:18" s="10" customFormat="1" x14ac:dyDescent="0.25">
      <c r="A107" s="6">
        <v>106</v>
      </c>
      <c r="B107" s="11" t="s">
        <v>26</v>
      </c>
      <c r="C107" s="5" t="s">
        <v>792</v>
      </c>
      <c r="D107" s="11" t="s">
        <v>388</v>
      </c>
      <c r="E107" s="11" t="s">
        <v>793</v>
      </c>
      <c r="F107" s="11" t="s">
        <v>794</v>
      </c>
      <c r="G107" s="11" t="s">
        <v>795</v>
      </c>
      <c r="H107" s="11" t="s">
        <v>137</v>
      </c>
      <c r="I107" s="6" t="s">
        <v>11</v>
      </c>
      <c r="J107" s="11" t="s">
        <v>45</v>
      </c>
      <c r="K107" s="11" t="s">
        <v>149</v>
      </c>
      <c r="L107" s="11" t="s">
        <v>173</v>
      </c>
      <c r="M107" s="11" t="s">
        <v>159</v>
      </c>
      <c r="N107" s="11" t="s">
        <v>142</v>
      </c>
      <c r="O107" s="11" t="s">
        <v>142</v>
      </c>
      <c r="P107" s="11" t="s">
        <v>11</v>
      </c>
      <c r="Q107" s="11" t="s">
        <v>143</v>
      </c>
      <c r="R107" s="11" t="s">
        <v>796</v>
      </c>
    </row>
    <row r="108" ht="27" customHeight="1" spans="1:18" s="10" customFormat="1" x14ac:dyDescent="0.25">
      <c r="A108" s="6">
        <v>107</v>
      </c>
      <c r="B108" s="11" t="s">
        <v>26</v>
      </c>
      <c r="C108" s="5" t="s">
        <v>797</v>
      </c>
      <c r="D108" s="11" t="s">
        <v>388</v>
      </c>
      <c r="E108" s="11" t="s">
        <v>798</v>
      </c>
      <c r="F108" s="11" t="s">
        <v>799</v>
      </c>
      <c r="G108" s="11" t="s">
        <v>406</v>
      </c>
      <c r="H108" s="11" t="s">
        <v>137</v>
      </c>
      <c r="I108" s="6" t="s">
        <v>11</v>
      </c>
      <c r="J108" s="11" t="s">
        <v>45</v>
      </c>
      <c r="K108" s="11" t="s">
        <v>149</v>
      </c>
      <c r="L108" s="11" t="s">
        <v>173</v>
      </c>
      <c r="M108" s="11" t="s">
        <v>159</v>
      </c>
      <c r="N108" s="11" t="s">
        <v>142</v>
      </c>
      <c r="O108" s="11" t="s">
        <v>142</v>
      </c>
      <c r="P108" s="11" t="s">
        <v>11</v>
      </c>
      <c r="Q108" s="11" t="s">
        <v>143</v>
      </c>
      <c r="R108" s="11" t="s">
        <v>800</v>
      </c>
    </row>
    <row r="109" ht="27" customHeight="1" spans="1:18" s="10" customFormat="1" x14ac:dyDescent="0.25">
      <c r="A109" s="6">
        <v>108</v>
      </c>
      <c r="B109" s="11" t="s">
        <v>26</v>
      </c>
      <c r="C109" s="5" t="s">
        <v>801</v>
      </c>
      <c r="D109" s="11" t="s">
        <v>388</v>
      </c>
      <c r="E109" s="11" t="s">
        <v>802</v>
      </c>
      <c r="F109" s="11" t="s">
        <v>803</v>
      </c>
      <c r="G109" s="11" t="s">
        <v>804</v>
      </c>
      <c r="H109" s="11" t="s">
        <v>137</v>
      </c>
      <c r="I109" s="6" t="s">
        <v>11</v>
      </c>
      <c r="J109" s="11" t="s">
        <v>45</v>
      </c>
      <c r="K109" s="11" t="s">
        <v>149</v>
      </c>
      <c r="L109" s="11" t="s">
        <v>250</v>
      </c>
      <c r="M109" s="11" t="s">
        <v>250</v>
      </c>
      <c r="N109" s="11" t="s">
        <v>142</v>
      </c>
      <c r="O109" s="11" t="s">
        <v>142</v>
      </c>
      <c r="P109" s="11" t="s">
        <v>11</v>
      </c>
      <c r="Q109" s="11" t="s">
        <v>143</v>
      </c>
      <c r="R109" s="11" t="s">
        <v>142</v>
      </c>
    </row>
    <row r="110" ht="27" customHeight="1" spans="1:18" s="10" customFormat="1" x14ac:dyDescent="0.25">
      <c r="A110" s="6">
        <v>109</v>
      </c>
      <c r="B110" s="11" t="s">
        <v>26</v>
      </c>
      <c r="C110" s="5" t="s">
        <v>805</v>
      </c>
      <c r="D110" s="11" t="s">
        <v>388</v>
      </c>
      <c r="E110" s="11" t="s">
        <v>806</v>
      </c>
      <c r="F110" s="11" t="s">
        <v>807</v>
      </c>
      <c r="G110" s="11" t="s">
        <v>394</v>
      </c>
      <c r="H110" s="11" t="s">
        <v>137</v>
      </c>
      <c r="I110" s="6" t="s">
        <v>11</v>
      </c>
      <c r="J110" s="11" t="s">
        <v>45</v>
      </c>
      <c r="K110" s="11" t="s">
        <v>149</v>
      </c>
      <c r="L110" s="11" t="s">
        <v>250</v>
      </c>
      <c r="M110" s="11" t="s">
        <v>250</v>
      </c>
      <c r="N110" s="11" t="s">
        <v>142</v>
      </c>
      <c r="O110" s="11" t="s">
        <v>142</v>
      </c>
      <c r="P110" s="11" t="s">
        <v>11</v>
      </c>
      <c r="Q110" s="11" t="s">
        <v>143</v>
      </c>
      <c r="R110" s="11" t="s">
        <v>142</v>
      </c>
    </row>
    <row r="111" ht="75" customHeight="1" spans="1:18" s="10" customFormat="1" x14ac:dyDescent="0.25">
      <c r="A111" s="6">
        <v>110</v>
      </c>
      <c r="B111" s="11" t="s">
        <v>26</v>
      </c>
      <c r="C111" s="5" t="s">
        <v>808</v>
      </c>
      <c r="D111" s="11" t="s">
        <v>388</v>
      </c>
      <c r="E111" s="11" t="s">
        <v>809</v>
      </c>
      <c r="F111" s="11" t="s">
        <v>810</v>
      </c>
      <c r="G111" s="11" t="s">
        <v>811</v>
      </c>
      <c r="H111" s="11" t="s">
        <v>137</v>
      </c>
      <c r="I111" s="6" t="s">
        <v>11</v>
      </c>
      <c r="J111" s="11" t="s">
        <v>46</v>
      </c>
      <c r="K111" s="11" t="s">
        <v>812</v>
      </c>
      <c r="L111" s="11" t="s">
        <v>813</v>
      </c>
      <c r="M111" s="11" t="s">
        <v>326</v>
      </c>
      <c r="N111" s="11" t="s">
        <v>142</v>
      </c>
      <c r="O111" s="11" t="s">
        <v>142</v>
      </c>
      <c r="P111" s="11" t="s">
        <v>11</v>
      </c>
      <c r="Q111" s="11" t="s">
        <v>143</v>
      </c>
      <c r="R111" s="11" t="s">
        <v>814</v>
      </c>
    </row>
    <row r="112" ht="27" customHeight="1" spans="1:18" s="10" customFormat="1" x14ac:dyDescent="0.25">
      <c r="A112" s="6">
        <v>111</v>
      </c>
      <c r="B112" s="11" t="s">
        <v>26</v>
      </c>
      <c r="C112" s="5" t="s">
        <v>815</v>
      </c>
      <c r="D112" s="11" t="s">
        <v>388</v>
      </c>
      <c r="E112" s="11" t="s">
        <v>816</v>
      </c>
      <c r="F112" s="11" t="s">
        <v>817</v>
      </c>
      <c r="G112" s="11" t="s">
        <v>818</v>
      </c>
      <c r="H112" s="11" t="s">
        <v>137</v>
      </c>
      <c r="I112" s="6" t="s">
        <v>11</v>
      </c>
      <c r="J112" s="11" t="s">
        <v>45</v>
      </c>
      <c r="K112" s="11" t="s">
        <v>149</v>
      </c>
      <c r="L112" s="11" t="s">
        <v>281</v>
      </c>
      <c r="M112" s="11" t="s">
        <v>282</v>
      </c>
      <c r="N112" s="11" t="s">
        <v>142</v>
      </c>
      <c r="O112" s="11" t="s">
        <v>142</v>
      </c>
      <c r="P112" s="11" t="s">
        <v>11</v>
      </c>
      <c r="Q112" s="11" t="s">
        <v>143</v>
      </c>
      <c r="R112" s="11" t="s">
        <v>413</v>
      </c>
    </row>
    <row r="113" ht="27" customHeight="1" spans="1:18" s="10" customFormat="1" x14ac:dyDescent="0.25">
      <c r="A113" s="6">
        <v>112</v>
      </c>
      <c r="B113" s="11" t="s">
        <v>26</v>
      </c>
      <c r="C113" s="5" t="s">
        <v>819</v>
      </c>
      <c r="D113" s="11" t="s">
        <v>388</v>
      </c>
      <c r="E113" s="11" t="s">
        <v>820</v>
      </c>
      <c r="F113" s="11" t="s">
        <v>821</v>
      </c>
      <c r="G113" s="11" t="s">
        <v>804</v>
      </c>
      <c r="H113" s="11" t="s">
        <v>157</v>
      </c>
      <c r="I113" s="6" t="s">
        <v>11</v>
      </c>
      <c r="J113" s="11" t="s">
        <v>45</v>
      </c>
      <c r="K113" s="11" t="s">
        <v>149</v>
      </c>
      <c r="L113" s="11" t="s">
        <v>173</v>
      </c>
      <c r="M113" s="11" t="s">
        <v>159</v>
      </c>
      <c r="N113" s="11" t="s">
        <v>142</v>
      </c>
      <c r="O113" s="11" t="s">
        <v>142</v>
      </c>
      <c r="P113" s="11" t="s">
        <v>11</v>
      </c>
      <c r="Q113" s="11" t="s">
        <v>143</v>
      </c>
      <c r="R113" s="11" t="s">
        <v>822</v>
      </c>
    </row>
    <row r="114" ht="27" customHeight="1" spans="1:18" s="10" customFormat="1" x14ac:dyDescent="0.25">
      <c r="A114" s="6">
        <v>113</v>
      </c>
      <c r="B114" s="11" t="s">
        <v>26</v>
      </c>
      <c r="C114" s="5" t="s">
        <v>823</v>
      </c>
      <c r="D114" s="11" t="s">
        <v>388</v>
      </c>
      <c r="E114" s="11" t="s">
        <v>824</v>
      </c>
      <c r="F114" s="11" t="s">
        <v>825</v>
      </c>
      <c r="G114" s="11" t="s">
        <v>804</v>
      </c>
      <c r="H114" s="11" t="s">
        <v>157</v>
      </c>
      <c r="I114" s="6" t="s">
        <v>11</v>
      </c>
      <c r="J114" s="11" t="s">
        <v>45</v>
      </c>
      <c r="K114" s="11" t="s">
        <v>149</v>
      </c>
      <c r="L114" s="11" t="s">
        <v>173</v>
      </c>
      <c r="M114" s="11" t="s">
        <v>159</v>
      </c>
      <c r="N114" s="11" t="s">
        <v>142</v>
      </c>
      <c r="O114" s="11" t="s">
        <v>142</v>
      </c>
      <c r="P114" s="11" t="s">
        <v>11</v>
      </c>
      <c r="Q114" s="11" t="s">
        <v>143</v>
      </c>
      <c r="R114" s="11" t="s">
        <v>826</v>
      </c>
    </row>
    <row r="115" ht="51" customHeight="1" spans="1:18" s="10" customFormat="1" x14ac:dyDescent="0.25">
      <c r="A115" s="6">
        <v>114</v>
      </c>
      <c r="B115" s="11" t="s">
        <v>26</v>
      </c>
      <c r="C115" s="5" t="s">
        <v>827</v>
      </c>
      <c r="D115" s="11" t="s">
        <v>388</v>
      </c>
      <c r="E115" s="11" t="s">
        <v>828</v>
      </c>
      <c r="F115" s="11" t="s">
        <v>829</v>
      </c>
      <c r="G115" s="11" t="s">
        <v>400</v>
      </c>
      <c r="H115" s="11" t="s">
        <v>137</v>
      </c>
      <c r="I115" s="6" t="s">
        <v>11</v>
      </c>
      <c r="J115" s="11" t="s">
        <v>45</v>
      </c>
      <c r="K115" s="11" t="s">
        <v>149</v>
      </c>
      <c r="L115" s="11" t="s">
        <v>830</v>
      </c>
      <c r="M115" s="11" t="s">
        <v>211</v>
      </c>
      <c r="N115" s="11" t="s">
        <v>831</v>
      </c>
      <c r="O115" s="11" t="s">
        <v>142</v>
      </c>
      <c r="P115" s="11" t="s">
        <v>11</v>
      </c>
      <c r="Q115" s="11" t="s">
        <v>143</v>
      </c>
      <c r="R115" s="11" t="s">
        <v>832</v>
      </c>
    </row>
    <row r="116" ht="63" customHeight="1" spans="1:18" s="10" customFormat="1" x14ac:dyDescent="0.25">
      <c r="A116" s="6">
        <v>115</v>
      </c>
      <c r="B116" s="11" t="s">
        <v>27</v>
      </c>
      <c r="C116" s="5" t="s">
        <v>833</v>
      </c>
      <c r="D116" s="11" t="s">
        <v>622</v>
      </c>
      <c r="E116" s="11" t="s">
        <v>834</v>
      </c>
      <c r="F116" s="11" t="s">
        <v>835</v>
      </c>
      <c r="G116" s="11" t="s">
        <v>836</v>
      </c>
      <c r="H116" s="11" t="s">
        <v>142</v>
      </c>
      <c r="I116" s="6" t="s">
        <v>11</v>
      </c>
      <c r="J116" s="11" t="s">
        <v>46</v>
      </c>
      <c r="K116" s="11" t="s">
        <v>837</v>
      </c>
      <c r="L116" s="11" t="s">
        <v>838</v>
      </c>
      <c r="M116" s="11" t="s">
        <v>839</v>
      </c>
      <c r="N116" s="11" t="s">
        <v>840</v>
      </c>
      <c r="O116" s="11" t="s">
        <v>142</v>
      </c>
      <c r="P116" s="11" t="s">
        <v>11</v>
      </c>
      <c r="Q116" s="11" t="s">
        <v>143</v>
      </c>
      <c r="R116" s="11" t="s">
        <v>841</v>
      </c>
    </row>
    <row r="117" ht="51" customHeight="1" spans="1:18" s="10" customFormat="1" x14ac:dyDescent="0.25">
      <c r="A117" s="6">
        <v>116</v>
      </c>
      <c r="B117" s="11" t="s">
        <v>27</v>
      </c>
      <c r="C117" s="5" t="s">
        <v>842</v>
      </c>
      <c r="D117" s="11" t="s">
        <v>622</v>
      </c>
      <c r="E117" s="11" t="s">
        <v>843</v>
      </c>
      <c r="F117" s="11" t="s">
        <v>844</v>
      </c>
      <c r="G117" s="11" t="s">
        <v>845</v>
      </c>
      <c r="H117" s="11" t="s">
        <v>142</v>
      </c>
      <c r="I117" s="6" t="s">
        <v>11</v>
      </c>
      <c r="J117" s="11" t="s">
        <v>46</v>
      </c>
      <c r="K117" s="11" t="s">
        <v>846</v>
      </c>
      <c r="L117" s="11" t="s">
        <v>847</v>
      </c>
      <c r="M117" s="11" t="s">
        <v>848</v>
      </c>
      <c r="N117" s="11" t="s">
        <v>142</v>
      </c>
      <c r="O117" s="11" t="s">
        <v>142</v>
      </c>
      <c r="P117" s="11" t="s">
        <v>11</v>
      </c>
      <c r="Q117" s="11" t="s">
        <v>143</v>
      </c>
      <c r="R117" s="11" t="s">
        <v>849</v>
      </c>
    </row>
    <row r="118" ht="51" customHeight="1" spans="1:18" s="10" customFormat="1" x14ac:dyDescent="0.25">
      <c r="A118" s="6">
        <v>117</v>
      </c>
      <c r="B118" s="11" t="s">
        <v>27</v>
      </c>
      <c r="C118" s="5" t="s">
        <v>850</v>
      </c>
      <c r="D118" s="11" t="s">
        <v>622</v>
      </c>
      <c r="E118" s="11" t="s">
        <v>851</v>
      </c>
      <c r="F118" s="11" t="s">
        <v>852</v>
      </c>
      <c r="G118" s="11" t="s">
        <v>853</v>
      </c>
      <c r="H118" s="11" t="s">
        <v>142</v>
      </c>
      <c r="I118" s="6" t="s">
        <v>11</v>
      </c>
      <c r="J118" s="11" t="s">
        <v>46</v>
      </c>
      <c r="K118" s="11" t="s">
        <v>854</v>
      </c>
      <c r="L118" s="11" t="s">
        <v>855</v>
      </c>
      <c r="M118" s="11" t="s">
        <v>856</v>
      </c>
      <c r="N118" s="11" t="s">
        <v>628</v>
      </c>
      <c r="O118" s="11" t="s">
        <v>337</v>
      </c>
      <c r="P118" s="11" t="s">
        <v>11</v>
      </c>
      <c r="Q118" s="11" t="s">
        <v>143</v>
      </c>
      <c r="R118" s="11" t="s">
        <v>857</v>
      </c>
    </row>
    <row r="119" ht="39" customHeight="1" spans="1:18" s="10" customFormat="1" x14ac:dyDescent="0.25">
      <c r="A119" s="6">
        <v>118</v>
      </c>
      <c r="B119" s="11" t="s">
        <v>27</v>
      </c>
      <c r="C119" s="5" t="s">
        <v>858</v>
      </c>
      <c r="D119" s="11" t="s">
        <v>622</v>
      </c>
      <c r="E119" s="11" t="s">
        <v>859</v>
      </c>
      <c r="F119" s="11" t="s">
        <v>860</v>
      </c>
      <c r="G119" s="11" t="s">
        <v>417</v>
      </c>
      <c r="H119" s="11" t="s">
        <v>142</v>
      </c>
      <c r="I119" s="6" t="s">
        <v>11</v>
      </c>
      <c r="J119" s="11" t="s">
        <v>45</v>
      </c>
      <c r="K119" s="11" t="s">
        <v>149</v>
      </c>
      <c r="L119" s="11" t="s">
        <v>861</v>
      </c>
      <c r="M119" s="11" t="s">
        <v>862</v>
      </c>
      <c r="N119" s="11" t="s">
        <v>142</v>
      </c>
      <c r="O119" s="11" t="s">
        <v>142</v>
      </c>
      <c r="P119" s="11" t="s">
        <v>11</v>
      </c>
      <c r="Q119" s="11" t="s">
        <v>143</v>
      </c>
      <c r="R119" s="11" t="s">
        <v>863</v>
      </c>
    </row>
    <row r="120" ht="39" customHeight="1" spans="1:18" s="10" customFormat="1" x14ac:dyDescent="0.25">
      <c r="A120" s="6">
        <v>119</v>
      </c>
      <c r="B120" s="11" t="s">
        <v>27</v>
      </c>
      <c r="C120" s="5" t="s">
        <v>864</v>
      </c>
      <c r="D120" s="11" t="s">
        <v>622</v>
      </c>
      <c r="E120" s="11" t="s">
        <v>865</v>
      </c>
      <c r="F120" s="11" t="s">
        <v>866</v>
      </c>
      <c r="G120" s="11" t="s">
        <v>867</v>
      </c>
      <c r="H120" s="11" t="s">
        <v>142</v>
      </c>
      <c r="I120" s="6" t="s">
        <v>11</v>
      </c>
      <c r="J120" s="11" t="s">
        <v>45</v>
      </c>
      <c r="K120" s="11" t="s">
        <v>149</v>
      </c>
      <c r="L120" s="11" t="s">
        <v>868</v>
      </c>
      <c r="M120" s="11" t="s">
        <v>869</v>
      </c>
      <c r="N120" s="11" t="s">
        <v>142</v>
      </c>
      <c r="O120" s="11" t="s">
        <v>142</v>
      </c>
      <c r="P120" s="11" t="s">
        <v>11</v>
      </c>
      <c r="Q120" s="11" t="s">
        <v>143</v>
      </c>
      <c r="R120" s="11" t="s">
        <v>142</v>
      </c>
    </row>
    <row r="121" ht="63" customHeight="1" spans="1:18" s="10" customFormat="1" x14ac:dyDescent="0.25">
      <c r="A121" s="6">
        <v>120</v>
      </c>
      <c r="B121" s="11" t="s">
        <v>27</v>
      </c>
      <c r="C121" s="5" t="s">
        <v>870</v>
      </c>
      <c r="D121" s="11" t="s">
        <v>631</v>
      </c>
      <c r="E121" s="11" t="s">
        <v>871</v>
      </c>
      <c r="F121" s="11" t="s">
        <v>872</v>
      </c>
      <c r="G121" s="11" t="s">
        <v>142</v>
      </c>
      <c r="H121" s="11" t="s">
        <v>142</v>
      </c>
      <c r="I121" s="6" t="s">
        <v>11</v>
      </c>
      <c r="J121" s="11" t="s">
        <v>45</v>
      </c>
      <c r="K121" s="11" t="s">
        <v>149</v>
      </c>
      <c r="L121" s="11" t="s">
        <v>873</v>
      </c>
      <c r="M121" s="11" t="s">
        <v>874</v>
      </c>
      <c r="N121" s="11" t="s">
        <v>142</v>
      </c>
      <c r="O121" s="11" t="s">
        <v>142</v>
      </c>
      <c r="P121" s="11" t="s">
        <v>11</v>
      </c>
      <c r="Q121" s="11" t="s">
        <v>143</v>
      </c>
      <c r="R121" s="11" t="s">
        <v>875</v>
      </c>
    </row>
    <row r="122" ht="39" customHeight="1" spans="1:18" s="10" customFormat="1" x14ac:dyDescent="0.25">
      <c r="A122" s="6">
        <v>121</v>
      </c>
      <c r="B122" s="11" t="s">
        <v>27</v>
      </c>
      <c r="C122" s="5" t="s">
        <v>876</v>
      </c>
      <c r="D122" s="11" t="s">
        <v>631</v>
      </c>
      <c r="E122" s="11" t="s">
        <v>877</v>
      </c>
      <c r="F122" s="11" t="s">
        <v>878</v>
      </c>
      <c r="G122" s="11" t="s">
        <v>142</v>
      </c>
      <c r="H122" s="11" t="s">
        <v>142</v>
      </c>
      <c r="I122" s="6" t="s">
        <v>11</v>
      </c>
      <c r="J122" s="11" t="s">
        <v>45</v>
      </c>
      <c r="K122" s="11" t="s">
        <v>149</v>
      </c>
      <c r="L122" s="11" t="s">
        <v>879</v>
      </c>
      <c r="M122" s="11" t="s">
        <v>880</v>
      </c>
      <c r="N122" s="11" t="s">
        <v>142</v>
      </c>
      <c r="O122" s="11" t="s">
        <v>142</v>
      </c>
      <c r="P122" s="11" t="s">
        <v>11</v>
      </c>
      <c r="Q122" s="11" t="s">
        <v>143</v>
      </c>
      <c r="R122" s="11" t="s">
        <v>142</v>
      </c>
    </row>
    <row r="123" ht="27" customHeight="1" spans="1:18" s="10" customFormat="1" x14ac:dyDescent="0.25">
      <c r="A123" s="6">
        <v>122</v>
      </c>
      <c r="B123" s="11" t="s">
        <v>27</v>
      </c>
      <c r="C123" s="5" t="s">
        <v>881</v>
      </c>
      <c r="D123" s="11" t="s">
        <v>631</v>
      </c>
      <c r="E123" s="11" t="s">
        <v>882</v>
      </c>
      <c r="F123" s="11" t="s">
        <v>883</v>
      </c>
      <c r="G123" s="11" t="s">
        <v>884</v>
      </c>
      <c r="H123" s="11" t="s">
        <v>142</v>
      </c>
      <c r="I123" s="6" t="s">
        <v>11</v>
      </c>
      <c r="J123" s="11" t="s">
        <v>45</v>
      </c>
      <c r="K123" s="11" t="s">
        <v>149</v>
      </c>
      <c r="L123" s="11" t="s">
        <v>885</v>
      </c>
      <c r="M123" s="11" t="s">
        <v>886</v>
      </c>
      <c r="N123" s="11" t="s">
        <v>142</v>
      </c>
      <c r="O123" s="11" t="s">
        <v>142</v>
      </c>
      <c r="P123" s="11" t="s">
        <v>11</v>
      </c>
      <c r="Q123" s="11" t="s">
        <v>143</v>
      </c>
      <c r="R123" s="11" t="s">
        <v>142</v>
      </c>
    </row>
    <row r="124" ht="15" customHeight="1" spans="1:18" s="10" customFormat="1" x14ac:dyDescent="0.25">
      <c r="A124" s="6">
        <v>123</v>
      </c>
      <c r="B124" s="11" t="s">
        <v>27</v>
      </c>
      <c r="C124" s="5" t="s">
        <v>887</v>
      </c>
      <c r="D124" s="11" t="s">
        <v>631</v>
      </c>
      <c r="E124" s="11" t="s">
        <v>888</v>
      </c>
      <c r="F124" s="11" t="s">
        <v>889</v>
      </c>
      <c r="G124" s="11" t="s">
        <v>142</v>
      </c>
      <c r="H124" s="11" t="s">
        <v>142</v>
      </c>
      <c r="I124" s="6" t="s">
        <v>11</v>
      </c>
      <c r="J124" s="11" t="s">
        <v>45</v>
      </c>
      <c r="K124" s="11" t="s">
        <v>149</v>
      </c>
      <c r="L124" s="11" t="s">
        <v>890</v>
      </c>
      <c r="M124" s="11" t="s">
        <v>891</v>
      </c>
      <c r="N124" s="11" t="s">
        <v>142</v>
      </c>
      <c r="O124" s="11" t="s">
        <v>142</v>
      </c>
      <c r="P124" s="11" t="s">
        <v>11</v>
      </c>
      <c r="Q124" s="11" t="s">
        <v>143</v>
      </c>
      <c r="R124" s="11" t="s">
        <v>892</v>
      </c>
    </row>
    <row r="125" ht="39" customHeight="1" spans="1:18" s="10" customFormat="1" x14ac:dyDescent="0.25">
      <c r="A125" s="6">
        <v>124</v>
      </c>
      <c r="B125" s="11" t="s">
        <v>27</v>
      </c>
      <c r="C125" s="5" t="s">
        <v>893</v>
      </c>
      <c r="D125" s="11" t="s">
        <v>631</v>
      </c>
      <c r="E125" s="11" t="s">
        <v>894</v>
      </c>
      <c r="F125" s="11" t="s">
        <v>895</v>
      </c>
      <c r="G125" s="11" t="s">
        <v>142</v>
      </c>
      <c r="H125" s="11" t="s">
        <v>142</v>
      </c>
      <c r="I125" s="6" t="s">
        <v>11</v>
      </c>
      <c r="J125" s="11" t="s">
        <v>45</v>
      </c>
      <c r="K125" s="11" t="s">
        <v>149</v>
      </c>
      <c r="L125" s="11" t="s">
        <v>896</v>
      </c>
      <c r="M125" s="11" t="s">
        <v>897</v>
      </c>
      <c r="N125" s="11" t="s">
        <v>898</v>
      </c>
      <c r="O125" s="11" t="s">
        <v>142</v>
      </c>
      <c r="P125" s="11" t="s">
        <v>11</v>
      </c>
      <c r="Q125" s="11" t="s">
        <v>143</v>
      </c>
      <c r="R125" s="11" t="s">
        <v>899</v>
      </c>
    </row>
    <row r="126" ht="27" customHeight="1" spans="1:18" s="10" customFormat="1" x14ac:dyDescent="0.25">
      <c r="A126" s="6">
        <v>125</v>
      </c>
      <c r="B126" s="11" t="s">
        <v>27</v>
      </c>
      <c r="C126" s="5" t="s">
        <v>900</v>
      </c>
      <c r="D126" s="11" t="s">
        <v>649</v>
      </c>
      <c r="E126" s="11" t="s">
        <v>901</v>
      </c>
      <c r="F126" s="11" t="s">
        <v>902</v>
      </c>
      <c r="G126" s="11" t="s">
        <v>903</v>
      </c>
      <c r="H126" s="11" t="s">
        <v>142</v>
      </c>
      <c r="I126" s="6" t="s">
        <v>11</v>
      </c>
      <c r="J126" s="11" t="s">
        <v>45</v>
      </c>
      <c r="K126" s="11" t="s">
        <v>149</v>
      </c>
      <c r="L126" s="11" t="s">
        <v>904</v>
      </c>
      <c r="M126" s="11" t="s">
        <v>661</v>
      </c>
      <c r="N126" s="11" t="s">
        <v>142</v>
      </c>
      <c r="O126" s="11" t="s">
        <v>142</v>
      </c>
      <c r="P126" s="11" t="s">
        <v>11</v>
      </c>
      <c r="Q126" s="11" t="s">
        <v>143</v>
      </c>
      <c r="R126" s="11" t="s">
        <v>142</v>
      </c>
    </row>
    <row r="127" ht="27" customHeight="1" spans="1:18" s="10" customFormat="1" x14ac:dyDescent="0.25">
      <c r="A127" s="6">
        <v>126</v>
      </c>
      <c r="B127" s="11" t="s">
        <v>27</v>
      </c>
      <c r="C127" s="5" t="s">
        <v>905</v>
      </c>
      <c r="D127" s="11" t="s">
        <v>649</v>
      </c>
      <c r="E127" s="11" t="s">
        <v>906</v>
      </c>
      <c r="F127" s="11" t="s">
        <v>907</v>
      </c>
      <c r="G127" s="11" t="s">
        <v>142</v>
      </c>
      <c r="H127" s="11" t="s">
        <v>142</v>
      </c>
      <c r="I127" s="6" t="s">
        <v>11</v>
      </c>
      <c r="J127" s="11" t="s">
        <v>45</v>
      </c>
      <c r="K127" s="11" t="s">
        <v>149</v>
      </c>
      <c r="L127" s="11" t="s">
        <v>908</v>
      </c>
      <c r="M127" s="11" t="s">
        <v>909</v>
      </c>
      <c r="N127" s="11" t="s">
        <v>142</v>
      </c>
      <c r="O127" s="11" t="s">
        <v>142</v>
      </c>
      <c r="P127" s="11" t="s">
        <v>11</v>
      </c>
      <c r="Q127" s="11" t="s">
        <v>143</v>
      </c>
      <c r="R127" s="11" t="s">
        <v>910</v>
      </c>
    </row>
    <row r="128" ht="39" customHeight="1" spans="1:18" s="10" customFormat="1" x14ac:dyDescent="0.25">
      <c r="A128" s="6">
        <v>127</v>
      </c>
      <c r="B128" s="11" t="s">
        <v>27</v>
      </c>
      <c r="C128" s="5" t="s">
        <v>911</v>
      </c>
      <c r="D128" s="11" t="s">
        <v>649</v>
      </c>
      <c r="E128" s="11" t="s">
        <v>912</v>
      </c>
      <c r="F128" s="11" t="s">
        <v>913</v>
      </c>
      <c r="G128" s="11" t="s">
        <v>142</v>
      </c>
      <c r="H128" s="11" t="s">
        <v>142</v>
      </c>
      <c r="I128" s="6" t="s">
        <v>11</v>
      </c>
      <c r="J128" s="11" t="s">
        <v>45</v>
      </c>
      <c r="K128" s="11" t="s">
        <v>149</v>
      </c>
      <c r="L128" s="11" t="s">
        <v>914</v>
      </c>
      <c r="M128" s="11" t="s">
        <v>891</v>
      </c>
      <c r="N128" s="11" t="s">
        <v>142</v>
      </c>
      <c r="O128" s="11" t="s">
        <v>142</v>
      </c>
      <c r="P128" s="11" t="s">
        <v>11</v>
      </c>
      <c r="Q128" s="11" t="s">
        <v>143</v>
      </c>
      <c r="R128" s="11" t="s">
        <v>915</v>
      </c>
    </row>
    <row r="129" ht="15" customHeight="1" spans="1:18" s="10" customFormat="1" x14ac:dyDescent="0.25">
      <c r="A129" s="6">
        <v>128</v>
      </c>
      <c r="B129" s="11" t="s">
        <v>27</v>
      </c>
      <c r="C129" s="5" t="s">
        <v>916</v>
      </c>
      <c r="D129" s="11" t="s">
        <v>430</v>
      </c>
      <c r="E129" s="11" t="s">
        <v>917</v>
      </c>
      <c r="F129" s="11" t="s">
        <v>918</v>
      </c>
      <c r="G129" s="11" t="s">
        <v>142</v>
      </c>
      <c r="H129" s="11" t="s">
        <v>142</v>
      </c>
      <c r="I129" s="6" t="s">
        <v>11</v>
      </c>
      <c r="J129" s="11" t="s">
        <v>45</v>
      </c>
      <c r="K129" s="11" t="s">
        <v>149</v>
      </c>
      <c r="L129" s="11" t="s">
        <v>173</v>
      </c>
      <c r="M129" s="11" t="s">
        <v>159</v>
      </c>
      <c r="N129" s="11" t="s">
        <v>142</v>
      </c>
      <c r="O129" s="11" t="s">
        <v>142</v>
      </c>
      <c r="P129" s="11" t="s">
        <v>11</v>
      </c>
      <c r="Q129" s="11" t="s">
        <v>143</v>
      </c>
      <c r="R129" s="11" t="s">
        <v>919</v>
      </c>
    </row>
    <row r="130" ht="27" customHeight="1" spans="1:18" s="10" customFormat="1" x14ac:dyDescent="0.25">
      <c r="A130" s="6">
        <v>129</v>
      </c>
      <c r="B130" s="11" t="s">
        <v>27</v>
      </c>
      <c r="C130" s="5" t="s">
        <v>920</v>
      </c>
      <c r="D130" s="11" t="s">
        <v>921</v>
      </c>
      <c r="E130" s="11" t="s">
        <v>922</v>
      </c>
      <c r="F130" s="11" t="s">
        <v>923</v>
      </c>
      <c r="G130" s="11" t="s">
        <v>561</v>
      </c>
      <c r="H130" s="11" t="s">
        <v>142</v>
      </c>
      <c r="I130" s="6" t="s">
        <v>11</v>
      </c>
      <c r="J130" s="11" t="s">
        <v>45</v>
      </c>
      <c r="K130" s="11" t="s">
        <v>149</v>
      </c>
      <c r="L130" s="11" t="s">
        <v>924</v>
      </c>
      <c r="M130" s="11" t="s">
        <v>925</v>
      </c>
      <c r="N130" s="11" t="s">
        <v>142</v>
      </c>
      <c r="O130" s="11" t="s">
        <v>142</v>
      </c>
      <c r="P130" s="11" t="s">
        <v>11</v>
      </c>
      <c r="Q130" s="11" t="s">
        <v>143</v>
      </c>
      <c r="R130" s="11" t="s">
        <v>926</v>
      </c>
    </row>
    <row r="131" ht="27" customHeight="1" spans="1:18" s="10" customFormat="1" x14ac:dyDescent="0.25">
      <c r="A131" s="6">
        <v>130</v>
      </c>
      <c r="B131" s="11" t="s">
        <v>27</v>
      </c>
      <c r="C131" s="5" t="s">
        <v>927</v>
      </c>
      <c r="D131" s="11" t="s">
        <v>921</v>
      </c>
      <c r="E131" s="11" t="s">
        <v>928</v>
      </c>
      <c r="F131" s="11" t="s">
        <v>929</v>
      </c>
      <c r="G131" s="11" t="s">
        <v>561</v>
      </c>
      <c r="H131" s="11" t="s">
        <v>142</v>
      </c>
      <c r="I131" s="6" t="s">
        <v>11</v>
      </c>
      <c r="J131" s="11" t="s">
        <v>45</v>
      </c>
      <c r="K131" s="11" t="s">
        <v>149</v>
      </c>
      <c r="L131" s="11" t="s">
        <v>930</v>
      </c>
      <c r="M131" s="11" t="s">
        <v>931</v>
      </c>
      <c r="N131" s="11" t="s">
        <v>142</v>
      </c>
      <c r="O131" s="11" t="s">
        <v>142</v>
      </c>
      <c r="P131" s="11" t="s">
        <v>11</v>
      </c>
      <c r="Q131" s="11" t="s">
        <v>143</v>
      </c>
      <c r="R131" s="11" t="s">
        <v>932</v>
      </c>
    </row>
    <row r="132" ht="39" customHeight="1" spans="1:18" s="10" customFormat="1" x14ac:dyDescent="0.25">
      <c r="A132" s="6">
        <v>131</v>
      </c>
      <c r="B132" s="11" t="s">
        <v>27</v>
      </c>
      <c r="C132" s="5" t="s">
        <v>933</v>
      </c>
      <c r="D132" s="11" t="s">
        <v>552</v>
      </c>
      <c r="E132" s="11" t="s">
        <v>934</v>
      </c>
      <c r="F132" s="11" t="s">
        <v>935</v>
      </c>
      <c r="G132" s="11" t="s">
        <v>142</v>
      </c>
      <c r="H132" s="11" t="s">
        <v>142</v>
      </c>
      <c r="I132" s="6" t="s">
        <v>11</v>
      </c>
      <c r="J132" s="11" t="s">
        <v>45</v>
      </c>
      <c r="K132" s="11" t="s">
        <v>149</v>
      </c>
      <c r="L132" s="11" t="s">
        <v>936</v>
      </c>
      <c r="M132" s="11" t="s">
        <v>937</v>
      </c>
      <c r="N132" s="11" t="s">
        <v>142</v>
      </c>
      <c r="O132" s="11" t="s">
        <v>142</v>
      </c>
      <c r="P132" s="11" t="s">
        <v>11</v>
      </c>
      <c r="Q132" s="11" t="s">
        <v>143</v>
      </c>
      <c r="R132" s="11" t="s">
        <v>938</v>
      </c>
    </row>
    <row r="133" ht="39" customHeight="1" spans="1:18" s="10" customFormat="1" x14ac:dyDescent="0.25">
      <c r="A133" s="6">
        <v>132</v>
      </c>
      <c r="B133" s="11" t="s">
        <v>27</v>
      </c>
      <c r="C133" s="5" t="s">
        <v>939</v>
      </c>
      <c r="D133" s="11" t="s">
        <v>552</v>
      </c>
      <c r="E133" s="11" t="s">
        <v>940</v>
      </c>
      <c r="F133" s="11" t="s">
        <v>941</v>
      </c>
      <c r="G133" s="11" t="s">
        <v>142</v>
      </c>
      <c r="H133" s="11" t="s">
        <v>142</v>
      </c>
      <c r="I133" s="6" t="s">
        <v>11</v>
      </c>
      <c r="J133" s="11" t="s">
        <v>45</v>
      </c>
      <c r="K133" s="11" t="s">
        <v>149</v>
      </c>
      <c r="L133" s="11" t="s">
        <v>158</v>
      </c>
      <c r="M133" s="11" t="s">
        <v>159</v>
      </c>
      <c r="N133" s="11" t="s">
        <v>142</v>
      </c>
      <c r="O133" s="11" t="s">
        <v>142</v>
      </c>
      <c r="P133" s="11" t="s">
        <v>11</v>
      </c>
      <c r="Q133" s="11" t="s">
        <v>143</v>
      </c>
      <c r="R133" s="11" t="s">
        <v>580</v>
      </c>
    </row>
    <row r="134" ht="51" customHeight="1" spans="1:18" s="10" customFormat="1" x14ac:dyDescent="0.25">
      <c r="A134" s="6">
        <v>133</v>
      </c>
      <c r="B134" s="11" t="s">
        <v>27</v>
      </c>
      <c r="C134" s="5" t="s">
        <v>942</v>
      </c>
      <c r="D134" s="11" t="s">
        <v>552</v>
      </c>
      <c r="E134" s="11" t="s">
        <v>943</v>
      </c>
      <c r="F134" s="11" t="s">
        <v>944</v>
      </c>
      <c r="G134" s="11" t="s">
        <v>945</v>
      </c>
      <c r="H134" s="11" t="s">
        <v>142</v>
      </c>
      <c r="I134" s="6" t="s">
        <v>11</v>
      </c>
      <c r="J134" s="11" t="s">
        <v>45</v>
      </c>
      <c r="K134" s="11" t="s">
        <v>149</v>
      </c>
      <c r="L134" s="11" t="s">
        <v>946</v>
      </c>
      <c r="M134" s="11" t="s">
        <v>947</v>
      </c>
      <c r="N134" s="11" t="s">
        <v>142</v>
      </c>
      <c r="O134" s="11" t="s">
        <v>142</v>
      </c>
      <c r="P134" s="11" t="s">
        <v>11</v>
      </c>
      <c r="Q134" s="11" t="s">
        <v>143</v>
      </c>
      <c r="R134" s="11" t="s">
        <v>948</v>
      </c>
    </row>
    <row r="135" ht="39" customHeight="1" spans="1:18" s="10" customFormat="1" x14ac:dyDescent="0.25">
      <c r="A135" s="6">
        <v>134</v>
      </c>
      <c r="B135" s="11" t="s">
        <v>28</v>
      </c>
      <c r="C135" s="5" t="s">
        <v>949</v>
      </c>
      <c r="D135" s="11" t="s">
        <v>577</v>
      </c>
      <c r="E135" s="11" t="s">
        <v>950</v>
      </c>
      <c r="F135" s="11" t="s">
        <v>951</v>
      </c>
      <c r="G135" s="11" t="s">
        <v>142</v>
      </c>
      <c r="H135" s="11" t="s">
        <v>142</v>
      </c>
      <c r="I135" s="6" t="s">
        <v>11</v>
      </c>
      <c r="J135" s="11" t="s">
        <v>45</v>
      </c>
      <c r="K135" s="11" t="s">
        <v>149</v>
      </c>
      <c r="L135" s="11" t="s">
        <v>158</v>
      </c>
      <c r="M135" s="11" t="s">
        <v>159</v>
      </c>
      <c r="N135" s="11" t="s">
        <v>142</v>
      </c>
      <c r="O135" s="11" t="s">
        <v>142</v>
      </c>
      <c r="P135" s="11" t="s">
        <v>11</v>
      </c>
      <c r="Q135" s="11" t="s">
        <v>143</v>
      </c>
      <c r="R135" s="11" t="s">
        <v>580</v>
      </c>
    </row>
    <row r="136" ht="39" customHeight="1" spans="1:18" s="10" customFormat="1" x14ac:dyDescent="0.25">
      <c r="A136" s="6">
        <v>135</v>
      </c>
      <c r="B136" s="11" t="s">
        <v>28</v>
      </c>
      <c r="C136" s="5" t="s">
        <v>952</v>
      </c>
      <c r="D136" s="11" t="s">
        <v>577</v>
      </c>
      <c r="E136" s="11" t="s">
        <v>953</v>
      </c>
      <c r="F136" s="11" t="s">
        <v>954</v>
      </c>
      <c r="G136" s="11" t="s">
        <v>142</v>
      </c>
      <c r="H136" s="11" t="s">
        <v>142</v>
      </c>
      <c r="I136" s="6" t="s">
        <v>11</v>
      </c>
      <c r="J136" s="11" t="s">
        <v>45</v>
      </c>
      <c r="K136" s="11" t="s">
        <v>149</v>
      </c>
      <c r="L136" s="11" t="s">
        <v>158</v>
      </c>
      <c r="M136" s="11" t="s">
        <v>159</v>
      </c>
      <c r="N136" s="11" t="s">
        <v>142</v>
      </c>
      <c r="O136" s="11" t="s">
        <v>142</v>
      </c>
      <c r="P136" s="11" t="s">
        <v>11</v>
      </c>
      <c r="Q136" s="11" t="s">
        <v>143</v>
      </c>
      <c r="R136" s="11" t="s">
        <v>580</v>
      </c>
    </row>
    <row r="137" ht="39" customHeight="1" spans="1:18" s="10" customFormat="1" x14ac:dyDescent="0.25">
      <c r="A137" s="6">
        <v>136</v>
      </c>
      <c r="B137" s="11" t="s">
        <v>28</v>
      </c>
      <c r="C137" s="5" t="s">
        <v>955</v>
      </c>
      <c r="D137" s="11" t="s">
        <v>577</v>
      </c>
      <c r="E137" s="11" t="s">
        <v>956</v>
      </c>
      <c r="F137" s="11" t="s">
        <v>957</v>
      </c>
      <c r="G137" s="11" t="s">
        <v>142</v>
      </c>
      <c r="H137" s="11" t="s">
        <v>142</v>
      </c>
      <c r="I137" s="6" t="s">
        <v>11</v>
      </c>
      <c r="J137" s="11" t="s">
        <v>45</v>
      </c>
      <c r="K137" s="11" t="s">
        <v>149</v>
      </c>
      <c r="L137" s="11" t="s">
        <v>158</v>
      </c>
      <c r="M137" s="11" t="s">
        <v>159</v>
      </c>
      <c r="N137" s="11" t="s">
        <v>142</v>
      </c>
      <c r="O137" s="11" t="s">
        <v>142</v>
      </c>
      <c r="P137" s="11" t="s">
        <v>11</v>
      </c>
      <c r="Q137" s="11" t="s">
        <v>143</v>
      </c>
      <c r="R137" s="11" t="s">
        <v>580</v>
      </c>
    </row>
    <row r="138" ht="39" customHeight="1" spans="1:18" s="10" customFormat="1" x14ac:dyDescent="0.25">
      <c r="A138" s="6">
        <v>137</v>
      </c>
      <c r="B138" s="11" t="s">
        <v>28</v>
      </c>
      <c r="C138" s="5" t="s">
        <v>958</v>
      </c>
      <c r="D138" s="11" t="s">
        <v>577</v>
      </c>
      <c r="E138" s="11" t="s">
        <v>959</v>
      </c>
      <c r="F138" s="11" t="s">
        <v>960</v>
      </c>
      <c r="G138" s="11" t="s">
        <v>142</v>
      </c>
      <c r="H138" s="11" t="s">
        <v>142</v>
      </c>
      <c r="I138" s="6" t="s">
        <v>11</v>
      </c>
      <c r="J138" s="11" t="s">
        <v>45</v>
      </c>
      <c r="K138" s="11" t="s">
        <v>149</v>
      </c>
      <c r="L138" s="11" t="s">
        <v>158</v>
      </c>
      <c r="M138" s="11" t="s">
        <v>159</v>
      </c>
      <c r="N138" s="11" t="s">
        <v>142</v>
      </c>
      <c r="O138" s="11" t="s">
        <v>142</v>
      </c>
      <c r="P138" s="11" t="s">
        <v>11</v>
      </c>
      <c r="Q138" s="11" t="s">
        <v>143</v>
      </c>
      <c r="R138" s="11" t="s">
        <v>580</v>
      </c>
    </row>
    <row r="139" ht="39" customHeight="1" spans="1:18" s="10" customFormat="1" x14ac:dyDescent="0.25">
      <c r="A139" s="6">
        <v>138</v>
      </c>
      <c r="B139" s="11" t="s">
        <v>28</v>
      </c>
      <c r="C139" s="5" t="s">
        <v>961</v>
      </c>
      <c r="D139" s="11" t="s">
        <v>577</v>
      </c>
      <c r="E139" s="11" t="s">
        <v>962</v>
      </c>
      <c r="F139" s="11" t="s">
        <v>963</v>
      </c>
      <c r="G139" s="11" t="s">
        <v>142</v>
      </c>
      <c r="H139" s="11" t="s">
        <v>142</v>
      </c>
      <c r="I139" s="6" t="s">
        <v>11</v>
      </c>
      <c r="J139" s="11" t="s">
        <v>45</v>
      </c>
      <c r="K139" s="11" t="s">
        <v>149</v>
      </c>
      <c r="L139" s="11" t="s">
        <v>158</v>
      </c>
      <c r="M139" s="11" t="s">
        <v>159</v>
      </c>
      <c r="N139" s="11" t="s">
        <v>142</v>
      </c>
      <c r="O139" s="11" t="s">
        <v>142</v>
      </c>
      <c r="P139" s="11" t="s">
        <v>11</v>
      </c>
      <c r="Q139" s="11" t="s">
        <v>143</v>
      </c>
      <c r="R139" s="11" t="s">
        <v>580</v>
      </c>
    </row>
    <row r="140" ht="39" customHeight="1" spans="1:18" s="10" customFormat="1" x14ac:dyDescent="0.25">
      <c r="A140" s="6">
        <v>139</v>
      </c>
      <c r="B140" s="11" t="s">
        <v>28</v>
      </c>
      <c r="C140" s="5" t="s">
        <v>964</v>
      </c>
      <c r="D140" s="11" t="s">
        <v>577</v>
      </c>
      <c r="E140" s="11" t="s">
        <v>965</v>
      </c>
      <c r="F140" s="11" t="s">
        <v>966</v>
      </c>
      <c r="G140" s="11" t="s">
        <v>142</v>
      </c>
      <c r="H140" s="11" t="s">
        <v>142</v>
      </c>
      <c r="I140" s="6" t="s">
        <v>11</v>
      </c>
      <c r="J140" s="11" t="s">
        <v>45</v>
      </c>
      <c r="K140" s="11" t="s">
        <v>149</v>
      </c>
      <c r="L140" s="11" t="s">
        <v>158</v>
      </c>
      <c r="M140" s="11" t="s">
        <v>159</v>
      </c>
      <c r="N140" s="11" t="s">
        <v>142</v>
      </c>
      <c r="O140" s="11" t="s">
        <v>142</v>
      </c>
      <c r="P140" s="11" t="s">
        <v>11</v>
      </c>
      <c r="Q140" s="11" t="s">
        <v>143</v>
      </c>
      <c r="R140" s="11" t="s">
        <v>580</v>
      </c>
    </row>
    <row r="141" ht="39" customHeight="1" spans="1:18" s="10" customFormat="1" x14ac:dyDescent="0.25">
      <c r="A141" s="6">
        <v>140</v>
      </c>
      <c r="B141" s="11" t="s">
        <v>28</v>
      </c>
      <c r="C141" s="5" t="s">
        <v>967</v>
      </c>
      <c r="D141" s="11" t="s">
        <v>577</v>
      </c>
      <c r="E141" s="11" t="s">
        <v>968</v>
      </c>
      <c r="F141" s="11" t="s">
        <v>969</v>
      </c>
      <c r="G141" s="11" t="s">
        <v>142</v>
      </c>
      <c r="H141" s="11" t="s">
        <v>142</v>
      </c>
      <c r="I141" s="6" t="s">
        <v>11</v>
      </c>
      <c r="J141" s="11" t="s">
        <v>45</v>
      </c>
      <c r="K141" s="11" t="s">
        <v>149</v>
      </c>
      <c r="L141" s="11" t="s">
        <v>158</v>
      </c>
      <c r="M141" s="11" t="s">
        <v>159</v>
      </c>
      <c r="N141" s="11" t="s">
        <v>142</v>
      </c>
      <c r="O141" s="11" t="s">
        <v>142</v>
      </c>
      <c r="P141" s="11" t="s">
        <v>11</v>
      </c>
      <c r="Q141" s="11" t="s">
        <v>143</v>
      </c>
      <c r="R141" s="11" t="s">
        <v>580</v>
      </c>
    </row>
    <row r="142" ht="39" customHeight="1" spans="1:18" s="10" customFormat="1" x14ac:dyDescent="0.25">
      <c r="A142" s="6">
        <v>141</v>
      </c>
      <c r="B142" s="11" t="s">
        <v>28</v>
      </c>
      <c r="C142" s="5" t="s">
        <v>970</v>
      </c>
      <c r="D142" s="11" t="s">
        <v>577</v>
      </c>
      <c r="E142" s="11" t="s">
        <v>971</v>
      </c>
      <c r="F142" s="11" t="s">
        <v>972</v>
      </c>
      <c r="G142" s="11" t="s">
        <v>142</v>
      </c>
      <c r="H142" s="11" t="s">
        <v>142</v>
      </c>
      <c r="I142" s="6" t="s">
        <v>11</v>
      </c>
      <c r="J142" s="11" t="s">
        <v>45</v>
      </c>
      <c r="K142" s="11" t="s">
        <v>149</v>
      </c>
      <c r="L142" s="11" t="s">
        <v>158</v>
      </c>
      <c r="M142" s="11" t="s">
        <v>159</v>
      </c>
      <c r="N142" s="11" t="s">
        <v>142</v>
      </c>
      <c r="O142" s="11" t="s">
        <v>142</v>
      </c>
      <c r="P142" s="11" t="s">
        <v>11</v>
      </c>
      <c r="Q142" s="11" t="s">
        <v>143</v>
      </c>
      <c r="R142" s="11" t="s">
        <v>580</v>
      </c>
    </row>
    <row r="143" ht="39" customHeight="1" spans="1:18" s="10" customFormat="1" x14ac:dyDescent="0.25">
      <c r="A143" s="6">
        <v>142</v>
      </c>
      <c r="B143" s="11" t="s">
        <v>28</v>
      </c>
      <c r="C143" s="5" t="s">
        <v>973</v>
      </c>
      <c r="D143" s="11" t="s">
        <v>577</v>
      </c>
      <c r="E143" s="11" t="s">
        <v>974</v>
      </c>
      <c r="F143" s="11" t="s">
        <v>975</v>
      </c>
      <c r="G143" s="11" t="s">
        <v>142</v>
      </c>
      <c r="H143" s="11" t="s">
        <v>142</v>
      </c>
      <c r="I143" s="6" t="s">
        <v>11</v>
      </c>
      <c r="J143" s="11" t="s">
        <v>45</v>
      </c>
      <c r="K143" s="11" t="s">
        <v>149</v>
      </c>
      <c r="L143" s="11" t="s">
        <v>158</v>
      </c>
      <c r="M143" s="11" t="s">
        <v>159</v>
      </c>
      <c r="N143" s="11" t="s">
        <v>142</v>
      </c>
      <c r="O143" s="11" t="s">
        <v>142</v>
      </c>
      <c r="P143" s="11" t="s">
        <v>11</v>
      </c>
      <c r="Q143" s="11" t="s">
        <v>143</v>
      </c>
      <c r="R143" s="11" t="s">
        <v>580</v>
      </c>
    </row>
    <row r="144" ht="39" customHeight="1" spans="1:18" s="10" customFormat="1" x14ac:dyDescent="0.25">
      <c r="A144" s="6">
        <v>143</v>
      </c>
      <c r="B144" s="11" t="s">
        <v>28</v>
      </c>
      <c r="C144" s="5" t="s">
        <v>976</v>
      </c>
      <c r="D144" s="11" t="s">
        <v>577</v>
      </c>
      <c r="E144" s="11" t="s">
        <v>977</v>
      </c>
      <c r="F144" s="11" t="s">
        <v>978</v>
      </c>
      <c r="G144" s="11" t="s">
        <v>142</v>
      </c>
      <c r="H144" s="11" t="s">
        <v>142</v>
      </c>
      <c r="I144" s="6" t="s">
        <v>11</v>
      </c>
      <c r="J144" s="11" t="s">
        <v>45</v>
      </c>
      <c r="K144" s="11" t="s">
        <v>149</v>
      </c>
      <c r="L144" s="11" t="s">
        <v>158</v>
      </c>
      <c r="M144" s="11" t="s">
        <v>159</v>
      </c>
      <c r="N144" s="11" t="s">
        <v>142</v>
      </c>
      <c r="O144" s="11" t="s">
        <v>142</v>
      </c>
      <c r="P144" s="11" t="s">
        <v>11</v>
      </c>
      <c r="Q144" s="11" t="s">
        <v>143</v>
      </c>
      <c r="R144" s="11" t="s">
        <v>580</v>
      </c>
    </row>
    <row r="145" ht="39" customHeight="1" spans="1:18" s="10" customFormat="1" x14ac:dyDescent="0.25">
      <c r="A145" s="6">
        <v>144</v>
      </c>
      <c r="B145" s="11" t="s">
        <v>28</v>
      </c>
      <c r="C145" s="5" t="s">
        <v>979</v>
      </c>
      <c r="D145" s="11" t="s">
        <v>577</v>
      </c>
      <c r="E145" s="11" t="s">
        <v>980</v>
      </c>
      <c r="F145" s="11" t="s">
        <v>981</v>
      </c>
      <c r="G145" s="11" t="s">
        <v>142</v>
      </c>
      <c r="H145" s="11" t="s">
        <v>142</v>
      </c>
      <c r="I145" s="6" t="s">
        <v>11</v>
      </c>
      <c r="J145" s="11" t="s">
        <v>45</v>
      </c>
      <c r="K145" s="11" t="s">
        <v>149</v>
      </c>
      <c r="L145" s="11" t="s">
        <v>158</v>
      </c>
      <c r="M145" s="11" t="s">
        <v>159</v>
      </c>
      <c r="N145" s="11" t="s">
        <v>142</v>
      </c>
      <c r="O145" s="11" t="s">
        <v>142</v>
      </c>
      <c r="P145" s="11" t="s">
        <v>11</v>
      </c>
      <c r="Q145" s="11" t="s">
        <v>143</v>
      </c>
      <c r="R145" s="11" t="s">
        <v>580</v>
      </c>
    </row>
    <row r="146" ht="39" customHeight="1" spans="1:18" s="10" customFormat="1" x14ac:dyDescent="0.25">
      <c r="A146" s="6">
        <v>145</v>
      </c>
      <c r="B146" s="11" t="s">
        <v>28</v>
      </c>
      <c r="C146" s="5" t="s">
        <v>982</v>
      </c>
      <c r="D146" s="11" t="s">
        <v>577</v>
      </c>
      <c r="E146" s="11" t="s">
        <v>983</v>
      </c>
      <c r="F146" s="11" t="s">
        <v>984</v>
      </c>
      <c r="G146" s="11" t="s">
        <v>142</v>
      </c>
      <c r="H146" s="11" t="s">
        <v>142</v>
      </c>
      <c r="I146" s="6" t="s">
        <v>11</v>
      </c>
      <c r="J146" s="11" t="s">
        <v>45</v>
      </c>
      <c r="K146" s="11" t="s">
        <v>149</v>
      </c>
      <c r="L146" s="11" t="s">
        <v>158</v>
      </c>
      <c r="M146" s="11" t="s">
        <v>159</v>
      </c>
      <c r="N146" s="11" t="s">
        <v>142</v>
      </c>
      <c r="O146" s="11" t="s">
        <v>142</v>
      </c>
      <c r="P146" s="11" t="s">
        <v>11</v>
      </c>
      <c r="Q146" s="11" t="s">
        <v>143</v>
      </c>
      <c r="R146" s="11" t="s">
        <v>580</v>
      </c>
    </row>
    <row r="147" ht="39" customHeight="1" spans="1:18" s="10" customFormat="1" x14ac:dyDescent="0.25">
      <c r="A147" s="6">
        <v>146</v>
      </c>
      <c r="B147" s="11" t="s">
        <v>28</v>
      </c>
      <c r="C147" s="5" t="s">
        <v>985</v>
      </c>
      <c r="D147" s="11" t="s">
        <v>577</v>
      </c>
      <c r="E147" s="11" t="s">
        <v>986</v>
      </c>
      <c r="F147" s="11" t="s">
        <v>987</v>
      </c>
      <c r="G147" s="11" t="s">
        <v>142</v>
      </c>
      <c r="H147" s="11" t="s">
        <v>142</v>
      </c>
      <c r="I147" s="6" t="s">
        <v>11</v>
      </c>
      <c r="J147" s="11" t="s">
        <v>45</v>
      </c>
      <c r="K147" s="11" t="s">
        <v>149</v>
      </c>
      <c r="L147" s="11" t="s">
        <v>158</v>
      </c>
      <c r="M147" s="11" t="s">
        <v>159</v>
      </c>
      <c r="N147" s="11" t="s">
        <v>142</v>
      </c>
      <c r="O147" s="11" t="s">
        <v>142</v>
      </c>
      <c r="P147" s="11" t="s">
        <v>11</v>
      </c>
      <c r="Q147" s="11" t="s">
        <v>143</v>
      </c>
      <c r="R147" s="11" t="s">
        <v>580</v>
      </c>
    </row>
    <row r="148" ht="39" customHeight="1" spans="1:18" s="10" customFormat="1" x14ac:dyDescent="0.25">
      <c r="A148" s="6">
        <v>147</v>
      </c>
      <c r="B148" s="11" t="s">
        <v>28</v>
      </c>
      <c r="C148" s="5" t="s">
        <v>988</v>
      </c>
      <c r="D148" s="11" t="s">
        <v>577</v>
      </c>
      <c r="E148" s="11" t="s">
        <v>989</v>
      </c>
      <c r="F148" s="11" t="s">
        <v>990</v>
      </c>
      <c r="G148" s="11" t="s">
        <v>142</v>
      </c>
      <c r="H148" s="11" t="s">
        <v>142</v>
      </c>
      <c r="I148" s="6" t="s">
        <v>11</v>
      </c>
      <c r="J148" s="11" t="s">
        <v>45</v>
      </c>
      <c r="K148" s="11" t="s">
        <v>149</v>
      </c>
      <c r="L148" s="11" t="s">
        <v>158</v>
      </c>
      <c r="M148" s="11" t="s">
        <v>159</v>
      </c>
      <c r="N148" s="11" t="s">
        <v>142</v>
      </c>
      <c r="O148" s="11" t="s">
        <v>142</v>
      </c>
      <c r="P148" s="11" t="s">
        <v>11</v>
      </c>
      <c r="Q148" s="11" t="s">
        <v>143</v>
      </c>
      <c r="R148" s="11" t="s">
        <v>580</v>
      </c>
    </row>
    <row r="149" ht="15" customHeight="1" spans="1:18" s="10" customFormat="1" x14ac:dyDescent="0.25">
      <c r="A149" s="6">
        <v>148</v>
      </c>
      <c r="B149" s="11" t="s">
        <v>28</v>
      </c>
      <c r="C149" s="5" t="s">
        <v>991</v>
      </c>
      <c r="D149" s="11" t="s">
        <v>577</v>
      </c>
      <c r="E149" s="11" t="s">
        <v>992</v>
      </c>
      <c r="F149" s="11" t="s">
        <v>993</v>
      </c>
      <c r="G149" s="11" t="s">
        <v>142</v>
      </c>
      <c r="H149" s="11" t="s">
        <v>142</v>
      </c>
      <c r="I149" s="6" t="s">
        <v>11</v>
      </c>
      <c r="J149" s="11" t="s">
        <v>45</v>
      </c>
      <c r="K149" s="11" t="s">
        <v>149</v>
      </c>
      <c r="L149" s="11" t="s">
        <v>158</v>
      </c>
      <c r="M149" s="11" t="s">
        <v>159</v>
      </c>
      <c r="N149" s="11" t="s">
        <v>142</v>
      </c>
      <c r="O149" s="11" t="s">
        <v>142</v>
      </c>
      <c r="P149" s="11" t="s">
        <v>11</v>
      </c>
      <c r="Q149" s="11" t="s">
        <v>143</v>
      </c>
      <c r="R149" s="11" t="s">
        <v>994</v>
      </c>
    </row>
    <row r="150" ht="51" customHeight="1" spans="1:18" s="10" customFormat="1" x14ac:dyDescent="0.25">
      <c r="A150" s="6">
        <v>149</v>
      </c>
      <c r="B150" s="11" t="s">
        <v>29</v>
      </c>
      <c r="C150" s="5" t="s">
        <v>995</v>
      </c>
      <c r="D150" s="11" t="s">
        <v>552</v>
      </c>
      <c r="E150" s="11" t="s">
        <v>996</v>
      </c>
      <c r="F150" s="11" t="s">
        <v>997</v>
      </c>
      <c r="G150" s="11" t="s">
        <v>998</v>
      </c>
      <c r="H150" s="11" t="s">
        <v>142</v>
      </c>
      <c r="I150" s="6" t="s">
        <v>11</v>
      </c>
      <c r="J150" s="11" t="s">
        <v>45</v>
      </c>
      <c r="K150" s="11" t="s">
        <v>149</v>
      </c>
      <c r="L150" s="11" t="s">
        <v>999</v>
      </c>
      <c r="M150" s="11" t="s">
        <v>741</v>
      </c>
      <c r="N150" s="11" t="s">
        <v>1000</v>
      </c>
      <c r="O150" s="11" t="s">
        <v>142</v>
      </c>
      <c r="P150" s="11" t="s">
        <v>11</v>
      </c>
      <c r="Q150" s="11" t="s">
        <v>143</v>
      </c>
      <c r="R150" s="11" t="s">
        <v>1001</v>
      </c>
    </row>
    <row r="151" ht="75" customHeight="1" spans="1:18" s="10" customFormat="1" x14ac:dyDescent="0.25">
      <c r="A151" s="6">
        <v>150</v>
      </c>
      <c r="B151" s="11" t="s">
        <v>29</v>
      </c>
      <c r="C151" s="5" t="s">
        <v>1002</v>
      </c>
      <c r="D151" s="11" t="s">
        <v>176</v>
      </c>
      <c r="E151" s="11" t="s">
        <v>1003</v>
      </c>
      <c r="F151" s="11" t="s">
        <v>1004</v>
      </c>
      <c r="G151" s="11" t="s">
        <v>1005</v>
      </c>
      <c r="H151" s="11" t="s">
        <v>142</v>
      </c>
      <c r="I151" s="6" t="s">
        <v>11</v>
      </c>
      <c r="J151" s="11" t="s">
        <v>45</v>
      </c>
      <c r="K151" s="11" t="s">
        <v>149</v>
      </c>
      <c r="L151" s="11" t="s">
        <v>1006</v>
      </c>
      <c r="M151" s="11" t="s">
        <v>741</v>
      </c>
      <c r="N151" s="11" t="s">
        <v>142</v>
      </c>
      <c r="O151" s="11" t="s">
        <v>142</v>
      </c>
      <c r="P151" s="11" t="s">
        <v>11</v>
      </c>
      <c r="Q151" s="11" t="s">
        <v>143</v>
      </c>
      <c r="R151" s="11" t="s">
        <v>1007</v>
      </c>
    </row>
    <row r="152" ht="63" customHeight="1" spans="1:18" s="10" customFormat="1" x14ac:dyDescent="0.25">
      <c r="A152" s="6">
        <v>151</v>
      </c>
      <c r="B152" s="11" t="s">
        <v>29</v>
      </c>
      <c r="C152" s="5" t="s">
        <v>1008</v>
      </c>
      <c r="D152" s="11" t="s">
        <v>355</v>
      </c>
      <c r="E152" s="11" t="s">
        <v>1009</v>
      </c>
      <c r="F152" s="11" t="s">
        <v>1010</v>
      </c>
      <c r="G152" s="11" t="s">
        <v>1011</v>
      </c>
      <c r="H152" s="11" t="s">
        <v>142</v>
      </c>
      <c r="I152" s="6" t="s">
        <v>11</v>
      </c>
      <c r="J152" s="11" t="s">
        <v>45</v>
      </c>
      <c r="K152" s="11" t="s">
        <v>149</v>
      </c>
      <c r="L152" s="11" t="s">
        <v>1012</v>
      </c>
      <c r="M152" s="11" t="s">
        <v>1012</v>
      </c>
      <c r="N152" s="11" t="s">
        <v>142</v>
      </c>
      <c r="O152" s="11" t="s">
        <v>142</v>
      </c>
      <c r="P152" s="11" t="s">
        <v>11</v>
      </c>
      <c r="Q152" s="11" t="s">
        <v>143</v>
      </c>
      <c r="R152" s="11" t="s">
        <v>1013</v>
      </c>
    </row>
    <row r="153" ht="39" customHeight="1" spans="1:18" s="10" customFormat="1" x14ac:dyDescent="0.25">
      <c r="A153" s="6">
        <v>152</v>
      </c>
      <c r="B153" s="11" t="s">
        <v>29</v>
      </c>
      <c r="C153" s="5" t="s">
        <v>1014</v>
      </c>
      <c r="D153" s="11" t="s">
        <v>388</v>
      </c>
      <c r="E153" s="11" t="s">
        <v>1015</v>
      </c>
      <c r="F153" s="11" t="s">
        <v>1016</v>
      </c>
      <c r="G153" s="11" t="s">
        <v>411</v>
      </c>
      <c r="H153" s="11" t="s">
        <v>142</v>
      </c>
      <c r="I153" s="6" t="s">
        <v>11</v>
      </c>
      <c r="J153" s="11" t="s">
        <v>45</v>
      </c>
      <c r="K153" s="11" t="s">
        <v>149</v>
      </c>
      <c r="L153" s="11" t="s">
        <v>1017</v>
      </c>
      <c r="M153" s="11" t="s">
        <v>741</v>
      </c>
      <c r="N153" s="11" t="s">
        <v>142</v>
      </c>
      <c r="O153" s="11" t="s">
        <v>142</v>
      </c>
      <c r="P153" s="11" t="s">
        <v>11</v>
      </c>
      <c r="Q153" s="11" t="s">
        <v>143</v>
      </c>
      <c r="R153" s="11" t="s">
        <v>1018</v>
      </c>
    </row>
    <row r="154" ht="39" customHeight="1" spans="1:18" s="10" customFormat="1" x14ac:dyDescent="0.25">
      <c r="A154" s="6">
        <v>153</v>
      </c>
      <c r="B154" s="11" t="s">
        <v>29</v>
      </c>
      <c r="C154" s="5" t="s">
        <v>1019</v>
      </c>
      <c r="D154" s="11" t="s">
        <v>176</v>
      </c>
      <c r="E154" s="11" t="s">
        <v>1020</v>
      </c>
      <c r="F154" s="11" t="s">
        <v>1021</v>
      </c>
      <c r="G154" s="11" t="s">
        <v>1022</v>
      </c>
      <c r="H154" s="11" t="s">
        <v>142</v>
      </c>
      <c r="I154" s="6" t="s">
        <v>11</v>
      </c>
      <c r="J154" s="11" t="s">
        <v>45</v>
      </c>
      <c r="K154" s="11" t="s">
        <v>149</v>
      </c>
      <c r="L154" s="11" t="s">
        <v>1023</v>
      </c>
      <c r="M154" s="11" t="s">
        <v>741</v>
      </c>
      <c r="N154" s="11" t="s">
        <v>142</v>
      </c>
      <c r="O154" s="11" t="s">
        <v>142</v>
      </c>
      <c r="P154" s="11" t="s">
        <v>11</v>
      </c>
      <c r="Q154" s="11" t="s">
        <v>143</v>
      </c>
      <c r="R154" s="11" t="s">
        <v>1024</v>
      </c>
    </row>
    <row r="155" ht="51" customHeight="1" spans="1:18" s="10" customFormat="1" x14ac:dyDescent="0.25">
      <c r="A155" s="6">
        <v>154</v>
      </c>
      <c r="B155" s="11" t="s">
        <v>29</v>
      </c>
      <c r="C155" s="5" t="s">
        <v>1025</v>
      </c>
      <c r="D155" s="11" t="s">
        <v>355</v>
      </c>
      <c r="E155" s="11" t="s">
        <v>1026</v>
      </c>
      <c r="F155" s="11" t="s">
        <v>1027</v>
      </c>
      <c r="G155" s="11" t="s">
        <v>1028</v>
      </c>
      <c r="H155" s="11" t="s">
        <v>142</v>
      </c>
      <c r="I155" s="6" t="s">
        <v>11</v>
      </c>
      <c r="J155" s="11" t="s">
        <v>45</v>
      </c>
      <c r="K155" s="11" t="s">
        <v>149</v>
      </c>
      <c r="L155" s="11" t="s">
        <v>1029</v>
      </c>
      <c r="M155" s="11" t="s">
        <v>1030</v>
      </c>
      <c r="N155" s="11" t="s">
        <v>142</v>
      </c>
      <c r="O155" s="11" t="s">
        <v>142</v>
      </c>
      <c r="P155" s="11" t="s">
        <v>11</v>
      </c>
      <c r="Q155" s="11" t="s">
        <v>143</v>
      </c>
      <c r="R155" s="11" t="s">
        <v>1031</v>
      </c>
    </row>
    <row r="156" ht="99" customHeight="1" spans="1:18" s="10" customFormat="1" x14ac:dyDescent="0.25">
      <c r="A156" s="6">
        <v>155</v>
      </c>
      <c r="B156" s="11" t="s">
        <v>29</v>
      </c>
      <c r="C156" s="5" t="s">
        <v>1032</v>
      </c>
      <c r="D156" s="11" t="s">
        <v>329</v>
      </c>
      <c r="E156" s="11" t="s">
        <v>1033</v>
      </c>
      <c r="F156" s="11" t="s">
        <v>1034</v>
      </c>
      <c r="G156" s="11" t="s">
        <v>1035</v>
      </c>
      <c r="H156" s="11" t="s">
        <v>142</v>
      </c>
      <c r="I156" s="6" t="s">
        <v>11</v>
      </c>
      <c r="J156" s="11" t="s">
        <v>46</v>
      </c>
      <c r="K156" s="11" t="s">
        <v>1036</v>
      </c>
      <c r="L156" s="11" t="s">
        <v>1037</v>
      </c>
      <c r="M156" s="11" t="s">
        <v>1038</v>
      </c>
      <c r="N156" s="11" t="s">
        <v>1039</v>
      </c>
      <c r="O156" s="11" t="s">
        <v>337</v>
      </c>
      <c r="P156" s="11" t="s">
        <v>11</v>
      </c>
      <c r="Q156" s="11" t="s">
        <v>143</v>
      </c>
      <c r="R156" s="11" t="s">
        <v>1040</v>
      </c>
    </row>
    <row r="157" ht="75" customHeight="1" spans="1:18" s="10" customFormat="1" x14ac:dyDescent="0.25">
      <c r="A157" s="6">
        <v>156</v>
      </c>
      <c r="B157" s="11" t="s">
        <v>29</v>
      </c>
      <c r="C157" s="5" t="s">
        <v>1041</v>
      </c>
      <c r="D157" s="11" t="s">
        <v>214</v>
      </c>
      <c r="E157" s="11" t="s">
        <v>1042</v>
      </c>
      <c r="F157" s="11" t="s">
        <v>1043</v>
      </c>
      <c r="G157" s="11" t="s">
        <v>1044</v>
      </c>
      <c r="H157" s="11" t="s">
        <v>142</v>
      </c>
      <c r="I157" s="6" t="s">
        <v>11</v>
      </c>
      <c r="J157" s="11" t="s">
        <v>45</v>
      </c>
      <c r="K157" s="11" t="s">
        <v>149</v>
      </c>
      <c r="L157" s="11" t="s">
        <v>1045</v>
      </c>
      <c r="M157" s="11" t="s">
        <v>1046</v>
      </c>
      <c r="N157" s="11" t="s">
        <v>1047</v>
      </c>
      <c r="O157" s="11" t="s">
        <v>142</v>
      </c>
      <c r="P157" s="11" t="s">
        <v>11</v>
      </c>
      <c r="Q157" s="11" t="s">
        <v>143</v>
      </c>
      <c r="R157" s="11" t="s">
        <v>1048</v>
      </c>
    </row>
    <row r="158" ht="63" customHeight="1" spans="1:18" s="10" customFormat="1" x14ac:dyDescent="0.25">
      <c r="A158" s="6">
        <v>157</v>
      </c>
      <c r="B158" s="11" t="s">
        <v>29</v>
      </c>
      <c r="C158" s="5" t="s">
        <v>1049</v>
      </c>
      <c r="D158" s="11" t="s">
        <v>552</v>
      </c>
      <c r="E158" s="11" t="s">
        <v>1050</v>
      </c>
      <c r="F158" s="11" t="s">
        <v>1051</v>
      </c>
      <c r="G158" s="11" t="s">
        <v>156</v>
      </c>
      <c r="H158" s="11" t="s">
        <v>142</v>
      </c>
      <c r="I158" s="6" t="s">
        <v>11</v>
      </c>
      <c r="J158" s="11" t="s">
        <v>45</v>
      </c>
      <c r="K158" s="11" t="s">
        <v>149</v>
      </c>
      <c r="L158" s="11" t="s">
        <v>1052</v>
      </c>
      <c r="M158" s="11" t="s">
        <v>1053</v>
      </c>
      <c r="N158" s="11" t="s">
        <v>142</v>
      </c>
      <c r="O158" s="11" t="s">
        <v>142</v>
      </c>
      <c r="P158" s="11" t="s">
        <v>11</v>
      </c>
      <c r="Q158" s="11" t="s">
        <v>143</v>
      </c>
      <c r="R158" s="11" t="s">
        <v>1054</v>
      </c>
    </row>
    <row r="159" ht="63" customHeight="1" spans="1:18" s="10" customFormat="1" x14ac:dyDescent="0.25">
      <c r="A159" s="6">
        <v>158</v>
      </c>
      <c r="B159" s="11" t="s">
        <v>29</v>
      </c>
      <c r="C159" s="5" t="s">
        <v>1055</v>
      </c>
      <c r="D159" s="11" t="s">
        <v>214</v>
      </c>
      <c r="E159" s="11" t="s">
        <v>1056</v>
      </c>
      <c r="F159" s="11" t="s">
        <v>1057</v>
      </c>
      <c r="G159" s="11" t="s">
        <v>202</v>
      </c>
      <c r="H159" s="11" t="s">
        <v>142</v>
      </c>
      <c r="I159" s="6" t="s">
        <v>11</v>
      </c>
      <c r="J159" s="11" t="s">
        <v>45</v>
      </c>
      <c r="K159" s="11" t="s">
        <v>149</v>
      </c>
      <c r="L159" s="11" t="s">
        <v>1058</v>
      </c>
      <c r="M159" s="11" t="s">
        <v>1059</v>
      </c>
      <c r="N159" s="11" t="s">
        <v>142</v>
      </c>
      <c r="O159" s="11" t="s">
        <v>142</v>
      </c>
      <c r="P159" s="11" t="s">
        <v>11</v>
      </c>
      <c r="Q159" s="11" t="s">
        <v>143</v>
      </c>
      <c r="R159" s="11" t="s">
        <v>1060</v>
      </c>
    </row>
    <row r="160" ht="39" customHeight="1" spans="1:18" s="10" customFormat="1" x14ac:dyDescent="0.25">
      <c r="A160" s="6">
        <v>159</v>
      </c>
      <c r="B160" s="11" t="s">
        <v>30</v>
      </c>
      <c r="C160" s="5" t="s">
        <v>1061</v>
      </c>
      <c r="D160" s="11" t="s">
        <v>87</v>
      </c>
      <c r="E160" s="11" t="s">
        <v>1062</v>
      </c>
      <c r="F160" s="11" t="s">
        <v>1063</v>
      </c>
      <c r="G160" s="11" t="s">
        <v>142</v>
      </c>
      <c r="H160" s="11" t="s">
        <v>142</v>
      </c>
      <c r="I160" s="6" t="s">
        <v>11</v>
      </c>
      <c r="J160" s="11" t="s">
        <v>45</v>
      </c>
      <c r="K160" s="11" t="s">
        <v>149</v>
      </c>
      <c r="L160" s="11" t="s">
        <v>1064</v>
      </c>
      <c r="M160" s="11" t="s">
        <v>1065</v>
      </c>
      <c r="N160" s="11" t="s">
        <v>142</v>
      </c>
      <c r="O160" s="11" t="s">
        <v>142</v>
      </c>
      <c r="P160" s="11" t="s">
        <v>11</v>
      </c>
      <c r="Q160" s="11" t="s">
        <v>143</v>
      </c>
      <c r="R160" s="11" t="s">
        <v>1066</v>
      </c>
    </row>
    <row r="161" ht="51" customHeight="1" spans="1:18" s="10" customFormat="1" x14ac:dyDescent="0.25">
      <c r="A161" s="6">
        <v>160</v>
      </c>
      <c r="B161" s="11" t="s">
        <v>30</v>
      </c>
      <c r="C161" s="5" t="s">
        <v>1067</v>
      </c>
      <c r="D161" s="11" t="s">
        <v>300</v>
      </c>
      <c r="E161" s="11" t="s">
        <v>1068</v>
      </c>
      <c r="F161" s="11" t="s">
        <v>1069</v>
      </c>
      <c r="G161" s="11" t="s">
        <v>303</v>
      </c>
      <c r="H161" s="11" t="s">
        <v>142</v>
      </c>
      <c r="I161" s="6" t="s">
        <v>11</v>
      </c>
      <c r="J161" s="11" t="s">
        <v>45</v>
      </c>
      <c r="K161" s="11" t="s">
        <v>149</v>
      </c>
      <c r="L161" s="11" t="s">
        <v>1070</v>
      </c>
      <c r="M161" s="11" t="s">
        <v>1071</v>
      </c>
      <c r="N161" s="11" t="s">
        <v>142</v>
      </c>
      <c r="O161" s="11" t="s">
        <v>142</v>
      </c>
      <c r="P161" s="11" t="s">
        <v>11</v>
      </c>
      <c r="Q161" s="11" t="s">
        <v>143</v>
      </c>
      <c r="R161" s="11" t="s">
        <v>1072</v>
      </c>
    </row>
    <row r="162" ht="51" customHeight="1" spans="1:18" s="10" customFormat="1" x14ac:dyDescent="0.25">
      <c r="A162" s="6">
        <v>161</v>
      </c>
      <c r="B162" s="11" t="s">
        <v>30</v>
      </c>
      <c r="C162" s="5" t="s">
        <v>1073</v>
      </c>
      <c r="D162" s="11" t="s">
        <v>1074</v>
      </c>
      <c r="E162" s="11" t="s">
        <v>1075</v>
      </c>
      <c r="F162" s="11" t="s">
        <v>1076</v>
      </c>
      <c r="G162" s="11" t="s">
        <v>142</v>
      </c>
      <c r="H162" s="11" t="s">
        <v>142</v>
      </c>
      <c r="I162" s="6" t="s">
        <v>11</v>
      </c>
      <c r="J162" s="11" t="s">
        <v>45</v>
      </c>
      <c r="K162" s="11" t="s">
        <v>149</v>
      </c>
      <c r="L162" s="11" t="s">
        <v>1077</v>
      </c>
      <c r="M162" s="11" t="s">
        <v>1078</v>
      </c>
      <c r="N162" s="11" t="s">
        <v>142</v>
      </c>
      <c r="O162" s="11" t="s">
        <v>142</v>
      </c>
      <c r="P162" s="11" t="s">
        <v>11</v>
      </c>
      <c r="Q162" s="11" t="s">
        <v>143</v>
      </c>
      <c r="R162" s="11" t="s">
        <v>1079</v>
      </c>
    </row>
    <row r="163" ht="63" customHeight="1" spans="1:18" s="10" customFormat="1" x14ac:dyDescent="0.25">
      <c r="A163" s="6">
        <v>162</v>
      </c>
      <c r="B163" s="11" t="s">
        <v>30</v>
      </c>
      <c r="C163" s="5" t="s">
        <v>1080</v>
      </c>
      <c r="D163" s="11" t="s">
        <v>582</v>
      </c>
      <c r="E163" s="11" t="s">
        <v>1081</v>
      </c>
      <c r="F163" s="11" t="s">
        <v>1082</v>
      </c>
      <c r="G163" s="11" t="s">
        <v>142</v>
      </c>
      <c r="H163" s="11" t="s">
        <v>142</v>
      </c>
      <c r="I163" s="6" t="s">
        <v>11</v>
      </c>
      <c r="J163" s="11" t="s">
        <v>45</v>
      </c>
      <c r="K163" s="11" t="s">
        <v>149</v>
      </c>
      <c r="L163" s="11" t="s">
        <v>1083</v>
      </c>
      <c r="M163" s="11" t="s">
        <v>1084</v>
      </c>
      <c r="N163" s="11" t="s">
        <v>142</v>
      </c>
      <c r="O163" s="11" t="s">
        <v>142</v>
      </c>
      <c r="P163" s="11" t="s">
        <v>11</v>
      </c>
      <c r="Q163" s="11" t="s">
        <v>143</v>
      </c>
      <c r="R163" s="11" t="s">
        <v>1085</v>
      </c>
    </row>
    <row r="164" ht="39" customHeight="1" spans="1:18" s="10" customFormat="1" x14ac:dyDescent="0.25">
      <c r="A164" s="6">
        <v>163</v>
      </c>
      <c r="B164" s="11" t="s">
        <v>30</v>
      </c>
      <c r="C164" s="5" t="s">
        <v>1086</v>
      </c>
      <c r="D164" s="11" t="s">
        <v>27</v>
      </c>
      <c r="E164" s="11" t="s">
        <v>1087</v>
      </c>
      <c r="F164" s="11" t="s">
        <v>1088</v>
      </c>
      <c r="G164" s="11" t="s">
        <v>142</v>
      </c>
      <c r="H164" s="11" t="s">
        <v>142</v>
      </c>
      <c r="I164" s="6" t="s">
        <v>11</v>
      </c>
      <c r="J164" s="11" t="s">
        <v>45</v>
      </c>
      <c r="K164" s="11" t="s">
        <v>149</v>
      </c>
      <c r="L164" s="11" t="s">
        <v>1089</v>
      </c>
      <c r="M164" s="11" t="s">
        <v>1090</v>
      </c>
      <c r="N164" s="11" t="s">
        <v>142</v>
      </c>
      <c r="O164" s="11" t="s">
        <v>142</v>
      </c>
      <c r="P164" s="11" t="s">
        <v>11</v>
      </c>
      <c r="Q164" s="11" t="s">
        <v>143</v>
      </c>
      <c r="R164" s="11" t="s">
        <v>1091</v>
      </c>
    </row>
    <row r="165" ht="51" customHeight="1" spans="1:18" s="10" customFormat="1" x14ac:dyDescent="0.25">
      <c r="A165" s="6">
        <v>164</v>
      </c>
      <c r="B165" s="11" t="s">
        <v>30</v>
      </c>
      <c r="C165" s="5" t="s">
        <v>1092</v>
      </c>
      <c r="D165" s="11" t="s">
        <v>491</v>
      </c>
      <c r="E165" s="11" t="s">
        <v>1093</v>
      </c>
      <c r="F165" s="11" t="s">
        <v>1094</v>
      </c>
      <c r="G165" s="11" t="s">
        <v>1095</v>
      </c>
      <c r="H165" s="11" t="s">
        <v>142</v>
      </c>
      <c r="I165" s="6" t="s">
        <v>11</v>
      </c>
      <c r="J165" s="11" t="s">
        <v>45</v>
      </c>
      <c r="K165" s="11" t="s">
        <v>149</v>
      </c>
      <c r="L165" s="11" t="s">
        <v>1096</v>
      </c>
      <c r="M165" s="11" t="s">
        <v>1097</v>
      </c>
      <c r="N165" s="11" t="s">
        <v>142</v>
      </c>
      <c r="O165" s="11" t="s">
        <v>142</v>
      </c>
      <c r="P165" s="11" t="s">
        <v>11</v>
      </c>
      <c r="Q165" s="11" t="s">
        <v>143</v>
      </c>
      <c r="R165" s="11" t="s">
        <v>1098</v>
      </c>
    </row>
    <row r="166" ht="51" customHeight="1" spans="1:18" s="10" customFormat="1" x14ac:dyDescent="0.25">
      <c r="A166" s="6">
        <v>165</v>
      </c>
      <c r="B166" s="11" t="s">
        <v>30</v>
      </c>
      <c r="C166" s="5" t="s">
        <v>1099</v>
      </c>
      <c r="D166" s="11" t="s">
        <v>214</v>
      </c>
      <c r="E166" s="11" t="s">
        <v>1100</v>
      </c>
      <c r="F166" s="11" t="s">
        <v>1101</v>
      </c>
      <c r="G166" s="11" t="s">
        <v>233</v>
      </c>
      <c r="H166" s="11" t="s">
        <v>142</v>
      </c>
      <c r="I166" s="6" t="s">
        <v>11</v>
      </c>
      <c r="J166" s="11" t="s">
        <v>45</v>
      </c>
      <c r="K166" s="11" t="s">
        <v>149</v>
      </c>
      <c r="L166" s="11" t="s">
        <v>1102</v>
      </c>
      <c r="M166" s="11" t="s">
        <v>1103</v>
      </c>
      <c r="N166" s="11" t="s">
        <v>142</v>
      </c>
      <c r="O166" s="11" t="s">
        <v>142</v>
      </c>
      <c r="P166" s="11" t="s">
        <v>11</v>
      </c>
      <c r="Q166" s="11" t="s">
        <v>143</v>
      </c>
      <c r="R166" s="11" t="s">
        <v>1104</v>
      </c>
    </row>
    <row r="167" ht="51" customHeight="1" spans="1:18" s="10" customFormat="1" x14ac:dyDescent="0.25">
      <c r="A167" s="6">
        <v>166</v>
      </c>
      <c r="B167" s="11" t="s">
        <v>30</v>
      </c>
      <c r="C167" s="5" t="s">
        <v>1105</v>
      </c>
      <c r="D167" s="11" t="s">
        <v>133</v>
      </c>
      <c r="E167" s="11" t="s">
        <v>1106</v>
      </c>
      <c r="F167" s="11" t="s">
        <v>1107</v>
      </c>
      <c r="G167" s="11" t="s">
        <v>1108</v>
      </c>
      <c r="H167" s="11" t="s">
        <v>142</v>
      </c>
      <c r="I167" s="6" t="s">
        <v>11</v>
      </c>
      <c r="J167" s="11" t="s">
        <v>45</v>
      </c>
      <c r="K167" s="11" t="s">
        <v>149</v>
      </c>
      <c r="L167" s="11" t="s">
        <v>1109</v>
      </c>
      <c r="M167" s="11" t="s">
        <v>1110</v>
      </c>
      <c r="N167" s="11" t="s">
        <v>142</v>
      </c>
      <c r="O167" s="11" t="s">
        <v>142</v>
      </c>
      <c r="P167" s="11" t="s">
        <v>11</v>
      </c>
      <c r="Q167" s="11" t="s">
        <v>143</v>
      </c>
      <c r="R167" s="11" t="s">
        <v>1111</v>
      </c>
    </row>
    <row r="168" ht="51" customHeight="1" spans="1:18" s="10" customFormat="1" x14ac:dyDescent="0.25">
      <c r="A168" s="6">
        <v>167</v>
      </c>
      <c r="B168" s="11" t="s">
        <v>30</v>
      </c>
      <c r="C168" s="5" t="s">
        <v>1112</v>
      </c>
      <c r="D168" s="11" t="s">
        <v>1074</v>
      </c>
      <c r="E168" s="11" t="s">
        <v>1113</v>
      </c>
      <c r="F168" s="11" t="s">
        <v>1114</v>
      </c>
      <c r="G168" s="11" t="s">
        <v>1115</v>
      </c>
      <c r="H168" s="11" t="s">
        <v>142</v>
      </c>
      <c r="I168" s="6" t="s">
        <v>11</v>
      </c>
      <c r="J168" s="11" t="s">
        <v>45</v>
      </c>
      <c r="K168" s="11" t="s">
        <v>149</v>
      </c>
      <c r="L168" s="11" t="s">
        <v>1116</v>
      </c>
      <c r="M168" s="11" t="s">
        <v>1117</v>
      </c>
      <c r="N168" s="11" t="s">
        <v>142</v>
      </c>
      <c r="O168" s="11" t="s">
        <v>142</v>
      </c>
      <c r="P168" s="11" t="s">
        <v>11</v>
      </c>
      <c r="Q168" s="11" t="s">
        <v>143</v>
      </c>
      <c r="R168" s="11" t="s">
        <v>1118</v>
      </c>
    </row>
    <row r="169" ht="75" customHeight="1" spans="1:18" s="10" customFormat="1" x14ac:dyDescent="0.25">
      <c r="A169" s="6">
        <v>168</v>
      </c>
      <c r="B169" s="11" t="s">
        <v>30</v>
      </c>
      <c r="C169" s="5" t="s">
        <v>1119</v>
      </c>
      <c r="D169" s="11" t="s">
        <v>355</v>
      </c>
      <c r="E169" s="11" t="s">
        <v>1120</v>
      </c>
      <c r="F169" s="11" t="s">
        <v>1121</v>
      </c>
      <c r="G169" s="11" t="s">
        <v>1122</v>
      </c>
      <c r="H169" s="11" t="s">
        <v>142</v>
      </c>
      <c r="I169" s="6" t="s">
        <v>11</v>
      </c>
      <c r="J169" s="11" t="s">
        <v>46</v>
      </c>
      <c r="K169" s="11" t="s">
        <v>1123</v>
      </c>
      <c r="L169" s="11" t="s">
        <v>1124</v>
      </c>
      <c r="M169" s="11" t="s">
        <v>1125</v>
      </c>
      <c r="N169" s="11" t="s">
        <v>142</v>
      </c>
      <c r="O169" s="11" t="s">
        <v>1126</v>
      </c>
      <c r="P169" s="11" t="s">
        <v>11</v>
      </c>
      <c r="Q169" s="11" t="s">
        <v>143</v>
      </c>
      <c r="R169" s="11" t="s">
        <v>142</v>
      </c>
    </row>
    <row r="170" ht="39" customHeight="1" spans="1:18" s="10" customFormat="1" x14ac:dyDescent="0.25">
      <c r="A170" s="6">
        <v>169</v>
      </c>
      <c r="B170" s="11" t="s">
        <v>30</v>
      </c>
      <c r="C170" s="5" t="s">
        <v>1127</v>
      </c>
      <c r="D170" s="11" t="s">
        <v>552</v>
      </c>
      <c r="E170" s="11" t="s">
        <v>1128</v>
      </c>
      <c r="F170" s="11" t="s">
        <v>1129</v>
      </c>
      <c r="G170" s="11" t="s">
        <v>1130</v>
      </c>
      <c r="H170" s="11" t="s">
        <v>142</v>
      </c>
      <c r="I170" s="6" t="s">
        <v>11</v>
      </c>
      <c r="J170" s="11" t="s">
        <v>45</v>
      </c>
      <c r="K170" s="11" t="s">
        <v>1131</v>
      </c>
      <c r="L170" s="11" t="s">
        <v>1132</v>
      </c>
      <c r="M170" s="11" t="s">
        <v>1133</v>
      </c>
      <c r="N170" s="11" t="s">
        <v>142</v>
      </c>
      <c r="O170" s="11" t="s">
        <v>142</v>
      </c>
      <c r="P170" s="11" t="s">
        <v>11</v>
      </c>
      <c r="Q170" s="11" t="s">
        <v>143</v>
      </c>
      <c r="R170" s="11" t="s">
        <v>142</v>
      </c>
    </row>
    <row r="171" ht="39" customHeight="1" spans="1:18" s="10" customFormat="1" x14ac:dyDescent="0.25">
      <c r="A171" s="6">
        <v>170</v>
      </c>
      <c r="B171" s="11" t="s">
        <v>30</v>
      </c>
      <c r="C171" s="5" t="s">
        <v>1134</v>
      </c>
      <c r="D171" s="11" t="s">
        <v>176</v>
      </c>
      <c r="E171" s="11" t="s">
        <v>1135</v>
      </c>
      <c r="F171" s="11" t="s">
        <v>1136</v>
      </c>
      <c r="G171" s="11" t="s">
        <v>1137</v>
      </c>
      <c r="H171" s="11" t="s">
        <v>142</v>
      </c>
      <c r="I171" s="6" t="s">
        <v>11</v>
      </c>
      <c r="J171" s="11" t="s">
        <v>45</v>
      </c>
      <c r="K171" s="11" t="s">
        <v>1138</v>
      </c>
      <c r="L171" s="11" t="s">
        <v>1139</v>
      </c>
      <c r="M171" s="11" t="s">
        <v>1140</v>
      </c>
      <c r="N171" s="11" t="s">
        <v>142</v>
      </c>
      <c r="O171" s="11" t="s">
        <v>142</v>
      </c>
      <c r="P171" s="11" t="s">
        <v>11</v>
      </c>
      <c r="Q171" s="11" t="s">
        <v>143</v>
      </c>
      <c r="R171" s="11" t="s">
        <v>142</v>
      </c>
    </row>
    <row r="172" ht="27" customHeight="1" spans="1:18" s="10" customFormat="1" x14ac:dyDescent="0.25">
      <c r="A172" s="6">
        <v>171</v>
      </c>
      <c r="B172" s="11" t="s">
        <v>30</v>
      </c>
      <c r="C172" s="5" t="s">
        <v>1141</v>
      </c>
      <c r="D172" s="11" t="s">
        <v>430</v>
      </c>
      <c r="E172" s="11" t="s">
        <v>1142</v>
      </c>
      <c r="F172" s="11" t="s">
        <v>1143</v>
      </c>
      <c r="G172" s="11" t="s">
        <v>1144</v>
      </c>
      <c r="H172" s="11" t="s">
        <v>142</v>
      </c>
      <c r="I172" s="6" t="s">
        <v>11</v>
      </c>
      <c r="J172" s="11" t="s">
        <v>45</v>
      </c>
      <c r="K172" s="11" t="s">
        <v>1145</v>
      </c>
      <c r="L172" s="11" t="s">
        <v>1139</v>
      </c>
      <c r="M172" s="11" t="s">
        <v>1140</v>
      </c>
      <c r="N172" s="11" t="s">
        <v>142</v>
      </c>
      <c r="O172" s="11" t="s">
        <v>142</v>
      </c>
      <c r="P172" s="11" t="s">
        <v>11</v>
      </c>
      <c r="Q172" s="11" t="s">
        <v>143</v>
      </c>
      <c r="R172" s="11" t="s">
        <v>142</v>
      </c>
    </row>
    <row r="173" ht="39" customHeight="1" spans="1:18" s="10" customFormat="1" x14ac:dyDescent="0.25">
      <c r="A173" s="6">
        <v>172</v>
      </c>
      <c r="B173" s="11" t="s">
        <v>30</v>
      </c>
      <c r="C173" s="5" t="s">
        <v>1146</v>
      </c>
      <c r="D173" s="11" t="s">
        <v>300</v>
      </c>
      <c r="E173" s="11" t="s">
        <v>1147</v>
      </c>
      <c r="F173" s="11" t="s">
        <v>1148</v>
      </c>
      <c r="G173" s="11" t="s">
        <v>1149</v>
      </c>
      <c r="H173" s="11" t="s">
        <v>142</v>
      </c>
      <c r="I173" s="6" t="s">
        <v>11</v>
      </c>
      <c r="J173" s="11" t="s">
        <v>45</v>
      </c>
      <c r="K173" s="11" t="s">
        <v>1150</v>
      </c>
      <c r="L173" s="11" t="s">
        <v>1139</v>
      </c>
      <c r="M173" s="11" t="s">
        <v>1140</v>
      </c>
      <c r="N173" s="11" t="s">
        <v>142</v>
      </c>
      <c r="O173" s="11" t="s">
        <v>142</v>
      </c>
      <c r="P173" s="11" t="s">
        <v>11</v>
      </c>
      <c r="Q173" s="11" t="s">
        <v>143</v>
      </c>
      <c r="R173" s="11" t="s">
        <v>142</v>
      </c>
    </row>
    <row r="174" ht="39" customHeight="1" spans="1:18" s="10" customFormat="1" x14ac:dyDescent="0.25">
      <c r="A174" s="6">
        <v>173</v>
      </c>
      <c r="B174" s="11" t="s">
        <v>30</v>
      </c>
      <c r="C174" s="5" t="s">
        <v>1151</v>
      </c>
      <c r="D174" s="11" t="s">
        <v>582</v>
      </c>
      <c r="E174" s="11" t="s">
        <v>1152</v>
      </c>
      <c r="F174" s="11" t="s">
        <v>1153</v>
      </c>
      <c r="G174" s="11" t="s">
        <v>142</v>
      </c>
      <c r="H174" s="11" t="s">
        <v>142</v>
      </c>
      <c r="I174" s="6" t="s">
        <v>11</v>
      </c>
      <c r="J174" s="11" t="s">
        <v>45</v>
      </c>
      <c r="K174" s="11" t="s">
        <v>149</v>
      </c>
      <c r="L174" s="11" t="s">
        <v>1154</v>
      </c>
      <c r="M174" s="11" t="s">
        <v>1155</v>
      </c>
      <c r="N174" s="11" t="s">
        <v>142</v>
      </c>
      <c r="O174" s="11" t="s">
        <v>142</v>
      </c>
      <c r="P174" s="11" t="s">
        <v>11</v>
      </c>
      <c r="Q174" s="11" t="s">
        <v>143</v>
      </c>
      <c r="R174" s="11" t="s">
        <v>142</v>
      </c>
    </row>
    <row r="175" ht="63" customHeight="1" spans="1:18" s="10" customFormat="1" x14ac:dyDescent="0.25">
      <c r="A175" s="6">
        <v>174</v>
      </c>
      <c r="B175" s="11" t="s">
        <v>30</v>
      </c>
      <c r="C175" s="5" t="s">
        <v>1156</v>
      </c>
      <c r="D175" s="11" t="s">
        <v>388</v>
      </c>
      <c r="E175" s="11" t="s">
        <v>1157</v>
      </c>
      <c r="F175" s="11" t="s">
        <v>1158</v>
      </c>
      <c r="G175" s="11" t="s">
        <v>1159</v>
      </c>
      <c r="H175" s="11" t="s">
        <v>142</v>
      </c>
      <c r="I175" s="6" t="s">
        <v>11</v>
      </c>
      <c r="J175" s="11" t="s">
        <v>45</v>
      </c>
      <c r="K175" s="11" t="s">
        <v>1160</v>
      </c>
      <c r="L175" s="11" t="s">
        <v>1139</v>
      </c>
      <c r="M175" s="11" t="s">
        <v>1140</v>
      </c>
      <c r="N175" s="11" t="s">
        <v>142</v>
      </c>
      <c r="O175" s="11" t="s">
        <v>1161</v>
      </c>
      <c r="P175" s="11" t="s">
        <v>11</v>
      </c>
      <c r="Q175" s="11" t="s">
        <v>143</v>
      </c>
      <c r="R175" s="11" t="s">
        <v>142</v>
      </c>
    </row>
    <row r="176" ht="51" customHeight="1" spans="1:18" s="10" customFormat="1" x14ac:dyDescent="0.25">
      <c r="A176" s="6">
        <v>175</v>
      </c>
      <c r="B176" s="11" t="s">
        <v>30</v>
      </c>
      <c r="C176" s="5" t="s">
        <v>1162</v>
      </c>
      <c r="D176" s="11" t="s">
        <v>530</v>
      </c>
      <c r="E176" s="11" t="s">
        <v>1163</v>
      </c>
      <c r="F176" s="11" t="s">
        <v>1164</v>
      </c>
      <c r="G176" s="11" t="s">
        <v>142</v>
      </c>
      <c r="H176" s="11" t="s">
        <v>142</v>
      </c>
      <c r="I176" s="6" t="s">
        <v>14</v>
      </c>
      <c r="J176" s="11" t="s">
        <v>45</v>
      </c>
      <c r="K176" s="11" t="s">
        <v>142</v>
      </c>
      <c r="L176" s="11" t="s">
        <v>1139</v>
      </c>
      <c r="M176" s="11" t="s">
        <v>1165</v>
      </c>
      <c r="N176" s="11" t="s">
        <v>1166</v>
      </c>
      <c r="O176" s="11" t="s">
        <v>1167</v>
      </c>
      <c r="P176" s="11" t="s">
        <v>14</v>
      </c>
      <c r="Q176" s="11" t="s">
        <v>143</v>
      </c>
      <c r="R176" s="11" t="s">
        <v>142</v>
      </c>
    </row>
    <row r="177" ht="75" customHeight="1" spans="1:18" s="10" customFormat="1" x14ac:dyDescent="0.25">
      <c r="A177" s="6">
        <v>176</v>
      </c>
      <c r="B177" s="11" t="s">
        <v>30</v>
      </c>
      <c r="C177" s="5" t="s">
        <v>1168</v>
      </c>
      <c r="D177" s="11" t="s">
        <v>1169</v>
      </c>
      <c r="E177" s="11" t="s">
        <v>1170</v>
      </c>
      <c r="F177" s="11" t="s">
        <v>1171</v>
      </c>
      <c r="G177" s="11" t="s">
        <v>1172</v>
      </c>
      <c r="H177" s="11" t="s">
        <v>142</v>
      </c>
      <c r="I177" s="6" t="s">
        <v>11</v>
      </c>
      <c r="J177" s="11" t="s">
        <v>45</v>
      </c>
      <c r="K177" s="11" t="s">
        <v>1173</v>
      </c>
      <c r="L177" s="11" t="s">
        <v>1174</v>
      </c>
      <c r="M177" s="11" t="s">
        <v>1165</v>
      </c>
      <c r="N177" s="11" t="s">
        <v>1175</v>
      </c>
      <c r="O177" s="11" t="s">
        <v>1176</v>
      </c>
      <c r="P177" s="11" t="s">
        <v>11</v>
      </c>
      <c r="Q177" s="11" t="s">
        <v>143</v>
      </c>
      <c r="R177" s="11" t="s">
        <v>142</v>
      </c>
    </row>
    <row r="178" ht="39" customHeight="1" spans="1:18" s="10" customFormat="1" x14ac:dyDescent="0.25">
      <c r="A178" s="6">
        <v>177</v>
      </c>
      <c r="B178" s="11" t="s">
        <v>30</v>
      </c>
      <c r="C178" s="5" t="s">
        <v>1177</v>
      </c>
      <c r="D178" s="11" t="s">
        <v>388</v>
      </c>
      <c r="E178" s="11" t="s">
        <v>1178</v>
      </c>
      <c r="F178" s="11" t="s">
        <v>1179</v>
      </c>
      <c r="G178" s="11" t="s">
        <v>1180</v>
      </c>
      <c r="H178" s="11" t="s">
        <v>142</v>
      </c>
      <c r="I178" s="6" t="s">
        <v>11</v>
      </c>
      <c r="J178" s="11" t="s">
        <v>45</v>
      </c>
      <c r="K178" s="11" t="s">
        <v>1173</v>
      </c>
      <c r="L178" s="11" t="s">
        <v>1174</v>
      </c>
      <c r="M178" s="11" t="s">
        <v>1165</v>
      </c>
      <c r="N178" s="11" t="s">
        <v>142</v>
      </c>
      <c r="O178" s="11" t="s">
        <v>142</v>
      </c>
      <c r="P178" s="11" t="s">
        <v>11</v>
      </c>
      <c r="Q178" s="11" t="s">
        <v>143</v>
      </c>
      <c r="R178" s="11" t="s">
        <v>142</v>
      </c>
    </row>
    <row r="179" ht="75" customHeight="1" spans="1:18" s="10" customFormat="1" x14ac:dyDescent="0.25">
      <c r="A179" s="6">
        <v>178</v>
      </c>
      <c r="B179" s="11" t="s">
        <v>30</v>
      </c>
      <c r="C179" s="5" t="s">
        <v>1181</v>
      </c>
      <c r="D179" s="11" t="s">
        <v>176</v>
      </c>
      <c r="E179" s="11" t="s">
        <v>1182</v>
      </c>
      <c r="F179" s="11" t="s">
        <v>1183</v>
      </c>
      <c r="G179" s="11" t="s">
        <v>1184</v>
      </c>
      <c r="H179" s="11" t="s">
        <v>142</v>
      </c>
      <c r="I179" s="6" t="s">
        <v>11</v>
      </c>
      <c r="J179" s="11" t="s">
        <v>45</v>
      </c>
      <c r="K179" s="11" t="s">
        <v>1173</v>
      </c>
      <c r="L179" s="11" t="s">
        <v>1174</v>
      </c>
      <c r="M179" s="11" t="s">
        <v>1165</v>
      </c>
      <c r="N179" s="11" t="s">
        <v>142</v>
      </c>
      <c r="O179" s="11" t="s">
        <v>1176</v>
      </c>
      <c r="P179" s="11" t="s">
        <v>11</v>
      </c>
      <c r="Q179" s="11" t="s">
        <v>143</v>
      </c>
      <c r="R179" s="11" t="s">
        <v>142</v>
      </c>
    </row>
    <row r="180" ht="75" customHeight="1" spans="1:18" s="10" customFormat="1" x14ac:dyDescent="0.25">
      <c r="A180" s="6">
        <v>179</v>
      </c>
      <c r="B180" s="11" t="s">
        <v>30</v>
      </c>
      <c r="C180" s="5" t="s">
        <v>1185</v>
      </c>
      <c r="D180" s="11" t="s">
        <v>499</v>
      </c>
      <c r="E180" s="11" t="s">
        <v>1186</v>
      </c>
      <c r="F180" s="11" t="s">
        <v>1187</v>
      </c>
      <c r="G180" s="11" t="s">
        <v>1188</v>
      </c>
      <c r="H180" s="11" t="s">
        <v>142</v>
      </c>
      <c r="I180" s="6" t="s">
        <v>11</v>
      </c>
      <c r="J180" s="11" t="s">
        <v>45</v>
      </c>
      <c r="K180" s="11" t="s">
        <v>1173</v>
      </c>
      <c r="L180" s="11" t="s">
        <v>1174</v>
      </c>
      <c r="M180" s="11" t="s">
        <v>1165</v>
      </c>
      <c r="N180" s="11" t="s">
        <v>142</v>
      </c>
      <c r="O180" s="11" t="s">
        <v>1176</v>
      </c>
      <c r="P180" s="11" t="s">
        <v>11</v>
      </c>
      <c r="Q180" s="11" t="s">
        <v>143</v>
      </c>
      <c r="R180" s="11" t="s">
        <v>142</v>
      </c>
    </row>
    <row r="181" ht="27" customHeight="1" spans="1:18" s="10" customFormat="1" x14ac:dyDescent="0.25">
      <c r="A181" s="6">
        <v>180</v>
      </c>
      <c r="B181" s="11" t="s">
        <v>30</v>
      </c>
      <c r="C181" s="5" t="s">
        <v>1189</v>
      </c>
      <c r="D181" s="11" t="s">
        <v>552</v>
      </c>
      <c r="E181" s="11" t="s">
        <v>1190</v>
      </c>
      <c r="F181" s="11" t="s">
        <v>1191</v>
      </c>
      <c r="G181" s="11" t="s">
        <v>1192</v>
      </c>
      <c r="H181" s="11" t="s">
        <v>142</v>
      </c>
      <c r="I181" s="6" t="s">
        <v>11</v>
      </c>
      <c r="J181" s="11" t="s">
        <v>45</v>
      </c>
      <c r="K181" s="11" t="s">
        <v>1173</v>
      </c>
      <c r="L181" s="11" t="s">
        <v>1174</v>
      </c>
      <c r="M181" s="11" t="s">
        <v>1165</v>
      </c>
      <c r="N181" s="11" t="s">
        <v>142</v>
      </c>
      <c r="O181" s="11" t="s">
        <v>142</v>
      </c>
      <c r="P181" s="11" t="s">
        <v>11</v>
      </c>
      <c r="Q181" s="11" t="s">
        <v>143</v>
      </c>
      <c r="R181" s="11" t="s">
        <v>142</v>
      </c>
    </row>
    <row r="182" ht="75" customHeight="1" spans="1:18" s="10" customFormat="1" x14ac:dyDescent="0.25">
      <c r="A182" s="6">
        <v>181</v>
      </c>
      <c r="B182" s="11" t="s">
        <v>30</v>
      </c>
      <c r="C182" s="5" t="s">
        <v>1193</v>
      </c>
      <c r="D182" s="11" t="s">
        <v>530</v>
      </c>
      <c r="E182" s="11" t="s">
        <v>1194</v>
      </c>
      <c r="F182" s="11" t="s">
        <v>1195</v>
      </c>
      <c r="G182" s="11" t="s">
        <v>1196</v>
      </c>
      <c r="H182" s="11" t="s">
        <v>142</v>
      </c>
      <c r="I182" s="6" t="s">
        <v>11</v>
      </c>
      <c r="J182" s="11" t="s">
        <v>46</v>
      </c>
      <c r="K182" s="11" t="s">
        <v>1197</v>
      </c>
      <c r="L182" s="11" t="s">
        <v>1198</v>
      </c>
      <c r="M182" s="11" t="s">
        <v>1165</v>
      </c>
      <c r="N182" s="11" t="s">
        <v>1199</v>
      </c>
      <c r="O182" s="11" t="s">
        <v>1200</v>
      </c>
      <c r="P182" s="11" t="s">
        <v>11</v>
      </c>
      <c r="Q182" s="11" t="s">
        <v>143</v>
      </c>
      <c r="R182" s="11" t="s">
        <v>142</v>
      </c>
    </row>
    <row r="183" ht="75" customHeight="1" spans="1:18" s="10" customFormat="1" x14ac:dyDescent="0.25">
      <c r="A183" s="6">
        <v>182</v>
      </c>
      <c r="B183" s="11" t="s">
        <v>30</v>
      </c>
      <c r="C183" s="5" t="s">
        <v>1201</v>
      </c>
      <c r="D183" s="11" t="s">
        <v>530</v>
      </c>
      <c r="E183" s="11" t="s">
        <v>1202</v>
      </c>
      <c r="F183" s="11" t="s">
        <v>1203</v>
      </c>
      <c r="G183" s="11" t="s">
        <v>1204</v>
      </c>
      <c r="H183" s="11" t="s">
        <v>142</v>
      </c>
      <c r="I183" s="6" t="s">
        <v>11</v>
      </c>
      <c r="J183" s="11" t="s">
        <v>46</v>
      </c>
      <c r="K183" s="11" t="s">
        <v>1197</v>
      </c>
      <c r="L183" s="11" t="s">
        <v>1205</v>
      </c>
      <c r="M183" s="11" t="s">
        <v>1165</v>
      </c>
      <c r="N183" s="11" t="s">
        <v>1199</v>
      </c>
      <c r="O183" s="11" t="s">
        <v>1200</v>
      </c>
      <c r="P183" s="11" t="s">
        <v>11</v>
      </c>
      <c r="Q183" s="11" t="s">
        <v>143</v>
      </c>
      <c r="R183" s="11" t="s">
        <v>142</v>
      </c>
    </row>
    <row r="184" ht="63" customHeight="1" spans="1:18" s="10" customFormat="1" x14ac:dyDescent="0.25">
      <c r="A184" s="6">
        <v>183</v>
      </c>
      <c r="B184" s="11" t="s">
        <v>30</v>
      </c>
      <c r="C184" s="5" t="s">
        <v>1206</v>
      </c>
      <c r="D184" s="11" t="s">
        <v>388</v>
      </c>
      <c r="E184" s="11" t="s">
        <v>1207</v>
      </c>
      <c r="F184" s="11" t="s">
        <v>1208</v>
      </c>
      <c r="G184" s="11" t="s">
        <v>1209</v>
      </c>
      <c r="H184" s="11" t="s">
        <v>142</v>
      </c>
      <c r="I184" s="6" t="s">
        <v>11</v>
      </c>
      <c r="J184" s="11" t="s">
        <v>45</v>
      </c>
      <c r="K184" s="11" t="s">
        <v>1210</v>
      </c>
      <c r="L184" s="11" t="s">
        <v>1211</v>
      </c>
      <c r="M184" s="11" t="s">
        <v>1165</v>
      </c>
      <c r="N184" s="11" t="s">
        <v>1212</v>
      </c>
      <c r="O184" s="11" t="s">
        <v>1213</v>
      </c>
      <c r="P184" s="11" t="s">
        <v>11</v>
      </c>
      <c r="Q184" s="11" t="s">
        <v>143</v>
      </c>
      <c r="R184" s="11" t="s">
        <v>142</v>
      </c>
    </row>
    <row r="185" ht="63" customHeight="1" spans="1:18" s="10" customFormat="1" x14ac:dyDescent="0.25">
      <c r="A185" s="6">
        <v>184</v>
      </c>
      <c r="B185" s="11" t="s">
        <v>30</v>
      </c>
      <c r="C185" s="5" t="s">
        <v>1214</v>
      </c>
      <c r="D185" s="11" t="s">
        <v>214</v>
      </c>
      <c r="E185" s="11" t="s">
        <v>1215</v>
      </c>
      <c r="F185" s="11" t="s">
        <v>1216</v>
      </c>
      <c r="G185" s="11" t="s">
        <v>1217</v>
      </c>
      <c r="H185" s="11" t="s">
        <v>142</v>
      </c>
      <c r="I185" s="6" t="s">
        <v>11</v>
      </c>
      <c r="J185" s="11" t="s">
        <v>45</v>
      </c>
      <c r="K185" s="11" t="s">
        <v>149</v>
      </c>
      <c r="L185" s="11" t="s">
        <v>1218</v>
      </c>
      <c r="M185" s="11" t="s">
        <v>1165</v>
      </c>
      <c r="N185" s="11" t="s">
        <v>142</v>
      </c>
      <c r="O185" s="11" t="s">
        <v>142</v>
      </c>
      <c r="P185" s="11" t="s">
        <v>11</v>
      </c>
      <c r="Q185" s="11" t="s">
        <v>143</v>
      </c>
      <c r="R185" s="11" t="s">
        <v>1219</v>
      </c>
    </row>
    <row r="186" ht="75" customHeight="1" spans="1:18" s="10" customFormat="1" x14ac:dyDescent="0.25">
      <c r="A186" s="6">
        <v>185</v>
      </c>
      <c r="B186" s="11" t="s">
        <v>30</v>
      </c>
      <c r="C186" s="5" t="s">
        <v>1220</v>
      </c>
      <c r="D186" s="11" t="s">
        <v>595</v>
      </c>
      <c r="E186" s="11" t="s">
        <v>1221</v>
      </c>
      <c r="F186" s="11" t="s">
        <v>1222</v>
      </c>
      <c r="G186" s="11" t="s">
        <v>1223</v>
      </c>
      <c r="H186" s="11" t="s">
        <v>142</v>
      </c>
      <c r="I186" s="6" t="s">
        <v>11</v>
      </c>
      <c r="J186" s="11" t="s">
        <v>45</v>
      </c>
      <c r="K186" s="11" t="s">
        <v>1224</v>
      </c>
      <c r="L186" s="11" t="s">
        <v>1225</v>
      </c>
      <c r="M186" s="11" t="s">
        <v>1226</v>
      </c>
      <c r="N186" s="11" t="s">
        <v>1227</v>
      </c>
      <c r="O186" s="11" t="s">
        <v>142</v>
      </c>
      <c r="P186" s="11" t="s">
        <v>11</v>
      </c>
      <c r="Q186" s="11" t="s">
        <v>143</v>
      </c>
      <c r="R186" s="11" t="s">
        <v>1228</v>
      </c>
    </row>
    <row r="187" ht="87" customHeight="1" spans="1:18" s="10" customFormat="1" x14ac:dyDescent="0.25">
      <c r="A187" s="6">
        <v>186</v>
      </c>
      <c r="B187" s="11" t="s">
        <v>30</v>
      </c>
      <c r="C187" s="5" t="s">
        <v>1229</v>
      </c>
      <c r="D187" s="11" t="s">
        <v>176</v>
      </c>
      <c r="E187" s="11" t="s">
        <v>1230</v>
      </c>
      <c r="F187" s="11" t="s">
        <v>1231</v>
      </c>
      <c r="G187" s="11" t="s">
        <v>1232</v>
      </c>
      <c r="H187" s="11" t="s">
        <v>142</v>
      </c>
      <c r="I187" s="6" t="s">
        <v>11</v>
      </c>
      <c r="J187" s="11" t="s">
        <v>46</v>
      </c>
      <c r="K187" s="11" t="s">
        <v>1233</v>
      </c>
      <c r="L187" s="11" t="s">
        <v>1218</v>
      </c>
      <c r="M187" s="11" t="s">
        <v>1165</v>
      </c>
      <c r="N187" s="11" t="s">
        <v>1234</v>
      </c>
      <c r="O187" s="11" t="s">
        <v>1235</v>
      </c>
      <c r="P187" s="11" t="s">
        <v>11</v>
      </c>
      <c r="Q187" s="11" t="s">
        <v>143</v>
      </c>
      <c r="R187" s="11" t="s">
        <v>1236</v>
      </c>
    </row>
    <row r="188" ht="87" customHeight="1" spans="1:18" s="10" customFormat="1" x14ac:dyDescent="0.25">
      <c r="A188" s="6">
        <v>187</v>
      </c>
      <c r="B188" s="11" t="s">
        <v>31</v>
      </c>
      <c r="C188" s="5" t="s">
        <v>1237</v>
      </c>
      <c r="D188" s="11" t="s">
        <v>388</v>
      </c>
      <c r="E188" s="11" t="s">
        <v>1238</v>
      </c>
      <c r="F188" s="11" t="s">
        <v>1239</v>
      </c>
      <c r="G188" s="11" t="s">
        <v>1240</v>
      </c>
      <c r="H188" s="11" t="s">
        <v>142</v>
      </c>
      <c r="I188" s="6" t="s">
        <v>11</v>
      </c>
      <c r="J188" s="11" t="s">
        <v>46</v>
      </c>
      <c r="K188" s="11" t="s">
        <v>1241</v>
      </c>
      <c r="L188" s="11" t="s">
        <v>1242</v>
      </c>
      <c r="M188" s="11" t="s">
        <v>1165</v>
      </c>
      <c r="N188" s="11" t="s">
        <v>1243</v>
      </c>
      <c r="O188" s="11" t="s">
        <v>1244</v>
      </c>
      <c r="P188" s="11" t="s">
        <v>11</v>
      </c>
      <c r="Q188" s="11" t="s">
        <v>143</v>
      </c>
      <c r="R188" s="11" t="s">
        <v>1245</v>
      </c>
    </row>
    <row r="189" ht="75" customHeight="1" spans="1:18" s="10" customFormat="1" x14ac:dyDescent="0.25">
      <c r="A189" s="6">
        <v>188</v>
      </c>
      <c r="B189" s="11" t="s">
        <v>31</v>
      </c>
      <c r="C189" s="5" t="s">
        <v>1246</v>
      </c>
      <c r="D189" s="11" t="s">
        <v>176</v>
      </c>
      <c r="E189" s="11" t="s">
        <v>1247</v>
      </c>
      <c r="F189" s="11" t="s">
        <v>1248</v>
      </c>
      <c r="G189" s="11" t="s">
        <v>1249</v>
      </c>
      <c r="H189" s="11" t="s">
        <v>142</v>
      </c>
      <c r="I189" s="6" t="s">
        <v>11</v>
      </c>
      <c r="J189" s="11" t="s">
        <v>46</v>
      </c>
      <c r="K189" s="11" t="s">
        <v>1250</v>
      </c>
      <c r="L189" s="11" t="s">
        <v>1251</v>
      </c>
      <c r="M189" s="11" t="s">
        <v>1165</v>
      </c>
      <c r="N189" s="11" t="s">
        <v>1252</v>
      </c>
      <c r="O189" s="11" t="s">
        <v>1253</v>
      </c>
      <c r="P189" s="11" t="s">
        <v>11</v>
      </c>
      <c r="Q189" s="11" t="s">
        <v>143</v>
      </c>
      <c r="R189" s="11" t="s">
        <v>1254</v>
      </c>
    </row>
    <row r="190" ht="75" customHeight="1" spans="1:18" s="10" customFormat="1" x14ac:dyDescent="0.25">
      <c r="A190" s="6">
        <v>189</v>
      </c>
      <c r="B190" s="11" t="s">
        <v>31</v>
      </c>
      <c r="C190" s="5" t="s">
        <v>1255</v>
      </c>
      <c r="D190" s="11" t="s">
        <v>329</v>
      </c>
      <c r="E190" s="11" t="s">
        <v>1256</v>
      </c>
      <c r="F190" s="11" t="s">
        <v>1257</v>
      </c>
      <c r="G190" s="11" t="s">
        <v>1258</v>
      </c>
      <c r="H190" s="11" t="s">
        <v>142</v>
      </c>
      <c r="I190" s="6" t="s">
        <v>11</v>
      </c>
      <c r="J190" s="11" t="s">
        <v>46</v>
      </c>
      <c r="K190" s="11" t="s">
        <v>1259</v>
      </c>
      <c r="L190" s="11" t="s">
        <v>1260</v>
      </c>
      <c r="M190" s="11" t="s">
        <v>1165</v>
      </c>
      <c r="N190" s="11" t="s">
        <v>1261</v>
      </c>
      <c r="O190" s="11" t="s">
        <v>1262</v>
      </c>
      <c r="P190" s="11" t="s">
        <v>11</v>
      </c>
      <c r="Q190" s="11" t="s">
        <v>143</v>
      </c>
      <c r="R190" s="11" t="s">
        <v>1263</v>
      </c>
    </row>
    <row r="191" ht="75" customHeight="1" spans="1:18" s="10" customFormat="1" x14ac:dyDescent="0.25">
      <c r="A191" s="6">
        <v>190</v>
      </c>
      <c r="B191" s="11" t="s">
        <v>31</v>
      </c>
      <c r="C191" s="5" t="s">
        <v>1264</v>
      </c>
      <c r="D191" s="11" t="s">
        <v>176</v>
      </c>
      <c r="E191" s="11" t="s">
        <v>1265</v>
      </c>
      <c r="F191" s="11" t="s">
        <v>1266</v>
      </c>
      <c r="G191" s="11" t="s">
        <v>1267</v>
      </c>
      <c r="H191" s="11" t="s">
        <v>142</v>
      </c>
      <c r="I191" s="6" t="s">
        <v>11</v>
      </c>
      <c r="J191" s="11" t="s">
        <v>46</v>
      </c>
      <c r="K191" s="11" t="s">
        <v>1268</v>
      </c>
      <c r="L191" s="11" t="s">
        <v>1269</v>
      </c>
      <c r="M191" s="11" t="s">
        <v>1165</v>
      </c>
      <c r="N191" s="11" t="s">
        <v>1270</v>
      </c>
      <c r="O191" s="11" t="s">
        <v>1271</v>
      </c>
      <c r="P191" s="11" t="s">
        <v>11</v>
      </c>
      <c r="Q191" s="11" t="s">
        <v>143</v>
      </c>
      <c r="R191" s="11" t="s">
        <v>1272</v>
      </c>
    </row>
    <row r="192" ht="87" customHeight="1" spans="1:18" s="10" customFormat="1" x14ac:dyDescent="0.25">
      <c r="A192" s="6">
        <v>191</v>
      </c>
      <c r="B192" s="11" t="s">
        <v>31</v>
      </c>
      <c r="C192" s="5" t="s">
        <v>1273</v>
      </c>
      <c r="D192" s="11" t="s">
        <v>1274</v>
      </c>
      <c r="E192" s="11" t="s">
        <v>1275</v>
      </c>
      <c r="F192" s="11" t="s">
        <v>1276</v>
      </c>
      <c r="G192" s="11" t="s">
        <v>1277</v>
      </c>
      <c r="H192" s="11" t="s">
        <v>142</v>
      </c>
      <c r="I192" s="6" t="s">
        <v>12</v>
      </c>
      <c r="J192" s="11" t="s">
        <v>48</v>
      </c>
      <c r="K192" s="11" t="s">
        <v>1278</v>
      </c>
      <c r="L192" s="11" t="s">
        <v>1279</v>
      </c>
      <c r="M192" s="11" t="s">
        <v>1280</v>
      </c>
      <c r="N192" s="11" t="s">
        <v>1281</v>
      </c>
      <c r="O192" s="11" t="s">
        <v>1282</v>
      </c>
      <c r="P192" s="11" t="s">
        <v>12</v>
      </c>
      <c r="Q192" s="11" t="s">
        <v>143</v>
      </c>
      <c r="R192" s="11" t="s">
        <v>1283</v>
      </c>
    </row>
    <row r="193" ht="63" customHeight="1" spans="1:18" s="10" customFormat="1" x14ac:dyDescent="0.25">
      <c r="A193" s="6">
        <v>192</v>
      </c>
      <c r="B193" s="11" t="s">
        <v>31</v>
      </c>
      <c r="C193" s="5" t="s">
        <v>1284</v>
      </c>
      <c r="D193" s="11" t="s">
        <v>1274</v>
      </c>
      <c r="E193" s="11" t="s">
        <v>1285</v>
      </c>
      <c r="F193" s="11" t="s">
        <v>1286</v>
      </c>
      <c r="G193" s="11" t="s">
        <v>1287</v>
      </c>
      <c r="H193" s="11" t="s">
        <v>142</v>
      </c>
      <c r="I193" s="6" t="s">
        <v>11</v>
      </c>
      <c r="J193" s="11" t="s">
        <v>45</v>
      </c>
      <c r="K193" s="11" t="s">
        <v>1288</v>
      </c>
      <c r="L193" s="11" t="s">
        <v>1279</v>
      </c>
      <c r="M193" s="11" t="s">
        <v>1279</v>
      </c>
      <c r="N193" s="11" t="s">
        <v>1289</v>
      </c>
      <c r="O193" s="11" t="s">
        <v>1290</v>
      </c>
      <c r="P193" s="11" t="s">
        <v>11</v>
      </c>
      <c r="Q193" s="11" t="s">
        <v>143</v>
      </c>
      <c r="R193" s="11" t="s">
        <v>1291</v>
      </c>
    </row>
    <row r="194" ht="51" customHeight="1" spans="1:18" s="10" customFormat="1" x14ac:dyDescent="0.25">
      <c r="A194" s="6">
        <v>193</v>
      </c>
      <c r="B194" s="11" t="s">
        <v>31</v>
      </c>
      <c r="C194" s="5" t="s">
        <v>1292</v>
      </c>
      <c r="D194" s="11" t="s">
        <v>1274</v>
      </c>
      <c r="E194" s="11" t="s">
        <v>1293</v>
      </c>
      <c r="F194" s="11" t="s">
        <v>1294</v>
      </c>
      <c r="G194" s="11" t="s">
        <v>1295</v>
      </c>
      <c r="H194" s="11" t="s">
        <v>142</v>
      </c>
      <c r="I194" s="6" t="s">
        <v>11</v>
      </c>
      <c r="J194" s="11" t="s">
        <v>45</v>
      </c>
      <c r="K194" s="11" t="s">
        <v>149</v>
      </c>
      <c r="L194" s="11" t="s">
        <v>1279</v>
      </c>
      <c r="M194" s="11" t="s">
        <v>1279</v>
      </c>
      <c r="N194" s="11" t="s">
        <v>142</v>
      </c>
      <c r="O194" s="11" t="s">
        <v>142</v>
      </c>
      <c r="P194" s="11" t="s">
        <v>11</v>
      </c>
      <c r="Q194" s="11" t="s">
        <v>143</v>
      </c>
      <c r="R194" s="11" t="s">
        <v>1296</v>
      </c>
    </row>
    <row r="195" ht="87" customHeight="1" spans="1:18" s="10" customFormat="1" x14ac:dyDescent="0.25">
      <c r="A195" s="6">
        <v>194</v>
      </c>
      <c r="B195" s="11" t="s">
        <v>31</v>
      </c>
      <c r="C195" s="5" t="s">
        <v>1297</v>
      </c>
      <c r="D195" s="11" t="s">
        <v>1298</v>
      </c>
      <c r="E195" s="11" t="s">
        <v>1299</v>
      </c>
      <c r="F195" s="11" t="s">
        <v>1300</v>
      </c>
      <c r="G195" s="11" t="s">
        <v>266</v>
      </c>
      <c r="H195" s="11" t="s">
        <v>142</v>
      </c>
      <c r="I195" s="6" t="s">
        <v>11</v>
      </c>
      <c r="J195" s="11" t="s">
        <v>45</v>
      </c>
      <c r="K195" s="11" t="s">
        <v>149</v>
      </c>
      <c r="L195" s="11" t="s">
        <v>1301</v>
      </c>
      <c r="M195" s="11" t="s">
        <v>1302</v>
      </c>
      <c r="N195" s="11" t="s">
        <v>1303</v>
      </c>
      <c r="O195" s="11" t="s">
        <v>1304</v>
      </c>
      <c r="P195" s="11" t="s">
        <v>11</v>
      </c>
      <c r="Q195" s="11" t="s">
        <v>143</v>
      </c>
      <c r="R195" s="11" t="s">
        <v>1305</v>
      </c>
    </row>
    <row r="196" ht="63" customHeight="1" spans="1:18" s="10" customFormat="1" x14ac:dyDescent="0.25">
      <c r="A196" s="6">
        <v>195</v>
      </c>
      <c r="B196" s="11" t="s">
        <v>31</v>
      </c>
      <c r="C196" s="5" t="s">
        <v>1306</v>
      </c>
      <c r="D196" s="11" t="s">
        <v>1298</v>
      </c>
      <c r="E196" s="11" t="s">
        <v>1307</v>
      </c>
      <c r="F196" s="11" t="s">
        <v>1308</v>
      </c>
      <c r="G196" s="11" t="s">
        <v>142</v>
      </c>
      <c r="H196" s="11" t="s">
        <v>142</v>
      </c>
      <c r="I196" s="6" t="s">
        <v>11</v>
      </c>
      <c r="J196" s="11" t="s">
        <v>45</v>
      </c>
      <c r="K196" s="11" t="s">
        <v>149</v>
      </c>
      <c r="L196" s="11" t="s">
        <v>1309</v>
      </c>
      <c r="M196" s="11" t="s">
        <v>1310</v>
      </c>
      <c r="N196" s="11" t="s">
        <v>1311</v>
      </c>
      <c r="O196" s="11" t="s">
        <v>1312</v>
      </c>
      <c r="P196" s="11" t="s">
        <v>11</v>
      </c>
      <c r="Q196" s="11" t="s">
        <v>143</v>
      </c>
      <c r="R196" s="11" t="s">
        <v>1313</v>
      </c>
    </row>
    <row r="197" ht="51" customHeight="1" spans="1:18" s="10" customFormat="1" x14ac:dyDescent="0.25">
      <c r="A197" s="6">
        <v>196</v>
      </c>
      <c r="B197" s="11" t="s">
        <v>31</v>
      </c>
      <c r="C197" s="5" t="s">
        <v>1314</v>
      </c>
      <c r="D197" s="11" t="s">
        <v>473</v>
      </c>
      <c r="E197" s="11" t="s">
        <v>1315</v>
      </c>
      <c r="F197" s="11" t="s">
        <v>1316</v>
      </c>
      <c r="G197" s="11" t="s">
        <v>486</v>
      </c>
      <c r="H197" s="11" t="s">
        <v>142</v>
      </c>
      <c r="I197" s="6" t="s">
        <v>11</v>
      </c>
      <c r="J197" s="11" t="s">
        <v>46</v>
      </c>
      <c r="K197" s="11" t="s">
        <v>1317</v>
      </c>
      <c r="L197" s="11" t="s">
        <v>1318</v>
      </c>
      <c r="M197" s="11" t="s">
        <v>1165</v>
      </c>
      <c r="N197" s="11" t="s">
        <v>142</v>
      </c>
      <c r="O197" s="11" t="s">
        <v>1319</v>
      </c>
      <c r="P197" s="11" t="s">
        <v>11</v>
      </c>
      <c r="Q197" s="11" t="s">
        <v>143</v>
      </c>
      <c r="R197" s="11" t="s">
        <v>1320</v>
      </c>
    </row>
    <row r="198" ht="51" customHeight="1" spans="1:18" s="10" customFormat="1" x14ac:dyDescent="0.25">
      <c r="A198" s="6">
        <v>197</v>
      </c>
      <c r="B198" s="11" t="s">
        <v>31</v>
      </c>
      <c r="C198" s="5" t="s">
        <v>1321</v>
      </c>
      <c r="D198" s="11" t="s">
        <v>329</v>
      </c>
      <c r="E198" s="11" t="s">
        <v>1322</v>
      </c>
      <c r="F198" s="11" t="s">
        <v>1323</v>
      </c>
      <c r="G198" s="11" t="s">
        <v>507</v>
      </c>
      <c r="H198" s="11" t="s">
        <v>142</v>
      </c>
      <c r="I198" s="6" t="s">
        <v>11</v>
      </c>
      <c r="J198" s="11" t="s">
        <v>46</v>
      </c>
      <c r="K198" s="11" t="s">
        <v>1324</v>
      </c>
      <c r="L198" s="11" t="s">
        <v>1325</v>
      </c>
      <c r="M198" s="11" t="s">
        <v>1165</v>
      </c>
      <c r="N198" s="11" t="s">
        <v>142</v>
      </c>
      <c r="O198" s="11" t="s">
        <v>1326</v>
      </c>
      <c r="P198" s="11" t="s">
        <v>11</v>
      </c>
      <c r="Q198" s="11" t="s">
        <v>143</v>
      </c>
      <c r="R198" s="11" t="s">
        <v>1327</v>
      </c>
    </row>
    <row r="199" ht="51" customHeight="1" spans="1:18" s="10" customFormat="1" x14ac:dyDescent="0.25">
      <c r="A199" s="6">
        <v>198</v>
      </c>
      <c r="B199" s="11" t="s">
        <v>31</v>
      </c>
      <c r="C199" s="5" t="s">
        <v>1328</v>
      </c>
      <c r="D199" s="11" t="s">
        <v>329</v>
      </c>
      <c r="E199" s="11" t="s">
        <v>1329</v>
      </c>
      <c r="F199" s="11" t="s">
        <v>1330</v>
      </c>
      <c r="G199" s="11" t="s">
        <v>1258</v>
      </c>
      <c r="H199" s="11" t="s">
        <v>142</v>
      </c>
      <c r="I199" s="6" t="s">
        <v>11</v>
      </c>
      <c r="J199" s="11" t="s">
        <v>46</v>
      </c>
      <c r="K199" s="11" t="s">
        <v>1331</v>
      </c>
      <c r="L199" s="11" t="s">
        <v>1332</v>
      </c>
      <c r="M199" s="11" t="s">
        <v>1165</v>
      </c>
      <c r="N199" s="11" t="s">
        <v>1333</v>
      </c>
      <c r="O199" s="11" t="s">
        <v>1334</v>
      </c>
      <c r="P199" s="11" t="s">
        <v>11</v>
      </c>
      <c r="Q199" s="11" t="s">
        <v>143</v>
      </c>
      <c r="R199" s="11" t="s">
        <v>1335</v>
      </c>
    </row>
    <row r="200" ht="99" customHeight="1" spans="1:18" s="10" customFormat="1" x14ac:dyDescent="0.25">
      <c r="A200" s="6">
        <v>199</v>
      </c>
      <c r="B200" s="11" t="s">
        <v>32</v>
      </c>
      <c r="C200" s="5" t="s">
        <v>1336</v>
      </c>
      <c r="D200" s="11" t="s">
        <v>1298</v>
      </c>
      <c r="E200" s="11" t="s">
        <v>1337</v>
      </c>
      <c r="F200" s="11" t="s">
        <v>1338</v>
      </c>
      <c r="G200" s="11" t="s">
        <v>266</v>
      </c>
      <c r="H200" s="11" t="s">
        <v>142</v>
      </c>
      <c r="I200" s="6" t="s">
        <v>11</v>
      </c>
      <c r="J200" s="11" t="s">
        <v>45</v>
      </c>
      <c r="K200" s="11" t="s">
        <v>149</v>
      </c>
      <c r="L200" s="11" t="s">
        <v>1339</v>
      </c>
      <c r="M200" s="11" t="s">
        <v>1340</v>
      </c>
      <c r="N200" s="11" t="s">
        <v>1341</v>
      </c>
      <c r="O200" s="11" t="s">
        <v>142</v>
      </c>
      <c r="P200" s="11" t="s">
        <v>11</v>
      </c>
      <c r="Q200" s="11" t="s">
        <v>143</v>
      </c>
      <c r="R200" s="11" t="s">
        <v>1342</v>
      </c>
    </row>
    <row r="201" ht="87" customHeight="1" spans="1:18" s="10" customFormat="1" x14ac:dyDescent="0.25">
      <c r="A201" s="6">
        <v>200</v>
      </c>
      <c r="B201" s="11" t="s">
        <v>32</v>
      </c>
      <c r="C201" s="5" t="s">
        <v>1343</v>
      </c>
      <c r="D201" s="11" t="s">
        <v>1298</v>
      </c>
      <c r="E201" s="11" t="s">
        <v>1344</v>
      </c>
      <c r="F201" s="11" t="s">
        <v>1345</v>
      </c>
      <c r="G201" s="11" t="s">
        <v>142</v>
      </c>
      <c r="H201" s="11" t="s">
        <v>142</v>
      </c>
      <c r="I201" s="6" t="s">
        <v>11</v>
      </c>
      <c r="J201" s="11" t="s">
        <v>45</v>
      </c>
      <c r="K201" s="11" t="s">
        <v>149</v>
      </c>
      <c r="L201" s="11" t="s">
        <v>1346</v>
      </c>
      <c r="M201" s="11" t="s">
        <v>1347</v>
      </c>
      <c r="N201" s="11" t="s">
        <v>1348</v>
      </c>
      <c r="O201" s="11" t="s">
        <v>142</v>
      </c>
      <c r="P201" s="11" t="s">
        <v>11</v>
      </c>
      <c r="Q201" s="11" t="s">
        <v>143</v>
      </c>
      <c r="R201" s="11" t="s">
        <v>1349</v>
      </c>
    </row>
    <row r="202" ht="51" customHeight="1" spans="1:18" s="10" customFormat="1" x14ac:dyDescent="0.25">
      <c r="A202" s="6">
        <v>201</v>
      </c>
      <c r="B202" s="11" t="s">
        <v>32</v>
      </c>
      <c r="C202" s="5" t="s">
        <v>1350</v>
      </c>
      <c r="D202" s="11" t="s">
        <v>1298</v>
      </c>
      <c r="E202" s="11" t="s">
        <v>1351</v>
      </c>
      <c r="F202" s="11" t="s">
        <v>1352</v>
      </c>
      <c r="G202" s="11" t="s">
        <v>142</v>
      </c>
      <c r="H202" s="11" t="s">
        <v>142</v>
      </c>
      <c r="I202" s="6" t="s">
        <v>11</v>
      </c>
      <c r="J202" s="11" t="s">
        <v>45</v>
      </c>
      <c r="K202" s="11" t="s">
        <v>149</v>
      </c>
      <c r="L202" s="11" t="s">
        <v>1339</v>
      </c>
      <c r="M202" s="11" t="s">
        <v>1340</v>
      </c>
      <c r="N202" s="11" t="s">
        <v>142</v>
      </c>
      <c r="O202" s="11" t="s">
        <v>142</v>
      </c>
      <c r="P202" s="11" t="s">
        <v>11</v>
      </c>
      <c r="Q202" s="11" t="s">
        <v>143</v>
      </c>
      <c r="R202" s="11" t="s">
        <v>1353</v>
      </c>
    </row>
    <row r="203" ht="51" customHeight="1" spans="1:18" s="10" customFormat="1" x14ac:dyDescent="0.25">
      <c r="A203" s="6">
        <v>202</v>
      </c>
      <c r="B203" s="11" t="s">
        <v>32</v>
      </c>
      <c r="C203" s="5" t="s">
        <v>1354</v>
      </c>
      <c r="D203" s="11" t="s">
        <v>1298</v>
      </c>
      <c r="E203" s="11" t="s">
        <v>1355</v>
      </c>
      <c r="F203" s="11" t="s">
        <v>1356</v>
      </c>
      <c r="G203" s="11" t="s">
        <v>142</v>
      </c>
      <c r="H203" s="11" t="s">
        <v>142</v>
      </c>
      <c r="I203" s="6" t="s">
        <v>11</v>
      </c>
      <c r="J203" s="11" t="s">
        <v>45</v>
      </c>
      <c r="K203" s="11" t="s">
        <v>149</v>
      </c>
      <c r="L203" s="11" t="s">
        <v>1346</v>
      </c>
      <c r="M203" s="11" t="s">
        <v>1347</v>
      </c>
      <c r="N203" s="11" t="s">
        <v>1357</v>
      </c>
      <c r="O203" s="11" t="s">
        <v>142</v>
      </c>
      <c r="P203" s="11" t="s">
        <v>11</v>
      </c>
      <c r="Q203" s="11" t="s">
        <v>143</v>
      </c>
      <c r="R203" s="11" t="s">
        <v>1358</v>
      </c>
    </row>
    <row r="204" ht="51" customHeight="1" spans="1:18" s="10" customFormat="1" x14ac:dyDescent="0.25">
      <c r="A204" s="6">
        <v>203</v>
      </c>
      <c r="B204" s="11" t="s">
        <v>32</v>
      </c>
      <c r="C204" s="5" t="s">
        <v>1359</v>
      </c>
      <c r="D204" s="11" t="s">
        <v>1360</v>
      </c>
      <c r="E204" s="11" t="s">
        <v>1361</v>
      </c>
      <c r="F204" s="11" t="s">
        <v>1362</v>
      </c>
      <c r="G204" s="11" t="s">
        <v>288</v>
      </c>
      <c r="H204" s="11" t="s">
        <v>142</v>
      </c>
      <c r="I204" s="6" t="s">
        <v>11</v>
      </c>
      <c r="J204" s="11" t="s">
        <v>45</v>
      </c>
      <c r="K204" s="11" t="s">
        <v>149</v>
      </c>
      <c r="L204" s="11" t="s">
        <v>1339</v>
      </c>
      <c r="M204" s="11" t="s">
        <v>1340</v>
      </c>
      <c r="N204" s="11" t="s">
        <v>1363</v>
      </c>
      <c r="O204" s="11" t="s">
        <v>142</v>
      </c>
      <c r="P204" s="11" t="s">
        <v>11</v>
      </c>
      <c r="Q204" s="11" t="s">
        <v>143</v>
      </c>
      <c r="R204" s="11" t="s">
        <v>1364</v>
      </c>
    </row>
    <row r="205" ht="39" customHeight="1" spans="1:18" s="10" customFormat="1" x14ac:dyDescent="0.25">
      <c r="A205" s="6">
        <v>204</v>
      </c>
      <c r="B205" s="11" t="s">
        <v>32</v>
      </c>
      <c r="C205" s="5" t="s">
        <v>1365</v>
      </c>
      <c r="D205" s="11" t="s">
        <v>133</v>
      </c>
      <c r="E205" s="11" t="s">
        <v>1366</v>
      </c>
      <c r="F205" s="11" t="s">
        <v>1367</v>
      </c>
      <c r="G205" s="11" t="s">
        <v>1108</v>
      </c>
      <c r="H205" s="11" t="s">
        <v>142</v>
      </c>
      <c r="I205" s="6" t="s">
        <v>11</v>
      </c>
      <c r="J205" s="11" t="s">
        <v>45</v>
      </c>
      <c r="K205" s="11" t="s">
        <v>149</v>
      </c>
      <c r="L205" s="11" t="s">
        <v>1368</v>
      </c>
      <c r="M205" s="11" t="s">
        <v>1340</v>
      </c>
      <c r="N205" s="11" t="s">
        <v>142</v>
      </c>
      <c r="O205" s="11" t="s">
        <v>142</v>
      </c>
      <c r="P205" s="11" t="s">
        <v>11</v>
      </c>
      <c r="Q205" s="11" t="s">
        <v>143</v>
      </c>
      <c r="R205" s="11" t="s">
        <v>1369</v>
      </c>
    </row>
    <row r="206" ht="63" customHeight="1" spans="1:18" s="10" customFormat="1" x14ac:dyDescent="0.25">
      <c r="A206" s="6">
        <v>205</v>
      </c>
      <c r="B206" s="11" t="s">
        <v>33</v>
      </c>
      <c r="C206" s="5" t="s">
        <v>1370</v>
      </c>
      <c r="D206" s="11" t="s">
        <v>162</v>
      </c>
      <c r="E206" s="11" t="s">
        <v>1371</v>
      </c>
      <c r="F206" s="11" t="s">
        <v>1372</v>
      </c>
      <c r="G206" s="11" t="s">
        <v>1373</v>
      </c>
      <c r="H206" s="11" t="s">
        <v>142</v>
      </c>
      <c r="I206" s="6" t="s">
        <v>11</v>
      </c>
      <c r="J206" s="11" t="s">
        <v>45</v>
      </c>
      <c r="K206" s="11" t="s">
        <v>1374</v>
      </c>
      <c r="L206" s="11" t="s">
        <v>1375</v>
      </c>
      <c r="M206" s="11" t="s">
        <v>1376</v>
      </c>
      <c r="N206" s="11" t="s">
        <v>1377</v>
      </c>
      <c r="O206" s="11" t="s">
        <v>1378</v>
      </c>
      <c r="P206" s="11" t="s">
        <v>11</v>
      </c>
      <c r="Q206" s="11" t="s">
        <v>143</v>
      </c>
      <c r="R206" s="11" t="s">
        <v>1379</v>
      </c>
    </row>
    <row r="207" ht="63" customHeight="1" spans="1:18" s="10" customFormat="1" x14ac:dyDescent="0.25">
      <c r="A207" s="6">
        <v>206</v>
      </c>
      <c r="B207" s="11" t="s">
        <v>33</v>
      </c>
      <c r="C207" s="5" t="s">
        <v>1380</v>
      </c>
      <c r="D207" s="11" t="s">
        <v>133</v>
      </c>
      <c r="E207" s="11" t="s">
        <v>1381</v>
      </c>
      <c r="F207" s="11" t="s">
        <v>1382</v>
      </c>
      <c r="G207" s="11" t="s">
        <v>1383</v>
      </c>
      <c r="H207" s="11" t="s">
        <v>142</v>
      </c>
      <c r="I207" s="6" t="s">
        <v>11</v>
      </c>
      <c r="J207" s="11" t="s">
        <v>45</v>
      </c>
      <c r="K207" s="11" t="s">
        <v>1384</v>
      </c>
      <c r="L207" s="11" t="s">
        <v>1385</v>
      </c>
      <c r="M207" s="11" t="s">
        <v>1376</v>
      </c>
      <c r="N207" s="11" t="s">
        <v>1386</v>
      </c>
      <c r="O207" s="11" t="s">
        <v>142</v>
      </c>
      <c r="P207" s="11" t="s">
        <v>11</v>
      </c>
      <c r="Q207" s="11" t="s">
        <v>143</v>
      </c>
      <c r="R207" s="11" t="s">
        <v>1387</v>
      </c>
    </row>
    <row r="208" ht="39" customHeight="1" spans="1:18" s="10" customFormat="1" x14ac:dyDescent="0.25">
      <c r="A208" s="6">
        <v>207</v>
      </c>
      <c r="B208" s="11" t="s">
        <v>33</v>
      </c>
      <c r="C208" s="5" t="s">
        <v>1388</v>
      </c>
      <c r="D208" s="11" t="s">
        <v>176</v>
      </c>
      <c r="E208" s="11" t="s">
        <v>1389</v>
      </c>
      <c r="F208" s="11" t="s">
        <v>1390</v>
      </c>
      <c r="G208" s="11" t="s">
        <v>1373</v>
      </c>
      <c r="H208" s="11" t="s">
        <v>142</v>
      </c>
      <c r="I208" s="6" t="s">
        <v>11</v>
      </c>
      <c r="J208" s="11" t="s">
        <v>45</v>
      </c>
      <c r="K208" s="11" t="s">
        <v>149</v>
      </c>
      <c r="L208" s="11" t="s">
        <v>1385</v>
      </c>
      <c r="M208" s="11" t="s">
        <v>1376</v>
      </c>
      <c r="N208" s="11" t="s">
        <v>1391</v>
      </c>
      <c r="O208" s="11" t="s">
        <v>142</v>
      </c>
      <c r="P208" s="11" t="s">
        <v>11</v>
      </c>
      <c r="Q208" s="11" t="s">
        <v>143</v>
      </c>
      <c r="R208" s="11" t="s">
        <v>1392</v>
      </c>
    </row>
    <row r="209" ht="75" customHeight="1" spans="1:18" s="10" customFormat="1" x14ac:dyDescent="0.25">
      <c r="A209" s="6">
        <v>208</v>
      </c>
      <c r="B209" s="11" t="s">
        <v>33</v>
      </c>
      <c r="C209" s="5" t="s">
        <v>1393</v>
      </c>
      <c r="D209" s="11" t="s">
        <v>176</v>
      </c>
      <c r="E209" s="11" t="s">
        <v>1394</v>
      </c>
      <c r="F209" s="11" t="s">
        <v>1395</v>
      </c>
      <c r="G209" s="11" t="s">
        <v>1396</v>
      </c>
      <c r="H209" s="11" t="s">
        <v>142</v>
      </c>
      <c r="I209" s="6" t="s">
        <v>11</v>
      </c>
      <c r="J209" s="11" t="s">
        <v>45</v>
      </c>
      <c r="K209" s="11" t="s">
        <v>149</v>
      </c>
      <c r="L209" s="11" t="s">
        <v>1397</v>
      </c>
      <c r="M209" s="11" t="s">
        <v>1398</v>
      </c>
      <c r="N209" s="11" t="s">
        <v>1399</v>
      </c>
      <c r="O209" s="11" t="s">
        <v>1400</v>
      </c>
      <c r="P209" s="11" t="s">
        <v>11</v>
      </c>
      <c r="Q209" s="11" t="s">
        <v>143</v>
      </c>
      <c r="R209" s="11" t="s">
        <v>1401</v>
      </c>
    </row>
    <row r="210" ht="87" customHeight="1" spans="1:18" s="10" customFormat="1" x14ac:dyDescent="0.25">
      <c r="A210" s="6">
        <v>209</v>
      </c>
      <c r="B210" s="11" t="s">
        <v>33</v>
      </c>
      <c r="C210" s="5" t="s">
        <v>1402</v>
      </c>
      <c r="D210" s="11" t="s">
        <v>176</v>
      </c>
      <c r="E210" s="11" t="s">
        <v>1403</v>
      </c>
      <c r="F210" s="11" t="s">
        <v>1404</v>
      </c>
      <c r="G210" s="11" t="s">
        <v>1405</v>
      </c>
      <c r="H210" s="11" t="s">
        <v>142</v>
      </c>
      <c r="I210" s="6" t="s">
        <v>11</v>
      </c>
      <c r="J210" s="11" t="s">
        <v>45</v>
      </c>
      <c r="K210" s="11" t="s">
        <v>1406</v>
      </c>
      <c r="L210" s="11" t="s">
        <v>1407</v>
      </c>
      <c r="M210" s="11" t="s">
        <v>1408</v>
      </c>
      <c r="N210" s="11" t="s">
        <v>1409</v>
      </c>
      <c r="O210" s="11" t="s">
        <v>142</v>
      </c>
      <c r="P210" s="11" t="s">
        <v>11</v>
      </c>
      <c r="Q210" s="11" t="s">
        <v>143</v>
      </c>
      <c r="R210" s="11" t="s">
        <v>1410</v>
      </c>
    </row>
    <row r="211" ht="39" customHeight="1" spans="1:18" s="10" customFormat="1" x14ac:dyDescent="0.25">
      <c r="A211" s="6">
        <v>210</v>
      </c>
      <c r="B211" s="11" t="s">
        <v>33</v>
      </c>
      <c r="C211" s="5" t="s">
        <v>1411</v>
      </c>
      <c r="D211" s="11" t="s">
        <v>176</v>
      </c>
      <c r="E211" s="11" t="s">
        <v>1412</v>
      </c>
      <c r="F211" s="11" t="s">
        <v>1413</v>
      </c>
      <c r="G211" s="11" t="s">
        <v>1414</v>
      </c>
      <c r="H211" s="11" t="s">
        <v>142</v>
      </c>
      <c r="I211" s="6" t="s">
        <v>11</v>
      </c>
      <c r="J211" s="11" t="s">
        <v>45</v>
      </c>
      <c r="K211" s="11" t="s">
        <v>1415</v>
      </c>
      <c r="L211" s="11" t="s">
        <v>1416</v>
      </c>
      <c r="M211" s="11" t="s">
        <v>1417</v>
      </c>
      <c r="N211" s="11" t="s">
        <v>142</v>
      </c>
      <c r="O211" s="11" t="s">
        <v>142</v>
      </c>
      <c r="P211" s="11" t="s">
        <v>11</v>
      </c>
      <c r="Q211" s="11" t="s">
        <v>143</v>
      </c>
      <c r="R211" s="11" t="s">
        <v>1418</v>
      </c>
    </row>
    <row r="212" ht="51" customHeight="1" spans="1:18" s="10" customFormat="1" x14ac:dyDescent="0.25">
      <c r="A212" s="6">
        <v>211</v>
      </c>
      <c r="B212" s="11" t="s">
        <v>33</v>
      </c>
      <c r="C212" s="5" t="s">
        <v>1419</v>
      </c>
      <c r="D212" s="11" t="s">
        <v>87</v>
      </c>
      <c r="E212" s="11" t="s">
        <v>1420</v>
      </c>
      <c r="F212" s="11" t="s">
        <v>1421</v>
      </c>
      <c r="G212" s="11" t="s">
        <v>142</v>
      </c>
      <c r="H212" s="11" t="s">
        <v>142</v>
      </c>
      <c r="I212" s="6" t="s">
        <v>11</v>
      </c>
      <c r="J212" s="11" t="s">
        <v>45</v>
      </c>
      <c r="K212" s="11" t="s">
        <v>149</v>
      </c>
      <c r="L212" s="11" t="s">
        <v>1422</v>
      </c>
      <c r="M212" s="11" t="s">
        <v>1423</v>
      </c>
      <c r="N212" s="11" t="s">
        <v>1424</v>
      </c>
      <c r="O212" s="11" t="s">
        <v>142</v>
      </c>
      <c r="P212" s="11" t="s">
        <v>11</v>
      </c>
      <c r="Q212" s="11" t="s">
        <v>143</v>
      </c>
      <c r="R212" s="11" t="s">
        <v>1425</v>
      </c>
    </row>
    <row r="213" ht="39" customHeight="1" spans="1:18" s="10" customFormat="1" x14ac:dyDescent="0.25">
      <c r="A213" s="6">
        <v>212</v>
      </c>
      <c r="B213" s="11" t="s">
        <v>33</v>
      </c>
      <c r="C213" s="5" t="s">
        <v>1426</v>
      </c>
      <c r="D213" s="11" t="s">
        <v>473</v>
      </c>
      <c r="E213" s="11" t="s">
        <v>1427</v>
      </c>
      <c r="F213" s="11" t="s">
        <v>1428</v>
      </c>
      <c r="G213" s="11" t="s">
        <v>142</v>
      </c>
      <c r="H213" s="11" t="s">
        <v>142</v>
      </c>
      <c r="I213" s="6" t="s">
        <v>11</v>
      </c>
      <c r="J213" s="11" t="s">
        <v>45</v>
      </c>
      <c r="K213" s="11" t="s">
        <v>149</v>
      </c>
      <c r="L213" s="11" t="s">
        <v>1429</v>
      </c>
      <c r="M213" s="11" t="s">
        <v>1430</v>
      </c>
      <c r="N213" s="11" t="s">
        <v>1431</v>
      </c>
      <c r="O213" s="11" t="s">
        <v>142</v>
      </c>
      <c r="P213" s="11" t="s">
        <v>11</v>
      </c>
      <c r="Q213" s="11" t="s">
        <v>143</v>
      </c>
      <c r="R213" s="11" t="s">
        <v>1432</v>
      </c>
    </row>
    <row r="214" ht="63" customHeight="1" spans="1:18" s="10" customFormat="1" x14ac:dyDescent="0.25">
      <c r="A214" s="6">
        <v>213</v>
      </c>
      <c r="B214" s="11" t="s">
        <v>34</v>
      </c>
      <c r="C214" s="5" t="s">
        <v>1433</v>
      </c>
      <c r="D214" s="11" t="s">
        <v>176</v>
      </c>
      <c r="E214" s="11" t="s">
        <v>1434</v>
      </c>
      <c r="F214" s="11" t="s">
        <v>1435</v>
      </c>
      <c r="G214" s="11" t="s">
        <v>1436</v>
      </c>
      <c r="H214" s="11" t="s">
        <v>142</v>
      </c>
      <c r="I214" s="6" t="s">
        <v>11</v>
      </c>
      <c r="J214" s="11" t="s">
        <v>45</v>
      </c>
      <c r="K214" s="11" t="s">
        <v>1437</v>
      </c>
      <c r="L214" s="11" t="s">
        <v>1438</v>
      </c>
      <c r="M214" s="11" t="s">
        <v>1439</v>
      </c>
      <c r="N214" s="11" t="s">
        <v>1440</v>
      </c>
      <c r="O214" s="11" t="s">
        <v>142</v>
      </c>
      <c r="P214" s="11" t="s">
        <v>11</v>
      </c>
      <c r="Q214" s="11" t="s">
        <v>143</v>
      </c>
      <c r="R214" s="11" t="s">
        <v>1441</v>
      </c>
    </row>
    <row r="215" ht="147" customHeight="1" spans="1:18" s="10" customFormat="1" x14ac:dyDescent="0.25">
      <c r="A215" s="6">
        <v>214</v>
      </c>
      <c r="B215" s="11" t="s">
        <v>34</v>
      </c>
      <c r="C215" s="5" t="s">
        <v>1442</v>
      </c>
      <c r="D215" s="11" t="s">
        <v>246</v>
      </c>
      <c r="E215" s="11" t="s">
        <v>1443</v>
      </c>
      <c r="F215" s="11" t="s">
        <v>1444</v>
      </c>
      <c r="G215" s="11" t="s">
        <v>1445</v>
      </c>
      <c r="H215" s="11" t="s">
        <v>142</v>
      </c>
      <c r="I215" s="6" t="s">
        <v>11</v>
      </c>
      <c r="J215" s="11" t="s">
        <v>45</v>
      </c>
      <c r="K215" s="11" t="s">
        <v>1446</v>
      </c>
      <c r="L215" s="11" t="s">
        <v>1447</v>
      </c>
      <c r="M215" s="11" t="s">
        <v>1448</v>
      </c>
      <c r="N215" s="11" t="s">
        <v>1449</v>
      </c>
      <c r="O215" s="11" t="s">
        <v>1450</v>
      </c>
      <c r="P215" s="11" t="s">
        <v>11</v>
      </c>
      <c r="Q215" s="11" t="s">
        <v>143</v>
      </c>
      <c r="R215" s="11" t="s">
        <v>1451</v>
      </c>
    </row>
    <row r="216" ht="63" customHeight="1" spans="1:18" s="10" customFormat="1" x14ac:dyDescent="0.25">
      <c r="A216" s="6">
        <v>215</v>
      </c>
      <c r="B216" s="11" t="s">
        <v>35</v>
      </c>
      <c r="C216" s="5" t="s">
        <v>1452</v>
      </c>
      <c r="D216" s="11" t="s">
        <v>1453</v>
      </c>
      <c r="E216" s="11" t="s">
        <v>1454</v>
      </c>
      <c r="F216" s="11" t="s">
        <v>1455</v>
      </c>
      <c r="G216" s="11" t="s">
        <v>1456</v>
      </c>
      <c r="H216" s="11" t="s">
        <v>142</v>
      </c>
      <c r="I216" s="6" t="s">
        <v>11</v>
      </c>
      <c r="J216" s="11" t="s">
        <v>45</v>
      </c>
      <c r="K216" s="11" t="s">
        <v>1457</v>
      </c>
      <c r="L216" s="11" t="s">
        <v>1458</v>
      </c>
      <c r="M216" s="11" t="s">
        <v>1459</v>
      </c>
      <c r="N216" s="11" t="s">
        <v>142</v>
      </c>
      <c r="O216" s="11" t="s">
        <v>142</v>
      </c>
      <c r="P216" s="11" t="s">
        <v>11</v>
      </c>
      <c r="Q216" s="11" t="s">
        <v>143</v>
      </c>
      <c r="R216" s="11" t="s">
        <v>1460</v>
      </c>
    </row>
    <row r="217" ht="63" customHeight="1" spans="1:18" s="10" customFormat="1" x14ac:dyDescent="0.25">
      <c r="A217" s="6">
        <v>216</v>
      </c>
      <c r="B217" s="11" t="s">
        <v>35</v>
      </c>
      <c r="C217" s="5" t="s">
        <v>1461</v>
      </c>
      <c r="D217" s="11" t="s">
        <v>1453</v>
      </c>
      <c r="E217" s="11" t="s">
        <v>1462</v>
      </c>
      <c r="F217" s="11" t="s">
        <v>1463</v>
      </c>
      <c r="G217" s="11" t="s">
        <v>1464</v>
      </c>
      <c r="H217" s="11" t="s">
        <v>142</v>
      </c>
      <c r="I217" s="6" t="s">
        <v>11</v>
      </c>
      <c r="J217" s="11" t="s">
        <v>46</v>
      </c>
      <c r="K217" s="11" t="s">
        <v>1465</v>
      </c>
      <c r="L217" s="11" t="s">
        <v>1466</v>
      </c>
      <c r="M217" s="11" t="s">
        <v>1467</v>
      </c>
      <c r="N217" s="11" t="s">
        <v>1468</v>
      </c>
      <c r="O217" s="11" t="s">
        <v>1469</v>
      </c>
      <c r="P217" s="11" t="s">
        <v>11</v>
      </c>
      <c r="Q217" s="11" t="s">
        <v>143</v>
      </c>
      <c r="R217" s="11" t="s">
        <v>1470</v>
      </c>
    </row>
    <row r="218" ht="39" customHeight="1" spans="1:18" s="10" customFormat="1" x14ac:dyDescent="0.25">
      <c r="A218" s="6">
        <v>217</v>
      </c>
      <c r="B218" s="11" t="s">
        <v>35</v>
      </c>
      <c r="C218" s="5" t="s">
        <v>1471</v>
      </c>
      <c r="D218" s="11" t="s">
        <v>1453</v>
      </c>
      <c r="E218" s="11" t="s">
        <v>1472</v>
      </c>
      <c r="F218" s="11" t="s">
        <v>1473</v>
      </c>
      <c r="G218" s="11" t="s">
        <v>1456</v>
      </c>
      <c r="H218" s="11" t="s">
        <v>142</v>
      </c>
      <c r="I218" s="6" t="s">
        <v>11</v>
      </c>
      <c r="J218" s="11" t="s">
        <v>45</v>
      </c>
      <c r="K218" s="11" t="s">
        <v>1474</v>
      </c>
      <c r="L218" s="11" t="s">
        <v>1475</v>
      </c>
      <c r="M218" s="11" t="s">
        <v>1476</v>
      </c>
      <c r="N218" s="11" t="s">
        <v>1477</v>
      </c>
      <c r="O218" s="11" t="s">
        <v>142</v>
      </c>
      <c r="P218" s="11" t="s">
        <v>11</v>
      </c>
      <c r="Q218" s="11" t="s">
        <v>143</v>
      </c>
      <c r="R218" s="11" t="s">
        <v>1478</v>
      </c>
    </row>
    <row r="219" ht="39" customHeight="1" spans="1:18" s="10" customFormat="1" x14ac:dyDescent="0.25">
      <c r="A219" s="6">
        <v>218</v>
      </c>
      <c r="B219" s="11" t="s">
        <v>35</v>
      </c>
      <c r="C219" s="5" t="s">
        <v>1479</v>
      </c>
      <c r="D219" s="11" t="s">
        <v>1453</v>
      </c>
      <c r="E219" s="11" t="s">
        <v>1480</v>
      </c>
      <c r="F219" s="11" t="s">
        <v>1481</v>
      </c>
      <c r="G219" s="11" t="s">
        <v>1482</v>
      </c>
      <c r="H219" s="11" t="s">
        <v>142</v>
      </c>
      <c r="I219" s="6" t="s">
        <v>11</v>
      </c>
      <c r="J219" s="11" t="s">
        <v>45</v>
      </c>
      <c r="K219" s="11" t="s">
        <v>1474</v>
      </c>
      <c r="L219" s="11" t="s">
        <v>1483</v>
      </c>
      <c r="M219" s="11" t="s">
        <v>1484</v>
      </c>
      <c r="N219" s="11" t="s">
        <v>142</v>
      </c>
      <c r="O219" s="11" t="s">
        <v>142</v>
      </c>
      <c r="P219" s="11" t="s">
        <v>11</v>
      </c>
      <c r="Q219" s="11" t="s">
        <v>143</v>
      </c>
      <c r="R219" s="11" t="s">
        <v>1485</v>
      </c>
    </row>
    <row r="220" ht="27" customHeight="1" spans="1:18" s="10" customFormat="1" x14ac:dyDescent="0.25">
      <c r="A220" s="6">
        <v>219</v>
      </c>
      <c r="B220" s="11" t="s">
        <v>35</v>
      </c>
      <c r="C220" s="5" t="s">
        <v>1486</v>
      </c>
      <c r="D220" s="11" t="s">
        <v>1453</v>
      </c>
      <c r="E220" s="11" t="s">
        <v>1487</v>
      </c>
      <c r="F220" s="11" t="s">
        <v>1488</v>
      </c>
      <c r="G220" s="11" t="s">
        <v>1456</v>
      </c>
      <c r="H220" s="11" t="s">
        <v>142</v>
      </c>
      <c r="I220" s="6" t="s">
        <v>11</v>
      </c>
      <c r="J220" s="11" t="s">
        <v>45</v>
      </c>
      <c r="K220" s="11" t="s">
        <v>1474</v>
      </c>
      <c r="L220" s="11" t="s">
        <v>1489</v>
      </c>
      <c r="M220" s="11" t="s">
        <v>1490</v>
      </c>
      <c r="N220" s="11" t="s">
        <v>142</v>
      </c>
      <c r="O220" s="11" t="s">
        <v>142</v>
      </c>
      <c r="P220" s="11" t="s">
        <v>11</v>
      </c>
      <c r="Q220" s="11" t="s">
        <v>143</v>
      </c>
      <c r="R220" s="11" t="s">
        <v>1491</v>
      </c>
    </row>
    <row r="221" ht="39" customHeight="1" spans="1:18" s="10" customFormat="1" x14ac:dyDescent="0.25">
      <c r="A221" s="6">
        <v>220</v>
      </c>
      <c r="B221" s="11" t="s">
        <v>35</v>
      </c>
      <c r="C221" s="5" t="s">
        <v>1492</v>
      </c>
      <c r="D221" s="11" t="s">
        <v>1453</v>
      </c>
      <c r="E221" s="11" t="s">
        <v>1493</v>
      </c>
      <c r="F221" s="11" t="s">
        <v>1494</v>
      </c>
      <c r="G221" s="11" t="s">
        <v>1495</v>
      </c>
      <c r="H221" s="11" t="s">
        <v>142</v>
      </c>
      <c r="I221" s="6" t="s">
        <v>11</v>
      </c>
      <c r="J221" s="11" t="s">
        <v>45</v>
      </c>
      <c r="K221" s="11" t="s">
        <v>1496</v>
      </c>
      <c r="L221" s="11" t="s">
        <v>1497</v>
      </c>
      <c r="M221" s="11" t="s">
        <v>1498</v>
      </c>
      <c r="N221" s="11" t="s">
        <v>1499</v>
      </c>
      <c r="O221" s="11" t="s">
        <v>142</v>
      </c>
      <c r="P221" s="11" t="s">
        <v>11</v>
      </c>
      <c r="Q221" s="11" t="s">
        <v>143</v>
      </c>
      <c r="R221" s="11" t="s">
        <v>1500</v>
      </c>
    </row>
    <row r="222" ht="27" customHeight="1" spans="1:18" s="10" customFormat="1" x14ac:dyDescent="0.25">
      <c r="A222" s="6">
        <v>221</v>
      </c>
      <c r="B222" s="11" t="s">
        <v>35</v>
      </c>
      <c r="C222" s="5" t="s">
        <v>1501</v>
      </c>
      <c r="D222" s="11" t="s">
        <v>1453</v>
      </c>
      <c r="E222" s="11" t="s">
        <v>1502</v>
      </c>
      <c r="F222" s="11" t="s">
        <v>1503</v>
      </c>
      <c r="G222" s="11" t="s">
        <v>1495</v>
      </c>
      <c r="H222" s="11" t="s">
        <v>142</v>
      </c>
      <c r="I222" s="6" t="s">
        <v>11</v>
      </c>
      <c r="J222" s="11" t="s">
        <v>45</v>
      </c>
      <c r="K222" s="11" t="s">
        <v>1504</v>
      </c>
      <c r="L222" s="11" t="s">
        <v>1497</v>
      </c>
      <c r="M222" s="11" t="s">
        <v>1498</v>
      </c>
      <c r="N222" s="11" t="s">
        <v>1505</v>
      </c>
      <c r="O222" s="11" t="s">
        <v>142</v>
      </c>
      <c r="P222" s="11" t="s">
        <v>11</v>
      </c>
      <c r="Q222" s="11" t="s">
        <v>143</v>
      </c>
      <c r="R222" s="11" t="s">
        <v>1500</v>
      </c>
    </row>
    <row r="223" ht="39" customHeight="1" spans="1:18" s="10" customFormat="1" x14ac:dyDescent="0.25">
      <c r="A223" s="6">
        <v>222</v>
      </c>
      <c r="B223" s="11" t="s">
        <v>36</v>
      </c>
      <c r="C223" s="5" t="s">
        <v>1506</v>
      </c>
      <c r="D223" s="11" t="s">
        <v>1507</v>
      </c>
      <c r="E223" s="11" t="s">
        <v>1508</v>
      </c>
      <c r="F223" s="11" t="s">
        <v>1509</v>
      </c>
      <c r="G223" s="11" t="s">
        <v>142</v>
      </c>
      <c r="H223" s="11" t="s">
        <v>142</v>
      </c>
      <c r="I223" s="6" t="s">
        <v>11</v>
      </c>
      <c r="J223" s="11" t="s">
        <v>45</v>
      </c>
      <c r="K223" s="11" t="s">
        <v>149</v>
      </c>
      <c r="L223" s="11" t="s">
        <v>1510</v>
      </c>
      <c r="M223" s="11" t="s">
        <v>1511</v>
      </c>
      <c r="N223" s="11" t="s">
        <v>142</v>
      </c>
      <c r="O223" s="11" t="s">
        <v>142</v>
      </c>
      <c r="P223" s="11" t="s">
        <v>11</v>
      </c>
      <c r="Q223" s="11" t="s">
        <v>143</v>
      </c>
      <c r="R223" s="11" t="s">
        <v>1512</v>
      </c>
    </row>
    <row r="224" ht="27" customHeight="1" spans="1:18" s="10" customFormat="1" x14ac:dyDescent="0.25">
      <c r="A224" s="6">
        <v>223</v>
      </c>
      <c r="B224" s="11" t="s">
        <v>36</v>
      </c>
      <c r="C224" s="5" t="s">
        <v>1513</v>
      </c>
      <c r="D224" s="11" t="s">
        <v>1507</v>
      </c>
      <c r="E224" s="11" t="s">
        <v>1514</v>
      </c>
      <c r="F224" s="11" t="s">
        <v>1515</v>
      </c>
      <c r="G224" s="11" t="s">
        <v>142</v>
      </c>
      <c r="H224" s="11" t="s">
        <v>142</v>
      </c>
      <c r="I224" s="6" t="s">
        <v>11</v>
      </c>
      <c r="J224" s="11" t="s">
        <v>45</v>
      </c>
      <c r="K224" s="11" t="s">
        <v>149</v>
      </c>
      <c r="L224" s="11" t="s">
        <v>1516</v>
      </c>
      <c r="M224" s="11" t="s">
        <v>159</v>
      </c>
      <c r="N224" s="11" t="s">
        <v>142</v>
      </c>
      <c r="O224" s="11" t="s">
        <v>142</v>
      </c>
      <c r="P224" s="11" t="s">
        <v>11</v>
      </c>
      <c r="Q224" s="11" t="s">
        <v>143</v>
      </c>
      <c r="R224" s="11" t="s">
        <v>1517</v>
      </c>
    </row>
    <row r="225" ht="27" customHeight="1" spans="1:18" s="10" customFormat="1" x14ac:dyDescent="0.25">
      <c r="A225" s="6">
        <v>224</v>
      </c>
      <c r="B225" s="11" t="s">
        <v>36</v>
      </c>
      <c r="C225" s="5" t="s">
        <v>1518</v>
      </c>
      <c r="D225" s="11" t="s">
        <v>1507</v>
      </c>
      <c r="E225" s="11" t="s">
        <v>1519</v>
      </c>
      <c r="F225" s="11" t="s">
        <v>1520</v>
      </c>
      <c r="G225" s="11" t="s">
        <v>1521</v>
      </c>
      <c r="H225" s="11" t="s">
        <v>142</v>
      </c>
      <c r="I225" s="6" t="s">
        <v>11</v>
      </c>
      <c r="J225" s="11" t="s">
        <v>45</v>
      </c>
      <c r="K225" s="11" t="s">
        <v>149</v>
      </c>
      <c r="L225" s="11" t="s">
        <v>1522</v>
      </c>
      <c r="M225" s="11" t="s">
        <v>1484</v>
      </c>
      <c r="N225" s="11" t="s">
        <v>142</v>
      </c>
      <c r="O225" s="11" t="s">
        <v>142</v>
      </c>
      <c r="P225" s="11" t="s">
        <v>11</v>
      </c>
      <c r="Q225" s="11" t="s">
        <v>143</v>
      </c>
      <c r="R225" s="11" t="s">
        <v>1523</v>
      </c>
    </row>
    <row r="226" ht="27" customHeight="1" spans="1:18" s="10" customFormat="1" x14ac:dyDescent="0.25">
      <c r="A226" s="6">
        <v>225</v>
      </c>
      <c r="B226" s="11" t="s">
        <v>36</v>
      </c>
      <c r="C226" s="5" t="s">
        <v>1524</v>
      </c>
      <c r="D226" s="11" t="s">
        <v>582</v>
      </c>
      <c r="E226" s="11" t="s">
        <v>1525</v>
      </c>
      <c r="F226" s="11" t="s">
        <v>1526</v>
      </c>
      <c r="G226" s="11" t="s">
        <v>142</v>
      </c>
      <c r="H226" s="11" t="s">
        <v>142</v>
      </c>
      <c r="I226" s="6" t="s">
        <v>11</v>
      </c>
      <c r="J226" s="11" t="s">
        <v>45</v>
      </c>
      <c r="K226" s="11" t="s">
        <v>149</v>
      </c>
      <c r="L226" s="11" t="s">
        <v>1527</v>
      </c>
      <c r="M226" s="11" t="s">
        <v>1528</v>
      </c>
      <c r="N226" s="11" t="s">
        <v>142</v>
      </c>
      <c r="O226" s="11" t="s">
        <v>142</v>
      </c>
      <c r="P226" s="11" t="s">
        <v>11</v>
      </c>
      <c r="Q226" s="11" t="s">
        <v>143</v>
      </c>
      <c r="R226" s="11" t="s">
        <v>1529</v>
      </c>
    </row>
    <row r="227" ht="27" customHeight="1" spans="1:18" s="10" customFormat="1" x14ac:dyDescent="0.25">
      <c r="A227" s="6">
        <v>226</v>
      </c>
      <c r="B227" s="11" t="s">
        <v>36</v>
      </c>
      <c r="C227" s="5" t="s">
        <v>1530</v>
      </c>
      <c r="D227" s="11" t="s">
        <v>1507</v>
      </c>
      <c r="E227" s="11" t="s">
        <v>1531</v>
      </c>
      <c r="F227" s="11" t="s">
        <v>1532</v>
      </c>
      <c r="G227" s="11" t="s">
        <v>142</v>
      </c>
      <c r="H227" s="11" t="s">
        <v>142</v>
      </c>
      <c r="I227" s="6" t="s">
        <v>11</v>
      </c>
      <c r="J227" s="11" t="s">
        <v>45</v>
      </c>
      <c r="K227" s="11" t="s">
        <v>149</v>
      </c>
      <c r="L227" s="11" t="s">
        <v>1533</v>
      </c>
      <c r="M227" s="11" t="s">
        <v>1534</v>
      </c>
      <c r="N227" s="11" t="s">
        <v>142</v>
      </c>
      <c r="O227" s="11" t="s">
        <v>142</v>
      </c>
      <c r="P227" s="11" t="s">
        <v>11</v>
      </c>
      <c r="Q227" s="11" t="s">
        <v>143</v>
      </c>
      <c r="R227" s="11" t="s">
        <v>1535</v>
      </c>
    </row>
    <row r="228" ht="39" customHeight="1" spans="1:18" s="10" customFormat="1" x14ac:dyDescent="0.25">
      <c r="A228" s="6">
        <v>227</v>
      </c>
      <c r="B228" s="11" t="s">
        <v>36</v>
      </c>
      <c r="C228" s="5" t="s">
        <v>1536</v>
      </c>
      <c r="D228" s="11" t="s">
        <v>1507</v>
      </c>
      <c r="E228" s="11" t="s">
        <v>1537</v>
      </c>
      <c r="F228" s="11" t="s">
        <v>1538</v>
      </c>
      <c r="G228" s="11" t="s">
        <v>1539</v>
      </c>
      <c r="H228" s="11" t="s">
        <v>142</v>
      </c>
      <c r="I228" s="6" t="s">
        <v>11</v>
      </c>
      <c r="J228" s="11" t="s">
        <v>45</v>
      </c>
      <c r="K228" s="11" t="s">
        <v>149</v>
      </c>
      <c r="L228" s="11" t="s">
        <v>1540</v>
      </c>
      <c r="M228" s="11" t="s">
        <v>1540</v>
      </c>
      <c r="N228" s="11" t="s">
        <v>142</v>
      </c>
      <c r="O228" s="11" t="s">
        <v>142</v>
      </c>
      <c r="P228" s="11" t="s">
        <v>11</v>
      </c>
      <c r="Q228" s="11" t="s">
        <v>143</v>
      </c>
      <c r="R228" s="11" t="s">
        <v>1541</v>
      </c>
    </row>
    <row r="229" ht="39" customHeight="1" spans="1:18" s="10" customFormat="1" x14ac:dyDescent="0.25">
      <c r="A229" s="6">
        <v>228</v>
      </c>
      <c r="B229" s="11" t="s">
        <v>36</v>
      </c>
      <c r="C229" s="5" t="s">
        <v>1542</v>
      </c>
      <c r="D229" s="11" t="s">
        <v>1507</v>
      </c>
      <c r="E229" s="11" t="s">
        <v>1543</v>
      </c>
      <c r="F229" s="11" t="s">
        <v>1544</v>
      </c>
      <c r="G229" s="11" t="s">
        <v>1539</v>
      </c>
      <c r="H229" s="11" t="s">
        <v>142</v>
      </c>
      <c r="I229" s="6" t="s">
        <v>11</v>
      </c>
      <c r="J229" s="11" t="s">
        <v>45</v>
      </c>
      <c r="K229" s="11" t="s">
        <v>1545</v>
      </c>
      <c r="L229" s="11" t="s">
        <v>1546</v>
      </c>
      <c r="M229" s="11" t="s">
        <v>1165</v>
      </c>
      <c r="N229" s="11" t="s">
        <v>142</v>
      </c>
      <c r="O229" s="11" t="s">
        <v>142</v>
      </c>
      <c r="P229" s="11" t="s">
        <v>11</v>
      </c>
      <c r="Q229" s="11" t="s">
        <v>143</v>
      </c>
      <c r="R229" s="11" t="s">
        <v>142</v>
      </c>
    </row>
    <row r="230" ht="51" customHeight="1" spans="1:18" s="10" customFormat="1" x14ac:dyDescent="0.25">
      <c r="A230" s="6">
        <v>229</v>
      </c>
      <c r="B230" s="11" t="s">
        <v>36</v>
      </c>
      <c r="C230" s="5" t="s">
        <v>1547</v>
      </c>
      <c r="D230" s="11" t="s">
        <v>1507</v>
      </c>
      <c r="E230" s="11" t="s">
        <v>1548</v>
      </c>
      <c r="F230" s="11" t="s">
        <v>1549</v>
      </c>
      <c r="G230" s="11" t="s">
        <v>1550</v>
      </c>
      <c r="H230" s="11" t="s">
        <v>142</v>
      </c>
      <c r="I230" s="6" t="s">
        <v>11</v>
      </c>
      <c r="J230" s="11" t="s">
        <v>49</v>
      </c>
      <c r="K230" s="11" t="s">
        <v>1551</v>
      </c>
      <c r="L230" s="11" t="s">
        <v>1552</v>
      </c>
      <c r="M230" s="11" t="s">
        <v>1553</v>
      </c>
      <c r="N230" s="11" t="s">
        <v>1554</v>
      </c>
      <c r="O230" s="11" t="s">
        <v>142</v>
      </c>
      <c r="P230" s="11" t="s">
        <v>11</v>
      </c>
      <c r="Q230" s="11" t="s">
        <v>143</v>
      </c>
      <c r="R230" s="11" t="s">
        <v>1555</v>
      </c>
    </row>
    <row r="231" ht="111" customHeight="1" spans="1:18" s="10" customFormat="1" x14ac:dyDescent="0.25">
      <c r="A231" s="6">
        <v>230</v>
      </c>
      <c r="B231" s="11" t="s">
        <v>36</v>
      </c>
      <c r="C231" s="5" t="s">
        <v>1556</v>
      </c>
      <c r="D231" s="11" t="s">
        <v>1507</v>
      </c>
      <c r="E231" s="11" t="s">
        <v>1557</v>
      </c>
      <c r="F231" s="11" t="s">
        <v>1558</v>
      </c>
      <c r="G231" s="11" t="s">
        <v>1559</v>
      </c>
      <c r="H231" s="11" t="s">
        <v>142</v>
      </c>
      <c r="I231" s="6" t="s">
        <v>11</v>
      </c>
      <c r="J231" s="11" t="s">
        <v>50</v>
      </c>
      <c r="K231" s="11" t="s">
        <v>149</v>
      </c>
      <c r="L231" s="11" t="s">
        <v>1560</v>
      </c>
      <c r="M231" s="11" t="s">
        <v>1561</v>
      </c>
      <c r="N231" s="11" t="s">
        <v>142</v>
      </c>
      <c r="O231" s="11" t="s">
        <v>142</v>
      </c>
      <c r="P231" s="11" t="s">
        <v>11</v>
      </c>
      <c r="Q231" s="11" t="s">
        <v>143</v>
      </c>
      <c r="R231" s="11" t="s">
        <v>1562</v>
      </c>
    </row>
    <row r="232" ht="51" customHeight="1" spans="1:18" s="10" customFormat="1" x14ac:dyDescent="0.25">
      <c r="A232" s="6">
        <v>231</v>
      </c>
      <c r="B232" s="11" t="s">
        <v>36</v>
      </c>
      <c r="C232" s="5" t="s">
        <v>1563</v>
      </c>
      <c r="D232" s="11" t="s">
        <v>1507</v>
      </c>
      <c r="E232" s="11" t="s">
        <v>1564</v>
      </c>
      <c r="F232" s="11" t="s">
        <v>1565</v>
      </c>
      <c r="G232" s="11" t="s">
        <v>1566</v>
      </c>
      <c r="H232" s="11" t="s">
        <v>142</v>
      </c>
      <c r="I232" s="6" t="s">
        <v>11</v>
      </c>
      <c r="J232" s="11" t="s">
        <v>50</v>
      </c>
      <c r="K232" s="11" t="s">
        <v>149</v>
      </c>
      <c r="L232" s="11" t="s">
        <v>1279</v>
      </c>
      <c r="M232" s="11" t="s">
        <v>1279</v>
      </c>
      <c r="N232" s="11" t="s">
        <v>142</v>
      </c>
      <c r="O232" s="11" t="s">
        <v>142</v>
      </c>
      <c r="P232" s="11" t="s">
        <v>11</v>
      </c>
      <c r="Q232" s="11" t="s">
        <v>143</v>
      </c>
      <c r="R232" s="11" t="s">
        <v>1567</v>
      </c>
    </row>
    <row r="233" ht="51" customHeight="1" spans="1:18" s="10" customFormat="1" x14ac:dyDescent="0.25">
      <c r="A233" s="6">
        <v>232</v>
      </c>
      <c r="B233" s="11" t="s">
        <v>36</v>
      </c>
      <c r="C233" s="5" t="s">
        <v>1568</v>
      </c>
      <c r="D233" s="11" t="s">
        <v>1507</v>
      </c>
      <c r="E233" s="11" t="s">
        <v>1569</v>
      </c>
      <c r="F233" s="11" t="s">
        <v>1570</v>
      </c>
      <c r="G233" s="11" t="s">
        <v>1571</v>
      </c>
      <c r="H233" s="11" t="s">
        <v>142</v>
      </c>
      <c r="I233" s="6" t="s">
        <v>11</v>
      </c>
      <c r="J233" s="11" t="s">
        <v>49</v>
      </c>
      <c r="K233" s="11" t="s">
        <v>1572</v>
      </c>
      <c r="L233" s="11" t="s">
        <v>1573</v>
      </c>
      <c r="M233" s="11" t="s">
        <v>1553</v>
      </c>
      <c r="N233" s="11" t="s">
        <v>142</v>
      </c>
      <c r="O233" s="11" t="s">
        <v>142</v>
      </c>
      <c r="P233" s="11" t="s">
        <v>11</v>
      </c>
      <c r="Q233" s="11" t="s">
        <v>143</v>
      </c>
      <c r="R233" s="11" t="s">
        <v>1574</v>
      </c>
    </row>
    <row r="234" ht="51" customHeight="1" spans="1:18" s="10" customFormat="1" x14ac:dyDescent="0.25">
      <c r="A234" s="6">
        <v>233</v>
      </c>
      <c r="B234" s="11" t="s">
        <v>36</v>
      </c>
      <c r="C234" s="5" t="s">
        <v>1575</v>
      </c>
      <c r="D234" s="11" t="s">
        <v>1576</v>
      </c>
      <c r="E234" s="11" t="s">
        <v>1577</v>
      </c>
      <c r="F234" s="11" t="s">
        <v>1578</v>
      </c>
      <c r="G234" s="11" t="s">
        <v>142</v>
      </c>
      <c r="H234" s="11" t="s">
        <v>142</v>
      </c>
      <c r="I234" s="6" t="s">
        <v>11</v>
      </c>
      <c r="J234" s="11" t="s">
        <v>45</v>
      </c>
      <c r="K234" s="11" t="s">
        <v>149</v>
      </c>
      <c r="L234" s="11" t="s">
        <v>1579</v>
      </c>
      <c r="M234" s="11" t="s">
        <v>1580</v>
      </c>
      <c r="N234" s="11" t="s">
        <v>142</v>
      </c>
      <c r="O234" s="11" t="s">
        <v>142</v>
      </c>
      <c r="P234" s="11" t="s">
        <v>11</v>
      </c>
      <c r="Q234" s="11" t="s">
        <v>143</v>
      </c>
      <c r="R234" s="11" t="s">
        <v>1581</v>
      </c>
    </row>
    <row r="235" ht="39" customHeight="1" spans="1:18" s="10" customFormat="1" x14ac:dyDescent="0.25">
      <c r="A235" s="6">
        <v>234</v>
      </c>
      <c r="B235" s="11" t="s">
        <v>36</v>
      </c>
      <c r="C235" s="5" t="s">
        <v>1582</v>
      </c>
      <c r="D235" s="11" t="s">
        <v>1576</v>
      </c>
      <c r="E235" s="11" t="s">
        <v>1583</v>
      </c>
      <c r="F235" s="11" t="s">
        <v>1584</v>
      </c>
      <c r="G235" s="11" t="s">
        <v>142</v>
      </c>
      <c r="H235" s="11" t="s">
        <v>142</v>
      </c>
      <c r="I235" s="6" t="s">
        <v>11</v>
      </c>
      <c r="J235" s="11" t="s">
        <v>46</v>
      </c>
      <c r="K235" s="11" t="s">
        <v>1585</v>
      </c>
      <c r="L235" s="11" t="s">
        <v>1579</v>
      </c>
      <c r="M235" s="11" t="s">
        <v>1580</v>
      </c>
      <c r="N235" s="11" t="s">
        <v>1586</v>
      </c>
      <c r="O235" s="11" t="s">
        <v>1587</v>
      </c>
      <c r="P235" s="11" t="s">
        <v>11</v>
      </c>
      <c r="Q235" s="11" t="s">
        <v>143</v>
      </c>
      <c r="R235" s="11" t="s">
        <v>1588</v>
      </c>
    </row>
    <row r="236" ht="51" customHeight="1" spans="1:18" s="10" customFormat="1" x14ac:dyDescent="0.25">
      <c r="A236" s="6">
        <v>235</v>
      </c>
      <c r="B236" s="11" t="s">
        <v>36</v>
      </c>
      <c r="C236" s="5" t="s">
        <v>1589</v>
      </c>
      <c r="D236" s="11" t="s">
        <v>1576</v>
      </c>
      <c r="E236" s="11" t="s">
        <v>1590</v>
      </c>
      <c r="F236" s="11" t="s">
        <v>1591</v>
      </c>
      <c r="G236" s="11" t="s">
        <v>142</v>
      </c>
      <c r="H236" s="11" t="s">
        <v>142</v>
      </c>
      <c r="I236" s="6" t="s">
        <v>11</v>
      </c>
      <c r="J236" s="11" t="s">
        <v>45</v>
      </c>
      <c r="K236" s="11" t="s">
        <v>149</v>
      </c>
      <c r="L236" s="11" t="s">
        <v>1592</v>
      </c>
      <c r="M236" s="11" t="s">
        <v>1593</v>
      </c>
      <c r="N236" s="11" t="s">
        <v>142</v>
      </c>
      <c r="O236" s="11" t="s">
        <v>142</v>
      </c>
      <c r="P236" s="11" t="s">
        <v>11</v>
      </c>
      <c r="Q236" s="11" t="s">
        <v>143</v>
      </c>
      <c r="R236" s="11" t="s">
        <v>1594</v>
      </c>
    </row>
    <row r="237" ht="159" customHeight="1" spans="1:18" s="10" customFormat="1" x14ac:dyDescent="0.25">
      <c r="A237" s="6">
        <v>236</v>
      </c>
      <c r="B237" s="11" t="s">
        <v>36</v>
      </c>
      <c r="C237" s="5" t="s">
        <v>1595</v>
      </c>
      <c r="D237" s="11" t="s">
        <v>1507</v>
      </c>
      <c r="E237" s="11" t="s">
        <v>1596</v>
      </c>
      <c r="F237" s="11" t="s">
        <v>1597</v>
      </c>
      <c r="G237" s="11" t="s">
        <v>1598</v>
      </c>
      <c r="H237" s="11" t="s">
        <v>142</v>
      </c>
      <c r="I237" s="6" t="s">
        <v>11</v>
      </c>
      <c r="J237" s="11" t="s">
        <v>45</v>
      </c>
      <c r="K237" s="11" t="s">
        <v>1599</v>
      </c>
      <c r="L237" s="11" t="s">
        <v>1600</v>
      </c>
      <c r="M237" s="11" t="s">
        <v>1601</v>
      </c>
      <c r="N237" s="11" t="s">
        <v>1602</v>
      </c>
      <c r="O237" s="11" t="s">
        <v>142</v>
      </c>
      <c r="P237" s="11" t="s">
        <v>11</v>
      </c>
      <c r="Q237" s="11" t="s">
        <v>143</v>
      </c>
      <c r="R237" s="11" t="s">
        <v>1603</v>
      </c>
    </row>
    <row r="238" ht="51" customHeight="1" spans="1:18" s="10" customFormat="1" x14ac:dyDescent="0.25">
      <c r="A238" s="6">
        <v>237</v>
      </c>
      <c r="B238" s="11" t="s">
        <v>36</v>
      </c>
      <c r="C238" s="5" t="s">
        <v>1604</v>
      </c>
      <c r="D238" s="11" t="s">
        <v>1507</v>
      </c>
      <c r="E238" s="11" t="s">
        <v>1605</v>
      </c>
      <c r="F238" s="11" t="s">
        <v>1606</v>
      </c>
      <c r="G238" s="11" t="s">
        <v>1521</v>
      </c>
      <c r="H238" s="11" t="s">
        <v>142</v>
      </c>
      <c r="I238" s="6" t="s">
        <v>11</v>
      </c>
      <c r="J238" s="11" t="s">
        <v>50</v>
      </c>
      <c r="K238" s="11" t="s">
        <v>149</v>
      </c>
      <c r="L238" s="11" t="s">
        <v>1607</v>
      </c>
      <c r="M238" s="11" t="s">
        <v>1376</v>
      </c>
      <c r="N238" s="11" t="s">
        <v>142</v>
      </c>
      <c r="O238" s="11" t="s">
        <v>142</v>
      </c>
      <c r="P238" s="11" t="s">
        <v>11</v>
      </c>
      <c r="Q238" s="11" t="s">
        <v>143</v>
      </c>
      <c r="R238" s="11" t="s">
        <v>1608</v>
      </c>
    </row>
    <row r="239" ht="63" customHeight="1" spans="1:18" s="10" customFormat="1" x14ac:dyDescent="0.25">
      <c r="A239" s="6">
        <v>238</v>
      </c>
      <c r="B239" s="11" t="s">
        <v>36</v>
      </c>
      <c r="C239" s="5" t="s">
        <v>1609</v>
      </c>
      <c r="D239" s="11" t="s">
        <v>1274</v>
      </c>
      <c r="E239" s="11" t="s">
        <v>1610</v>
      </c>
      <c r="F239" s="11" t="s">
        <v>1611</v>
      </c>
      <c r="G239" s="11" t="s">
        <v>1612</v>
      </c>
      <c r="H239" s="11" t="s">
        <v>142</v>
      </c>
      <c r="I239" s="6" t="s">
        <v>14</v>
      </c>
      <c r="J239" s="11" t="s">
        <v>50</v>
      </c>
      <c r="K239" s="11" t="s">
        <v>1613</v>
      </c>
      <c r="L239" s="11" t="s">
        <v>1614</v>
      </c>
      <c r="M239" s="11" t="s">
        <v>1615</v>
      </c>
      <c r="N239" s="11" t="s">
        <v>1616</v>
      </c>
      <c r="O239" s="11" t="s">
        <v>1617</v>
      </c>
      <c r="P239" s="11" t="s">
        <v>14</v>
      </c>
      <c r="Q239" s="11" t="s">
        <v>143</v>
      </c>
      <c r="R239" s="11" t="s">
        <v>1618</v>
      </c>
    </row>
    <row r="240" ht="75" customHeight="1" spans="1:18" s="10" customFormat="1" x14ac:dyDescent="0.25">
      <c r="A240" s="6">
        <v>239</v>
      </c>
      <c r="B240" s="11" t="s">
        <v>36</v>
      </c>
      <c r="C240" s="5" t="s">
        <v>1619</v>
      </c>
      <c r="D240" s="11" t="s">
        <v>1507</v>
      </c>
      <c r="E240" s="11" t="s">
        <v>1620</v>
      </c>
      <c r="F240" s="11" t="s">
        <v>1621</v>
      </c>
      <c r="G240" s="11" t="s">
        <v>1622</v>
      </c>
      <c r="H240" s="11" t="s">
        <v>142</v>
      </c>
      <c r="I240" s="6" t="s">
        <v>11</v>
      </c>
      <c r="J240" s="11" t="s">
        <v>50</v>
      </c>
      <c r="K240" s="11" t="s">
        <v>1623</v>
      </c>
      <c r="L240" s="11" t="s">
        <v>1624</v>
      </c>
      <c r="M240" s="11" t="s">
        <v>1625</v>
      </c>
      <c r="N240" s="11" t="s">
        <v>1626</v>
      </c>
      <c r="O240" s="11" t="s">
        <v>1627</v>
      </c>
      <c r="P240" s="11" t="s">
        <v>11</v>
      </c>
      <c r="Q240" s="11" t="s">
        <v>143</v>
      </c>
      <c r="R240" s="11" t="s">
        <v>1628</v>
      </c>
    </row>
    <row r="241" ht="51" customHeight="1" spans="1:18" s="10" customFormat="1" x14ac:dyDescent="0.25">
      <c r="A241" s="6">
        <v>240</v>
      </c>
      <c r="B241" s="11" t="s">
        <v>37</v>
      </c>
      <c r="C241" s="5" t="s">
        <v>1629</v>
      </c>
      <c r="D241" s="11" t="s">
        <v>1630</v>
      </c>
      <c r="E241" s="11" t="s">
        <v>1631</v>
      </c>
      <c r="F241" s="11" t="s">
        <v>1632</v>
      </c>
      <c r="G241" s="11" t="s">
        <v>1521</v>
      </c>
      <c r="H241" s="11" t="s">
        <v>142</v>
      </c>
      <c r="I241" s="6" t="s">
        <v>11</v>
      </c>
      <c r="J241" s="11" t="s">
        <v>45</v>
      </c>
      <c r="K241" s="11" t="s">
        <v>1633</v>
      </c>
      <c r="L241" s="11" t="s">
        <v>1634</v>
      </c>
      <c r="M241" s="11" t="s">
        <v>1635</v>
      </c>
      <c r="N241" s="11" t="s">
        <v>142</v>
      </c>
      <c r="O241" s="11" t="s">
        <v>142</v>
      </c>
      <c r="P241" s="11" t="s">
        <v>11</v>
      </c>
      <c r="Q241" s="11" t="s">
        <v>143</v>
      </c>
      <c r="R241" s="11" t="s">
        <v>1636</v>
      </c>
    </row>
    <row r="242" ht="39" customHeight="1" spans="1:18" s="10" customFormat="1" x14ac:dyDescent="0.25">
      <c r="A242" s="6">
        <v>241</v>
      </c>
      <c r="B242" s="11" t="s">
        <v>37</v>
      </c>
      <c r="C242" s="5" t="s">
        <v>1637</v>
      </c>
      <c r="D242" s="11" t="s">
        <v>1630</v>
      </c>
      <c r="E242" s="11" t="s">
        <v>1638</v>
      </c>
      <c r="F242" s="11" t="s">
        <v>1639</v>
      </c>
      <c r="G242" s="11" t="s">
        <v>1640</v>
      </c>
      <c r="H242" s="11" t="s">
        <v>142</v>
      </c>
      <c r="I242" s="6" t="s">
        <v>11</v>
      </c>
      <c r="J242" s="11" t="s">
        <v>45</v>
      </c>
      <c r="K242" s="11" t="s">
        <v>149</v>
      </c>
      <c r="L242" s="11" t="s">
        <v>1641</v>
      </c>
      <c r="M242" s="11" t="s">
        <v>1642</v>
      </c>
      <c r="N242" s="11" t="s">
        <v>142</v>
      </c>
      <c r="O242" s="11" t="s">
        <v>142</v>
      </c>
      <c r="P242" s="11" t="s">
        <v>11</v>
      </c>
      <c r="Q242" s="11" t="s">
        <v>143</v>
      </c>
      <c r="R242" s="11" t="s">
        <v>1643</v>
      </c>
    </row>
    <row r="243" ht="39" customHeight="1" spans="1:18" s="10" customFormat="1" x14ac:dyDescent="0.25">
      <c r="A243" s="6">
        <v>242</v>
      </c>
      <c r="B243" s="11" t="s">
        <v>37</v>
      </c>
      <c r="C243" s="5" t="s">
        <v>1644</v>
      </c>
      <c r="D243" s="11" t="s">
        <v>1630</v>
      </c>
      <c r="E243" s="11" t="s">
        <v>1645</v>
      </c>
      <c r="F243" s="11" t="s">
        <v>1646</v>
      </c>
      <c r="G243" s="11" t="s">
        <v>1640</v>
      </c>
      <c r="H243" s="11" t="s">
        <v>142</v>
      </c>
      <c r="I243" s="6" t="s">
        <v>12</v>
      </c>
      <c r="J243" s="11" t="s">
        <v>51</v>
      </c>
      <c r="K243" s="11" t="s">
        <v>142</v>
      </c>
      <c r="L243" s="11" t="s">
        <v>1647</v>
      </c>
      <c r="M243" s="11" t="s">
        <v>1648</v>
      </c>
      <c r="N243" s="11" t="s">
        <v>1649</v>
      </c>
      <c r="O243" s="11" t="s">
        <v>1650</v>
      </c>
      <c r="P243" s="11" t="s">
        <v>12</v>
      </c>
      <c r="Q243" s="11" t="s">
        <v>1651</v>
      </c>
      <c r="R243" s="11" t="s">
        <v>1652</v>
      </c>
    </row>
    <row r="244" ht="63" customHeight="1" spans="1:18" s="10" customFormat="1" x14ac:dyDescent="0.25">
      <c r="A244" s="6">
        <v>243</v>
      </c>
      <c r="B244" s="11" t="s">
        <v>37</v>
      </c>
      <c r="C244" s="5" t="s">
        <v>1653</v>
      </c>
      <c r="D244" s="11" t="s">
        <v>1630</v>
      </c>
      <c r="E244" s="11" t="s">
        <v>1654</v>
      </c>
      <c r="F244" s="11" t="s">
        <v>1655</v>
      </c>
      <c r="G244" s="11" t="s">
        <v>1656</v>
      </c>
      <c r="H244" s="11" t="s">
        <v>142</v>
      </c>
      <c r="I244" s="6" t="s">
        <v>11</v>
      </c>
      <c r="J244" s="11" t="s">
        <v>52</v>
      </c>
      <c r="K244" s="11" t="s">
        <v>142</v>
      </c>
      <c r="L244" s="11" t="s">
        <v>1657</v>
      </c>
      <c r="M244" s="11" t="s">
        <v>1553</v>
      </c>
      <c r="N244" s="11" t="s">
        <v>1658</v>
      </c>
      <c r="O244" s="11" t="s">
        <v>142</v>
      </c>
      <c r="P244" s="11" t="s">
        <v>11</v>
      </c>
      <c r="Q244" s="11" t="s">
        <v>143</v>
      </c>
      <c r="R244" s="11" t="s">
        <v>1659</v>
      </c>
    </row>
    <row r="245" ht="87" customHeight="1" spans="1:18" s="10" customFormat="1" x14ac:dyDescent="0.25">
      <c r="A245" s="6">
        <v>244</v>
      </c>
      <c r="B245" s="11" t="s">
        <v>37</v>
      </c>
      <c r="C245" s="5" t="s">
        <v>1660</v>
      </c>
      <c r="D245" s="11" t="s">
        <v>1630</v>
      </c>
      <c r="E245" s="11" t="s">
        <v>1661</v>
      </c>
      <c r="F245" s="11" t="s">
        <v>1662</v>
      </c>
      <c r="G245" s="11" t="s">
        <v>1656</v>
      </c>
      <c r="H245" s="11" t="s">
        <v>142</v>
      </c>
      <c r="I245" s="6" t="s">
        <v>11</v>
      </c>
      <c r="J245" s="11" t="s">
        <v>52</v>
      </c>
      <c r="K245" s="11" t="s">
        <v>142</v>
      </c>
      <c r="L245" s="11" t="s">
        <v>1663</v>
      </c>
      <c r="M245" s="11" t="s">
        <v>1553</v>
      </c>
      <c r="N245" s="11" t="s">
        <v>1664</v>
      </c>
      <c r="O245" s="11" t="s">
        <v>142</v>
      </c>
      <c r="P245" s="11" t="s">
        <v>11</v>
      </c>
      <c r="Q245" s="11" t="s">
        <v>143</v>
      </c>
      <c r="R245" s="11" t="s">
        <v>1665</v>
      </c>
    </row>
    <row r="246" ht="39" customHeight="1" spans="1:18" s="10" customFormat="1" x14ac:dyDescent="0.25">
      <c r="A246" s="6">
        <v>245</v>
      </c>
      <c r="B246" s="11" t="s">
        <v>37</v>
      </c>
      <c r="C246" s="5" t="s">
        <v>1666</v>
      </c>
      <c r="D246" s="11" t="s">
        <v>1630</v>
      </c>
      <c r="E246" s="11" t="s">
        <v>1667</v>
      </c>
      <c r="F246" s="11" t="s">
        <v>1668</v>
      </c>
      <c r="G246" s="11" t="s">
        <v>1656</v>
      </c>
      <c r="H246" s="11" t="s">
        <v>142</v>
      </c>
      <c r="I246" s="6" t="s">
        <v>11</v>
      </c>
      <c r="J246" s="11" t="s">
        <v>52</v>
      </c>
      <c r="K246" s="11" t="s">
        <v>142</v>
      </c>
      <c r="L246" s="11" t="s">
        <v>1669</v>
      </c>
      <c r="M246" s="11" t="s">
        <v>1553</v>
      </c>
      <c r="N246" s="11" t="s">
        <v>1670</v>
      </c>
      <c r="O246" s="11" t="s">
        <v>142</v>
      </c>
      <c r="P246" s="11" t="s">
        <v>11</v>
      </c>
      <c r="Q246" s="11" t="s">
        <v>143</v>
      </c>
      <c r="R246" s="11" t="s">
        <v>1671</v>
      </c>
    </row>
    <row r="247" ht="39" customHeight="1" spans="1:18" s="10" customFormat="1" x14ac:dyDescent="0.25">
      <c r="A247" s="6">
        <v>246</v>
      </c>
      <c r="B247" s="11" t="s">
        <v>37</v>
      </c>
      <c r="C247" s="5" t="s">
        <v>1672</v>
      </c>
      <c r="D247" s="11" t="s">
        <v>1630</v>
      </c>
      <c r="E247" s="11" t="s">
        <v>1673</v>
      </c>
      <c r="F247" s="11" t="s">
        <v>1674</v>
      </c>
      <c r="G247" s="11" t="s">
        <v>1656</v>
      </c>
      <c r="H247" s="11" t="s">
        <v>142</v>
      </c>
      <c r="I247" s="6" t="s">
        <v>11</v>
      </c>
      <c r="J247" s="11" t="s">
        <v>52</v>
      </c>
      <c r="K247" s="11" t="s">
        <v>142</v>
      </c>
      <c r="L247" s="11" t="s">
        <v>1675</v>
      </c>
      <c r="M247" s="11" t="s">
        <v>1553</v>
      </c>
      <c r="N247" s="11" t="s">
        <v>1676</v>
      </c>
      <c r="O247" s="11" t="s">
        <v>142</v>
      </c>
      <c r="P247" s="11" t="s">
        <v>11</v>
      </c>
      <c r="Q247" s="11" t="s">
        <v>143</v>
      </c>
      <c r="R247" s="11" t="s">
        <v>1677</v>
      </c>
    </row>
    <row r="248" ht="87" customHeight="1" spans="1:18" s="10" customFormat="1" x14ac:dyDescent="0.25">
      <c r="A248" s="6">
        <v>247</v>
      </c>
      <c r="B248" s="11" t="s">
        <v>37</v>
      </c>
      <c r="C248" s="5" t="s">
        <v>1678</v>
      </c>
      <c r="D248" s="11" t="s">
        <v>1630</v>
      </c>
      <c r="E248" s="11" t="s">
        <v>1679</v>
      </c>
      <c r="F248" s="11" t="s">
        <v>1680</v>
      </c>
      <c r="G248" s="11" t="s">
        <v>1640</v>
      </c>
      <c r="H248" s="11" t="s">
        <v>142</v>
      </c>
      <c r="I248" s="6" t="s">
        <v>11</v>
      </c>
      <c r="J248" s="11" t="s">
        <v>52</v>
      </c>
      <c r="K248" s="11" t="s">
        <v>142</v>
      </c>
      <c r="L248" s="11" t="s">
        <v>1681</v>
      </c>
      <c r="M248" s="11" t="s">
        <v>1553</v>
      </c>
      <c r="N248" s="11" t="s">
        <v>1682</v>
      </c>
      <c r="O248" s="11" t="s">
        <v>142</v>
      </c>
      <c r="P248" s="11" t="s">
        <v>11</v>
      </c>
      <c r="Q248" s="11" t="s">
        <v>143</v>
      </c>
      <c r="R248" s="11" t="s">
        <v>1683</v>
      </c>
    </row>
    <row r="249" ht="51" customHeight="1" spans="1:18" s="10" customFormat="1" x14ac:dyDescent="0.25">
      <c r="A249" s="6">
        <v>248</v>
      </c>
      <c r="B249" s="11" t="s">
        <v>37</v>
      </c>
      <c r="C249" s="5" t="s">
        <v>1684</v>
      </c>
      <c r="D249" s="11" t="s">
        <v>1630</v>
      </c>
      <c r="E249" s="11" t="s">
        <v>1685</v>
      </c>
      <c r="F249" s="11" t="s">
        <v>1686</v>
      </c>
      <c r="G249" s="11" t="s">
        <v>1640</v>
      </c>
      <c r="H249" s="11" t="s">
        <v>142</v>
      </c>
      <c r="I249" s="6" t="s">
        <v>14</v>
      </c>
      <c r="J249" s="11" t="s">
        <v>53</v>
      </c>
      <c r="K249" s="11" t="s">
        <v>142</v>
      </c>
      <c r="L249" s="11" t="s">
        <v>142</v>
      </c>
      <c r="M249" s="11" t="s">
        <v>142</v>
      </c>
      <c r="N249" s="11" t="s">
        <v>1687</v>
      </c>
      <c r="O249" s="11" t="s">
        <v>1688</v>
      </c>
      <c r="P249" s="11" t="s">
        <v>14</v>
      </c>
      <c r="Q249" s="11" t="s">
        <v>143</v>
      </c>
      <c r="R249" s="11" t="s">
        <v>1689</v>
      </c>
    </row>
    <row r="250" ht="27" customHeight="1" spans="1:18" s="10" customFormat="1" x14ac:dyDescent="0.25">
      <c r="A250" s="6">
        <v>249</v>
      </c>
      <c r="B250" s="11" t="s">
        <v>38</v>
      </c>
      <c r="C250" s="5" t="s">
        <v>1690</v>
      </c>
      <c r="D250" s="11" t="s">
        <v>388</v>
      </c>
      <c r="E250" s="11" t="s">
        <v>1691</v>
      </c>
      <c r="F250" s="11" t="s">
        <v>1692</v>
      </c>
      <c r="G250" s="11" t="s">
        <v>1693</v>
      </c>
      <c r="H250" s="11" t="s">
        <v>142</v>
      </c>
      <c r="I250" s="6" t="s">
        <v>11</v>
      </c>
      <c r="J250" s="11" t="s">
        <v>46</v>
      </c>
      <c r="K250" s="11" t="s">
        <v>1694</v>
      </c>
      <c r="L250" s="11" t="s">
        <v>1497</v>
      </c>
      <c r="M250" s="11" t="s">
        <v>1498</v>
      </c>
      <c r="N250" s="11" t="s">
        <v>142</v>
      </c>
      <c r="O250" s="11" t="s">
        <v>1695</v>
      </c>
      <c r="P250" s="11" t="s">
        <v>11</v>
      </c>
      <c r="Q250" s="11" t="s">
        <v>143</v>
      </c>
      <c r="R250" s="11" t="s">
        <v>1696</v>
      </c>
    </row>
    <row r="251" ht="27" customHeight="1" spans="1:18" s="10" customFormat="1" x14ac:dyDescent="0.25">
      <c r="A251" s="6">
        <v>250</v>
      </c>
      <c r="B251" s="11" t="s">
        <v>38</v>
      </c>
      <c r="C251" s="5" t="s">
        <v>1697</v>
      </c>
      <c r="D251" s="11" t="s">
        <v>388</v>
      </c>
      <c r="E251" s="11" t="s">
        <v>1698</v>
      </c>
      <c r="F251" s="11" t="s">
        <v>1699</v>
      </c>
      <c r="G251" s="11" t="s">
        <v>1700</v>
      </c>
      <c r="H251" s="11" t="s">
        <v>142</v>
      </c>
      <c r="I251" s="6" t="s">
        <v>11</v>
      </c>
      <c r="J251" s="11" t="s">
        <v>46</v>
      </c>
      <c r="K251" s="11" t="s">
        <v>1701</v>
      </c>
      <c r="L251" s="11" t="s">
        <v>1497</v>
      </c>
      <c r="M251" s="11" t="s">
        <v>1498</v>
      </c>
      <c r="N251" s="11" t="s">
        <v>1702</v>
      </c>
      <c r="O251" s="11" t="s">
        <v>1703</v>
      </c>
      <c r="P251" s="11" t="s">
        <v>11</v>
      </c>
      <c r="Q251" s="11" t="s">
        <v>143</v>
      </c>
      <c r="R251" s="11" t="s">
        <v>1704</v>
      </c>
    </row>
    <row r="252" ht="27" customHeight="1" spans="1:18" s="10" customFormat="1" x14ac:dyDescent="0.25">
      <c r="A252" s="6">
        <v>251</v>
      </c>
      <c r="B252" s="11" t="s">
        <v>38</v>
      </c>
      <c r="C252" s="5" t="s">
        <v>1705</v>
      </c>
      <c r="D252" s="11" t="s">
        <v>388</v>
      </c>
      <c r="E252" s="11" t="s">
        <v>1706</v>
      </c>
      <c r="F252" s="11" t="s">
        <v>1707</v>
      </c>
      <c r="G252" s="11" t="s">
        <v>1708</v>
      </c>
      <c r="H252" s="11" t="s">
        <v>142</v>
      </c>
      <c r="I252" s="6" t="s">
        <v>13</v>
      </c>
      <c r="J252" s="11" t="s">
        <v>53</v>
      </c>
      <c r="K252" s="11" t="s">
        <v>142</v>
      </c>
      <c r="L252" s="11" t="s">
        <v>142</v>
      </c>
      <c r="M252" s="11" t="s">
        <v>142</v>
      </c>
      <c r="N252" s="11" t="s">
        <v>1709</v>
      </c>
      <c r="O252" s="11" t="s">
        <v>1710</v>
      </c>
      <c r="P252" s="11" t="s">
        <v>13</v>
      </c>
      <c r="Q252" s="11" t="s">
        <v>143</v>
      </c>
      <c r="R252" s="11" t="s">
        <v>1711</v>
      </c>
    </row>
    <row r="253" ht="27" customHeight="1" spans="1:18" s="10" customFormat="1" x14ac:dyDescent="0.25">
      <c r="A253" s="6">
        <v>252</v>
      </c>
      <c r="B253" s="11" t="s">
        <v>38</v>
      </c>
      <c r="C253" s="5" t="s">
        <v>1712</v>
      </c>
      <c r="D253" s="11" t="s">
        <v>388</v>
      </c>
      <c r="E253" s="11" t="s">
        <v>1713</v>
      </c>
      <c r="F253" s="11" t="s">
        <v>1714</v>
      </c>
      <c r="G253" s="11" t="s">
        <v>1715</v>
      </c>
      <c r="H253" s="11" t="s">
        <v>142</v>
      </c>
      <c r="I253" s="6" t="s">
        <v>11</v>
      </c>
      <c r="J253" s="11" t="s">
        <v>46</v>
      </c>
      <c r="K253" s="11" t="s">
        <v>1716</v>
      </c>
      <c r="L253" s="11" t="s">
        <v>1497</v>
      </c>
      <c r="M253" s="11" t="s">
        <v>1498</v>
      </c>
      <c r="N253" s="11" t="s">
        <v>142</v>
      </c>
      <c r="O253" s="11" t="s">
        <v>1717</v>
      </c>
      <c r="P253" s="11" t="s">
        <v>11</v>
      </c>
      <c r="Q253" s="11" t="s">
        <v>143</v>
      </c>
      <c r="R253" s="11" t="s">
        <v>1718</v>
      </c>
    </row>
    <row r="254" ht="27" customHeight="1" spans="1:18" s="10" customFormat="1" x14ac:dyDescent="0.25">
      <c r="A254" s="6">
        <v>253</v>
      </c>
      <c r="B254" s="11" t="s">
        <v>38</v>
      </c>
      <c r="C254" s="5" t="s">
        <v>1719</v>
      </c>
      <c r="D254" s="11" t="s">
        <v>530</v>
      </c>
      <c r="E254" s="11" t="s">
        <v>1720</v>
      </c>
      <c r="F254" s="11" t="s">
        <v>1721</v>
      </c>
      <c r="G254" s="11" t="s">
        <v>1722</v>
      </c>
      <c r="H254" s="11" t="s">
        <v>142</v>
      </c>
      <c r="I254" s="6" t="s">
        <v>11</v>
      </c>
      <c r="J254" s="11" t="s">
        <v>46</v>
      </c>
      <c r="K254" s="11" t="s">
        <v>1723</v>
      </c>
      <c r="L254" s="11" t="s">
        <v>1497</v>
      </c>
      <c r="M254" s="11" t="s">
        <v>1498</v>
      </c>
      <c r="N254" s="11" t="s">
        <v>1724</v>
      </c>
      <c r="O254" s="11" t="s">
        <v>1725</v>
      </c>
      <c r="P254" s="11" t="s">
        <v>11</v>
      </c>
      <c r="Q254" s="11" t="s">
        <v>143</v>
      </c>
      <c r="R254" s="11" t="s">
        <v>1726</v>
      </c>
    </row>
    <row r="255" ht="27" customHeight="1" spans="1:18" s="10" customFormat="1" x14ac:dyDescent="0.25">
      <c r="A255" s="6">
        <v>254</v>
      </c>
      <c r="B255" s="11" t="s">
        <v>38</v>
      </c>
      <c r="C255" s="5" t="s">
        <v>1727</v>
      </c>
      <c r="D255" s="11" t="s">
        <v>530</v>
      </c>
      <c r="E255" s="11" t="s">
        <v>1728</v>
      </c>
      <c r="F255" s="11" t="s">
        <v>1729</v>
      </c>
      <c r="G255" s="11" t="s">
        <v>1730</v>
      </c>
      <c r="H255" s="11" t="s">
        <v>142</v>
      </c>
      <c r="I255" s="6" t="s">
        <v>11</v>
      </c>
      <c r="J255" s="11" t="s">
        <v>46</v>
      </c>
      <c r="K255" s="11" t="s">
        <v>1731</v>
      </c>
      <c r="L255" s="11" t="s">
        <v>1497</v>
      </c>
      <c r="M255" s="11" t="s">
        <v>1498</v>
      </c>
      <c r="N255" s="11" t="s">
        <v>1732</v>
      </c>
      <c r="O255" s="11" t="s">
        <v>1733</v>
      </c>
      <c r="P255" s="11" t="s">
        <v>11</v>
      </c>
      <c r="Q255" s="11" t="s">
        <v>143</v>
      </c>
      <c r="R255" s="11" t="s">
        <v>1734</v>
      </c>
    </row>
    <row r="256" ht="63" customHeight="1" spans="1:18" s="10" customFormat="1" x14ac:dyDescent="0.25">
      <c r="A256" s="6">
        <v>255</v>
      </c>
      <c r="B256" s="11" t="s">
        <v>38</v>
      </c>
      <c r="C256" s="5" t="s">
        <v>1735</v>
      </c>
      <c r="D256" s="11" t="s">
        <v>355</v>
      </c>
      <c r="E256" s="11" t="s">
        <v>1736</v>
      </c>
      <c r="F256" s="11" t="s">
        <v>1737</v>
      </c>
      <c r="G256" s="11" t="s">
        <v>1738</v>
      </c>
      <c r="H256" s="11" t="s">
        <v>142</v>
      </c>
      <c r="I256" s="6" t="s">
        <v>11</v>
      </c>
      <c r="J256" s="11" t="s">
        <v>45</v>
      </c>
      <c r="K256" s="11" t="s">
        <v>1739</v>
      </c>
      <c r="L256" s="11" t="s">
        <v>1339</v>
      </c>
      <c r="M256" s="11" t="s">
        <v>1340</v>
      </c>
      <c r="N256" s="11" t="s">
        <v>142</v>
      </c>
      <c r="O256" s="11" t="s">
        <v>142</v>
      </c>
      <c r="P256" s="11" t="s">
        <v>11</v>
      </c>
      <c r="Q256" s="11" t="s">
        <v>143</v>
      </c>
      <c r="R256" s="11" t="s">
        <v>1740</v>
      </c>
    </row>
    <row r="257" ht="63" customHeight="1" spans="1:18" s="10" customFormat="1" x14ac:dyDescent="0.25">
      <c r="A257" s="6">
        <v>256</v>
      </c>
      <c r="B257" s="11" t="s">
        <v>38</v>
      </c>
      <c r="C257" s="5" t="s">
        <v>1741</v>
      </c>
      <c r="D257" s="11" t="s">
        <v>162</v>
      </c>
      <c r="E257" s="11" t="s">
        <v>1742</v>
      </c>
      <c r="F257" s="11" t="s">
        <v>1743</v>
      </c>
      <c r="G257" s="11" t="s">
        <v>165</v>
      </c>
      <c r="H257" s="11" t="s">
        <v>142</v>
      </c>
      <c r="I257" s="6" t="s">
        <v>11</v>
      </c>
      <c r="J257" s="11" t="s">
        <v>45</v>
      </c>
      <c r="K257" s="11" t="s">
        <v>149</v>
      </c>
      <c r="L257" s="11" t="s">
        <v>142</v>
      </c>
      <c r="M257" s="11" t="s">
        <v>142</v>
      </c>
      <c r="N257" s="11" t="s">
        <v>1744</v>
      </c>
      <c r="O257" s="11" t="s">
        <v>142</v>
      </c>
      <c r="P257" s="11" t="s">
        <v>11</v>
      </c>
      <c r="Q257" s="11" t="s">
        <v>143</v>
      </c>
      <c r="R257" s="11" t="s">
        <v>1745</v>
      </c>
    </row>
    <row r="258" ht="51" customHeight="1" spans="1:18" s="10" customFormat="1" x14ac:dyDescent="0.25">
      <c r="A258" s="6">
        <v>257</v>
      </c>
      <c r="B258" s="11" t="s">
        <v>38</v>
      </c>
      <c r="C258" s="5" t="s">
        <v>1746</v>
      </c>
      <c r="D258" s="11" t="s">
        <v>491</v>
      </c>
      <c r="E258" s="11" t="s">
        <v>1747</v>
      </c>
      <c r="F258" s="11" t="s">
        <v>1748</v>
      </c>
      <c r="G258" s="11" t="s">
        <v>1749</v>
      </c>
      <c r="H258" s="11" t="s">
        <v>142</v>
      </c>
      <c r="I258" s="6" t="s">
        <v>13</v>
      </c>
      <c r="J258" s="11" t="s">
        <v>53</v>
      </c>
      <c r="K258" s="11" t="s">
        <v>142</v>
      </c>
      <c r="L258" s="11" t="s">
        <v>142</v>
      </c>
      <c r="M258" s="11" t="s">
        <v>142</v>
      </c>
      <c r="N258" s="11" t="s">
        <v>1750</v>
      </c>
      <c r="O258" s="11" t="s">
        <v>1751</v>
      </c>
      <c r="P258" s="11" t="s">
        <v>13</v>
      </c>
      <c r="Q258" s="11" t="s">
        <v>143</v>
      </c>
      <c r="R258" s="11" t="s">
        <v>1752</v>
      </c>
    </row>
    <row r="259" ht="39" customHeight="1" spans="1:18" s="10" customFormat="1" x14ac:dyDescent="0.25">
      <c r="A259" s="6">
        <v>258</v>
      </c>
      <c r="B259" s="11" t="s">
        <v>38</v>
      </c>
      <c r="C259" s="5" t="s">
        <v>1753</v>
      </c>
      <c r="D259" s="11" t="s">
        <v>1576</v>
      </c>
      <c r="E259" s="11" t="s">
        <v>1754</v>
      </c>
      <c r="F259" s="11" t="s">
        <v>1755</v>
      </c>
      <c r="G259" s="11" t="s">
        <v>142</v>
      </c>
      <c r="H259" s="11" t="s">
        <v>142</v>
      </c>
      <c r="I259" s="6" t="s">
        <v>12</v>
      </c>
      <c r="J259" s="11" t="s">
        <v>54</v>
      </c>
      <c r="K259" s="11" t="s">
        <v>1756</v>
      </c>
      <c r="L259" s="11" t="s">
        <v>1757</v>
      </c>
      <c r="M259" s="11" t="s">
        <v>1758</v>
      </c>
      <c r="N259" s="11" t="s">
        <v>1759</v>
      </c>
      <c r="O259" s="11" t="s">
        <v>1760</v>
      </c>
      <c r="P259" s="11" t="s">
        <v>14</v>
      </c>
      <c r="Q259" s="11" t="s">
        <v>1761</v>
      </c>
      <c r="R259" s="11" t="s">
        <v>1762</v>
      </c>
    </row>
    <row r="260" ht="27" customHeight="1" spans="1:18" s="10" customFormat="1" x14ac:dyDescent="0.25">
      <c r="A260" s="6">
        <v>259</v>
      </c>
      <c r="B260" s="11" t="s">
        <v>38</v>
      </c>
      <c r="C260" s="5" t="s">
        <v>1763</v>
      </c>
      <c r="D260" s="11" t="s">
        <v>263</v>
      </c>
      <c r="E260" s="11" t="s">
        <v>1764</v>
      </c>
      <c r="F260" s="11" t="s">
        <v>1765</v>
      </c>
      <c r="G260" s="11" t="s">
        <v>288</v>
      </c>
      <c r="H260" s="11" t="s">
        <v>142</v>
      </c>
      <c r="I260" s="6" t="s">
        <v>11</v>
      </c>
      <c r="J260" s="11" t="s">
        <v>45</v>
      </c>
      <c r="K260" s="11" t="s">
        <v>149</v>
      </c>
      <c r="L260" s="11" t="s">
        <v>1766</v>
      </c>
      <c r="M260" s="11" t="s">
        <v>1767</v>
      </c>
      <c r="N260" s="11" t="s">
        <v>142</v>
      </c>
      <c r="O260" s="11" t="s">
        <v>142</v>
      </c>
      <c r="P260" s="11" t="s">
        <v>13</v>
      </c>
      <c r="Q260" s="11" t="s">
        <v>1768</v>
      </c>
      <c r="R260" s="11" t="s">
        <v>1769</v>
      </c>
    </row>
    <row r="261" ht="27" customHeight="1" spans="1:18" s="10" customFormat="1" x14ac:dyDescent="0.25">
      <c r="A261" s="6">
        <v>260</v>
      </c>
      <c r="B261" s="11" t="s">
        <v>38</v>
      </c>
      <c r="C261" s="5" t="s">
        <v>1770</v>
      </c>
      <c r="D261" s="11" t="s">
        <v>1771</v>
      </c>
      <c r="E261" s="11" t="s">
        <v>1772</v>
      </c>
      <c r="F261" s="11" t="s">
        <v>1773</v>
      </c>
      <c r="G261" s="11" t="s">
        <v>1188</v>
      </c>
      <c r="H261" s="11" t="s">
        <v>142</v>
      </c>
      <c r="I261" s="6" t="s">
        <v>11</v>
      </c>
      <c r="J261" s="11" t="s">
        <v>45</v>
      </c>
      <c r="K261" s="11" t="s">
        <v>149</v>
      </c>
      <c r="L261" s="11" t="s">
        <v>1766</v>
      </c>
      <c r="M261" s="11" t="s">
        <v>1767</v>
      </c>
      <c r="N261" s="11" t="s">
        <v>142</v>
      </c>
      <c r="O261" s="11" t="s">
        <v>142</v>
      </c>
      <c r="P261" s="11" t="s">
        <v>13</v>
      </c>
      <c r="Q261" s="11" t="s">
        <v>1768</v>
      </c>
      <c r="R261" s="11" t="s">
        <v>1774</v>
      </c>
    </row>
    <row r="262" ht="27" customHeight="1" spans="1:18" s="10" customFormat="1" x14ac:dyDescent="0.25">
      <c r="A262" s="6">
        <v>261</v>
      </c>
      <c r="B262" s="11" t="s">
        <v>38</v>
      </c>
      <c r="C262" s="5" t="s">
        <v>1775</v>
      </c>
      <c r="D262" s="11" t="s">
        <v>1776</v>
      </c>
      <c r="E262" s="11" t="s">
        <v>1777</v>
      </c>
      <c r="F262" s="11" t="s">
        <v>1778</v>
      </c>
      <c r="G262" s="11" t="s">
        <v>142</v>
      </c>
      <c r="H262" s="11" t="s">
        <v>142</v>
      </c>
      <c r="I262" s="6" t="s">
        <v>11</v>
      </c>
      <c r="J262" s="11" t="s">
        <v>45</v>
      </c>
      <c r="K262" s="11" t="s">
        <v>149</v>
      </c>
      <c r="L262" s="11" t="s">
        <v>1779</v>
      </c>
      <c r="M262" s="11" t="s">
        <v>1767</v>
      </c>
      <c r="N262" s="11" t="s">
        <v>142</v>
      </c>
      <c r="O262" s="11" t="s">
        <v>142</v>
      </c>
      <c r="P262" s="11" t="s">
        <v>11</v>
      </c>
      <c r="Q262" s="11" t="s">
        <v>1780</v>
      </c>
      <c r="R262" s="11" t="s">
        <v>1781</v>
      </c>
    </row>
    <row r="263" ht="27" customHeight="1" spans="1:18" s="10" customFormat="1" x14ac:dyDescent="0.25">
      <c r="A263" s="6">
        <v>262</v>
      </c>
      <c r="B263" s="11" t="s">
        <v>38</v>
      </c>
      <c r="C263" s="5" t="s">
        <v>1782</v>
      </c>
      <c r="D263" s="11" t="s">
        <v>355</v>
      </c>
      <c r="E263" s="11" t="s">
        <v>1783</v>
      </c>
      <c r="F263" s="11" t="s">
        <v>1784</v>
      </c>
      <c r="G263" s="11" t="s">
        <v>417</v>
      </c>
      <c r="H263" s="11" t="s">
        <v>142</v>
      </c>
      <c r="I263" s="6" t="s">
        <v>11</v>
      </c>
      <c r="J263" s="11" t="s">
        <v>45</v>
      </c>
      <c r="K263" s="11" t="s">
        <v>149</v>
      </c>
      <c r="L263" s="11" t="s">
        <v>1766</v>
      </c>
      <c r="M263" s="11" t="s">
        <v>1767</v>
      </c>
      <c r="N263" s="11" t="s">
        <v>142</v>
      </c>
      <c r="O263" s="11" t="s">
        <v>142</v>
      </c>
      <c r="P263" s="11" t="s">
        <v>13</v>
      </c>
      <c r="Q263" s="11" t="s">
        <v>1768</v>
      </c>
      <c r="R263" s="11" t="s">
        <v>1785</v>
      </c>
    </row>
    <row r="264" ht="27" customHeight="1" spans="1:18" s="10" customFormat="1" x14ac:dyDescent="0.25">
      <c r="A264" s="6">
        <v>263</v>
      </c>
      <c r="B264" s="11" t="s">
        <v>38</v>
      </c>
      <c r="C264" s="5" t="s">
        <v>1786</v>
      </c>
      <c r="D264" s="11" t="s">
        <v>1298</v>
      </c>
      <c r="E264" s="11" t="s">
        <v>1787</v>
      </c>
      <c r="F264" s="11" t="s">
        <v>1788</v>
      </c>
      <c r="G264" s="11" t="s">
        <v>142</v>
      </c>
      <c r="H264" s="11" t="s">
        <v>142</v>
      </c>
      <c r="I264" s="6" t="s">
        <v>13</v>
      </c>
      <c r="J264" s="11" t="s">
        <v>53</v>
      </c>
      <c r="K264" s="11" t="s">
        <v>142</v>
      </c>
      <c r="L264" s="11" t="s">
        <v>142</v>
      </c>
      <c r="M264" s="11" t="s">
        <v>142</v>
      </c>
      <c r="N264" s="11" t="s">
        <v>1789</v>
      </c>
      <c r="O264" s="11" t="s">
        <v>1790</v>
      </c>
      <c r="P264" s="11" t="s">
        <v>13</v>
      </c>
      <c r="Q264" s="11" t="s">
        <v>143</v>
      </c>
      <c r="R264" s="11" t="s">
        <v>1791</v>
      </c>
    </row>
    <row r="265" ht="39" customHeight="1" spans="1:18" s="10" customFormat="1" x14ac:dyDescent="0.25">
      <c r="A265" s="6">
        <v>264</v>
      </c>
      <c r="B265" s="11" t="s">
        <v>38</v>
      </c>
      <c r="C265" s="5" t="s">
        <v>1792</v>
      </c>
      <c r="D265" s="11" t="s">
        <v>1507</v>
      </c>
      <c r="E265" s="11" t="s">
        <v>1793</v>
      </c>
      <c r="F265" s="11" t="s">
        <v>1794</v>
      </c>
      <c r="G265" s="11" t="s">
        <v>142</v>
      </c>
      <c r="H265" s="11" t="s">
        <v>142</v>
      </c>
      <c r="I265" s="6" t="s">
        <v>11</v>
      </c>
      <c r="J265" s="11" t="s">
        <v>45</v>
      </c>
      <c r="K265" s="11" t="s">
        <v>149</v>
      </c>
      <c r="L265" s="11" t="s">
        <v>1766</v>
      </c>
      <c r="M265" s="11" t="s">
        <v>1767</v>
      </c>
      <c r="N265" s="11" t="s">
        <v>142</v>
      </c>
      <c r="O265" s="11" t="s">
        <v>142</v>
      </c>
      <c r="P265" s="11" t="s">
        <v>13</v>
      </c>
      <c r="Q265" s="11" t="s">
        <v>1768</v>
      </c>
      <c r="R265" s="11" t="s">
        <v>1795</v>
      </c>
    </row>
    <row r="266" ht="27" customHeight="1" spans="1:18" s="10" customFormat="1" x14ac:dyDescent="0.25">
      <c r="A266" s="6">
        <v>265</v>
      </c>
      <c r="B266" s="11" t="s">
        <v>38</v>
      </c>
      <c r="C266" s="5" t="s">
        <v>1796</v>
      </c>
      <c r="D266" s="11" t="s">
        <v>1507</v>
      </c>
      <c r="E266" s="11" t="s">
        <v>1797</v>
      </c>
      <c r="F266" s="11" t="s">
        <v>1798</v>
      </c>
      <c r="G266" s="11" t="s">
        <v>142</v>
      </c>
      <c r="H266" s="11" t="s">
        <v>142</v>
      </c>
      <c r="I266" s="6" t="s">
        <v>11</v>
      </c>
      <c r="J266" s="11" t="s">
        <v>45</v>
      </c>
      <c r="K266" s="11" t="s">
        <v>149</v>
      </c>
      <c r="L266" s="11" t="s">
        <v>1799</v>
      </c>
      <c r="M266" s="11" t="s">
        <v>1767</v>
      </c>
      <c r="N266" s="11" t="s">
        <v>142</v>
      </c>
      <c r="O266" s="11" t="s">
        <v>142</v>
      </c>
      <c r="P266" s="11" t="s">
        <v>13</v>
      </c>
      <c r="Q266" s="11" t="s">
        <v>1800</v>
      </c>
      <c r="R266" s="11" t="s">
        <v>1671</v>
      </c>
    </row>
    <row r="267" ht="51" customHeight="1" spans="1:18" s="10" customFormat="1" x14ac:dyDescent="0.25">
      <c r="A267" s="6">
        <v>266</v>
      </c>
      <c r="B267" s="11" t="s">
        <v>38</v>
      </c>
      <c r="C267" s="5" t="s">
        <v>1801</v>
      </c>
      <c r="D267" s="11" t="s">
        <v>355</v>
      </c>
      <c r="E267" s="11" t="s">
        <v>1802</v>
      </c>
      <c r="F267" s="11" t="s">
        <v>1803</v>
      </c>
      <c r="G267" s="11" t="s">
        <v>142</v>
      </c>
      <c r="H267" s="11" t="s">
        <v>142</v>
      </c>
      <c r="I267" s="6" t="s">
        <v>11</v>
      </c>
      <c r="J267" s="11" t="s">
        <v>45</v>
      </c>
      <c r="K267" s="11" t="s">
        <v>149</v>
      </c>
      <c r="L267" s="11" t="s">
        <v>1766</v>
      </c>
      <c r="M267" s="11" t="s">
        <v>1767</v>
      </c>
      <c r="N267" s="11" t="s">
        <v>142</v>
      </c>
      <c r="O267" s="11" t="s">
        <v>142</v>
      </c>
      <c r="P267" s="11" t="s">
        <v>13</v>
      </c>
      <c r="Q267" s="11" t="s">
        <v>1768</v>
      </c>
      <c r="R267" s="11" t="s">
        <v>1804</v>
      </c>
    </row>
    <row r="268" ht="39" customHeight="1" spans="1:18" s="10" customFormat="1" x14ac:dyDescent="0.25">
      <c r="A268" s="6">
        <v>267</v>
      </c>
      <c r="B268" s="11" t="s">
        <v>38</v>
      </c>
      <c r="C268" s="5" t="s">
        <v>1805</v>
      </c>
      <c r="D268" s="11" t="s">
        <v>313</v>
      </c>
      <c r="E268" s="11" t="s">
        <v>1806</v>
      </c>
      <c r="F268" s="11" t="s">
        <v>1807</v>
      </c>
      <c r="G268" s="11" t="s">
        <v>142</v>
      </c>
      <c r="H268" s="11" t="s">
        <v>142</v>
      </c>
      <c r="I268" s="6" t="s">
        <v>11</v>
      </c>
      <c r="J268" s="11" t="s">
        <v>45</v>
      </c>
      <c r="K268" s="11" t="s">
        <v>149</v>
      </c>
      <c r="L268" s="11" t="s">
        <v>1808</v>
      </c>
      <c r="M268" s="11" t="s">
        <v>1767</v>
      </c>
      <c r="N268" s="11" t="s">
        <v>1809</v>
      </c>
      <c r="O268" s="11" t="s">
        <v>142</v>
      </c>
      <c r="P268" s="11" t="s">
        <v>12</v>
      </c>
      <c r="Q268" s="11" t="s">
        <v>1810</v>
      </c>
      <c r="R268" s="11" t="s">
        <v>1811</v>
      </c>
    </row>
    <row r="269" ht="123" customHeight="1" spans="1:18" s="12" customFormat="1" x14ac:dyDescent="0.25">
      <c r="A269" s="6">
        <v>268</v>
      </c>
      <c r="B269" s="11" t="s">
        <v>39</v>
      </c>
      <c r="C269" s="5" t="s">
        <v>1812</v>
      </c>
      <c r="D269" s="11" t="s">
        <v>530</v>
      </c>
      <c r="E269" s="11" t="s">
        <v>1813</v>
      </c>
      <c r="F269" s="11" t="s">
        <v>1814</v>
      </c>
      <c r="G269" s="11" t="s">
        <v>142</v>
      </c>
      <c r="H269" s="11" t="s">
        <v>142</v>
      </c>
      <c r="I269" s="6" t="s">
        <v>11</v>
      </c>
      <c r="J269" s="11" t="s">
        <v>45</v>
      </c>
      <c r="K269" s="11" t="s">
        <v>1815</v>
      </c>
      <c r="L269" s="11" t="s">
        <v>1816</v>
      </c>
      <c r="M269" s="11" t="s">
        <v>1817</v>
      </c>
      <c r="N269" s="11" t="s">
        <v>1818</v>
      </c>
      <c r="O269" s="11" t="s">
        <v>1819</v>
      </c>
      <c r="P269" s="11" t="s">
        <v>11</v>
      </c>
      <c r="Q269" s="11" t="s">
        <v>143</v>
      </c>
      <c r="R269" s="11" t="s">
        <v>1820</v>
      </c>
    </row>
    <row r="270" ht="99" customHeight="1" spans="1:18" s="12" customFormat="1" x14ac:dyDescent="0.25">
      <c r="A270" s="6">
        <v>269</v>
      </c>
      <c r="B270" s="11" t="s">
        <v>39</v>
      </c>
      <c r="C270" s="5" t="s">
        <v>1821</v>
      </c>
      <c r="D270" s="11" t="s">
        <v>1074</v>
      </c>
      <c r="E270" s="11" t="s">
        <v>1822</v>
      </c>
      <c r="F270" s="11" t="s">
        <v>1823</v>
      </c>
      <c r="G270" s="11" t="s">
        <v>142</v>
      </c>
      <c r="H270" s="11" t="s">
        <v>142</v>
      </c>
      <c r="I270" s="6" t="s">
        <v>11</v>
      </c>
      <c r="J270" s="11" t="s">
        <v>45</v>
      </c>
      <c r="K270" s="11" t="s">
        <v>1824</v>
      </c>
      <c r="L270" s="11" t="s">
        <v>1825</v>
      </c>
      <c r="M270" s="11" t="s">
        <v>1826</v>
      </c>
      <c r="N270" s="11" t="s">
        <v>1827</v>
      </c>
      <c r="O270" s="11" t="s">
        <v>1828</v>
      </c>
      <c r="P270" s="11" t="s">
        <v>11</v>
      </c>
      <c r="Q270" s="11" t="s">
        <v>143</v>
      </c>
      <c r="R270" s="11" t="s">
        <v>1829</v>
      </c>
    </row>
    <row r="271" ht="63" customHeight="1" spans="1:18" s="12" customFormat="1" x14ac:dyDescent="0.25">
      <c r="A271" s="6">
        <v>270</v>
      </c>
      <c r="B271" s="11" t="s">
        <v>39</v>
      </c>
      <c r="C271" s="5" t="s">
        <v>1830</v>
      </c>
      <c r="D271" s="11" t="s">
        <v>1507</v>
      </c>
      <c r="E271" s="11" t="s">
        <v>1831</v>
      </c>
      <c r="F271" s="11" t="s">
        <v>1832</v>
      </c>
      <c r="G271" s="11" t="s">
        <v>142</v>
      </c>
      <c r="H271" s="11" t="s">
        <v>142</v>
      </c>
      <c r="I271" s="6" t="s">
        <v>11</v>
      </c>
      <c r="J271" s="11" t="s">
        <v>45</v>
      </c>
      <c r="K271" s="11" t="s">
        <v>149</v>
      </c>
      <c r="L271" s="11" t="s">
        <v>1833</v>
      </c>
      <c r="M271" s="11" t="s">
        <v>1767</v>
      </c>
      <c r="N271" s="11" t="s">
        <v>142</v>
      </c>
      <c r="O271" s="11" t="s">
        <v>142</v>
      </c>
      <c r="P271" s="11" t="s">
        <v>12</v>
      </c>
      <c r="Q271" s="11" t="s">
        <v>1834</v>
      </c>
      <c r="R271" s="11" t="s">
        <v>1835</v>
      </c>
    </row>
    <row r="272" ht="63" customHeight="1" spans="1:18" s="12" customFormat="1" x14ac:dyDescent="0.25">
      <c r="A272" s="6">
        <v>271</v>
      </c>
      <c r="B272" s="11" t="s">
        <v>36</v>
      </c>
      <c r="C272" s="5" t="s">
        <v>1836</v>
      </c>
      <c r="D272" s="11" t="s">
        <v>1507</v>
      </c>
      <c r="E272" s="11" t="s">
        <v>1837</v>
      </c>
      <c r="F272" s="11" t="s">
        <v>1838</v>
      </c>
      <c r="G272" s="11" t="s">
        <v>1539</v>
      </c>
      <c r="H272" s="11" t="s">
        <v>142</v>
      </c>
      <c r="I272" s="6" t="s">
        <v>11</v>
      </c>
      <c r="J272" s="11" t="s">
        <v>45</v>
      </c>
      <c r="K272" s="11" t="s">
        <v>1839</v>
      </c>
      <c r="L272" s="11" t="s">
        <v>1840</v>
      </c>
      <c r="M272" s="11" t="s">
        <v>1841</v>
      </c>
      <c r="N272" s="11" t="s">
        <v>142</v>
      </c>
      <c r="O272" s="11" t="s">
        <v>142</v>
      </c>
      <c r="P272" s="11" t="s">
        <v>11</v>
      </c>
      <c r="Q272" s="11" t="s">
        <v>143</v>
      </c>
      <c r="R272" s="11" t="s">
        <v>1842</v>
      </c>
    </row>
    <row r="273" spans="1:18" x14ac:dyDescent="0.25">
      <c r="A273" s="6">
        <v>272</v>
      </c>
      <c r="B273" s="11" t="s">
        <v>40</v>
      </c>
      <c r="C273" s="5" t="s">
        <v>1843</v>
      </c>
      <c r="D273" s="11" t="s">
        <v>162</v>
      </c>
      <c r="E273" s="11" t="s">
        <v>1844</v>
      </c>
      <c r="F273" s="11" t="s">
        <v>1845</v>
      </c>
      <c r="G273" s="11" t="s">
        <v>165</v>
      </c>
      <c r="H273" s="11" t="s">
        <v>142</v>
      </c>
      <c r="I273" s="6" t="s">
        <v>11</v>
      </c>
      <c r="J273" s="11" t="s">
        <v>45</v>
      </c>
      <c r="K273" s="11" t="s">
        <v>149</v>
      </c>
      <c r="L273" s="11" t="s">
        <v>1846</v>
      </c>
      <c r="M273" s="11" t="s">
        <v>1847</v>
      </c>
      <c r="N273" s="11" t="s">
        <v>142</v>
      </c>
      <c r="O273" s="11" t="s">
        <v>142</v>
      </c>
      <c r="P273" s="11" t="s">
        <v>11</v>
      </c>
      <c r="Q273" s="11" t="s">
        <v>143</v>
      </c>
      <c r="R273" s="11" t="s">
        <v>1848</v>
      </c>
    </row>
    <row r="274" spans="1:18" x14ac:dyDescent="0.25">
      <c r="A274" s="6">
        <v>273</v>
      </c>
      <c r="B274" s="11" t="s">
        <v>40</v>
      </c>
      <c r="C274" s="5" t="s">
        <v>1849</v>
      </c>
      <c r="D274" s="11" t="s">
        <v>1850</v>
      </c>
      <c r="E274" s="11" t="s">
        <v>1851</v>
      </c>
      <c r="F274" s="11" t="s">
        <v>1852</v>
      </c>
      <c r="G274" s="11" t="s">
        <v>142</v>
      </c>
      <c r="H274" s="11" t="s">
        <v>142</v>
      </c>
      <c r="I274" s="6" t="s">
        <v>11</v>
      </c>
      <c r="J274" s="11" t="s">
        <v>45</v>
      </c>
      <c r="K274" s="11" t="s">
        <v>149</v>
      </c>
      <c r="L274" s="11" t="s">
        <v>1853</v>
      </c>
      <c r="M274" s="11" t="s">
        <v>1854</v>
      </c>
      <c r="N274" s="11" t="s">
        <v>142</v>
      </c>
      <c r="O274" s="11" t="s">
        <v>142</v>
      </c>
      <c r="P274" s="11" t="s">
        <v>11</v>
      </c>
      <c r="Q274" s="11" t="s">
        <v>143</v>
      </c>
      <c r="R274" s="11" t="s">
        <v>1855</v>
      </c>
    </row>
    <row r="275" spans="1:18" x14ac:dyDescent="0.25">
      <c r="A275" s="6">
        <v>274</v>
      </c>
      <c r="B275" s="11" t="s">
        <v>40</v>
      </c>
      <c r="C275" s="5" t="s">
        <v>1856</v>
      </c>
      <c r="D275" s="11" t="s">
        <v>1857</v>
      </c>
      <c r="E275" s="11" t="s">
        <v>1858</v>
      </c>
      <c r="F275" s="11" t="s">
        <v>1859</v>
      </c>
      <c r="G275" s="11" t="s">
        <v>303</v>
      </c>
      <c r="H275" s="11" t="s">
        <v>142</v>
      </c>
      <c r="I275" s="6" t="s">
        <v>11</v>
      </c>
      <c r="J275" s="11" t="s">
        <v>45</v>
      </c>
      <c r="K275" s="11" t="s">
        <v>149</v>
      </c>
      <c r="L275" s="11" t="s">
        <v>1860</v>
      </c>
      <c r="M275" s="11" t="s">
        <v>1861</v>
      </c>
      <c r="N275" s="11" t="s">
        <v>1862</v>
      </c>
      <c r="O275" s="11" t="s">
        <v>1863</v>
      </c>
      <c r="P275" s="11" t="s">
        <v>11</v>
      </c>
      <c r="Q275" s="11" t="s">
        <v>143</v>
      </c>
      <c r="R275" s="11" t="s">
        <v>1864</v>
      </c>
    </row>
    <row r="276" spans="1:18" x14ac:dyDescent="0.25">
      <c r="A276" s="6">
        <v>275</v>
      </c>
      <c r="B276" s="11" t="s">
        <v>40</v>
      </c>
      <c r="C276" s="5" t="s">
        <v>1865</v>
      </c>
      <c r="D276" s="11" t="s">
        <v>1866</v>
      </c>
      <c r="E276" s="11" t="s">
        <v>1867</v>
      </c>
      <c r="F276" s="11" t="s">
        <v>1868</v>
      </c>
      <c r="G276" s="11" t="s">
        <v>266</v>
      </c>
      <c r="H276" s="11" t="s">
        <v>142</v>
      </c>
      <c r="I276" s="6" t="s">
        <v>11</v>
      </c>
      <c r="J276" s="11" t="s">
        <v>45</v>
      </c>
      <c r="K276" s="11" t="s">
        <v>149</v>
      </c>
      <c r="L276" s="11" t="s">
        <v>1869</v>
      </c>
      <c r="M276" s="11" t="s">
        <v>1648</v>
      </c>
      <c r="N276" s="11" t="s">
        <v>142</v>
      </c>
      <c r="O276" s="11" t="s">
        <v>142</v>
      </c>
      <c r="P276" s="11" t="s">
        <v>11</v>
      </c>
      <c r="Q276" s="11" t="s">
        <v>143</v>
      </c>
      <c r="R276" s="11" t="s">
        <v>1870</v>
      </c>
    </row>
    <row r="277" spans="1:18" x14ac:dyDescent="0.25">
      <c r="A277" s="6">
        <v>276</v>
      </c>
      <c r="B277" s="11" t="s">
        <v>40</v>
      </c>
      <c r="C277" s="5" t="s">
        <v>1871</v>
      </c>
      <c r="D277" s="11" t="s">
        <v>1872</v>
      </c>
      <c r="E277" s="11" t="s">
        <v>1873</v>
      </c>
      <c r="F277" s="11" t="s">
        <v>1874</v>
      </c>
      <c r="G277" s="11" t="s">
        <v>1875</v>
      </c>
      <c r="H277" s="11" t="s">
        <v>142</v>
      </c>
      <c r="I277" s="6" t="s">
        <v>11</v>
      </c>
      <c r="J277" s="11" t="s">
        <v>45</v>
      </c>
      <c r="K277" s="11" t="s">
        <v>149</v>
      </c>
      <c r="L277" s="11" t="s">
        <v>1876</v>
      </c>
      <c r="M277" s="11" t="s">
        <v>1648</v>
      </c>
      <c r="N277" s="11" t="s">
        <v>142</v>
      </c>
      <c r="O277" s="11" t="s">
        <v>142</v>
      </c>
      <c r="P277" s="11" t="s">
        <v>11</v>
      </c>
      <c r="Q277" s="11" t="s">
        <v>143</v>
      </c>
      <c r="R277" s="11" t="s">
        <v>1877</v>
      </c>
    </row>
    <row r="278" spans="1:18" x14ac:dyDescent="0.25">
      <c r="A278" s="6">
        <v>277</v>
      </c>
      <c r="B278" s="11" t="s">
        <v>40</v>
      </c>
      <c r="C278" s="5" t="s">
        <v>1878</v>
      </c>
      <c r="D278" s="11" t="s">
        <v>1630</v>
      </c>
      <c r="E278" s="11" t="s">
        <v>1879</v>
      </c>
      <c r="F278" s="11" t="s">
        <v>1880</v>
      </c>
      <c r="G278" s="11" t="s">
        <v>1881</v>
      </c>
      <c r="H278" s="11" t="s">
        <v>142</v>
      </c>
      <c r="I278" s="6" t="s">
        <v>11</v>
      </c>
      <c r="J278" s="11" t="s">
        <v>45</v>
      </c>
      <c r="K278" s="11" t="s">
        <v>1882</v>
      </c>
      <c r="L278" s="11" t="s">
        <v>1883</v>
      </c>
      <c r="M278" s="11" t="s">
        <v>1648</v>
      </c>
      <c r="N278" s="11" t="s">
        <v>1884</v>
      </c>
      <c r="O278" s="11" t="s">
        <v>1885</v>
      </c>
      <c r="P278" s="11" t="s">
        <v>11</v>
      </c>
      <c r="Q278" s="11" t="s">
        <v>143</v>
      </c>
      <c r="R278" s="11" t="s">
        <v>1886</v>
      </c>
    </row>
    <row r="279" spans="1:18" x14ac:dyDescent="0.25">
      <c r="A279" s="6">
        <v>278</v>
      </c>
      <c r="B279" s="11" t="s">
        <v>41</v>
      </c>
      <c r="C279" s="5" t="s">
        <v>1887</v>
      </c>
      <c r="D279" s="11" t="s">
        <v>1888</v>
      </c>
      <c r="E279" s="11" t="s">
        <v>1889</v>
      </c>
      <c r="F279" s="11" t="s">
        <v>1890</v>
      </c>
      <c r="G279" s="11" t="s">
        <v>1891</v>
      </c>
      <c r="H279" s="11" t="s">
        <v>137</v>
      </c>
      <c r="I279" s="6" t="s">
        <v>11</v>
      </c>
      <c r="J279" s="11" t="s">
        <v>46</v>
      </c>
      <c r="K279" s="11" t="s">
        <v>1892</v>
      </c>
      <c r="L279" s="11" t="s">
        <v>1893</v>
      </c>
      <c r="M279" s="11" t="s">
        <v>1894</v>
      </c>
      <c r="N279" s="11" t="s">
        <v>142</v>
      </c>
      <c r="O279" s="11" t="s">
        <v>1895</v>
      </c>
      <c r="P279" s="11" t="s">
        <v>1896</v>
      </c>
      <c r="Q279" s="11" t="s">
        <v>1897</v>
      </c>
      <c r="R279" s="11" t="s">
        <v>1898</v>
      </c>
    </row>
    <row r="280" spans="1:18" x14ac:dyDescent="0.25">
      <c r="A280" s="6">
        <v>279</v>
      </c>
      <c r="B280" s="11" t="s">
        <v>41</v>
      </c>
      <c r="C280" s="5" t="s">
        <v>1899</v>
      </c>
      <c r="D280" s="11" t="s">
        <v>671</v>
      </c>
      <c r="E280" s="11" t="s">
        <v>1900</v>
      </c>
      <c r="F280" s="11" t="s">
        <v>1901</v>
      </c>
      <c r="G280" s="11" t="s">
        <v>1902</v>
      </c>
      <c r="H280" s="11" t="s">
        <v>137</v>
      </c>
      <c r="I280" s="6" t="s">
        <v>11</v>
      </c>
      <c r="J280" s="11" t="s">
        <v>45</v>
      </c>
      <c r="K280" s="11" t="s">
        <v>149</v>
      </c>
      <c r="L280" s="11" t="s">
        <v>1903</v>
      </c>
      <c r="M280" s="11" t="s">
        <v>1894</v>
      </c>
      <c r="N280" s="11" t="s">
        <v>142</v>
      </c>
      <c r="O280" s="11" t="s">
        <v>142</v>
      </c>
      <c r="P280" s="11" t="s">
        <v>1896</v>
      </c>
      <c r="Q280" s="11" t="s">
        <v>1897</v>
      </c>
      <c r="R280" s="11" t="s">
        <v>1904</v>
      </c>
    </row>
    <row r="281" spans="1:18" x14ac:dyDescent="0.25">
      <c r="A281" s="6">
        <v>280</v>
      </c>
      <c r="B281" s="11" t="s">
        <v>41</v>
      </c>
      <c r="C281" s="5" t="s">
        <v>1905</v>
      </c>
      <c r="D281" s="11" t="s">
        <v>1888</v>
      </c>
      <c r="E281" s="11" t="s">
        <v>1906</v>
      </c>
      <c r="F281" s="11" t="s">
        <v>1907</v>
      </c>
      <c r="G281" s="11" t="s">
        <v>1908</v>
      </c>
      <c r="H281" s="11" t="s">
        <v>137</v>
      </c>
      <c r="I281" s="6" t="s">
        <v>11</v>
      </c>
      <c r="J281" s="11" t="s">
        <v>46</v>
      </c>
      <c r="K281" s="11" t="s">
        <v>1892</v>
      </c>
      <c r="L281" s="11" t="s">
        <v>1909</v>
      </c>
      <c r="M281" s="11" t="s">
        <v>1894</v>
      </c>
      <c r="N281" s="11" t="s">
        <v>142</v>
      </c>
      <c r="O281" s="11" t="s">
        <v>142</v>
      </c>
      <c r="P281" s="11" t="s">
        <v>1896</v>
      </c>
      <c r="Q281" s="11" t="s">
        <v>1897</v>
      </c>
      <c r="R281" s="11" t="s">
        <v>1910</v>
      </c>
    </row>
    <row r="282" spans="1:18" x14ac:dyDescent="0.25">
      <c r="A282" s="6">
        <v>281</v>
      </c>
      <c r="B282" s="11" t="s">
        <v>41</v>
      </c>
      <c r="C282" s="5" t="s">
        <v>1911</v>
      </c>
      <c r="D282" s="11" t="s">
        <v>1888</v>
      </c>
      <c r="E282" s="11" t="s">
        <v>1912</v>
      </c>
      <c r="F282" s="11" t="s">
        <v>1913</v>
      </c>
      <c r="G282" s="11" t="s">
        <v>1914</v>
      </c>
      <c r="H282" s="11" t="s">
        <v>137</v>
      </c>
      <c r="I282" s="6" t="s">
        <v>11</v>
      </c>
      <c r="J282" s="11" t="s">
        <v>46</v>
      </c>
      <c r="K282" s="11" t="s">
        <v>1892</v>
      </c>
      <c r="L282" s="11" t="s">
        <v>1915</v>
      </c>
      <c r="M282" s="11" t="s">
        <v>1894</v>
      </c>
      <c r="N282" s="11" t="s">
        <v>142</v>
      </c>
      <c r="O282" s="11" t="s">
        <v>142</v>
      </c>
      <c r="P282" s="11" t="s">
        <v>1896</v>
      </c>
      <c r="Q282" s="11" t="s">
        <v>1897</v>
      </c>
      <c r="R282" s="11" t="s">
        <v>1916</v>
      </c>
    </row>
    <row r="283" spans="1:18" x14ac:dyDescent="0.25">
      <c r="A283" s="6">
        <v>282</v>
      </c>
      <c r="B283" s="11" t="s">
        <v>41</v>
      </c>
      <c r="C283" s="5" t="s">
        <v>1917</v>
      </c>
      <c r="D283" s="11" t="s">
        <v>1888</v>
      </c>
      <c r="E283" s="11" t="s">
        <v>1918</v>
      </c>
      <c r="F283" s="11" t="s">
        <v>1919</v>
      </c>
      <c r="G283" s="11" t="s">
        <v>1920</v>
      </c>
      <c r="H283" s="11" t="s">
        <v>137</v>
      </c>
      <c r="I283" s="6" t="s">
        <v>11</v>
      </c>
      <c r="J283" s="11" t="s">
        <v>46</v>
      </c>
      <c r="K283" s="11" t="s">
        <v>1892</v>
      </c>
      <c r="L283" s="11" t="s">
        <v>1921</v>
      </c>
      <c r="M283" s="11" t="s">
        <v>1894</v>
      </c>
      <c r="N283" s="11" t="s">
        <v>142</v>
      </c>
      <c r="O283" s="11" t="s">
        <v>142</v>
      </c>
      <c r="P283" s="11" t="s">
        <v>1896</v>
      </c>
      <c r="Q283" s="11" t="s">
        <v>1897</v>
      </c>
      <c r="R283" s="11" t="s">
        <v>1922</v>
      </c>
    </row>
    <row r="284" spans="1:18" x14ac:dyDescent="0.25">
      <c r="A284" s="6">
        <v>283</v>
      </c>
      <c r="B284" s="11" t="s">
        <v>41</v>
      </c>
      <c r="C284" s="5" t="s">
        <v>1923</v>
      </c>
      <c r="D284" s="11" t="s">
        <v>1888</v>
      </c>
      <c r="E284" s="11" t="s">
        <v>1924</v>
      </c>
      <c r="F284" s="11" t="s">
        <v>1925</v>
      </c>
      <c r="G284" s="11" t="s">
        <v>1926</v>
      </c>
      <c r="H284" s="11" t="s">
        <v>137</v>
      </c>
      <c r="I284" s="6" t="s">
        <v>11</v>
      </c>
      <c r="J284" s="11" t="s">
        <v>46</v>
      </c>
      <c r="K284" s="11" t="s">
        <v>1892</v>
      </c>
      <c r="L284" s="11" t="s">
        <v>1921</v>
      </c>
      <c r="M284" s="11" t="s">
        <v>1894</v>
      </c>
      <c r="N284" s="11" t="s">
        <v>142</v>
      </c>
      <c r="O284" s="11" t="s">
        <v>142</v>
      </c>
      <c r="P284" s="11" t="s">
        <v>1896</v>
      </c>
      <c r="Q284" s="11" t="s">
        <v>1897</v>
      </c>
      <c r="R284" s="11" t="s">
        <v>1927</v>
      </c>
    </row>
    <row r="285" spans="1:18" x14ac:dyDescent="0.25">
      <c r="A285" s="6">
        <v>284</v>
      </c>
      <c r="B285" s="11" t="s">
        <v>41</v>
      </c>
      <c r="C285" s="5" t="s">
        <v>1928</v>
      </c>
      <c r="D285" s="11" t="s">
        <v>1888</v>
      </c>
      <c r="E285" s="11" t="s">
        <v>1929</v>
      </c>
      <c r="F285" s="11" t="s">
        <v>1930</v>
      </c>
      <c r="G285" s="11" t="s">
        <v>1931</v>
      </c>
      <c r="H285" s="11" t="s">
        <v>137</v>
      </c>
      <c r="I285" s="6" t="s">
        <v>11</v>
      </c>
      <c r="J285" s="11" t="s">
        <v>46</v>
      </c>
      <c r="K285" s="11" t="s">
        <v>1892</v>
      </c>
      <c r="L285" s="11" t="s">
        <v>1932</v>
      </c>
      <c r="M285" s="11" t="s">
        <v>1894</v>
      </c>
      <c r="N285" s="11" t="s">
        <v>142</v>
      </c>
      <c r="O285" s="11" t="s">
        <v>142</v>
      </c>
      <c r="P285" s="11" t="s">
        <v>1896</v>
      </c>
      <c r="Q285" s="11" t="s">
        <v>1897</v>
      </c>
      <c r="R285" s="11" t="s">
        <v>1933</v>
      </c>
    </row>
    <row r="286" spans="1:18" x14ac:dyDescent="0.25">
      <c r="A286" s="6">
        <v>285</v>
      </c>
      <c r="B286" s="11" t="s">
        <v>41</v>
      </c>
      <c r="C286" s="5" t="s">
        <v>1934</v>
      </c>
      <c r="D286" s="11" t="s">
        <v>1888</v>
      </c>
      <c r="E286" s="11" t="s">
        <v>1935</v>
      </c>
      <c r="F286" s="11" t="s">
        <v>1936</v>
      </c>
      <c r="G286" s="11" t="s">
        <v>1937</v>
      </c>
      <c r="H286" s="11" t="s">
        <v>137</v>
      </c>
      <c r="I286" s="6" t="s">
        <v>11</v>
      </c>
      <c r="J286" s="11" t="s">
        <v>46</v>
      </c>
      <c r="K286" s="11" t="s">
        <v>1892</v>
      </c>
      <c r="L286" s="11" t="s">
        <v>1938</v>
      </c>
      <c r="M286" s="11" t="s">
        <v>1894</v>
      </c>
      <c r="N286" s="11" t="s">
        <v>142</v>
      </c>
      <c r="O286" s="11" t="s">
        <v>142</v>
      </c>
      <c r="P286" s="11" t="s">
        <v>1896</v>
      </c>
      <c r="Q286" s="11" t="s">
        <v>1897</v>
      </c>
      <c r="R286" s="11" t="s">
        <v>1939</v>
      </c>
    </row>
    <row r="287" spans="1:18" x14ac:dyDescent="0.25">
      <c r="A287" s="6">
        <v>286</v>
      </c>
      <c r="B287" s="11" t="s">
        <v>41</v>
      </c>
      <c r="C287" s="5" t="s">
        <v>1940</v>
      </c>
      <c r="D287" s="11" t="s">
        <v>1888</v>
      </c>
      <c r="E287" s="11" t="s">
        <v>1941</v>
      </c>
      <c r="F287" s="11" t="s">
        <v>1942</v>
      </c>
      <c r="G287" s="11" t="s">
        <v>1943</v>
      </c>
      <c r="H287" s="11" t="s">
        <v>137</v>
      </c>
      <c r="I287" s="6" t="s">
        <v>11</v>
      </c>
      <c r="J287" s="11" t="s">
        <v>46</v>
      </c>
      <c r="K287" s="11" t="s">
        <v>1892</v>
      </c>
      <c r="L287" s="11" t="s">
        <v>1938</v>
      </c>
      <c r="M287" s="11" t="s">
        <v>1894</v>
      </c>
      <c r="N287" s="11" t="s">
        <v>1944</v>
      </c>
      <c r="O287" s="11" t="s">
        <v>142</v>
      </c>
      <c r="P287" s="11" t="s">
        <v>1896</v>
      </c>
      <c r="Q287" s="11" t="s">
        <v>1897</v>
      </c>
      <c r="R287" s="11" t="s">
        <v>1945</v>
      </c>
    </row>
    <row r="288" spans="1:18" x14ac:dyDescent="0.25">
      <c r="A288" s="6">
        <v>287</v>
      </c>
      <c r="B288" s="11" t="s">
        <v>41</v>
      </c>
      <c r="C288" s="5" t="s">
        <v>1946</v>
      </c>
      <c r="D288" s="11" t="s">
        <v>1888</v>
      </c>
      <c r="E288" s="11" t="s">
        <v>1947</v>
      </c>
      <c r="F288" s="11" t="s">
        <v>1948</v>
      </c>
      <c r="G288" s="11" t="s">
        <v>1949</v>
      </c>
      <c r="H288" s="11" t="s">
        <v>137</v>
      </c>
      <c r="I288" s="6" t="s">
        <v>11</v>
      </c>
      <c r="J288" s="11" t="s">
        <v>46</v>
      </c>
      <c r="K288" s="11" t="s">
        <v>1892</v>
      </c>
      <c r="L288" s="11" t="s">
        <v>1938</v>
      </c>
      <c r="M288" s="11" t="s">
        <v>1894</v>
      </c>
      <c r="N288" s="11" t="s">
        <v>142</v>
      </c>
      <c r="O288" s="11" t="s">
        <v>142</v>
      </c>
      <c r="P288" s="11" t="s">
        <v>1896</v>
      </c>
      <c r="Q288" s="11" t="s">
        <v>1897</v>
      </c>
      <c r="R288" s="11" t="s">
        <v>1950</v>
      </c>
    </row>
    <row r="289" spans="1:18" x14ac:dyDescent="0.25">
      <c r="A289" s="6">
        <v>288</v>
      </c>
      <c r="B289" s="11" t="s">
        <v>41</v>
      </c>
      <c r="C289" s="5" t="s">
        <v>1951</v>
      </c>
      <c r="D289" s="11" t="s">
        <v>671</v>
      </c>
      <c r="E289" s="11" t="s">
        <v>1952</v>
      </c>
      <c r="F289" s="11" t="s">
        <v>1953</v>
      </c>
      <c r="G289" s="11" t="s">
        <v>1954</v>
      </c>
      <c r="H289" s="11" t="s">
        <v>137</v>
      </c>
      <c r="I289" s="6" t="s">
        <v>11</v>
      </c>
      <c r="J289" s="11" t="s">
        <v>46</v>
      </c>
      <c r="K289" s="11" t="s">
        <v>1955</v>
      </c>
      <c r="L289" s="11" t="s">
        <v>1956</v>
      </c>
      <c r="M289" s="11" t="s">
        <v>1894</v>
      </c>
      <c r="N289" s="11" t="s">
        <v>142</v>
      </c>
      <c r="O289" s="11" t="s">
        <v>1957</v>
      </c>
      <c r="P289" s="11" t="s">
        <v>1896</v>
      </c>
      <c r="Q289" s="11" t="s">
        <v>1897</v>
      </c>
      <c r="R289" s="11" t="s">
        <v>1958</v>
      </c>
    </row>
    <row r="290" spans="1:18" x14ac:dyDescent="0.25">
      <c r="A290" s="6">
        <v>289</v>
      </c>
      <c r="B290" s="11" t="s">
        <v>41</v>
      </c>
      <c r="C290" s="5" t="s">
        <v>1959</v>
      </c>
      <c r="D290" s="11" t="s">
        <v>1888</v>
      </c>
      <c r="E290" s="11" t="s">
        <v>1960</v>
      </c>
      <c r="F290" s="11" t="s">
        <v>1961</v>
      </c>
      <c r="G290" s="11" t="s">
        <v>1962</v>
      </c>
      <c r="H290" s="11" t="s">
        <v>137</v>
      </c>
      <c r="I290" s="6" t="s">
        <v>11</v>
      </c>
      <c r="J290" s="11" t="s">
        <v>46</v>
      </c>
      <c r="K290" s="11" t="s">
        <v>1892</v>
      </c>
      <c r="L290" s="11" t="s">
        <v>1963</v>
      </c>
      <c r="M290" s="11" t="s">
        <v>1894</v>
      </c>
      <c r="N290" s="11" t="s">
        <v>142</v>
      </c>
      <c r="O290" s="11" t="s">
        <v>142</v>
      </c>
      <c r="P290" s="11" t="s">
        <v>1896</v>
      </c>
      <c r="Q290" s="11" t="s">
        <v>1897</v>
      </c>
      <c r="R290" s="11" t="s">
        <v>1964</v>
      </c>
    </row>
    <row r="291" spans="1:18" x14ac:dyDescent="0.25">
      <c r="A291" s="6">
        <v>290</v>
      </c>
      <c r="B291" s="11" t="s">
        <v>41</v>
      </c>
      <c r="C291" s="5" t="s">
        <v>1965</v>
      </c>
      <c r="D291" s="11" t="s">
        <v>1888</v>
      </c>
      <c r="E291" s="11" t="s">
        <v>1966</v>
      </c>
      <c r="F291" s="11" t="s">
        <v>1967</v>
      </c>
      <c r="G291" s="11" t="s">
        <v>1968</v>
      </c>
      <c r="H291" s="11" t="s">
        <v>137</v>
      </c>
      <c r="I291" s="6" t="s">
        <v>11</v>
      </c>
      <c r="J291" s="11" t="s">
        <v>46</v>
      </c>
      <c r="K291" s="11" t="s">
        <v>1892</v>
      </c>
      <c r="L291" s="11" t="s">
        <v>1969</v>
      </c>
      <c r="M291" s="11" t="s">
        <v>1894</v>
      </c>
      <c r="N291" s="11" t="s">
        <v>1970</v>
      </c>
      <c r="O291" s="11" t="s">
        <v>142</v>
      </c>
      <c r="P291" s="11" t="s">
        <v>1896</v>
      </c>
      <c r="Q291" s="11" t="s">
        <v>1897</v>
      </c>
      <c r="R291" s="11" t="s">
        <v>1964</v>
      </c>
    </row>
    <row r="292" spans="1:18" x14ac:dyDescent="0.25">
      <c r="A292" s="6">
        <v>291</v>
      </c>
      <c r="B292" s="11" t="s">
        <v>41</v>
      </c>
      <c r="C292" s="5" t="s">
        <v>1971</v>
      </c>
      <c r="D292" s="11" t="s">
        <v>1888</v>
      </c>
      <c r="E292" s="11" t="s">
        <v>1972</v>
      </c>
      <c r="F292" s="11" t="s">
        <v>1973</v>
      </c>
      <c r="G292" s="11" t="s">
        <v>1974</v>
      </c>
      <c r="H292" s="11" t="s">
        <v>137</v>
      </c>
      <c r="I292" s="6" t="s">
        <v>11</v>
      </c>
      <c r="J292" s="11" t="s">
        <v>46</v>
      </c>
      <c r="K292" s="11" t="s">
        <v>1975</v>
      </c>
      <c r="L292" s="11" t="s">
        <v>1976</v>
      </c>
      <c r="M292" s="11" t="s">
        <v>1894</v>
      </c>
      <c r="N292" s="11" t="s">
        <v>142</v>
      </c>
      <c r="O292" s="11" t="s">
        <v>142</v>
      </c>
      <c r="P292" s="11" t="s">
        <v>1896</v>
      </c>
      <c r="Q292" s="11" t="s">
        <v>1897</v>
      </c>
      <c r="R292" s="11" t="s">
        <v>1964</v>
      </c>
    </row>
    <row r="293" spans="1:18" x14ac:dyDescent="0.25">
      <c r="A293" s="6">
        <v>292</v>
      </c>
      <c r="B293" s="11" t="s">
        <v>41</v>
      </c>
      <c r="C293" s="5" t="s">
        <v>1977</v>
      </c>
      <c r="D293" s="11" t="s">
        <v>1888</v>
      </c>
      <c r="E293" s="11" t="s">
        <v>1978</v>
      </c>
      <c r="F293" s="11" t="s">
        <v>1979</v>
      </c>
      <c r="G293" s="11" t="s">
        <v>1980</v>
      </c>
      <c r="H293" s="11" t="s">
        <v>137</v>
      </c>
      <c r="I293" s="6" t="s">
        <v>11</v>
      </c>
      <c r="J293" s="11" t="s">
        <v>46</v>
      </c>
      <c r="K293" s="11" t="s">
        <v>1892</v>
      </c>
      <c r="L293" s="11" t="s">
        <v>1981</v>
      </c>
      <c r="M293" s="11" t="s">
        <v>1982</v>
      </c>
      <c r="N293" s="11" t="s">
        <v>142</v>
      </c>
      <c r="O293" s="11" t="s">
        <v>142</v>
      </c>
      <c r="P293" s="11" t="s">
        <v>1896</v>
      </c>
      <c r="Q293" s="11" t="s">
        <v>1897</v>
      </c>
      <c r="R293" s="11" t="s">
        <v>1983</v>
      </c>
    </row>
    <row r="294" spans="1:18" x14ac:dyDescent="0.25">
      <c r="A294" s="6">
        <v>293</v>
      </c>
      <c r="B294" s="11" t="s">
        <v>41</v>
      </c>
      <c r="C294" s="5" t="s">
        <v>1984</v>
      </c>
      <c r="D294" s="11" t="s">
        <v>1888</v>
      </c>
      <c r="E294" s="11" t="s">
        <v>1985</v>
      </c>
      <c r="F294" s="11" t="s">
        <v>1986</v>
      </c>
      <c r="G294" s="11" t="s">
        <v>1987</v>
      </c>
      <c r="H294" s="11" t="s">
        <v>137</v>
      </c>
      <c r="I294" s="6" t="s">
        <v>11</v>
      </c>
      <c r="J294" s="11" t="s">
        <v>46</v>
      </c>
      <c r="K294" s="11" t="s">
        <v>1892</v>
      </c>
      <c r="L294" s="11" t="s">
        <v>1988</v>
      </c>
      <c r="M294" s="11" t="s">
        <v>1989</v>
      </c>
      <c r="N294" s="11" t="s">
        <v>142</v>
      </c>
      <c r="O294" s="11" t="s">
        <v>142</v>
      </c>
      <c r="P294" s="11" t="s">
        <v>1896</v>
      </c>
      <c r="Q294" s="11" t="s">
        <v>1897</v>
      </c>
      <c r="R294" s="11" t="s">
        <v>1990</v>
      </c>
    </row>
    <row r="295" spans="1:18" x14ac:dyDescent="0.25">
      <c r="A295" s="6">
        <v>294</v>
      </c>
      <c r="B295" s="11" t="s">
        <v>41</v>
      </c>
      <c r="C295" s="5" t="s">
        <v>1991</v>
      </c>
      <c r="D295" s="11" t="s">
        <v>1888</v>
      </c>
      <c r="E295" s="11" t="s">
        <v>1992</v>
      </c>
      <c r="F295" s="11" t="s">
        <v>1993</v>
      </c>
      <c r="G295" s="11" t="s">
        <v>1968</v>
      </c>
      <c r="H295" s="11" t="s">
        <v>137</v>
      </c>
      <c r="I295" s="6" t="s">
        <v>11</v>
      </c>
      <c r="J295" s="11" t="s">
        <v>46</v>
      </c>
      <c r="K295" s="11" t="s">
        <v>1892</v>
      </c>
      <c r="L295" s="11" t="s">
        <v>1994</v>
      </c>
      <c r="M295" s="11" t="s">
        <v>1995</v>
      </c>
      <c r="N295" s="11" t="s">
        <v>142</v>
      </c>
      <c r="O295" s="11" t="s">
        <v>142</v>
      </c>
      <c r="P295" s="11" t="s">
        <v>1896</v>
      </c>
      <c r="Q295" s="11" t="s">
        <v>1897</v>
      </c>
      <c r="R295" s="11" t="s">
        <v>1964</v>
      </c>
    </row>
    <row r="296" spans="1:18" x14ac:dyDescent="0.25">
      <c r="A296" s="6">
        <v>295</v>
      </c>
      <c r="B296" s="11" t="s">
        <v>41</v>
      </c>
      <c r="C296" s="5" t="s">
        <v>1996</v>
      </c>
      <c r="D296" s="11" t="s">
        <v>1888</v>
      </c>
      <c r="E296" s="11" t="s">
        <v>1997</v>
      </c>
      <c r="F296" s="11" t="s">
        <v>1998</v>
      </c>
      <c r="G296" s="11" t="s">
        <v>1999</v>
      </c>
      <c r="H296" s="11" t="s">
        <v>137</v>
      </c>
      <c r="I296" s="6" t="s">
        <v>11</v>
      </c>
      <c r="J296" s="11" t="s">
        <v>46</v>
      </c>
      <c r="K296" s="11" t="s">
        <v>1892</v>
      </c>
      <c r="L296" s="11" t="s">
        <v>2000</v>
      </c>
      <c r="M296" s="11" t="s">
        <v>1894</v>
      </c>
      <c r="N296" s="11" t="s">
        <v>142</v>
      </c>
      <c r="O296" s="11" t="s">
        <v>142</v>
      </c>
      <c r="P296" s="11" t="s">
        <v>1896</v>
      </c>
      <c r="Q296" s="11" t="s">
        <v>1897</v>
      </c>
      <c r="R296" s="11" t="s">
        <v>2001</v>
      </c>
    </row>
    <row r="297" spans="1:18" x14ac:dyDescent="0.25">
      <c r="A297" s="6">
        <v>296</v>
      </c>
      <c r="B297" s="11" t="s">
        <v>41</v>
      </c>
      <c r="C297" s="5" t="s">
        <v>2002</v>
      </c>
      <c r="D297" s="11" t="s">
        <v>1888</v>
      </c>
      <c r="E297" s="11" t="s">
        <v>2003</v>
      </c>
      <c r="F297" s="11" t="s">
        <v>2004</v>
      </c>
      <c r="G297" s="11" t="s">
        <v>2005</v>
      </c>
      <c r="H297" s="11" t="s">
        <v>137</v>
      </c>
      <c r="I297" s="6" t="s">
        <v>11</v>
      </c>
      <c r="J297" s="11" t="s">
        <v>46</v>
      </c>
      <c r="K297" s="11" t="s">
        <v>2006</v>
      </c>
      <c r="L297" s="11" t="s">
        <v>2007</v>
      </c>
      <c r="M297" s="11" t="s">
        <v>1894</v>
      </c>
      <c r="N297" s="11" t="s">
        <v>142</v>
      </c>
      <c r="O297" s="11" t="s">
        <v>142</v>
      </c>
      <c r="P297" s="11" t="s">
        <v>1896</v>
      </c>
      <c r="Q297" s="11" t="s">
        <v>1897</v>
      </c>
      <c r="R297" s="11" t="s">
        <v>2008</v>
      </c>
    </row>
    <row r="298" spans="1:18" x14ac:dyDescent="0.25">
      <c r="A298" s="6">
        <v>297</v>
      </c>
      <c r="B298" s="11" t="s">
        <v>41</v>
      </c>
      <c r="C298" s="5" t="s">
        <v>2009</v>
      </c>
      <c r="D298" s="11" t="s">
        <v>1888</v>
      </c>
      <c r="E298" s="11" t="s">
        <v>2010</v>
      </c>
      <c r="F298" s="11" t="s">
        <v>2011</v>
      </c>
      <c r="G298" s="11" t="s">
        <v>2012</v>
      </c>
      <c r="H298" s="11" t="s">
        <v>157</v>
      </c>
      <c r="I298" s="6" t="s">
        <v>11</v>
      </c>
      <c r="J298" s="11" t="s">
        <v>46</v>
      </c>
      <c r="K298" s="11" t="s">
        <v>1892</v>
      </c>
      <c r="L298" s="11" t="s">
        <v>2013</v>
      </c>
      <c r="M298" s="11" t="s">
        <v>1894</v>
      </c>
      <c r="N298" s="11" t="s">
        <v>142</v>
      </c>
      <c r="O298" s="11" t="s">
        <v>142</v>
      </c>
      <c r="P298" s="11" t="s">
        <v>1896</v>
      </c>
      <c r="Q298" s="11" t="s">
        <v>1897</v>
      </c>
      <c r="R298" s="11" t="s">
        <v>2014</v>
      </c>
    </row>
    <row r="299" spans="1:18" x14ac:dyDescent="0.25">
      <c r="A299" s="6">
        <v>298</v>
      </c>
      <c r="B299" s="11" t="s">
        <v>41</v>
      </c>
      <c r="C299" s="5" t="s">
        <v>2015</v>
      </c>
      <c r="D299" s="11" t="s">
        <v>1888</v>
      </c>
      <c r="E299" s="11" t="s">
        <v>2016</v>
      </c>
      <c r="F299" s="11" t="s">
        <v>2017</v>
      </c>
      <c r="G299" s="11" t="s">
        <v>2018</v>
      </c>
      <c r="H299" s="11" t="s">
        <v>157</v>
      </c>
      <c r="I299" s="6" t="s">
        <v>11</v>
      </c>
      <c r="J299" s="11" t="s">
        <v>46</v>
      </c>
      <c r="K299" s="11" t="s">
        <v>1892</v>
      </c>
      <c r="L299" s="11" t="s">
        <v>2019</v>
      </c>
      <c r="M299" s="11" t="s">
        <v>1894</v>
      </c>
      <c r="N299" s="11" t="s">
        <v>142</v>
      </c>
      <c r="O299" s="11" t="s">
        <v>142</v>
      </c>
      <c r="P299" s="11" t="s">
        <v>1896</v>
      </c>
      <c r="Q299" s="11" t="s">
        <v>1897</v>
      </c>
      <c r="R299" s="11" t="s">
        <v>2020</v>
      </c>
    </row>
    <row r="300" spans="1:18" x14ac:dyDescent="0.25">
      <c r="A300" s="6">
        <v>299</v>
      </c>
      <c r="B300" s="11" t="s">
        <v>41</v>
      </c>
      <c r="C300" s="5" t="s">
        <v>2021</v>
      </c>
      <c r="D300" s="11" t="s">
        <v>1888</v>
      </c>
      <c r="E300" s="11" t="s">
        <v>2022</v>
      </c>
      <c r="F300" s="11" t="s">
        <v>2023</v>
      </c>
      <c r="G300" s="11" t="s">
        <v>2018</v>
      </c>
      <c r="H300" s="11" t="s">
        <v>157</v>
      </c>
      <c r="I300" s="6" t="s">
        <v>11</v>
      </c>
      <c r="J300" s="11" t="s">
        <v>46</v>
      </c>
      <c r="K300" s="11" t="s">
        <v>1892</v>
      </c>
      <c r="L300" s="11" t="s">
        <v>2019</v>
      </c>
      <c r="M300" s="11" t="s">
        <v>1894</v>
      </c>
      <c r="N300" s="11" t="s">
        <v>142</v>
      </c>
      <c r="O300" s="11" t="s">
        <v>142</v>
      </c>
      <c r="P300" s="11" t="s">
        <v>1896</v>
      </c>
      <c r="Q300" s="11" t="s">
        <v>1897</v>
      </c>
      <c r="R300" s="11" t="s">
        <v>2024</v>
      </c>
    </row>
    <row r="301" spans="1:18" x14ac:dyDescent="0.25">
      <c r="A301" s="6">
        <v>300</v>
      </c>
      <c r="B301" s="11" t="s">
        <v>41</v>
      </c>
      <c r="C301" s="5" t="s">
        <v>2025</v>
      </c>
      <c r="D301" s="11" t="s">
        <v>1274</v>
      </c>
      <c r="E301" s="11" t="s">
        <v>2026</v>
      </c>
      <c r="F301" s="11" t="s">
        <v>2027</v>
      </c>
      <c r="G301" s="11" t="s">
        <v>142</v>
      </c>
      <c r="H301" s="11" t="s">
        <v>137</v>
      </c>
      <c r="I301" s="6" t="s">
        <v>11</v>
      </c>
      <c r="J301" s="11" t="s">
        <v>45</v>
      </c>
      <c r="K301" s="11" t="s">
        <v>2028</v>
      </c>
      <c r="L301" s="11" t="s">
        <v>2029</v>
      </c>
      <c r="M301" s="11" t="s">
        <v>1894</v>
      </c>
      <c r="N301" s="11" t="s">
        <v>2030</v>
      </c>
      <c r="O301" s="11" t="s">
        <v>142</v>
      </c>
      <c r="P301" s="11" t="s">
        <v>1896</v>
      </c>
      <c r="Q301" s="11" t="s">
        <v>1897</v>
      </c>
      <c r="R301" s="11" t="s">
        <v>2031</v>
      </c>
    </row>
    <row r="302" spans="1:18" x14ac:dyDescent="0.25">
      <c r="A302" s="6">
        <v>301</v>
      </c>
      <c r="B302" s="11" t="s">
        <v>41</v>
      </c>
      <c r="C302" s="5" t="s">
        <v>2032</v>
      </c>
      <c r="D302" s="11" t="s">
        <v>1888</v>
      </c>
      <c r="E302" s="11" t="s">
        <v>2033</v>
      </c>
      <c r="F302" s="11" t="s">
        <v>2034</v>
      </c>
      <c r="G302" s="11" t="s">
        <v>142</v>
      </c>
      <c r="H302" s="11" t="s">
        <v>137</v>
      </c>
      <c r="I302" s="6" t="s">
        <v>11</v>
      </c>
      <c r="J302" s="11" t="s">
        <v>45</v>
      </c>
      <c r="K302" s="11" t="s">
        <v>142</v>
      </c>
      <c r="L302" s="11" t="s">
        <v>2035</v>
      </c>
      <c r="M302" s="11" t="s">
        <v>1894</v>
      </c>
      <c r="N302" s="11" t="s">
        <v>142</v>
      </c>
      <c r="O302" s="11" t="s">
        <v>142</v>
      </c>
      <c r="P302" s="11" t="s">
        <v>1896</v>
      </c>
      <c r="Q302" s="11" t="s">
        <v>1897</v>
      </c>
      <c r="R302" s="11" t="s">
        <v>2036</v>
      </c>
    </row>
    <row r="303" spans="1:18" x14ac:dyDescent="0.25">
      <c r="A303" s="6">
        <v>302</v>
      </c>
      <c r="B303" s="11" t="s">
        <v>41</v>
      </c>
      <c r="C303" s="5" t="s">
        <v>2037</v>
      </c>
      <c r="D303" s="11" t="s">
        <v>1888</v>
      </c>
      <c r="E303" s="11" t="s">
        <v>2038</v>
      </c>
      <c r="F303" s="11" t="s">
        <v>2039</v>
      </c>
      <c r="G303" s="11" t="s">
        <v>2040</v>
      </c>
      <c r="H303" s="11" t="s">
        <v>137</v>
      </c>
      <c r="I303" s="6" t="s">
        <v>11</v>
      </c>
      <c r="J303" s="11" t="s">
        <v>46</v>
      </c>
      <c r="K303" s="11" t="s">
        <v>1892</v>
      </c>
      <c r="L303" s="11" t="s">
        <v>2041</v>
      </c>
      <c r="M303" s="11" t="s">
        <v>2042</v>
      </c>
      <c r="N303" s="11" t="s">
        <v>142</v>
      </c>
      <c r="O303" s="11" t="s">
        <v>142</v>
      </c>
      <c r="P303" s="11" t="s">
        <v>1896</v>
      </c>
      <c r="Q303" s="11" t="s">
        <v>1897</v>
      </c>
      <c r="R303" s="11" t="s">
        <v>2043</v>
      </c>
    </row>
    <row r="304" spans="1:18" x14ac:dyDescent="0.25">
      <c r="A304" s="6">
        <v>303</v>
      </c>
      <c r="B304" s="11" t="s">
        <v>41</v>
      </c>
      <c r="C304" s="5" t="s">
        <v>2044</v>
      </c>
      <c r="D304" s="11" t="s">
        <v>1888</v>
      </c>
      <c r="E304" s="11" t="s">
        <v>2045</v>
      </c>
      <c r="F304" s="11" t="s">
        <v>2046</v>
      </c>
      <c r="G304" s="11" t="s">
        <v>2040</v>
      </c>
      <c r="H304" s="11" t="s">
        <v>137</v>
      </c>
      <c r="I304" s="6" t="s">
        <v>11</v>
      </c>
      <c r="J304" s="11" t="s">
        <v>46</v>
      </c>
      <c r="K304" s="11" t="s">
        <v>1892</v>
      </c>
      <c r="L304" s="11" t="s">
        <v>2047</v>
      </c>
      <c r="M304" s="11" t="s">
        <v>2042</v>
      </c>
      <c r="N304" s="11" t="s">
        <v>142</v>
      </c>
      <c r="O304" s="11" t="s">
        <v>142</v>
      </c>
      <c r="P304" s="11" t="s">
        <v>1896</v>
      </c>
      <c r="Q304" s="11" t="s">
        <v>1897</v>
      </c>
      <c r="R304" s="11" t="s">
        <v>2048</v>
      </c>
    </row>
    <row r="305" spans="1:18" x14ac:dyDescent="0.25">
      <c r="A305" s="6">
        <v>304</v>
      </c>
      <c r="B305" s="11" t="s">
        <v>41</v>
      </c>
      <c r="C305" s="5" t="s">
        <v>2049</v>
      </c>
      <c r="D305" s="11" t="s">
        <v>1888</v>
      </c>
      <c r="E305" s="11" t="s">
        <v>2050</v>
      </c>
      <c r="F305" s="11" t="s">
        <v>2051</v>
      </c>
      <c r="G305" s="11" t="s">
        <v>1962</v>
      </c>
      <c r="H305" s="11" t="s">
        <v>137</v>
      </c>
      <c r="I305" s="6" t="s">
        <v>11</v>
      </c>
      <c r="J305" s="11" t="s">
        <v>46</v>
      </c>
      <c r="K305" s="11" t="s">
        <v>1892</v>
      </c>
      <c r="L305" s="11" t="s">
        <v>2047</v>
      </c>
      <c r="M305" s="11" t="s">
        <v>2042</v>
      </c>
      <c r="N305" s="11" t="s">
        <v>142</v>
      </c>
      <c r="O305" s="11" t="s">
        <v>142</v>
      </c>
      <c r="P305" s="11" t="s">
        <v>1896</v>
      </c>
      <c r="Q305" s="11" t="s">
        <v>1897</v>
      </c>
      <c r="R305" s="11" t="s">
        <v>2052</v>
      </c>
    </row>
    <row r="306" spans="1:18" x14ac:dyDescent="0.25">
      <c r="A306" s="6">
        <v>305</v>
      </c>
      <c r="B306" s="11" t="s">
        <v>41</v>
      </c>
      <c r="C306" s="5" t="s">
        <v>2053</v>
      </c>
      <c r="D306" s="11" t="s">
        <v>2054</v>
      </c>
      <c r="E306" s="11" t="s">
        <v>2055</v>
      </c>
      <c r="F306" s="11" t="s">
        <v>2056</v>
      </c>
      <c r="G306" s="11" t="s">
        <v>2057</v>
      </c>
      <c r="H306" s="11" t="s">
        <v>137</v>
      </c>
      <c r="I306" s="6" t="s">
        <v>11</v>
      </c>
      <c r="J306" s="11" t="s">
        <v>45</v>
      </c>
      <c r="K306" s="11" t="s">
        <v>149</v>
      </c>
      <c r="L306" s="11" t="s">
        <v>2058</v>
      </c>
      <c r="M306" s="11" t="s">
        <v>2042</v>
      </c>
      <c r="N306" s="11" t="s">
        <v>2059</v>
      </c>
      <c r="O306" s="11" t="s">
        <v>2060</v>
      </c>
      <c r="P306" s="11" t="s">
        <v>1896</v>
      </c>
      <c r="Q306" s="11" t="s">
        <v>1897</v>
      </c>
      <c r="R306" s="11" t="s">
        <v>2061</v>
      </c>
    </row>
    <row r="307" spans="1:18" x14ac:dyDescent="0.25">
      <c r="A307" s="6">
        <v>306</v>
      </c>
      <c r="B307" s="11" t="s">
        <v>42</v>
      </c>
      <c r="C307" s="5" t="s">
        <v>2062</v>
      </c>
      <c r="D307" s="11" t="s">
        <v>176</v>
      </c>
      <c r="E307" s="11" t="s">
        <v>2063</v>
      </c>
      <c r="F307" s="11" t="s">
        <v>2064</v>
      </c>
      <c r="G307" s="11" t="s">
        <v>2065</v>
      </c>
      <c r="H307" s="11" t="s">
        <v>137</v>
      </c>
      <c r="I307" s="6" t="s">
        <v>11</v>
      </c>
      <c r="J307" s="11" t="s">
        <v>45</v>
      </c>
      <c r="K307" s="11" t="s">
        <v>2066</v>
      </c>
      <c r="L307" s="11" t="s">
        <v>2067</v>
      </c>
      <c r="M307" s="11" t="s">
        <v>1894</v>
      </c>
      <c r="N307" s="11" t="s">
        <v>142</v>
      </c>
      <c r="O307" s="11" t="s">
        <v>142</v>
      </c>
      <c r="P307" s="11" t="s">
        <v>1896</v>
      </c>
      <c r="Q307" s="11" t="s">
        <v>1897</v>
      </c>
      <c r="R307" s="11" t="s">
        <v>2068</v>
      </c>
    </row>
    <row r="308" spans="1:18" x14ac:dyDescent="0.25">
      <c r="A308" s="6">
        <v>307</v>
      </c>
      <c r="B308" s="11" t="s">
        <v>42</v>
      </c>
      <c r="C308" s="5" t="s">
        <v>2069</v>
      </c>
      <c r="D308" s="11" t="s">
        <v>176</v>
      </c>
      <c r="E308" s="11" t="s">
        <v>2070</v>
      </c>
      <c r="F308" s="11" t="s">
        <v>2071</v>
      </c>
      <c r="G308" s="11" t="s">
        <v>2072</v>
      </c>
      <c r="H308" s="11" t="s">
        <v>157</v>
      </c>
      <c r="I308" s="6" t="s">
        <v>11</v>
      </c>
      <c r="J308" s="11" t="s">
        <v>45</v>
      </c>
      <c r="K308" s="11" t="s">
        <v>149</v>
      </c>
      <c r="L308" s="11" t="s">
        <v>2073</v>
      </c>
      <c r="M308" s="11" t="s">
        <v>1894</v>
      </c>
      <c r="N308" s="11" t="s">
        <v>142</v>
      </c>
      <c r="O308" s="11" t="s">
        <v>142</v>
      </c>
      <c r="P308" s="11" t="s">
        <v>1896</v>
      </c>
      <c r="Q308" s="11" t="s">
        <v>1897</v>
      </c>
      <c r="R308" s="11" t="s">
        <v>2074</v>
      </c>
    </row>
    <row r="309" spans="1:18" x14ac:dyDescent="0.25">
      <c r="A309" s="6">
        <v>308</v>
      </c>
      <c r="B309" s="11" t="s">
        <v>42</v>
      </c>
      <c r="C309" s="5" t="s">
        <v>2075</v>
      </c>
      <c r="D309" s="11" t="s">
        <v>176</v>
      </c>
      <c r="E309" s="11" t="s">
        <v>2076</v>
      </c>
      <c r="F309" s="11" t="s">
        <v>2077</v>
      </c>
      <c r="G309" s="11" t="s">
        <v>2078</v>
      </c>
      <c r="H309" s="11" t="s">
        <v>157</v>
      </c>
      <c r="I309" s="6" t="s">
        <v>11</v>
      </c>
      <c r="J309" s="11" t="s">
        <v>45</v>
      </c>
      <c r="K309" s="11" t="s">
        <v>149</v>
      </c>
      <c r="L309" s="11" t="s">
        <v>2079</v>
      </c>
      <c r="M309" s="11" t="s">
        <v>1767</v>
      </c>
      <c r="N309" s="11" t="s">
        <v>142</v>
      </c>
      <c r="O309" s="11" t="s">
        <v>142</v>
      </c>
      <c r="P309" s="11" t="s">
        <v>1896</v>
      </c>
      <c r="Q309" s="11" t="s">
        <v>1897</v>
      </c>
      <c r="R309" s="11" t="s">
        <v>2080</v>
      </c>
    </row>
    <row r="310" spans="1:18" x14ac:dyDescent="0.25">
      <c r="A310" s="6">
        <v>309</v>
      </c>
      <c r="B310" s="11" t="s">
        <v>42</v>
      </c>
      <c r="C310" s="5" t="s">
        <v>2081</v>
      </c>
      <c r="D310" s="11" t="s">
        <v>176</v>
      </c>
      <c r="E310" s="11" t="s">
        <v>2082</v>
      </c>
      <c r="F310" s="11" t="s">
        <v>2083</v>
      </c>
      <c r="G310" s="11" t="s">
        <v>2078</v>
      </c>
      <c r="H310" s="11" t="s">
        <v>157</v>
      </c>
      <c r="I310" s="6" t="s">
        <v>11</v>
      </c>
      <c r="J310" s="11" t="s">
        <v>45</v>
      </c>
      <c r="K310" s="11" t="s">
        <v>149</v>
      </c>
      <c r="L310" s="11" t="s">
        <v>2084</v>
      </c>
      <c r="M310" s="11" t="s">
        <v>1894</v>
      </c>
      <c r="N310" s="11" t="s">
        <v>142</v>
      </c>
      <c r="O310" s="11" t="s">
        <v>142</v>
      </c>
      <c r="P310" s="11" t="s">
        <v>1896</v>
      </c>
      <c r="Q310" s="11" t="s">
        <v>1897</v>
      </c>
      <c r="R310" s="11" t="s">
        <v>2085</v>
      </c>
    </row>
    <row r="311" spans="1:18" x14ac:dyDescent="0.25">
      <c r="A311" s="6">
        <v>310</v>
      </c>
      <c r="B311" s="11" t="s">
        <v>42</v>
      </c>
      <c r="C311" s="5" t="s">
        <v>2086</v>
      </c>
      <c r="D311" s="11" t="s">
        <v>214</v>
      </c>
      <c r="E311" s="11" t="s">
        <v>2087</v>
      </c>
      <c r="F311" s="11" t="s">
        <v>2088</v>
      </c>
      <c r="G311" s="11" t="s">
        <v>2089</v>
      </c>
      <c r="H311" s="11" t="s">
        <v>157</v>
      </c>
      <c r="I311" s="6" t="s">
        <v>11</v>
      </c>
      <c r="J311" s="11" t="s">
        <v>45</v>
      </c>
      <c r="K311" s="11" t="s">
        <v>149</v>
      </c>
      <c r="L311" s="11" t="s">
        <v>2090</v>
      </c>
      <c r="M311" s="11" t="s">
        <v>1767</v>
      </c>
      <c r="N311" s="11" t="s">
        <v>142</v>
      </c>
      <c r="O311" s="11" t="s">
        <v>142</v>
      </c>
      <c r="P311" s="11" t="s">
        <v>1896</v>
      </c>
      <c r="Q311" s="11" t="s">
        <v>1897</v>
      </c>
      <c r="R311" s="11" t="s">
        <v>2091</v>
      </c>
    </row>
    <row r="312" spans="1:18" x14ac:dyDescent="0.25">
      <c r="A312" s="6">
        <v>311</v>
      </c>
      <c r="B312" s="11" t="s">
        <v>42</v>
      </c>
      <c r="C312" s="5" t="s">
        <v>2092</v>
      </c>
      <c r="D312" s="11" t="s">
        <v>1507</v>
      </c>
      <c r="E312" s="11" t="s">
        <v>2093</v>
      </c>
      <c r="F312" s="11" t="s">
        <v>2094</v>
      </c>
      <c r="G312" s="11" t="s">
        <v>142</v>
      </c>
      <c r="H312" s="11" t="s">
        <v>157</v>
      </c>
      <c r="I312" s="6" t="s">
        <v>11</v>
      </c>
      <c r="J312" s="11" t="s">
        <v>45</v>
      </c>
      <c r="K312" s="11" t="s">
        <v>149</v>
      </c>
      <c r="L312" s="11" t="s">
        <v>2095</v>
      </c>
      <c r="M312" s="11" t="s">
        <v>1767</v>
      </c>
      <c r="N312" s="11" t="s">
        <v>142</v>
      </c>
      <c r="O312" s="11" t="s">
        <v>142</v>
      </c>
      <c r="P312" s="11" t="s">
        <v>1896</v>
      </c>
      <c r="Q312" s="11" t="s">
        <v>1897</v>
      </c>
      <c r="R312" s="11" t="s">
        <v>2096</v>
      </c>
    </row>
    <row r="313" spans="1:18" x14ac:dyDescent="0.25">
      <c r="A313" s="6">
        <v>312</v>
      </c>
      <c r="B313" s="11" t="s">
        <v>42</v>
      </c>
      <c r="C313" s="5" t="s">
        <v>2097</v>
      </c>
      <c r="D313" s="11" t="s">
        <v>1298</v>
      </c>
      <c r="E313" s="11" t="s">
        <v>2098</v>
      </c>
      <c r="F313" s="11" t="s">
        <v>2099</v>
      </c>
      <c r="G313" s="11" t="s">
        <v>142</v>
      </c>
      <c r="H313" s="11" t="s">
        <v>157</v>
      </c>
      <c r="I313" s="6" t="s">
        <v>11</v>
      </c>
      <c r="J313" s="11" t="s">
        <v>45</v>
      </c>
      <c r="K313" s="11" t="s">
        <v>149</v>
      </c>
      <c r="L313" s="11" t="s">
        <v>2100</v>
      </c>
      <c r="M313" s="11" t="s">
        <v>2101</v>
      </c>
      <c r="N313" s="11" t="s">
        <v>142</v>
      </c>
      <c r="O313" s="11" t="s">
        <v>142</v>
      </c>
      <c r="P313" s="11" t="s">
        <v>1896</v>
      </c>
      <c r="Q313" s="11" t="s">
        <v>1897</v>
      </c>
      <c r="R313" s="11" t="s">
        <v>2102</v>
      </c>
    </row>
    <row r="314" spans="1:18" x14ac:dyDescent="0.25">
      <c r="A314" s="6">
        <v>313</v>
      </c>
      <c r="B314" s="11" t="s">
        <v>42</v>
      </c>
      <c r="C314" s="5" t="s">
        <v>2103</v>
      </c>
      <c r="D314" s="11" t="s">
        <v>246</v>
      </c>
      <c r="E314" s="11" t="s">
        <v>2104</v>
      </c>
      <c r="F314" s="11" t="s">
        <v>2105</v>
      </c>
      <c r="G314" s="11" t="s">
        <v>142</v>
      </c>
      <c r="H314" s="11" t="s">
        <v>157</v>
      </c>
      <c r="I314" s="6" t="s">
        <v>11</v>
      </c>
      <c r="J314" s="11" t="s">
        <v>45</v>
      </c>
      <c r="K314" s="11" t="s">
        <v>149</v>
      </c>
      <c r="L314" s="11" t="s">
        <v>2106</v>
      </c>
      <c r="M314" s="11" t="s">
        <v>1767</v>
      </c>
      <c r="N314" s="11" t="s">
        <v>142</v>
      </c>
      <c r="O314" s="11" t="s">
        <v>142</v>
      </c>
      <c r="P314" s="11" t="s">
        <v>1896</v>
      </c>
      <c r="Q314" s="11" t="s">
        <v>1897</v>
      </c>
      <c r="R314" s="11" t="s">
        <v>2107</v>
      </c>
    </row>
    <row r="315" spans="1:18" x14ac:dyDescent="0.25">
      <c r="A315" s="6">
        <v>314</v>
      </c>
      <c r="B315" s="11" t="s">
        <v>42</v>
      </c>
      <c r="C315" s="5" t="s">
        <v>2108</v>
      </c>
      <c r="D315" s="11" t="s">
        <v>1507</v>
      </c>
      <c r="E315" s="11" t="s">
        <v>2109</v>
      </c>
      <c r="F315" s="11" t="s">
        <v>2110</v>
      </c>
      <c r="G315" s="11" t="s">
        <v>142</v>
      </c>
      <c r="H315" s="11" t="s">
        <v>157</v>
      </c>
      <c r="I315" s="6" t="s">
        <v>11</v>
      </c>
      <c r="J315" s="11" t="s">
        <v>45</v>
      </c>
      <c r="K315" s="11" t="s">
        <v>149</v>
      </c>
      <c r="L315" s="11" t="s">
        <v>2111</v>
      </c>
      <c r="M315" s="11" t="s">
        <v>1767</v>
      </c>
      <c r="N315" s="11" t="s">
        <v>142</v>
      </c>
      <c r="O315" s="11" t="s">
        <v>142</v>
      </c>
      <c r="P315" s="11" t="s">
        <v>1896</v>
      </c>
      <c r="Q315" s="11" t="s">
        <v>1897</v>
      </c>
      <c r="R315" s="11" t="s">
        <v>2112</v>
      </c>
    </row>
    <row r="316" spans="1:18" x14ac:dyDescent="0.25">
      <c r="A316" s="6">
        <v>315</v>
      </c>
      <c r="B316" s="11" t="s">
        <v>42</v>
      </c>
      <c r="C316" s="5" t="s">
        <v>2113</v>
      </c>
      <c r="D316" s="11" t="s">
        <v>1507</v>
      </c>
      <c r="E316" s="11" t="s">
        <v>2114</v>
      </c>
      <c r="F316" s="11" t="s">
        <v>2115</v>
      </c>
      <c r="G316" s="11" t="s">
        <v>2116</v>
      </c>
      <c r="H316" s="11" t="s">
        <v>137</v>
      </c>
      <c r="I316" s="6" t="s">
        <v>11</v>
      </c>
      <c r="J316" s="11" t="s">
        <v>50</v>
      </c>
      <c r="K316" s="11" t="s">
        <v>149</v>
      </c>
      <c r="L316" s="11" t="s">
        <v>2117</v>
      </c>
      <c r="M316" s="11" t="s">
        <v>1767</v>
      </c>
      <c r="N316" s="11" t="s">
        <v>142</v>
      </c>
      <c r="O316" s="11" t="s">
        <v>142</v>
      </c>
      <c r="P316" s="11" t="s">
        <v>1896</v>
      </c>
      <c r="Q316" s="11" t="s">
        <v>1897</v>
      </c>
      <c r="R316" s="11" t="s">
        <v>2118</v>
      </c>
    </row>
    <row r="317" spans="1:18" x14ac:dyDescent="0.25">
      <c r="A317" s="6">
        <v>316</v>
      </c>
      <c r="B317" s="11" t="s">
        <v>42</v>
      </c>
      <c r="C317" s="5" t="s">
        <v>2119</v>
      </c>
      <c r="D317" s="11" t="s">
        <v>1507</v>
      </c>
      <c r="E317" s="11" t="s">
        <v>2120</v>
      </c>
      <c r="F317" s="11" t="s">
        <v>2121</v>
      </c>
      <c r="G317" s="11" t="s">
        <v>2122</v>
      </c>
      <c r="H317" s="11" t="s">
        <v>137</v>
      </c>
      <c r="I317" s="6" t="s">
        <v>11</v>
      </c>
      <c r="J317" s="11" t="s">
        <v>45</v>
      </c>
      <c r="K317" s="11" t="s">
        <v>149</v>
      </c>
      <c r="L317" s="11" t="s">
        <v>2123</v>
      </c>
      <c r="M317" s="11" t="s">
        <v>2124</v>
      </c>
      <c r="N317" s="11" t="s">
        <v>2125</v>
      </c>
      <c r="O317" s="11" t="s">
        <v>2126</v>
      </c>
      <c r="P317" s="11" t="s">
        <v>1896</v>
      </c>
      <c r="Q317" s="11" t="s">
        <v>1897</v>
      </c>
      <c r="R317" s="11" t="s">
        <v>2127</v>
      </c>
    </row>
    <row r="318" spans="1:18" x14ac:dyDescent="0.25">
      <c r="A318" s="6">
        <v>317</v>
      </c>
      <c r="B318" s="11" t="s">
        <v>42</v>
      </c>
      <c r="C318" s="5" t="s">
        <v>2128</v>
      </c>
      <c r="D318" s="11" t="s">
        <v>176</v>
      </c>
      <c r="E318" s="11" t="s">
        <v>2129</v>
      </c>
      <c r="F318" s="11" t="s">
        <v>2130</v>
      </c>
      <c r="G318" s="11" t="s">
        <v>2131</v>
      </c>
      <c r="H318" s="11" t="s">
        <v>137</v>
      </c>
      <c r="I318" s="6" t="s">
        <v>11</v>
      </c>
      <c r="J318" s="11" t="s">
        <v>45</v>
      </c>
      <c r="K318" s="11" t="s">
        <v>149</v>
      </c>
      <c r="L318" s="11" t="s">
        <v>2132</v>
      </c>
      <c r="M318" s="11" t="s">
        <v>1894</v>
      </c>
      <c r="N318" s="11" t="s">
        <v>142</v>
      </c>
      <c r="O318" s="11" t="s">
        <v>142</v>
      </c>
      <c r="P318" s="11" t="s">
        <v>1896</v>
      </c>
      <c r="Q318" s="11" t="s">
        <v>1897</v>
      </c>
      <c r="R318" s="11" t="s">
        <v>2133</v>
      </c>
    </row>
    <row r="319" spans="1:18" x14ac:dyDescent="0.25">
      <c r="A319" s="6">
        <v>318</v>
      </c>
      <c r="B319" s="11" t="s">
        <v>42</v>
      </c>
      <c r="C319" s="5" t="s">
        <v>2134</v>
      </c>
      <c r="D319" s="11" t="s">
        <v>329</v>
      </c>
      <c r="E319" s="11" t="s">
        <v>2135</v>
      </c>
      <c r="F319" s="11" t="s">
        <v>2136</v>
      </c>
      <c r="G319" s="11" t="s">
        <v>142</v>
      </c>
      <c r="H319" s="11" t="s">
        <v>157</v>
      </c>
      <c r="I319" s="6" t="s">
        <v>11</v>
      </c>
      <c r="J319" s="11" t="s">
        <v>45</v>
      </c>
      <c r="K319" s="11" t="s">
        <v>149</v>
      </c>
      <c r="L319" s="11" t="s">
        <v>2137</v>
      </c>
      <c r="M319" s="11" t="s">
        <v>1894</v>
      </c>
      <c r="N319" s="11" t="s">
        <v>142</v>
      </c>
      <c r="O319" s="11" t="s">
        <v>142</v>
      </c>
      <c r="P319" s="11" t="s">
        <v>1896</v>
      </c>
      <c r="Q319" s="11" t="s">
        <v>1897</v>
      </c>
      <c r="R319" s="11" t="s">
        <v>2138</v>
      </c>
    </row>
    <row r="320" spans="1:18" x14ac:dyDescent="0.25">
      <c r="A320" s="6">
        <v>319</v>
      </c>
      <c r="B320" s="11" t="s">
        <v>42</v>
      </c>
      <c r="C320" s="5" t="s">
        <v>2139</v>
      </c>
      <c r="D320" s="11" t="s">
        <v>176</v>
      </c>
      <c r="E320" s="11" t="s">
        <v>2140</v>
      </c>
      <c r="F320" s="11" t="s">
        <v>2141</v>
      </c>
      <c r="G320" s="11" t="s">
        <v>2142</v>
      </c>
      <c r="H320" s="11" t="s">
        <v>137</v>
      </c>
      <c r="I320" s="6" t="s">
        <v>11</v>
      </c>
      <c r="J320" s="11" t="s">
        <v>45</v>
      </c>
      <c r="K320" s="11" t="s">
        <v>149</v>
      </c>
      <c r="L320" s="11" t="s">
        <v>2143</v>
      </c>
      <c r="M320" s="11" t="s">
        <v>1894</v>
      </c>
      <c r="N320" s="11" t="s">
        <v>142</v>
      </c>
      <c r="O320" s="11" t="s">
        <v>142</v>
      </c>
      <c r="P320" s="11" t="s">
        <v>1896</v>
      </c>
      <c r="Q320" s="11" t="s">
        <v>1897</v>
      </c>
      <c r="R320" s="11" t="s">
        <v>2144</v>
      </c>
    </row>
    <row r="321" spans="1:18" x14ac:dyDescent="0.25">
      <c r="A321" s="6">
        <v>320</v>
      </c>
      <c r="B321" s="11" t="s">
        <v>42</v>
      </c>
      <c r="C321" s="5" t="s">
        <v>2145</v>
      </c>
      <c r="D321" s="11" t="s">
        <v>176</v>
      </c>
      <c r="E321" s="11" t="s">
        <v>2146</v>
      </c>
      <c r="F321" s="11" t="s">
        <v>2147</v>
      </c>
      <c r="G321" s="11" t="s">
        <v>2148</v>
      </c>
      <c r="H321" s="11" t="s">
        <v>157</v>
      </c>
      <c r="I321" s="6" t="s">
        <v>11</v>
      </c>
      <c r="J321" s="11" t="s">
        <v>45</v>
      </c>
      <c r="K321" s="11" t="s">
        <v>149</v>
      </c>
      <c r="L321" s="11" t="s">
        <v>2149</v>
      </c>
      <c r="M321" s="11" t="s">
        <v>2150</v>
      </c>
      <c r="N321" s="11" t="s">
        <v>142</v>
      </c>
      <c r="O321" s="11" t="s">
        <v>142</v>
      </c>
      <c r="P321" s="11" t="s">
        <v>1896</v>
      </c>
      <c r="Q321" s="11" t="s">
        <v>1897</v>
      </c>
      <c r="R321" s="11" t="s">
        <v>2151</v>
      </c>
    </row>
    <row r="322" spans="1:18" x14ac:dyDescent="0.25">
      <c r="A322" s="6">
        <v>321</v>
      </c>
      <c r="B322" s="11" t="s">
        <v>42</v>
      </c>
      <c r="C322" s="5" t="s">
        <v>2152</v>
      </c>
      <c r="D322" s="11" t="s">
        <v>176</v>
      </c>
      <c r="E322" s="11" t="s">
        <v>2153</v>
      </c>
      <c r="F322" s="11" t="s">
        <v>2154</v>
      </c>
      <c r="G322" s="11" t="s">
        <v>2155</v>
      </c>
      <c r="H322" s="11" t="s">
        <v>137</v>
      </c>
      <c r="I322" s="6" t="s">
        <v>11</v>
      </c>
      <c r="J322" s="11" t="s">
        <v>46</v>
      </c>
      <c r="K322" s="11" t="s">
        <v>2156</v>
      </c>
      <c r="L322" s="11" t="s">
        <v>2157</v>
      </c>
      <c r="M322" s="11" t="s">
        <v>1894</v>
      </c>
      <c r="N322" s="11" t="s">
        <v>142</v>
      </c>
      <c r="O322" s="11" t="s">
        <v>1957</v>
      </c>
      <c r="P322" s="11" t="s">
        <v>1896</v>
      </c>
      <c r="Q322" s="11" t="s">
        <v>1897</v>
      </c>
      <c r="R322" s="11" t="s">
        <v>2158</v>
      </c>
    </row>
    <row r="323" spans="1:18" x14ac:dyDescent="0.25">
      <c r="A323" s="6">
        <v>322</v>
      </c>
      <c r="B323" s="11" t="s">
        <v>42</v>
      </c>
      <c r="C323" s="5" t="s">
        <v>2159</v>
      </c>
      <c r="D323" s="11" t="s">
        <v>176</v>
      </c>
      <c r="E323" s="11" t="s">
        <v>2160</v>
      </c>
      <c r="F323" s="11" t="s">
        <v>2161</v>
      </c>
      <c r="G323" s="11" t="s">
        <v>2162</v>
      </c>
      <c r="H323" s="11" t="s">
        <v>137</v>
      </c>
      <c r="I323" s="6" t="s">
        <v>11</v>
      </c>
      <c r="J323" s="11" t="s">
        <v>46</v>
      </c>
      <c r="K323" s="11" t="s">
        <v>2156</v>
      </c>
      <c r="L323" s="11" t="s">
        <v>2163</v>
      </c>
      <c r="M323" s="11" t="s">
        <v>2150</v>
      </c>
      <c r="N323" s="11" t="s">
        <v>2164</v>
      </c>
      <c r="O323" s="11" t="s">
        <v>142</v>
      </c>
      <c r="P323" s="11" t="s">
        <v>1896</v>
      </c>
      <c r="Q323" s="11" t="s">
        <v>1897</v>
      </c>
      <c r="R323" s="11" t="s">
        <v>2165</v>
      </c>
    </row>
    <row r="324" spans="1:18" x14ac:dyDescent="0.25">
      <c r="A324" s="6">
        <v>323</v>
      </c>
      <c r="B324" s="11" t="s">
        <v>42</v>
      </c>
      <c r="C324" s="5" t="s">
        <v>2166</v>
      </c>
      <c r="D324" s="11" t="s">
        <v>176</v>
      </c>
      <c r="E324" s="11" t="s">
        <v>2167</v>
      </c>
      <c r="F324" s="11" t="s">
        <v>2168</v>
      </c>
      <c r="G324" s="11" t="s">
        <v>2169</v>
      </c>
      <c r="H324" s="11" t="s">
        <v>137</v>
      </c>
      <c r="I324" s="6" t="s">
        <v>11</v>
      </c>
      <c r="J324" s="11" t="s">
        <v>45</v>
      </c>
      <c r="K324" s="11" t="s">
        <v>2170</v>
      </c>
      <c r="L324" s="11" t="s">
        <v>2171</v>
      </c>
      <c r="M324" s="11" t="s">
        <v>2172</v>
      </c>
      <c r="N324" s="11" t="s">
        <v>142</v>
      </c>
      <c r="O324" s="11" t="s">
        <v>142</v>
      </c>
      <c r="P324" s="11" t="s">
        <v>1896</v>
      </c>
      <c r="Q324" s="11" t="s">
        <v>1897</v>
      </c>
      <c r="R324" s="11" t="s">
        <v>2173</v>
      </c>
    </row>
    <row r="325" spans="1:18" x14ac:dyDescent="0.25">
      <c r="A325" s="6">
        <v>324</v>
      </c>
      <c r="B325" s="11" t="s">
        <v>42</v>
      </c>
      <c r="C325" s="5" t="s">
        <v>2174</v>
      </c>
      <c r="D325" s="11" t="s">
        <v>176</v>
      </c>
      <c r="E325" s="11" t="s">
        <v>2175</v>
      </c>
      <c r="F325" s="11" t="s">
        <v>2176</v>
      </c>
      <c r="G325" s="11" t="s">
        <v>2177</v>
      </c>
      <c r="H325" s="11" t="s">
        <v>137</v>
      </c>
      <c r="I325" s="6" t="s">
        <v>11</v>
      </c>
      <c r="J325" s="11" t="s">
        <v>45</v>
      </c>
      <c r="K325" s="11" t="s">
        <v>2178</v>
      </c>
      <c r="L325" s="11" t="s">
        <v>2179</v>
      </c>
      <c r="M325" s="11" t="s">
        <v>2180</v>
      </c>
      <c r="N325" s="11" t="s">
        <v>142</v>
      </c>
      <c r="O325" s="11" t="s">
        <v>142</v>
      </c>
      <c r="P325" s="11" t="s">
        <v>1896</v>
      </c>
      <c r="Q325" s="11" t="s">
        <v>1897</v>
      </c>
      <c r="R325" s="11" t="s">
        <v>2181</v>
      </c>
    </row>
    <row r="326" spans="1:18" x14ac:dyDescent="0.25">
      <c r="A326" s="6">
        <v>325</v>
      </c>
      <c r="B326" s="11" t="s">
        <v>42</v>
      </c>
      <c r="C326" s="5" t="s">
        <v>2182</v>
      </c>
      <c r="D326" s="11" t="s">
        <v>2054</v>
      </c>
      <c r="E326" s="11" t="s">
        <v>2183</v>
      </c>
      <c r="F326" s="11" t="s">
        <v>2184</v>
      </c>
      <c r="G326" s="11" t="s">
        <v>2057</v>
      </c>
      <c r="H326" s="11" t="s">
        <v>137</v>
      </c>
      <c r="I326" s="6" t="s">
        <v>11</v>
      </c>
      <c r="J326" s="11" t="s">
        <v>45</v>
      </c>
      <c r="K326" s="11" t="s">
        <v>149</v>
      </c>
      <c r="L326" s="11" t="s">
        <v>2185</v>
      </c>
      <c r="M326" s="11" t="s">
        <v>1989</v>
      </c>
      <c r="N326" s="11" t="s">
        <v>2186</v>
      </c>
      <c r="O326" s="11" t="s">
        <v>2187</v>
      </c>
      <c r="P326" s="11" t="s">
        <v>1896</v>
      </c>
      <c r="Q326" s="11" t="s">
        <v>1897</v>
      </c>
      <c r="R326" s="11" t="s">
        <v>2061</v>
      </c>
    </row>
    <row r="327" spans="1:18" x14ac:dyDescent="0.25">
      <c r="A327" s="6">
        <v>326</v>
      </c>
      <c r="B327" s="11" t="s">
        <v>42</v>
      </c>
      <c r="C327" s="5" t="s">
        <v>2188</v>
      </c>
      <c r="D327" s="11" t="s">
        <v>1507</v>
      </c>
      <c r="E327" s="11" t="s">
        <v>2189</v>
      </c>
      <c r="F327" s="11" t="s">
        <v>2190</v>
      </c>
      <c r="G327" s="11" t="s">
        <v>2191</v>
      </c>
      <c r="H327" s="11" t="s">
        <v>157</v>
      </c>
      <c r="I327" s="6" t="s">
        <v>11</v>
      </c>
      <c r="J327" s="11" t="s">
        <v>45</v>
      </c>
      <c r="K327" s="11" t="s">
        <v>149</v>
      </c>
      <c r="L327" s="11" t="s">
        <v>2192</v>
      </c>
      <c r="M327" s="11" t="s">
        <v>1989</v>
      </c>
      <c r="N327" s="11" t="s">
        <v>2193</v>
      </c>
      <c r="O327" s="11" t="s">
        <v>2194</v>
      </c>
      <c r="P327" s="11" t="s">
        <v>1896</v>
      </c>
      <c r="Q327" s="11" t="s">
        <v>1897</v>
      </c>
      <c r="R327" s="11" t="s">
        <v>2195</v>
      </c>
    </row>
    <row r="328" spans="1:18" x14ac:dyDescent="0.25">
      <c r="A328" s="6">
        <v>327</v>
      </c>
      <c r="B328" s="11" t="s">
        <v>42</v>
      </c>
      <c r="C328" s="5" t="s">
        <v>2196</v>
      </c>
      <c r="D328" s="11" t="s">
        <v>1507</v>
      </c>
      <c r="E328" s="11" t="s">
        <v>2197</v>
      </c>
      <c r="F328" s="11" t="s">
        <v>2198</v>
      </c>
      <c r="G328" s="11" t="s">
        <v>2199</v>
      </c>
      <c r="H328" s="11" t="s">
        <v>137</v>
      </c>
      <c r="I328" s="6" t="s">
        <v>11</v>
      </c>
      <c r="J328" s="11" t="s">
        <v>50</v>
      </c>
      <c r="K328" s="11" t="s">
        <v>149</v>
      </c>
      <c r="L328" s="11" t="s">
        <v>2200</v>
      </c>
      <c r="M328" s="11" t="s">
        <v>1982</v>
      </c>
      <c r="N328" s="11" t="s">
        <v>142</v>
      </c>
      <c r="O328" s="11" t="s">
        <v>142</v>
      </c>
      <c r="P328" s="11" t="s">
        <v>1896</v>
      </c>
      <c r="Q328" s="11" t="s">
        <v>1897</v>
      </c>
      <c r="R328" s="11" t="s">
        <v>2201</v>
      </c>
    </row>
    <row r="329" spans="1:18" x14ac:dyDescent="0.25">
      <c r="A329" s="6">
        <v>328</v>
      </c>
      <c r="B329" s="11" t="s">
        <v>42</v>
      </c>
      <c r="C329" s="5" t="s">
        <v>2202</v>
      </c>
      <c r="D329" s="11" t="s">
        <v>1576</v>
      </c>
      <c r="E329" s="11" t="s">
        <v>2203</v>
      </c>
      <c r="F329" s="11" t="s">
        <v>2204</v>
      </c>
      <c r="G329" s="11" t="s">
        <v>2205</v>
      </c>
      <c r="H329" s="11" t="s">
        <v>137</v>
      </c>
      <c r="I329" s="6" t="s">
        <v>11</v>
      </c>
      <c r="J329" s="11" t="s">
        <v>45</v>
      </c>
      <c r="K329" s="11" t="s">
        <v>149</v>
      </c>
      <c r="L329" s="11" t="s">
        <v>2206</v>
      </c>
      <c r="M329" s="11" t="s">
        <v>2207</v>
      </c>
      <c r="N329" s="11" t="s">
        <v>2208</v>
      </c>
      <c r="O329" s="11" t="s">
        <v>142</v>
      </c>
      <c r="P329" s="11" t="s">
        <v>1896</v>
      </c>
      <c r="Q329" s="11" t="s">
        <v>1897</v>
      </c>
      <c r="R329" s="11" t="s">
        <v>2209</v>
      </c>
    </row>
    <row r="330" spans="1:18" x14ac:dyDescent="0.25">
      <c r="A330" s="6">
        <v>329</v>
      </c>
      <c r="B330" s="11" t="s">
        <v>42</v>
      </c>
      <c r="C330" s="5" t="s">
        <v>2210</v>
      </c>
      <c r="D330" s="11" t="s">
        <v>1576</v>
      </c>
      <c r="E330" s="11" t="s">
        <v>2211</v>
      </c>
      <c r="F330" s="11" t="s">
        <v>2212</v>
      </c>
      <c r="G330" s="11" t="s">
        <v>2213</v>
      </c>
      <c r="H330" s="11" t="s">
        <v>157</v>
      </c>
      <c r="I330" s="6" t="s">
        <v>13</v>
      </c>
      <c r="J330" s="11" t="s">
        <v>53</v>
      </c>
      <c r="K330" s="11" t="s">
        <v>142</v>
      </c>
      <c r="L330" s="11" t="s">
        <v>142</v>
      </c>
      <c r="M330" s="11" t="s">
        <v>142</v>
      </c>
      <c r="N330" s="11" t="s">
        <v>2214</v>
      </c>
      <c r="O330" s="11" t="s">
        <v>2215</v>
      </c>
      <c r="P330" s="11" t="s">
        <v>1896</v>
      </c>
      <c r="Q330" s="11" t="s">
        <v>1897</v>
      </c>
      <c r="R330" s="11" t="s">
        <v>2216</v>
      </c>
    </row>
    <row r="331" spans="1:18" x14ac:dyDescent="0.25">
      <c r="A331" s="6">
        <v>330</v>
      </c>
      <c r="B331" s="11" t="s">
        <v>42</v>
      </c>
      <c r="C331" s="5" t="s">
        <v>2217</v>
      </c>
      <c r="D331" s="11" t="s">
        <v>1576</v>
      </c>
      <c r="E331" s="11" t="s">
        <v>2218</v>
      </c>
      <c r="F331" s="11" t="s">
        <v>2219</v>
      </c>
      <c r="G331" s="11" t="s">
        <v>2220</v>
      </c>
      <c r="H331" s="11" t="s">
        <v>157</v>
      </c>
      <c r="I331" s="6" t="s">
        <v>13</v>
      </c>
      <c r="J331" s="11" t="s">
        <v>53</v>
      </c>
      <c r="K331" s="11" t="s">
        <v>142</v>
      </c>
      <c r="L331" s="11" t="s">
        <v>142</v>
      </c>
      <c r="M331" s="11" t="s">
        <v>142</v>
      </c>
      <c r="N331" s="11" t="s">
        <v>2214</v>
      </c>
      <c r="O331" s="11" t="s">
        <v>2221</v>
      </c>
      <c r="P331" s="11" t="s">
        <v>1896</v>
      </c>
      <c r="Q331" s="11" t="s">
        <v>1897</v>
      </c>
      <c r="R331" s="11" t="s">
        <v>2222</v>
      </c>
    </row>
    <row r="332" spans="1:18" x14ac:dyDescent="0.25">
      <c r="A332" s="6">
        <v>331</v>
      </c>
      <c r="B332" s="11" t="s">
        <v>42</v>
      </c>
      <c r="C332" s="5" t="s">
        <v>2223</v>
      </c>
      <c r="D332" s="11" t="s">
        <v>1576</v>
      </c>
      <c r="E332" s="11" t="s">
        <v>2224</v>
      </c>
      <c r="F332" s="11" t="s">
        <v>2225</v>
      </c>
      <c r="G332" s="11" t="s">
        <v>2226</v>
      </c>
      <c r="H332" s="11" t="s">
        <v>2227</v>
      </c>
      <c r="I332" s="6" t="s">
        <v>13</v>
      </c>
      <c r="J332" s="11" t="s">
        <v>53</v>
      </c>
      <c r="K332" s="11" t="s">
        <v>142</v>
      </c>
      <c r="L332" s="11" t="s">
        <v>142</v>
      </c>
      <c r="M332" s="11" t="s">
        <v>142</v>
      </c>
      <c r="N332" s="11" t="s">
        <v>2214</v>
      </c>
      <c r="O332" s="11" t="s">
        <v>2221</v>
      </c>
      <c r="P332" s="11" t="s">
        <v>1896</v>
      </c>
      <c r="Q332" s="11" t="s">
        <v>1897</v>
      </c>
      <c r="R332" s="11" t="s">
        <v>2228</v>
      </c>
    </row>
    <row r="333" spans="1:18" x14ac:dyDescent="0.25">
      <c r="A333" s="6">
        <v>332</v>
      </c>
      <c r="B333" s="11" t="s">
        <v>42</v>
      </c>
      <c r="C333" s="5" t="s">
        <v>2229</v>
      </c>
      <c r="D333" s="11" t="s">
        <v>1576</v>
      </c>
      <c r="E333" s="11" t="s">
        <v>2230</v>
      </c>
      <c r="F333" s="11" t="s">
        <v>2231</v>
      </c>
      <c r="G333" s="11" t="s">
        <v>2232</v>
      </c>
      <c r="H333" s="11" t="s">
        <v>157</v>
      </c>
      <c r="I333" s="6" t="s">
        <v>14</v>
      </c>
      <c r="J333" s="11" t="s">
        <v>53</v>
      </c>
      <c r="K333" s="11" t="s">
        <v>142</v>
      </c>
      <c r="L333" s="11" t="s">
        <v>142</v>
      </c>
      <c r="M333" s="11" t="s">
        <v>142</v>
      </c>
      <c r="N333" s="11" t="s">
        <v>2233</v>
      </c>
      <c r="O333" s="11" t="s">
        <v>2234</v>
      </c>
      <c r="P333" s="11" t="s">
        <v>1896</v>
      </c>
      <c r="Q333" s="11" t="s">
        <v>1897</v>
      </c>
      <c r="R333" s="11" t="s">
        <v>2235</v>
      </c>
    </row>
    <row r="334" spans="1:18" x14ac:dyDescent="0.25">
      <c r="A334" s="6">
        <v>333</v>
      </c>
      <c r="B334" s="11" t="s">
        <v>42</v>
      </c>
      <c r="C334" s="5" t="s">
        <v>2236</v>
      </c>
      <c r="D334" s="11" t="s">
        <v>1576</v>
      </c>
      <c r="E334" s="11" t="s">
        <v>2237</v>
      </c>
      <c r="F334" s="11" t="s">
        <v>2238</v>
      </c>
      <c r="G334" s="11" t="s">
        <v>142</v>
      </c>
      <c r="H334" s="11" t="s">
        <v>2227</v>
      </c>
      <c r="I334" s="6" t="s">
        <v>13</v>
      </c>
      <c r="J334" s="11" t="s">
        <v>53</v>
      </c>
      <c r="K334" s="11" t="s">
        <v>142</v>
      </c>
      <c r="L334" s="11" t="s">
        <v>142</v>
      </c>
      <c r="M334" s="11" t="s">
        <v>142</v>
      </c>
      <c r="N334" s="11" t="s">
        <v>2214</v>
      </c>
      <c r="O334" s="11" t="s">
        <v>2239</v>
      </c>
      <c r="P334" s="11" t="s">
        <v>1896</v>
      </c>
      <c r="Q334" s="11" t="s">
        <v>1897</v>
      </c>
      <c r="R334" s="11" t="s">
        <v>2240</v>
      </c>
    </row>
    <row r="335" spans="1:18" x14ac:dyDescent="0.25">
      <c r="A335" s="6">
        <v>334</v>
      </c>
      <c r="B335" s="11" t="s">
        <v>42</v>
      </c>
      <c r="C335" s="5" t="s">
        <v>2241</v>
      </c>
      <c r="D335" s="11" t="s">
        <v>1576</v>
      </c>
      <c r="E335" s="11" t="s">
        <v>2242</v>
      </c>
      <c r="F335" s="11" t="s">
        <v>2243</v>
      </c>
      <c r="G335" s="11" t="s">
        <v>142</v>
      </c>
      <c r="H335" s="11" t="s">
        <v>2227</v>
      </c>
      <c r="I335" s="6" t="s">
        <v>14</v>
      </c>
      <c r="J335" s="11" t="s">
        <v>53</v>
      </c>
      <c r="K335" s="11" t="s">
        <v>142</v>
      </c>
      <c r="L335" s="11" t="s">
        <v>142</v>
      </c>
      <c r="M335" s="11" t="s">
        <v>142</v>
      </c>
      <c r="N335" s="11" t="s">
        <v>2244</v>
      </c>
      <c r="O335" s="11" t="s">
        <v>2245</v>
      </c>
      <c r="P335" s="11" t="s">
        <v>1896</v>
      </c>
      <c r="Q335" s="11" t="s">
        <v>1897</v>
      </c>
      <c r="R335" s="11" t="s">
        <v>2246</v>
      </c>
    </row>
    <row r="336" spans="1:18" x14ac:dyDescent="0.25">
      <c r="A336" s="6">
        <v>335</v>
      </c>
      <c r="B336" s="11" t="s">
        <v>42</v>
      </c>
      <c r="C336" s="5" t="s">
        <v>2247</v>
      </c>
      <c r="D336" s="11" t="s">
        <v>1630</v>
      </c>
      <c r="E336" s="11" t="s">
        <v>2248</v>
      </c>
      <c r="F336" s="11" t="s">
        <v>2249</v>
      </c>
      <c r="G336" s="11" t="s">
        <v>142</v>
      </c>
      <c r="H336" s="11" t="s">
        <v>142</v>
      </c>
      <c r="I336" s="6" t="s">
        <v>11</v>
      </c>
      <c r="J336" s="11" t="s">
        <v>51</v>
      </c>
      <c r="K336" s="11" t="s">
        <v>142</v>
      </c>
      <c r="L336" s="11" t="s">
        <v>2250</v>
      </c>
      <c r="M336" s="11" t="s">
        <v>1989</v>
      </c>
      <c r="N336" s="11" t="s">
        <v>142</v>
      </c>
      <c r="O336" s="11" t="s">
        <v>142</v>
      </c>
      <c r="P336" s="11" t="s">
        <v>1896</v>
      </c>
      <c r="Q336" s="11" t="s">
        <v>1897</v>
      </c>
      <c r="R336" s="11" t="s">
        <v>2251</v>
      </c>
    </row>
    <row r="337" spans="1:18" x14ac:dyDescent="0.25">
      <c r="A337" s="6">
        <v>336</v>
      </c>
      <c r="B337" s="11" t="s">
        <v>2252</v>
      </c>
      <c r="C337" s="5" t="s">
        <v>2253</v>
      </c>
      <c r="D337" s="11" t="s">
        <v>2254</v>
      </c>
      <c r="E337" s="11" t="s">
        <v>2255</v>
      </c>
      <c r="F337" s="11" t="s">
        <v>2256</v>
      </c>
      <c r="G337" s="11" t="s">
        <v>142</v>
      </c>
      <c r="H337" s="11" t="s">
        <v>137</v>
      </c>
      <c r="I337" s="6" t="s">
        <v>2257</v>
      </c>
      <c r="J337" s="11" t="s">
        <v>2258</v>
      </c>
      <c r="K337" s="11" t="s">
        <v>2259</v>
      </c>
      <c r="L337" s="11" t="s">
        <v>2260</v>
      </c>
      <c r="M337" s="11" t="s">
        <v>2261</v>
      </c>
      <c r="N337" s="11" t="s">
        <v>142</v>
      </c>
      <c r="O337" s="11" t="s">
        <v>142</v>
      </c>
      <c r="P337" s="11" t="s">
        <v>2262</v>
      </c>
      <c r="Q337" s="11" t="s">
        <v>2263</v>
      </c>
      <c r="R337" s="11" t="s">
        <v>2264</v>
      </c>
    </row>
    <row r="338" spans="1:18" x14ac:dyDescent="0.25">
      <c r="A338" s="6">
        <v>337</v>
      </c>
      <c r="B338" s="11" t="s">
        <v>2252</v>
      </c>
      <c r="C338" s="5" t="s">
        <v>2265</v>
      </c>
      <c r="D338" s="11" t="s">
        <v>2254</v>
      </c>
      <c r="E338" s="11" t="s">
        <v>2266</v>
      </c>
      <c r="F338" s="11" t="s">
        <v>2267</v>
      </c>
      <c r="G338" s="11" t="s">
        <v>142</v>
      </c>
      <c r="H338" s="11" t="s">
        <v>137</v>
      </c>
      <c r="I338" s="6" t="s">
        <v>2257</v>
      </c>
      <c r="J338" s="11" t="s">
        <v>2258</v>
      </c>
      <c r="K338" s="11" t="s">
        <v>2259</v>
      </c>
      <c r="L338" s="11" t="s">
        <v>2260</v>
      </c>
      <c r="M338" s="11" t="s">
        <v>2261</v>
      </c>
      <c r="N338" s="11" t="s">
        <v>2268</v>
      </c>
      <c r="O338" s="11" t="s">
        <v>2269</v>
      </c>
      <c r="P338" s="11" t="s">
        <v>2262</v>
      </c>
      <c r="Q338" s="11" t="s">
        <v>2263</v>
      </c>
      <c r="R338" s="11" t="s">
        <v>2270</v>
      </c>
    </row>
    <row r="339" spans="1:18" x14ac:dyDescent="0.25">
      <c r="A339" s="6">
        <v>338</v>
      </c>
      <c r="B339" s="11" t="s">
        <v>2252</v>
      </c>
      <c r="C339" s="5" t="s">
        <v>2271</v>
      </c>
      <c r="D339" s="11" t="s">
        <v>2254</v>
      </c>
      <c r="E339" s="11" t="s">
        <v>2272</v>
      </c>
      <c r="F339" s="11" t="s">
        <v>2273</v>
      </c>
      <c r="G339" s="11" t="s">
        <v>142</v>
      </c>
      <c r="H339" s="11" t="s">
        <v>137</v>
      </c>
      <c r="I339" s="6" t="s">
        <v>2257</v>
      </c>
      <c r="J339" s="11" t="s">
        <v>2258</v>
      </c>
      <c r="K339" s="11" t="s">
        <v>2259</v>
      </c>
      <c r="L339" s="11" t="s">
        <v>2260</v>
      </c>
      <c r="M339" s="11" t="s">
        <v>2261</v>
      </c>
      <c r="N339" s="11" t="s">
        <v>142</v>
      </c>
      <c r="O339" s="11" t="s">
        <v>142</v>
      </c>
      <c r="P339" s="11" t="s">
        <v>2262</v>
      </c>
      <c r="Q339" s="11" t="s">
        <v>2263</v>
      </c>
      <c r="R339" s="11" t="s">
        <v>2274</v>
      </c>
    </row>
    <row r="340" spans="1:18" x14ac:dyDescent="0.25">
      <c r="A340" s="6">
        <v>339</v>
      </c>
      <c r="B340" s="11" t="s">
        <v>2252</v>
      </c>
      <c r="C340" s="5" t="s">
        <v>2275</v>
      </c>
      <c r="D340" s="11" t="s">
        <v>2254</v>
      </c>
      <c r="E340" s="11" t="s">
        <v>2276</v>
      </c>
      <c r="F340" s="11" t="s">
        <v>2277</v>
      </c>
      <c r="G340" s="11" t="s">
        <v>142</v>
      </c>
      <c r="H340" s="11" t="s">
        <v>137</v>
      </c>
      <c r="I340" s="6" t="s">
        <v>2257</v>
      </c>
      <c r="J340" s="11" t="s">
        <v>2258</v>
      </c>
      <c r="K340" s="11" t="s">
        <v>2259</v>
      </c>
      <c r="L340" s="11" t="s">
        <v>2260</v>
      </c>
      <c r="M340" s="11" t="s">
        <v>2261</v>
      </c>
      <c r="N340" s="11" t="s">
        <v>142</v>
      </c>
      <c r="O340" s="11" t="s">
        <v>142</v>
      </c>
      <c r="P340" s="11" t="s">
        <v>2262</v>
      </c>
      <c r="Q340" s="11" t="s">
        <v>2263</v>
      </c>
      <c r="R340" s="11" t="s">
        <v>2278</v>
      </c>
    </row>
    <row r="341" spans="1:18" x14ac:dyDescent="0.25">
      <c r="A341" s="6">
        <v>340</v>
      </c>
      <c r="B341" s="11" t="s">
        <v>2252</v>
      </c>
      <c r="C341" s="5" t="s">
        <v>2279</v>
      </c>
      <c r="D341" s="11" t="s">
        <v>2254</v>
      </c>
      <c r="E341" s="11" t="s">
        <v>2280</v>
      </c>
      <c r="F341" s="11" t="s">
        <v>2281</v>
      </c>
      <c r="G341" s="11" t="s">
        <v>142</v>
      </c>
      <c r="H341" s="11" t="s">
        <v>137</v>
      </c>
      <c r="I341" s="6" t="s">
        <v>2257</v>
      </c>
      <c r="J341" s="11" t="s">
        <v>2258</v>
      </c>
      <c r="K341" s="11" t="s">
        <v>2282</v>
      </c>
      <c r="L341" s="11" t="s">
        <v>2260</v>
      </c>
      <c r="M341" s="11" t="s">
        <v>2261</v>
      </c>
      <c r="N341" s="11" t="s">
        <v>2283</v>
      </c>
      <c r="O341" s="11" t="s">
        <v>2269</v>
      </c>
      <c r="P341" s="11" t="s">
        <v>2262</v>
      </c>
      <c r="Q341" s="11" t="s">
        <v>2263</v>
      </c>
      <c r="R341" s="11" t="s">
        <v>2284</v>
      </c>
    </row>
    <row r="342" spans="1:18" x14ac:dyDescent="0.25">
      <c r="A342" s="6">
        <v>341</v>
      </c>
      <c r="B342" s="11" t="s">
        <v>2252</v>
      </c>
      <c r="C342" s="5" t="s">
        <v>2285</v>
      </c>
      <c r="D342" s="11" t="s">
        <v>2254</v>
      </c>
      <c r="E342" s="11" t="s">
        <v>2286</v>
      </c>
      <c r="F342" s="11" t="s">
        <v>2287</v>
      </c>
      <c r="G342" s="11" t="s">
        <v>142</v>
      </c>
      <c r="H342" s="11" t="s">
        <v>137</v>
      </c>
      <c r="I342" s="6" t="s">
        <v>2257</v>
      </c>
      <c r="J342" s="11" t="s">
        <v>2258</v>
      </c>
      <c r="K342" s="11" t="s">
        <v>2282</v>
      </c>
      <c r="L342" s="11" t="s">
        <v>2260</v>
      </c>
      <c r="M342" s="11" t="s">
        <v>2261</v>
      </c>
      <c r="N342" s="11" t="s">
        <v>2288</v>
      </c>
      <c r="O342" s="11" t="s">
        <v>2269</v>
      </c>
      <c r="P342" s="11" t="s">
        <v>2262</v>
      </c>
      <c r="Q342" s="11" t="s">
        <v>2263</v>
      </c>
      <c r="R342" s="11" t="s">
        <v>2289</v>
      </c>
    </row>
    <row r="343" spans="1:18" x14ac:dyDescent="0.25">
      <c r="A343" s="6">
        <v>342</v>
      </c>
      <c r="B343" s="11" t="s">
        <v>2252</v>
      </c>
      <c r="C343" s="5" t="s">
        <v>2290</v>
      </c>
      <c r="D343" s="11" t="s">
        <v>2254</v>
      </c>
      <c r="E343" s="11" t="s">
        <v>2291</v>
      </c>
      <c r="F343" s="11" t="s">
        <v>2292</v>
      </c>
      <c r="G343" s="11" t="s">
        <v>142</v>
      </c>
      <c r="H343" s="11" t="s">
        <v>137</v>
      </c>
      <c r="I343" s="6" t="s">
        <v>2257</v>
      </c>
      <c r="J343" s="11" t="s">
        <v>2258</v>
      </c>
      <c r="K343" s="11" t="s">
        <v>2259</v>
      </c>
      <c r="L343" s="11" t="s">
        <v>2260</v>
      </c>
      <c r="M343" s="11" t="s">
        <v>2261</v>
      </c>
      <c r="N343" s="11" t="s">
        <v>142</v>
      </c>
      <c r="O343" s="11" t="s">
        <v>142</v>
      </c>
      <c r="P343" s="11" t="s">
        <v>2262</v>
      </c>
      <c r="Q343" s="11" t="s">
        <v>2263</v>
      </c>
      <c r="R343" s="11" t="s">
        <v>2293</v>
      </c>
    </row>
    <row r="344" spans="1:18" x14ac:dyDescent="0.25">
      <c r="A344" s="6">
        <v>343</v>
      </c>
      <c r="B344" s="11" t="s">
        <v>2252</v>
      </c>
      <c r="C344" s="5" t="s">
        <v>2294</v>
      </c>
      <c r="D344" s="11" t="s">
        <v>2254</v>
      </c>
      <c r="E344" s="11" t="s">
        <v>2295</v>
      </c>
      <c r="F344" s="11" t="s">
        <v>2296</v>
      </c>
      <c r="G344" s="11" t="s">
        <v>142</v>
      </c>
      <c r="H344" s="11" t="s">
        <v>137</v>
      </c>
      <c r="I344" s="6" t="s">
        <v>2257</v>
      </c>
      <c r="J344" s="11" t="s">
        <v>2258</v>
      </c>
      <c r="K344" s="11" t="s">
        <v>2259</v>
      </c>
      <c r="L344" s="11" t="s">
        <v>2260</v>
      </c>
      <c r="M344" s="11" t="s">
        <v>2261</v>
      </c>
      <c r="N344" s="11" t="s">
        <v>142</v>
      </c>
      <c r="O344" s="11" t="s">
        <v>142</v>
      </c>
      <c r="P344" s="11" t="s">
        <v>2262</v>
      </c>
      <c r="Q344" s="11" t="s">
        <v>2263</v>
      </c>
      <c r="R344" s="11" t="s">
        <v>2297</v>
      </c>
    </row>
    <row r="345" spans="1:18" x14ac:dyDescent="0.25">
      <c r="A345" s="6">
        <v>344</v>
      </c>
      <c r="B345" s="11" t="s">
        <v>2252</v>
      </c>
      <c r="C345" s="5" t="s">
        <v>2298</v>
      </c>
      <c r="D345" s="11" t="s">
        <v>2254</v>
      </c>
      <c r="E345" s="11" t="s">
        <v>2299</v>
      </c>
      <c r="F345" s="11" t="s">
        <v>2300</v>
      </c>
      <c r="G345" s="11" t="s">
        <v>142</v>
      </c>
      <c r="H345" s="11" t="s">
        <v>137</v>
      </c>
      <c r="I345" s="6" t="s">
        <v>2257</v>
      </c>
      <c r="J345" s="11" t="s">
        <v>2258</v>
      </c>
      <c r="K345" s="11" t="s">
        <v>2259</v>
      </c>
      <c r="L345" s="11" t="s">
        <v>2260</v>
      </c>
      <c r="M345" s="11" t="s">
        <v>2261</v>
      </c>
      <c r="N345" s="11" t="s">
        <v>142</v>
      </c>
      <c r="O345" s="11" t="s">
        <v>142</v>
      </c>
      <c r="P345" s="11" t="s">
        <v>2262</v>
      </c>
      <c r="Q345" s="11" t="s">
        <v>2263</v>
      </c>
      <c r="R345" s="11" t="s">
        <v>2301</v>
      </c>
    </row>
    <row r="346" spans="1:18" x14ac:dyDescent="0.25">
      <c r="A346" s="6">
        <v>345</v>
      </c>
      <c r="B346" s="11" t="s">
        <v>2252</v>
      </c>
      <c r="C346" s="5" t="s">
        <v>2302</v>
      </c>
      <c r="D346" s="11" t="s">
        <v>2254</v>
      </c>
      <c r="E346" s="11" t="s">
        <v>2303</v>
      </c>
      <c r="F346" s="11" t="s">
        <v>2304</v>
      </c>
      <c r="G346" s="11" t="s">
        <v>142</v>
      </c>
      <c r="H346" s="11" t="s">
        <v>137</v>
      </c>
      <c r="I346" s="6" t="s">
        <v>2257</v>
      </c>
      <c r="J346" s="11" t="s">
        <v>2258</v>
      </c>
      <c r="K346" s="11" t="s">
        <v>2282</v>
      </c>
      <c r="L346" s="11" t="s">
        <v>2260</v>
      </c>
      <c r="M346" s="11" t="s">
        <v>2261</v>
      </c>
      <c r="N346" s="11" t="s">
        <v>142</v>
      </c>
      <c r="O346" s="11" t="s">
        <v>142</v>
      </c>
      <c r="P346" s="11" t="s">
        <v>2262</v>
      </c>
      <c r="Q346" s="11" t="s">
        <v>2263</v>
      </c>
      <c r="R346" s="11" t="s">
        <v>2305</v>
      </c>
    </row>
    <row r="347" spans="1:18" x14ac:dyDescent="0.25">
      <c r="A347" s="6">
        <v>346</v>
      </c>
      <c r="B347" s="11" t="s">
        <v>2252</v>
      </c>
      <c r="C347" s="5" t="s">
        <v>2306</v>
      </c>
      <c r="D347" s="11" t="s">
        <v>2254</v>
      </c>
      <c r="E347" s="11" t="s">
        <v>2307</v>
      </c>
      <c r="F347" s="11" t="s">
        <v>2308</v>
      </c>
      <c r="G347" s="11" t="s">
        <v>142</v>
      </c>
      <c r="H347" s="11" t="s">
        <v>137</v>
      </c>
      <c r="I347" s="6" t="s">
        <v>2257</v>
      </c>
      <c r="J347" s="11" t="s">
        <v>2258</v>
      </c>
      <c r="K347" s="11" t="s">
        <v>2282</v>
      </c>
      <c r="L347" s="11" t="s">
        <v>2260</v>
      </c>
      <c r="M347" s="11" t="s">
        <v>2261</v>
      </c>
      <c r="N347" s="11" t="s">
        <v>2309</v>
      </c>
      <c r="O347" s="11" t="s">
        <v>2269</v>
      </c>
      <c r="P347" s="11" t="s">
        <v>2262</v>
      </c>
      <c r="Q347" s="11" t="s">
        <v>2263</v>
      </c>
      <c r="R347" s="11" t="s">
        <v>2310</v>
      </c>
    </row>
  </sheetData>
  <autoFilter ref="A1:R336"/>
  <conditionalFormatting sqref="I2:I336">
    <cfRule type="cellIs" dxfId="12" priority="2" operator="equal">
      <formula>"COMPLETED"</formula>
    </cfRule>
    <cfRule type="cellIs" dxfId="13" priority="3" operator="equal">
      <formula>"IN PROGRESS"</formula>
    </cfRule>
    <cfRule type="cellIs" dxfId="14" priority="4" operator="equal">
      <formula>"YET TO START"</formula>
    </cfRule>
    <cfRule type="cellIs" dxfId="15" priority="5" operator="equal">
      <formula>"BLOCKED"</formula>
    </cfRule>
  </conditionalFormatting>
  <conditionalFormatting sqref="P2:P336">
    <cfRule type="cellIs" dxfId="16" priority="6" operator="equal">
      <formula>"COMPLETED"</formula>
    </cfRule>
    <cfRule type="cellIs" dxfId="17" priority="7" operator="equal">
      <formula>"IN PROGRESS"</formula>
    </cfRule>
    <cfRule type="cellIs" dxfId="18" priority="8" operator="equal">
      <formula>"YET TO START"</formula>
    </cfRule>
    <cfRule type="cellIs" dxfId="19" priority="9" operator="equal">
      <formula>"BLOCKED"</formula>
    </cfRule>
  </conditionalFormatting>
  <dataValidations count="2">
    <dataValidation type="list" errorStyle="stop" sqref="I10:I336">
      <formula1>"COMPLETED,IN PROGRESS,YET TO START,BLOCKED,DROPPED"</formula1>
      <formula2>0</formula2>
    </dataValidation>
    <dataValidation type="list" errorStyle="stop" sqref="I2:I336">
      <formula1>"COMPLETED,IN PROGRESS,YET TO START,BLOCKED,DROPPED"</formula1>
      <formula2>0</formula2>
    </dataValidation>
  </dataValidations>
  <hyperlinks>
    <hyperlink ref="L337" r:id="rId1"/>
    <hyperlink ref="L338" r:id="rId2"/>
    <hyperlink ref="L339" r:id="rId3"/>
    <hyperlink ref="L340" r:id="rId4"/>
    <hyperlink ref="L341" r:id="rId5"/>
    <hyperlink ref="L342" r:id="rId6"/>
    <hyperlink ref="L343" r:id="rId7"/>
    <hyperlink ref="L344" r:id="rId8"/>
    <hyperlink ref="L345" r:id="rId9"/>
    <hyperlink ref="L346" r:id="rId10"/>
    <hyperlink ref="L347" r:id="rId11"/>
  </hyperlink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A580C"/>
    <pageSetUpPr fitToPage="1"/>
    <outlinePr summaryBelow="1" summaryRight="1"/>
  </sheetPr>
  <dimension ref="A1:L280"/>
  <sheetViews>
    <sheetView workbookViewId="0" zoomScale="90" zoomScaleNormal="90" view="normal">
      <pane xSplit="3" ySplit="4" topLeftCell="D5" activePane="bottomRight" state="frozen"/>
      <selection pane="bottomRight" activeCell="A1" sqref="A1"/>
    </sheetView>
  </sheetViews>
  <sheetFormatPr defaultRowHeight="15" outlineLevelRow="0" outlineLevelCol="0" x14ac:dyDescent="0" defaultColWidth="8.6796875"/>
  <cols>
    <col min="1" max="1" width="11" style="10" customWidth="1"/>
    <col min="2" max="2" width="6" style="10" customWidth="1"/>
    <col min="3" max="3" width="58" style="10" customWidth="1"/>
    <col min="4" max="4" width="16" style="10" customWidth="1"/>
    <col min="5" max="5" width="22" style="10" customWidth="1"/>
    <col min="6" max="6" width="11" style="10" customWidth="1"/>
    <col min="7" max="7" width="14" style="10" customWidth="1"/>
    <col min="8" max="8" width="22" style="10" customWidth="1"/>
    <col min="9" max="9" width="40" style="10" customWidth="1"/>
    <col min="10" max="10" width="22" style="10" customWidth="1"/>
    <col min="11" max="11" width="14" style="10" customWidth="1"/>
    <col min="12" max="12" width="70" style="10" customWidth="1"/>
  </cols>
  <sheetData>
    <row r="1" ht="17.25" customHeight="1" spans="1:1" s="10" customFormat="1" x14ac:dyDescent="0.25">
      <c r="A1" s="1" t="s">
        <v>2311</v>
      </c>
    </row>
    <row r="2" ht="30" customHeight="1" spans="1:9" s="10" customFormat="1" x14ac:dyDescent="0.25">
      <c r="A2" s="2" t="s">
        <v>2312</v>
      </c>
      <c r="B2" s="10"/>
      <c r="C2" s="10"/>
      <c r="D2" s="10"/>
      <c r="E2" s="10"/>
      <c r="F2" s="10"/>
      <c r="G2" s="10"/>
      <c r="H2" s="10"/>
      <c r="I2" s="10"/>
    </row>
    <row r="4" ht="30" customHeight="1" spans="1:12" s="10" customFormat="1" x14ac:dyDescent="0.25">
      <c r="A4" s="4" t="s">
        <v>2313</v>
      </c>
      <c r="B4" s="4" t="s">
        <v>2314</v>
      </c>
      <c r="C4" s="4" t="s">
        <v>2315</v>
      </c>
      <c r="D4" s="4" t="s">
        <v>2316</v>
      </c>
      <c r="E4" s="4" t="s">
        <v>2317</v>
      </c>
      <c r="F4" s="4" t="s">
        <v>61</v>
      </c>
      <c r="G4" s="4" t="s">
        <v>6</v>
      </c>
      <c r="H4" s="4" t="s">
        <v>126</v>
      </c>
      <c r="I4" s="4" t="s">
        <v>2318</v>
      </c>
      <c r="J4" s="13" t="s">
        <v>2319</v>
      </c>
      <c r="K4" s="13" t="s">
        <v>2320</v>
      </c>
      <c r="L4" s="13" t="s">
        <v>2321</v>
      </c>
    </row>
    <row r="5" ht="18" customHeight="1" spans="1:12" s="10" customFormat="1" x14ac:dyDescent="0.25">
      <c r="A5" s="14" t="s">
        <v>2322</v>
      </c>
      <c r="B5" s="15">
        <v>1</v>
      </c>
      <c r="C5" s="14" t="s">
        <v>62</v>
      </c>
      <c r="D5" s="14" t="s">
        <v>622</v>
      </c>
      <c r="E5" s="14"/>
      <c r="F5" s="15">
        <f>COUNTIFS($B$6:$B$48,3,$G$6:$G$48,"COMPLETED")&amp;" / "&amp;COUNTIF($B$6:$B$48,3)</f>
      </c>
      <c r="G5" s="15">
        <f>IF(COUNTIFS($B$6:$B$48,3,$G$6:$G$48,"COMPLETED")=COUNTIF($B$6:$B$48,3),"COMPLETED",IF(COUNTIFS($B$6:$B$48,3,$G$6:$G$48,"BLOCKED")&gt;0,"BLOCKED",IF(COUNTIFS($B$6:$B$48,3,$G$6:$G$48,"YET TO START")=COUNTIF($B$6:$B$48,3),"YET TO START","IN PROGRESS")))</f>
      </c>
      <c r="H5" s="14"/>
      <c r="I5" s="14"/>
      <c r="J5" s="13">
        <f>(COUNTIFS($B$6:$B$48,3,$J$6:$J$48,"DONE")+COUNTIFS($B$6:$B$48,3,$J$6:$J$48,"DONE-SANDBOX"))&amp;" / "&amp;COUNTIFS($B$6:$B$48,3,$J$6:$J$48,"&lt;&gt;")&amp;" batch steps done"</f>
      </c>
      <c r="K5" s="10"/>
      <c r="L5" s="10"/>
    </row>
    <row r="6" ht="15" customHeight="1" spans="1:12" s="10" customFormat="1" x14ac:dyDescent="0.25">
      <c r="A6" s="16" t="s">
        <v>2323</v>
      </c>
      <c r="B6" s="17">
        <v>2</v>
      </c>
      <c r="C6" s="18" t="s">
        <v>2324</v>
      </c>
      <c r="D6" s="16"/>
      <c r="E6" s="16"/>
      <c r="F6" s="17">
        <f>COUNTIFS($B$7:$B$9,3,$G$7:$G$9,"COMPLETED")&amp;" / "&amp;COUNTIF($B$7:$B$9,3)</f>
      </c>
      <c r="G6" s="17">
        <f>IF(COUNTIFS($B$7:$B$9,3,$G$7:$G$9,"COMPLETED")=COUNTIF($B$7:$B$9,3),"COMPLETED",IF(COUNTIFS($B$7:$B$9,3,$G$7:$G$9,"BLOCKED")&gt;0,"BLOCKED",IF(COUNTIFS($B$7:$B$9,3,$G$7:$G$9,"YET TO START")=COUNTIF($B$7:$B$9,3),"YET TO START","IN PROGRESS")))</f>
      </c>
      <c r="H6" s="16"/>
      <c r="I6" s="16"/>
      <c r="J6" s="13">
        <f>(COUNTIFS($B$7:$B$9,3,$J$7:$J$9,"DONE")+COUNTIFS($B$7:$B$9,3,$J$7:$J$9,"DONE-SANDBOX"))&amp;" / "&amp;COUNTIFS($B$7:$B$9,3,$J$7:$J$9,"&lt;&gt;")&amp;" batch steps done"</f>
      </c>
      <c r="K6" s="10"/>
      <c r="L6" s="10"/>
    </row>
    <row r="7" ht="27" customHeight="1" spans="1:12" s="10" customFormat="1" x14ac:dyDescent="0.25">
      <c r="A7" s="11" t="s">
        <v>1108</v>
      </c>
      <c r="B7" s="6">
        <v>3</v>
      </c>
      <c r="C7" s="19" t="s">
        <v>2325</v>
      </c>
      <c r="D7" s="11" t="s">
        <v>622</v>
      </c>
      <c r="E7" s="11" t="s">
        <v>2326</v>
      </c>
      <c r="F7" s="6"/>
      <c r="G7" s="6" t="s">
        <v>11</v>
      </c>
      <c r="H7" s="11" t="s">
        <v>2327</v>
      </c>
      <c r="I7" s="11" t="s">
        <v>142</v>
      </c>
      <c r="J7" s="10"/>
      <c r="K7" s="10"/>
      <c r="L7" s="10"/>
    </row>
    <row r="8" ht="15" customHeight="1" spans="1:12" s="10" customFormat="1" x14ac:dyDescent="0.25">
      <c r="A8" s="11" t="s">
        <v>2328</v>
      </c>
      <c r="B8" s="6">
        <v>3</v>
      </c>
      <c r="C8" s="19" t="s">
        <v>2329</v>
      </c>
      <c r="D8" s="11" t="s">
        <v>622</v>
      </c>
      <c r="E8" s="11" t="s">
        <v>2330</v>
      </c>
      <c r="F8" s="6"/>
      <c r="G8" s="6" t="s">
        <v>11</v>
      </c>
      <c r="H8" s="11" t="s">
        <v>2331</v>
      </c>
      <c r="I8" s="11" t="s">
        <v>2332</v>
      </c>
      <c r="J8" s="20" t="s">
        <v>2333</v>
      </c>
      <c r="K8" s="10" t="s">
        <v>2331</v>
      </c>
      <c r="L8" s="21" t="s">
        <v>2334</v>
      </c>
    </row>
    <row r="9" ht="15" customHeight="1" spans="1:9" s="10" customFormat="1" x14ac:dyDescent="0.25">
      <c r="A9" s="11" t="s">
        <v>2335</v>
      </c>
      <c r="B9" s="6">
        <v>3</v>
      </c>
      <c r="C9" s="19" t="s">
        <v>2336</v>
      </c>
      <c r="D9" s="11" t="s">
        <v>622</v>
      </c>
      <c r="E9" s="11" t="s">
        <v>132</v>
      </c>
      <c r="F9" s="6"/>
      <c r="G9" s="6" t="s">
        <v>11</v>
      </c>
      <c r="H9" s="11" t="s">
        <v>2337</v>
      </c>
      <c r="I9" s="11" t="s">
        <v>142</v>
      </c>
    </row>
    <row r="10" ht="15" customHeight="1" spans="1:10" s="10" customFormat="1" x14ac:dyDescent="0.25">
      <c r="A10" s="16" t="s">
        <v>2338</v>
      </c>
      <c r="B10" s="17">
        <v>2</v>
      </c>
      <c r="C10" s="18" t="s">
        <v>2339</v>
      </c>
      <c r="D10" s="16"/>
      <c r="E10" s="16"/>
      <c r="F10" s="17">
        <f>COUNTIFS($B$11:$B$12,3,$G$11:$G$12,"COMPLETED")&amp;" / "&amp;COUNTIF($B$11:$B$12,3)</f>
      </c>
      <c r="G10" s="17">
        <f>IF(COUNTIFS($B$11:$B$12,3,$G$11:$G$12,"COMPLETED")=COUNTIF($B$11:$B$12,3),"COMPLETED",IF(COUNTIFS($B$11:$B$12,3,$G$11:$G$12,"BLOCKED")&gt;0,"BLOCKED",IF(COUNTIFS($B$11:$B$12,3,$G$11:$G$12,"YET TO START")=COUNTIF($B$11:$B$12,3),"YET TO START","IN PROGRESS")))</f>
      </c>
      <c r="H10" s="16"/>
      <c r="I10" s="16"/>
      <c r="J10" s="13">
        <f>(COUNTIFS($B$11:$B$12,3,$J$11:$J$12,"DONE")+COUNTIFS($B$11:$B$12,3,$J$11:$J$12,"DONE-SANDBOX"))&amp;" / "&amp;COUNTIFS($B$11:$B$12,3,$J$11:$J$12,"&lt;&gt;")&amp;" batch steps done"</f>
      </c>
    </row>
    <row r="11" ht="27" customHeight="1" spans="1:9" s="10" customFormat="1" x14ac:dyDescent="0.25">
      <c r="A11" s="11" t="s">
        <v>165</v>
      </c>
      <c r="B11" s="6">
        <v>3</v>
      </c>
      <c r="C11" s="19" t="s">
        <v>2340</v>
      </c>
      <c r="D11" s="11" t="s">
        <v>622</v>
      </c>
      <c r="E11" s="11" t="s">
        <v>161</v>
      </c>
      <c r="F11" s="6"/>
      <c r="G11" s="6" t="s">
        <v>11</v>
      </c>
      <c r="H11" s="11" t="s">
        <v>2341</v>
      </c>
      <c r="I11" s="11" t="s">
        <v>2342</v>
      </c>
    </row>
    <row r="12" ht="15" customHeight="1" spans="1:9" s="10" customFormat="1" x14ac:dyDescent="0.25">
      <c r="A12" s="11" t="s">
        <v>2343</v>
      </c>
      <c r="B12" s="6">
        <v>3</v>
      </c>
      <c r="C12" s="19" t="s">
        <v>2344</v>
      </c>
      <c r="D12" s="11" t="s">
        <v>622</v>
      </c>
      <c r="E12" s="11" t="s">
        <v>169</v>
      </c>
      <c r="F12" s="6"/>
      <c r="G12" s="6" t="s">
        <v>11</v>
      </c>
      <c r="H12" s="11" t="s">
        <v>173</v>
      </c>
      <c r="I12" s="11" t="s">
        <v>142</v>
      </c>
    </row>
    <row r="13" ht="15" customHeight="1" spans="1:10" s="10" customFormat="1" x14ac:dyDescent="0.25">
      <c r="A13" s="16" t="s">
        <v>2089</v>
      </c>
      <c r="B13" s="17">
        <v>2</v>
      </c>
      <c r="C13" s="18" t="s">
        <v>2345</v>
      </c>
      <c r="D13" s="16"/>
      <c r="E13" s="16"/>
      <c r="F13" s="17">
        <f>COUNTIFS($B$14:$B$17,3,$G$14:$G$17,"COMPLETED")&amp;" / "&amp;COUNTIF($B$14:$B$17,3)</f>
      </c>
      <c r="G13" s="17">
        <f>IF(COUNTIFS($B$14:$B$17,3,$G$14:$G$17,"COMPLETED")=COUNTIF($B$14:$B$17,3),"COMPLETED",IF(COUNTIFS($B$14:$B$17,3,$G$14:$G$17,"BLOCKED")&gt;0,"BLOCKED",IF(COUNTIFS($B$14:$B$17,3,$G$14:$G$17,"YET TO START")=COUNTIF($B$14:$B$17,3),"YET TO START","IN PROGRESS")))</f>
      </c>
      <c r="H13" s="16"/>
      <c r="I13" s="16"/>
      <c r="J13" s="13">
        <f>(COUNTIFS($B$14:$B$17,3,$J$14:$J$17,"DONE")+COUNTIFS($B$14:$B$17,3,$J$14:$J$17,"DONE-SANDBOX"))&amp;" / "&amp;COUNTIFS($B$14:$B$17,3,$J$14:$J$17,"&lt;&gt;")&amp;" batch steps done"</f>
      </c>
    </row>
    <row r="14" ht="27" customHeight="1" spans="1:9" s="10" customFormat="1" x14ac:dyDescent="0.25">
      <c r="A14" s="11" t="s">
        <v>266</v>
      </c>
      <c r="B14" s="6">
        <v>3</v>
      </c>
      <c r="C14" s="19" t="s">
        <v>2346</v>
      </c>
      <c r="D14" s="11" t="s">
        <v>622</v>
      </c>
      <c r="E14" s="11" t="s">
        <v>2347</v>
      </c>
      <c r="F14" s="6"/>
      <c r="G14" s="6" t="s">
        <v>11</v>
      </c>
      <c r="H14" s="11" t="s">
        <v>2348</v>
      </c>
      <c r="I14" s="11" t="s">
        <v>142</v>
      </c>
    </row>
    <row r="15" ht="15" customHeight="1" spans="1:9" s="10" customFormat="1" x14ac:dyDescent="0.25">
      <c r="A15" s="11" t="s">
        <v>273</v>
      </c>
      <c r="B15" s="6">
        <v>3</v>
      </c>
      <c r="C15" s="19" t="s">
        <v>2349</v>
      </c>
      <c r="D15" s="11" t="s">
        <v>622</v>
      </c>
      <c r="E15" s="11" t="s">
        <v>270</v>
      </c>
      <c r="F15" s="6"/>
      <c r="G15" s="6" t="s">
        <v>11</v>
      </c>
      <c r="H15" s="11" t="s">
        <v>2350</v>
      </c>
      <c r="I15" s="11" t="s">
        <v>142</v>
      </c>
    </row>
    <row r="16" ht="15" customHeight="1" spans="1:9" s="10" customFormat="1" x14ac:dyDescent="0.25">
      <c r="A16" s="11" t="s">
        <v>280</v>
      </c>
      <c r="B16" s="6">
        <v>3</v>
      </c>
      <c r="C16" s="19" t="s">
        <v>2351</v>
      </c>
      <c r="D16" s="11" t="s">
        <v>622</v>
      </c>
      <c r="E16" s="11" t="s">
        <v>277</v>
      </c>
      <c r="F16" s="6"/>
      <c r="G16" s="6" t="s">
        <v>11</v>
      </c>
      <c r="H16" s="11" t="s">
        <v>281</v>
      </c>
      <c r="I16" s="11" t="s">
        <v>142</v>
      </c>
    </row>
    <row r="17" ht="27" customHeight="1" spans="1:9" s="10" customFormat="1" x14ac:dyDescent="0.25">
      <c r="A17" s="11" t="s">
        <v>1373</v>
      </c>
      <c r="B17" s="6">
        <v>3</v>
      </c>
      <c r="C17" s="19" t="s">
        <v>2352</v>
      </c>
      <c r="D17" s="11" t="s">
        <v>622</v>
      </c>
      <c r="E17" s="11" t="s">
        <v>2353</v>
      </c>
      <c r="F17" s="6"/>
      <c r="G17" s="6" t="s">
        <v>11</v>
      </c>
      <c r="H17" s="11" t="s">
        <v>2354</v>
      </c>
      <c r="I17" s="11" t="s">
        <v>2355</v>
      </c>
    </row>
    <row r="18" ht="15" customHeight="1" spans="1:10" s="10" customFormat="1" x14ac:dyDescent="0.25">
      <c r="A18" s="16" t="s">
        <v>2356</v>
      </c>
      <c r="B18" s="17">
        <v>2</v>
      </c>
      <c r="C18" s="18" t="s">
        <v>2357</v>
      </c>
      <c r="D18" s="16"/>
      <c r="E18" s="16"/>
      <c r="F18" s="17">
        <f>COUNTIFS($B$19:$B$21,3,$G$19:$G$21,"COMPLETED")&amp;" / "&amp;COUNTIF($B$19:$B$21,3)</f>
      </c>
      <c r="G18" s="17">
        <f>IF(COUNTIFS($B$19:$B$21,3,$G$19:$G$21,"COMPLETED")=COUNTIF($B$19:$B$21,3),"COMPLETED",IF(COUNTIFS($B$19:$B$21,3,$G$19:$G$21,"BLOCKED")&gt;0,"BLOCKED",IF(COUNTIFS($B$19:$B$21,3,$G$19:$G$21,"YET TO START")=COUNTIF($B$19:$B$21,3),"YET TO START","IN PROGRESS")))</f>
      </c>
      <c r="H18" s="16"/>
      <c r="I18" s="16"/>
      <c r="J18" s="13">
        <f>(COUNTIFS($B$19:$B$21,3,$J$19:$J$21,"DONE")+COUNTIFS($B$19:$B$21,3,$J$19:$J$21,"DONE-SANDBOX"))&amp;" / "&amp;COUNTIFS($B$19:$B$21,3,$J$19:$J$21,"&lt;&gt;")&amp;" batch steps done"</f>
      </c>
    </row>
    <row r="19" ht="15" customHeight="1" spans="1:9" s="10" customFormat="1" x14ac:dyDescent="0.25">
      <c r="A19" s="11" t="s">
        <v>288</v>
      </c>
      <c r="B19" s="6">
        <v>3</v>
      </c>
      <c r="C19" s="19" t="s">
        <v>2358</v>
      </c>
      <c r="D19" s="11" t="s">
        <v>622</v>
      </c>
      <c r="E19" s="11" t="s">
        <v>284</v>
      </c>
      <c r="F19" s="6"/>
      <c r="G19" s="6" t="s">
        <v>11</v>
      </c>
      <c r="H19" s="11" t="s">
        <v>2359</v>
      </c>
      <c r="I19" s="11" t="s">
        <v>142</v>
      </c>
    </row>
    <row r="20" ht="15" customHeight="1" spans="1:9" s="10" customFormat="1" x14ac:dyDescent="0.25">
      <c r="A20" s="11" t="s">
        <v>2360</v>
      </c>
      <c r="B20" s="6">
        <v>3</v>
      </c>
      <c r="C20" s="19" t="s">
        <v>2361</v>
      </c>
      <c r="D20" s="11" t="s">
        <v>622</v>
      </c>
      <c r="E20" s="11" t="s">
        <v>833</v>
      </c>
      <c r="F20" s="6"/>
      <c r="G20" s="6" t="s">
        <v>11</v>
      </c>
      <c r="H20" s="11" t="s">
        <v>2362</v>
      </c>
      <c r="I20" s="11" t="s">
        <v>2363</v>
      </c>
    </row>
    <row r="21" ht="15" customHeight="1" spans="1:12" s="10" customFormat="1" x14ac:dyDescent="0.25">
      <c r="A21" s="11" t="s">
        <v>294</v>
      </c>
      <c r="B21" s="6">
        <v>3</v>
      </c>
      <c r="C21" s="19" t="s">
        <v>2364</v>
      </c>
      <c r="D21" s="11" t="s">
        <v>622</v>
      </c>
      <c r="E21" s="11" t="s">
        <v>291</v>
      </c>
      <c r="F21" s="6"/>
      <c r="G21" s="6" t="s">
        <v>14</v>
      </c>
      <c r="H21" s="11" t="s">
        <v>2365</v>
      </c>
      <c r="I21" s="11" t="s">
        <v>2366</v>
      </c>
      <c r="J21" s="22" t="s">
        <v>15</v>
      </c>
      <c r="K21" s="10" t="s">
        <v>2367</v>
      </c>
      <c r="L21" s="21" t="s">
        <v>2368</v>
      </c>
    </row>
    <row r="22" ht="15" customHeight="1" spans="1:10" s="10" customFormat="1" x14ac:dyDescent="0.25">
      <c r="A22" s="16" t="s">
        <v>2369</v>
      </c>
      <c r="B22" s="17">
        <v>2</v>
      </c>
      <c r="C22" s="18" t="s">
        <v>2370</v>
      </c>
      <c r="D22" s="16"/>
      <c r="E22" s="16"/>
      <c r="F22" s="17">
        <f>COUNTIFS($B$23:$B$27,3,$G$23:$G$27,"COMPLETED")&amp;" / "&amp;COUNTIF($B$23:$B$27,3)</f>
      </c>
      <c r="G22" s="17">
        <f>IF(COUNTIFS($B$23:$B$27,3,$G$23:$G$27,"COMPLETED")=COUNTIF($B$23:$B$27,3),"COMPLETED",IF(COUNTIFS($B$23:$B$27,3,$G$23:$G$27,"BLOCKED")&gt;0,"BLOCKED",IF(COUNTIFS($B$23:$B$27,3,$G$23:$G$27,"YET TO START")=COUNTIF($B$23:$B$27,3),"YET TO START","IN PROGRESS")))</f>
      </c>
      <c r="H22" s="16"/>
      <c r="I22" s="16"/>
      <c r="J22" s="13">
        <f>(COUNTIFS($B$23:$B$27,3,$J$23:$J$27,"DONE")+COUNTIFS($B$23:$B$27,3,$J$23:$J$27,"DONE-SANDBOX"))&amp;" / "&amp;COUNTIFS($B$23:$B$27,3,$J$23:$J$27,"&lt;&gt;")&amp;" batch steps done"</f>
      </c>
    </row>
    <row r="23" ht="15" customHeight="1" spans="1:9" s="10" customFormat="1" x14ac:dyDescent="0.25">
      <c r="A23" s="11" t="s">
        <v>303</v>
      </c>
      <c r="B23" s="6">
        <v>3</v>
      </c>
      <c r="C23" s="19" t="s">
        <v>2371</v>
      </c>
      <c r="D23" s="11" t="s">
        <v>622</v>
      </c>
      <c r="E23" s="11" t="s">
        <v>2372</v>
      </c>
      <c r="F23" s="6"/>
      <c r="G23" s="6" t="s">
        <v>11</v>
      </c>
      <c r="H23" s="11" t="s">
        <v>1070</v>
      </c>
      <c r="I23" s="11" t="s">
        <v>142</v>
      </c>
    </row>
    <row r="24" ht="15" customHeight="1" spans="1:9" s="10" customFormat="1" x14ac:dyDescent="0.25">
      <c r="A24" s="11" t="s">
        <v>309</v>
      </c>
      <c r="B24" s="6">
        <v>3</v>
      </c>
      <c r="C24" s="19" t="s">
        <v>307</v>
      </c>
      <c r="D24" s="11" t="s">
        <v>622</v>
      </c>
      <c r="E24" s="11" t="s">
        <v>306</v>
      </c>
      <c r="F24" s="6"/>
      <c r="G24" s="6" t="s">
        <v>11</v>
      </c>
      <c r="H24" s="11" t="s">
        <v>310</v>
      </c>
      <c r="I24" s="11" t="s">
        <v>142</v>
      </c>
    </row>
    <row r="25" ht="27" customHeight="1" spans="1:9" s="10" customFormat="1" x14ac:dyDescent="0.25">
      <c r="A25" s="11" t="s">
        <v>2373</v>
      </c>
      <c r="B25" s="6">
        <v>3</v>
      </c>
      <c r="C25" s="19" t="s">
        <v>2374</v>
      </c>
      <c r="D25" s="11" t="s">
        <v>622</v>
      </c>
      <c r="E25" s="11" t="s">
        <v>2375</v>
      </c>
      <c r="F25" s="6"/>
      <c r="G25" s="6" t="s">
        <v>11</v>
      </c>
      <c r="H25" s="11" t="s">
        <v>2376</v>
      </c>
      <c r="I25" s="11" t="s">
        <v>142</v>
      </c>
    </row>
    <row r="26" ht="15" customHeight="1" spans="1:9" s="10" customFormat="1" x14ac:dyDescent="0.25">
      <c r="A26" s="11" t="s">
        <v>853</v>
      </c>
      <c r="B26" s="6">
        <v>3</v>
      </c>
      <c r="C26" s="19" t="s">
        <v>2377</v>
      </c>
      <c r="D26" s="11" t="s">
        <v>622</v>
      </c>
      <c r="E26" s="11" t="s">
        <v>2378</v>
      </c>
      <c r="F26" s="6"/>
      <c r="G26" s="6" t="s">
        <v>11</v>
      </c>
      <c r="H26" s="11" t="s">
        <v>2362</v>
      </c>
      <c r="I26" s="11" t="s">
        <v>2363</v>
      </c>
    </row>
    <row r="27" ht="15" customHeight="1" spans="1:9" s="10" customFormat="1" x14ac:dyDescent="0.25">
      <c r="A27" s="11" t="s">
        <v>1149</v>
      </c>
      <c r="B27" s="6">
        <v>3</v>
      </c>
      <c r="C27" s="19" t="s">
        <v>2379</v>
      </c>
      <c r="D27" s="11" t="s">
        <v>622</v>
      </c>
      <c r="E27" s="11" t="s">
        <v>1146</v>
      </c>
      <c r="F27" s="6"/>
      <c r="G27" s="6" t="s">
        <v>11</v>
      </c>
      <c r="H27" s="11" t="s">
        <v>2380</v>
      </c>
      <c r="I27" s="11" t="s">
        <v>2381</v>
      </c>
    </row>
    <row r="28" ht="15" customHeight="1" spans="1:10" s="10" customFormat="1" x14ac:dyDescent="0.25">
      <c r="A28" s="16" t="s">
        <v>2382</v>
      </c>
      <c r="B28" s="17">
        <v>2</v>
      </c>
      <c r="C28" s="18" t="s">
        <v>2383</v>
      </c>
      <c r="D28" s="16"/>
      <c r="E28" s="16"/>
      <c r="F28" s="17">
        <f>COUNTIFS($B$29:$B$31,3,$G$29:$G$31,"COMPLETED")&amp;" / "&amp;COUNTIF($B$29:$B$31,3)</f>
      </c>
      <c r="G28" s="17">
        <f>IF(COUNTIFS($B$29:$B$31,3,$G$29:$G$31,"COMPLETED")=COUNTIF($B$29:$B$31,3),"COMPLETED",IF(COUNTIFS($B$29:$B$31,3,$G$29:$G$31,"BLOCKED")&gt;0,"BLOCKED",IF(COUNTIFS($B$29:$B$31,3,$G$29:$G$31,"YET TO START")=COUNTIF($B$29:$B$31,3),"YET TO START","IN PROGRESS")))</f>
      </c>
      <c r="H28" s="16"/>
      <c r="I28" s="16"/>
      <c r="J28" s="13">
        <f>(COUNTIFS($B$29:$B$31,3,$J$29:$J$31,"DONE")+COUNTIFS($B$29:$B$31,3,$J$29:$J$31,"DONE-SANDBOX"))&amp;" / "&amp;COUNTIFS($B$29:$B$31,3,$J$29:$J$31,"&lt;&gt;")&amp;" batch steps done"</f>
      </c>
    </row>
    <row r="29" ht="15" customHeight="1" spans="1:9" s="10" customFormat="1" x14ac:dyDescent="0.25">
      <c r="A29" s="11" t="s">
        <v>1875</v>
      </c>
      <c r="B29" s="6">
        <v>3</v>
      </c>
      <c r="C29" s="19" t="s">
        <v>2384</v>
      </c>
      <c r="D29" s="11" t="s">
        <v>622</v>
      </c>
      <c r="E29" s="11" t="s">
        <v>312</v>
      </c>
      <c r="F29" s="6"/>
      <c r="G29" s="6" t="s">
        <v>11</v>
      </c>
      <c r="H29" s="11" t="s">
        <v>2337</v>
      </c>
      <c r="I29" s="11" t="s">
        <v>142</v>
      </c>
    </row>
    <row r="30" ht="15" customHeight="1" spans="1:9" s="10" customFormat="1" x14ac:dyDescent="0.25">
      <c r="A30" s="11" t="s">
        <v>323</v>
      </c>
      <c r="B30" s="6">
        <v>3</v>
      </c>
      <c r="C30" s="19" t="s">
        <v>2385</v>
      </c>
      <c r="D30" s="11" t="s">
        <v>622</v>
      </c>
      <c r="E30" s="11" t="s">
        <v>320</v>
      </c>
      <c r="F30" s="6"/>
      <c r="G30" s="6" t="s">
        <v>11</v>
      </c>
      <c r="H30" s="11" t="s">
        <v>2386</v>
      </c>
      <c r="I30" s="11" t="s">
        <v>2387</v>
      </c>
    </row>
    <row r="31" ht="15" customHeight="1" spans="1:9" s="10" customFormat="1" x14ac:dyDescent="0.25">
      <c r="A31" s="11" t="s">
        <v>1011</v>
      </c>
      <c r="B31" s="6">
        <v>3</v>
      </c>
      <c r="C31" s="19" t="s">
        <v>2388</v>
      </c>
      <c r="D31" s="11" t="s">
        <v>622</v>
      </c>
      <c r="E31" s="11" t="s">
        <v>1008</v>
      </c>
      <c r="F31" s="6"/>
      <c r="G31" s="6" t="s">
        <v>11</v>
      </c>
      <c r="H31" s="11" t="s">
        <v>1012</v>
      </c>
      <c r="I31" s="11" t="s">
        <v>142</v>
      </c>
    </row>
    <row r="32" ht="15" customHeight="1" spans="1:10" s="10" customFormat="1" x14ac:dyDescent="0.25">
      <c r="A32" s="16" t="s">
        <v>2389</v>
      </c>
      <c r="B32" s="17">
        <v>2</v>
      </c>
      <c r="C32" s="18" t="s">
        <v>2390</v>
      </c>
      <c r="D32" s="16"/>
      <c r="E32" s="16"/>
      <c r="F32" s="17">
        <f>COUNTIFS($B$33:$B$35,3,$G$33:$G$35,"COMPLETED")&amp;" / "&amp;COUNTIF($B$33:$B$35,3)</f>
      </c>
      <c r="G32" s="17">
        <f>IF(COUNTIFS($B$33:$B$35,3,$G$33:$G$35,"COMPLETED")=COUNTIF($B$33:$B$35,3),"COMPLETED",IF(COUNTIFS($B$33:$B$35,3,$G$33:$G$35,"BLOCKED")&gt;0,"BLOCKED",IF(COUNTIFS($B$33:$B$35,3,$G$33:$G$35,"YET TO START")=COUNTIF($B$33:$B$35,3),"YET TO START","IN PROGRESS")))</f>
      </c>
      <c r="H32" s="16"/>
      <c r="I32" s="16"/>
      <c r="J32" s="13">
        <f>(COUNTIFS($B$33:$B$35,3,$J$33:$J$35,"DONE")+COUNTIFS($B$33:$B$35,3,$J$33:$J$35,"DONE-SANDBOX"))&amp;" / "&amp;COUNTIFS($B$33:$B$35,3,$J$33:$J$35,"&lt;&gt;")&amp;" batch steps done"</f>
      </c>
    </row>
    <row r="33" ht="15" customHeight="1" spans="1:9" s="10" customFormat="1" x14ac:dyDescent="0.25">
      <c r="A33" s="11" t="s">
        <v>342</v>
      </c>
      <c r="B33" s="6">
        <v>3</v>
      </c>
      <c r="C33" s="19" t="s">
        <v>2391</v>
      </c>
      <c r="D33" s="11" t="s">
        <v>622</v>
      </c>
      <c r="E33" s="11" t="s">
        <v>2392</v>
      </c>
      <c r="F33" s="6"/>
      <c r="G33" s="6" t="s">
        <v>11</v>
      </c>
      <c r="H33" s="11" t="s">
        <v>250</v>
      </c>
      <c r="I33" s="11" t="s">
        <v>142</v>
      </c>
    </row>
    <row r="34" ht="15" customHeight="1" spans="1:9" s="10" customFormat="1" x14ac:dyDescent="0.25">
      <c r="A34" s="11" t="s">
        <v>346</v>
      </c>
      <c r="B34" s="6">
        <v>3</v>
      </c>
      <c r="C34" s="19" t="s">
        <v>2393</v>
      </c>
      <c r="D34" s="11" t="s">
        <v>622</v>
      </c>
      <c r="E34" s="11" t="s">
        <v>343</v>
      </c>
      <c r="F34" s="6"/>
      <c r="G34" s="6" t="s">
        <v>11</v>
      </c>
      <c r="H34" s="11" t="s">
        <v>158</v>
      </c>
      <c r="I34" s="11" t="s">
        <v>142</v>
      </c>
    </row>
    <row r="35" ht="15" customHeight="1" spans="1:12" s="10" customFormat="1" x14ac:dyDescent="0.25">
      <c r="A35" s="11" t="s">
        <v>2394</v>
      </c>
      <c r="B35" s="6">
        <v>3</v>
      </c>
      <c r="C35" s="19" t="s">
        <v>2395</v>
      </c>
      <c r="D35" s="11" t="s">
        <v>622</v>
      </c>
      <c r="E35" s="11" t="s">
        <v>2396</v>
      </c>
      <c r="F35" s="6"/>
      <c r="G35" s="6" t="s">
        <v>11</v>
      </c>
      <c r="H35" s="11" t="s">
        <v>2331</v>
      </c>
      <c r="I35" s="11" t="s">
        <v>2397</v>
      </c>
      <c r="J35" s="23" t="s">
        <v>2398</v>
      </c>
      <c r="K35" s="10" t="s">
        <v>2331</v>
      </c>
      <c r="L35" s="21" t="s">
        <v>2399</v>
      </c>
    </row>
    <row r="36" ht="15" customHeight="1" spans="1:10" s="10" customFormat="1" x14ac:dyDescent="0.25">
      <c r="A36" s="16" t="s">
        <v>2400</v>
      </c>
      <c r="B36" s="17">
        <v>2</v>
      </c>
      <c r="C36" s="18" t="s">
        <v>2401</v>
      </c>
      <c r="D36" s="16"/>
      <c r="E36" s="16"/>
      <c r="F36" s="17">
        <f>COUNTIFS($B$37:$B$41,3,$G$37:$G$41,"COMPLETED")&amp;" / "&amp;COUNTIF($B$37:$B$41,3)</f>
      </c>
      <c r="G36" s="17">
        <f>IF(COUNTIFS($B$37:$B$41,3,$G$37:$G$41,"COMPLETED")=COUNTIF($B$37:$B$41,3),"COMPLETED",IF(COUNTIFS($B$37:$B$41,3,$G$37:$G$41,"BLOCKED")&gt;0,"BLOCKED",IF(COUNTIFS($B$37:$B$41,3,$G$37:$G$41,"YET TO START")=COUNTIF($B$37:$B$41,3),"YET TO START","IN PROGRESS")))</f>
      </c>
      <c r="H36" s="16"/>
      <c r="I36" s="16"/>
      <c r="J36" s="13">
        <f>(COUNTIFS($B$37:$B$41,3,$J$37:$J$41,"DONE")+COUNTIFS($B$37:$B$41,3,$J$37:$J$41,"DONE-SANDBOX"))&amp;" / "&amp;COUNTIFS($B$37:$B$41,3,$J$37:$J$41,"&lt;&gt;")&amp;" batch steps done"</f>
      </c>
    </row>
    <row r="37" ht="15" customHeight="1" spans="1:9" s="10" customFormat="1" x14ac:dyDescent="0.25">
      <c r="A37" s="11" t="s">
        <v>2402</v>
      </c>
      <c r="B37" s="6">
        <v>3</v>
      </c>
      <c r="C37" s="19" t="s">
        <v>2403</v>
      </c>
      <c r="D37" s="11" t="s">
        <v>622</v>
      </c>
      <c r="E37" s="11" t="s">
        <v>2404</v>
      </c>
      <c r="F37" s="6"/>
      <c r="G37" s="6" t="s">
        <v>11</v>
      </c>
      <c r="H37" s="11" t="s">
        <v>2376</v>
      </c>
      <c r="I37" s="11" t="s">
        <v>142</v>
      </c>
    </row>
    <row r="38" ht="15" customHeight="1" spans="1:9" s="10" customFormat="1" x14ac:dyDescent="0.25">
      <c r="A38" s="11" t="s">
        <v>363</v>
      </c>
      <c r="B38" s="6">
        <v>3</v>
      </c>
      <c r="C38" s="19" t="s">
        <v>2405</v>
      </c>
      <c r="D38" s="11" t="s">
        <v>622</v>
      </c>
      <c r="E38" s="11" t="s">
        <v>360</v>
      </c>
      <c r="F38" s="6"/>
      <c r="G38" s="6" t="s">
        <v>11</v>
      </c>
      <c r="H38" s="11" t="s">
        <v>2406</v>
      </c>
      <c r="I38" s="11" t="s">
        <v>2407</v>
      </c>
    </row>
    <row r="39" ht="15" customHeight="1" spans="1:9" s="10" customFormat="1" x14ac:dyDescent="0.25">
      <c r="A39" s="11" t="s">
        <v>2408</v>
      </c>
      <c r="B39" s="6">
        <v>3</v>
      </c>
      <c r="C39" s="19" t="s">
        <v>2409</v>
      </c>
      <c r="D39" s="11" t="s">
        <v>622</v>
      </c>
      <c r="E39" s="11" t="s">
        <v>354</v>
      </c>
      <c r="F39" s="6"/>
      <c r="G39" s="6" t="s">
        <v>11</v>
      </c>
      <c r="H39" s="11" t="s">
        <v>310</v>
      </c>
      <c r="I39" s="11" t="s">
        <v>142</v>
      </c>
    </row>
    <row r="40" ht="15" customHeight="1" spans="1:12" s="10" customFormat="1" x14ac:dyDescent="0.25">
      <c r="A40" s="11" t="s">
        <v>778</v>
      </c>
      <c r="B40" s="6">
        <v>3</v>
      </c>
      <c r="C40" s="19" t="s">
        <v>2410</v>
      </c>
      <c r="D40" s="11" t="s">
        <v>622</v>
      </c>
      <c r="E40" s="11" t="s">
        <v>2411</v>
      </c>
      <c r="F40" s="6"/>
      <c r="G40" s="6" t="s">
        <v>11</v>
      </c>
      <c r="H40" s="11" t="s">
        <v>2331</v>
      </c>
      <c r="I40" s="11" t="s">
        <v>2412</v>
      </c>
      <c r="J40" s="23" t="s">
        <v>2398</v>
      </c>
      <c r="K40" s="10" t="s">
        <v>2331</v>
      </c>
      <c r="L40" s="21" t="s">
        <v>2413</v>
      </c>
    </row>
    <row r="41" ht="15" customHeight="1" spans="1:9" s="10" customFormat="1" x14ac:dyDescent="0.25">
      <c r="A41" s="11" t="s">
        <v>2414</v>
      </c>
      <c r="B41" s="6">
        <v>3</v>
      </c>
      <c r="C41" s="19" t="s">
        <v>2415</v>
      </c>
      <c r="D41" s="11" t="s">
        <v>622</v>
      </c>
      <c r="E41" s="11" t="s">
        <v>2416</v>
      </c>
      <c r="F41" s="6"/>
      <c r="G41" s="6" t="s">
        <v>11</v>
      </c>
      <c r="H41" s="11" t="s">
        <v>2417</v>
      </c>
      <c r="I41" s="11" t="s">
        <v>142</v>
      </c>
    </row>
    <row r="42" ht="15" customHeight="1" spans="1:10" s="10" customFormat="1" x14ac:dyDescent="0.25">
      <c r="A42" s="16" t="s">
        <v>2418</v>
      </c>
      <c r="B42" s="17">
        <v>2</v>
      </c>
      <c r="C42" s="18" t="s">
        <v>2419</v>
      </c>
      <c r="D42" s="16"/>
      <c r="E42" s="16"/>
      <c r="F42" s="17">
        <f>COUNTIFS($B$43:$B$48,3,$G$43:$G$48,"COMPLETED")&amp;" / "&amp;COUNTIF($B$43:$B$48,3)</f>
      </c>
      <c r="G42" s="17">
        <f>IF(COUNTIFS($B$43:$B$48,3,$G$43:$G$48,"COMPLETED")=COUNTIF($B$43:$B$48,3),"COMPLETED",IF(COUNTIFS($B$43:$B$48,3,$G$43:$G$48,"BLOCKED")&gt;0,"BLOCKED",IF(COUNTIFS($B$43:$B$48,3,$G$43:$G$48,"YET TO START")=COUNTIF($B$43:$B$48,3),"YET TO START","IN PROGRESS")))</f>
      </c>
      <c r="H42" s="16"/>
      <c r="I42" s="16"/>
      <c r="J42" s="13">
        <f>(COUNTIFS($B$43:$B$48,3,$J$43:$J$48,"DONE")+COUNTIFS($B$43:$B$48,3,$J$43:$J$48,"DONE-SANDBOX"))&amp;" / "&amp;COUNTIFS($B$43:$B$48,3,$J$43:$J$48,"&lt;&gt;")&amp;" batch steps done"</f>
      </c>
    </row>
    <row r="43" ht="15" customHeight="1" spans="1:9" s="10" customFormat="1" x14ac:dyDescent="0.25">
      <c r="A43" s="11" t="s">
        <v>417</v>
      </c>
      <c r="B43" s="6">
        <v>3</v>
      </c>
      <c r="C43" s="19" t="s">
        <v>2420</v>
      </c>
      <c r="D43" s="11" t="s">
        <v>622</v>
      </c>
      <c r="E43" s="11" t="s">
        <v>2421</v>
      </c>
      <c r="F43" s="6"/>
      <c r="G43" s="6" t="s">
        <v>11</v>
      </c>
      <c r="H43" s="11" t="s">
        <v>2422</v>
      </c>
      <c r="I43" s="11" t="s">
        <v>142</v>
      </c>
    </row>
    <row r="44" ht="15" customHeight="1" spans="1:9" s="10" customFormat="1" x14ac:dyDescent="0.25">
      <c r="A44" s="11" t="s">
        <v>1180</v>
      </c>
      <c r="B44" s="6">
        <v>3</v>
      </c>
      <c r="C44" s="19" t="s">
        <v>2423</v>
      </c>
      <c r="D44" s="11" t="s">
        <v>622</v>
      </c>
      <c r="E44" s="11" t="s">
        <v>2424</v>
      </c>
      <c r="F44" s="6"/>
      <c r="G44" s="6" t="s">
        <v>11</v>
      </c>
      <c r="H44" s="11" t="s">
        <v>2425</v>
      </c>
      <c r="I44" s="11" t="s">
        <v>2381</v>
      </c>
    </row>
    <row r="45" ht="15" customHeight="1" spans="1:9" s="10" customFormat="1" x14ac:dyDescent="0.25">
      <c r="A45" s="11" t="s">
        <v>2426</v>
      </c>
      <c r="B45" s="6">
        <v>3</v>
      </c>
      <c r="C45" s="19" t="s">
        <v>2427</v>
      </c>
      <c r="D45" s="11" t="s">
        <v>622</v>
      </c>
      <c r="E45" s="11" t="s">
        <v>421</v>
      </c>
      <c r="F45" s="6"/>
      <c r="G45" s="6" t="s">
        <v>11</v>
      </c>
      <c r="H45" s="11" t="s">
        <v>281</v>
      </c>
      <c r="I45" s="11" t="s">
        <v>142</v>
      </c>
    </row>
    <row r="46" ht="15" customHeight="1" spans="1:9" s="10" customFormat="1" x14ac:dyDescent="0.25">
      <c r="A46" s="11" t="s">
        <v>2428</v>
      </c>
      <c r="B46" s="6">
        <v>3</v>
      </c>
      <c r="C46" s="19" t="s">
        <v>2429</v>
      </c>
      <c r="D46" s="11" t="s">
        <v>622</v>
      </c>
      <c r="E46" s="11" t="s">
        <v>1206</v>
      </c>
      <c r="F46" s="6"/>
      <c r="G46" s="6" t="s">
        <v>11</v>
      </c>
      <c r="H46" s="11" t="s">
        <v>2430</v>
      </c>
      <c r="I46" s="11" t="s">
        <v>2381</v>
      </c>
    </row>
    <row r="47" ht="27" customHeight="1" spans="1:9" s="10" customFormat="1" x14ac:dyDescent="0.25">
      <c r="A47" s="11" t="s">
        <v>1738</v>
      </c>
      <c r="B47" s="6">
        <v>3</v>
      </c>
      <c r="C47" s="19" t="s">
        <v>2431</v>
      </c>
      <c r="D47" s="11" t="s">
        <v>622</v>
      </c>
      <c r="E47" s="11" t="s">
        <v>2432</v>
      </c>
      <c r="F47" s="6"/>
      <c r="G47" s="6" t="s">
        <v>11</v>
      </c>
      <c r="H47" s="11" t="s">
        <v>2433</v>
      </c>
      <c r="I47" s="11" t="s">
        <v>2434</v>
      </c>
    </row>
    <row r="48" ht="39" customHeight="1" spans="1:9" s="10" customFormat="1" x14ac:dyDescent="0.25">
      <c r="A48" s="11" t="s">
        <v>2435</v>
      </c>
      <c r="B48" s="6">
        <v>3</v>
      </c>
      <c r="C48" s="19" t="s">
        <v>2436</v>
      </c>
      <c r="D48" s="11" t="s">
        <v>622</v>
      </c>
      <c r="E48" s="11" t="s">
        <v>2437</v>
      </c>
      <c r="F48" s="6"/>
      <c r="G48" s="6" t="s">
        <v>11</v>
      </c>
      <c r="H48" s="11" t="s">
        <v>2438</v>
      </c>
      <c r="I48" s="11" t="s">
        <v>2439</v>
      </c>
    </row>
    <row r="49" ht="18" customHeight="1" spans="1:10" s="10" customFormat="1" x14ac:dyDescent="0.25">
      <c r="A49" s="14" t="s">
        <v>2440</v>
      </c>
      <c r="B49" s="15">
        <v>1</v>
      </c>
      <c r="C49" s="14" t="s">
        <v>63</v>
      </c>
      <c r="D49" s="14" t="s">
        <v>2441</v>
      </c>
      <c r="E49" s="14"/>
      <c r="F49" s="15">
        <f>COUNTIFS($B$50:$B$60,3,$G$50:$G$60,"COMPLETED")&amp;" / "&amp;COUNTIF($B$50:$B$60,3)</f>
      </c>
      <c r="G49" s="15">
        <f>IF(COUNTIFS($B$50:$B$60,3,$G$50:$G$60,"COMPLETED")=COUNTIF($B$50:$B$60,3),"COMPLETED",IF(COUNTIFS($B$50:$B$60,3,$G$50:$G$60,"BLOCKED")&gt;0,"BLOCKED",IF(COUNTIFS($B$50:$B$60,3,$G$50:$G$60,"YET TO START")=COUNTIF($B$50:$B$60,3),"YET TO START","IN PROGRESS")))</f>
      </c>
      <c r="H49" s="14"/>
      <c r="I49" s="14"/>
      <c r="J49" s="13">
        <f>(COUNTIFS($B$50:$B$60,3,$J$50:$J$60,"DONE")+COUNTIFS($B$50:$B$60,3,$J$50:$J$60,"DONE-SANDBOX"))&amp;" / "&amp;COUNTIFS($B$50:$B$60,3,$J$50:$J$60,"&lt;&gt;")&amp;" batch steps done"</f>
      </c>
    </row>
    <row r="50" ht="15" customHeight="1" spans="1:10" s="10" customFormat="1" x14ac:dyDescent="0.25">
      <c r="A50" s="16" t="s">
        <v>2442</v>
      </c>
      <c r="B50" s="17">
        <v>2</v>
      </c>
      <c r="C50" s="18" t="s">
        <v>2443</v>
      </c>
      <c r="D50" s="16"/>
      <c r="E50" s="16"/>
      <c r="F50" s="17">
        <f>COUNTIFS($B$51:$B$54,3,$G$51:$G$54,"COMPLETED")&amp;" / "&amp;COUNTIF($B$51:$B$54,3)</f>
      </c>
      <c r="G50" s="17">
        <f>IF(COUNTIFS($B$51:$B$54,3,$G$51:$G$54,"COMPLETED")=COUNTIF($B$51:$B$54,3),"COMPLETED",IF(COUNTIFS($B$51:$B$54,3,$G$51:$G$54,"BLOCKED")&gt;0,"BLOCKED",IF(COUNTIFS($B$51:$B$54,3,$G$51:$G$54,"YET TO START")=COUNTIF($B$51:$B$54,3),"YET TO START","IN PROGRESS")))</f>
      </c>
      <c r="H50" s="16"/>
      <c r="I50" s="16"/>
      <c r="J50" s="13">
        <f>(COUNTIFS($B$51:$B$54,3,$J$51:$J$54,"DONE")+COUNTIFS($B$51:$B$54,3,$J$51:$J$54,"DONE-SANDBOX"))&amp;" / "&amp;COUNTIFS($B$51:$B$54,3,$J$51:$J$54,"&lt;&gt;")&amp;" batch steps done"</f>
      </c>
    </row>
    <row r="51" ht="15" customHeight="1" spans="1:9" s="10" customFormat="1" x14ac:dyDescent="0.25">
      <c r="A51" s="11" t="s">
        <v>884</v>
      </c>
      <c r="B51" s="6">
        <v>3</v>
      </c>
      <c r="C51" s="19" t="s">
        <v>2444</v>
      </c>
      <c r="D51" s="11" t="s">
        <v>2441</v>
      </c>
      <c r="E51" s="11" t="s">
        <v>2445</v>
      </c>
      <c r="F51" s="6"/>
      <c r="G51" s="6" t="s">
        <v>11</v>
      </c>
      <c r="H51" s="11" t="s">
        <v>2417</v>
      </c>
      <c r="I51" s="11" t="s">
        <v>2446</v>
      </c>
    </row>
    <row r="52" ht="15" customHeight="1" spans="1:9" s="10" customFormat="1" x14ac:dyDescent="0.25">
      <c r="A52" s="11" t="s">
        <v>371</v>
      </c>
      <c r="B52" s="6">
        <v>3</v>
      </c>
      <c r="C52" s="19" t="s">
        <v>2447</v>
      </c>
      <c r="D52" s="11" t="s">
        <v>2441</v>
      </c>
      <c r="E52" s="11" t="s">
        <v>368</v>
      </c>
      <c r="F52" s="6"/>
      <c r="G52" s="6" t="s">
        <v>11</v>
      </c>
      <c r="H52" s="11" t="s">
        <v>281</v>
      </c>
      <c r="I52" s="11" t="s">
        <v>142</v>
      </c>
    </row>
    <row r="53" ht="15" customHeight="1" spans="1:9" s="10" customFormat="1" x14ac:dyDescent="0.25">
      <c r="A53" s="11" t="s">
        <v>2448</v>
      </c>
      <c r="B53" s="6">
        <v>3</v>
      </c>
      <c r="C53" s="19" t="s">
        <v>2449</v>
      </c>
      <c r="D53" s="11" t="s">
        <v>2441</v>
      </c>
      <c r="E53" s="11" t="s">
        <v>1032</v>
      </c>
      <c r="F53" s="6"/>
      <c r="G53" s="6" t="s">
        <v>11</v>
      </c>
      <c r="H53" s="11" t="s">
        <v>2450</v>
      </c>
      <c r="I53" s="11" t="s">
        <v>2363</v>
      </c>
    </row>
    <row r="54" ht="39" customHeight="1" spans="1:9" s="10" customFormat="1" x14ac:dyDescent="0.25">
      <c r="A54" s="11" t="s">
        <v>2451</v>
      </c>
      <c r="B54" s="6">
        <v>3</v>
      </c>
      <c r="C54" s="19" t="s">
        <v>2452</v>
      </c>
      <c r="D54" s="11" t="s">
        <v>2441</v>
      </c>
      <c r="E54" s="11" t="s">
        <v>1193</v>
      </c>
      <c r="F54" s="6"/>
      <c r="G54" s="6" t="s">
        <v>11</v>
      </c>
      <c r="H54" s="11" t="s">
        <v>2453</v>
      </c>
      <c r="I54" s="11" t="s">
        <v>2439</v>
      </c>
    </row>
    <row r="55" ht="15" customHeight="1" spans="1:10" s="10" customFormat="1" x14ac:dyDescent="0.25">
      <c r="A55" s="16" t="s">
        <v>2454</v>
      </c>
      <c r="B55" s="17">
        <v>2</v>
      </c>
      <c r="C55" s="18" t="s">
        <v>2455</v>
      </c>
      <c r="D55" s="16"/>
      <c r="E55" s="16"/>
      <c r="F55" s="17">
        <f>COUNTIFS($B$56:$B$60,3,$G$56:$G$60,"COMPLETED")&amp;" / "&amp;COUNTIF($B$56:$B$60,3)</f>
      </c>
      <c r="G55" s="17">
        <f>IF(COUNTIFS($B$56:$B$60,3,$G$56:$G$60,"COMPLETED")=COUNTIF($B$56:$B$60,3),"COMPLETED",IF(COUNTIFS($B$56:$B$60,3,$G$56:$G$60,"BLOCKED")&gt;0,"BLOCKED",IF(COUNTIFS($B$56:$B$60,3,$G$56:$G$60,"YET TO START")=COUNTIF($B$56:$B$60,3),"YET TO START","IN PROGRESS")))</f>
      </c>
      <c r="H55" s="16"/>
      <c r="I55" s="16"/>
      <c r="J55" s="13">
        <f>(COUNTIFS($B$56:$B$60,3,$J$56:$J$60,"DONE")+COUNTIFS($B$56:$B$60,3,$J$56:$J$60,"DONE-SANDBOX"))&amp;" / "&amp;COUNTIFS($B$56:$B$60,3,$J$56:$J$60,"&lt;&gt;")&amp;" batch steps done"</f>
      </c>
    </row>
    <row r="56" ht="15" customHeight="1" spans="1:9" s="10" customFormat="1" x14ac:dyDescent="0.25">
      <c r="A56" s="11" t="s">
        <v>379</v>
      </c>
      <c r="B56" s="6">
        <v>3</v>
      </c>
      <c r="C56" s="19" t="s">
        <v>2456</v>
      </c>
      <c r="D56" s="11" t="s">
        <v>2441</v>
      </c>
      <c r="E56" s="11" t="s">
        <v>376</v>
      </c>
      <c r="F56" s="6"/>
      <c r="G56" s="6" t="s">
        <v>11</v>
      </c>
      <c r="H56" s="11" t="s">
        <v>281</v>
      </c>
      <c r="I56" s="11" t="s">
        <v>142</v>
      </c>
    </row>
    <row r="57" ht="15" customHeight="1" spans="1:9" s="10" customFormat="1" x14ac:dyDescent="0.25">
      <c r="A57" s="11" t="s">
        <v>384</v>
      </c>
      <c r="B57" s="6">
        <v>3</v>
      </c>
      <c r="C57" s="19" t="s">
        <v>2457</v>
      </c>
      <c r="D57" s="11" t="s">
        <v>2441</v>
      </c>
      <c r="E57" s="11" t="s">
        <v>381</v>
      </c>
      <c r="F57" s="6"/>
      <c r="G57" s="6" t="s">
        <v>11</v>
      </c>
      <c r="H57" s="11" t="s">
        <v>281</v>
      </c>
      <c r="I57" s="11" t="s">
        <v>142</v>
      </c>
    </row>
    <row r="58" ht="15" customHeight="1" spans="1:9" s="10" customFormat="1" x14ac:dyDescent="0.25">
      <c r="A58" s="11" t="s">
        <v>818</v>
      </c>
      <c r="B58" s="6">
        <v>3</v>
      </c>
      <c r="C58" s="19" t="s">
        <v>2458</v>
      </c>
      <c r="D58" s="11" t="s">
        <v>2441</v>
      </c>
      <c r="E58" s="11" t="s">
        <v>815</v>
      </c>
      <c r="F58" s="6"/>
      <c r="G58" s="6" t="s">
        <v>11</v>
      </c>
      <c r="H58" s="11" t="s">
        <v>281</v>
      </c>
      <c r="I58" s="11" t="s">
        <v>142</v>
      </c>
    </row>
    <row r="59" ht="39" customHeight="1" spans="1:9" s="10" customFormat="1" x14ac:dyDescent="0.25">
      <c r="A59" s="11" t="s">
        <v>2459</v>
      </c>
      <c r="B59" s="6">
        <v>3</v>
      </c>
      <c r="C59" s="19" t="s">
        <v>2460</v>
      </c>
      <c r="D59" s="11" t="s">
        <v>2441</v>
      </c>
      <c r="E59" s="11" t="s">
        <v>2461</v>
      </c>
      <c r="F59" s="6"/>
      <c r="G59" s="6" t="s">
        <v>11</v>
      </c>
      <c r="H59" s="11" t="s">
        <v>2438</v>
      </c>
      <c r="I59" s="11" t="s">
        <v>2439</v>
      </c>
    </row>
    <row r="60" ht="39" customHeight="1" spans="1:9" s="10" customFormat="1" x14ac:dyDescent="0.25">
      <c r="A60" s="11" t="s">
        <v>2462</v>
      </c>
      <c r="B60" s="6">
        <v>3</v>
      </c>
      <c r="C60" s="19" t="s">
        <v>2463</v>
      </c>
      <c r="D60" s="11" t="s">
        <v>2441</v>
      </c>
      <c r="E60" s="11" t="s">
        <v>2464</v>
      </c>
      <c r="F60" s="6"/>
      <c r="G60" s="6" t="s">
        <v>11</v>
      </c>
      <c r="H60" s="11" t="s">
        <v>2465</v>
      </c>
      <c r="I60" s="11" t="s">
        <v>2439</v>
      </c>
    </row>
    <row r="61" ht="18" customHeight="1" spans="1:10" s="10" customFormat="1" x14ac:dyDescent="0.25">
      <c r="A61" s="14" t="s">
        <v>2466</v>
      </c>
      <c r="B61" s="15">
        <v>1</v>
      </c>
      <c r="C61" s="14" t="s">
        <v>64</v>
      </c>
      <c r="D61" s="14" t="s">
        <v>637</v>
      </c>
      <c r="E61" s="14"/>
      <c r="F61" s="15">
        <f>COUNTIFS($B$62:$B$71,3,$G$62:$G$71,"COMPLETED")&amp;" / "&amp;COUNTIF($B$62:$B$71,3)</f>
      </c>
      <c r="G61" s="15">
        <f>IF(COUNTIFS($B$62:$B$71,3,$G$62:$G$71,"COMPLETED")=COUNTIF($B$62:$B$71,3),"COMPLETED",IF(COUNTIFS($B$62:$B$71,3,$G$62:$G$71,"BLOCKED")&gt;0,"BLOCKED",IF(COUNTIFS($B$62:$B$71,3,$G$62:$G$71,"YET TO START")=COUNTIF($B$62:$B$71,3),"YET TO START","IN PROGRESS")))</f>
      </c>
      <c r="H61" s="14"/>
      <c r="I61" s="14"/>
      <c r="J61" s="13">
        <f>(COUNTIFS($B$62:$B$71,3,$J$62:$J$71,"DONE")+COUNTIFS($B$62:$B$71,3,$J$62:$J$71,"DONE-SANDBOX"))&amp;" / "&amp;COUNTIFS($B$62:$B$71,3,$J$62:$J$71,"&lt;&gt;")&amp;" batch steps done"</f>
      </c>
    </row>
    <row r="62" ht="15" customHeight="1" spans="1:10" s="10" customFormat="1" x14ac:dyDescent="0.25">
      <c r="A62" s="16" t="s">
        <v>2467</v>
      </c>
      <c r="B62" s="17">
        <v>2</v>
      </c>
      <c r="C62" s="18" t="s">
        <v>2468</v>
      </c>
      <c r="D62" s="16"/>
      <c r="E62" s="16"/>
      <c r="F62" s="17">
        <f>COUNTIFS($B$63:$B$64,3,$G$63:$G$64,"COMPLETED")&amp;" / "&amp;COUNTIF($B$63:$B$64,3)</f>
      </c>
      <c r="G62" s="17">
        <f>IF(COUNTIFS($B$63:$B$64,3,$G$63:$G$64,"COMPLETED")=COUNTIF($B$63:$B$64,3),"COMPLETED",IF(COUNTIFS($B$63:$B$64,3,$G$63:$G$64,"BLOCKED")&gt;0,"BLOCKED",IF(COUNTIFS($B$63:$B$64,3,$G$63:$G$64,"YET TO START")=COUNTIF($B$63:$B$64,3),"YET TO START","IN PROGRESS")))</f>
      </c>
      <c r="H62" s="16"/>
      <c r="I62" s="16"/>
      <c r="J62" s="13">
        <f>(COUNTIFS($B$63:$B$64,3,$J$63:$J$64,"DONE")+COUNTIFS($B$63:$B$64,3,$J$63:$J$64,"DONE-SANDBOX"))&amp;" / "&amp;COUNTIFS($B$63:$B$64,3,$J$63:$J$64,"&lt;&gt;")&amp;" batch steps done"</f>
      </c>
    </row>
    <row r="63" ht="15" customHeight="1" spans="1:9" s="10" customFormat="1" x14ac:dyDescent="0.25">
      <c r="A63" s="11" t="s">
        <v>795</v>
      </c>
      <c r="B63" s="6">
        <v>3</v>
      </c>
      <c r="C63" s="19" t="s">
        <v>2469</v>
      </c>
      <c r="D63" s="11" t="s">
        <v>637</v>
      </c>
      <c r="E63" s="11" t="s">
        <v>2470</v>
      </c>
      <c r="F63" s="6"/>
      <c r="G63" s="6" t="s">
        <v>11</v>
      </c>
      <c r="H63" s="11" t="s">
        <v>173</v>
      </c>
      <c r="I63" s="11" t="s">
        <v>142</v>
      </c>
    </row>
    <row r="64" ht="15" customHeight="1" spans="1:9" s="10" customFormat="1" x14ac:dyDescent="0.25">
      <c r="A64" s="11" t="s">
        <v>394</v>
      </c>
      <c r="B64" s="6">
        <v>3</v>
      </c>
      <c r="C64" s="19" t="s">
        <v>2471</v>
      </c>
      <c r="D64" s="11" t="s">
        <v>637</v>
      </c>
      <c r="E64" s="11" t="s">
        <v>2472</v>
      </c>
      <c r="F64" s="6"/>
      <c r="G64" s="6" t="s">
        <v>11</v>
      </c>
      <c r="H64" s="11" t="s">
        <v>2473</v>
      </c>
      <c r="I64" s="11" t="s">
        <v>142</v>
      </c>
    </row>
    <row r="65" ht="15" customHeight="1" spans="1:10" s="10" customFormat="1" x14ac:dyDescent="0.25">
      <c r="A65" s="16" t="s">
        <v>2474</v>
      </c>
      <c r="B65" s="17">
        <v>2</v>
      </c>
      <c r="C65" s="18" t="s">
        <v>2475</v>
      </c>
      <c r="D65" s="16"/>
      <c r="E65" s="16"/>
      <c r="F65" s="17">
        <f>COUNTIFS($B$66:$B$68,3,$G$66:$G$68,"COMPLETED")&amp;" / "&amp;COUNTIF($B$66:$B$68,3)</f>
      </c>
      <c r="G65" s="17">
        <f>IF(COUNTIFS($B$66:$B$68,3,$G$66:$G$68,"COMPLETED")=COUNTIF($B$66:$B$68,3),"COMPLETED",IF(COUNTIFS($B$66:$B$68,3,$G$66:$G$68,"BLOCKED")&gt;0,"BLOCKED",IF(COUNTIFS($B$66:$B$68,3,$G$66:$G$68,"YET TO START")=COUNTIF($B$66:$B$68,3),"YET TO START","IN PROGRESS")))</f>
      </c>
      <c r="H65" s="16"/>
      <c r="I65" s="16"/>
      <c r="J65" s="13">
        <f>(COUNTIFS($B$66:$B$68,3,$J$66:$J$68,"DONE")+COUNTIFS($B$66:$B$68,3,$J$66:$J$68,"DONE-SANDBOX"))&amp;" / "&amp;COUNTIFS($B$66:$B$68,3,$J$66:$J$68,"&lt;&gt;")&amp;" batch steps done"</f>
      </c>
    </row>
    <row r="66" ht="15" customHeight="1" spans="1:9" s="10" customFormat="1" x14ac:dyDescent="0.25">
      <c r="A66" s="11" t="s">
        <v>406</v>
      </c>
      <c r="B66" s="6">
        <v>3</v>
      </c>
      <c r="C66" s="19" t="s">
        <v>2476</v>
      </c>
      <c r="D66" s="11" t="s">
        <v>637</v>
      </c>
      <c r="E66" s="11" t="s">
        <v>2477</v>
      </c>
      <c r="F66" s="6"/>
      <c r="G66" s="6" t="s">
        <v>11</v>
      </c>
      <c r="H66" s="11" t="s">
        <v>173</v>
      </c>
      <c r="I66" s="11" t="s">
        <v>142</v>
      </c>
    </row>
    <row r="67" ht="15" customHeight="1" spans="1:9" s="10" customFormat="1" x14ac:dyDescent="0.25">
      <c r="A67" s="11" t="s">
        <v>804</v>
      </c>
      <c r="B67" s="6">
        <v>3</v>
      </c>
      <c r="C67" s="19" t="s">
        <v>2478</v>
      </c>
      <c r="D67" s="11" t="s">
        <v>637</v>
      </c>
      <c r="E67" s="11" t="s">
        <v>2479</v>
      </c>
      <c r="F67" s="6"/>
      <c r="G67" s="6" t="s">
        <v>11</v>
      </c>
      <c r="H67" s="11" t="s">
        <v>460</v>
      </c>
      <c r="I67" s="11" t="s">
        <v>142</v>
      </c>
    </row>
    <row r="68" ht="15" customHeight="1" spans="1:9" s="10" customFormat="1" x14ac:dyDescent="0.25">
      <c r="A68" s="11" t="s">
        <v>811</v>
      </c>
      <c r="B68" s="6">
        <v>3</v>
      </c>
      <c r="C68" s="19" t="s">
        <v>2480</v>
      </c>
      <c r="D68" s="11" t="s">
        <v>637</v>
      </c>
      <c r="E68" s="11" t="s">
        <v>2481</v>
      </c>
      <c r="F68" s="6"/>
      <c r="G68" s="6" t="s">
        <v>11</v>
      </c>
      <c r="H68" s="11" t="s">
        <v>2482</v>
      </c>
      <c r="I68" s="11" t="s">
        <v>2363</v>
      </c>
    </row>
    <row r="69" ht="15" customHeight="1" spans="1:10" s="10" customFormat="1" x14ac:dyDescent="0.25">
      <c r="A69" s="16" t="s">
        <v>2483</v>
      </c>
      <c r="B69" s="17">
        <v>2</v>
      </c>
      <c r="C69" s="18" t="s">
        <v>2484</v>
      </c>
      <c r="D69" s="16"/>
      <c r="E69" s="16"/>
      <c r="F69" s="17">
        <f>COUNTIFS($B$70:$B$71,3,$G$70:$G$71,"COMPLETED")&amp;" / "&amp;COUNTIF($B$70:$B$71,3)</f>
      </c>
      <c r="G69" s="17">
        <f>IF(COUNTIFS($B$70:$B$71,3,$G$70:$G$71,"COMPLETED")=COUNTIF($B$70:$B$71,3),"COMPLETED",IF(COUNTIFS($B$70:$B$71,3,$G$70:$G$71,"BLOCKED")&gt;0,"BLOCKED",IF(COUNTIFS($B$70:$B$71,3,$G$70:$G$71,"YET TO START")=COUNTIF($B$70:$B$71,3),"YET TO START","IN PROGRESS")))</f>
      </c>
      <c r="H69" s="16"/>
      <c r="I69" s="16"/>
      <c r="J69" s="13">
        <f>(COUNTIFS($B$70:$B$71,3,$J$70:$J$71,"DONE")+COUNTIFS($B$70:$B$71,3,$J$70:$J$71,"DONE-SANDBOX"))&amp;" / "&amp;COUNTIFS($B$70:$B$71,3,$J$70:$J$71,"&lt;&gt;")&amp;" batch steps done"</f>
      </c>
    </row>
    <row r="70" ht="15" customHeight="1" spans="1:9" s="10" customFormat="1" x14ac:dyDescent="0.25">
      <c r="A70" s="11" t="s">
        <v>400</v>
      </c>
      <c r="B70" s="6">
        <v>3</v>
      </c>
      <c r="C70" s="19" t="s">
        <v>2485</v>
      </c>
      <c r="D70" s="11" t="s">
        <v>637</v>
      </c>
      <c r="E70" s="11" t="s">
        <v>2486</v>
      </c>
      <c r="F70" s="6"/>
      <c r="G70" s="6" t="s">
        <v>11</v>
      </c>
      <c r="H70" s="11" t="s">
        <v>2487</v>
      </c>
      <c r="I70" s="11" t="s">
        <v>142</v>
      </c>
    </row>
    <row r="71" ht="15" customHeight="1" spans="1:12" s="10" customFormat="1" x14ac:dyDescent="0.25">
      <c r="A71" s="11" t="s">
        <v>1715</v>
      </c>
      <c r="B71" s="6">
        <v>3</v>
      </c>
      <c r="C71" s="19" t="s">
        <v>2488</v>
      </c>
      <c r="D71" s="11" t="s">
        <v>637</v>
      </c>
      <c r="E71" s="11" t="s">
        <v>1712</v>
      </c>
      <c r="F71" s="6"/>
      <c r="G71" s="6" t="s">
        <v>11</v>
      </c>
      <c r="H71" s="11" t="s">
        <v>2367</v>
      </c>
      <c r="I71" s="11" t="s">
        <v>2489</v>
      </c>
      <c r="J71" s="20" t="s">
        <v>2333</v>
      </c>
      <c r="K71" s="10" t="s">
        <v>2367</v>
      </c>
      <c r="L71" s="21" t="s">
        <v>2490</v>
      </c>
    </row>
    <row r="72" ht="18" customHeight="1" spans="1:10" s="10" customFormat="1" x14ac:dyDescent="0.25">
      <c r="A72" s="14" t="s">
        <v>2491</v>
      </c>
      <c r="B72" s="15">
        <v>1</v>
      </c>
      <c r="C72" s="14" t="s">
        <v>65</v>
      </c>
      <c r="D72" s="14" t="s">
        <v>2492</v>
      </c>
      <c r="E72" s="14"/>
      <c r="F72" s="15">
        <f>COUNTIFS($B$73:$B$84,3,$G$73:$G$84,"COMPLETED")&amp;" / "&amp;COUNTIF($B$73:$B$84,3)</f>
      </c>
      <c r="G72" s="15">
        <f>IF(COUNTIFS($B$73:$B$84,3,$G$73:$G$84,"COMPLETED")=COUNTIF($B$73:$B$84,3),"COMPLETED",IF(COUNTIFS($B$73:$B$84,3,$G$73:$G$84,"BLOCKED")&gt;0,"BLOCKED",IF(COUNTIFS($B$73:$B$84,3,$G$73:$G$84,"YET TO START")=COUNTIF($B$73:$B$84,3),"YET TO START","IN PROGRESS")))</f>
      </c>
      <c r="H72" s="14"/>
      <c r="I72" s="14"/>
      <c r="J72" s="13">
        <f>(COUNTIFS($B$73:$B$84,3,$J$73:$J$84,"DONE")+COUNTIFS($B$73:$B$84,3,$J$73:$J$84,"DONE-SANDBOX"))&amp;" / "&amp;COUNTIFS($B$73:$B$84,3,$J$73:$J$84,"&lt;&gt;")&amp;" batch steps done"</f>
      </c>
    </row>
    <row r="73" ht="15" customHeight="1" spans="1:10" s="10" customFormat="1" x14ac:dyDescent="0.25">
      <c r="A73" s="16" t="s">
        <v>2493</v>
      </c>
      <c r="B73" s="17">
        <v>2</v>
      </c>
      <c r="C73" s="18" t="s">
        <v>2494</v>
      </c>
      <c r="D73" s="16"/>
      <c r="E73" s="16"/>
      <c r="F73" s="17">
        <f>COUNTIFS($B$74:$B$76,3,$G$74:$G$76,"COMPLETED")&amp;" / "&amp;COUNTIF($B$74:$B$76,3)</f>
      </c>
      <c r="G73" s="17">
        <f>IF(COUNTIFS($B$74:$B$76,3,$G$74:$G$76,"COMPLETED")=COUNTIF($B$74:$B$76,3),"COMPLETED",IF(COUNTIFS($B$74:$B$76,3,$G$74:$G$76,"BLOCKED")&gt;0,"BLOCKED",IF(COUNTIFS($B$74:$B$76,3,$G$74:$G$76,"YET TO START")=COUNTIF($B$74:$B$76,3),"YET TO START","IN PROGRESS")))</f>
      </c>
      <c r="H73" s="16"/>
      <c r="I73" s="16"/>
      <c r="J73" s="13">
        <f>(COUNTIFS($B$74:$B$76,3,$J$74:$J$76,"DONE")+COUNTIFS($B$74:$B$76,3,$J$74:$J$76,"DONE-SANDBOX"))&amp;" / "&amp;COUNTIFS($B$74:$B$76,3,$J$74:$J$76,"&lt;&gt;")&amp;" batch steps done"</f>
      </c>
    </row>
    <row r="74" ht="15" customHeight="1" spans="1:9" s="10" customFormat="1" x14ac:dyDescent="0.25">
      <c r="A74" s="11" t="s">
        <v>903</v>
      </c>
      <c r="B74" s="6">
        <v>3</v>
      </c>
      <c r="C74" s="19" t="s">
        <v>2495</v>
      </c>
      <c r="D74" s="11" t="s">
        <v>2492</v>
      </c>
      <c r="E74" s="11" t="s">
        <v>900</v>
      </c>
      <c r="F74" s="6"/>
      <c r="G74" s="6" t="s">
        <v>11</v>
      </c>
      <c r="H74" s="11" t="s">
        <v>2496</v>
      </c>
      <c r="I74" s="11" t="s">
        <v>142</v>
      </c>
    </row>
    <row r="75" ht="15" customHeight="1" spans="1:9" s="10" customFormat="1" x14ac:dyDescent="0.25">
      <c r="A75" s="11" t="s">
        <v>411</v>
      </c>
      <c r="B75" s="6">
        <v>3</v>
      </c>
      <c r="C75" s="19" t="s">
        <v>2497</v>
      </c>
      <c r="D75" s="11" t="s">
        <v>2492</v>
      </c>
      <c r="E75" s="11" t="s">
        <v>2498</v>
      </c>
      <c r="F75" s="6"/>
      <c r="G75" s="6" t="s">
        <v>11</v>
      </c>
      <c r="H75" s="11" t="s">
        <v>2417</v>
      </c>
      <c r="I75" s="11" t="s">
        <v>142</v>
      </c>
    </row>
    <row r="76" ht="15" customHeight="1" spans="1:12" s="10" customFormat="1" x14ac:dyDescent="0.25">
      <c r="A76" s="11" t="s">
        <v>1693</v>
      </c>
      <c r="B76" s="6">
        <v>3</v>
      </c>
      <c r="C76" s="19" t="s">
        <v>2499</v>
      </c>
      <c r="D76" s="11" t="s">
        <v>2492</v>
      </c>
      <c r="E76" s="11" t="s">
        <v>1690</v>
      </c>
      <c r="F76" s="6"/>
      <c r="G76" s="6" t="s">
        <v>11</v>
      </c>
      <c r="H76" s="11" t="s">
        <v>2331</v>
      </c>
      <c r="I76" s="11" t="s">
        <v>2500</v>
      </c>
      <c r="J76" s="20" t="s">
        <v>2333</v>
      </c>
      <c r="K76" s="10" t="s">
        <v>2331</v>
      </c>
      <c r="L76" s="21" t="s">
        <v>2501</v>
      </c>
    </row>
    <row r="77" ht="15" customHeight="1" spans="1:10" s="10" customFormat="1" x14ac:dyDescent="0.25">
      <c r="A77" s="16" t="s">
        <v>2502</v>
      </c>
      <c r="B77" s="17">
        <v>2</v>
      </c>
      <c r="C77" s="18" t="s">
        <v>2503</v>
      </c>
      <c r="D77" s="16"/>
      <c r="E77" s="16"/>
      <c r="F77" s="17">
        <f>COUNTIFS($B$78:$B$84,3,$G$78:$G$84,"COMPLETED")&amp;" / "&amp;COUNTIF($B$78:$B$84,3)</f>
      </c>
      <c r="G77" s="17">
        <f>IF(COUNTIFS($B$78:$B$84,3,$G$78:$G$84,"COMPLETED")=COUNTIF($B$78:$B$84,3),"COMPLETED",IF(COUNTIFS($B$78:$B$84,3,$G$78:$G$84,"BLOCKED")&gt;0,"BLOCKED",IF(COUNTIFS($B$78:$B$84,3,$G$78:$G$84,"YET TO START")=COUNTIF($B$78:$B$84,3),"YET TO START","IN PROGRESS")))</f>
      </c>
      <c r="H77" s="16"/>
      <c r="I77" s="16"/>
      <c r="J77" s="13">
        <f>(COUNTIFS($B$78:$B$84,3,$J$78:$J$84,"DONE")+COUNTIFS($B$78:$B$84,3,$J$78:$J$84,"DONE-SANDBOX"))&amp;" / "&amp;COUNTIFS($B$78:$B$84,3,$J$78:$J$84,"&lt;&gt;")&amp;" batch steps done"</f>
      </c>
    </row>
    <row r="78" ht="15" customHeight="1" spans="1:9" s="10" customFormat="1" x14ac:dyDescent="0.25">
      <c r="A78" s="11" t="s">
        <v>2504</v>
      </c>
      <c r="B78" s="6">
        <v>3</v>
      </c>
      <c r="C78" s="19" t="s">
        <v>2505</v>
      </c>
      <c r="D78" s="11" t="s">
        <v>2492</v>
      </c>
      <c r="E78" s="11" t="s">
        <v>594</v>
      </c>
      <c r="F78" s="6"/>
      <c r="G78" s="6" t="s">
        <v>11</v>
      </c>
      <c r="H78" s="11" t="s">
        <v>741</v>
      </c>
      <c r="I78" s="11" t="s">
        <v>142</v>
      </c>
    </row>
    <row r="79" ht="15" customHeight="1" spans="1:12" s="10" customFormat="1" x14ac:dyDescent="0.25">
      <c r="A79" s="11" t="s">
        <v>1700</v>
      </c>
      <c r="B79" s="6">
        <v>3</v>
      </c>
      <c r="C79" s="19" t="s">
        <v>1698</v>
      </c>
      <c r="D79" s="11" t="s">
        <v>2492</v>
      </c>
      <c r="E79" s="11" t="s">
        <v>1697</v>
      </c>
      <c r="F79" s="6"/>
      <c r="G79" s="6" t="s">
        <v>11</v>
      </c>
      <c r="H79" s="11" t="s">
        <v>2367</v>
      </c>
      <c r="I79" s="11" t="s">
        <v>2506</v>
      </c>
      <c r="J79" s="23" t="s">
        <v>2398</v>
      </c>
      <c r="K79" s="10" t="s">
        <v>2367</v>
      </c>
      <c r="L79" s="21" t="s">
        <v>2507</v>
      </c>
    </row>
    <row r="80" ht="15" customHeight="1" spans="1:9" s="10" customFormat="1" x14ac:dyDescent="0.25">
      <c r="A80" s="11" t="s">
        <v>2508</v>
      </c>
      <c r="B80" s="6">
        <v>3</v>
      </c>
      <c r="C80" s="19" t="s">
        <v>2509</v>
      </c>
      <c r="D80" s="11" t="s">
        <v>2492</v>
      </c>
      <c r="E80" s="11" t="s">
        <v>445</v>
      </c>
      <c r="F80" s="6"/>
      <c r="G80" s="6" t="s">
        <v>11</v>
      </c>
      <c r="H80" s="11" t="s">
        <v>2376</v>
      </c>
      <c r="I80" s="11" t="s">
        <v>142</v>
      </c>
    </row>
    <row r="81" ht="15" customHeight="1" spans="1:9" s="10" customFormat="1" x14ac:dyDescent="0.25">
      <c r="A81" s="11" t="s">
        <v>2510</v>
      </c>
      <c r="B81" s="6">
        <v>3</v>
      </c>
      <c r="C81" s="19" t="s">
        <v>2511</v>
      </c>
      <c r="D81" s="11" t="s">
        <v>2492</v>
      </c>
      <c r="E81" s="11" t="s">
        <v>2512</v>
      </c>
      <c r="F81" s="6"/>
      <c r="G81" s="6" t="s">
        <v>11</v>
      </c>
      <c r="H81" s="11" t="s">
        <v>2513</v>
      </c>
      <c r="I81" s="11" t="s">
        <v>2514</v>
      </c>
    </row>
    <row r="82" ht="15" customHeight="1" spans="1:9" s="10" customFormat="1" x14ac:dyDescent="0.25">
      <c r="A82" s="11" t="s">
        <v>2515</v>
      </c>
      <c r="B82" s="6">
        <v>3</v>
      </c>
      <c r="C82" s="19" t="s">
        <v>2516</v>
      </c>
      <c r="D82" s="11" t="s">
        <v>2492</v>
      </c>
      <c r="E82" s="11" t="s">
        <v>1206</v>
      </c>
      <c r="F82" s="6"/>
      <c r="G82" s="6" t="s">
        <v>11</v>
      </c>
      <c r="H82" s="11" t="s">
        <v>2430</v>
      </c>
      <c r="I82" s="11" t="s">
        <v>2381</v>
      </c>
    </row>
    <row r="83" ht="15" customHeight="1" spans="1:12" s="10" customFormat="1" x14ac:dyDescent="0.25">
      <c r="A83" s="11" t="s">
        <v>1708</v>
      </c>
      <c r="B83" s="6">
        <v>3</v>
      </c>
      <c r="C83" s="19" t="s">
        <v>2517</v>
      </c>
      <c r="D83" s="11" t="s">
        <v>2492</v>
      </c>
      <c r="E83" s="11" t="s">
        <v>1705</v>
      </c>
      <c r="F83" s="6"/>
      <c r="G83" s="6" t="s">
        <v>14</v>
      </c>
      <c r="H83" s="11" t="s">
        <v>142</v>
      </c>
      <c r="I83" s="11" t="s">
        <v>2518</v>
      </c>
      <c r="J83" s="24" t="s">
        <v>2519</v>
      </c>
      <c r="K83" s="10" t="s">
        <v>142</v>
      </c>
      <c r="L83" s="21" t="s">
        <v>2520</v>
      </c>
    </row>
    <row r="84" ht="15" customHeight="1" spans="1:9" s="10" customFormat="1" x14ac:dyDescent="0.25">
      <c r="A84" s="11" t="s">
        <v>651</v>
      </c>
      <c r="B84" s="6">
        <v>3</v>
      </c>
      <c r="C84" s="19" t="s">
        <v>2521</v>
      </c>
      <c r="D84" s="11" t="s">
        <v>2492</v>
      </c>
      <c r="E84" s="11" t="s">
        <v>2522</v>
      </c>
      <c r="F84" s="6"/>
      <c r="G84" s="6" t="s">
        <v>11</v>
      </c>
      <c r="H84" s="11" t="s">
        <v>281</v>
      </c>
      <c r="I84" s="11" t="s">
        <v>142</v>
      </c>
    </row>
    <row r="85" ht="18" customHeight="1" spans="1:10" s="10" customFormat="1" x14ac:dyDescent="0.25">
      <c r="A85" s="14" t="s">
        <v>2523</v>
      </c>
      <c r="B85" s="15">
        <v>1</v>
      </c>
      <c r="C85" s="14" t="s">
        <v>66</v>
      </c>
      <c r="D85" s="14" t="s">
        <v>2524</v>
      </c>
      <c r="E85" s="14"/>
      <c r="F85" s="15">
        <f>COUNTIFS($B$86:$B$95,3,$G$86:$G$95,"COMPLETED")&amp;" / "&amp;COUNTIF($B$86:$B$95,3)</f>
      </c>
      <c r="G85" s="15">
        <f>IF(COUNTIFS($B$86:$B$95,3,$G$86:$G$95,"COMPLETED")=COUNTIF($B$86:$B$95,3),"COMPLETED",IF(COUNTIFS($B$86:$B$95,3,$G$86:$G$95,"BLOCKED")&gt;0,"BLOCKED",IF(COUNTIFS($B$86:$B$95,3,$G$86:$G$95,"YET TO START")=COUNTIF($B$86:$B$95,3),"YET TO START","IN PROGRESS")))</f>
      </c>
      <c r="H85" s="14"/>
      <c r="I85" s="14"/>
      <c r="J85" s="13">
        <f>(COUNTIFS($B$86:$B$95,3,$J$86:$J$95,"DONE")+COUNTIFS($B$86:$B$95,3,$J$86:$J$95,"DONE-SANDBOX"))&amp;" / "&amp;COUNTIFS($B$86:$B$95,3,$J$86:$J$95,"&lt;&gt;")&amp;" batch steps done"</f>
      </c>
    </row>
    <row r="86" ht="15" customHeight="1" spans="1:10" s="10" customFormat="1" x14ac:dyDescent="0.25">
      <c r="A86" s="16" t="s">
        <v>2525</v>
      </c>
      <c r="B86" s="17">
        <v>2</v>
      </c>
      <c r="C86" s="18" t="s">
        <v>2526</v>
      </c>
      <c r="D86" s="16"/>
      <c r="E86" s="16"/>
      <c r="F86" s="17">
        <f>COUNTIFS($B$87:$B$88,3,$G$87:$G$88,"COMPLETED")&amp;" / "&amp;COUNTIF($B$87:$B$88,3)</f>
      </c>
      <c r="G86" s="17">
        <f>IF(COUNTIFS($B$87:$B$88,3,$G$87:$G$88,"COMPLETED")=COUNTIF($B$87:$B$88,3),"COMPLETED",IF(COUNTIFS($B$87:$B$88,3,$G$87:$G$88,"BLOCKED")&gt;0,"BLOCKED",IF(COUNTIFS($B$87:$B$88,3,$G$87:$G$88,"YET TO START")=COUNTIF($B$87:$B$88,3),"YET TO START","IN PROGRESS")))</f>
      </c>
      <c r="H86" s="16"/>
      <c r="I86" s="16"/>
      <c r="J86" s="13">
        <f>(COUNTIFS($B$87:$B$88,3,$J$87:$J$88,"DONE")+COUNTIFS($B$87:$B$88,3,$J$87:$J$88,"DONE-SANDBOX"))&amp;" / "&amp;COUNTIFS($B$87:$B$88,3,$J$87:$J$88,"&lt;&gt;")&amp;" batch steps done"</f>
      </c>
    </row>
    <row r="87" ht="15" customHeight="1" spans="1:9" s="10" customFormat="1" x14ac:dyDescent="0.25">
      <c r="A87" s="11" t="s">
        <v>433</v>
      </c>
      <c r="B87" s="6">
        <v>3</v>
      </c>
      <c r="C87" s="19" t="s">
        <v>2527</v>
      </c>
      <c r="D87" s="11" t="s">
        <v>2524</v>
      </c>
      <c r="E87" s="11" t="s">
        <v>429</v>
      </c>
      <c r="F87" s="6"/>
      <c r="G87" s="6" t="s">
        <v>11</v>
      </c>
      <c r="H87" s="11" t="s">
        <v>173</v>
      </c>
      <c r="I87" s="11" t="s">
        <v>142</v>
      </c>
    </row>
    <row r="88" ht="15" customHeight="1" spans="1:9" s="10" customFormat="1" x14ac:dyDescent="0.25">
      <c r="A88" s="11" t="s">
        <v>2528</v>
      </c>
      <c r="B88" s="6">
        <v>3</v>
      </c>
      <c r="C88" s="19" t="s">
        <v>2529</v>
      </c>
      <c r="D88" s="11" t="s">
        <v>2524</v>
      </c>
      <c r="E88" s="11" t="s">
        <v>2530</v>
      </c>
      <c r="F88" s="6"/>
      <c r="G88" s="6" t="s">
        <v>11</v>
      </c>
      <c r="H88" s="11" t="s">
        <v>173</v>
      </c>
      <c r="I88" s="11" t="s">
        <v>142</v>
      </c>
    </row>
    <row r="89" ht="15" customHeight="1" spans="1:10" s="10" customFormat="1" x14ac:dyDescent="0.25">
      <c r="A89" s="16" t="s">
        <v>2531</v>
      </c>
      <c r="B89" s="17">
        <v>2</v>
      </c>
      <c r="C89" s="18" t="s">
        <v>2532</v>
      </c>
      <c r="D89" s="16"/>
      <c r="E89" s="16"/>
      <c r="F89" s="17">
        <f>COUNTIFS($B$90:$B$92,3,$G$90:$G$92,"COMPLETED")&amp;" / "&amp;COUNTIF($B$90:$B$92,3)</f>
      </c>
      <c r="G89" s="17">
        <f>IF(COUNTIFS($B$90:$B$92,3,$G$90:$G$92,"COMPLETED")=COUNTIF($B$90:$B$92,3),"COMPLETED",IF(COUNTIFS($B$90:$B$92,3,$G$90:$G$92,"BLOCKED")&gt;0,"BLOCKED",IF(COUNTIFS($B$90:$B$92,3,$G$90:$G$92,"YET TO START")=COUNTIF($B$90:$B$92,3),"YET TO START","IN PROGRESS")))</f>
      </c>
      <c r="H89" s="16"/>
      <c r="I89" s="16"/>
      <c r="J89" s="13">
        <f>(COUNTIFS($B$90:$B$92,3,$J$90:$J$92,"DONE")+COUNTIFS($B$90:$B$92,3,$J$90:$J$92,"DONE-SANDBOX"))&amp;" / "&amp;COUNTIFS($B$90:$B$92,3,$J$90:$J$92,"&lt;&gt;")&amp;" batch steps done"</f>
      </c>
    </row>
    <row r="90" ht="15" customHeight="1" spans="1:9" s="10" customFormat="1" x14ac:dyDescent="0.25">
      <c r="A90" s="11" t="s">
        <v>721</v>
      </c>
      <c r="B90" s="6">
        <v>3</v>
      </c>
      <c r="C90" s="19" t="s">
        <v>2533</v>
      </c>
      <c r="D90" s="11" t="s">
        <v>2524</v>
      </c>
      <c r="E90" s="11" t="s">
        <v>2534</v>
      </c>
      <c r="F90" s="6"/>
      <c r="G90" s="6" t="s">
        <v>11</v>
      </c>
      <c r="H90" s="11" t="s">
        <v>173</v>
      </c>
      <c r="I90" s="11" t="s">
        <v>142</v>
      </c>
    </row>
    <row r="91" ht="15" customHeight="1" spans="1:9" s="10" customFormat="1" x14ac:dyDescent="0.25">
      <c r="A91" s="11" t="s">
        <v>1144</v>
      </c>
      <c r="B91" s="6">
        <v>3</v>
      </c>
      <c r="C91" s="19" t="s">
        <v>2535</v>
      </c>
      <c r="D91" s="11" t="s">
        <v>2524</v>
      </c>
      <c r="E91" s="11" t="s">
        <v>1141</v>
      </c>
      <c r="F91" s="6"/>
      <c r="G91" s="6" t="s">
        <v>11</v>
      </c>
      <c r="H91" s="11" t="s">
        <v>2380</v>
      </c>
      <c r="I91" s="11" t="s">
        <v>2381</v>
      </c>
    </row>
    <row r="92" ht="15" customHeight="1" spans="1:9" s="10" customFormat="1" x14ac:dyDescent="0.25">
      <c r="A92" s="11" t="s">
        <v>2536</v>
      </c>
      <c r="B92" s="6">
        <v>3</v>
      </c>
      <c r="C92" s="19" t="s">
        <v>2537</v>
      </c>
      <c r="D92" s="11" t="s">
        <v>2524</v>
      </c>
      <c r="E92" s="11" t="s">
        <v>1156</v>
      </c>
      <c r="F92" s="6"/>
      <c r="G92" s="6" t="s">
        <v>11</v>
      </c>
      <c r="H92" s="11" t="s">
        <v>2380</v>
      </c>
      <c r="I92" s="11" t="s">
        <v>2381</v>
      </c>
    </row>
    <row r="93" ht="15" customHeight="1" spans="1:10" s="10" customFormat="1" x14ac:dyDescent="0.25">
      <c r="A93" s="16" t="s">
        <v>2538</v>
      </c>
      <c r="B93" s="17">
        <v>2</v>
      </c>
      <c r="C93" s="18" t="s">
        <v>2539</v>
      </c>
      <c r="D93" s="16"/>
      <c r="E93" s="16"/>
      <c r="F93" s="17">
        <f>COUNTIFS($B$94:$B$95,3,$G$94:$G$95,"COMPLETED")&amp;" / "&amp;COUNTIF($B$94:$B$95,3)</f>
      </c>
      <c r="G93" s="17">
        <f>IF(COUNTIFS($B$94:$B$95,3,$G$94:$G$95,"COMPLETED")=COUNTIF($B$94:$B$95,3),"COMPLETED",IF(COUNTIFS($B$94:$B$95,3,$G$94:$G$95,"BLOCKED")&gt;0,"BLOCKED",IF(COUNTIFS($B$94:$B$95,3,$G$94:$G$95,"YET TO START")=COUNTIF($B$94:$B$95,3),"YET TO START","IN PROGRESS")))</f>
      </c>
      <c r="H93" s="16"/>
      <c r="I93" s="16"/>
      <c r="J93" s="13">
        <f>(COUNTIFS($B$94:$B$95,3,$J$94:$J$95,"DONE")+COUNTIFS($B$94:$B$95,3,$J$94:$J$95,"DONE-SANDBOX"))&amp;" / "&amp;COUNTIFS($B$94:$B$95,3,$J$94:$J$95,"&lt;&gt;")&amp;" batch steps done"</f>
      </c>
    </row>
    <row r="94" ht="15" customHeight="1" spans="1:9" s="10" customFormat="1" x14ac:dyDescent="0.25">
      <c r="A94" s="11" t="s">
        <v>2540</v>
      </c>
      <c r="B94" s="6">
        <v>3</v>
      </c>
      <c r="C94" s="19" t="s">
        <v>2541</v>
      </c>
      <c r="D94" s="11" t="s">
        <v>2524</v>
      </c>
      <c r="E94" s="11" t="s">
        <v>445</v>
      </c>
      <c r="F94" s="6"/>
      <c r="G94" s="6" t="s">
        <v>11</v>
      </c>
      <c r="H94" s="11" t="s">
        <v>173</v>
      </c>
      <c r="I94" s="11" t="s">
        <v>142</v>
      </c>
    </row>
    <row r="95" ht="15" customHeight="1" spans="1:9" s="10" customFormat="1" x14ac:dyDescent="0.25">
      <c r="A95" s="11" t="s">
        <v>444</v>
      </c>
      <c r="B95" s="6">
        <v>3</v>
      </c>
      <c r="C95" s="19" t="s">
        <v>2542</v>
      </c>
      <c r="D95" s="11" t="s">
        <v>2524</v>
      </c>
      <c r="E95" s="11" t="s">
        <v>441</v>
      </c>
      <c r="F95" s="6"/>
      <c r="G95" s="6" t="s">
        <v>11</v>
      </c>
      <c r="H95" s="11" t="s">
        <v>173</v>
      </c>
      <c r="I95" s="11" t="s">
        <v>142</v>
      </c>
    </row>
    <row r="96" ht="18" customHeight="1" spans="1:10" s="10" customFormat="1" x14ac:dyDescent="0.25">
      <c r="A96" s="14" t="s">
        <v>2543</v>
      </c>
      <c r="B96" s="15">
        <v>1</v>
      </c>
      <c r="C96" s="14" t="s">
        <v>67</v>
      </c>
      <c r="D96" s="14" t="s">
        <v>2544</v>
      </c>
      <c r="E96" s="14"/>
      <c r="F96" s="15">
        <f>COUNTIFS($B$97:$B$110,3,$G$97:$G$110,"COMPLETED")&amp;" / "&amp;COUNTIF($B$97:$B$110,3)</f>
      </c>
      <c r="G96" s="15">
        <f>IF(COUNTIFS($B$97:$B$110,3,$G$97:$G$110,"COMPLETED")=COUNTIF($B$97:$B$110,3),"COMPLETED",IF(COUNTIFS($B$97:$B$110,3,$G$97:$G$110,"BLOCKED")&gt;0,"BLOCKED",IF(COUNTIFS($B$97:$B$110,3,$G$97:$G$110,"YET TO START")=COUNTIF($B$97:$B$110,3),"YET TO START","IN PROGRESS")))</f>
      </c>
      <c r="H96" s="14"/>
      <c r="I96" s="14"/>
      <c r="J96" s="13">
        <f>(COUNTIFS($B$97:$B$110,3,$J$97:$J$110,"DONE")+COUNTIFS($B$97:$B$110,3,$J$97:$J$110,"DONE-SANDBOX"))&amp;" / "&amp;COUNTIFS($B$97:$B$110,3,$J$97:$J$110,"&lt;&gt;")&amp;" batch steps done"</f>
      </c>
    </row>
    <row r="97" ht="15" customHeight="1" spans="1:10" s="10" customFormat="1" x14ac:dyDescent="0.25">
      <c r="A97" s="16" t="s">
        <v>2545</v>
      </c>
      <c r="B97" s="17">
        <v>2</v>
      </c>
      <c r="C97" s="18" t="s">
        <v>2546</v>
      </c>
      <c r="D97" s="16"/>
      <c r="E97" s="16"/>
      <c r="F97" s="17">
        <f>COUNTIFS($B$98:$B$100,3,$G$98:$G$100,"COMPLETED")&amp;" / "&amp;COUNTIF($B$98:$B$100,3)</f>
      </c>
      <c r="G97" s="17">
        <f>IF(COUNTIFS($B$98:$B$100,3,$G$98:$G$100,"COMPLETED")=COUNTIF($B$98:$B$100,3),"COMPLETED",IF(COUNTIFS($B$98:$B$100,3,$G$98:$G$100,"BLOCKED")&gt;0,"BLOCKED",IF(COUNTIFS($B$98:$B$100,3,$G$98:$G$100,"YET TO START")=COUNTIF($B$98:$B$100,3),"YET TO START","IN PROGRESS")))</f>
      </c>
      <c r="H97" s="16"/>
      <c r="I97" s="16"/>
      <c r="J97" s="13">
        <f>(COUNTIFS($B$98:$B$100,3,$J$98:$J$100,"DONE")+COUNTIFS($B$98:$B$100,3,$J$98:$J$100,"DONE-SANDBOX"))&amp;" / "&amp;COUNTIFS($B$98:$B$100,3,$J$98:$J$100,"&lt;&gt;")&amp;" batch steps done"</f>
      </c>
    </row>
    <row r="98" ht="15" customHeight="1" spans="1:9" s="10" customFormat="1" x14ac:dyDescent="0.25">
      <c r="A98" s="11" t="s">
        <v>2547</v>
      </c>
      <c r="B98" s="6">
        <v>3</v>
      </c>
      <c r="C98" s="19" t="s">
        <v>2548</v>
      </c>
      <c r="D98" s="11" t="s">
        <v>2544</v>
      </c>
      <c r="E98" s="11" t="s">
        <v>1025</v>
      </c>
      <c r="F98" s="6"/>
      <c r="G98" s="6" t="s">
        <v>11</v>
      </c>
      <c r="H98" s="11" t="s">
        <v>2417</v>
      </c>
      <c r="I98" s="11" t="s">
        <v>142</v>
      </c>
    </row>
    <row r="99" ht="39" customHeight="1" spans="1:9" s="10" customFormat="1" x14ac:dyDescent="0.25">
      <c r="A99" s="11" t="s">
        <v>2549</v>
      </c>
      <c r="B99" s="6">
        <v>3</v>
      </c>
      <c r="C99" s="19" t="s">
        <v>2550</v>
      </c>
      <c r="D99" s="11" t="s">
        <v>2544</v>
      </c>
      <c r="E99" s="11" t="s">
        <v>1119</v>
      </c>
      <c r="F99" s="6"/>
      <c r="G99" s="6" t="s">
        <v>11</v>
      </c>
      <c r="H99" s="11" t="s">
        <v>2380</v>
      </c>
      <c r="I99" s="11" t="s">
        <v>2439</v>
      </c>
    </row>
    <row r="100" ht="15" customHeight="1" spans="1:12" s="10" customFormat="1" x14ac:dyDescent="0.25">
      <c r="A100" s="11" t="s">
        <v>2551</v>
      </c>
      <c r="B100" s="6">
        <v>3</v>
      </c>
      <c r="C100" s="19" t="s">
        <v>2552</v>
      </c>
      <c r="D100" s="11" t="s">
        <v>2544</v>
      </c>
      <c r="E100" s="11" t="s">
        <v>1025</v>
      </c>
      <c r="F100" s="6"/>
      <c r="G100" s="6" t="s">
        <v>11</v>
      </c>
      <c r="H100" s="11" t="s">
        <v>2367</v>
      </c>
      <c r="I100" s="11" t="s">
        <v>2553</v>
      </c>
      <c r="J100" s="20" t="s">
        <v>2333</v>
      </c>
      <c r="K100" s="10" t="s">
        <v>2367</v>
      </c>
      <c r="L100" s="21" t="s">
        <v>2554</v>
      </c>
    </row>
    <row r="101" ht="15" customHeight="1" spans="1:10" s="10" customFormat="1" x14ac:dyDescent="0.25">
      <c r="A101" s="16" t="s">
        <v>2555</v>
      </c>
      <c r="B101" s="17">
        <v>2</v>
      </c>
      <c r="C101" s="18" t="s">
        <v>2556</v>
      </c>
      <c r="D101" s="16"/>
      <c r="E101" s="16"/>
      <c r="F101" s="17">
        <f>COUNTIFS($B$102:$B$104,3,$G$102:$G$104,"COMPLETED")&amp;" / "&amp;COUNTIF($B$102:$B$104,3)</f>
      </c>
      <c r="G101" s="17">
        <f>IF(COUNTIFS($B$102:$B$104,3,$G$102:$G$104,"COMPLETED")=COUNTIF($B$102:$B$104,3),"COMPLETED",IF(COUNTIFS($B$102:$B$104,3,$G$102:$G$104,"BLOCKED")&gt;0,"BLOCKED",IF(COUNTIFS($B$102:$B$104,3,$G$102:$G$104,"YET TO START")=COUNTIF($B$102:$B$104,3),"YET TO START","IN PROGRESS")))</f>
      </c>
      <c r="H101" s="16"/>
      <c r="I101" s="16"/>
      <c r="J101" s="13">
        <f>(COUNTIFS($B$102:$B$104,3,$J$102:$J$104,"DONE")+COUNTIFS($B$102:$B$104,3,$J$102:$J$104,"DONE-SANDBOX"))&amp;" / "&amp;COUNTIFS($B$102:$B$104,3,$J$102:$J$104,"&lt;&gt;")&amp;" batch steps done"</f>
      </c>
    </row>
    <row r="102" ht="15" customHeight="1" spans="1:9" s="10" customFormat="1" x14ac:dyDescent="0.25">
      <c r="A102" s="11" t="s">
        <v>502</v>
      </c>
      <c r="B102" s="6">
        <v>3</v>
      </c>
      <c r="C102" s="19" t="s">
        <v>2557</v>
      </c>
      <c r="D102" s="11" t="s">
        <v>2544</v>
      </c>
      <c r="E102" s="11" t="s">
        <v>498</v>
      </c>
      <c r="F102" s="6"/>
      <c r="G102" s="6" t="s">
        <v>11</v>
      </c>
      <c r="H102" s="11" t="s">
        <v>173</v>
      </c>
      <c r="I102" s="11" t="s">
        <v>142</v>
      </c>
    </row>
    <row r="103" ht="15" customHeight="1" spans="1:9" s="10" customFormat="1" x14ac:dyDescent="0.25">
      <c r="A103" s="11" t="s">
        <v>507</v>
      </c>
      <c r="B103" s="6">
        <v>3</v>
      </c>
      <c r="C103" s="19" t="s">
        <v>2558</v>
      </c>
      <c r="D103" s="11" t="s">
        <v>2544</v>
      </c>
      <c r="E103" s="11" t="s">
        <v>2559</v>
      </c>
      <c r="F103" s="6"/>
      <c r="G103" s="6" t="s">
        <v>11</v>
      </c>
      <c r="H103" s="11" t="s">
        <v>2417</v>
      </c>
      <c r="I103" s="11" t="s">
        <v>142</v>
      </c>
    </row>
    <row r="104" ht="15" customHeight="1" spans="1:12" s="10" customFormat="1" x14ac:dyDescent="0.25">
      <c r="A104" s="11" t="s">
        <v>2560</v>
      </c>
      <c r="B104" s="6">
        <v>3</v>
      </c>
      <c r="C104" s="19" t="s">
        <v>2561</v>
      </c>
      <c r="D104" s="11" t="s">
        <v>2544</v>
      </c>
      <c r="E104" s="11" t="s">
        <v>604</v>
      </c>
      <c r="F104" s="6"/>
      <c r="G104" s="6" t="s">
        <v>11</v>
      </c>
      <c r="H104" s="11" t="s">
        <v>2367</v>
      </c>
      <c r="I104" s="11" t="s">
        <v>2562</v>
      </c>
      <c r="J104" s="23" t="s">
        <v>2398</v>
      </c>
      <c r="K104" s="10" t="s">
        <v>2367</v>
      </c>
      <c r="L104" s="21" t="s">
        <v>2563</v>
      </c>
    </row>
    <row r="105" ht="15" customHeight="1" spans="1:10" s="10" customFormat="1" x14ac:dyDescent="0.25">
      <c r="A105" s="16" t="s">
        <v>2564</v>
      </c>
      <c r="B105" s="17">
        <v>2</v>
      </c>
      <c r="C105" s="18" t="s">
        <v>2565</v>
      </c>
      <c r="D105" s="16"/>
      <c r="E105" s="16"/>
      <c r="F105" s="17">
        <f>COUNTIFS($B$106:$B$108,3,$G$106:$G$108,"COMPLETED")&amp;" / "&amp;COUNTIF($B$106:$B$108,3)</f>
      </c>
      <c r="G105" s="17">
        <f>IF(COUNTIFS($B$106:$B$108,3,$G$106:$G$108,"COMPLETED")=COUNTIF($B$106:$B$108,3),"COMPLETED",IF(COUNTIFS($B$106:$B$108,3,$G$106:$G$108,"BLOCKED")&gt;0,"BLOCKED",IF(COUNTIFS($B$106:$B$108,3,$G$106:$G$108,"YET TO START")=COUNTIF($B$106:$B$108,3),"YET TO START","IN PROGRESS")))</f>
      </c>
      <c r="H105" s="16"/>
      <c r="I105" s="16"/>
      <c r="J105" s="13">
        <f>(COUNTIFS($B$106:$B$108,3,$J$106:$J$108,"DONE")+COUNTIFS($B$106:$B$108,3,$J$106:$J$108,"DONE-SANDBOX"))&amp;" / "&amp;COUNTIFS($B$106:$B$108,3,$J$106:$J$108,"&lt;&gt;")&amp;" batch steps done"</f>
      </c>
    </row>
    <row r="106" ht="15" customHeight="1" spans="1:9" s="10" customFormat="1" x14ac:dyDescent="0.25">
      <c r="A106" s="11" t="s">
        <v>515</v>
      </c>
      <c r="B106" s="6">
        <v>3</v>
      </c>
      <c r="C106" s="19" t="s">
        <v>2566</v>
      </c>
      <c r="D106" s="11" t="s">
        <v>2544</v>
      </c>
      <c r="E106" s="11" t="s">
        <v>512</v>
      </c>
      <c r="F106" s="6"/>
      <c r="G106" s="6" t="s">
        <v>11</v>
      </c>
      <c r="H106" s="11" t="s">
        <v>2567</v>
      </c>
      <c r="I106" s="11" t="s">
        <v>142</v>
      </c>
    </row>
    <row r="107" ht="15" customHeight="1" spans="1:9" s="10" customFormat="1" x14ac:dyDescent="0.25">
      <c r="A107" s="11" t="s">
        <v>1188</v>
      </c>
      <c r="B107" s="6">
        <v>3</v>
      </c>
      <c r="C107" s="19" t="s">
        <v>2568</v>
      </c>
      <c r="D107" s="11" t="s">
        <v>2544</v>
      </c>
      <c r="E107" s="11" t="s">
        <v>1185</v>
      </c>
      <c r="F107" s="6"/>
      <c r="G107" s="6" t="s">
        <v>11</v>
      </c>
      <c r="H107" s="11" t="s">
        <v>2425</v>
      </c>
      <c r="I107" s="11" t="s">
        <v>2381</v>
      </c>
    </row>
    <row r="108" ht="15" customHeight="1" spans="1:12" s="10" customFormat="1" x14ac:dyDescent="0.25">
      <c r="A108" s="11" t="s">
        <v>785</v>
      </c>
      <c r="B108" s="6">
        <v>3</v>
      </c>
      <c r="C108" s="19" t="s">
        <v>2569</v>
      </c>
      <c r="D108" s="11" t="s">
        <v>2544</v>
      </c>
      <c r="E108" s="11" t="s">
        <v>781</v>
      </c>
      <c r="F108" s="6"/>
      <c r="G108" s="6" t="s">
        <v>11</v>
      </c>
      <c r="H108" s="11" t="s">
        <v>2367</v>
      </c>
      <c r="I108" s="11" t="s">
        <v>2570</v>
      </c>
      <c r="J108" s="20" t="s">
        <v>2333</v>
      </c>
      <c r="K108" s="10" t="s">
        <v>2367</v>
      </c>
      <c r="L108" s="21" t="s">
        <v>2571</v>
      </c>
    </row>
    <row r="109" ht="15" customHeight="1" spans="1:10" s="10" customFormat="1" x14ac:dyDescent="0.25">
      <c r="A109" s="16" t="s">
        <v>2572</v>
      </c>
      <c r="B109" s="17">
        <v>2</v>
      </c>
      <c r="C109" s="18" t="s">
        <v>2573</v>
      </c>
      <c r="D109" s="16"/>
      <c r="E109" s="16"/>
      <c r="F109" s="17">
        <f>COUNTIFS($B$110:$B$110,3,$G$110:$G$110,"COMPLETED")&amp;" / "&amp;COUNTIF($B$110:$B$110,3)</f>
      </c>
      <c r="G109" s="17">
        <f>IF(COUNTIFS($B$110:$B$110,3,$G$110:$G$110,"COMPLETED")=COUNTIF($B$110:$B$110,3),"COMPLETED",IF(COUNTIFS($B$110:$B$110,3,$G$110:$G$110,"BLOCKED")&gt;0,"BLOCKED",IF(COUNTIFS($B$110:$B$110,3,$G$110:$G$110,"YET TO START")=COUNTIF($B$110:$B$110,3),"YET TO START","IN PROGRESS")))</f>
      </c>
      <c r="H109" s="16"/>
      <c r="I109" s="16"/>
      <c r="J109" s="13">
        <f>(COUNTIFS($B$110:$B$110,3,$J$110:$J$110,"DONE")+COUNTIFS($B$110:$B$110,3,$J$110:$J$110,"DONE-SANDBOX"))&amp;" / "&amp;COUNTIFS($B$110:$B$110,3,$J$110:$J$110,"&lt;&gt;")&amp;" batch steps done"</f>
      </c>
    </row>
    <row r="110" ht="15" customHeight="1" spans="1:9" s="10" customFormat="1" x14ac:dyDescent="0.25">
      <c r="A110" s="11" t="s">
        <v>524</v>
      </c>
      <c r="B110" s="6">
        <v>3</v>
      </c>
      <c r="C110" s="19" t="s">
        <v>2574</v>
      </c>
      <c r="D110" s="11" t="s">
        <v>2544</v>
      </c>
      <c r="E110" s="11" t="s">
        <v>2575</v>
      </c>
      <c r="F110" s="6"/>
      <c r="G110" s="6" t="s">
        <v>11</v>
      </c>
      <c r="H110" s="11" t="s">
        <v>173</v>
      </c>
      <c r="I110" s="11" t="s">
        <v>142</v>
      </c>
    </row>
    <row r="111" ht="18" customHeight="1" spans="1:10" s="10" customFormat="1" x14ac:dyDescent="0.25">
      <c r="A111" s="14" t="s">
        <v>2576</v>
      </c>
      <c r="B111" s="15">
        <v>1</v>
      </c>
      <c r="C111" s="14" t="s">
        <v>68</v>
      </c>
      <c r="D111" s="14" t="s">
        <v>2577</v>
      </c>
      <c r="E111" s="14"/>
      <c r="F111" s="15">
        <f>COUNTIFS($B$112:$B$119,3,$G$112:$G$119,"COMPLETED")&amp;" / "&amp;COUNTIF($B$112:$B$119,3)</f>
      </c>
      <c r="G111" s="15">
        <f>IF(COUNTIFS($B$112:$B$119,3,$G$112:$G$119,"COMPLETED")=COUNTIF($B$112:$B$119,3),"COMPLETED",IF(COUNTIFS($B$112:$B$119,3,$G$112:$G$119,"BLOCKED")&gt;0,"BLOCKED",IF(COUNTIFS($B$112:$B$119,3,$G$112:$G$119,"YET TO START")=COUNTIF($B$112:$B$119,3),"YET TO START","IN PROGRESS")))</f>
      </c>
      <c r="H111" s="14"/>
      <c r="I111" s="14"/>
      <c r="J111" s="13">
        <f>(COUNTIFS($B$112:$B$119,3,$J$112:$J$119,"DONE")+COUNTIFS($B$112:$B$119,3,$J$112:$J$119,"DONE-SANDBOX"))&amp;" / "&amp;COUNTIFS($B$112:$B$119,3,$J$112:$J$119,"&lt;&gt;")&amp;" batch steps done"</f>
      </c>
    </row>
    <row r="112" ht="15" customHeight="1" spans="1:10" s="10" customFormat="1" x14ac:dyDescent="0.25">
      <c r="A112" s="16" t="s">
        <v>2578</v>
      </c>
      <c r="B112" s="17">
        <v>2</v>
      </c>
      <c r="C112" s="18" t="s">
        <v>2579</v>
      </c>
      <c r="D112" s="16"/>
      <c r="E112" s="16"/>
      <c r="F112" s="17">
        <f>COUNTIFS($B$113:$B$113,3,$G$113:$G$113,"COMPLETED")&amp;" / "&amp;COUNTIF($B$113:$B$113,3)</f>
      </c>
      <c r="G112" s="17">
        <f>IF(COUNTIFS($B$113:$B$113,3,$G$113:$G$113,"COMPLETED")=COUNTIF($B$113:$B$113,3),"COMPLETED",IF(COUNTIFS($B$113:$B$113,3,$G$113:$G$113,"BLOCKED")&gt;0,"BLOCKED",IF(COUNTIFS($B$113:$B$113,3,$G$113:$G$113,"YET TO START")=COUNTIF($B$113:$B$113,3),"YET TO START","IN PROGRESS")))</f>
      </c>
      <c r="H112" s="16"/>
      <c r="I112" s="16"/>
      <c r="J112" s="13">
        <f>(COUNTIFS($B$113:$B$113,3,$J$113:$J$113,"DONE")+COUNTIFS($B$113:$B$113,3,$J$113:$J$113,"DONE-SANDBOX"))&amp;" / "&amp;COUNTIFS($B$113:$B$113,3,$J$113:$J$113,"&lt;&gt;")&amp;" batch steps done"</f>
      </c>
    </row>
    <row r="113" ht="15" customHeight="1" spans="1:9" s="10" customFormat="1" x14ac:dyDescent="0.25">
      <c r="A113" s="11" t="s">
        <v>456</v>
      </c>
      <c r="B113" s="6">
        <v>3</v>
      </c>
      <c r="C113" s="19" t="s">
        <v>2580</v>
      </c>
      <c r="D113" s="11" t="s">
        <v>2577</v>
      </c>
      <c r="E113" s="11" t="s">
        <v>2581</v>
      </c>
      <c r="F113" s="6"/>
      <c r="G113" s="6" t="s">
        <v>11</v>
      </c>
      <c r="H113" s="11" t="s">
        <v>660</v>
      </c>
      <c r="I113" s="11" t="s">
        <v>142</v>
      </c>
    </row>
    <row r="114" ht="15" customHeight="1" spans="1:10" s="10" customFormat="1" x14ac:dyDescent="0.25">
      <c r="A114" s="16" t="s">
        <v>2582</v>
      </c>
      <c r="B114" s="17">
        <v>2</v>
      </c>
      <c r="C114" s="18" t="s">
        <v>2583</v>
      </c>
      <c r="D114" s="16"/>
      <c r="E114" s="16"/>
      <c r="F114" s="17">
        <f>COUNTIFS($B$115:$B$115,3,$G$115:$G$115,"COMPLETED")&amp;" / "&amp;COUNTIF($B$115:$B$115,3)</f>
      </c>
      <c r="G114" s="17">
        <f>IF(COUNTIFS($B$115:$B$115,3,$G$115:$G$115,"COMPLETED")=COUNTIF($B$115:$B$115,3),"COMPLETED",IF(COUNTIFS($B$115:$B$115,3,$G$115:$G$115,"BLOCKED")&gt;0,"BLOCKED",IF(COUNTIFS($B$115:$B$115,3,$G$115:$G$115,"YET TO START")=COUNTIF($B$115:$B$115,3),"YET TO START","IN PROGRESS")))</f>
      </c>
      <c r="H114" s="16"/>
      <c r="I114" s="16"/>
      <c r="J114" s="13">
        <f>(COUNTIFS($B$115:$B$115,3,$J$115:$J$115,"DONE")+COUNTIFS($B$115:$B$115,3,$J$115:$J$115,"DONE-SANDBOX"))&amp;" / "&amp;COUNTIFS($B$115:$B$115,3,$J$115:$J$115,"&lt;&gt;")&amp;" batch steps done"</f>
      </c>
    </row>
    <row r="115" ht="15" customHeight="1" spans="1:9" s="10" customFormat="1" x14ac:dyDescent="0.25">
      <c r="A115" s="11" t="s">
        <v>469</v>
      </c>
      <c r="B115" s="6">
        <v>3</v>
      </c>
      <c r="C115" s="19" t="s">
        <v>2584</v>
      </c>
      <c r="D115" s="11" t="s">
        <v>2577</v>
      </c>
      <c r="E115" s="11" t="s">
        <v>2585</v>
      </c>
      <c r="F115" s="6"/>
      <c r="G115" s="6" t="s">
        <v>11</v>
      </c>
      <c r="H115" s="11" t="s">
        <v>2586</v>
      </c>
      <c r="I115" s="11" t="s">
        <v>142</v>
      </c>
    </row>
    <row r="116" ht="15" customHeight="1" spans="1:10" s="10" customFormat="1" x14ac:dyDescent="0.25">
      <c r="A116" s="16" t="s">
        <v>2587</v>
      </c>
      <c r="B116" s="17">
        <v>2</v>
      </c>
      <c r="C116" s="18" t="s">
        <v>2588</v>
      </c>
      <c r="D116" s="16"/>
      <c r="E116" s="16"/>
      <c r="F116" s="17">
        <f>COUNTIFS($B$117:$B$119,3,$G$117:$G$119,"COMPLETED")&amp;" / "&amp;COUNTIF($B$117:$B$119,3)</f>
      </c>
      <c r="G116" s="17">
        <f>IF(COUNTIFS($B$117:$B$119,3,$G$117:$G$119,"COMPLETED")=COUNTIF($B$117:$B$119,3),"COMPLETED",IF(COUNTIFS($B$117:$B$119,3,$G$117:$G$119,"BLOCKED")&gt;0,"BLOCKED",IF(COUNTIFS($B$117:$B$119,3,$G$117:$G$119,"YET TO START")=COUNTIF($B$117:$B$119,3),"YET TO START","IN PROGRESS")))</f>
      </c>
      <c r="H116" s="16"/>
      <c r="I116" s="16"/>
      <c r="J116" s="13">
        <f>(COUNTIFS($B$117:$B$119,3,$J$117:$J$119,"DONE")+COUNTIFS($B$117:$B$119,3,$J$117:$J$119,"DONE-SANDBOX"))&amp;" / "&amp;COUNTIFS($B$117:$B$119,3,$J$117:$J$119,"&lt;&gt;")&amp;" batch steps done"</f>
      </c>
    </row>
    <row r="117" ht="15" customHeight="1" spans="1:9" s="10" customFormat="1" x14ac:dyDescent="0.25">
      <c r="A117" s="11" t="s">
        <v>2589</v>
      </c>
      <c r="B117" s="6">
        <v>3</v>
      </c>
      <c r="C117" s="19" t="s">
        <v>2590</v>
      </c>
      <c r="D117" s="11" t="s">
        <v>2577</v>
      </c>
      <c r="E117" s="11" t="s">
        <v>656</v>
      </c>
      <c r="F117" s="6"/>
      <c r="G117" s="6" t="s">
        <v>11</v>
      </c>
      <c r="H117" s="11" t="s">
        <v>460</v>
      </c>
      <c r="I117" s="11" t="s">
        <v>142</v>
      </c>
    </row>
    <row r="118" ht="15" customHeight="1" spans="1:9" s="10" customFormat="1" x14ac:dyDescent="0.25">
      <c r="A118" s="11" t="s">
        <v>465</v>
      </c>
      <c r="B118" s="6">
        <v>3</v>
      </c>
      <c r="C118" s="19" t="s">
        <v>2591</v>
      </c>
      <c r="D118" s="11" t="s">
        <v>2577</v>
      </c>
      <c r="E118" s="11" t="s">
        <v>2592</v>
      </c>
      <c r="F118" s="6"/>
      <c r="G118" s="6" t="s">
        <v>11</v>
      </c>
      <c r="H118" s="11" t="s">
        <v>2593</v>
      </c>
      <c r="I118" s="11" t="s">
        <v>142</v>
      </c>
    </row>
    <row r="119" ht="15" customHeight="1" spans="1:9" s="10" customFormat="1" x14ac:dyDescent="0.25">
      <c r="A119" s="11" t="s">
        <v>867</v>
      </c>
      <c r="B119" s="6">
        <v>3</v>
      </c>
      <c r="C119" s="19" t="s">
        <v>2594</v>
      </c>
      <c r="D119" s="11" t="s">
        <v>2577</v>
      </c>
      <c r="E119" s="11" t="s">
        <v>2595</v>
      </c>
      <c r="F119" s="6"/>
      <c r="G119" s="6" t="s">
        <v>11</v>
      </c>
      <c r="H119" s="11" t="s">
        <v>2450</v>
      </c>
      <c r="I119" s="11" t="s">
        <v>142</v>
      </c>
    </row>
    <row r="120" ht="18" customHeight="1" spans="1:10" s="10" customFormat="1" x14ac:dyDescent="0.25">
      <c r="A120" s="14" t="s">
        <v>2596</v>
      </c>
      <c r="B120" s="15">
        <v>1</v>
      </c>
      <c r="C120" s="14" t="s">
        <v>69</v>
      </c>
      <c r="D120" s="14" t="s">
        <v>2597</v>
      </c>
      <c r="E120" s="14"/>
      <c r="F120" s="15">
        <f>COUNTIFS($B$121:$B$143,3,$G$121:$G$143,"COMPLETED")&amp;" / "&amp;COUNTIF($B$121:$B$143,3)</f>
      </c>
      <c r="G120" s="15">
        <f>IF(COUNTIFS($B$121:$B$143,3,$G$121:$G$143,"COMPLETED")=COUNTIF($B$121:$B$143,3),"COMPLETED",IF(COUNTIFS($B$121:$B$143,3,$G$121:$G$143,"BLOCKED")&gt;0,"BLOCKED",IF(COUNTIFS($B$121:$B$143,3,$G$121:$G$143,"YET TO START")=COUNTIF($B$121:$B$143,3),"YET TO START","IN PROGRESS")))</f>
      </c>
      <c r="H120" s="14"/>
      <c r="I120" s="14"/>
      <c r="J120" s="13">
        <f>(COUNTIFS($B$121:$B$143,3,$J$121:$J$143,"DONE")+COUNTIFS($B$121:$B$143,3,$J$121:$J$143,"DONE-SANDBOX"))&amp;" / "&amp;COUNTIFS($B$121:$B$143,3,$J$121:$J$143,"&lt;&gt;")&amp;" batch steps done"</f>
      </c>
    </row>
    <row r="121" ht="15" customHeight="1" spans="1:10" s="10" customFormat="1" x14ac:dyDescent="0.25">
      <c r="A121" s="16" t="s">
        <v>2598</v>
      </c>
      <c r="B121" s="17">
        <v>2</v>
      </c>
      <c r="C121" s="18" t="s">
        <v>2599</v>
      </c>
      <c r="D121" s="16"/>
      <c r="E121" s="16"/>
      <c r="F121" s="17">
        <f>COUNTIFS($B$122:$B$125,3,$G$122:$G$125,"COMPLETED")&amp;" / "&amp;COUNTIF($B$122:$B$125,3)</f>
      </c>
      <c r="G121" s="17">
        <f>IF(COUNTIFS($B$122:$B$125,3,$G$122:$G$125,"COMPLETED")=COUNTIF($B$122:$B$125,3),"COMPLETED",IF(COUNTIFS($B$122:$B$125,3,$G$122:$G$125,"BLOCKED")&gt;0,"BLOCKED",IF(COUNTIFS($B$122:$B$125,3,$G$122:$G$125,"YET TO START")=COUNTIF($B$122:$B$125,3),"YET TO START","IN PROGRESS")))</f>
      </c>
      <c r="H121" s="16"/>
      <c r="I121" s="16"/>
      <c r="J121" s="13">
        <f>(COUNTIFS($B$122:$B$125,3,$J$122:$J$125,"DONE")+COUNTIFS($B$122:$B$125,3,$J$122:$J$125,"DONE-SANDBOX"))&amp;" / "&amp;COUNTIFS($B$122:$B$125,3,$J$122:$J$125,"&lt;&gt;")&amp;" batch steps done"</f>
      </c>
    </row>
    <row r="122" ht="27" customHeight="1" spans="1:9" s="10" customFormat="1" x14ac:dyDescent="0.25">
      <c r="A122" s="11" t="s">
        <v>179</v>
      </c>
      <c r="B122" s="6">
        <v>3</v>
      </c>
      <c r="C122" s="19" t="s">
        <v>2600</v>
      </c>
      <c r="D122" s="11" t="s">
        <v>2597</v>
      </c>
      <c r="E122" s="11" t="s">
        <v>175</v>
      </c>
      <c r="F122" s="6"/>
      <c r="G122" s="6" t="s">
        <v>11</v>
      </c>
      <c r="H122" s="11" t="s">
        <v>2601</v>
      </c>
      <c r="I122" s="11" t="s">
        <v>142</v>
      </c>
    </row>
    <row r="123" ht="51" customHeight="1" spans="1:9" s="10" customFormat="1" x14ac:dyDescent="0.25">
      <c r="A123" s="11" t="s">
        <v>1232</v>
      </c>
      <c r="B123" s="6">
        <v>3</v>
      </c>
      <c r="C123" s="19" t="s">
        <v>2602</v>
      </c>
      <c r="D123" s="11" t="s">
        <v>2597</v>
      </c>
      <c r="E123" s="11" t="s">
        <v>1229</v>
      </c>
      <c r="F123" s="6"/>
      <c r="G123" s="6" t="s">
        <v>11</v>
      </c>
      <c r="H123" s="11" t="s">
        <v>2603</v>
      </c>
      <c r="I123" s="11" t="s">
        <v>2604</v>
      </c>
    </row>
    <row r="124" ht="39" customHeight="1" spans="1:9" s="10" customFormat="1" x14ac:dyDescent="0.25">
      <c r="A124" s="11" t="s">
        <v>1267</v>
      </c>
      <c r="B124" s="6">
        <v>3</v>
      </c>
      <c r="C124" s="19" t="s">
        <v>2605</v>
      </c>
      <c r="D124" s="11" t="s">
        <v>2597</v>
      </c>
      <c r="E124" s="11" t="s">
        <v>2606</v>
      </c>
      <c r="F124" s="6"/>
      <c r="G124" s="6" t="s">
        <v>11</v>
      </c>
      <c r="H124" s="11" t="s">
        <v>2438</v>
      </c>
      <c r="I124" s="11" t="s">
        <v>2439</v>
      </c>
    </row>
    <row r="125" ht="27" customHeight="1" spans="1:9" s="10" customFormat="1" x14ac:dyDescent="0.25">
      <c r="A125" s="11" t="s">
        <v>2607</v>
      </c>
      <c r="B125" s="6">
        <v>3</v>
      </c>
      <c r="C125" s="19" t="s">
        <v>2608</v>
      </c>
      <c r="D125" s="11" t="s">
        <v>552</v>
      </c>
      <c r="E125" s="11" t="s">
        <v>1380</v>
      </c>
      <c r="F125" s="6"/>
      <c r="G125" s="6" t="s">
        <v>11</v>
      </c>
      <c r="H125" s="11" t="s">
        <v>2609</v>
      </c>
      <c r="I125" s="11" t="s">
        <v>2610</v>
      </c>
    </row>
    <row r="126" ht="15" customHeight="1" spans="1:10" s="10" customFormat="1" x14ac:dyDescent="0.25">
      <c r="A126" s="16" t="s">
        <v>2611</v>
      </c>
      <c r="B126" s="17">
        <v>2</v>
      </c>
      <c r="C126" s="18" t="s">
        <v>2612</v>
      </c>
      <c r="D126" s="16"/>
      <c r="E126" s="16"/>
      <c r="F126" s="17">
        <f>COUNTIFS($B$127:$B$133,3,$G$127:$G$133,"COMPLETED")&amp;" / "&amp;COUNTIF($B$127:$B$133,3)</f>
      </c>
      <c r="G126" s="17">
        <f>IF(COUNTIFS($B$127:$B$133,3,$G$127:$G$133,"COMPLETED")=COUNTIF($B$127:$B$133,3),"COMPLETED",IF(COUNTIFS($B$127:$B$133,3,$G$127:$G$133,"BLOCKED")&gt;0,"BLOCKED",IF(COUNTIFS($B$127:$B$133,3,$G$127:$G$133,"YET TO START")=COUNTIF($B$127:$B$133,3),"YET TO START","IN PROGRESS")))</f>
      </c>
      <c r="H126" s="16"/>
      <c r="I126" s="16"/>
      <c r="J126" s="13">
        <f>(COUNTIFS($B$127:$B$133,3,$J$127:$J$133,"DONE")+COUNTIFS($B$127:$B$133,3,$J$127:$J$133,"DONE-SANDBOX"))&amp;" / "&amp;COUNTIFS($B$127:$B$133,3,$J$127:$J$133,"&lt;&gt;")&amp;" batch steps done"</f>
      </c>
    </row>
    <row r="127" ht="27" customHeight="1" spans="1:9" s="10" customFormat="1" x14ac:dyDescent="0.25">
      <c r="A127" s="11" t="s">
        <v>186</v>
      </c>
      <c r="B127" s="6">
        <v>3</v>
      </c>
      <c r="C127" s="19" t="s">
        <v>2613</v>
      </c>
      <c r="D127" s="11" t="s">
        <v>2597</v>
      </c>
      <c r="E127" s="11" t="s">
        <v>183</v>
      </c>
      <c r="F127" s="6"/>
      <c r="G127" s="6" t="s">
        <v>11</v>
      </c>
      <c r="H127" s="11" t="s">
        <v>2614</v>
      </c>
      <c r="I127" s="11" t="s">
        <v>2615</v>
      </c>
    </row>
    <row r="128" ht="27" customHeight="1" spans="1:9" s="10" customFormat="1" x14ac:dyDescent="0.25">
      <c r="A128" s="11" t="s">
        <v>1184</v>
      </c>
      <c r="B128" s="6">
        <v>3</v>
      </c>
      <c r="C128" s="19" t="s">
        <v>2616</v>
      </c>
      <c r="D128" s="11" t="s">
        <v>2597</v>
      </c>
      <c r="E128" s="11" t="s">
        <v>1181</v>
      </c>
      <c r="F128" s="6"/>
      <c r="G128" s="6" t="s">
        <v>11</v>
      </c>
      <c r="H128" s="11" t="s">
        <v>2425</v>
      </c>
      <c r="I128" s="11" t="s">
        <v>2381</v>
      </c>
    </row>
    <row r="129" ht="27" customHeight="1" spans="1:9" s="10" customFormat="1" x14ac:dyDescent="0.25">
      <c r="A129" s="11" t="s">
        <v>195</v>
      </c>
      <c r="B129" s="6">
        <v>3</v>
      </c>
      <c r="C129" s="19" t="s">
        <v>2617</v>
      </c>
      <c r="D129" s="11" t="s">
        <v>2597</v>
      </c>
      <c r="E129" s="11" t="s">
        <v>192</v>
      </c>
      <c r="F129" s="6"/>
      <c r="G129" s="6" t="s">
        <v>11</v>
      </c>
      <c r="H129" s="11" t="s">
        <v>2422</v>
      </c>
      <c r="I129" s="11" t="s">
        <v>142</v>
      </c>
    </row>
    <row r="130" ht="27" customHeight="1" spans="1:9" s="10" customFormat="1" x14ac:dyDescent="0.25">
      <c r="A130" s="11" t="s">
        <v>752</v>
      </c>
      <c r="B130" s="6">
        <v>3</v>
      </c>
      <c r="C130" s="19" t="s">
        <v>2618</v>
      </c>
      <c r="D130" s="11" t="s">
        <v>2597</v>
      </c>
      <c r="E130" s="11" t="s">
        <v>749</v>
      </c>
      <c r="F130" s="6"/>
      <c r="G130" s="6" t="s">
        <v>11</v>
      </c>
      <c r="H130" s="11" t="s">
        <v>2450</v>
      </c>
      <c r="I130" s="11" t="s">
        <v>142</v>
      </c>
    </row>
    <row r="131" ht="39" customHeight="1" spans="1:9" s="10" customFormat="1" x14ac:dyDescent="0.25">
      <c r="A131" s="11" t="s">
        <v>1249</v>
      </c>
      <c r="B131" s="6">
        <v>3</v>
      </c>
      <c r="C131" s="19" t="s">
        <v>2619</v>
      </c>
      <c r="D131" s="11" t="s">
        <v>2597</v>
      </c>
      <c r="E131" s="11" t="s">
        <v>2620</v>
      </c>
      <c r="F131" s="6"/>
      <c r="G131" s="6" t="s">
        <v>11</v>
      </c>
      <c r="H131" s="11" t="s">
        <v>2438</v>
      </c>
      <c r="I131" s="11" t="s">
        <v>2439</v>
      </c>
    </row>
    <row r="132" ht="39" customHeight="1" spans="1:9" s="10" customFormat="1" x14ac:dyDescent="0.25">
      <c r="A132" s="11" t="s">
        <v>1405</v>
      </c>
      <c r="B132" s="6">
        <v>3</v>
      </c>
      <c r="C132" s="19" t="s">
        <v>2621</v>
      </c>
      <c r="D132" s="11" t="s">
        <v>2597</v>
      </c>
      <c r="E132" s="11" t="s">
        <v>1402</v>
      </c>
      <c r="F132" s="6"/>
      <c r="G132" s="6" t="s">
        <v>11</v>
      </c>
      <c r="H132" s="11" t="s">
        <v>2622</v>
      </c>
      <c r="I132" s="11" t="s">
        <v>2623</v>
      </c>
    </row>
    <row r="133" ht="27" customHeight="1" spans="1:9" s="10" customFormat="1" x14ac:dyDescent="0.25">
      <c r="A133" s="11" t="s">
        <v>1414</v>
      </c>
      <c r="B133" s="6">
        <v>3</v>
      </c>
      <c r="C133" s="19" t="s">
        <v>2624</v>
      </c>
      <c r="D133" s="11" t="s">
        <v>2597</v>
      </c>
      <c r="E133" s="11" t="s">
        <v>1411</v>
      </c>
      <c r="F133" s="6"/>
      <c r="G133" s="6" t="s">
        <v>11</v>
      </c>
      <c r="H133" s="11" t="s">
        <v>2625</v>
      </c>
      <c r="I133" s="11" t="s">
        <v>2626</v>
      </c>
    </row>
    <row r="134" ht="15" customHeight="1" spans="1:10" s="10" customFormat="1" x14ac:dyDescent="0.25">
      <c r="A134" s="16" t="s">
        <v>2627</v>
      </c>
      <c r="B134" s="17">
        <v>2</v>
      </c>
      <c r="C134" s="18" t="s">
        <v>2628</v>
      </c>
      <c r="D134" s="16"/>
      <c r="E134" s="16"/>
      <c r="F134" s="17">
        <f>COUNTIFS($B$135:$B$138,3,$G$135:$G$138,"COMPLETED")&amp;" / "&amp;COUNTIF($B$135:$B$138,3)</f>
      </c>
      <c r="G134" s="17">
        <f>IF(COUNTIFS($B$135:$B$138,3,$G$135:$G$138,"COMPLETED")=COUNTIF($B$135:$B$138,3),"COMPLETED",IF(COUNTIFS($B$135:$B$138,3,$G$135:$G$138,"BLOCKED")&gt;0,"BLOCKED",IF(COUNTIFS($B$135:$B$138,3,$G$135:$G$138,"YET TO START")=COUNTIF($B$135:$B$138,3),"YET TO START","IN PROGRESS")))</f>
      </c>
      <c r="H134" s="16"/>
      <c r="I134" s="16"/>
      <c r="J134" s="13">
        <f>(COUNTIFS($B$135:$B$138,3,$J$135:$J$138,"DONE")+COUNTIFS($B$135:$B$138,3,$J$135:$J$138,"DONE-SANDBOX"))&amp;" / "&amp;COUNTIFS($B$135:$B$138,3,$J$135:$J$138,"&lt;&gt;")&amp;" batch steps done"</f>
      </c>
    </row>
    <row r="135" ht="27" customHeight="1" spans="1:9" s="10" customFormat="1" x14ac:dyDescent="0.25">
      <c r="A135" s="11" t="s">
        <v>673</v>
      </c>
      <c r="B135" s="6">
        <v>3</v>
      </c>
      <c r="C135" s="19" t="s">
        <v>2629</v>
      </c>
      <c r="D135" s="11" t="s">
        <v>2597</v>
      </c>
      <c r="E135" s="11" t="s">
        <v>2630</v>
      </c>
      <c r="F135" s="6"/>
      <c r="G135" s="6" t="s">
        <v>11</v>
      </c>
      <c r="H135" s="11" t="s">
        <v>2631</v>
      </c>
      <c r="I135" s="11" t="s">
        <v>142</v>
      </c>
    </row>
    <row r="136" ht="27" customHeight="1" spans="1:9" s="10" customFormat="1" x14ac:dyDescent="0.25">
      <c r="A136" s="11" t="s">
        <v>202</v>
      </c>
      <c r="B136" s="6">
        <v>3</v>
      </c>
      <c r="C136" s="19" t="s">
        <v>2632</v>
      </c>
      <c r="D136" s="11" t="s">
        <v>2597</v>
      </c>
      <c r="E136" s="11" t="s">
        <v>2633</v>
      </c>
      <c r="F136" s="6"/>
      <c r="G136" s="6" t="s">
        <v>11</v>
      </c>
      <c r="H136" s="11" t="s">
        <v>2634</v>
      </c>
      <c r="I136" s="11" t="s">
        <v>142</v>
      </c>
    </row>
    <row r="137" ht="27" customHeight="1" spans="1:9" s="10" customFormat="1" x14ac:dyDescent="0.25">
      <c r="A137" s="11" t="s">
        <v>209</v>
      </c>
      <c r="B137" s="6">
        <v>3</v>
      </c>
      <c r="C137" s="19" t="s">
        <v>2635</v>
      </c>
      <c r="D137" s="11" t="s">
        <v>2597</v>
      </c>
      <c r="E137" s="11" t="s">
        <v>2636</v>
      </c>
      <c r="F137" s="6"/>
      <c r="G137" s="6" t="s">
        <v>11</v>
      </c>
      <c r="H137" s="11" t="s">
        <v>2417</v>
      </c>
      <c r="I137" s="11" t="s">
        <v>142</v>
      </c>
    </row>
    <row r="138" ht="27" customHeight="1" spans="1:9" s="10" customFormat="1" x14ac:dyDescent="0.25">
      <c r="A138" s="11" t="s">
        <v>1137</v>
      </c>
      <c r="B138" s="6">
        <v>3</v>
      </c>
      <c r="C138" s="19" t="s">
        <v>2637</v>
      </c>
      <c r="D138" s="11" t="s">
        <v>2597</v>
      </c>
      <c r="E138" s="11" t="s">
        <v>1134</v>
      </c>
      <c r="F138" s="6"/>
      <c r="G138" s="6" t="s">
        <v>11</v>
      </c>
      <c r="H138" s="11" t="s">
        <v>2380</v>
      </c>
      <c r="I138" s="11" t="s">
        <v>2381</v>
      </c>
    </row>
    <row r="139" ht="15" customHeight="1" spans="1:10" s="10" customFormat="1" x14ac:dyDescent="0.25">
      <c r="A139" s="16" t="s">
        <v>2638</v>
      </c>
      <c r="B139" s="17">
        <v>2</v>
      </c>
      <c r="C139" s="18" t="s">
        <v>2639</v>
      </c>
      <c r="D139" s="16"/>
      <c r="E139" s="16"/>
      <c r="F139" s="17">
        <f>COUNTIFS($B$140:$B$143,3,$G$140:$G$143,"COMPLETED")&amp;" / "&amp;COUNTIF($B$140:$B$143,3)</f>
      </c>
      <c r="G139" s="17">
        <f>IF(COUNTIFS($B$140:$B$143,3,$G$140:$G$143,"COMPLETED")=COUNTIF($B$140:$B$143,3),"COMPLETED",IF(COUNTIFS($B$140:$B$143,3,$G$140:$G$143,"BLOCKED")&gt;0,"BLOCKED",IF(COUNTIFS($B$140:$B$143,3,$G$140:$G$143,"YET TO START")=COUNTIF($B$140:$B$143,3),"YET TO START","IN PROGRESS")))</f>
      </c>
      <c r="H139" s="16"/>
      <c r="I139" s="16"/>
      <c r="J139" s="13">
        <f>(COUNTIFS($B$140:$B$143,3,$J$140:$J$143,"DONE")+COUNTIFS($B$140:$B$143,3,$J$140:$J$143,"DONE-SANDBOX"))&amp;" / "&amp;COUNTIFS($B$140:$B$143,3,$J$140:$J$143,"&lt;&gt;")&amp;" batch steps done"</f>
      </c>
    </row>
    <row r="140" ht="27" customHeight="1" spans="1:9" s="10" customFormat="1" x14ac:dyDescent="0.25">
      <c r="A140" s="11" t="s">
        <v>1005</v>
      </c>
      <c r="B140" s="6">
        <v>3</v>
      </c>
      <c r="C140" s="19" t="s">
        <v>2640</v>
      </c>
      <c r="D140" s="11" t="s">
        <v>2597</v>
      </c>
      <c r="E140" s="11" t="s">
        <v>1002</v>
      </c>
      <c r="F140" s="6"/>
      <c r="G140" s="6" t="s">
        <v>11</v>
      </c>
      <c r="H140" s="11" t="s">
        <v>741</v>
      </c>
      <c r="I140" s="11" t="s">
        <v>142</v>
      </c>
    </row>
    <row r="141" ht="27" customHeight="1" spans="1:12" s="10" customFormat="1" x14ac:dyDescent="0.25">
      <c r="A141" s="11" t="s">
        <v>696</v>
      </c>
      <c r="B141" s="6">
        <v>3</v>
      </c>
      <c r="C141" s="19" t="s">
        <v>2641</v>
      </c>
      <c r="D141" s="11" t="s">
        <v>2597</v>
      </c>
      <c r="E141" s="11" t="s">
        <v>693</v>
      </c>
      <c r="F141" s="6"/>
      <c r="G141" s="6" t="s">
        <v>11</v>
      </c>
      <c r="H141" s="11" t="s">
        <v>2367</v>
      </c>
      <c r="I141" s="11" t="s">
        <v>2642</v>
      </c>
      <c r="J141" s="23" t="s">
        <v>2398</v>
      </c>
      <c r="K141" s="10" t="s">
        <v>2367</v>
      </c>
      <c r="L141" s="21" t="s">
        <v>2643</v>
      </c>
    </row>
    <row r="142" ht="27" customHeight="1" spans="1:9" s="10" customFormat="1" x14ac:dyDescent="0.25">
      <c r="A142" s="11" t="s">
        <v>1396</v>
      </c>
      <c r="B142" s="6">
        <v>3</v>
      </c>
      <c r="C142" s="19" t="s">
        <v>2644</v>
      </c>
      <c r="D142" s="11" t="s">
        <v>2441</v>
      </c>
      <c r="E142" s="11" t="s">
        <v>1393</v>
      </c>
      <c r="F142" s="6"/>
      <c r="G142" s="6" t="s">
        <v>11</v>
      </c>
      <c r="H142" s="11" t="s">
        <v>2645</v>
      </c>
      <c r="I142" s="11" t="s">
        <v>142</v>
      </c>
    </row>
    <row r="143" ht="15" customHeight="1" spans="1:9" s="10" customFormat="1" x14ac:dyDescent="0.25">
      <c r="A143" s="11" t="s">
        <v>1436</v>
      </c>
      <c r="B143" s="6">
        <v>3</v>
      </c>
      <c r="C143" s="19" t="s">
        <v>2646</v>
      </c>
      <c r="D143" s="11" t="s">
        <v>2441</v>
      </c>
      <c r="E143" s="11" t="s">
        <v>1433</v>
      </c>
      <c r="F143" s="6"/>
      <c r="G143" s="6" t="s">
        <v>11</v>
      </c>
      <c r="H143" s="11" t="s">
        <v>2647</v>
      </c>
      <c r="I143" s="11" t="s">
        <v>2648</v>
      </c>
    </row>
    <row r="144" ht="18" customHeight="1" spans="1:10" s="10" customFormat="1" x14ac:dyDescent="0.25">
      <c r="A144" s="14" t="s">
        <v>2649</v>
      </c>
      <c r="B144" s="15">
        <v>1</v>
      </c>
      <c r="C144" s="14" t="s">
        <v>70</v>
      </c>
      <c r="D144" s="14" t="s">
        <v>2597</v>
      </c>
      <c r="E144" s="14"/>
      <c r="F144" s="15">
        <f>COUNTIFS($B$145:$B$157,3,$G$145:$G$157,"COMPLETED")&amp;" / "&amp;COUNTIF($B$145:$B$157,3)</f>
      </c>
      <c r="G144" s="15">
        <f>IF(COUNTIFS($B$145:$B$157,3,$G$145:$G$157,"COMPLETED")=COUNTIF($B$145:$B$157,3),"COMPLETED",IF(COUNTIFS($B$145:$B$157,3,$G$145:$G$157,"BLOCKED")&gt;0,"BLOCKED",IF(COUNTIFS($B$145:$B$157,3,$G$145:$G$157,"YET TO START")=COUNTIF($B$145:$B$157,3),"YET TO START","IN PROGRESS")))</f>
      </c>
      <c r="H144" s="14"/>
      <c r="I144" s="14"/>
      <c r="J144" s="13">
        <f>(COUNTIFS($B$145:$B$157,3,$J$145:$J$157,"DONE")+COUNTIFS($B$145:$B$157,3,$J$145:$J$157,"DONE-SANDBOX"))&amp;" / "&amp;COUNTIFS($B$145:$B$157,3,$J$145:$J$157,"&lt;&gt;")&amp;" batch steps done"</f>
      </c>
    </row>
    <row r="145" ht="15" customHeight="1" spans="1:10" s="10" customFormat="1" x14ac:dyDescent="0.25">
      <c r="A145" s="16" t="s">
        <v>2650</v>
      </c>
      <c r="B145" s="17">
        <v>2</v>
      </c>
      <c r="C145" s="18" t="s">
        <v>2651</v>
      </c>
      <c r="D145" s="16"/>
      <c r="E145" s="16"/>
      <c r="F145" s="17">
        <f>COUNTIFS($B$146:$B$149,3,$G$146:$G$149,"COMPLETED")&amp;" / "&amp;COUNTIF($B$146:$B$149,3)</f>
      </c>
      <c r="G145" s="17">
        <f>IF(COUNTIFS($B$146:$B$149,3,$G$146:$G$149,"COMPLETED")=COUNTIF($B$146:$B$149,3),"COMPLETED",IF(COUNTIFS($B$146:$B$149,3,$G$146:$G$149,"BLOCKED")&gt;0,"BLOCKED",IF(COUNTIFS($B$146:$B$149,3,$G$146:$G$149,"YET TO START")=COUNTIF($B$146:$B$149,3),"YET TO START","IN PROGRESS")))</f>
      </c>
      <c r="H145" s="16"/>
      <c r="I145" s="16"/>
      <c r="J145" s="13">
        <f>(COUNTIFS($B$146:$B$149,3,$J$146:$J$149,"DONE")+COUNTIFS($B$146:$B$149,3,$J$146:$J$149,"DONE-SANDBOX"))&amp;" / "&amp;COUNTIFS($B$146:$B$149,3,$J$146:$J$149,"&lt;&gt;")&amp;" batch steps done"</f>
      </c>
    </row>
    <row r="146" ht="27" customHeight="1" spans="1:9" s="10" customFormat="1" x14ac:dyDescent="0.25">
      <c r="A146" s="11" t="s">
        <v>1456</v>
      </c>
      <c r="B146" s="6">
        <v>3</v>
      </c>
      <c r="C146" s="19" t="s">
        <v>2652</v>
      </c>
      <c r="D146" s="11" t="s">
        <v>2597</v>
      </c>
      <c r="E146" s="11" t="s">
        <v>2653</v>
      </c>
      <c r="F146" s="6"/>
      <c r="G146" s="6" t="s">
        <v>11</v>
      </c>
      <c r="H146" s="11" t="s">
        <v>2654</v>
      </c>
      <c r="I146" s="11" t="s">
        <v>142</v>
      </c>
    </row>
    <row r="147" ht="27" customHeight="1" spans="1:12" s="10" customFormat="1" x14ac:dyDescent="0.25">
      <c r="A147" s="11" t="s">
        <v>1464</v>
      </c>
      <c r="B147" s="6">
        <v>3</v>
      </c>
      <c r="C147" s="19" t="s">
        <v>2655</v>
      </c>
      <c r="D147" s="11" t="s">
        <v>2597</v>
      </c>
      <c r="E147" s="11" t="s">
        <v>1461</v>
      </c>
      <c r="F147" s="6"/>
      <c r="G147" s="6" t="s">
        <v>11</v>
      </c>
      <c r="H147" s="11" t="s">
        <v>2656</v>
      </c>
      <c r="I147" s="11" t="s">
        <v>2657</v>
      </c>
      <c r="J147" s="23" t="s">
        <v>2398</v>
      </c>
      <c r="K147" s="10" t="s">
        <v>2658</v>
      </c>
      <c r="L147" s="21" t="s">
        <v>2659</v>
      </c>
    </row>
    <row r="148" ht="27" customHeight="1" spans="1:9" s="10" customFormat="1" x14ac:dyDescent="0.25">
      <c r="A148" s="11" t="s">
        <v>1482</v>
      </c>
      <c r="B148" s="6">
        <v>3</v>
      </c>
      <c r="C148" s="19" t="s">
        <v>1480</v>
      </c>
      <c r="D148" s="11" t="s">
        <v>2597</v>
      </c>
      <c r="E148" s="11" t="s">
        <v>1479</v>
      </c>
      <c r="F148" s="6"/>
      <c r="G148" s="6" t="s">
        <v>11</v>
      </c>
      <c r="H148" s="11" t="s">
        <v>1483</v>
      </c>
      <c r="I148" s="11" t="s">
        <v>142</v>
      </c>
    </row>
    <row r="149" ht="27" customHeight="1" spans="1:12" s="10" customFormat="1" x14ac:dyDescent="0.25">
      <c r="A149" s="11" t="s">
        <v>1495</v>
      </c>
      <c r="B149" s="6">
        <v>3</v>
      </c>
      <c r="C149" s="19" t="s">
        <v>2660</v>
      </c>
      <c r="D149" s="11" t="s">
        <v>2597</v>
      </c>
      <c r="E149" s="11" t="s">
        <v>2661</v>
      </c>
      <c r="F149" s="6"/>
      <c r="G149" s="6" t="s">
        <v>11</v>
      </c>
      <c r="H149" s="11" t="s">
        <v>2662</v>
      </c>
      <c r="I149" s="11" t="s">
        <v>2663</v>
      </c>
      <c r="J149" s="20" t="s">
        <v>2333</v>
      </c>
      <c r="K149" s="10" t="s">
        <v>2662</v>
      </c>
      <c r="L149" s="21" t="s">
        <v>2664</v>
      </c>
    </row>
    <row r="150" ht="15" customHeight="1" spans="1:10" s="10" customFormat="1" x14ac:dyDescent="0.25">
      <c r="A150" s="16" t="s">
        <v>2665</v>
      </c>
      <c r="B150" s="17">
        <v>2</v>
      </c>
      <c r="C150" s="18" t="s">
        <v>2666</v>
      </c>
      <c r="D150" s="16"/>
      <c r="E150" s="16"/>
      <c r="F150" s="17">
        <f>COUNTIFS($B$151:$B$157,3,$G$151:$G$157,"COMPLETED")&amp;" / "&amp;COUNTIF($B$151:$B$157,3)</f>
      </c>
      <c r="G150" s="17">
        <f>IF(COUNTIFS($B$151:$B$157,3,$G$151:$G$157,"COMPLETED")=COUNTIF($B$151:$B$157,3),"COMPLETED",IF(COUNTIFS($B$151:$B$157,3,$G$151:$G$157,"BLOCKED")&gt;0,"BLOCKED",IF(COUNTIFS($B$151:$B$157,3,$G$151:$G$157,"YET TO START")=COUNTIF($B$151:$B$157,3),"YET TO START","IN PROGRESS")))</f>
      </c>
      <c r="H150" s="16"/>
      <c r="I150" s="16"/>
      <c r="J150" s="13">
        <f>(COUNTIFS($B$151:$B$157,3,$J$151:$J$157,"DONE")+COUNTIFS($B$151:$B$157,3,$J$151:$J$157,"DONE-SANDBOX"))&amp;" / "&amp;COUNTIFS($B$151:$B$157,3,$J$151:$J$157,"&lt;&gt;")&amp;" batch steps done"</f>
      </c>
    </row>
    <row r="151" ht="27" customHeight="1" spans="1:9" s="10" customFormat="1" x14ac:dyDescent="0.25">
      <c r="A151" s="11" t="s">
        <v>2667</v>
      </c>
      <c r="B151" s="6">
        <v>3</v>
      </c>
      <c r="C151" s="19" t="s">
        <v>2668</v>
      </c>
      <c r="D151" s="11" t="s">
        <v>2597</v>
      </c>
      <c r="E151" s="11" t="s">
        <v>1041</v>
      </c>
      <c r="F151" s="6"/>
      <c r="G151" s="6" t="s">
        <v>11</v>
      </c>
      <c r="H151" s="11" t="s">
        <v>1045</v>
      </c>
      <c r="I151" s="11" t="s">
        <v>142</v>
      </c>
    </row>
    <row r="152" ht="27" customHeight="1" spans="1:9" s="10" customFormat="1" x14ac:dyDescent="0.25">
      <c r="A152" s="11" t="s">
        <v>222</v>
      </c>
      <c r="B152" s="6">
        <v>3</v>
      </c>
      <c r="C152" s="19" t="s">
        <v>2669</v>
      </c>
      <c r="D152" s="11" t="s">
        <v>2597</v>
      </c>
      <c r="E152" s="11" t="s">
        <v>2670</v>
      </c>
      <c r="F152" s="6"/>
      <c r="G152" s="6" t="s">
        <v>11</v>
      </c>
      <c r="H152" s="11" t="s">
        <v>703</v>
      </c>
      <c r="I152" s="11" t="s">
        <v>142</v>
      </c>
    </row>
    <row r="153" ht="27" customHeight="1" spans="1:9" s="10" customFormat="1" x14ac:dyDescent="0.25">
      <c r="A153" s="11" t="s">
        <v>241</v>
      </c>
      <c r="B153" s="6">
        <v>3</v>
      </c>
      <c r="C153" s="19" t="s">
        <v>2671</v>
      </c>
      <c r="D153" s="11" t="s">
        <v>2597</v>
      </c>
      <c r="E153" s="11" t="s">
        <v>2672</v>
      </c>
      <c r="F153" s="6"/>
      <c r="G153" s="6" t="s">
        <v>11</v>
      </c>
      <c r="H153" s="11" t="s">
        <v>2673</v>
      </c>
      <c r="I153" s="11" t="s">
        <v>142</v>
      </c>
    </row>
    <row r="154" ht="27" customHeight="1" spans="1:9" s="10" customFormat="1" x14ac:dyDescent="0.25">
      <c r="A154" s="11" t="s">
        <v>233</v>
      </c>
      <c r="B154" s="6">
        <v>3</v>
      </c>
      <c r="C154" s="19" t="s">
        <v>2674</v>
      </c>
      <c r="D154" s="11" t="s">
        <v>2597</v>
      </c>
      <c r="E154" s="11" t="s">
        <v>2675</v>
      </c>
      <c r="F154" s="6"/>
      <c r="G154" s="6" t="s">
        <v>11</v>
      </c>
      <c r="H154" s="11" t="s">
        <v>2676</v>
      </c>
      <c r="I154" s="11" t="s">
        <v>2677</v>
      </c>
    </row>
    <row r="155" ht="27" customHeight="1" spans="1:9" s="10" customFormat="1" x14ac:dyDescent="0.25">
      <c r="A155" s="11" t="s">
        <v>1217</v>
      </c>
      <c r="B155" s="6">
        <v>3</v>
      </c>
      <c r="C155" s="19" t="s">
        <v>2678</v>
      </c>
      <c r="D155" s="11" t="s">
        <v>2597</v>
      </c>
      <c r="E155" s="11" t="s">
        <v>1214</v>
      </c>
      <c r="F155" s="6"/>
      <c r="G155" s="6" t="s">
        <v>11</v>
      </c>
      <c r="H155" s="11" t="s">
        <v>2603</v>
      </c>
      <c r="I155" s="11" t="s">
        <v>2381</v>
      </c>
    </row>
    <row r="156" ht="27" customHeight="1" spans="1:12" s="10" customFormat="1" x14ac:dyDescent="0.25">
      <c r="A156" s="11" t="s">
        <v>1223</v>
      </c>
      <c r="B156" s="6">
        <v>3</v>
      </c>
      <c r="C156" s="19" t="s">
        <v>2679</v>
      </c>
      <c r="D156" s="11" t="s">
        <v>2597</v>
      </c>
      <c r="E156" s="11" t="s">
        <v>1220</v>
      </c>
      <c r="F156" s="6"/>
      <c r="G156" s="6" t="s">
        <v>11</v>
      </c>
      <c r="H156" s="11" t="s">
        <v>2680</v>
      </c>
      <c r="I156" s="11" t="s">
        <v>2681</v>
      </c>
      <c r="J156" s="20" t="s">
        <v>2333</v>
      </c>
      <c r="K156" s="10" t="s">
        <v>2367</v>
      </c>
      <c r="L156" s="21" t="s">
        <v>2682</v>
      </c>
    </row>
    <row r="157" ht="27" customHeight="1" spans="1:9" s="10" customFormat="1" x14ac:dyDescent="0.25">
      <c r="A157" s="11" t="s">
        <v>1445</v>
      </c>
      <c r="B157" s="6">
        <v>3</v>
      </c>
      <c r="C157" s="19" t="s">
        <v>2683</v>
      </c>
      <c r="D157" s="11" t="s">
        <v>2441</v>
      </c>
      <c r="E157" s="11" t="s">
        <v>1442</v>
      </c>
      <c r="F157" s="6"/>
      <c r="G157" s="6" t="s">
        <v>11</v>
      </c>
      <c r="H157" s="11" t="s">
        <v>2684</v>
      </c>
      <c r="I157" s="11" t="s">
        <v>2685</v>
      </c>
    </row>
    <row r="158" ht="18" customHeight="1" spans="1:10" s="10" customFormat="1" x14ac:dyDescent="0.25">
      <c r="A158" s="14" t="s">
        <v>2686</v>
      </c>
      <c r="B158" s="15">
        <v>1</v>
      </c>
      <c r="C158" s="14" t="s">
        <v>71</v>
      </c>
      <c r="D158" s="14" t="s">
        <v>2687</v>
      </c>
      <c r="E158" s="14"/>
      <c r="F158" s="15">
        <f>COUNTIFS($B$159:$B$169,3,$G$159:$G$169,"COMPLETED")&amp;" / "&amp;COUNTIF($B$159:$B$169,3)</f>
      </c>
      <c r="G158" s="15">
        <f>IF(COUNTIFS($B$159:$B$169,3,$G$159:$G$169,"COMPLETED")=COUNTIF($B$159:$B$169,3),"COMPLETED",IF(COUNTIFS($B$159:$B$169,3,$G$159:$G$169,"BLOCKED")&gt;0,"BLOCKED",IF(COUNTIFS($B$159:$B$169,3,$G$159:$G$169,"YET TO START")=COUNTIF($B$159:$B$169,3),"YET TO START","IN PROGRESS")))</f>
      </c>
      <c r="H158" s="14"/>
      <c r="I158" s="14"/>
      <c r="J158" s="13">
        <f>(COUNTIFS($B$159:$B$169,3,$J$159:$J$169,"DONE")+COUNTIFS($B$159:$B$169,3,$J$159:$J$169,"DONE-SANDBOX"))&amp;" / "&amp;COUNTIFS($B$159:$B$169,3,$J$159:$J$169,"&lt;&gt;")&amp;" batch steps done"</f>
      </c>
    </row>
    <row r="159" ht="15" customHeight="1" spans="1:10" s="10" customFormat="1" x14ac:dyDescent="0.25">
      <c r="A159" s="16" t="s">
        <v>2688</v>
      </c>
      <c r="B159" s="17">
        <v>2</v>
      </c>
      <c r="C159" s="18" t="s">
        <v>2689</v>
      </c>
      <c r="D159" s="16"/>
      <c r="E159" s="16"/>
      <c r="F159" s="17">
        <f>COUNTIFS($B$160:$B$162,3,$G$160:$G$162,"COMPLETED")&amp;" / "&amp;COUNTIF($B$160:$B$162,3)</f>
      </c>
      <c r="G159" s="17">
        <f>IF(COUNTIFS($B$160:$B$162,3,$G$160:$G$162,"COMPLETED")=COUNTIF($B$160:$B$162,3),"COMPLETED",IF(COUNTIFS($B$160:$B$162,3,$G$160:$G$162,"BLOCKED")&gt;0,"BLOCKED",IF(COUNTIFS($B$160:$B$162,3,$G$160:$G$162,"YET TO START")=COUNTIF($B$160:$B$162,3),"YET TO START","IN PROGRESS")))</f>
      </c>
      <c r="H159" s="16"/>
      <c r="I159" s="16"/>
      <c r="J159" s="13">
        <f>(COUNTIFS($B$160:$B$162,3,$J$160:$J$162,"DONE")+COUNTIFS($B$160:$B$162,3,$J$160:$J$162,"DONE-SANDBOX"))&amp;" / "&amp;COUNTIFS($B$160:$B$162,3,$J$160:$J$162,"&lt;&gt;")&amp;" batch steps done"</f>
      </c>
    </row>
    <row r="160" ht="15" customHeight="1" spans="1:9" s="10" customFormat="1" x14ac:dyDescent="0.25">
      <c r="A160" s="11" t="s">
        <v>533</v>
      </c>
      <c r="B160" s="6">
        <v>3</v>
      </c>
      <c r="C160" s="19" t="s">
        <v>2690</v>
      </c>
      <c r="D160" s="11" t="s">
        <v>2687</v>
      </c>
      <c r="E160" s="11" t="s">
        <v>529</v>
      </c>
      <c r="F160" s="6"/>
      <c r="G160" s="6" t="s">
        <v>11</v>
      </c>
      <c r="H160" s="11" t="s">
        <v>281</v>
      </c>
      <c r="I160" s="11" t="s">
        <v>142</v>
      </c>
    </row>
    <row r="161" ht="15" customHeight="1" spans="1:9" s="10" customFormat="1" x14ac:dyDescent="0.25">
      <c r="A161" s="11" t="s">
        <v>2691</v>
      </c>
      <c r="B161" s="6">
        <v>3</v>
      </c>
      <c r="C161" s="19" t="s">
        <v>2692</v>
      </c>
      <c r="D161" s="11" t="s">
        <v>2687</v>
      </c>
      <c r="E161" s="11" t="s">
        <v>1032</v>
      </c>
      <c r="F161" s="6"/>
      <c r="G161" s="6" t="s">
        <v>11</v>
      </c>
      <c r="H161" s="11" t="s">
        <v>2450</v>
      </c>
      <c r="I161" s="11" t="s">
        <v>2693</v>
      </c>
    </row>
    <row r="162" ht="39" customHeight="1" spans="1:9" s="10" customFormat="1" x14ac:dyDescent="0.25">
      <c r="A162" s="11" t="s">
        <v>1204</v>
      </c>
      <c r="B162" s="6">
        <v>3</v>
      </c>
      <c r="C162" s="19" t="s">
        <v>2694</v>
      </c>
      <c r="D162" s="11" t="s">
        <v>2687</v>
      </c>
      <c r="E162" s="11" t="s">
        <v>2695</v>
      </c>
      <c r="F162" s="6"/>
      <c r="G162" s="6" t="s">
        <v>11</v>
      </c>
      <c r="H162" s="11" t="s">
        <v>2453</v>
      </c>
      <c r="I162" s="11" t="s">
        <v>2439</v>
      </c>
    </row>
    <row r="163" ht="15" customHeight="1" spans="1:10" s="10" customFormat="1" x14ac:dyDescent="0.25">
      <c r="A163" s="16" t="s">
        <v>2696</v>
      </c>
      <c r="B163" s="17">
        <v>2</v>
      </c>
      <c r="C163" s="18" t="s">
        <v>2697</v>
      </c>
      <c r="D163" s="16"/>
      <c r="E163" s="16"/>
      <c r="F163" s="17">
        <f>COUNTIFS($B$164:$B$169,3,$G$164:$G$169,"COMPLETED")&amp;" / "&amp;COUNTIF($B$164:$B$169,3)</f>
      </c>
      <c r="G163" s="17">
        <f>IF(COUNTIFS($B$164:$B$169,3,$G$164:$G$169,"COMPLETED")=COUNTIF($B$164:$B$169,3),"COMPLETED",IF(COUNTIFS($B$164:$B$169,3,$G$164:$G$169,"BLOCKED")&gt;0,"BLOCKED",IF(COUNTIFS($B$164:$B$169,3,$G$164:$G$169,"YET TO START")=COUNTIF($B$164:$B$169,3),"YET TO START","IN PROGRESS")))</f>
      </c>
      <c r="H163" s="16"/>
      <c r="I163" s="16"/>
      <c r="J163" s="13">
        <f>(COUNTIFS($B$164:$B$169,3,$J$164:$J$169,"DONE")+COUNTIFS($B$164:$B$169,3,$J$164:$J$169,"DONE-SANDBOX"))&amp;" / "&amp;COUNTIFS($B$164:$B$169,3,$J$164:$J$169,"&lt;&gt;")&amp;" batch steps done"</f>
      </c>
    </row>
    <row r="164" ht="15" customHeight="1" spans="1:9" s="10" customFormat="1" x14ac:dyDescent="0.25">
      <c r="A164" s="11" t="s">
        <v>538</v>
      </c>
      <c r="B164" s="6">
        <v>3</v>
      </c>
      <c r="C164" s="19" t="s">
        <v>2698</v>
      </c>
      <c r="D164" s="11" t="s">
        <v>2687</v>
      </c>
      <c r="E164" s="11" t="s">
        <v>2699</v>
      </c>
      <c r="F164" s="6"/>
      <c r="G164" s="6" t="s">
        <v>11</v>
      </c>
      <c r="H164" s="11" t="s">
        <v>281</v>
      </c>
      <c r="I164" s="11" t="s">
        <v>142</v>
      </c>
    </row>
    <row r="165" ht="15" customHeight="1" spans="1:9" s="10" customFormat="1" x14ac:dyDescent="0.25">
      <c r="A165" s="11" t="s">
        <v>351</v>
      </c>
      <c r="B165" s="6">
        <v>3</v>
      </c>
      <c r="C165" s="19" t="s">
        <v>2700</v>
      </c>
      <c r="D165" s="11" t="s">
        <v>2687</v>
      </c>
      <c r="E165" s="11" t="s">
        <v>348</v>
      </c>
      <c r="F165" s="6"/>
      <c r="G165" s="6" t="s">
        <v>11</v>
      </c>
      <c r="H165" s="11" t="s">
        <v>281</v>
      </c>
      <c r="I165" s="11" t="s">
        <v>142</v>
      </c>
    </row>
    <row r="166" ht="15" customHeight="1" spans="1:9" s="10" customFormat="1" x14ac:dyDescent="0.25">
      <c r="A166" s="11" t="s">
        <v>543</v>
      </c>
      <c r="B166" s="6">
        <v>3</v>
      </c>
      <c r="C166" s="19" t="s">
        <v>2701</v>
      </c>
      <c r="D166" s="11" t="s">
        <v>2687</v>
      </c>
      <c r="E166" s="11" t="s">
        <v>540</v>
      </c>
      <c r="F166" s="6"/>
      <c r="G166" s="6" t="s">
        <v>11</v>
      </c>
      <c r="H166" s="11" t="s">
        <v>741</v>
      </c>
      <c r="I166" s="11" t="s">
        <v>142</v>
      </c>
    </row>
    <row r="167" ht="15" customHeight="1" spans="1:12" s="10" customFormat="1" x14ac:dyDescent="0.25">
      <c r="A167" s="11" t="s">
        <v>1722</v>
      </c>
      <c r="B167" s="6">
        <v>3</v>
      </c>
      <c r="C167" s="19" t="s">
        <v>2702</v>
      </c>
      <c r="D167" s="11" t="s">
        <v>2687</v>
      </c>
      <c r="E167" s="11" t="s">
        <v>1719</v>
      </c>
      <c r="F167" s="6"/>
      <c r="G167" s="6" t="s">
        <v>11</v>
      </c>
      <c r="H167" s="11" t="s">
        <v>2367</v>
      </c>
      <c r="I167" s="11" t="s">
        <v>2703</v>
      </c>
      <c r="J167" s="23" t="s">
        <v>2398</v>
      </c>
      <c r="K167" s="10" t="s">
        <v>2367</v>
      </c>
      <c r="L167" s="21" t="s">
        <v>2704</v>
      </c>
    </row>
    <row r="168" ht="15" customHeight="1" spans="1:12" s="10" customFormat="1" x14ac:dyDescent="0.25">
      <c r="A168" s="11" t="s">
        <v>1730</v>
      </c>
      <c r="B168" s="6">
        <v>3</v>
      </c>
      <c r="C168" s="19" t="s">
        <v>2705</v>
      </c>
      <c r="D168" s="11" t="s">
        <v>2687</v>
      </c>
      <c r="E168" s="11" t="s">
        <v>1727</v>
      </c>
      <c r="F168" s="6"/>
      <c r="G168" s="6" t="s">
        <v>11</v>
      </c>
      <c r="H168" s="11" t="s">
        <v>2367</v>
      </c>
      <c r="I168" s="11" t="s">
        <v>2706</v>
      </c>
      <c r="J168" s="23" t="s">
        <v>2398</v>
      </c>
      <c r="K168" s="10" t="s">
        <v>2367</v>
      </c>
      <c r="L168" s="21" t="s">
        <v>2707</v>
      </c>
    </row>
    <row r="169" ht="39" customHeight="1" spans="1:9" s="10" customFormat="1" x14ac:dyDescent="0.25">
      <c r="A169" s="11" t="s">
        <v>1258</v>
      </c>
      <c r="B169" s="6">
        <v>3</v>
      </c>
      <c r="C169" s="19" t="s">
        <v>2708</v>
      </c>
      <c r="D169" s="11" t="s">
        <v>2687</v>
      </c>
      <c r="E169" s="11" t="s">
        <v>2709</v>
      </c>
      <c r="F169" s="6"/>
      <c r="G169" s="6" t="s">
        <v>11</v>
      </c>
      <c r="H169" s="11" t="s">
        <v>2438</v>
      </c>
      <c r="I169" s="11" t="s">
        <v>2710</v>
      </c>
    </row>
    <row r="170" ht="18" customHeight="1" spans="1:10" s="10" customFormat="1" x14ac:dyDescent="0.25">
      <c r="A170" s="14" t="s">
        <v>2711</v>
      </c>
      <c r="B170" s="15">
        <v>1</v>
      </c>
      <c r="C170" s="14" t="s">
        <v>72</v>
      </c>
      <c r="D170" s="14" t="s">
        <v>2597</v>
      </c>
      <c r="E170" s="14"/>
      <c r="F170" s="15">
        <f>COUNTIFS($B$171:$B$177,3,$G$171:$G$177,"COMPLETED")&amp;" / "&amp;COUNTIF($B$171:$B$177,3)</f>
      </c>
      <c r="G170" s="15">
        <f>IF(COUNTIFS($B$171:$B$177,3,$G$171:$G$177,"COMPLETED")=COUNTIF($B$171:$B$177,3),"COMPLETED",IF(COUNTIFS($B$171:$B$177,3,$G$171:$G$177,"BLOCKED")&gt;0,"BLOCKED",IF(COUNTIFS($B$171:$B$177,3,$G$171:$G$177,"YET TO START")=COUNTIF($B$171:$B$177,3),"YET TO START","IN PROGRESS")))</f>
      </c>
      <c r="H170" s="14"/>
      <c r="I170" s="14"/>
      <c r="J170" s="13">
        <f>(COUNTIFS($B$171:$B$177,3,$J$171:$J$177,"DONE")+COUNTIFS($B$171:$B$177,3,$J$171:$J$177,"DONE-SANDBOX"))&amp;" / "&amp;COUNTIFS($B$171:$B$177,3,$J$171:$J$177,"&lt;&gt;")&amp;" batch steps done"</f>
      </c>
    </row>
    <row r="171" ht="15" customHeight="1" spans="1:10" s="10" customFormat="1" x14ac:dyDescent="0.25">
      <c r="A171" s="16" t="s">
        <v>2712</v>
      </c>
      <c r="B171" s="17">
        <v>2</v>
      </c>
      <c r="C171" s="18" t="s">
        <v>2713</v>
      </c>
      <c r="D171" s="16"/>
      <c r="E171" s="16"/>
      <c r="F171" s="17">
        <f>COUNTIFS($B$172:$B$173,3,$G$172:$G$173,"COMPLETED")&amp;" / "&amp;COUNTIF($B$172:$B$173,3)</f>
      </c>
      <c r="G171" s="17">
        <f>IF(COUNTIFS($B$172:$B$173,3,$G$172:$G$173,"COMPLETED")=COUNTIF($B$172:$B$173,3),"COMPLETED",IF(COUNTIFS($B$172:$B$173,3,$G$172:$G$173,"BLOCKED")&gt;0,"BLOCKED",IF(COUNTIFS($B$172:$B$173,3,$G$172:$G$173,"YET TO START")=COUNTIF($B$172:$B$173,3),"YET TO START","IN PROGRESS")))</f>
      </c>
      <c r="H171" s="16"/>
      <c r="I171" s="16"/>
      <c r="J171" s="13">
        <f>(COUNTIFS($B$172:$B$173,3,$J$172:$J$173,"DONE")+COUNTIFS($B$172:$B$173,3,$J$172:$J$173,"DONE-SANDBOX"))&amp;" / "&amp;COUNTIFS($B$172:$B$173,3,$J$172:$J$173,"&lt;&gt;")&amp;" batch steps done"</f>
      </c>
    </row>
    <row r="172" ht="27" customHeight="1" spans="1:9" s="10" customFormat="1" x14ac:dyDescent="0.25">
      <c r="A172" s="11" t="s">
        <v>476</v>
      </c>
      <c r="B172" s="6">
        <v>3</v>
      </c>
      <c r="C172" s="19" t="s">
        <v>2714</v>
      </c>
      <c r="D172" s="11" t="s">
        <v>2597</v>
      </c>
      <c r="E172" s="11" t="s">
        <v>472</v>
      </c>
      <c r="F172" s="6"/>
      <c r="G172" s="6" t="s">
        <v>11</v>
      </c>
      <c r="H172" s="11" t="s">
        <v>158</v>
      </c>
      <c r="I172" s="11" t="s">
        <v>142</v>
      </c>
    </row>
    <row r="173" ht="27" customHeight="1" spans="1:9" s="10" customFormat="1" x14ac:dyDescent="0.25">
      <c r="A173" s="11" t="s">
        <v>481</v>
      </c>
      <c r="B173" s="6">
        <v>3</v>
      </c>
      <c r="C173" s="19" t="s">
        <v>2715</v>
      </c>
      <c r="D173" s="11" t="s">
        <v>2597</v>
      </c>
      <c r="E173" s="11" t="s">
        <v>2716</v>
      </c>
      <c r="F173" s="6"/>
      <c r="G173" s="6" t="s">
        <v>11</v>
      </c>
      <c r="H173" s="11" t="s">
        <v>158</v>
      </c>
      <c r="I173" s="11" t="s">
        <v>142</v>
      </c>
    </row>
    <row r="174" ht="15" customHeight="1" spans="1:10" s="10" customFormat="1" x14ac:dyDescent="0.25">
      <c r="A174" s="16" t="s">
        <v>2717</v>
      </c>
      <c r="B174" s="17">
        <v>2</v>
      </c>
      <c r="C174" s="18" t="s">
        <v>2718</v>
      </c>
      <c r="D174" s="16"/>
      <c r="E174" s="16"/>
      <c r="F174" s="17">
        <f>COUNTIFS($B$175:$B$177,3,$G$175:$G$177,"COMPLETED")&amp;" / "&amp;COUNTIF($B$175:$B$177,3)</f>
      </c>
      <c r="G174" s="17">
        <f>IF(COUNTIFS($B$175:$B$177,3,$G$175:$G$177,"COMPLETED")=COUNTIF($B$175:$B$177,3),"COMPLETED",IF(COUNTIFS($B$175:$B$177,3,$G$175:$G$177,"BLOCKED")&gt;0,"BLOCKED",IF(COUNTIFS($B$175:$B$177,3,$G$175:$G$177,"YET TO START")=COUNTIF($B$175:$B$177,3),"YET TO START","IN PROGRESS")))</f>
      </c>
      <c r="H174" s="16"/>
      <c r="I174" s="16"/>
      <c r="J174" s="13">
        <f>(COUNTIFS($B$175:$B$177,3,$J$175:$J$177,"DONE")+COUNTIFS($B$175:$B$177,3,$J$175:$J$177,"DONE-SANDBOX"))&amp;" / "&amp;COUNTIFS($B$175:$B$177,3,$J$175:$J$177,"&lt;&gt;")&amp;" batch steps done"</f>
      </c>
    </row>
    <row r="175" ht="27" customHeight="1" spans="1:9" s="10" customFormat="1" x14ac:dyDescent="0.25">
      <c r="A175" s="11" t="s">
        <v>2719</v>
      </c>
      <c r="B175" s="6">
        <v>3</v>
      </c>
      <c r="C175" s="19" t="s">
        <v>2720</v>
      </c>
      <c r="D175" s="11" t="s">
        <v>2597</v>
      </c>
      <c r="E175" s="11" t="s">
        <v>842</v>
      </c>
      <c r="F175" s="6"/>
      <c r="G175" s="6" t="s">
        <v>11</v>
      </c>
      <c r="H175" s="11" t="s">
        <v>2362</v>
      </c>
      <c r="I175" s="11" t="s">
        <v>2363</v>
      </c>
    </row>
    <row r="176" ht="27" customHeight="1" spans="1:9" s="10" customFormat="1" x14ac:dyDescent="0.25">
      <c r="A176" s="11" t="s">
        <v>486</v>
      </c>
      <c r="B176" s="6">
        <v>3</v>
      </c>
      <c r="C176" s="19" t="s">
        <v>2721</v>
      </c>
      <c r="D176" s="11" t="s">
        <v>2597</v>
      </c>
      <c r="E176" s="11" t="s">
        <v>483</v>
      </c>
      <c r="F176" s="6"/>
      <c r="G176" s="6" t="s">
        <v>11</v>
      </c>
      <c r="H176" s="11" t="s">
        <v>2722</v>
      </c>
      <c r="I176" s="11" t="s">
        <v>2363</v>
      </c>
    </row>
    <row r="177" ht="27" customHeight="1" spans="1:9" s="10" customFormat="1" x14ac:dyDescent="0.25">
      <c r="A177" s="11" t="s">
        <v>585</v>
      </c>
      <c r="B177" s="6">
        <v>3</v>
      </c>
      <c r="C177" s="19" t="s">
        <v>2723</v>
      </c>
      <c r="D177" s="11" t="s">
        <v>2597</v>
      </c>
      <c r="E177" s="11" t="s">
        <v>2724</v>
      </c>
      <c r="F177" s="6"/>
      <c r="G177" s="6" t="s">
        <v>11</v>
      </c>
      <c r="H177" s="11" t="s">
        <v>2725</v>
      </c>
      <c r="I177" s="11" t="s">
        <v>142</v>
      </c>
    </row>
    <row r="178" ht="18" customHeight="1" spans="1:10" s="10" customFormat="1" x14ac:dyDescent="0.25">
      <c r="A178" s="14" t="s">
        <v>2726</v>
      </c>
      <c r="B178" s="15">
        <v>1</v>
      </c>
      <c r="C178" s="14" t="s">
        <v>73</v>
      </c>
      <c r="D178" s="14" t="s">
        <v>2727</v>
      </c>
      <c r="E178" s="14"/>
      <c r="F178" s="15">
        <f>COUNTIFS($B$179:$B$189,3,$G$179:$G$189,"COMPLETED")&amp;" / "&amp;COUNTIF($B$179:$B$189,3)</f>
      </c>
      <c r="G178" s="15">
        <f>IF(COUNTIFS($B$179:$B$189,3,$G$179:$G$189,"COMPLETED")=COUNTIF($B$179:$B$189,3),"COMPLETED",IF(COUNTIFS($B$179:$B$189,3,$G$179:$G$189,"BLOCKED")&gt;0,"BLOCKED",IF(COUNTIFS($B$179:$B$189,3,$G$179:$G$189,"YET TO START")=COUNTIF($B$179:$B$189,3),"YET TO START","IN PROGRESS")))</f>
      </c>
      <c r="H178" s="14"/>
      <c r="I178" s="14"/>
      <c r="J178" s="13">
        <f>(COUNTIFS($B$179:$B$189,3,$J$179:$J$189,"DONE")+COUNTIFS($B$179:$B$189,3,$J$179:$J$189,"DONE-SANDBOX"))&amp;" / "&amp;COUNTIFS($B$179:$B$189,3,$J$179:$J$189,"&lt;&gt;")&amp;" batch steps done"</f>
      </c>
    </row>
    <row r="179" ht="15" customHeight="1" spans="1:10" s="10" customFormat="1" x14ac:dyDescent="0.25">
      <c r="A179" s="16" t="s">
        <v>2728</v>
      </c>
      <c r="B179" s="17">
        <v>2</v>
      </c>
      <c r="C179" s="18" t="s">
        <v>2729</v>
      </c>
      <c r="D179" s="16"/>
      <c r="E179" s="16"/>
      <c r="F179" s="17">
        <f>COUNTIFS($B$180:$B$183,3,$G$180:$G$183,"COMPLETED")&amp;" / "&amp;COUNTIF($B$180:$B$183,3)</f>
      </c>
      <c r="G179" s="17">
        <f>IF(COUNTIFS($B$180:$B$183,3,$G$180:$G$183,"COMPLETED")=COUNTIF($B$180:$B$183,3),"COMPLETED",IF(COUNTIFS($B$180:$B$183,3,$G$180:$G$183,"BLOCKED")&gt;0,"BLOCKED",IF(COUNTIFS($B$180:$B$183,3,$G$180:$G$183,"YET TO START")=COUNTIF($B$180:$B$183,3),"YET TO START","IN PROGRESS")))</f>
      </c>
      <c r="H179" s="16"/>
      <c r="I179" s="16"/>
      <c r="J179" s="13">
        <f>(COUNTIFS($B$180:$B$183,3,$J$180:$J$183,"DONE")+COUNTIFS($B$180:$B$183,3,$J$180:$J$183,"DONE-SANDBOX"))&amp;" / "&amp;COUNTIFS($B$180:$B$183,3,$J$180:$J$183,"&lt;&gt;")&amp;" batch steps done"</f>
      </c>
    </row>
    <row r="180" ht="15" customHeight="1" spans="1:9" s="10" customFormat="1" x14ac:dyDescent="0.25">
      <c r="A180" s="11" t="s">
        <v>555</v>
      </c>
      <c r="B180" s="6">
        <v>3</v>
      </c>
      <c r="C180" s="19" t="s">
        <v>2730</v>
      </c>
      <c r="D180" s="11" t="s">
        <v>2727</v>
      </c>
      <c r="E180" s="11" t="s">
        <v>2731</v>
      </c>
      <c r="F180" s="6"/>
      <c r="G180" s="6" t="s">
        <v>11</v>
      </c>
      <c r="H180" s="11" t="s">
        <v>2732</v>
      </c>
      <c r="I180" s="11" t="s">
        <v>142</v>
      </c>
    </row>
    <row r="181" ht="15" customHeight="1" spans="1:9" s="10" customFormat="1" x14ac:dyDescent="0.25">
      <c r="A181" s="11" t="s">
        <v>561</v>
      </c>
      <c r="B181" s="6">
        <v>3</v>
      </c>
      <c r="C181" s="19" t="s">
        <v>2733</v>
      </c>
      <c r="D181" s="11" t="s">
        <v>2727</v>
      </c>
      <c r="E181" s="11" t="s">
        <v>2734</v>
      </c>
      <c r="F181" s="6"/>
      <c r="G181" s="6" t="s">
        <v>11</v>
      </c>
      <c r="H181" s="11" t="s">
        <v>2735</v>
      </c>
      <c r="I181" s="11" t="s">
        <v>142</v>
      </c>
    </row>
    <row r="182" ht="15" customHeight="1" spans="1:9" s="10" customFormat="1" x14ac:dyDescent="0.25">
      <c r="A182" s="11" t="s">
        <v>573</v>
      </c>
      <c r="B182" s="6">
        <v>3</v>
      </c>
      <c r="C182" s="19" t="s">
        <v>2736</v>
      </c>
      <c r="D182" s="11" t="s">
        <v>2727</v>
      </c>
      <c r="E182" s="11" t="s">
        <v>570</v>
      </c>
      <c r="F182" s="6"/>
      <c r="G182" s="6" t="s">
        <v>11</v>
      </c>
      <c r="H182" s="11" t="s">
        <v>2737</v>
      </c>
      <c r="I182" s="11" t="s">
        <v>142</v>
      </c>
    </row>
    <row r="183" ht="15" customHeight="1" spans="1:9" s="10" customFormat="1" x14ac:dyDescent="0.25">
      <c r="A183" s="11" t="s">
        <v>1192</v>
      </c>
      <c r="B183" s="6">
        <v>3</v>
      </c>
      <c r="C183" s="19" t="s">
        <v>2738</v>
      </c>
      <c r="D183" s="11" t="s">
        <v>2727</v>
      </c>
      <c r="E183" s="11" t="s">
        <v>1189</v>
      </c>
      <c r="F183" s="6"/>
      <c r="G183" s="6" t="s">
        <v>11</v>
      </c>
      <c r="H183" s="11" t="s">
        <v>2425</v>
      </c>
      <c r="I183" s="11" t="s">
        <v>2381</v>
      </c>
    </row>
    <row r="184" ht="15" customHeight="1" spans="1:10" s="10" customFormat="1" x14ac:dyDescent="0.25">
      <c r="A184" s="16" t="s">
        <v>2739</v>
      </c>
      <c r="B184" s="17">
        <v>2</v>
      </c>
      <c r="C184" s="18" t="s">
        <v>2740</v>
      </c>
      <c r="D184" s="16"/>
      <c r="E184" s="16"/>
      <c r="F184" s="17">
        <f>COUNTIFS($B$185:$B$189,3,$G$185:$G$189,"COMPLETED")&amp;" / "&amp;COUNTIF($B$185:$B$189,3)</f>
      </c>
      <c r="G184" s="17">
        <f>IF(COUNTIFS($B$185:$B$189,3,$G$185:$G$189,"COMPLETED")=COUNTIF($B$185:$B$189,3),"COMPLETED",IF(COUNTIFS($B$185:$B$189,3,$G$185:$G$189,"BLOCKED")&gt;0,"BLOCKED",IF(COUNTIFS($B$185:$B$189,3,$G$185:$G$189,"YET TO START")=COUNTIF($B$185:$B$189,3),"YET TO START","IN PROGRESS")))</f>
      </c>
      <c r="H184" s="16"/>
      <c r="I184" s="16"/>
      <c r="J184" s="13">
        <f>(COUNTIFS($B$185:$B$189,3,$J$185:$J$189,"DONE")+COUNTIFS($B$185:$B$189,3,$J$185:$J$189,"DONE-SANDBOX"))&amp;" / "&amp;COUNTIFS($B$185:$B$189,3,$J$185:$J$189,"&lt;&gt;")&amp;" batch steps done"</f>
      </c>
    </row>
    <row r="185" ht="27" customHeight="1" spans="1:9" s="10" customFormat="1" x14ac:dyDescent="0.25">
      <c r="A185" s="11" t="s">
        <v>156</v>
      </c>
      <c r="B185" s="6">
        <v>3</v>
      </c>
      <c r="C185" s="19" t="s">
        <v>2741</v>
      </c>
      <c r="D185" s="11" t="s">
        <v>2727</v>
      </c>
      <c r="E185" s="11" t="s">
        <v>2742</v>
      </c>
      <c r="F185" s="6"/>
      <c r="G185" s="6" t="s">
        <v>11</v>
      </c>
      <c r="H185" s="11" t="s">
        <v>2743</v>
      </c>
      <c r="I185" s="11" t="s">
        <v>142</v>
      </c>
    </row>
    <row r="186" ht="15" customHeight="1" spans="1:9" s="10" customFormat="1" x14ac:dyDescent="0.25">
      <c r="A186" s="11" t="s">
        <v>998</v>
      </c>
      <c r="B186" s="6">
        <v>3</v>
      </c>
      <c r="C186" s="19" t="s">
        <v>2744</v>
      </c>
      <c r="D186" s="11" t="s">
        <v>2727</v>
      </c>
      <c r="E186" s="11" t="s">
        <v>995</v>
      </c>
      <c r="F186" s="6"/>
      <c r="G186" s="6" t="s">
        <v>11</v>
      </c>
      <c r="H186" s="11" t="s">
        <v>741</v>
      </c>
      <c r="I186" s="11" t="s">
        <v>142</v>
      </c>
    </row>
    <row r="187" ht="15" customHeight="1" spans="1:9" s="10" customFormat="1" x14ac:dyDescent="0.25">
      <c r="A187" s="11" t="s">
        <v>1130</v>
      </c>
      <c r="B187" s="6">
        <v>3</v>
      </c>
      <c r="C187" s="19" t="s">
        <v>2745</v>
      </c>
      <c r="D187" s="11" t="s">
        <v>2727</v>
      </c>
      <c r="E187" s="11" t="s">
        <v>1127</v>
      </c>
      <c r="F187" s="6"/>
      <c r="G187" s="6" t="s">
        <v>11</v>
      </c>
      <c r="H187" s="11" t="s">
        <v>2380</v>
      </c>
      <c r="I187" s="11" t="s">
        <v>2381</v>
      </c>
    </row>
    <row r="188" ht="15" customHeight="1" spans="1:9" s="10" customFormat="1" x14ac:dyDescent="0.25">
      <c r="A188" s="11" t="s">
        <v>945</v>
      </c>
      <c r="B188" s="6">
        <v>3</v>
      </c>
      <c r="C188" s="19" t="s">
        <v>2746</v>
      </c>
      <c r="D188" s="11" t="s">
        <v>2727</v>
      </c>
      <c r="E188" s="11" t="s">
        <v>942</v>
      </c>
      <c r="F188" s="6"/>
      <c r="G188" s="6" t="s">
        <v>11</v>
      </c>
      <c r="H188" s="11" t="s">
        <v>2747</v>
      </c>
      <c r="I188" s="11" t="s">
        <v>142</v>
      </c>
    </row>
    <row r="189" ht="15" customHeight="1" spans="1:9" s="10" customFormat="1" x14ac:dyDescent="0.25">
      <c r="A189" s="11" t="s">
        <v>2748</v>
      </c>
      <c r="B189" s="6">
        <v>3</v>
      </c>
      <c r="C189" s="19" t="s">
        <v>2749</v>
      </c>
      <c r="D189" s="11" t="s">
        <v>2727</v>
      </c>
      <c r="E189" s="11" t="s">
        <v>1156</v>
      </c>
      <c r="F189" s="6"/>
      <c r="G189" s="6" t="s">
        <v>11</v>
      </c>
      <c r="H189" s="11" t="s">
        <v>2380</v>
      </c>
      <c r="I189" s="11" t="s">
        <v>2381</v>
      </c>
    </row>
    <row r="190" ht="18" customHeight="1" spans="1:10" s="10" customFormat="1" x14ac:dyDescent="0.25">
      <c r="A190" s="14" t="s">
        <v>2750</v>
      </c>
      <c r="B190" s="15">
        <v>1</v>
      </c>
      <c r="C190" s="14" t="s">
        <v>74</v>
      </c>
      <c r="D190" s="14" t="s">
        <v>637</v>
      </c>
      <c r="E190" s="14"/>
      <c r="F190" s="15">
        <f>COUNTIFS($B$191:$B$195,3,$G$191:$G$195,"COMPLETED")&amp;" / "&amp;COUNTIF($B$191:$B$195,3)</f>
      </c>
      <c r="G190" s="15">
        <f>IF(COUNTIFS($B$191:$B$195,3,$G$191:$G$195,"COMPLETED")=COUNTIF($B$191:$B$195,3),"COMPLETED",IF(COUNTIFS($B$191:$B$195,3,$G$191:$G$195,"BLOCKED")&gt;0,"BLOCKED",IF(COUNTIFS($B$191:$B$195,3,$G$191:$G$195,"YET TO START")=COUNTIF($B$191:$B$195,3),"YET TO START","IN PROGRESS")))</f>
      </c>
      <c r="H190" s="14"/>
      <c r="I190" s="14"/>
      <c r="J190" s="13">
        <f>(COUNTIFS($B$191:$B$195,3,$J$191:$J$195,"DONE")+COUNTIFS($B$191:$B$195,3,$J$191:$J$195,"DONE-SANDBOX"))&amp;" / "&amp;COUNTIFS($B$191:$B$195,3,$J$191:$J$195,"&lt;&gt;")&amp;" batch steps done"</f>
      </c>
    </row>
    <row r="191" ht="15" customHeight="1" spans="1:10" s="10" customFormat="1" x14ac:dyDescent="0.25">
      <c r="A191" s="16" t="s">
        <v>2751</v>
      </c>
      <c r="B191" s="17">
        <v>2</v>
      </c>
      <c r="C191" s="18" t="s">
        <v>2752</v>
      </c>
      <c r="D191" s="16"/>
      <c r="E191" s="16"/>
      <c r="F191" s="17">
        <f>COUNTIFS($B$192:$B$193,3,$G$192:$G$193,"COMPLETED")&amp;" / "&amp;COUNTIF($B$192:$B$193,3)</f>
      </c>
      <c r="G191" s="17">
        <f>IF(COUNTIFS($B$192:$B$193,3,$G$192:$G$193,"COMPLETED")=COUNTIF($B$192:$B$193,3),"COMPLETED",IF(COUNTIFS($B$192:$B$193,3,$G$192:$G$193,"BLOCKED")&gt;0,"BLOCKED",IF(COUNTIFS($B$192:$B$193,3,$G$192:$G$193,"YET TO START")=COUNTIF($B$192:$B$193,3),"YET TO START","IN PROGRESS")))</f>
      </c>
      <c r="H191" s="16"/>
      <c r="I191" s="16"/>
      <c r="J191" s="13">
        <f>(COUNTIFS($B$192:$B$193,3,$J$192:$J$193,"DONE")+COUNTIFS($B$192:$B$193,3,$J$192:$J$193,"DONE-SANDBOX"))&amp;" / "&amp;COUNTIFS($B$192:$B$193,3,$J$192:$J$193,"&lt;&gt;")&amp;" batch steps done"</f>
      </c>
    </row>
    <row r="192" ht="27" customHeight="1" spans="1:9" s="10" customFormat="1" x14ac:dyDescent="0.25">
      <c r="A192" s="11" t="s">
        <v>1749</v>
      </c>
      <c r="B192" s="6">
        <v>3</v>
      </c>
      <c r="C192" s="19" t="s">
        <v>2753</v>
      </c>
      <c r="D192" s="11" t="s">
        <v>637</v>
      </c>
      <c r="E192" s="11" t="s">
        <v>2754</v>
      </c>
      <c r="F192" s="6"/>
      <c r="G192" s="6" t="s">
        <v>11</v>
      </c>
      <c r="H192" s="11" t="s">
        <v>2755</v>
      </c>
      <c r="I192" s="11" t="s">
        <v>2756</v>
      </c>
    </row>
    <row r="193" ht="15" customHeight="1" spans="1:12" s="10" customFormat="1" x14ac:dyDescent="0.25">
      <c r="A193" s="11" t="s">
        <v>2757</v>
      </c>
      <c r="B193" s="6">
        <v>3</v>
      </c>
      <c r="C193" s="19" t="s">
        <v>2758</v>
      </c>
      <c r="D193" s="11" t="s">
        <v>637</v>
      </c>
      <c r="E193" s="11" t="s">
        <v>612</v>
      </c>
      <c r="F193" s="6"/>
      <c r="G193" s="6" t="s">
        <v>11</v>
      </c>
      <c r="H193" s="11" t="s">
        <v>2367</v>
      </c>
      <c r="I193" s="11" t="s">
        <v>2759</v>
      </c>
      <c r="J193" s="23" t="s">
        <v>2398</v>
      </c>
      <c r="K193" s="10" t="s">
        <v>2367</v>
      </c>
      <c r="L193" s="21" t="s">
        <v>2760</v>
      </c>
    </row>
    <row r="194" ht="15" customHeight="1" spans="1:10" s="10" customFormat="1" x14ac:dyDescent="0.25">
      <c r="A194" s="16" t="s">
        <v>2761</v>
      </c>
      <c r="B194" s="17">
        <v>2</v>
      </c>
      <c r="C194" s="18" t="s">
        <v>2762</v>
      </c>
      <c r="D194" s="16"/>
      <c r="E194" s="16"/>
      <c r="F194" s="17">
        <f>COUNTIFS($B$195:$B$195,3,$G$195:$G$195,"COMPLETED")&amp;" / "&amp;COUNTIF($B$195:$B$195,3)</f>
      </c>
      <c r="G194" s="17">
        <f>IF(COUNTIFS($B$195:$B$195,3,$G$195:$G$195,"COMPLETED")=COUNTIF($B$195:$B$195,3),"COMPLETED",IF(COUNTIFS($B$195:$B$195,3,$G$195:$G$195,"BLOCKED")&gt;0,"BLOCKED",IF(COUNTIFS($B$195:$B$195,3,$G$195:$G$195,"YET TO START")=COUNTIF($B$195:$B$195,3),"YET TO START","IN PROGRESS")))</f>
      </c>
      <c r="H194" s="16"/>
      <c r="I194" s="16"/>
      <c r="J194" s="13">
        <f>(COUNTIFS($B$195:$B$195,3,$J$195:$J$195,"DONE")+COUNTIFS($B$195:$B$195,3,$J$195:$J$195,"DONE-SANDBOX"))&amp;" / "&amp;COUNTIFS($B$195:$B$195,3,$J$195:$J$195,"&lt;&gt;")&amp;" batch steps done"</f>
      </c>
    </row>
    <row r="195" ht="15" customHeight="1" spans="1:9" s="10" customFormat="1" x14ac:dyDescent="0.25">
      <c r="A195" s="11" t="s">
        <v>2763</v>
      </c>
      <c r="B195" s="6">
        <v>3</v>
      </c>
      <c r="C195" s="19" t="s">
        <v>2764</v>
      </c>
      <c r="D195" s="11" t="s">
        <v>637</v>
      </c>
      <c r="E195" s="11" t="s">
        <v>1168</v>
      </c>
      <c r="F195" s="6"/>
      <c r="G195" s="6" t="s">
        <v>11</v>
      </c>
      <c r="H195" s="11" t="s">
        <v>2425</v>
      </c>
      <c r="I195" s="11" t="s">
        <v>2381</v>
      </c>
    </row>
    <row r="196" ht="18" customHeight="1" spans="1:10" s="10" customFormat="1" x14ac:dyDescent="0.25">
      <c r="A196" s="14" t="s">
        <v>2765</v>
      </c>
      <c r="B196" s="15">
        <v>1</v>
      </c>
      <c r="C196" s="14" t="s">
        <v>75</v>
      </c>
      <c r="D196" s="14" t="s">
        <v>2766</v>
      </c>
      <c r="E196" s="14"/>
      <c r="F196" s="15">
        <f>COUNTIFS($B$197:$B$209,3,$G$197:$G$209,"COMPLETED")&amp;" / "&amp;COUNTIF($B$197:$B$209,3)</f>
      </c>
      <c r="G196" s="15">
        <f>IF(COUNTIFS($B$197:$B$209,3,$G$197:$G$209,"COMPLETED")=COUNTIF($B$197:$B$209,3),"COMPLETED",IF(COUNTIFS($B$197:$B$209,3,$G$197:$G$209,"BLOCKED")&gt;0,"BLOCKED",IF(COUNTIFS($B$197:$B$209,3,$G$197:$G$209,"YET TO START")=COUNTIF($B$197:$B$209,3),"YET TO START","IN PROGRESS")))</f>
      </c>
      <c r="H196" s="14"/>
      <c r="I196" s="14"/>
      <c r="J196" s="13">
        <f>(COUNTIFS($B$197:$B$209,3,$J$197:$J$209,"DONE")+COUNTIFS($B$197:$B$209,3,$J$197:$J$209,"DONE-SANDBOX"))&amp;" / "&amp;COUNTIFS($B$197:$B$209,3,$J$197:$J$209,"&lt;&gt;")&amp;" batch steps done"</f>
      </c>
    </row>
    <row r="197" ht="15" customHeight="1" spans="1:10" s="10" customFormat="1" x14ac:dyDescent="0.25">
      <c r="A197" s="16" t="s">
        <v>2767</v>
      </c>
      <c r="B197" s="17">
        <v>2</v>
      </c>
      <c r="C197" s="18" t="s">
        <v>2768</v>
      </c>
      <c r="D197" s="16"/>
      <c r="E197" s="16"/>
      <c r="F197" s="17">
        <f>COUNTIFS($B$198:$B$204,3,$G$198:$G$204,"COMPLETED")&amp;" / "&amp;COUNTIF($B$198:$B$204,3)</f>
      </c>
      <c r="G197" s="17">
        <f>IF(COUNTIFS($B$198:$B$204,3,$G$198:$G$204,"COMPLETED")=COUNTIF($B$198:$B$204,3),"COMPLETED",IF(COUNTIFS($B$198:$B$204,3,$G$198:$G$204,"BLOCKED")&gt;0,"BLOCKED",IF(COUNTIFS($B$198:$B$204,3,$G$198:$G$204,"YET TO START")=COUNTIF($B$198:$B$204,3),"YET TO START","IN PROGRESS")))</f>
      </c>
      <c r="H197" s="16"/>
      <c r="I197" s="16"/>
      <c r="J197" s="13">
        <f>(COUNTIFS($B$198:$B$204,3,$J$198:$J$204,"DONE")+COUNTIFS($B$198:$B$204,3,$J$198:$J$204,"DONE-SANDBOX"))&amp;" / "&amp;COUNTIFS($B$198:$B$204,3,$J$198:$J$204,"&lt;&gt;")&amp;" batch steps done"</f>
      </c>
    </row>
    <row r="198" ht="27" customHeight="1" spans="1:9" s="10" customFormat="1" x14ac:dyDescent="0.25">
      <c r="A198" s="11" t="s">
        <v>1521</v>
      </c>
      <c r="B198" s="6">
        <v>3</v>
      </c>
      <c r="C198" s="19" t="s">
        <v>2769</v>
      </c>
      <c r="D198" s="11" t="s">
        <v>2766</v>
      </c>
      <c r="E198" s="11" t="s">
        <v>2770</v>
      </c>
      <c r="F198" s="6"/>
      <c r="G198" s="6" t="s">
        <v>11</v>
      </c>
      <c r="H198" s="11" t="s">
        <v>2771</v>
      </c>
      <c r="I198" s="11" t="s">
        <v>142</v>
      </c>
    </row>
    <row r="199" ht="27" customHeight="1" spans="1:9" s="10" customFormat="1" x14ac:dyDescent="0.25">
      <c r="A199" s="11" t="s">
        <v>1550</v>
      </c>
      <c r="B199" s="6">
        <v>3</v>
      </c>
      <c r="C199" s="19" t="s">
        <v>2772</v>
      </c>
      <c r="D199" s="11" t="s">
        <v>2766</v>
      </c>
      <c r="E199" s="11" t="s">
        <v>1547</v>
      </c>
      <c r="F199" s="6"/>
      <c r="G199" s="6" t="s">
        <v>11</v>
      </c>
      <c r="H199" s="11" t="s">
        <v>2773</v>
      </c>
      <c r="I199" s="11" t="s">
        <v>142</v>
      </c>
    </row>
    <row r="200" ht="39" customHeight="1" spans="1:12" s="10" customFormat="1" x14ac:dyDescent="0.25">
      <c r="A200" s="11" t="s">
        <v>1640</v>
      </c>
      <c r="B200" s="6">
        <v>3</v>
      </c>
      <c r="C200" s="19" t="s">
        <v>2774</v>
      </c>
      <c r="D200" s="11" t="s">
        <v>2766</v>
      </c>
      <c r="E200" s="11" t="s">
        <v>2775</v>
      </c>
      <c r="F200" s="6"/>
      <c r="G200" s="6" t="s">
        <v>12</v>
      </c>
      <c r="H200" s="11" t="s">
        <v>2776</v>
      </c>
      <c r="I200" s="11" t="s">
        <v>2777</v>
      </c>
      <c r="J200" s="25" t="s">
        <v>2778</v>
      </c>
      <c r="K200" s="10" t="s">
        <v>2331</v>
      </c>
      <c r="L200" s="21" t="s">
        <v>2779</v>
      </c>
    </row>
    <row r="201" ht="15" customHeight="1" spans="1:9" s="10" customFormat="1" x14ac:dyDescent="0.25">
      <c r="A201" s="11" t="s">
        <v>1571</v>
      </c>
      <c r="B201" s="6">
        <v>3</v>
      </c>
      <c r="C201" s="19" t="s">
        <v>2780</v>
      </c>
      <c r="D201" s="11" t="s">
        <v>2766</v>
      </c>
      <c r="E201" s="11" t="s">
        <v>1568</v>
      </c>
      <c r="F201" s="6"/>
      <c r="G201" s="6" t="s">
        <v>11</v>
      </c>
      <c r="H201" s="11" t="s">
        <v>2781</v>
      </c>
      <c r="I201" s="11" t="s">
        <v>142</v>
      </c>
    </row>
    <row r="202" ht="27" customHeight="1" spans="1:9" s="10" customFormat="1" x14ac:dyDescent="0.25">
      <c r="A202" s="11" t="s">
        <v>1656</v>
      </c>
      <c r="B202" s="6">
        <v>3</v>
      </c>
      <c r="C202" s="19" t="s">
        <v>2782</v>
      </c>
      <c r="D202" s="11" t="s">
        <v>2766</v>
      </c>
      <c r="E202" s="11" t="s">
        <v>1653</v>
      </c>
      <c r="F202" s="6"/>
      <c r="G202" s="6" t="s">
        <v>11</v>
      </c>
      <c r="H202" s="11" t="s">
        <v>2783</v>
      </c>
      <c r="I202" s="11" t="s">
        <v>2784</v>
      </c>
    </row>
    <row r="203" ht="15" customHeight="1" spans="1:12" s="10" customFormat="1" x14ac:dyDescent="0.25">
      <c r="A203" s="11" t="s">
        <v>1881</v>
      </c>
      <c r="B203" s="6">
        <v>3</v>
      </c>
      <c r="C203" s="19" t="s">
        <v>2785</v>
      </c>
      <c r="D203" s="11" t="s">
        <v>2766</v>
      </c>
      <c r="E203" s="11" t="s">
        <v>2786</v>
      </c>
      <c r="F203" s="6"/>
      <c r="G203" s="6" t="s">
        <v>11</v>
      </c>
      <c r="H203" s="11" t="s">
        <v>1647</v>
      </c>
      <c r="I203" s="11" t="s">
        <v>2787</v>
      </c>
      <c r="J203" s="10"/>
      <c r="K203" s="10"/>
      <c r="L203" s="10"/>
    </row>
    <row r="204" ht="27" customHeight="1" spans="1:10" s="10" customFormat="1" x14ac:dyDescent="0.25">
      <c r="A204" s="16" t="s">
        <v>2788</v>
      </c>
      <c r="B204" s="17">
        <v>2</v>
      </c>
      <c r="C204" s="18" t="s">
        <v>2789</v>
      </c>
      <c r="D204" s="16"/>
      <c r="E204" s="16"/>
      <c r="F204" s="17">
        <f>COUNTIFS($B$205:$B$209,3,$G$205:$G$209,"COMPLETED")&amp;" / "&amp;COUNTIF($B$205:$B$209,3)</f>
      </c>
      <c r="G204" s="17">
        <f>IF(COUNTIFS($B$205:$B$209,3,$G$205:$G$209,"COMPLETED")=COUNTIF($B$205:$B$209,3),"COMPLETED",IF(COUNTIFS($B$205:$B$209,3,$G$205:$G$209,"BLOCKED")&gt;0,"BLOCKED",IF(COUNTIFS($B$205:$B$209,3,$G$205:$G$209,"YET TO START")=COUNTIF($B$205:$B$209,3),"YET TO START","IN PROGRESS")))</f>
      </c>
      <c r="H204" s="16"/>
      <c r="I204" s="16"/>
      <c r="J204" s="13">
        <f>(COUNTIFS($B$205:$B$209,3,$J$205:$J$209,"DONE")+COUNTIFS($B$205:$B$209,3,$J$205:$J$209,"DONE-SANDBOX"))&amp;" / "&amp;COUNTIFS($B$205:$B$209,3,$J$205:$J$209,"&lt;&gt;")&amp;" batch steps done"</f>
      </c>
    </row>
    <row r="205" ht="39" customHeight="1" spans="1:12" s="10" customFormat="1" x14ac:dyDescent="0.25">
      <c r="A205" s="11" t="s">
        <v>1559</v>
      </c>
      <c r="B205" s="6">
        <v>3</v>
      </c>
      <c r="C205" s="19" t="s">
        <v>2790</v>
      </c>
      <c r="D205" s="11" t="s">
        <v>2766</v>
      </c>
      <c r="E205" s="11" t="s">
        <v>1556</v>
      </c>
      <c r="F205" s="6"/>
      <c r="G205" s="6" t="s">
        <v>11</v>
      </c>
      <c r="H205" s="11" t="s">
        <v>2791</v>
      </c>
      <c r="I205" s="11" t="s">
        <v>2792</v>
      </c>
      <c r="J205" s="20" t="s">
        <v>2333</v>
      </c>
      <c r="K205" s="10" t="s">
        <v>2367</v>
      </c>
      <c r="L205" s="21" t="s">
        <v>2793</v>
      </c>
    </row>
    <row r="206" ht="27" customHeight="1" spans="1:9" s="10" customFormat="1" x14ac:dyDescent="0.25">
      <c r="A206" s="11" t="s">
        <v>1539</v>
      </c>
      <c r="B206" s="6">
        <v>3</v>
      </c>
      <c r="C206" s="19" t="s">
        <v>2794</v>
      </c>
      <c r="D206" s="11" t="s">
        <v>2766</v>
      </c>
      <c r="E206" s="11" t="s">
        <v>2795</v>
      </c>
      <c r="F206" s="6"/>
      <c r="G206" s="6" t="s">
        <v>11</v>
      </c>
      <c r="H206" s="11" t="s">
        <v>2796</v>
      </c>
      <c r="I206" s="11" t="s">
        <v>2797</v>
      </c>
    </row>
    <row r="207" ht="39" customHeight="1" spans="1:9" s="10" customFormat="1" x14ac:dyDescent="0.25">
      <c r="A207" s="11" t="s">
        <v>1622</v>
      </c>
      <c r="B207" s="6">
        <v>3</v>
      </c>
      <c r="C207" s="19" t="s">
        <v>2798</v>
      </c>
      <c r="D207" s="11" t="s">
        <v>2766</v>
      </c>
      <c r="E207" s="11" t="s">
        <v>1619</v>
      </c>
      <c r="F207" s="6"/>
      <c r="G207" s="6" t="s">
        <v>11</v>
      </c>
      <c r="H207" s="11" t="s">
        <v>2799</v>
      </c>
      <c r="I207" s="11" t="s">
        <v>2800</v>
      </c>
    </row>
    <row r="208" ht="18" customHeight="1" spans="1:12" s="10" customFormat="1" x14ac:dyDescent="0.25">
      <c r="A208" s="11" t="s">
        <v>1598</v>
      </c>
      <c r="B208" s="6">
        <v>3</v>
      </c>
      <c r="C208" s="19" t="s">
        <v>2801</v>
      </c>
      <c r="D208" s="11" t="s">
        <v>2766</v>
      </c>
      <c r="E208" s="11" t="s">
        <v>1595</v>
      </c>
      <c r="F208" s="6"/>
      <c r="G208" s="6" t="s">
        <v>11</v>
      </c>
      <c r="H208" s="11" t="s">
        <v>2802</v>
      </c>
      <c r="I208" s="11" t="s">
        <v>2803</v>
      </c>
      <c r="J208" s="25" t="s">
        <v>2778</v>
      </c>
      <c r="K208" s="10" t="s">
        <v>2367</v>
      </c>
      <c r="L208" s="21" t="s">
        <v>2804</v>
      </c>
    </row>
    <row r="209" ht="15" customHeight="1" spans="1:10" s="10" customFormat="1" x14ac:dyDescent="0.25">
      <c r="A209" s="14" t="s">
        <v>2805</v>
      </c>
      <c r="B209" s="15">
        <v>1</v>
      </c>
      <c r="C209" s="14" t="s">
        <v>76</v>
      </c>
      <c r="D209" s="14" t="s">
        <v>2806</v>
      </c>
      <c r="E209" s="14"/>
      <c r="F209" s="15">
        <f>COUNTIFS($B$210:$B$219,3,$G$210:$G$219,"COMPLETED")&amp;" / "&amp;COUNTIF($B$210:$B$219,3)</f>
      </c>
      <c r="G209" s="15">
        <f>IF(COUNTIFS($B$210:$B$219,3,$G$210:$G$219,"COMPLETED")=COUNTIF($B$210:$B$219,3),"COMPLETED",IF(COUNTIFS($B$210:$B$219,3,$G$210:$G$219,"BLOCKED")&gt;0,"BLOCKED",IF(COUNTIFS($B$210:$B$219,3,$G$210:$G$219,"YET TO START")=COUNTIF($B$210:$B$219,3),"YET TO START","IN PROGRESS")))</f>
      </c>
      <c r="H209" s="14"/>
      <c r="I209" s="14"/>
      <c r="J209" s="13">
        <f>(COUNTIFS($B$210:$B$219,3,$J$210:$J$219,"DONE")+COUNTIFS($B$210:$B$219,3,$J$210:$J$219,"DONE-SANDBOX"))&amp;" / "&amp;COUNTIFS($B$210:$B$219,3,$J$210:$J$219,"&lt;&gt;")&amp;" batch steps done"</f>
      </c>
    </row>
    <row r="210" ht="27" customHeight="1" spans="1:10" s="10" customFormat="1" x14ac:dyDescent="0.25">
      <c r="A210" s="16" t="s">
        <v>2807</v>
      </c>
      <c r="B210" s="17">
        <v>2</v>
      </c>
      <c r="C210" s="18" t="s">
        <v>2808</v>
      </c>
      <c r="D210" s="16"/>
      <c r="E210" s="16"/>
      <c r="F210" s="17">
        <f>COUNTIFS($B$211:$B$215,3,$G$211:$G$215,"COMPLETED")&amp;" / "&amp;COUNTIF($B$211:$B$215,3)</f>
      </c>
      <c r="G210" s="17">
        <f>IF(COUNTIFS($B$211:$B$215,3,$G$211:$G$215,"COMPLETED")=COUNTIF($B$211:$B$215,3),"COMPLETED",IF(COUNTIFS($B$211:$B$215,3,$G$211:$G$215,"BLOCKED")&gt;0,"BLOCKED",IF(COUNTIFS($B$211:$B$215,3,$G$211:$G$215,"YET TO START")=COUNTIF($B$211:$B$215,3),"YET TO START","IN PROGRESS")))</f>
      </c>
      <c r="H210" s="16"/>
      <c r="I210" s="16"/>
      <c r="J210" s="13">
        <f>(COUNTIFS($B$211:$B$215,3,$J$211:$J$215,"DONE")+COUNTIFS($B$211:$B$215,3,$J$211:$J$215,"DONE-SANDBOX"))&amp;" / "&amp;COUNTIFS($B$211:$B$215,3,$J$211:$J$215,"&lt;&gt;")&amp;" batch steps done"</f>
      </c>
    </row>
    <row r="211" ht="27" customHeight="1" spans="1:9" s="10" customFormat="1" x14ac:dyDescent="0.25">
      <c r="A211" s="11" t="s">
        <v>1566</v>
      </c>
      <c r="B211" s="6">
        <v>3</v>
      </c>
      <c r="C211" s="19" t="s">
        <v>2809</v>
      </c>
      <c r="D211" s="11" t="s">
        <v>2806</v>
      </c>
      <c r="E211" s="11" t="s">
        <v>2810</v>
      </c>
      <c r="F211" s="6"/>
      <c r="G211" s="6" t="s">
        <v>11</v>
      </c>
      <c r="H211" s="11" t="s">
        <v>1279</v>
      </c>
      <c r="I211" s="11" t="s">
        <v>2811</v>
      </c>
    </row>
    <row r="212" ht="27" customHeight="1" spans="1:9" s="10" customFormat="1" x14ac:dyDescent="0.25">
      <c r="A212" s="11" t="s">
        <v>1295</v>
      </c>
      <c r="B212" s="6">
        <v>3</v>
      </c>
      <c r="C212" s="19" t="s">
        <v>2812</v>
      </c>
      <c r="D212" s="11" t="s">
        <v>2806</v>
      </c>
      <c r="E212" s="11" t="s">
        <v>1292</v>
      </c>
      <c r="F212" s="6"/>
      <c r="G212" s="6" t="s">
        <v>11</v>
      </c>
      <c r="H212" s="11" t="s">
        <v>1279</v>
      </c>
      <c r="I212" s="11" t="s">
        <v>2355</v>
      </c>
    </row>
    <row r="213" ht="27" customHeight="1" spans="1:12" s="10" customFormat="1" x14ac:dyDescent="0.25">
      <c r="A213" s="11" t="s">
        <v>2813</v>
      </c>
      <c r="B213" s="6">
        <v>3</v>
      </c>
      <c r="C213" s="19" t="s">
        <v>2814</v>
      </c>
      <c r="D213" s="11" t="s">
        <v>2815</v>
      </c>
      <c r="E213" s="11" t="s">
        <v>1273</v>
      </c>
      <c r="F213" s="6"/>
      <c r="G213" s="6" t="s">
        <v>14</v>
      </c>
      <c r="H213" s="11" t="s">
        <v>142</v>
      </c>
      <c r="I213" s="11" t="s">
        <v>2816</v>
      </c>
      <c r="J213" s="24" t="s">
        <v>2817</v>
      </c>
      <c r="K213" s="10" t="s">
        <v>142</v>
      </c>
      <c r="L213" s="21" t="s">
        <v>2818</v>
      </c>
    </row>
    <row r="214" ht="15" customHeight="1" spans="1:12" s="10" customFormat="1" x14ac:dyDescent="0.25">
      <c r="A214" s="11" t="s">
        <v>1612</v>
      </c>
      <c r="B214" s="6">
        <v>3</v>
      </c>
      <c r="C214" s="19" t="s">
        <v>2819</v>
      </c>
      <c r="D214" s="11" t="s">
        <v>2815</v>
      </c>
      <c r="E214" s="11" t="s">
        <v>1273</v>
      </c>
      <c r="F214" s="6"/>
      <c r="G214" s="6" t="s">
        <v>14</v>
      </c>
      <c r="H214" s="11" t="s">
        <v>2820</v>
      </c>
      <c r="I214" s="11" t="s">
        <v>2821</v>
      </c>
      <c r="J214" s="24" t="s">
        <v>2817</v>
      </c>
      <c r="K214" s="10" t="s">
        <v>142</v>
      </c>
      <c r="L214" s="21" t="s">
        <v>2822</v>
      </c>
    </row>
    <row r="215" ht="27" customHeight="1" spans="1:10" s="10" customFormat="1" x14ac:dyDescent="0.25">
      <c r="A215" s="16" t="s">
        <v>2823</v>
      </c>
      <c r="B215" s="17">
        <v>2</v>
      </c>
      <c r="C215" s="18" t="s">
        <v>2824</v>
      </c>
      <c r="D215" s="16"/>
      <c r="E215" s="16"/>
      <c r="F215" s="17">
        <f>COUNTIFS($B$216:$B$219,3,$G$216:$G$219,"COMPLETED")&amp;" / "&amp;COUNTIF($B$216:$B$219,3)</f>
      </c>
      <c r="G215" s="17">
        <f>IF(COUNTIFS($B$216:$B$219,3,$G$216:$G$219,"COMPLETED")=COUNTIF($B$216:$B$219,3),"COMPLETED",IF(COUNTIFS($B$216:$B$219,3,$G$216:$G$219,"BLOCKED")&gt;0,"BLOCKED",IF(COUNTIFS($B$216:$B$219,3,$G$216:$G$219,"YET TO START")=COUNTIF($B$216:$B$219,3),"YET TO START","IN PROGRESS")))</f>
      </c>
      <c r="H215" s="16"/>
      <c r="I215" s="16"/>
      <c r="J215" s="13">
        <f>(COUNTIFS($B$216:$B$219,3,$J$216:$J$219,"DONE")+COUNTIFS($B$216:$B$219,3,$J$216:$J$219,"DONE-SANDBOX"))&amp;" / "&amp;COUNTIFS($B$216:$B$219,3,$J$216:$J$219,"&lt;&gt;")&amp;" batch steps done"</f>
      </c>
    </row>
    <row r="216" ht="27" customHeight="1" spans="1:9" s="10" customFormat="1" x14ac:dyDescent="0.25">
      <c r="A216" s="11" t="s">
        <v>2825</v>
      </c>
      <c r="B216" s="6">
        <v>3</v>
      </c>
      <c r="C216" s="19" t="s">
        <v>2826</v>
      </c>
      <c r="D216" s="11" t="s">
        <v>2806</v>
      </c>
      <c r="E216" s="11" t="s">
        <v>1273</v>
      </c>
      <c r="F216" s="6"/>
      <c r="G216" s="6" t="s">
        <v>11</v>
      </c>
      <c r="H216" s="11" t="s">
        <v>1279</v>
      </c>
      <c r="I216" s="11" t="s">
        <v>142</v>
      </c>
    </row>
    <row r="217" ht="27" customHeight="1" spans="1:9" s="10" customFormat="1" x14ac:dyDescent="0.25">
      <c r="A217" s="11" t="s">
        <v>2827</v>
      </c>
      <c r="B217" s="6">
        <v>3</v>
      </c>
      <c r="C217" s="19" t="s">
        <v>2828</v>
      </c>
      <c r="D217" s="11" t="s">
        <v>2806</v>
      </c>
      <c r="E217" s="11" t="s">
        <v>1284</v>
      </c>
      <c r="F217" s="6"/>
      <c r="G217" s="6" t="s">
        <v>11</v>
      </c>
      <c r="H217" s="11" t="s">
        <v>1279</v>
      </c>
      <c r="I217" s="11" t="s">
        <v>142</v>
      </c>
    </row>
    <row r="218" spans="1:12" x14ac:dyDescent="0.25">
      <c r="A218" s="11" t="s">
        <v>2829</v>
      </c>
      <c r="B218" s="6">
        <v>3</v>
      </c>
      <c r="C218" s="19" t="s">
        <v>2830</v>
      </c>
      <c r="D218" s="11" t="s">
        <v>2806</v>
      </c>
      <c r="E218" s="11" t="s">
        <v>1284</v>
      </c>
      <c r="F218" s="6"/>
      <c r="G218" s="6" t="s">
        <v>14</v>
      </c>
      <c r="H218" s="11" t="s">
        <v>2831</v>
      </c>
      <c r="I218" s="11" t="s">
        <v>2832</v>
      </c>
      <c r="J218" s="25" t="s">
        <v>2778</v>
      </c>
      <c r="K218" s="10" t="s">
        <v>2367</v>
      </c>
      <c r="L218" s="21" t="s">
        <v>2833</v>
      </c>
    </row>
    <row r="219" spans="1:12" x14ac:dyDescent="0.25">
      <c r="A219" s="14" t="s">
        <v>2834</v>
      </c>
      <c r="B219" s="15">
        <v>1</v>
      </c>
      <c r="C219" s="14" t="s">
        <v>77</v>
      </c>
      <c r="D219" s="14" t="s">
        <v>2835</v>
      </c>
      <c r="E219" s="14"/>
      <c r="F219" s="15" t="str">
        <f>COUNTIFS($B$220:$B$244,3,$G$220:$G$244,"COMPLETED")&amp;" / "&amp;COUNTIF($B$220:$B$244,3)</f>
        <v>20 / 20</v>
      </c>
      <c r="G219" s="15" t="str">
        <f>IF(COUNTIFS($B$220:$B$244,3,$G$220:$G$244,"COMPLETED")=COUNTIF($B$220:$B$244,3),"COMPLETED",IF(COUNTIFS($B$220:$B$244,3,$G$220:$G$244,"BLOCKED")&gt;0,"BLOCKED",IF(COUNTIFS($B$220:$B$244,3,$G$220:$G$244,"YET TO START")=COUNTIF($B$220:$B$244,3),"YET TO START","IN PROGRESS")))</f>
        <v>COMPLETED</v>
      </c>
      <c r="H219" s="14"/>
      <c r="I219" s="14"/>
      <c r="J219" s="13"/>
      <c r="K219" s="10"/>
      <c r="L219" s="10"/>
    </row>
    <row r="220" spans="1:12" x14ac:dyDescent="0.25">
      <c r="A220" s="16" t="s">
        <v>2836</v>
      </c>
      <c r="B220" s="17">
        <v>2</v>
      </c>
      <c r="C220" s="18" t="s">
        <v>2837</v>
      </c>
      <c r="D220" s="16"/>
      <c r="E220" s="16"/>
      <c r="F220" s="17" t="str">
        <f>COUNTIFS($B$221:$B$226,3,$G$221:$G$226,"COMPLETED")&amp;" / "&amp;COUNTIF($B$221:$B$226,3)</f>
        <v>6 / 6</v>
      </c>
      <c r="G220" s="17" t="str">
        <f>IF(COUNTIFS($B$221:$B$226,3,$G$221:$G$226,"COMPLETED")=COUNTIF($B$221:$B$226,3),"COMPLETED",IF(COUNTIFS($B$221:$B$226,3,$G$221:$G$226,"BLOCKED")&gt;0,"BLOCKED",IF(COUNTIFS($B$221:$B$226,3,$G$221:$G$226,"YET TO START")=COUNTIF($B$221:$B$226,3),"YET TO START","IN PROGRESS")))</f>
        <v>COMPLETED</v>
      </c>
      <c r="H220" s="16"/>
      <c r="I220" s="16"/>
      <c r="J220" s="13"/>
      <c r="K220" s="10"/>
      <c r="L220" s="10"/>
    </row>
    <row r="221" spans="1:12" x14ac:dyDescent="0.25">
      <c r="A221" s="11" t="s">
        <v>1891</v>
      </c>
      <c r="B221" s="6">
        <v>3</v>
      </c>
      <c r="C221" s="19" t="s">
        <v>2838</v>
      </c>
      <c r="D221" s="11" t="s">
        <v>2839</v>
      </c>
      <c r="E221" s="11" t="s">
        <v>2840</v>
      </c>
      <c r="F221" s="6"/>
      <c r="G221" s="6" t="s">
        <v>11</v>
      </c>
      <c r="H221" s="11" t="s">
        <v>1894</v>
      </c>
      <c r="I221" s="11" t="s">
        <v>2841</v>
      </c>
      <c r="J221" s="10"/>
      <c r="K221" s="10"/>
      <c r="L221" s="10"/>
    </row>
    <row r="222" spans="1:12" x14ac:dyDescent="0.25">
      <c r="A222" s="11" t="s">
        <v>2842</v>
      </c>
      <c r="B222" s="6">
        <v>3</v>
      </c>
      <c r="C222" s="19" t="s">
        <v>2843</v>
      </c>
      <c r="D222" s="11" t="s">
        <v>2839</v>
      </c>
      <c r="E222" s="11" t="s">
        <v>1905</v>
      </c>
      <c r="F222" s="6"/>
      <c r="G222" s="6" t="s">
        <v>11</v>
      </c>
      <c r="H222" s="11" t="s">
        <v>1894</v>
      </c>
      <c r="I222" s="11" t="s">
        <v>2844</v>
      </c>
      <c r="J222" s="10"/>
      <c r="K222" s="10"/>
      <c r="L222" s="10"/>
    </row>
    <row r="223" spans="1:12" x14ac:dyDescent="0.25">
      <c r="A223" s="11" t="s">
        <v>1914</v>
      </c>
      <c r="B223" s="6">
        <v>3</v>
      </c>
      <c r="C223" s="19" t="s">
        <v>2845</v>
      </c>
      <c r="D223" s="11" t="s">
        <v>552</v>
      </c>
      <c r="E223" s="11" t="s">
        <v>1911</v>
      </c>
      <c r="F223" s="6"/>
      <c r="G223" s="6" t="s">
        <v>11</v>
      </c>
      <c r="H223" s="11" t="s">
        <v>1894</v>
      </c>
      <c r="I223" s="11" t="s">
        <v>2846</v>
      </c>
      <c r="J223" s="10"/>
      <c r="K223" s="10"/>
      <c r="L223" s="10"/>
    </row>
    <row r="224" spans="1:12" x14ac:dyDescent="0.25">
      <c r="A224" s="11" t="s">
        <v>2040</v>
      </c>
      <c r="B224" s="6">
        <v>3</v>
      </c>
      <c r="C224" s="19" t="s">
        <v>2847</v>
      </c>
      <c r="D224" s="11" t="s">
        <v>552</v>
      </c>
      <c r="E224" s="11" t="s">
        <v>2848</v>
      </c>
      <c r="F224" s="6"/>
      <c r="G224" s="6" t="s">
        <v>11</v>
      </c>
      <c r="H224" s="11" t="s">
        <v>2042</v>
      </c>
      <c r="I224" s="11" t="s">
        <v>2849</v>
      </c>
      <c r="J224" s="10"/>
      <c r="K224" s="10"/>
      <c r="L224" s="10"/>
    </row>
    <row r="225" spans="1:12" x14ac:dyDescent="0.25">
      <c r="A225" s="11" t="s">
        <v>1920</v>
      </c>
      <c r="B225" s="6">
        <v>3</v>
      </c>
      <c r="C225" s="19" t="s">
        <v>2850</v>
      </c>
      <c r="D225" s="11" t="s">
        <v>2839</v>
      </c>
      <c r="E225" s="11" t="s">
        <v>1917</v>
      </c>
      <c r="F225" s="6"/>
      <c r="G225" s="6" t="s">
        <v>11</v>
      </c>
      <c r="H225" s="11" t="s">
        <v>1894</v>
      </c>
      <c r="I225" s="11" t="s">
        <v>2851</v>
      </c>
      <c r="J225" s="10"/>
      <c r="K225" s="10"/>
      <c r="L225" s="10"/>
    </row>
    <row r="226" spans="1:12" x14ac:dyDescent="0.25">
      <c r="A226" s="11" t="s">
        <v>1926</v>
      </c>
      <c r="B226" s="6">
        <v>3</v>
      </c>
      <c r="C226" s="19" t="s">
        <v>2852</v>
      </c>
      <c r="D226" s="11" t="s">
        <v>2839</v>
      </c>
      <c r="E226" s="11" t="s">
        <v>1923</v>
      </c>
      <c r="F226" s="6"/>
      <c r="G226" s="6" t="s">
        <v>11</v>
      </c>
      <c r="H226" s="11" t="s">
        <v>1894</v>
      </c>
      <c r="I226" s="11" t="s">
        <v>2851</v>
      </c>
      <c r="J226" s="10"/>
      <c r="K226" s="10"/>
      <c r="L226" s="10"/>
    </row>
    <row r="227" spans="1:12" x14ac:dyDescent="0.25">
      <c r="A227" s="16" t="s">
        <v>2853</v>
      </c>
      <c r="B227" s="17">
        <v>2</v>
      </c>
      <c r="C227" s="18" t="s">
        <v>2854</v>
      </c>
      <c r="D227" s="16"/>
      <c r="E227" s="16"/>
      <c r="F227" s="17" t="str">
        <f>COUNTIFS($B$228:$B$231,3,$G$228:$G$231,"COMPLETED")&amp;" / "&amp;COUNTIF($B$228:$B$231,3)</f>
        <v>4 / 4</v>
      </c>
      <c r="G227" s="17" t="str">
        <f>IF(COUNTIFS($B$228:$B$231,3,$G$228:$G$231,"COMPLETED")=COUNTIF($B$228:$B$231,3),"COMPLETED",IF(COUNTIFS($B$228:$B$231,3,$G$228:$G$231,"BLOCKED")&gt;0,"BLOCKED",IF(COUNTIFS($B$228:$B$231,3,$G$228:$G$231,"YET TO START")=COUNTIF($B$228:$B$231,3),"YET TO START","IN PROGRESS")))</f>
        <v>COMPLETED</v>
      </c>
      <c r="H227" s="16"/>
      <c r="I227" s="16"/>
      <c r="J227" s="13"/>
      <c r="K227" s="10"/>
      <c r="L227" s="10"/>
    </row>
    <row r="228" spans="1:12" x14ac:dyDescent="0.25">
      <c r="A228" s="11" t="s">
        <v>1931</v>
      </c>
      <c r="B228" s="6">
        <v>3</v>
      </c>
      <c r="C228" s="19" t="s">
        <v>2855</v>
      </c>
      <c r="D228" s="11" t="s">
        <v>2441</v>
      </c>
      <c r="E228" s="11" t="s">
        <v>1928</v>
      </c>
      <c r="F228" s="6"/>
      <c r="G228" s="6" t="s">
        <v>11</v>
      </c>
      <c r="H228" s="11" t="s">
        <v>1894</v>
      </c>
      <c r="I228" s="11" t="s">
        <v>2851</v>
      </c>
      <c r="J228" s="10"/>
      <c r="K228" s="10"/>
      <c r="L228" s="10"/>
    </row>
    <row r="229" spans="1:12" x14ac:dyDescent="0.25">
      <c r="A229" s="11" t="s">
        <v>1937</v>
      </c>
      <c r="B229" s="6">
        <v>3</v>
      </c>
      <c r="C229" s="19" t="s">
        <v>2856</v>
      </c>
      <c r="D229" s="11" t="s">
        <v>2857</v>
      </c>
      <c r="E229" s="11" t="s">
        <v>1934</v>
      </c>
      <c r="F229" s="6"/>
      <c r="G229" s="6" t="s">
        <v>11</v>
      </c>
      <c r="H229" s="11" t="s">
        <v>1894</v>
      </c>
      <c r="I229" s="11" t="s">
        <v>2851</v>
      </c>
      <c r="J229" s="10"/>
      <c r="K229" s="10"/>
      <c r="L229" s="10"/>
    </row>
    <row r="230" spans="1:12" x14ac:dyDescent="0.25">
      <c r="A230" s="11" t="s">
        <v>1943</v>
      </c>
      <c r="B230" s="6">
        <v>3</v>
      </c>
      <c r="C230" s="19" t="s">
        <v>2858</v>
      </c>
      <c r="D230" s="11" t="s">
        <v>637</v>
      </c>
      <c r="E230" s="11" t="s">
        <v>1940</v>
      </c>
      <c r="F230" s="6"/>
      <c r="G230" s="6" t="s">
        <v>11</v>
      </c>
      <c r="H230" s="11" t="s">
        <v>1894</v>
      </c>
      <c r="I230" s="11" t="s">
        <v>2859</v>
      </c>
      <c r="J230" s="10"/>
      <c r="K230" s="10"/>
      <c r="L230" s="10"/>
    </row>
    <row r="231" spans="1:12" x14ac:dyDescent="0.25">
      <c r="A231" s="11" t="s">
        <v>1949</v>
      </c>
      <c r="B231" s="6">
        <v>3</v>
      </c>
      <c r="C231" s="19" t="s">
        <v>2860</v>
      </c>
      <c r="D231" s="11" t="s">
        <v>2835</v>
      </c>
      <c r="E231" s="11" t="s">
        <v>1946</v>
      </c>
      <c r="F231" s="6"/>
      <c r="G231" s="6" t="s">
        <v>11</v>
      </c>
      <c r="H231" s="11" t="s">
        <v>1894</v>
      </c>
      <c r="I231" s="11" t="s">
        <v>2851</v>
      </c>
      <c r="J231" s="10"/>
      <c r="K231" s="10"/>
      <c r="L231" s="10"/>
    </row>
    <row r="232" spans="1:12" x14ac:dyDescent="0.25">
      <c r="A232" s="16" t="s">
        <v>2861</v>
      </c>
      <c r="B232" s="17">
        <v>2</v>
      </c>
      <c r="C232" s="18" t="s">
        <v>2862</v>
      </c>
      <c r="D232" s="16"/>
      <c r="E232" s="16"/>
      <c r="F232" s="17" t="str">
        <f>COUNTIFS($B$233:$B$237,3,$G$233:$G$237,"COMPLETED")&amp;" / "&amp;COUNTIF($B$233:$B$237,3)</f>
        <v>5 / 5</v>
      </c>
      <c r="G232" s="17" t="str">
        <f>IF(COUNTIFS($B$233:$B$237,3,$G$233:$G$237,"COMPLETED")=COUNTIF($B$233:$B$237,3),"COMPLETED",IF(COUNTIFS($B$233:$B$237,3,$G$233:$G$237,"BLOCKED")&gt;0,"BLOCKED",IF(COUNTIFS($B$233:$B$237,3,$G$233:$G$237,"YET TO START")=COUNTIF($B$233:$B$237,3),"YET TO START","IN PROGRESS")))</f>
        <v>COMPLETED</v>
      </c>
      <c r="H232" s="16"/>
      <c r="I232" s="16"/>
      <c r="J232" s="13"/>
      <c r="K232" s="10"/>
      <c r="L232" s="10"/>
    </row>
    <row r="233" spans="1:12" x14ac:dyDescent="0.25">
      <c r="A233" s="11" t="s">
        <v>1962</v>
      </c>
      <c r="B233" s="6">
        <v>3</v>
      </c>
      <c r="C233" s="19" t="s">
        <v>2863</v>
      </c>
      <c r="D233" s="11" t="s">
        <v>552</v>
      </c>
      <c r="E233" s="11" t="s">
        <v>2864</v>
      </c>
      <c r="F233" s="6"/>
      <c r="G233" s="6" t="s">
        <v>11</v>
      </c>
      <c r="H233" s="11" t="s">
        <v>2865</v>
      </c>
      <c r="I233" s="11" t="s">
        <v>2866</v>
      </c>
      <c r="J233" s="10"/>
      <c r="K233" s="10"/>
      <c r="L233" s="10"/>
    </row>
    <row r="234" spans="1:12" x14ac:dyDescent="0.25">
      <c r="A234" s="11" t="s">
        <v>1987</v>
      </c>
      <c r="B234" s="6">
        <v>3</v>
      </c>
      <c r="C234" s="19" t="s">
        <v>2867</v>
      </c>
      <c r="D234" s="11" t="s">
        <v>552</v>
      </c>
      <c r="E234" s="11" t="s">
        <v>1984</v>
      </c>
      <c r="F234" s="6"/>
      <c r="G234" s="6" t="s">
        <v>11</v>
      </c>
      <c r="H234" s="11" t="s">
        <v>1989</v>
      </c>
      <c r="I234" s="11" t="s">
        <v>2868</v>
      </c>
      <c r="J234" s="10"/>
      <c r="K234" s="10"/>
      <c r="L234" s="10"/>
    </row>
    <row r="235" spans="1:12" x14ac:dyDescent="0.25">
      <c r="A235" s="11" t="s">
        <v>1974</v>
      </c>
      <c r="B235" s="6">
        <v>3</v>
      </c>
      <c r="C235" s="19" t="s">
        <v>2869</v>
      </c>
      <c r="D235" s="11" t="s">
        <v>637</v>
      </c>
      <c r="E235" s="11" t="s">
        <v>1971</v>
      </c>
      <c r="F235" s="6"/>
      <c r="G235" s="6" t="s">
        <v>11</v>
      </c>
      <c r="H235" s="11" t="s">
        <v>1894</v>
      </c>
      <c r="I235" s="11" t="s">
        <v>2870</v>
      </c>
      <c r="J235" s="10"/>
      <c r="K235" s="10"/>
      <c r="L235" s="10"/>
    </row>
    <row r="236" spans="1:12" x14ac:dyDescent="0.25">
      <c r="A236" s="11" t="s">
        <v>1968</v>
      </c>
      <c r="B236" s="6">
        <v>3</v>
      </c>
      <c r="C236" s="19" t="s">
        <v>2871</v>
      </c>
      <c r="D236" s="11" t="s">
        <v>2872</v>
      </c>
      <c r="E236" s="11" t="s">
        <v>2873</v>
      </c>
      <c r="F236" s="6"/>
      <c r="G236" s="6" t="s">
        <v>11</v>
      </c>
      <c r="H236" s="11" t="s">
        <v>2874</v>
      </c>
      <c r="I236" s="11" t="s">
        <v>2875</v>
      </c>
      <c r="J236" s="10"/>
      <c r="K236" s="10"/>
      <c r="L236" s="10"/>
    </row>
    <row r="237" spans="1:12" x14ac:dyDescent="0.25">
      <c r="A237" s="11" t="s">
        <v>1980</v>
      </c>
      <c r="B237" s="6">
        <v>3</v>
      </c>
      <c r="C237" s="19" t="s">
        <v>2876</v>
      </c>
      <c r="D237" s="11" t="s">
        <v>2872</v>
      </c>
      <c r="E237" s="11" t="s">
        <v>1977</v>
      </c>
      <c r="F237" s="6"/>
      <c r="G237" s="6" t="s">
        <v>11</v>
      </c>
      <c r="H237" s="11" t="s">
        <v>1982</v>
      </c>
      <c r="I237" s="11" t="s">
        <v>2877</v>
      </c>
      <c r="J237" s="10"/>
      <c r="K237" s="10"/>
      <c r="L237" s="10"/>
    </row>
    <row r="238" spans="1:12" x14ac:dyDescent="0.25">
      <c r="A238" s="16" t="s">
        <v>2878</v>
      </c>
      <c r="B238" s="17">
        <v>2</v>
      </c>
      <c r="C238" s="18" t="s">
        <v>2879</v>
      </c>
      <c r="D238" s="16"/>
      <c r="E238" s="16"/>
      <c r="F238" s="17" t="str">
        <f>COUNTIFS($B$239:$B$241,3,$G$239:$G$241,"COMPLETED")&amp;" / "&amp;COUNTIF($B$239:$B$241,3)</f>
        <v>3 / 3</v>
      </c>
      <c r="G238" s="17" t="str">
        <f>IF(COUNTIFS($B$239:$B$241,3,$G$239:$G$241,"COMPLETED")=COUNTIF($B$239:$B$241,3),"COMPLETED",IF(COUNTIFS($B$239:$B$241,3,$G$239:$G$241,"BLOCKED")&gt;0,"BLOCKED",IF(COUNTIFS($B$239:$B$241,3,$G$239:$G$241,"YET TO START")=COUNTIF($B$239:$B$241,3),"YET TO START","IN PROGRESS")))</f>
        <v>COMPLETED</v>
      </c>
      <c r="H238" s="16"/>
      <c r="I238" s="16"/>
      <c r="J238" s="13"/>
      <c r="K238" s="10"/>
      <c r="L238" s="10"/>
    </row>
    <row r="239" spans="1:12" x14ac:dyDescent="0.25">
      <c r="A239" s="11" t="s">
        <v>1999</v>
      </c>
      <c r="B239" s="6">
        <v>3</v>
      </c>
      <c r="C239" s="19" t="s">
        <v>2880</v>
      </c>
      <c r="D239" s="11" t="s">
        <v>2839</v>
      </c>
      <c r="E239" s="11" t="s">
        <v>1996</v>
      </c>
      <c r="F239" s="6"/>
      <c r="G239" s="6" t="s">
        <v>11</v>
      </c>
      <c r="H239" s="11" t="s">
        <v>1894</v>
      </c>
      <c r="I239" s="11" t="s">
        <v>2851</v>
      </c>
      <c r="J239" s="10"/>
      <c r="K239" s="10"/>
      <c r="L239" s="10"/>
    </row>
    <row r="240" spans="1:12" x14ac:dyDescent="0.25">
      <c r="A240" s="11" t="s">
        <v>2012</v>
      </c>
      <c r="B240" s="6">
        <v>3</v>
      </c>
      <c r="C240" s="19" t="s">
        <v>2881</v>
      </c>
      <c r="D240" s="11" t="s">
        <v>552</v>
      </c>
      <c r="E240" s="11" t="s">
        <v>2009</v>
      </c>
      <c r="F240" s="6"/>
      <c r="G240" s="6" t="s">
        <v>11</v>
      </c>
      <c r="H240" s="11" t="s">
        <v>1894</v>
      </c>
      <c r="I240" s="11" t="s">
        <v>2851</v>
      </c>
      <c r="J240" s="10"/>
      <c r="K240" s="10"/>
      <c r="L240" s="10"/>
    </row>
    <row r="241" spans="1:12" x14ac:dyDescent="0.25">
      <c r="A241" s="11" t="s">
        <v>2018</v>
      </c>
      <c r="B241" s="6">
        <v>3</v>
      </c>
      <c r="C241" s="19" t="s">
        <v>2882</v>
      </c>
      <c r="D241" s="11" t="s">
        <v>552</v>
      </c>
      <c r="E241" s="11" t="s">
        <v>2883</v>
      </c>
      <c r="F241" s="6"/>
      <c r="G241" s="6" t="s">
        <v>11</v>
      </c>
      <c r="H241" s="11" t="s">
        <v>1894</v>
      </c>
      <c r="I241" s="11" t="s">
        <v>2851</v>
      </c>
      <c r="J241" s="10"/>
      <c r="K241" s="10"/>
      <c r="L241" s="10"/>
    </row>
    <row r="242" spans="1:12" x14ac:dyDescent="0.25">
      <c r="A242" s="16" t="s">
        <v>2884</v>
      </c>
      <c r="B242" s="17">
        <v>2</v>
      </c>
      <c r="C242" s="18" t="s">
        <v>2885</v>
      </c>
      <c r="D242" s="16"/>
      <c r="E242" s="16"/>
      <c r="F242" s="17" t="str">
        <f>COUNTIFS($B$243:$B$244,3,$G$243:$G$244,"COMPLETED")&amp;" / "&amp;COUNTIF($B$243:$B$244,3)</f>
        <v>2 / 2</v>
      </c>
      <c r="G242" s="17" t="str">
        <f>IF(COUNTIFS($B$243:$B$244,3,$G$243:$G$244,"COMPLETED")=COUNTIF($B$243:$B$244,3),"COMPLETED",IF(COUNTIFS($B$243:$B$244,3,$G$243:$G$244,"BLOCKED")&gt;0,"BLOCKED",IF(COUNTIFS($B$243:$B$244,3,$G$243:$G$244,"YET TO START")=COUNTIF($B$243:$B$244,3),"YET TO START","IN PROGRESS")))</f>
        <v>COMPLETED</v>
      </c>
      <c r="H242" s="16"/>
      <c r="I242" s="16"/>
      <c r="J242" s="13"/>
      <c r="K242" s="10"/>
      <c r="L242" s="10"/>
    </row>
    <row r="243" spans="1:12" x14ac:dyDescent="0.25">
      <c r="A243" s="11" t="s">
        <v>2886</v>
      </c>
      <c r="B243" s="6">
        <v>3</v>
      </c>
      <c r="C243" s="19" t="s">
        <v>2887</v>
      </c>
      <c r="D243" s="11" t="s">
        <v>2441</v>
      </c>
      <c r="E243" s="11" t="s">
        <v>2002</v>
      </c>
      <c r="F243" s="6"/>
      <c r="G243" s="6" t="s">
        <v>11</v>
      </c>
      <c r="H243" s="11" t="s">
        <v>1894</v>
      </c>
      <c r="I243" s="11" t="s">
        <v>2888</v>
      </c>
      <c r="J243" s="10"/>
      <c r="K243" s="10"/>
      <c r="L243" s="10"/>
    </row>
    <row r="244" spans="1:12" x14ac:dyDescent="0.25">
      <c r="A244" s="11" t="s">
        <v>2889</v>
      </c>
      <c r="B244" s="6">
        <v>3</v>
      </c>
      <c r="C244" s="19" t="s">
        <v>2890</v>
      </c>
      <c r="D244" s="11" t="s">
        <v>2891</v>
      </c>
      <c r="E244" s="11" t="s">
        <v>2002</v>
      </c>
      <c r="F244" s="6"/>
      <c r="G244" s="6" t="s">
        <v>11</v>
      </c>
      <c r="H244" s="11" t="s">
        <v>1894</v>
      </c>
      <c r="I244" s="11" t="s">
        <v>2851</v>
      </c>
      <c r="J244" s="10"/>
      <c r="K244" s="10"/>
      <c r="L244" s="10"/>
    </row>
    <row r="245" spans="1:12" x14ac:dyDescent="0.25">
      <c r="A245" s="14" t="s">
        <v>2892</v>
      </c>
      <c r="B245" s="15">
        <v>1</v>
      </c>
      <c r="C245" s="14" t="s">
        <v>78</v>
      </c>
      <c r="D245" s="14" t="s">
        <v>2891</v>
      </c>
      <c r="E245" s="14"/>
      <c r="F245" s="15" t="str">
        <f>COUNTIFS($B$246:$B$265,3,$G$246:$G$265,"COMPLETED")&amp;" / "&amp;COUNTIF($B$246:$B$265,3)</f>
        <v>16 / 16</v>
      </c>
      <c r="G245" s="15" t="str">
        <f>IF(COUNTIFS($B$246:$B$265,3,$G$246:$G$265,"COMPLETED")=COUNTIF($B$246:$B$265,3),"COMPLETED",IF(COUNTIFS($B$246:$B$265,3,$G$246:$G$265,"BLOCKED")&gt;0,"BLOCKED",IF(COUNTIFS($B$246:$B$265,3,$G$246:$G$265,"YET TO START")=COUNTIF($B$246:$B$265,3),"YET TO START","IN PROGRESS")))</f>
        <v>COMPLETED</v>
      </c>
      <c r="H245" s="14"/>
      <c r="I245" s="14"/>
      <c r="J245" s="13"/>
      <c r="K245" s="10"/>
      <c r="L245" s="10"/>
    </row>
    <row r="246" spans="1:12" x14ac:dyDescent="0.25">
      <c r="A246" s="16" t="s">
        <v>2893</v>
      </c>
      <c r="B246" s="17">
        <v>2</v>
      </c>
      <c r="C246" s="18" t="s">
        <v>2894</v>
      </c>
      <c r="D246" s="16"/>
      <c r="E246" s="16"/>
      <c r="F246" s="17" t="str">
        <f>COUNTIFS($B$247:$B$251,3,$G$247:$G$251,"COMPLETED")&amp;" / "&amp;COUNTIF($B$247:$B$251,3)</f>
        <v>5 / 5</v>
      </c>
      <c r="G246" s="17" t="str">
        <f>IF(COUNTIFS($B$247:$B$251,3,$G$247:$G$251,"COMPLETED")=COUNTIF($B$247:$B$251,3),"COMPLETED",IF(COUNTIFS($B$247:$B$251,3,$G$247:$G$251,"BLOCKED")&gt;0,"BLOCKED",IF(COUNTIFS($B$247:$B$251,3,$G$247:$G$251,"YET TO START")=COUNTIF($B$247:$B$251,3),"YET TO START","IN PROGRESS")))</f>
        <v>COMPLETED</v>
      </c>
      <c r="H246" s="16"/>
      <c r="I246" s="16"/>
      <c r="J246" s="13"/>
      <c r="K246" s="10"/>
      <c r="L246" s="10"/>
    </row>
    <row r="247" spans="1:12" x14ac:dyDescent="0.25">
      <c r="A247" s="11" t="s">
        <v>2078</v>
      </c>
      <c r="B247" s="6">
        <v>3</v>
      </c>
      <c r="C247" s="19" t="s">
        <v>2895</v>
      </c>
      <c r="D247" s="11" t="s">
        <v>2441</v>
      </c>
      <c r="E247" s="11" t="s">
        <v>2896</v>
      </c>
      <c r="F247" s="6"/>
      <c r="G247" s="6" t="s">
        <v>11</v>
      </c>
      <c r="H247" s="11" t="s">
        <v>2897</v>
      </c>
      <c r="I247" s="11" t="s">
        <v>2898</v>
      </c>
      <c r="J247" s="10"/>
      <c r="K247" s="10"/>
      <c r="L247" s="10"/>
    </row>
    <row r="248" spans="1:12" x14ac:dyDescent="0.25">
      <c r="A248" s="11" t="s">
        <v>2155</v>
      </c>
      <c r="B248" s="6">
        <v>3</v>
      </c>
      <c r="C248" s="19" t="s">
        <v>2899</v>
      </c>
      <c r="D248" s="11" t="s">
        <v>2441</v>
      </c>
      <c r="E248" s="11" t="s">
        <v>2152</v>
      </c>
      <c r="F248" s="6"/>
      <c r="G248" s="6" t="s">
        <v>11</v>
      </c>
      <c r="H248" s="11" t="s">
        <v>1894</v>
      </c>
      <c r="I248" s="11" t="s">
        <v>2900</v>
      </c>
      <c r="J248" s="10"/>
      <c r="K248" s="10"/>
      <c r="L248" s="10"/>
    </row>
    <row r="249" spans="1:12" x14ac:dyDescent="0.25">
      <c r="A249" s="11" t="s">
        <v>2162</v>
      </c>
      <c r="B249" s="6">
        <v>3</v>
      </c>
      <c r="C249" s="19" t="s">
        <v>2901</v>
      </c>
      <c r="D249" s="11" t="s">
        <v>2441</v>
      </c>
      <c r="E249" s="11" t="s">
        <v>2159</v>
      </c>
      <c r="F249" s="6"/>
      <c r="G249" s="6" t="s">
        <v>11</v>
      </c>
      <c r="H249" s="11" t="s">
        <v>2150</v>
      </c>
      <c r="I249" s="11" t="s">
        <v>2902</v>
      </c>
      <c r="J249" s="10"/>
      <c r="K249" s="10"/>
      <c r="L249" s="10"/>
    </row>
    <row r="250" spans="1:12" x14ac:dyDescent="0.25">
      <c r="A250" s="11" t="s">
        <v>2169</v>
      </c>
      <c r="B250" s="6">
        <v>3</v>
      </c>
      <c r="C250" s="19" t="s">
        <v>2903</v>
      </c>
      <c r="D250" s="11" t="s">
        <v>637</v>
      </c>
      <c r="E250" s="11" t="s">
        <v>2166</v>
      </c>
      <c r="F250" s="6"/>
      <c r="G250" s="6" t="s">
        <v>11</v>
      </c>
      <c r="H250" s="11" t="s">
        <v>2172</v>
      </c>
      <c r="I250" s="11" t="s">
        <v>2904</v>
      </c>
      <c r="J250" s="10"/>
      <c r="K250" s="10"/>
      <c r="L250" s="10"/>
    </row>
    <row r="251" spans="1:12" x14ac:dyDescent="0.25">
      <c r="A251" s="11" t="s">
        <v>2072</v>
      </c>
      <c r="B251" s="6">
        <v>3</v>
      </c>
      <c r="C251" s="19" t="s">
        <v>2905</v>
      </c>
      <c r="D251" s="11" t="s">
        <v>2441</v>
      </c>
      <c r="E251" s="11" t="s">
        <v>2069</v>
      </c>
      <c r="F251" s="6"/>
      <c r="G251" s="6" t="s">
        <v>11</v>
      </c>
      <c r="H251" s="11" t="s">
        <v>1894</v>
      </c>
      <c r="I251" s="11" t="s">
        <v>2851</v>
      </c>
      <c r="J251" s="10"/>
      <c r="K251" s="10"/>
      <c r="L251" s="10"/>
    </row>
    <row r="252" spans="1:12" x14ac:dyDescent="0.25">
      <c r="A252" s="16" t="s">
        <v>2906</v>
      </c>
      <c r="B252" s="17">
        <v>2</v>
      </c>
      <c r="C252" s="18" t="s">
        <v>2907</v>
      </c>
      <c r="D252" s="16"/>
      <c r="E252" s="16"/>
      <c r="F252" s="17" t="str">
        <f>COUNTIFS($B$253:$B$256,3,$G$253:$G$256,"COMPLETED")&amp;" / "&amp;COUNTIF($B$253:$B$256,3)</f>
        <v>4 / 4</v>
      </c>
      <c r="G252" s="17" t="str">
        <f>IF(COUNTIFS($B$253:$B$256,3,$G$253:$G$256,"COMPLETED")=COUNTIF($B$253:$B$256,3),"COMPLETED",IF(COUNTIFS($B$253:$B$256,3,$G$253:$G$256,"BLOCKED")&gt;0,"BLOCKED",IF(COUNTIFS($B$253:$B$256,3,$G$253:$G$256,"YET TO START")=COUNTIF($B$253:$B$256,3),"YET TO START","IN PROGRESS")))</f>
        <v>COMPLETED</v>
      </c>
      <c r="H252" s="16"/>
      <c r="I252" s="16"/>
      <c r="J252" s="13"/>
      <c r="K252" s="10"/>
      <c r="L252" s="10"/>
    </row>
    <row r="253" spans="1:12" x14ac:dyDescent="0.25">
      <c r="A253" s="11" t="s">
        <v>2148</v>
      </c>
      <c r="B253" s="6">
        <v>3</v>
      </c>
      <c r="C253" s="19" t="s">
        <v>2908</v>
      </c>
      <c r="D253" s="11" t="s">
        <v>2441</v>
      </c>
      <c r="E253" s="11" t="s">
        <v>2145</v>
      </c>
      <c r="F253" s="6"/>
      <c r="G253" s="6" t="s">
        <v>11</v>
      </c>
      <c r="H253" s="11" t="s">
        <v>2150</v>
      </c>
      <c r="I253" s="11" t="s">
        <v>2909</v>
      </c>
      <c r="J253" s="10"/>
      <c r="K253" s="10"/>
      <c r="L253" s="10"/>
    </row>
    <row r="254" spans="1:12" x14ac:dyDescent="0.25">
      <c r="A254" s="11" t="s">
        <v>2910</v>
      </c>
      <c r="B254" s="6">
        <v>3</v>
      </c>
      <c r="C254" s="19" t="s">
        <v>2911</v>
      </c>
      <c r="D254" s="11" t="s">
        <v>2441</v>
      </c>
      <c r="E254" s="11" t="s">
        <v>2174</v>
      </c>
      <c r="F254" s="6"/>
      <c r="G254" s="6" t="s">
        <v>11</v>
      </c>
      <c r="H254" s="11" t="s">
        <v>2042</v>
      </c>
      <c r="I254" s="11" t="s">
        <v>2912</v>
      </c>
      <c r="J254" s="10"/>
      <c r="K254" s="10"/>
      <c r="L254" s="10"/>
    </row>
    <row r="255" spans="1:12" x14ac:dyDescent="0.25">
      <c r="A255" s="11" t="s">
        <v>2913</v>
      </c>
      <c r="B255" s="6">
        <v>3</v>
      </c>
      <c r="C255" s="19" t="s">
        <v>2914</v>
      </c>
      <c r="D255" s="11" t="s">
        <v>637</v>
      </c>
      <c r="E255" s="11" t="s">
        <v>2174</v>
      </c>
      <c r="F255" s="6"/>
      <c r="G255" s="6" t="s">
        <v>11</v>
      </c>
      <c r="H255" s="11" t="s">
        <v>2180</v>
      </c>
      <c r="I255" s="11" t="s">
        <v>2915</v>
      </c>
      <c r="J255" s="10"/>
      <c r="K255" s="10"/>
      <c r="L255" s="10"/>
    </row>
    <row r="256" spans="1:12" x14ac:dyDescent="0.25">
      <c r="A256" s="11" t="s">
        <v>2057</v>
      </c>
      <c r="B256" s="6">
        <v>3</v>
      </c>
      <c r="C256" s="19" t="s">
        <v>2916</v>
      </c>
      <c r="D256" s="11" t="s">
        <v>2917</v>
      </c>
      <c r="E256" s="11" t="s">
        <v>2918</v>
      </c>
      <c r="F256" s="6"/>
      <c r="G256" s="6" t="s">
        <v>11</v>
      </c>
      <c r="H256" s="11" t="s">
        <v>2172</v>
      </c>
      <c r="I256" s="11" t="s">
        <v>2919</v>
      </c>
      <c r="J256" s="10"/>
      <c r="K256" s="10"/>
      <c r="L256" s="10"/>
    </row>
    <row r="257" spans="1:12" x14ac:dyDescent="0.25">
      <c r="A257" s="16" t="s">
        <v>2920</v>
      </c>
      <c r="B257" s="17">
        <v>2</v>
      </c>
      <c r="C257" s="18" t="s">
        <v>2921</v>
      </c>
      <c r="D257" s="16"/>
      <c r="E257" s="16"/>
      <c r="F257" s="17" t="str">
        <f>COUNTIFS($B$258:$B$260,3,$G$258:$G$260,"COMPLETED")&amp;" / "&amp;COUNTIF($B$258:$B$260,3)</f>
        <v>3 / 3</v>
      </c>
      <c r="G257" s="17" t="str">
        <f>IF(COUNTIFS($B$258:$B$260,3,$G$258:$G$260,"COMPLETED")=COUNTIF($B$258:$B$260,3),"COMPLETED",IF(COUNTIFS($B$258:$B$260,3,$G$258:$G$260,"BLOCKED")&gt;0,"BLOCKED",IF(COUNTIFS($B$258:$B$260,3,$G$258:$G$260,"YET TO START")=COUNTIF($B$258:$B$260,3),"YET TO START","IN PROGRESS")))</f>
        <v>COMPLETED</v>
      </c>
      <c r="H257" s="16"/>
      <c r="I257" s="16"/>
      <c r="J257" s="13"/>
      <c r="K257" s="10"/>
      <c r="L257" s="10"/>
    </row>
    <row r="258" spans="1:12" x14ac:dyDescent="0.25">
      <c r="A258" s="11" t="s">
        <v>1902</v>
      </c>
      <c r="B258" s="6">
        <v>3</v>
      </c>
      <c r="C258" s="19" t="s">
        <v>2922</v>
      </c>
      <c r="D258" s="11" t="s">
        <v>2923</v>
      </c>
      <c r="E258" s="11" t="s">
        <v>2924</v>
      </c>
      <c r="F258" s="6"/>
      <c r="G258" s="6" t="s">
        <v>11</v>
      </c>
      <c r="H258" s="11" t="s">
        <v>1894</v>
      </c>
      <c r="I258" s="11" t="s">
        <v>2851</v>
      </c>
      <c r="J258" s="10"/>
      <c r="K258" s="10"/>
      <c r="L258" s="10"/>
    </row>
    <row r="259" spans="1:12" x14ac:dyDescent="0.25">
      <c r="A259" s="11" t="s">
        <v>2925</v>
      </c>
      <c r="B259" s="6">
        <v>3</v>
      </c>
      <c r="C259" s="19" t="s">
        <v>2926</v>
      </c>
      <c r="D259" s="11" t="s">
        <v>2923</v>
      </c>
      <c r="E259" s="11" t="s">
        <v>2062</v>
      </c>
      <c r="F259" s="6"/>
      <c r="G259" s="6" t="s">
        <v>11</v>
      </c>
      <c r="H259" s="11" t="s">
        <v>1894</v>
      </c>
      <c r="I259" s="11" t="s">
        <v>2851</v>
      </c>
      <c r="J259" s="10"/>
      <c r="K259" s="10"/>
      <c r="L259" s="10"/>
    </row>
    <row r="260" spans="1:12" x14ac:dyDescent="0.25">
      <c r="A260" s="11" t="s">
        <v>2927</v>
      </c>
      <c r="B260" s="6">
        <v>3</v>
      </c>
      <c r="C260" s="19" t="s">
        <v>2928</v>
      </c>
      <c r="D260" s="11" t="s">
        <v>2891</v>
      </c>
      <c r="E260" s="11" t="s">
        <v>2929</v>
      </c>
      <c r="F260" s="6"/>
      <c r="G260" s="6" t="s">
        <v>11</v>
      </c>
      <c r="H260" s="11" t="s">
        <v>1894</v>
      </c>
      <c r="I260" s="11" t="s">
        <v>2851</v>
      </c>
      <c r="J260" s="10"/>
      <c r="K260" s="10"/>
      <c r="L260" s="10"/>
    </row>
    <row r="261" spans="1:12" x14ac:dyDescent="0.25">
      <c r="A261" s="16" t="s">
        <v>2930</v>
      </c>
      <c r="B261" s="17">
        <v>2</v>
      </c>
      <c r="C261" s="18" t="s">
        <v>2931</v>
      </c>
      <c r="D261" s="16"/>
      <c r="E261" s="16"/>
      <c r="F261" s="17" t="str">
        <f>COUNTIFS($B$262:$B$265,3,$G$262:$G$265,"COMPLETED")&amp;" / "&amp;COUNTIF($B$262:$B$265,3)</f>
        <v>4 / 4</v>
      </c>
      <c r="G261" s="17" t="str">
        <f>IF(COUNTIFS($B$262:$B$265,3,$G$262:$G$265,"COMPLETED")=COUNTIF($B$262:$B$265,3),"COMPLETED",IF(COUNTIFS($B$262:$B$265,3,$G$262:$G$265,"BLOCKED")&gt;0,"BLOCKED",IF(COUNTIFS($B$262:$B$265,3,$G$262:$G$265,"YET TO START")=COUNTIF($B$262:$B$265,3),"YET TO START","IN PROGRESS")))</f>
        <v>COMPLETED</v>
      </c>
      <c r="H261" s="16"/>
      <c r="I261" s="16"/>
      <c r="J261" s="13"/>
      <c r="K261" s="10"/>
      <c r="L261" s="10"/>
    </row>
    <row r="262" spans="1:12" x14ac:dyDescent="0.25">
      <c r="A262" s="11" t="s">
        <v>2932</v>
      </c>
      <c r="B262" s="6">
        <v>3</v>
      </c>
      <c r="C262" s="19" t="s">
        <v>2933</v>
      </c>
      <c r="D262" s="11" t="s">
        <v>637</v>
      </c>
      <c r="E262" s="11" t="s">
        <v>1951</v>
      </c>
      <c r="F262" s="6"/>
      <c r="G262" s="6" t="s">
        <v>11</v>
      </c>
      <c r="H262" s="11" t="s">
        <v>1894</v>
      </c>
      <c r="I262" s="11" t="s">
        <v>2934</v>
      </c>
      <c r="J262" s="10"/>
      <c r="K262" s="10"/>
      <c r="L262" s="10"/>
    </row>
    <row r="263" spans="1:12" x14ac:dyDescent="0.25">
      <c r="A263" s="11" t="s">
        <v>2935</v>
      </c>
      <c r="B263" s="6">
        <v>3</v>
      </c>
      <c r="C263" s="19" t="s">
        <v>2936</v>
      </c>
      <c r="D263" s="11" t="s">
        <v>2937</v>
      </c>
      <c r="E263" s="11" t="s">
        <v>2938</v>
      </c>
      <c r="F263" s="6"/>
      <c r="G263" s="6" t="s">
        <v>11</v>
      </c>
      <c r="H263" s="11" t="s">
        <v>2939</v>
      </c>
      <c r="I263" s="11" t="s">
        <v>2940</v>
      </c>
      <c r="J263" s="10"/>
      <c r="K263" s="10"/>
      <c r="L263" s="10"/>
    </row>
    <row r="264" spans="1:12" x14ac:dyDescent="0.25">
      <c r="A264" s="11" t="s">
        <v>2131</v>
      </c>
      <c r="B264" s="6">
        <v>3</v>
      </c>
      <c r="C264" s="19" t="s">
        <v>2941</v>
      </c>
      <c r="D264" s="11" t="s">
        <v>637</v>
      </c>
      <c r="E264" s="11" t="s">
        <v>2128</v>
      </c>
      <c r="F264" s="6"/>
      <c r="G264" s="6" t="s">
        <v>11</v>
      </c>
      <c r="H264" s="11" t="s">
        <v>1894</v>
      </c>
      <c r="I264" s="11" t="s">
        <v>2851</v>
      </c>
      <c r="J264" s="10"/>
      <c r="K264" s="10"/>
      <c r="L264" s="10"/>
    </row>
    <row r="265" spans="1:12" x14ac:dyDescent="0.25">
      <c r="A265" s="11" t="s">
        <v>2942</v>
      </c>
      <c r="B265" s="6">
        <v>3</v>
      </c>
      <c r="C265" s="19" t="s">
        <v>2943</v>
      </c>
      <c r="D265" s="11" t="s">
        <v>637</v>
      </c>
      <c r="E265" s="11" t="s">
        <v>1951</v>
      </c>
      <c r="F265" s="6"/>
      <c r="G265" s="6" t="s">
        <v>11</v>
      </c>
      <c r="H265" s="11" t="s">
        <v>1894</v>
      </c>
      <c r="I265" s="11" t="s">
        <v>2851</v>
      </c>
      <c r="J265" s="10"/>
      <c r="K265" s="10"/>
      <c r="L265" s="10"/>
    </row>
    <row r="266" spans="1:12" x14ac:dyDescent="0.25">
      <c r="A266" s="14" t="s">
        <v>2944</v>
      </c>
      <c r="B266" s="15">
        <v>1</v>
      </c>
      <c r="C266" s="14" t="s">
        <v>79</v>
      </c>
      <c r="D266" s="14" t="s">
        <v>2945</v>
      </c>
      <c r="E266" s="14"/>
      <c r="F266" s="15" t="str">
        <f>COUNTIFS($B$267:$B$280,3,$G$267:$G$280,"COMPLETED")&amp;" / "&amp;COUNTIF($B$267:$B$280,3)</f>
        <v>5 / 11</v>
      </c>
      <c r="G266" s="15" t="str">
        <f>IF(COUNTIFS($B$267:$B$280,3,$G$267:$G$280,"COMPLETED")=COUNTIF($B$267:$B$280,3),"COMPLETED",IF(COUNTIFS($B$267:$B$280,3,$G$267:$G$280,"BLOCKED")&gt;0,"BLOCKED",IF(COUNTIFS($B$267:$B$280,3,$G$267:$G$280,"YET TO START")=COUNTIF($B$267:$B$280,3),"YET TO START","IN PROGRESS")))</f>
        <v>BLOCKED</v>
      </c>
      <c r="H266" s="14"/>
      <c r="I266" s="14"/>
      <c r="J266" s="13"/>
      <c r="K266" s="10"/>
      <c r="L266" s="10"/>
    </row>
    <row r="267" spans="1:12" x14ac:dyDescent="0.25">
      <c r="A267" s="16" t="s">
        <v>2946</v>
      </c>
      <c r="B267" s="17">
        <v>2</v>
      </c>
      <c r="C267" s="18" t="s">
        <v>2947</v>
      </c>
      <c r="D267" s="16"/>
      <c r="E267" s="16"/>
      <c r="F267" s="17" t="str">
        <f>COUNTIFS($B$268:$B$270,3,$G$268:$G$270,"COMPLETED")&amp;" / "&amp;COUNTIF($B$268:$B$270,3)</f>
        <v>1 / 3</v>
      </c>
      <c r="G267" s="17" t="str">
        <f>IF(COUNTIFS($B$268:$B$270,3,$G$268:$G$270,"COMPLETED")=COUNTIF($B$268:$B$270,3),"COMPLETED",IF(COUNTIFS($B$268:$B$270,3,$G$268:$G$270,"BLOCKED")&gt;0,"BLOCKED",IF(COUNTIFS($B$268:$B$270,3,$G$268:$G$270,"YET TO START")=COUNTIF($B$268:$B$270,3),"YET TO START","IN PROGRESS")))</f>
        <v>BLOCKED</v>
      </c>
      <c r="H267" s="16"/>
      <c r="I267" s="16"/>
      <c r="J267" s="13"/>
      <c r="K267" s="10"/>
      <c r="L267" s="10"/>
    </row>
    <row r="268" spans="1:12" x14ac:dyDescent="0.25">
      <c r="A268" s="11" t="s">
        <v>2948</v>
      </c>
      <c r="B268" s="6">
        <v>3</v>
      </c>
      <c r="C268" s="19" t="s">
        <v>2949</v>
      </c>
      <c r="D268" s="11" t="s">
        <v>2945</v>
      </c>
      <c r="E268" s="11" t="s">
        <v>2119</v>
      </c>
      <c r="F268" s="6"/>
      <c r="G268" s="6" t="s">
        <v>11</v>
      </c>
      <c r="H268" s="11" t="s">
        <v>142</v>
      </c>
      <c r="I268" s="11" t="s">
        <v>2950</v>
      </c>
      <c r="J268" s="10"/>
      <c r="K268" s="10"/>
      <c r="L268" s="10"/>
    </row>
    <row r="269" spans="1:12" x14ac:dyDescent="0.25">
      <c r="A269" s="11" t="s">
        <v>2232</v>
      </c>
      <c r="B269" s="6">
        <v>3</v>
      </c>
      <c r="C269" s="19" t="s">
        <v>2951</v>
      </c>
      <c r="D269" s="11" t="s">
        <v>2815</v>
      </c>
      <c r="E269" s="11" t="s">
        <v>2229</v>
      </c>
      <c r="F269" s="6"/>
      <c r="G269" s="6" t="s">
        <v>14</v>
      </c>
      <c r="H269" s="11" t="s">
        <v>142</v>
      </c>
      <c r="I269" s="11" t="s">
        <v>2952</v>
      </c>
      <c r="J269" s="10"/>
      <c r="K269" s="10"/>
      <c r="L269" s="10"/>
    </row>
    <row r="270" spans="1:12" x14ac:dyDescent="0.25">
      <c r="A270" s="11" t="s">
        <v>2953</v>
      </c>
      <c r="B270" s="6">
        <v>3</v>
      </c>
      <c r="C270" s="19" t="s">
        <v>2954</v>
      </c>
      <c r="D270" s="11" t="s">
        <v>2815</v>
      </c>
      <c r="E270" s="11" t="s">
        <v>2119</v>
      </c>
      <c r="F270" s="6"/>
      <c r="G270" s="6" t="s">
        <v>13</v>
      </c>
      <c r="H270" s="11" t="s">
        <v>142</v>
      </c>
      <c r="I270" s="11" t="s">
        <v>2955</v>
      </c>
      <c r="J270" s="10"/>
      <c r="K270" s="10"/>
      <c r="L270" s="10"/>
    </row>
    <row r="271" spans="1:12" x14ac:dyDescent="0.25">
      <c r="A271" s="16" t="s">
        <v>2956</v>
      </c>
      <c r="B271" s="17">
        <v>2</v>
      </c>
      <c r="C271" s="18" t="s">
        <v>2957</v>
      </c>
      <c r="D271" s="16"/>
      <c r="E271" s="16"/>
      <c r="F271" s="17" t="str">
        <f>COUNTIFS($B$272:$B$275,3,$G$272:$G$275,"COMPLETED")&amp;" / "&amp;COUNTIF($B$272:$B$275,3)</f>
        <v>1 / 4</v>
      </c>
      <c r="G271" s="17" t="str">
        <f>IF(COUNTIFS($B$272:$B$275,3,$G$272:$G$275,"COMPLETED")=COUNTIF($B$272:$B$275,3),"COMPLETED",IF(COUNTIFS($B$272:$B$275,3,$G$272:$G$275,"BLOCKED")&gt;0,"BLOCKED",IF(COUNTIFS($B$272:$B$275,3,$G$272:$G$275,"YET TO START")=COUNTIF($B$272:$B$275,3),"YET TO START","IN PROGRESS")))</f>
        <v>IN PROGRESS</v>
      </c>
      <c r="H271" s="16"/>
      <c r="I271" s="16"/>
      <c r="J271" s="13"/>
      <c r="K271" s="10"/>
      <c r="L271" s="10"/>
    </row>
    <row r="272" spans="1:12" x14ac:dyDescent="0.25">
      <c r="A272" s="11" t="s">
        <v>2205</v>
      </c>
      <c r="B272" s="6">
        <v>3</v>
      </c>
      <c r="C272" s="19" t="s">
        <v>2203</v>
      </c>
      <c r="D272" s="11" t="s">
        <v>2221</v>
      </c>
      <c r="E272" s="11" t="s">
        <v>2202</v>
      </c>
      <c r="F272" s="6"/>
      <c r="G272" s="6" t="s">
        <v>11</v>
      </c>
      <c r="H272" s="11" t="s">
        <v>2207</v>
      </c>
      <c r="I272" s="11" t="s">
        <v>2958</v>
      </c>
      <c r="J272" s="10"/>
      <c r="K272" s="10"/>
      <c r="L272" s="10"/>
    </row>
    <row r="273" spans="1:12" x14ac:dyDescent="0.25">
      <c r="A273" s="11" t="s">
        <v>2213</v>
      </c>
      <c r="B273" s="6">
        <v>3</v>
      </c>
      <c r="C273" s="19" t="s">
        <v>2959</v>
      </c>
      <c r="D273" s="11" t="s">
        <v>2221</v>
      </c>
      <c r="E273" s="11" t="s">
        <v>2210</v>
      </c>
      <c r="F273" s="6"/>
      <c r="G273" s="6" t="s">
        <v>13</v>
      </c>
      <c r="H273" s="11" t="s">
        <v>142</v>
      </c>
      <c r="I273" s="11" t="s">
        <v>157</v>
      </c>
      <c r="J273" s="10"/>
      <c r="K273" s="10"/>
      <c r="L273" s="10"/>
    </row>
    <row r="274" spans="1:12" x14ac:dyDescent="0.25">
      <c r="A274" s="11" t="s">
        <v>2220</v>
      </c>
      <c r="B274" s="6">
        <v>3</v>
      </c>
      <c r="C274" s="19" t="s">
        <v>2960</v>
      </c>
      <c r="D274" s="11" t="s">
        <v>2221</v>
      </c>
      <c r="E274" s="11" t="s">
        <v>2217</v>
      </c>
      <c r="F274" s="6"/>
      <c r="G274" s="6" t="s">
        <v>13</v>
      </c>
      <c r="H274" s="11" t="s">
        <v>142</v>
      </c>
      <c r="I274" s="11" t="s">
        <v>2227</v>
      </c>
      <c r="J274" s="10"/>
      <c r="K274" s="10"/>
      <c r="L274" s="10"/>
    </row>
    <row r="275" spans="1:12" x14ac:dyDescent="0.25">
      <c r="A275" s="11" t="s">
        <v>2226</v>
      </c>
      <c r="B275" s="6">
        <v>3</v>
      </c>
      <c r="C275" s="19" t="s">
        <v>2961</v>
      </c>
      <c r="D275" s="11" t="s">
        <v>2221</v>
      </c>
      <c r="E275" s="11" t="s">
        <v>2223</v>
      </c>
      <c r="F275" s="6"/>
      <c r="G275" s="6" t="s">
        <v>13</v>
      </c>
      <c r="H275" s="11" t="s">
        <v>142</v>
      </c>
      <c r="I275" s="11" t="s">
        <v>2962</v>
      </c>
      <c r="J275" s="10"/>
      <c r="K275" s="10"/>
      <c r="L275" s="10"/>
    </row>
    <row r="276" spans="1:12" x14ac:dyDescent="0.25">
      <c r="A276" s="16" t="s">
        <v>2963</v>
      </c>
      <c r="B276" s="17">
        <v>2</v>
      </c>
      <c r="C276" s="18" t="s">
        <v>2964</v>
      </c>
      <c r="D276" s="16"/>
      <c r="E276" s="16"/>
      <c r="F276" s="17" t="str">
        <f>COUNTIFS($B$277:$B$280,3,$G$277:$G$280,"COMPLETED")&amp;" / "&amp;COUNTIF($B$277:$B$280,3)</f>
        <v>3 / 4</v>
      </c>
      <c r="G276" s="17" t="str">
        <f>IF(COUNTIFS($B$277:$B$280,3,$G$277:$G$280,"COMPLETED")=COUNTIF($B$277:$B$280,3),"COMPLETED",IF(COUNTIFS($B$277:$B$280,3,$G$277:$G$280,"BLOCKED")&gt;0,"BLOCKED",IF(COUNTIFS($B$277:$B$280,3,$G$277:$G$280,"YET TO START")=COUNTIF($B$277:$B$280,3),"YET TO START","IN PROGRESS")))</f>
        <v>IN PROGRESS</v>
      </c>
      <c r="H276" s="16"/>
      <c r="I276" s="16"/>
      <c r="J276" s="13"/>
      <c r="K276" s="10"/>
      <c r="L276" s="10"/>
    </row>
    <row r="277" spans="1:12" x14ac:dyDescent="0.25">
      <c r="A277" s="11" t="s">
        <v>2116</v>
      </c>
      <c r="B277" s="6">
        <v>3</v>
      </c>
      <c r="C277" s="19" t="s">
        <v>2114</v>
      </c>
      <c r="D277" s="11" t="s">
        <v>2945</v>
      </c>
      <c r="E277" s="11" t="s">
        <v>2113</v>
      </c>
      <c r="F277" s="6"/>
      <c r="G277" s="6" t="s">
        <v>11</v>
      </c>
      <c r="H277" s="11" t="s">
        <v>1767</v>
      </c>
      <c r="I277" s="11" t="s">
        <v>2965</v>
      </c>
      <c r="J277" s="10"/>
      <c r="K277" s="10"/>
      <c r="L277" s="10"/>
    </row>
    <row r="278" spans="1:12" x14ac:dyDescent="0.25">
      <c r="A278" s="11" t="s">
        <v>2199</v>
      </c>
      <c r="B278" s="6">
        <v>3</v>
      </c>
      <c r="C278" s="19" t="s">
        <v>2197</v>
      </c>
      <c r="D278" s="11" t="s">
        <v>2221</v>
      </c>
      <c r="E278" s="11" t="s">
        <v>2196</v>
      </c>
      <c r="F278" s="6"/>
      <c r="G278" s="6" t="s">
        <v>11</v>
      </c>
      <c r="H278" s="11" t="s">
        <v>1982</v>
      </c>
      <c r="I278" s="11" t="s">
        <v>2877</v>
      </c>
      <c r="J278" s="10"/>
      <c r="K278" s="10"/>
      <c r="L278" s="10"/>
    </row>
    <row r="279" spans="1:12" x14ac:dyDescent="0.25">
      <c r="A279" s="11" t="s">
        <v>2191</v>
      </c>
      <c r="B279" s="6">
        <v>3</v>
      </c>
      <c r="C279" s="19" t="s">
        <v>2966</v>
      </c>
      <c r="D279" s="11" t="s">
        <v>2221</v>
      </c>
      <c r="E279" s="11" t="s">
        <v>2188</v>
      </c>
      <c r="F279" s="6"/>
      <c r="G279" s="6" t="s">
        <v>11</v>
      </c>
      <c r="H279" s="11" t="s">
        <v>1989</v>
      </c>
      <c r="I279" s="11" t="s">
        <v>2868</v>
      </c>
      <c r="J279" s="10"/>
      <c r="K279" s="10"/>
      <c r="L279" s="10"/>
    </row>
    <row r="280" spans="1:12" x14ac:dyDescent="0.25">
      <c r="A280" s="11" t="s">
        <v>2967</v>
      </c>
      <c r="B280" s="6">
        <v>3</v>
      </c>
      <c r="C280" s="19" t="s">
        <v>2968</v>
      </c>
      <c r="D280" s="11" t="s">
        <v>2969</v>
      </c>
      <c r="E280" s="11" t="s">
        <v>2188</v>
      </c>
      <c r="F280" s="6"/>
      <c r="G280" s="6" t="s">
        <v>13</v>
      </c>
      <c r="H280" s="11" t="s">
        <v>142</v>
      </c>
      <c r="I280" s="11" t="s">
        <v>2970</v>
      </c>
      <c r="J280" s="10"/>
      <c r="K280" s="10"/>
      <c r="L280" s="10"/>
    </row>
  </sheetData>
  <autoFilter ref="A4:I217"/>
  <mergeCells count="1">
    <mergeCell ref="A2:I2"/>
  </mergeCells>
  <conditionalFormatting sqref="G5:G280">
    <cfRule type="cellIs" dxfId="20" priority="2" operator="equal">
      <formula>"COMPLETED"</formula>
    </cfRule>
    <cfRule type="cellIs" dxfId="21" priority="3" operator="equal">
      <formula>"IN PROGRESS"</formula>
    </cfRule>
    <cfRule type="cellIs" dxfId="22" priority="4" operator="equal">
      <formula>"YET TO START"</formula>
    </cfRule>
    <cfRule type="cellIs" dxfId="23" priority="5" operator="equal">
      <formula>"BLOCKED"</formula>
    </cfRule>
  </conditionalFormatting>
  <dataValidations count="57">
    <dataValidation type="list" errorStyle="stop" sqref="G100">
      <formula1>"COMPLETED,IN PROGRESS,YET TO START,BLOCKED"</formula1>
      <formula2>0</formula2>
    </dataValidation>
    <dataValidation type="list" errorStyle="stop" sqref="G102:G104">
      <formula1>"COMPLETED,IN PROGRESS,YET TO START,BLOCKED"</formula1>
      <formula2>0</formula2>
    </dataValidation>
    <dataValidation type="list" errorStyle="stop" sqref="G106:G108">
      <formula1>"COMPLETED,IN PROGRESS,YET TO START,BLOCKED"</formula1>
      <formula2>0</formula2>
    </dataValidation>
    <dataValidation type="list" errorStyle="stop" sqref="G11:G12">
      <formula1>"COMPLETED,IN PROGRESS,YET TO START,BLOCKED"</formula1>
      <formula2>0</formula2>
    </dataValidation>
    <dataValidation type="list" errorStyle="stop" sqref="G110">
      <formula1>"COMPLETED,IN PROGRESS,YET TO START,BLOCKED"</formula1>
      <formula2>0</formula2>
    </dataValidation>
    <dataValidation type="list" errorStyle="stop" sqref="G113">
      <formula1>"COMPLETED,IN PROGRESS,YET TO START,BLOCKED"</formula1>
      <formula2>0</formula2>
    </dataValidation>
    <dataValidation type="list" errorStyle="stop" sqref="G115">
      <formula1>"COMPLETED,IN PROGRESS,YET TO START,BLOCKED"</formula1>
      <formula2>0</formula2>
    </dataValidation>
    <dataValidation type="list" errorStyle="stop" sqref="G117:G119">
      <formula1>"COMPLETED,IN PROGRESS,YET TO START,BLOCKED"</formula1>
      <formula2>0</formula2>
    </dataValidation>
    <dataValidation type="list" errorStyle="stop" sqref="G122:G125">
      <formula1>"COMPLETED,IN PROGRESS,YET TO START,BLOCKED"</formula1>
      <formula2>0</formula2>
    </dataValidation>
    <dataValidation type="list" errorStyle="stop" sqref="G127:G133">
      <formula1>"COMPLETED,IN PROGRESS,YET TO START,BLOCKED"</formula1>
      <formula2>0</formula2>
    </dataValidation>
    <dataValidation type="list" errorStyle="stop" sqref="G135:G138">
      <formula1>"COMPLETED,IN PROGRESS,YET TO START,BLOCKED"</formula1>
      <formula2>0</formula2>
    </dataValidation>
    <dataValidation type="list" errorStyle="stop" sqref="G14:G17">
      <formula1>"COMPLETED,IN PROGRESS,YET TO START,BLOCKED"</formula1>
      <formula2>0</formula2>
    </dataValidation>
    <dataValidation type="list" errorStyle="stop" sqref="G140:G143">
      <formula1>"COMPLETED,IN PROGRESS,YET TO START,BLOCKED"</formula1>
      <formula2>0</formula2>
    </dataValidation>
    <dataValidation type="list" errorStyle="stop" sqref="G146:G149">
      <formula1>"COMPLETED,IN PROGRESS,YET TO START,BLOCKED"</formula1>
      <formula2>0</formula2>
    </dataValidation>
    <dataValidation type="list" errorStyle="stop" sqref="G151:G157">
      <formula1>"COMPLETED,IN PROGRESS,YET TO START,BLOCKED"</formula1>
      <formula2>0</formula2>
    </dataValidation>
    <dataValidation type="list" errorStyle="stop" sqref="G160:G162">
      <formula1>"COMPLETED,IN PROGRESS,YET TO START,BLOCKED"</formula1>
      <formula2>0</formula2>
    </dataValidation>
    <dataValidation type="list" errorStyle="stop" sqref="G164:G169">
      <formula1>"COMPLETED,IN PROGRESS,YET TO START,BLOCKED"</formula1>
      <formula2>0</formula2>
    </dataValidation>
    <dataValidation type="list" errorStyle="stop" sqref="G172:G173">
      <formula1>"COMPLETED,IN PROGRESS,YET TO START,BLOCKED"</formula1>
      <formula2>0</formula2>
    </dataValidation>
    <dataValidation type="list" errorStyle="stop" sqref="G175:G177">
      <formula1>"COMPLETED,IN PROGRESS,YET TO START,BLOCKED"</formula1>
      <formula2>0</formula2>
    </dataValidation>
    <dataValidation type="list" errorStyle="stop" sqref="G180:G183">
      <formula1>"COMPLETED,IN PROGRESS,YET TO START,BLOCKED"</formula1>
      <formula2>0</formula2>
    </dataValidation>
    <dataValidation type="list" errorStyle="stop" sqref="G185:G189">
      <formula1>"COMPLETED,IN PROGRESS,YET TO START,BLOCKED"</formula1>
      <formula2>0</formula2>
    </dataValidation>
    <dataValidation type="list" errorStyle="stop" sqref="G19:G21">
      <formula1>"COMPLETED,IN PROGRESS,YET TO START,BLOCKED"</formula1>
      <formula2>0</formula2>
    </dataValidation>
    <dataValidation type="list" errorStyle="stop" sqref="G192:G193">
      <formula1>"COMPLETED,IN PROGRESS,YET TO START,BLOCKED"</formula1>
      <formula2>0</formula2>
    </dataValidation>
    <dataValidation type="list" errorStyle="stop" sqref="G195">
      <formula1>"COMPLETED,IN PROGRESS,YET TO START,BLOCKED"</formula1>
      <formula2>0</formula2>
    </dataValidation>
    <dataValidation type="list" errorStyle="stop" sqref="G198:G203">
      <formula1>"COMPLETED,IN PROGRESS,YET TO START,BLOCKED"</formula1>
      <formula2>0</formula2>
    </dataValidation>
    <dataValidation type="list" errorStyle="stop" sqref="G205:G208">
      <formula1>"COMPLETED,IN PROGRESS,YET TO START,BLOCKED"</formula1>
      <formula2>0</formula2>
    </dataValidation>
    <dataValidation type="list" errorStyle="stop" sqref="G211:G214">
      <formula1>"COMPLETED,IN PROGRESS,YET TO START,BLOCKED"</formula1>
      <formula2>0</formula2>
    </dataValidation>
    <dataValidation type="list" errorStyle="stop" sqref="G216:G218">
      <formula1>"COMPLETED,IN PROGRESS,YET TO START,BLOCKED"</formula1>
      <formula2>0</formula2>
    </dataValidation>
    <dataValidation type="list" errorStyle="stop" sqref="G221:G226">
      <formula1>"COMPLETED,IN PROGRESS,YET TO START,BLOCKED"</formula1>
      <formula2>0</formula2>
    </dataValidation>
    <dataValidation type="list" errorStyle="stop" sqref="G228:G231">
      <formula1>"COMPLETED,IN PROGRESS,YET TO START,BLOCKED"</formula1>
      <formula2>0</formula2>
    </dataValidation>
    <dataValidation type="list" errorStyle="stop" sqref="G23:G27">
      <formula1>"COMPLETED,IN PROGRESS,YET TO START,BLOCKED"</formula1>
      <formula2>0</formula2>
    </dataValidation>
    <dataValidation type="list" errorStyle="stop" sqref="G233:G237">
      <formula1>"COMPLETED,IN PROGRESS,YET TO START,BLOCKED"</formula1>
      <formula2>0</formula2>
    </dataValidation>
    <dataValidation type="list" errorStyle="stop" sqref="G239:G241">
      <formula1>"COMPLETED,IN PROGRESS,YET TO START,BLOCKED"</formula1>
      <formula2>0</formula2>
    </dataValidation>
    <dataValidation type="list" errorStyle="stop" sqref="G243:G244">
      <formula1>"COMPLETED,IN PROGRESS,YET TO START,BLOCKED"</formula1>
      <formula2>0</formula2>
    </dataValidation>
    <dataValidation type="list" errorStyle="stop" sqref="G247:G251">
      <formula1>"COMPLETED,IN PROGRESS,YET TO START,BLOCKED"</formula1>
      <formula2>0</formula2>
    </dataValidation>
    <dataValidation type="list" errorStyle="stop" sqref="G253:G256">
      <formula1>"COMPLETED,IN PROGRESS,YET TO START,BLOCKED"</formula1>
      <formula2>0</formula2>
    </dataValidation>
    <dataValidation type="list" errorStyle="stop" sqref="G258:G260">
      <formula1>"COMPLETED,IN PROGRESS,YET TO START,BLOCKED"</formula1>
      <formula2>0</formula2>
    </dataValidation>
    <dataValidation type="list" errorStyle="stop" sqref="G262:G265">
      <formula1>"COMPLETED,IN PROGRESS,YET TO START,BLOCKED"</formula1>
      <formula2>0</formula2>
    </dataValidation>
    <dataValidation type="list" errorStyle="stop" sqref="G268:G270">
      <formula1>"COMPLETED,IN PROGRESS,YET TO START,BLOCKED"</formula1>
      <formula2>0</formula2>
    </dataValidation>
    <dataValidation type="list" errorStyle="stop" sqref="G272:G275">
      <formula1>"COMPLETED,IN PROGRESS,YET TO START,BLOCKED"</formula1>
      <formula2>0</formula2>
    </dataValidation>
    <dataValidation type="list" errorStyle="stop" sqref="G277:G280">
      <formula1>"COMPLETED,IN PROGRESS,YET TO START,BLOCKED"</formula1>
      <formula2>0</formula2>
    </dataValidation>
    <dataValidation type="list" errorStyle="stop" sqref="G29:G31">
      <formula1>"COMPLETED,IN PROGRESS,YET TO START,BLOCKED"</formula1>
      <formula2>0</formula2>
    </dataValidation>
    <dataValidation type="list" errorStyle="stop" sqref="G33:G35">
      <formula1>"COMPLETED,IN PROGRESS,YET TO START,BLOCKED"</formula1>
      <formula2>0</formula2>
    </dataValidation>
    <dataValidation type="list" errorStyle="stop" sqref="G37:G41">
      <formula1>"COMPLETED,IN PROGRESS,YET TO START,BLOCKED"</formula1>
      <formula2>0</formula2>
    </dataValidation>
    <dataValidation type="list" errorStyle="stop" sqref="G43:G48">
      <formula1>"COMPLETED,IN PROGRESS,YET TO START,BLOCKED"</formula1>
      <formula2>0</formula2>
    </dataValidation>
    <dataValidation type="list" errorStyle="stop" sqref="G51:G54">
      <formula1>"COMPLETED,IN PROGRESS,YET TO START,BLOCKED"</formula1>
      <formula2>0</formula2>
    </dataValidation>
    <dataValidation type="list" errorStyle="stop" sqref="G56:G60">
      <formula1>"COMPLETED,IN PROGRESS,YET TO START,BLOCKED"</formula1>
      <formula2>0</formula2>
    </dataValidation>
    <dataValidation type="list" errorStyle="stop" sqref="G63:G64">
      <formula1>"COMPLETED,IN PROGRESS,YET TO START,BLOCKED"</formula1>
      <formula2>0</formula2>
    </dataValidation>
    <dataValidation type="list" errorStyle="stop" sqref="G66:G68">
      <formula1>"COMPLETED,IN PROGRESS,YET TO START,BLOCKED"</formula1>
      <formula2>0</formula2>
    </dataValidation>
    <dataValidation type="list" errorStyle="stop" sqref="G7:G9">
      <formula1>"COMPLETED,IN PROGRESS,YET TO START,BLOCKED"</formula1>
      <formula2>0</formula2>
    </dataValidation>
    <dataValidation type="list" errorStyle="stop" sqref="G70:G71">
      <formula1>"COMPLETED,IN PROGRESS,YET TO START,BLOCKED"</formula1>
      <formula2>0</formula2>
    </dataValidation>
    <dataValidation type="list" errorStyle="stop" sqref="G74:G76">
      <formula1>"COMPLETED,IN PROGRESS,YET TO START,BLOCKED"</formula1>
      <formula2>0</formula2>
    </dataValidation>
    <dataValidation type="list" errorStyle="stop" sqref="G78:G84">
      <formula1>"COMPLETED,IN PROGRESS,YET TO START,BLOCKED"</formula1>
      <formula2>0</formula2>
    </dataValidation>
    <dataValidation type="list" errorStyle="stop" sqref="G87:G88">
      <formula1>"COMPLETED,IN PROGRESS,YET TO START,BLOCKED"</formula1>
      <formula2>0</formula2>
    </dataValidation>
    <dataValidation type="list" errorStyle="stop" sqref="G90:G92">
      <formula1>"COMPLETED,IN PROGRESS,YET TO START,BLOCKED"</formula1>
      <formula2>0</formula2>
    </dataValidation>
    <dataValidation type="list" errorStyle="stop" sqref="G94:G95">
      <formula1>"COMPLETED,IN PROGRESS,YET TO START,BLOCKED"</formula1>
      <formula2>0</formula2>
    </dataValidation>
    <dataValidation type="list" errorStyle="stop" sqref="G98:G100">
      <formula1>"COMPLETED,IN PROGRESS,YET TO START,BLOCKED"</formula1>
      <formula2>0</formula2>
    </dataValidation>
  </dataValidation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D4ED8"/>
    <pageSetUpPr fitToPage="1"/>
    <outlinePr summaryBelow="1" summaryRight="1"/>
  </sheetPr>
  <dimension ref="A1:L290"/>
  <sheetViews>
    <sheetView workbookViewId="0" zoomScale="90" zoomScaleNormal="90" view="normal">
      <pane xSplit="2" ySplit="1" topLeftCell="C2" activePane="bottomRight" state="frozen"/>
      <selection pane="bottomRight" activeCell="A1" sqref="A1"/>
    </sheetView>
  </sheetViews>
  <sheetFormatPr defaultRowHeight="15" outlineLevelRow="0" outlineLevelCol="0" x14ac:dyDescent="0" defaultColWidth="8.6796875"/>
  <cols>
    <col min="1" max="1" width="7" style="10" customWidth="1"/>
    <col min="2" max="2" width="52" style="10" customWidth="1"/>
    <col min="3" max="3" width="18" style="10" customWidth="1"/>
    <col min="4" max="4" width="36" style="10" customWidth="1"/>
    <col min="5" max="5" width="26" style="10" customWidth="1"/>
    <col min="6" max="6" width="15" style="10" customWidth="1"/>
    <col min="7" max="7" width="11" style="10" customWidth="1"/>
    <col min="8" max="8" width="13" style="10" customWidth="1"/>
    <col min="9" max="10" width="34" style="10" customWidth="1"/>
    <col min="11" max="11" width="24" style="10" customWidth="1"/>
    <col min="12" max="12" width="50" style="10" customWidth="1"/>
  </cols>
  <sheetData>
    <row r="1" ht="30" customHeight="1" spans="1:12" s="10" customFormat="1" x14ac:dyDescent="0.25">
      <c r="A1" s="4" t="s">
        <v>4231</v>
      </c>
      <c r="B1" s="4" t="s">
        <v>4232</v>
      </c>
      <c r="C1" s="4" t="s">
        <v>3583</v>
      </c>
      <c r="D1" s="4" t="s">
        <v>4233</v>
      </c>
      <c r="E1" s="4" t="s">
        <v>4234</v>
      </c>
      <c r="F1" s="4" t="s">
        <v>3786</v>
      </c>
      <c r="G1" s="4" t="s">
        <v>4235</v>
      </c>
      <c r="H1" s="4" t="s">
        <v>4236</v>
      </c>
      <c r="I1" s="4" t="s">
        <v>4237</v>
      </c>
      <c r="J1" s="4" t="s">
        <v>4238</v>
      </c>
      <c r="K1" s="4" t="s">
        <v>4239</v>
      </c>
      <c r="L1" s="4" t="s">
        <v>4240</v>
      </c>
    </row>
    <row r="2" ht="27" customHeight="1" spans="1:12" s="10" customFormat="1" x14ac:dyDescent="0.25">
      <c r="A2" s="26" t="s">
        <v>4241</v>
      </c>
      <c r="B2" s="11" t="s">
        <v>4242</v>
      </c>
      <c r="C2" s="11" t="s">
        <v>91</v>
      </c>
      <c r="D2" s="11" t="s">
        <v>4243</v>
      </c>
      <c r="E2" s="11" t="s">
        <v>4244</v>
      </c>
      <c r="F2" s="11" t="s">
        <v>83</v>
      </c>
      <c r="G2" s="11" t="s">
        <v>4245</v>
      </c>
      <c r="H2" s="11" t="s">
        <v>4246</v>
      </c>
      <c r="I2" s="11" t="s">
        <v>1452</v>
      </c>
      <c r="J2" s="11" t="s">
        <v>142</v>
      </c>
      <c r="K2" s="11" t="s">
        <v>142</v>
      </c>
      <c r="L2" s="11" t="s">
        <v>4247</v>
      </c>
    </row>
    <row r="3" ht="27" customHeight="1" spans="1:12" s="10" customFormat="1" x14ac:dyDescent="0.25">
      <c r="A3" s="26" t="s">
        <v>4248</v>
      </c>
      <c r="B3" s="11" t="s">
        <v>4249</v>
      </c>
      <c r="C3" s="11" t="s">
        <v>91</v>
      </c>
      <c r="D3" s="11" t="s">
        <v>4250</v>
      </c>
      <c r="E3" s="11" t="s">
        <v>4251</v>
      </c>
      <c r="F3" s="11" t="s">
        <v>83</v>
      </c>
      <c r="G3" s="11" t="s">
        <v>4245</v>
      </c>
      <c r="H3" s="11" t="s">
        <v>4246</v>
      </c>
      <c r="I3" s="11" t="s">
        <v>1461</v>
      </c>
      <c r="J3" s="11" t="s">
        <v>142</v>
      </c>
      <c r="K3" s="11" t="s">
        <v>142</v>
      </c>
      <c r="L3" s="11" t="s">
        <v>4252</v>
      </c>
    </row>
    <row r="4" ht="27" customHeight="1" spans="1:12" s="10" customFormat="1" x14ac:dyDescent="0.25">
      <c r="A4" s="26" t="s">
        <v>4253</v>
      </c>
      <c r="B4" s="11" t="s">
        <v>4254</v>
      </c>
      <c r="C4" s="11" t="s">
        <v>91</v>
      </c>
      <c r="D4" s="11" t="s">
        <v>4255</v>
      </c>
      <c r="E4" s="11" t="s">
        <v>4251</v>
      </c>
      <c r="F4" s="11" t="s">
        <v>83</v>
      </c>
      <c r="G4" s="11" t="s">
        <v>4245</v>
      </c>
      <c r="H4" s="11" t="s">
        <v>4246</v>
      </c>
      <c r="I4" s="11" t="s">
        <v>1471</v>
      </c>
      <c r="J4" s="11" t="s">
        <v>142</v>
      </c>
      <c r="K4" s="11" t="s">
        <v>142</v>
      </c>
      <c r="L4" s="11" t="s">
        <v>4252</v>
      </c>
    </row>
    <row r="5" ht="27" customHeight="1" spans="1:12" s="10" customFormat="1" x14ac:dyDescent="0.25">
      <c r="A5" s="26" t="s">
        <v>4256</v>
      </c>
      <c r="B5" s="11" t="s">
        <v>4257</v>
      </c>
      <c r="C5" s="11" t="s">
        <v>91</v>
      </c>
      <c r="D5" s="11" t="s">
        <v>4258</v>
      </c>
      <c r="E5" s="11" t="s">
        <v>4259</v>
      </c>
      <c r="F5" s="11" t="s">
        <v>84</v>
      </c>
      <c r="G5" s="11" t="s">
        <v>4245</v>
      </c>
      <c r="H5" s="11" t="s">
        <v>4245</v>
      </c>
      <c r="I5" s="11" t="s">
        <v>4260</v>
      </c>
      <c r="J5" s="11" t="s">
        <v>142</v>
      </c>
      <c r="K5" s="11" t="s">
        <v>1484</v>
      </c>
      <c r="L5" s="11" t="s">
        <v>4261</v>
      </c>
    </row>
    <row r="6" ht="27" customHeight="1" spans="1:12" s="10" customFormat="1" x14ac:dyDescent="0.25">
      <c r="A6" s="26" t="s">
        <v>4262</v>
      </c>
      <c r="B6" s="11" t="s">
        <v>4263</v>
      </c>
      <c r="C6" s="11" t="s">
        <v>91</v>
      </c>
      <c r="D6" s="11" t="s">
        <v>4264</v>
      </c>
      <c r="E6" s="11" t="s">
        <v>4259</v>
      </c>
      <c r="F6" s="11" t="s">
        <v>84</v>
      </c>
      <c r="G6" s="11" t="s">
        <v>4245</v>
      </c>
      <c r="H6" s="11" t="s">
        <v>4246</v>
      </c>
      <c r="I6" s="11" t="s">
        <v>1479</v>
      </c>
      <c r="J6" s="11" t="s">
        <v>142</v>
      </c>
      <c r="K6" s="11" t="s">
        <v>1484</v>
      </c>
      <c r="L6" s="11" t="s">
        <v>4261</v>
      </c>
    </row>
    <row r="7" ht="27" customHeight="1" spans="1:12" s="10" customFormat="1" x14ac:dyDescent="0.25">
      <c r="A7" s="26" t="s">
        <v>4265</v>
      </c>
      <c r="B7" s="11" t="s">
        <v>4266</v>
      </c>
      <c r="C7" s="11" t="s">
        <v>91</v>
      </c>
      <c r="D7" s="11" t="s">
        <v>4267</v>
      </c>
      <c r="E7" s="11" t="s">
        <v>4259</v>
      </c>
      <c r="F7" s="11" t="s">
        <v>84</v>
      </c>
      <c r="G7" s="11" t="s">
        <v>4246</v>
      </c>
      <c r="H7" s="11" t="s">
        <v>4246</v>
      </c>
      <c r="I7" s="11" t="s">
        <v>1479</v>
      </c>
      <c r="J7" s="11" t="s">
        <v>142</v>
      </c>
      <c r="K7" s="11" t="s">
        <v>1484</v>
      </c>
      <c r="L7" s="11" t="s">
        <v>4261</v>
      </c>
    </row>
    <row r="8" ht="27" customHeight="1" spans="1:12" s="10" customFormat="1" x14ac:dyDescent="0.25">
      <c r="A8" s="26" t="s">
        <v>4268</v>
      </c>
      <c r="B8" s="11" t="s">
        <v>4269</v>
      </c>
      <c r="C8" s="11" t="s">
        <v>88</v>
      </c>
      <c r="D8" s="11" t="s">
        <v>4270</v>
      </c>
      <c r="E8" s="11" t="s">
        <v>4259</v>
      </c>
      <c r="F8" s="11" t="s">
        <v>84</v>
      </c>
      <c r="G8" s="11" t="s">
        <v>4246</v>
      </c>
      <c r="H8" s="11" t="s">
        <v>4246</v>
      </c>
      <c r="I8" s="11" t="s">
        <v>1518</v>
      </c>
      <c r="J8" s="11" t="s">
        <v>142</v>
      </c>
      <c r="K8" s="11" t="s">
        <v>1484</v>
      </c>
      <c r="L8" s="11" t="s">
        <v>4261</v>
      </c>
    </row>
    <row r="9" ht="51" customHeight="1" spans="1:12" s="10" customFormat="1" x14ac:dyDescent="0.25">
      <c r="A9" s="26" t="s">
        <v>4271</v>
      </c>
      <c r="B9" s="11" t="s">
        <v>4272</v>
      </c>
      <c r="C9" s="11" t="s">
        <v>100</v>
      </c>
      <c r="D9" s="11" t="s">
        <v>4273</v>
      </c>
      <c r="E9" s="11" t="s">
        <v>4244</v>
      </c>
      <c r="F9" s="11" t="s">
        <v>84</v>
      </c>
      <c r="G9" s="11" t="s">
        <v>4246</v>
      </c>
      <c r="H9" s="11" t="s">
        <v>4246</v>
      </c>
      <c r="I9" s="11" t="s">
        <v>142</v>
      </c>
      <c r="J9" s="11" t="s">
        <v>4274</v>
      </c>
      <c r="K9" s="11" t="s">
        <v>4275</v>
      </c>
      <c r="L9" s="11"/>
    </row>
    <row r="10" ht="27" customHeight="1" spans="1:12" s="10" customFormat="1" x14ac:dyDescent="0.25">
      <c r="A10" s="26" t="s">
        <v>4276</v>
      </c>
      <c r="B10" s="11" t="s">
        <v>4277</v>
      </c>
      <c r="C10" s="11" t="s">
        <v>91</v>
      </c>
      <c r="D10" s="11" t="s">
        <v>4278</v>
      </c>
      <c r="E10" s="11" t="s">
        <v>4259</v>
      </c>
      <c r="F10" s="11" t="s">
        <v>84</v>
      </c>
      <c r="G10" s="11" t="s">
        <v>4246</v>
      </c>
      <c r="H10" s="11" t="s">
        <v>4246</v>
      </c>
      <c r="I10" s="11" t="s">
        <v>1486</v>
      </c>
      <c r="J10" s="11" t="s">
        <v>142</v>
      </c>
      <c r="K10" s="11" t="s">
        <v>1490</v>
      </c>
      <c r="L10" s="11" t="s">
        <v>4279</v>
      </c>
    </row>
    <row r="11" ht="111" customHeight="1" spans="1:12" s="10" customFormat="1" x14ac:dyDescent="0.25">
      <c r="A11" s="26" t="s">
        <v>4280</v>
      </c>
      <c r="B11" s="11" t="s">
        <v>4281</v>
      </c>
      <c r="C11" s="11" t="s">
        <v>91</v>
      </c>
      <c r="D11" s="11" t="s">
        <v>4282</v>
      </c>
      <c r="E11" s="11" t="s">
        <v>4259</v>
      </c>
      <c r="F11" s="11" t="s">
        <v>84</v>
      </c>
      <c r="G11" s="11" t="s">
        <v>4283</v>
      </c>
      <c r="H11" s="11" t="s">
        <v>4284</v>
      </c>
      <c r="I11" s="11" t="s">
        <v>4285</v>
      </c>
      <c r="J11" s="11" t="s">
        <v>142</v>
      </c>
      <c r="K11" s="11" t="s">
        <v>282</v>
      </c>
      <c r="L11" s="11" t="s">
        <v>4286</v>
      </c>
    </row>
    <row r="12" ht="75" customHeight="1" spans="1:12" s="10" customFormat="1" x14ac:dyDescent="0.25">
      <c r="A12" s="26" t="s">
        <v>4287</v>
      </c>
      <c r="B12" s="11" t="s">
        <v>4288</v>
      </c>
      <c r="C12" s="11" t="s">
        <v>91</v>
      </c>
      <c r="D12" s="11" t="s">
        <v>4289</v>
      </c>
      <c r="E12" s="11" t="s">
        <v>4259</v>
      </c>
      <c r="F12" s="11" t="s">
        <v>84</v>
      </c>
      <c r="G12" s="11" t="s">
        <v>4290</v>
      </c>
      <c r="H12" s="11" t="s">
        <v>4284</v>
      </c>
      <c r="I12" s="11" t="s">
        <v>4291</v>
      </c>
      <c r="J12" s="11" t="s">
        <v>142</v>
      </c>
      <c r="K12" s="11" t="s">
        <v>159</v>
      </c>
      <c r="L12" s="11"/>
    </row>
    <row r="13" ht="27" customHeight="1" spans="1:12" s="10" customFormat="1" x14ac:dyDescent="0.25">
      <c r="A13" s="26" t="s">
        <v>4292</v>
      </c>
      <c r="B13" s="11" t="s">
        <v>4293</v>
      </c>
      <c r="C13" s="11" t="s">
        <v>100</v>
      </c>
      <c r="D13" s="11" t="s">
        <v>4273</v>
      </c>
      <c r="E13" s="11" t="s">
        <v>4244</v>
      </c>
      <c r="F13" s="11" t="s">
        <v>84</v>
      </c>
      <c r="G13" s="11" t="s">
        <v>4290</v>
      </c>
      <c r="H13" s="11" t="s">
        <v>4284</v>
      </c>
      <c r="I13" s="11" t="s">
        <v>142</v>
      </c>
      <c r="J13" s="11" t="s">
        <v>1486</v>
      </c>
      <c r="K13" s="11" t="s">
        <v>4275</v>
      </c>
      <c r="L13" s="11" t="s">
        <v>4294</v>
      </c>
    </row>
    <row r="14" ht="27" customHeight="1" spans="1:12" s="10" customFormat="1" x14ac:dyDescent="0.25">
      <c r="A14" s="26" t="s">
        <v>4295</v>
      </c>
      <c r="B14" s="11" t="s">
        <v>4296</v>
      </c>
      <c r="C14" s="11" t="s">
        <v>93</v>
      </c>
      <c r="D14" s="11" t="s">
        <v>4297</v>
      </c>
      <c r="E14" s="11" t="s">
        <v>4259</v>
      </c>
      <c r="F14" s="11" t="s">
        <v>84</v>
      </c>
      <c r="G14" s="11" t="s">
        <v>4290</v>
      </c>
      <c r="H14" s="11" t="s">
        <v>4284</v>
      </c>
      <c r="I14" s="11" t="s">
        <v>1513</v>
      </c>
      <c r="J14" s="11" t="s">
        <v>142</v>
      </c>
      <c r="K14" s="11" t="s">
        <v>159</v>
      </c>
      <c r="L14" s="11"/>
    </row>
    <row r="15" ht="279" customHeight="1" spans="1:12" s="10" customFormat="1" x14ac:dyDescent="0.25">
      <c r="A15" s="26" t="s">
        <v>4298</v>
      </c>
      <c r="B15" s="11" t="s">
        <v>3066</v>
      </c>
      <c r="C15" s="11" t="s">
        <v>100</v>
      </c>
      <c r="D15" s="11" t="s">
        <v>4273</v>
      </c>
      <c r="E15" s="11" t="s">
        <v>4244</v>
      </c>
      <c r="F15" s="11" t="s">
        <v>84</v>
      </c>
      <c r="G15" s="11" t="s">
        <v>4284</v>
      </c>
      <c r="H15" s="11" t="s">
        <v>4284</v>
      </c>
      <c r="I15" s="11" t="s">
        <v>142</v>
      </c>
      <c r="J15" s="11" t="s">
        <v>4285</v>
      </c>
      <c r="K15" s="11" t="s">
        <v>4275</v>
      </c>
      <c r="L15" s="11" t="s">
        <v>4299</v>
      </c>
    </row>
    <row r="16" ht="27" customHeight="1" spans="1:12" s="10" customFormat="1" x14ac:dyDescent="0.25">
      <c r="A16" s="26" t="s">
        <v>4300</v>
      </c>
      <c r="B16" s="11" t="s">
        <v>4301</v>
      </c>
      <c r="C16" s="11" t="s">
        <v>103</v>
      </c>
      <c r="D16" s="11" t="s">
        <v>4302</v>
      </c>
      <c r="E16" s="11" t="s">
        <v>4259</v>
      </c>
      <c r="F16" s="11" t="s">
        <v>83</v>
      </c>
      <c r="G16" s="11" t="s">
        <v>4284</v>
      </c>
      <c r="H16" s="11" t="s">
        <v>4284</v>
      </c>
      <c r="I16" s="11" t="s">
        <v>1524</v>
      </c>
      <c r="J16" s="11" t="s">
        <v>142</v>
      </c>
      <c r="K16" s="11" t="s">
        <v>142</v>
      </c>
      <c r="L16" s="11" t="s">
        <v>4303</v>
      </c>
    </row>
    <row r="17" ht="27" customHeight="1" spans="1:12" s="10" customFormat="1" x14ac:dyDescent="0.25">
      <c r="A17" s="26" t="s">
        <v>4304</v>
      </c>
      <c r="B17" s="11" t="s">
        <v>4305</v>
      </c>
      <c r="C17" s="11" t="s">
        <v>103</v>
      </c>
      <c r="D17" s="11" t="s">
        <v>4306</v>
      </c>
      <c r="E17" s="11" t="s">
        <v>4244</v>
      </c>
      <c r="F17" s="11" t="s">
        <v>83</v>
      </c>
      <c r="G17" s="11" t="s">
        <v>4284</v>
      </c>
      <c r="H17" s="11" t="s">
        <v>4284</v>
      </c>
      <c r="I17" s="11" t="s">
        <v>4307</v>
      </c>
      <c r="J17" s="11" t="s">
        <v>142</v>
      </c>
      <c r="K17" s="11" t="s">
        <v>142</v>
      </c>
      <c r="L17" s="11" t="s">
        <v>4308</v>
      </c>
    </row>
    <row r="18" ht="27" customHeight="1" spans="1:12" s="10" customFormat="1" x14ac:dyDescent="0.25">
      <c r="A18" s="26" t="s">
        <v>4309</v>
      </c>
      <c r="B18" s="11" t="s">
        <v>4310</v>
      </c>
      <c r="C18" s="11" t="s">
        <v>93</v>
      </c>
      <c r="D18" s="11" t="s">
        <v>4311</v>
      </c>
      <c r="E18" s="11" t="s">
        <v>4259</v>
      </c>
      <c r="F18" s="11" t="s">
        <v>84</v>
      </c>
      <c r="G18" s="11" t="s">
        <v>4284</v>
      </c>
      <c r="H18" s="11" t="s">
        <v>4284</v>
      </c>
      <c r="I18" s="11" t="s">
        <v>1506</v>
      </c>
      <c r="J18" s="11" t="s">
        <v>142</v>
      </c>
      <c r="K18" s="11" t="s">
        <v>159</v>
      </c>
      <c r="L18" s="11" t="s">
        <v>4312</v>
      </c>
    </row>
    <row r="19" ht="75" customHeight="1" spans="1:12" s="10" customFormat="1" x14ac:dyDescent="0.25">
      <c r="A19" s="26" t="s">
        <v>4313</v>
      </c>
      <c r="B19" s="11" t="s">
        <v>4314</v>
      </c>
      <c r="C19" s="11" t="s">
        <v>91</v>
      </c>
      <c r="D19" s="11" t="s">
        <v>4315</v>
      </c>
      <c r="E19" s="11" t="s">
        <v>4259</v>
      </c>
      <c r="F19" s="11" t="s">
        <v>84</v>
      </c>
      <c r="G19" s="11" t="s">
        <v>4284</v>
      </c>
      <c r="H19" s="11" t="s">
        <v>4284</v>
      </c>
      <c r="I19" s="11" t="s">
        <v>4316</v>
      </c>
      <c r="J19" s="11" t="s">
        <v>142</v>
      </c>
      <c r="K19" s="11" t="s">
        <v>159</v>
      </c>
      <c r="L19" s="11"/>
    </row>
    <row r="20" ht="459" customHeight="1" spans="1:12" s="10" customFormat="1" x14ac:dyDescent="0.25">
      <c r="A20" s="26" t="s">
        <v>4317</v>
      </c>
      <c r="B20" s="11" t="s">
        <v>3066</v>
      </c>
      <c r="C20" s="11" t="s">
        <v>100</v>
      </c>
      <c r="D20" s="11" t="s">
        <v>4273</v>
      </c>
      <c r="E20" s="11" t="s">
        <v>4244</v>
      </c>
      <c r="F20" s="11" t="s">
        <v>84</v>
      </c>
      <c r="G20" s="11" t="s">
        <v>4284</v>
      </c>
      <c r="H20" s="11" t="s">
        <v>4318</v>
      </c>
      <c r="I20" s="11" t="s">
        <v>1524</v>
      </c>
      <c r="J20" s="11" t="s">
        <v>4319</v>
      </c>
      <c r="K20" s="11" t="s">
        <v>4275</v>
      </c>
      <c r="L20" s="11" t="s">
        <v>4320</v>
      </c>
    </row>
    <row r="21" ht="27" customHeight="1" spans="1:12" s="10" customFormat="1" x14ac:dyDescent="0.25">
      <c r="A21" s="26" t="s">
        <v>4321</v>
      </c>
      <c r="B21" s="11" t="s">
        <v>4322</v>
      </c>
      <c r="C21" s="11" t="s">
        <v>93</v>
      </c>
      <c r="D21" s="11" t="s">
        <v>4323</v>
      </c>
      <c r="E21" s="11" t="s">
        <v>4259</v>
      </c>
      <c r="F21" s="11" t="s">
        <v>84</v>
      </c>
      <c r="G21" s="11" t="s">
        <v>4284</v>
      </c>
      <c r="H21" s="11" t="s">
        <v>4284</v>
      </c>
      <c r="I21" s="11" t="s">
        <v>1506</v>
      </c>
      <c r="J21" s="11" t="s">
        <v>142</v>
      </c>
      <c r="K21" s="11" t="s">
        <v>159</v>
      </c>
      <c r="L21" s="11"/>
    </row>
    <row r="22" ht="39" customHeight="1" spans="1:12" s="10" customFormat="1" x14ac:dyDescent="0.25">
      <c r="A22" s="26" t="s">
        <v>4324</v>
      </c>
      <c r="B22" s="11" t="s">
        <v>4325</v>
      </c>
      <c r="C22" s="11" t="s">
        <v>91</v>
      </c>
      <c r="D22" s="11" t="s">
        <v>4326</v>
      </c>
      <c r="E22" s="11" t="s">
        <v>4259</v>
      </c>
      <c r="F22" s="11" t="s">
        <v>84</v>
      </c>
      <c r="G22" s="11" t="s">
        <v>4327</v>
      </c>
      <c r="H22" s="11" t="s">
        <v>4318</v>
      </c>
      <c r="I22" s="11" t="s">
        <v>4328</v>
      </c>
      <c r="J22" s="11" t="s">
        <v>142</v>
      </c>
      <c r="K22" s="11" t="s">
        <v>159</v>
      </c>
      <c r="L22" s="11" t="s">
        <v>4329</v>
      </c>
    </row>
    <row r="23" ht="27" customHeight="1" spans="1:12" s="10" customFormat="1" x14ac:dyDescent="0.25">
      <c r="A23" s="26" t="s">
        <v>4330</v>
      </c>
      <c r="B23" s="11" t="s">
        <v>4331</v>
      </c>
      <c r="C23" s="11" t="s">
        <v>91</v>
      </c>
      <c r="D23" s="11" t="s">
        <v>4332</v>
      </c>
      <c r="E23" s="11" t="s">
        <v>4259</v>
      </c>
      <c r="F23" s="11" t="s">
        <v>84</v>
      </c>
      <c r="G23" s="11" t="s">
        <v>4327</v>
      </c>
      <c r="H23" s="11" t="s">
        <v>4318</v>
      </c>
      <c r="I23" s="11" t="s">
        <v>4333</v>
      </c>
      <c r="J23" s="11" t="s">
        <v>142</v>
      </c>
      <c r="K23" s="11" t="s">
        <v>159</v>
      </c>
      <c r="L23" s="11" t="s">
        <v>4334</v>
      </c>
    </row>
    <row r="24" ht="255" customHeight="1" spans="1:12" s="10" customFormat="1" x14ac:dyDescent="0.25">
      <c r="A24" s="26" t="s">
        <v>4335</v>
      </c>
      <c r="B24" s="11" t="s">
        <v>4336</v>
      </c>
      <c r="C24" s="11" t="s">
        <v>101</v>
      </c>
      <c r="D24" s="11" t="s">
        <v>4273</v>
      </c>
      <c r="E24" s="11" t="s">
        <v>4244</v>
      </c>
      <c r="F24" s="11" t="s">
        <v>84</v>
      </c>
      <c r="G24" s="11" t="s">
        <v>4337</v>
      </c>
      <c r="H24" s="11" t="s">
        <v>4337</v>
      </c>
      <c r="I24" s="11" t="s">
        <v>4338</v>
      </c>
      <c r="J24" s="11" t="s">
        <v>4338</v>
      </c>
      <c r="K24" s="11" t="s">
        <v>4275</v>
      </c>
      <c r="L24" s="11" t="s">
        <v>4339</v>
      </c>
    </row>
    <row r="25" ht="39" customHeight="1" spans="1:12" s="10" customFormat="1" x14ac:dyDescent="0.25">
      <c r="A25" s="26" t="s">
        <v>4340</v>
      </c>
      <c r="B25" s="11" t="s">
        <v>4341</v>
      </c>
      <c r="C25" s="11" t="s">
        <v>91</v>
      </c>
      <c r="D25" s="11" t="s">
        <v>4273</v>
      </c>
      <c r="E25" s="11" t="s">
        <v>4244</v>
      </c>
      <c r="F25" s="11" t="s">
        <v>84</v>
      </c>
      <c r="G25" s="11" t="s">
        <v>4337</v>
      </c>
      <c r="H25" s="11" t="s">
        <v>4337</v>
      </c>
      <c r="I25" s="11" t="s">
        <v>4342</v>
      </c>
      <c r="J25" s="11" t="s">
        <v>4342</v>
      </c>
      <c r="K25" s="11" t="s">
        <v>4275</v>
      </c>
      <c r="L25" s="11" t="s">
        <v>4343</v>
      </c>
    </row>
    <row r="26" ht="27" customHeight="1" spans="1:12" s="10" customFormat="1" x14ac:dyDescent="0.25">
      <c r="A26" s="26" t="s">
        <v>4344</v>
      </c>
      <c r="B26" s="11" t="s">
        <v>4345</v>
      </c>
      <c r="C26" s="11" t="s">
        <v>88</v>
      </c>
      <c r="D26" s="11" t="s">
        <v>4346</v>
      </c>
      <c r="E26" s="11" t="s">
        <v>4259</v>
      </c>
      <c r="F26" s="11" t="s">
        <v>84</v>
      </c>
      <c r="G26" s="11" t="s">
        <v>4347</v>
      </c>
      <c r="H26" s="11" t="s">
        <v>4347</v>
      </c>
      <c r="I26" s="11" t="s">
        <v>1530</v>
      </c>
      <c r="J26" s="11" t="s">
        <v>142</v>
      </c>
      <c r="K26" s="11" t="s">
        <v>1053</v>
      </c>
      <c r="L26" s="11"/>
    </row>
    <row r="27" ht="27" customHeight="1" spans="1:12" s="10" customFormat="1" x14ac:dyDescent="0.25">
      <c r="A27" s="26" t="s">
        <v>4348</v>
      </c>
      <c r="B27" s="11" t="s">
        <v>4349</v>
      </c>
      <c r="C27" s="11" t="s">
        <v>95</v>
      </c>
      <c r="D27" s="11" t="s">
        <v>4350</v>
      </c>
      <c r="E27" s="11" t="s">
        <v>4244</v>
      </c>
      <c r="F27" s="11" t="s">
        <v>83</v>
      </c>
      <c r="G27" s="11" t="s">
        <v>4347</v>
      </c>
      <c r="H27" s="11" t="s">
        <v>4351</v>
      </c>
      <c r="I27" s="11" t="s">
        <v>142</v>
      </c>
      <c r="J27" s="11" t="s">
        <v>142</v>
      </c>
      <c r="K27" s="11" t="s">
        <v>142</v>
      </c>
      <c r="L27" s="11" t="s">
        <v>4352</v>
      </c>
    </row>
    <row r="28" ht="27" customHeight="1" spans="1:12" s="10" customFormat="1" x14ac:dyDescent="0.25">
      <c r="A28" s="26" t="s">
        <v>4353</v>
      </c>
      <c r="B28" s="11" t="s">
        <v>4354</v>
      </c>
      <c r="C28" s="11" t="s">
        <v>88</v>
      </c>
      <c r="D28" s="11" t="s">
        <v>4355</v>
      </c>
      <c r="E28" s="11" t="s">
        <v>4244</v>
      </c>
      <c r="F28" s="11" t="s">
        <v>83</v>
      </c>
      <c r="G28" s="11" t="s">
        <v>4347</v>
      </c>
      <c r="H28" s="11" t="s">
        <v>4356</v>
      </c>
      <c r="I28" s="11" t="s">
        <v>1530</v>
      </c>
      <c r="J28" s="11" t="s">
        <v>142</v>
      </c>
      <c r="K28" s="11" t="s">
        <v>142</v>
      </c>
      <c r="L28" s="11" t="s">
        <v>4357</v>
      </c>
    </row>
    <row r="29" ht="27" customHeight="1" spans="1:12" s="10" customFormat="1" x14ac:dyDescent="0.25">
      <c r="A29" s="26" t="s">
        <v>4358</v>
      </c>
      <c r="B29" s="11" t="s">
        <v>4359</v>
      </c>
      <c r="C29" s="11" t="s">
        <v>90</v>
      </c>
      <c r="D29" s="11" t="s">
        <v>4360</v>
      </c>
      <c r="E29" s="11" t="s">
        <v>4244</v>
      </c>
      <c r="F29" s="11" t="s">
        <v>84</v>
      </c>
      <c r="G29" s="11" t="s">
        <v>4347</v>
      </c>
      <c r="H29" s="11" t="s">
        <v>4347</v>
      </c>
      <c r="I29" s="11" t="s">
        <v>142</v>
      </c>
      <c r="J29" s="11" t="s">
        <v>142</v>
      </c>
      <c r="K29" s="11" t="s">
        <v>4275</v>
      </c>
      <c r="L29" s="11"/>
    </row>
    <row r="30" ht="51" customHeight="1" spans="1:12" s="10" customFormat="1" x14ac:dyDescent="0.25">
      <c r="A30" s="26" t="s">
        <v>4361</v>
      </c>
      <c r="B30" s="11" t="s">
        <v>4362</v>
      </c>
      <c r="C30" s="11" t="s">
        <v>91</v>
      </c>
      <c r="D30" s="11" t="s">
        <v>4360</v>
      </c>
      <c r="E30" s="11" t="s">
        <v>4244</v>
      </c>
      <c r="F30" s="11" t="s">
        <v>84</v>
      </c>
      <c r="G30" s="11" t="s">
        <v>4347</v>
      </c>
      <c r="H30" s="11" t="s">
        <v>4356</v>
      </c>
      <c r="I30" s="11" t="s">
        <v>4363</v>
      </c>
      <c r="J30" s="11" t="s">
        <v>4363</v>
      </c>
      <c r="K30" s="11" t="s">
        <v>4275</v>
      </c>
      <c r="L30" s="11"/>
    </row>
    <row r="31" ht="27" customHeight="1" spans="1:12" s="10" customFormat="1" x14ac:dyDescent="0.25">
      <c r="A31" s="26" t="s">
        <v>4364</v>
      </c>
      <c r="B31" s="11" t="s">
        <v>4365</v>
      </c>
      <c r="C31" s="11" t="s">
        <v>91</v>
      </c>
      <c r="D31" s="11" t="s">
        <v>4366</v>
      </c>
      <c r="E31" s="11" t="s">
        <v>4244</v>
      </c>
      <c r="F31" s="11" t="s">
        <v>84</v>
      </c>
      <c r="G31" s="11" t="s">
        <v>4347</v>
      </c>
      <c r="H31" s="11" t="s">
        <v>4356</v>
      </c>
      <c r="I31" s="11" t="s">
        <v>4367</v>
      </c>
      <c r="J31" s="11" t="s">
        <v>142</v>
      </c>
      <c r="K31" s="11" t="s">
        <v>1053</v>
      </c>
      <c r="L31" s="11" t="s">
        <v>4368</v>
      </c>
    </row>
    <row r="32" ht="27" customHeight="1" spans="1:12" s="10" customFormat="1" x14ac:dyDescent="0.25">
      <c r="A32" s="26" t="s">
        <v>4369</v>
      </c>
      <c r="B32" s="11" t="s">
        <v>4370</v>
      </c>
      <c r="C32" s="11" t="s">
        <v>91</v>
      </c>
      <c r="D32" s="11" t="s">
        <v>4371</v>
      </c>
      <c r="E32" s="11" t="s">
        <v>4259</v>
      </c>
      <c r="F32" s="11" t="s">
        <v>84</v>
      </c>
      <c r="G32" s="11" t="s">
        <v>4356</v>
      </c>
      <c r="H32" s="11" t="s">
        <v>4356</v>
      </c>
      <c r="I32" s="11" t="s">
        <v>4372</v>
      </c>
      <c r="J32" s="11" t="s">
        <v>142</v>
      </c>
      <c r="K32" s="11" t="s">
        <v>1046</v>
      </c>
      <c r="L32" s="11"/>
    </row>
    <row r="33" ht="39" customHeight="1" spans="1:12" s="10" customFormat="1" x14ac:dyDescent="0.25">
      <c r="A33" s="26" t="s">
        <v>4373</v>
      </c>
      <c r="B33" s="11" t="s">
        <v>4374</v>
      </c>
      <c r="C33" s="11" t="s">
        <v>100</v>
      </c>
      <c r="D33" s="11" t="s">
        <v>4273</v>
      </c>
      <c r="E33" s="11" t="s">
        <v>4244</v>
      </c>
      <c r="F33" s="11" t="s">
        <v>84</v>
      </c>
      <c r="G33" s="11" t="s">
        <v>4356</v>
      </c>
      <c r="H33" s="11" t="s">
        <v>4356</v>
      </c>
      <c r="I33" s="11" t="s">
        <v>142</v>
      </c>
      <c r="J33" s="11" t="s">
        <v>4375</v>
      </c>
      <c r="K33" s="11" t="s">
        <v>4275</v>
      </c>
      <c r="L33" s="11"/>
    </row>
    <row r="34" ht="27" customHeight="1" spans="1:12" s="10" customFormat="1" x14ac:dyDescent="0.25">
      <c r="A34" s="26" t="s">
        <v>4376</v>
      </c>
      <c r="B34" s="11" t="s">
        <v>4377</v>
      </c>
      <c r="C34" s="11" t="s">
        <v>88</v>
      </c>
      <c r="D34" s="11" t="s">
        <v>4346</v>
      </c>
      <c r="E34" s="11" t="s">
        <v>4259</v>
      </c>
      <c r="F34" s="11" t="s">
        <v>84</v>
      </c>
      <c r="G34" s="11" t="s">
        <v>4356</v>
      </c>
      <c r="H34" s="11" t="s">
        <v>4356</v>
      </c>
      <c r="I34" s="11" t="s">
        <v>1530</v>
      </c>
      <c r="J34" s="11" t="s">
        <v>142</v>
      </c>
      <c r="K34" s="11" t="s">
        <v>4378</v>
      </c>
      <c r="L34" s="11"/>
    </row>
    <row r="35" ht="27" customHeight="1" spans="1:12" s="10" customFormat="1" x14ac:dyDescent="0.25">
      <c r="A35" s="26" t="s">
        <v>4379</v>
      </c>
      <c r="B35" s="11" t="s">
        <v>4380</v>
      </c>
      <c r="C35" s="11" t="s">
        <v>91</v>
      </c>
      <c r="D35" s="11" t="s">
        <v>4360</v>
      </c>
      <c r="E35" s="11" t="s">
        <v>4244</v>
      </c>
      <c r="F35" s="11" t="s">
        <v>84</v>
      </c>
      <c r="G35" s="11" t="s">
        <v>4356</v>
      </c>
      <c r="H35" s="11" t="s">
        <v>4356</v>
      </c>
      <c r="I35" s="11" t="s">
        <v>4381</v>
      </c>
      <c r="J35" s="11" t="s">
        <v>4381</v>
      </c>
      <c r="K35" s="11" t="s">
        <v>4275</v>
      </c>
      <c r="L35" s="11"/>
    </row>
    <row r="36" ht="27" customHeight="1" spans="1:12" s="10" customFormat="1" x14ac:dyDescent="0.25">
      <c r="A36" s="26" t="s">
        <v>4382</v>
      </c>
      <c r="B36" s="11" t="s">
        <v>4383</v>
      </c>
      <c r="C36" s="11" t="s">
        <v>93</v>
      </c>
      <c r="D36" s="11" t="s">
        <v>4360</v>
      </c>
      <c r="E36" s="11" t="s">
        <v>4244</v>
      </c>
      <c r="F36" s="11" t="s">
        <v>84</v>
      </c>
      <c r="G36" s="11" t="s">
        <v>4356</v>
      </c>
      <c r="H36" s="11" t="s">
        <v>4356</v>
      </c>
      <c r="I36" s="11" t="s">
        <v>1506</v>
      </c>
      <c r="J36" s="11" t="s">
        <v>1506</v>
      </c>
      <c r="K36" s="11" t="s">
        <v>4275</v>
      </c>
      <c r="L36" s="11"/>
    </row>
    <row r="37" ht="27" customHeight="1" spans="1:12" s="10" customFormat="1" x14ac:dyDescent="0.25">
      <c r="A37" s="26" t="s">
        <v>4384</v>
      </c>
      <c r="B37" s="11" t="s">
        <v>4385</v>
      </c>
      <c r="C37" s="11" t="s">
        <v>100</v>
      </c>
      <c r="D37" s="11" t="s">
        <v>4273</v>
      </c>
      <c r="E37" s="11" t="s">
        <v>4244</v>
      </c>
      <c r="F37" s="11" t="s">
        <v>84</v>
      </c>
      <c r="G37" s="11" t="s">
        <v>4356</v>
      </c>
      <c r="H37" s="11" t="s">
        <v>4356</v>
      </c>
      <c r="I37" s="11" t="s">
        <v>142</v>
      </c>
      <c r="J37" s="11" t="s">
        <v>1530</v>
      </c>
      <c r="K37" s="11" t="s">
        <v>4275</v>
      </c>
      <c r="L37" s="11"/>
    </row>
    <row r="38" ht="27" customHeight="1" spans="1:12" s="10" customFormat="1" x14ac:dyDescent="0.25">
      <c r="A38" s="26" t="s">
        <v>4386</v>
      </c>
      <c r="B38" s="11" t="s">
        <v>4387</v>
      </c>
      <c r="C38" s="11" t="s">
        <v>90</v>
      </c>
      <c r="D38" s="11" t="s">
        <v>4360</v>
      </c>
      <c r="E38" s="11" t="s">
        <v>4244</v>
      </c>
      <c r="F38" s="11" t="s">
        <v>84</v>
      </c>
      <c r="G38" s="11" t="s">
        <v>4356</v>
      </c>
      <c r="H38" s="11" t="s">
        <v>4356</v>
      </c>
      <c r="I38" s="11" t="s">
        <v>1536</v>
      </c>
      <c r="J38" s="11" t="s">
        <v>1536</v>
      </c>
      <c r="K38" s="11" t="s">
        <v>4275</v>
      </c>
      <c r="L38" s="11"/>
    </row>
    <row r="39" ht="27" customHeight="1" spans="1:12" s="10" customFormat="1" x14ac:dyDescent="0.25">
      <c r="A39" s="26" t="s">
        <v>4388</v>
      </c>
      <c r="B39" s="11" t="s">
        <v>4389</v>
      </c>
      <c r="C39" s="11" t="s">
        <v>91</v>
      </c>
      <c r="D39" s="11" t="s">
        <v>4390</v>
      </c>
      <c r="E39" s="11" t="s">
        <v>4259</v>
      </c>
      <c r="F39" s="11" t="s">
        <v>84</v>
      </c>
      <c r="G39" s="11" t="s">
        <v>4356</v>
      </c>
      <c r="H39" s="11" t="s">
        <v>4356</v>
      </c>
      <c r="I39" s="11" t="s">
        <v>4391</v>
      </c>
      <c r="J39" s="11" t="s">
        <v>142</v>
      </c>
      <c r="K39" s="11" t="s">
        <v>1046</v>
      </c>
      <c r="L39" s="11"/>
    </row>
    <row r="40" ht="27" customHeight="1" spans="1:12" s="10" customFormat="1" x14ac:dyDescent="0.25">
      <c r="A40" s="26" t="s">
        <v>4392</v>
      </c>
      <c r="B40" s="11" t="s">
        <v>4393</v>
      </c>
      <c r="C40" s="11" t="s">
        <v>91</v>
      </c>
      <c r="D40" s="11" t="s">
        <v>4390</v>
      </c>
      <c r="E40" s="11" t="s">
        <v>4259</v>
      </c>
      <c r="F40" s="11" t="s">
        <v>84</v>
      </c>
      <c r="G40" s="11" t="s">
        <v>4356</v>
      </c>
      <c r="H40" s="11" t="s">
        <v>4356</v>
      </c>
      <c r="I40" s="11" t="s">
        <v>1041</v>
      </c>
      <c r="J40" s="11" t="s">
        <v>142</v>
      </c>
      <c r="K40" s="11" t="s">
        <v>1046</v>
      </c>
      <c r="L40" s="11"/>
    </row>
    <row r="41" ht="27" customHeight="1" spans="1:12" s="10" customFormat="1" x14ac:dyDescent="0.25">
      <c r="A41" s="26" t="s">
        <v>4394</v>
      </c>
      <c r="B41" s="11" t="s">
        <v>4395</v>
      </c>
      <c r="C41" s="11" t="s">
        <v>91</v>
      </c>
      <c r="D41" s="11" t="s">
        <v>4360</v>
      </c>
      <c r="E41" s="11" t="s">
        <v>4244</v>
      </c>
      <c r="F41" s="11" t="s">
        <v>84</v>
      </c>
      <c r="G41" s="11" t="s">
        <v>4356</v>
      </c>
      <c r="H41" s="11" t="s">
        <v>4356</v>
      </c>
      <c r="I41" s="11" t="s">
        <v>4396</v>
      </c>
      <c r="J41" s="11" t="s">
        <v>4396</v>
      </c>
      <c r="K41" s="11" t="s">
        <v>4275</v>
      </c>
      <c r="L41" s="11"/>
    </row>
    <row r="42" ht="27" customHeight="1" spans="1:12" s="10" customFormat="1" x14ac:dyDescent="0.25">
      <c r="A42" s="26" t="s">
        <v>4397</v>
      </c>
      <c r="B42" s="11" t="s">
        <v>4398</v>
      </c>
      <c r="C42" s="11" t="s">
        <v>88</v>
      </c>
      <c r="D42" s="11" t="s">
        <v>4390</v>
      </c>
      <c r="E42" s="11" t="s">
        <v>4259</v>
      </c>
      <c r="F42" s="11" t="s">
        <v>84</v>
      </c>
      <c r="G42" s="11" t="s">
        <v>4356</v>
      </c>
      <c r="H42" s="11" t="s">
        <v>4356</v>
      </c>
      <c r="I42" s="11" t="s">
        <v>1530</v>
      </c>
      <c r="J42" s="11" t="s">
        <v>142</v>
      </c>
      <c r="K42" s="11" t="s">
        <v>1046</v>
      </c>
      <c r="L42" s="11"/>
    </row>
    <row r="43" ht="27" customHeight="1" spans="1:12" s="10" customFormat="1" x14ac:dyDescent="0.25">
      <c r="A43" s="26" t="s">
        <v>4399</v>
      </c>
      <c r="B43" s="11" t="s">
        <v>4400</v>
      </c>
      <c r="C43" s="11" t="s">
        <v>90</v>
      </c>
      <c r="D43" s="11" t="s">
        <v>4401</v>
      </c>
      <c r="E43" s="11" t="s">
        <v>4259</v>
      </c>
      <c r="F43" s="11" t="s">
        <v>84</v>
      </c>
      <c r="G43" s="11" t="s">
        <v>4356</v>
      </c>
      <c r="H43" s="11" t="s">
        <v>4356</v>
      </c>
      <c r="I43" s="11" t="s">
        <v>142</v>
      </c>
      <c r="J43" s="11" t="s">
        <v>142</v>
      </c>
      <c r="K43" s="11" t="s">
        <v>1046</v>
      </c>
      <c r="L43" s="11"/>
    </row>
    <row r="44" ht="75" customHeight="1" spans="1:12" s="10" customFormat="1" x14ac:dyDescent="0.25">
      <c r="A44" s="26" t="s">
        <v>4402</v>
      </c>
      <c r="B44" s="11" t="s">
        <v>4403</v>
      </c>
      <c r="C44" s="11" t="s">
        <v>100</v>
      </c>
      <c r="D44" s="11" t="s">
        <v>4273</v>
      </c>
      <c r="E44" s="11" t="s">
        <v>4244</v>
      </c>
      <c r="F44" s="11" t="s">
        <v>84</v>
      </c>
      <c r="G44" s="11" t="s">
        <v>4356</v>
      </c>
      <c r="H44" s="11" t="s">
        <v>4356</v>
      </c>
      <c r="I44" s="11" t="s">
        <v>142</v>
      </c>
      <c r="J44" s="11" t="s">
        <v>4404</v>
      </c>
      <c r="K44" s="11" t="s">
        <v>4275</v>
      </c>
      <c r="L44" s="11"/>
    </row>
    <row r="45" ht="27" customHeight="1" spans="1:12" s="10" customFormat="1" x14ac:dyDescent="0.25">
      <c r="A45" s="26" t="s">
        <v>4405</v>
      </c>
      <c r="B45" s="11" t="s">
        <v>4406</v>
      </c>
      <c r="C45" s="11" t="s">
        <v>90</v>
      </c>
      <c r="D45" s="11" t="s">
        <v>4390</v>
      </c>
      <c r="E45" s="11" t="s">
        <v>4259</v>
      </c>
      <c r="F45" s="11" t="s">
        <v>83</v>
      </c>
      <c r="G45" s="11" t="s">
        <v>4356</v>
      </c>
      <c r="H45" s="11" t="s">
        <v>4356</v>
      </c>
      <c r="I45" s="11" t="s">
        <v>142</v>
      </c>
      <c r="J45" s="11" t="s">
        <v>142</v>
      </c>
      <c r="K45" s="11" t="s">
        <v>142</v>
      </c>
      <c r="L45" s="11" t="s">
        <v>4407</v>
      </c>
    </row>
    <row r="46" ht="27" customHeight="1" spans="1:12" s="10" customFormat="1" x14ac:dyDescent="0.25">
      <c r="A46" s="26" t="s">
        <v>4408</v>
      </c>
      <c r="B46" s="11" t="s">
        <v>4409</v>
      </c>
      <c r="C46" s="11" t="s">
        <v>91</v>
      </c>
      <c r="D46" s="11" t="s">
        <v>4410</v>
      </c>
      <c r="E46" s="11" t="s">
        <v>4259</v>
      </c>
      <c r="F46" s="11" t="s">
        <v>84</v>
      </c>
      <c r="G46" s="11" t="s">
        <v>4356</v>
      </c>
      <c r="H46" s="11" t="s">
        <v>4356</v>
      </c>
      <c r="I46" s="11" t="s">
        <v>4411</v>
      </c>
      <c r="J46" s="11" t="s">
        <v>142</v>
      </c>
      <c r="K46" s="11" t="s">
        <v>1059</v>
      </c>
      <c r="L46" s="11"/>
    </row>
    <row r="47" ht="27" customHeight="1" spans="1:12" s="10" customFormat="1" x14ac:dyDescent="0.25">
      <c r="A47" s="26" t="s">
        <v>4412</v>
      </c>
      <c r="B47" s="11" t="s">
        <v>4413</v>
      </c>
      <c r="C47" s="11" t="s">
        <v>90</v>
      </c>
      <c r="D47" s="11" t="s">
        <v>4414</v>
      </c>
      <c r="E47" s="11" t="s">
        <v>4244</v>
      </c>
      <c r="F47" s="11" t="s">
        <v>84</v>
      </c>
      <c r="G47" s="11" t="s">
        <v>4356</v>
      </c>
      <c r="H47" s="11" t="s">
        <v>4415</v>
      </c>
      <c r="I47" s="11" t="s">
        <v>142</v>
      </c>
      <c r="J47" s="11" t="s">
        <v>142</v>
      </c>
      <c r="K47" s="11" t="s">
        <v>4275</v>
      </c>
      <c r="L47" s="11"/>
    </row>
    <row r="48" ht="51" customHeight="1" spans="1:12" s="10" customFormat="1" x14ac:dyDescent="0.25">
      <c r="A48" s="26" t="s">
        <v>4416</v>
      </c>
      <c r="B48" s="11" t="s">
        <v>4417</v>
      </c>
      <c r="C48" s="11" t="s">
        <v>100</v>
      </c>
      <c r="D48" s="11" t="s">
        <v>4273</v>
      </c>
      <c r="E48" s="11" t="s">
        <v>4244</v>
      </c>
      <c r="F48" s="11" t="s">
        <v>84</v>
      </c>
      <c r="G48" s="11" t="s">
        <v>4356</v>
      </c>
      <c r="H48" s="11" t="s">
        <v>4356</v>
      </c>
      <c r="I48" s="11" t="s">
        <v>142</v>
      </c>
      <c r="J48" s="11" t="s">
        <v>4411</v>
      </c>
      <c r="K48" s="11" t="s">
        <v>4275</v>
      </c>
      <c r="L48" s="11"/>
    </row>
    <row r="49" ht="27" customHeight="1" spans="1:12" s="10" customFormat="1" x14ac:dyDescent="0.25">
      <c r="A49" s="26" t="s">
        <v>4418</v>
      </c>
      <c r="B49" s="11" t="s">
        <v>4419</v>
      </c>
      <c r="C49" s="11" t="s">
        <v>91</v>
      </c>
      <c r="D49" s="11" t="s">
        <v>4420</v>
      </c>
      <c r="E49" s="11" t="s">
        <v>4259</v>
      </c>
      <c r="F49" s="11" t="s">
        <v>84</v>
      </c>
      <c r="G49" s="11" t="s">
        <v>4356</v>
      </c>
      <c r="H49" s="11" t="s">
        <v>4351</v>
      </c>
      <c r="I49" s="11" t="s">
        <v>4421</v>
      </c>
      <c r="J49" s="11" t="s">
        <v>142</v>
      </c>
      <c r="K49" s="11" t="s">
        <v>4422</v>
      </c>
      <c r="L49" s="11"/>
    </row>
    <row r="50" ht="27" customHeight="1" spans="1:12" s="10" customFormat="1" x14ac:dyDescent="0.25">
      <c r="A50" s="26" t="s">
        <v>4423</v>
      </c>
      <c r="B50" s="11" t="s">
        <v>4424</v>
      </c>
      <c r="C50" s="11" t="s">
        <v>93</v>
      </c>
      <c r="D50" s="11" t="s">
        <v>4410</v>
      </c>
      <c r="E50" s="11" t="s">
        <v>4259</v>
      </c>
      <c r="F50" s="11" t="s">
        <v>84</v>
      </c>
      <c r="G50" s="11" t="s">
        <v>4356</v>
      </c>
      <c r="H50" s="11" t="s">
        <v>4425</v>
      </c>
      <c r="I50" s="11" t="s">
        <v>1452</v>
      </c>
      <c r="J50" s="11" t="s">
        <v>142</v>
      </c>
      <c r="K50" s="11" t="s">
        <v>4426</v>
      </c>
      <c r="L50" s="11"/>
    </row>
    <row r="51" ht="27" customHeight="1" spans="1:12" s="10" customFormat="1" x14ac:dyDescent="0.25">
      <c r="A51" s="26" t="s">
        <v>4427</v>
      </c>
      <c r="B51" s="11" t="s">
        <v>4428</v>
      </c>
      <c r="C51" s="11" t="s">
        <v>100</v>
      </c>
      <c r="D51" s="11" t="s">
        <v>4273</v>
      </c>
      <c r="E51" s="11" t="s">
        <v>4244</v>
      </c>
      <c r="F51" s="11" t="s">
        <v>84</v>
      </c>
      <c r="G51" s="11" t="s">
        <v>4425</v>
      </c>
      <c r="H51" s="11" t="s">
        <v>4425</v>
      </c>
      <c r="I51" s="11" t="s">
        <v>142</v>
      </c>
      <c r="J51" s="11" t="s">
        <v>1452</v>
      </c>
      <c r="K51" s="11" t="s">
        <v>4275</v>
      </c>
      <c r="L51" s="11"/>
    </row>
    <row r="52" ht="27" customHeight="1" spans="1:12" s="10" customFormat="1" x14ac:dyDescent="0.25">
      <c r="A52" s="26" t="s">
        <v>4429</v>
      </c>
      <c r="B52" s="11" t="s">
        <v>4430</v>
      </c>
      <c r="C52" s="11" t="s">
        <v>98</v>
      </c>
      <c r="D52" s="11" t="s">
        <v>4431</v>
      </c>
      <c r="E52" s="11" t="s">
        <v>4259</v>
      </c>
      <c r="F52" s="11" t="s">
        <v>84</v>
      </c>
      <c r="G52" s="11" t="s">
        <v>4425</v>
      </c>
      <c r="H52" s="11" t="s">
        <v>4351</v>
      </c>
      <c r="I52" s="11" t="s">
        <v>4432</v>
      </c>
      <c r="J52" s="11" t="s">
        <v>142</v>
      </c>
      <c r="K52" s="11" t="s">
        <v>1642</v>
      </c>
      <c r="L52" s="11"/>
    </row>
    <row r="53" ht="27" customHeight="1" spans="1:12" s="10" customFormat="1" x14ac:dyDescent="0.25">
      <c r="A53" s="26" t="s">
        <v>4433</v>
      </c>
      <c r="B53" s="11" t="s">
        <v>4434</v>
      </c>
      <c r="C53" s="11" t="s">
        <v>98</v>
      </c>
      <c r="D53" s="11" t="s">
        <v>4410</v>
      </c>
      <c r="E53" s="11" t="s">
        <v>4259</v>
      </c>
      <c r="F53" s="11" t="s">
        <v>84</v>
      </c>
      <c r="G53" s="11" t="s">
        <v>4425</v>
      </c>
      <c r="H53" s="11" t="s">
        <v>4425</v>
      </c>
      <c r="I53" s="11" t="s">
        <v>1629</v>
      </c>
      <c r="J53" s="11" t="s">
        <v>142</v>
      </c>
      <c r="K53" s="11" t="s">
        <v>4435</v>
      </c>
      <c r="L53" s="11"/>
    </row>
    <row r="54" ht="27" customHeight="1" spans="1:12" s="10" customFormat="1" x14ac:dyDescent="0.25">
      <c r="A54" s="26" t="s">
        <v>4436</v>
      </c>
      <c r="B54" s="11" t="s">
        <v>4437</v>
      </c>
      <c r="C54" s="11" t="s">
        <v>91</v>
      </c>
      <c r="D54" s="11" t="s">
        <v>4438</v>
      </c>
      <c r="E54" s="11" t="s">
        <v>4259</v>
      </c>
      <c r="F54" s="11" t="s">
        <v>84</v>
      </c>
      <c r="G54" s="11" t="s">
        <v>4415</v>
      </c>
      <c r="H54" s="11" t="s">
        <v>4415</v>
      </c>
      <c r="I54" s="11" t="s">
        <v>4439</v>
      </c>
      <c r="J54" s="11" t="s">
        <v>142</v>
      </c>
      <c r="K54" s="11" t="s">
        <v>4435</v>
      </c>
      <c r="L54" s="11"/>
    </row>
    <row r="55" ht="27" customHeight="1" spans="1:12" s="10" customFormat="1" x14ac:dyDescent="0.25">
      <c r="A55" s="26" t="s">
        <v>4440</v>
      </c>
      <c r="B55" s="11" t="s">
        <v>4441</v>
      </c>
      <c r="C55" s="11" t="s">
        <v>100</v>
      </c>
      <c r="D55" s="11" t="s">
        <v>4273</v>
      </c>
      <c r="E55" s="11" t="s">
        <v>4244</v>
      </c>
      <c r="F55" s="11" t="s">
        <v>84</v>
      </c>
      <c r="G55" s="11" t="s">
        <v>4415</v>
      </c>
      <c r="H55" s="11" t="s">
        <v>4415</v>
      </c>
      <c r="I55" s="11" t="s">
        <v>142</v>
      </c>
      <c r="J55" s="11" t="s">
        <v>4442</v>
      </c>
      <c r="K55" s="11" t="s">
        <v>4275</v>
      </c>
      <c r="L55" s="11"/>
    </row>
    <row r="56" ht="51" customHeight="1" spans="1:12" s="10" customFormat="1" x14ac:dyDescent="0.25">
      <c r="A56" s="26" t="s">
        <v>4443</v>
      </c>
      <c r="B56" s="11" t="s">
        <v>4444</v>
      </c>
      <c r="C56" s="11" t="s">
        <v>91</v>
      </c>
      <c r="D56" s="11" t="s">
        <v>4438</v>
      </c>
      <c r="E56" s="11" t="s">
        <v>4259</v>
      </c>
      <c r="F56" s="11" t="s">
        <v>84</v>
      </c>
      <c r="G56" s="11" t="s">
        <v>4415</v>
      </c>
      <c r="H56" s="11" t="s">
        <v>4415</v>
      </c>
      <c r="I56" s="11" t="s">
        <v>4445</v>
      </c>
      <c r="J56" s="11" t="s">
        <v>142</v>
      </c>
      <c r="K56" s="11" t="s">
        <v>4446</v>
      </c>
      <c r="L56" s="11"/>
    </row>
    <row r="57" ht="27" customHeight="1" spans="1:12" s="10" customFormat="1" x14ac:dyDescent="0.25">
      <c r="A57" s="26" t="s">
        <v>4447</v>
      </c>
      <c r="B57" s="11" t="s">
        <v>4448</v>
      </c>
      <c r="C57" s="11" t="s">
        <v>93</v>
      </c>
      <c r="D57" s="11" t="s">
        <v>4438</v>
      </c>
      <c r="E57" s="11" t="s">
        <v>4259</v>
      </c>
      <c r="F57" s="11" t="s">
        <v>84</v>
      </c>
      <c r="G57" s="11" t="s">
        <v>4449</v>
      </c>
      <c r="H57" s="11" t="s">
        <v>4449</v>
      </c>
      <c r="I57" s="11" t="s">
        <v>483</v>
      </c>
      <c r="J57" s="11" t="s">
        <v>142</v>
      </c>
      <c r="K57" s="11" t="s">
        <v>4446</v>
      </c>
      <c r="L57" s="11"/>
    </row>
    <row r="58" ht="111" customHeight="1" spans="1:12" s="10" customFormat="1" x14ac:dyDescent="0.25">
      <c r="A58" s="26" t="s">
        <v>4450</v>
      </c>
      <c r="B58" s="11" t="s">
        <v>4451</v>
      </c>
      <c r="C58" s="11" t="s">
        <v>100</v>
      </c>
      <c r="D58" s="11" t="s">
        <v>4273</v>
      </c>
      <c r="E58" s="11" t="s">
        <v>4244</v>
      </c>
      <c r="F58" s="11" t="s">
        <v>84</v>
      </c>
      <c r="G58" s="11" t="s">
        <v>4449</v>
      </c>
      <c r="H58" s="11" t="s">
        <v>4449</v>
      </c>
      <c r="I58" s="11" t="s">
        <v>142</v>
      </c>
      <c r="J58" s="11" t="s">
        <v>4445</v>
      </c>
      <c r="K58" s="11" t="s">
        <v>4275</v>
      </c>
      <c r="L58" s="11"/>
    </row>
    <row r="59" ht="39" customHeight="1" spans="1:12" s="10" customFormat="1" x14ac:dyDescent="0.25">
      <c r="A59" s="26" t="s">
        <v>4452</v>
      </c>
      <c r="B59" s="11" t="s">
        <v>4453</v>
      </c>
      <c r="C59" s="11" t="s">
        <v>91</v>
      </c>
      <c r="D59" s="11" t="s">
        <v>4454</v>
      </c>
      <c r="E59" s="11" t="s">
        <v>4259</v>
      </c>
      <c r="F59" s="11" t="s">
        <v>84</v>
      </c>
      <c r="G59" s="11" t="s">
        <v>4449</v>
      </c>
      <c r="H59" s="11" t="s">
        <v>4449</v>
      </c>
      <c r="I59" s="11" t="s">
        <v>4455</v>
      </c>
      <c r="J59" s="11" t="s">
        <v>142</v>
      </c>
      <c r="K59" s="11" t="s">
        <v>4456</v>
      </c>
      <c r="L59" s="11"/>
    </row>
    <row r="60" ht="27" customHeight="1" spans="1:12" s="10" customFormat="1" x14ac:dyDescent="0.25">
      <c r="A60" s="26" t="s">
        <v>4457</v>
      </c>
      <c r="B60" s="11" t="s">
        <v>4458</v>
      </c>
      <c r="C60" s="11" t="s">
        <v>87</v>
      </c>
      <c r="D60" s="11" t="s">
        <v>4459</v>
      </c>
      <c r="E60" s="11" t="s">
        <v>4259</v>
      </c>
      <c r="F60" s="11" t="s">
        <v>84</v>
      </c>
      <c r="G60" s="11" t="s">
        <v>4449</v>
      </c>
      <c r="H60" s="11" t="s">
        <v>4449</v>
      </c>
      <c r="I60" s="11" t="s">
        <v>1061</v>
      </c>
      <c r="J60" s="11" t="s">
        <v>142</v>
      </c>
      <c r="K60" s="11" t="s">
        <v>4460</v>
      </c>
      <c r="L60" s="11"/>
    </row>
    <row r="61" ht="27" customHeight="1" spans="1:12" s="10" customFormat="1" x14ac:dyDescent="0.25">
      <c r="A61" s="26" t="s">
        <v>4461</v>
      </c>
      <c r="B61" s="11" t="s">
        <v>4462</v>
      </c>
      <c r="C61" s="11" t="s">
        <v>87</v>
      </c>
      <c r="D61" s="11" t="s">
        <v>4463</v>
      </c>
      <c r="E61" s="11" t="s">
        <v>4244</v>
      </c>
      <c r="F61" s="11" t="s">
        <v>84</v>
      </c>
      <c r="G61" s="11" t="s">
        <v>4449</v>
      </c>
      <c r="H61" s="11" t="s">
        <v>4449</v>
      </c>
      <c r="I61" s="11" t="s">
        <v>1061</v>
      </c>
      <c r="J61" s="11" t="s">
        <v>1061</v>
      </c>
      <c r="K61" s="11" t="s">
        <v>4275</v>
      </c>
      <c r="L61" s="11"/>
    </row>
    <row r="62" ht="27" customHeight="1" spans="1:12" s="10" customFormat="1" x14ac:dyDescent="0.25">
      <c r="A62" s="26" t="s">
        <v>4464</v>
      </c>
      <c r="B62" s="11" t="s">
        <v>4465</v>
      </c>
      <c r="C62" s="11" t="s">
        <v>87</v>
      </c>
      <c r="D62" s="11" t="s">
        <v>4459</v>
      </c>
      <c r="E62" s="11" t="s">
        <v>4259</v>
      </c>
      <c r="F62" s="11" t="s">
        <v>84</v>
      </c>
      <c r="G62" s="11" t="s">
        <v>4449</v>
      </c>
      <c r="H62" s="11" t="s">
        <v>4449</v>
      </c>
      <c r="I62" s="11" t="s">
        <v>1061</v>
      </c>
      <c r="J62" s="11" t="s">
        <v>142</v>
      </c>
      <c r="K62" s="11" t="s">
        <v>4456</v>
      </c>
      <c r="L62" s="11"/>
    </row>
    <row r="63" ht="27" customHeight="1" spans="1:12" s="10" customFormat="1" x14ac:dyDescent="0.25">
      <c r="A63" s="26" t="s">
        <v>4466</v>
      </c>
      <c r="B63" s="11" t="s">
        <v>4467</v>
      </c>
      <c r="C63" s="11" t="s">
        <v>87</v>
      </c>
      <c r="D63" s="11" t="s">
        <v>4463</v>
      </c>
      <c r="E63" s="11" t="s">
        <v>4244</v>
      </c>
      <c r="F63" s="11" t="s">
        <v>84</v>
      </c>
      <c r="G63" s="11" t="s">
        <v>4449</v>
      </c>
      <c r="H63" s="11" t="s">
        <v>4449</v>
      </c>
      <c r="I63" s="11" t="s">
        <v>1061</v>
      </c>
      <c r="J63" s="11" t="s">
        <v>1061</v>
      </c>
      <c r="K63" s="11" t="s">
        <v>4275</v>
      </c>
      <c r="L63" s="11"/>
    </row>
    <row r="64" ht="27" customHeight="1" spans="1:12" s="10" customFormat="1" x14ac:dyDescent="0.25">
      <c r="A64" s="26" t="s">
        <v>4468</v>
      </c>
      <c r="B64" s="11" t="s">
        <v>4469</v>
      </c>
      <c r="C64" s="11" t="s">
        <v>87</v>
      </c>
      <c r="D64" s="11" t="s">
        <v>4459</v>
      </c>
      <c r="E64" s="11" t="s">
        <v>4259</v>
      </c>
      <c r="F64" s="11" t="s">
        <v>84</v>
      </c>
      <c r="G64" s="11" t="s">
        <v>4449</v>
      </c>
      <c r="H64" s="11" t="s">
        <v>4449</v>
      </c>
      <c r="I64" s="11" t="s">
        <v>1061</v>
      </c>
      <c r="J64" s="11" t="s">
        <v>142</v>
      </c>
      <c r="K64" s="11" t="s">
        <v>4470</v>
      </c>
      <c r="L64" s="11"/>
    </row>
    <row r="65" ht="27" customHeight="1" spans="1:12" s="10" customFormat="1" x14ac:dyDescent="0.25">
      <c r="A65" s="26" t="s">
        <v>4471</v>
      </c>
      <c r="B65" s="11" t="s">
        <v>4472</v>
      </c>
      <c r="C65" s="11" t="s">
        <v>93</v>
      </c>
      <c r="D65" s="11" t="s">
        <v>4473</v>
      </c>
      <c r="E65" s="11" t="s">
        <v>4259</v>
      </c>
      <c r="F65" s="11" t="s">
        <v>84</v>
      </c>
      <c r="G65" s="11" t="s">
        <v>4449</v>
      </c>
      <c r="H65" s="11" t="s">
        <v>4449</v>
      </c>
      <c r="I65" s="11" t="s">
        <v>142</v>
      </c>
      <c r="J65" s="11" t="s">
        <v>142</v>
      </c>
      <c r="K65" s="11" t="s">
        <v>4456</v>
      </c>
      <c r="L65" s="11"/>
    </row>
    <row r="66" ht="135" customHeight="1" spans="1:12" s="10" customFormat="1" x14ac:dyDescent="0.25">
      <c r="A66" s="26" t="s">
        <v>4474</v>
      </c>
      <c r="B66" s="11" t="s">
        <v>4475</v>
      </c>
      <c r="C66" s="11" t="s">
        <v>100</v>
      </c>
      <c r="D66" s="11" t="s">
        <v>4273</v>
      </c>
      <c r="E66" s="11" t="s">
        <v>4244</v>
      </c>
      <c r="F66" s="11" t="s">
        <v>84</v>
      </c>
      <c r="G66" s="11" t="s">
        <v>4449</v>
      </c>
      <c r="H66" s="11" t="s">
        <v>4449</v>
      </c>
      <c r="I66" s="11" t="s">
        <v>142</v>
      </c>
      <c r="J66" s="11" t="s">
        <v>4476</v>
      </c>
      <c r="K66" s="11" t="s">
        <v>4275</v>
      </c>
      <c r="L66" s="11"/>
    </row>
    <row r="67" ht="27" customHeight="1" spans="1:12" s="10" customFormat="1" x14ac:dyDescent="0.25">
      <c r="A67" s="26" t="s">
        <v>4477</v>
      </c>
      <c r="B67" s="11" t="s">
        <v>4478</v>
      </c>
      <c r="C67" s="11" t="s">
        <v>103</v>
      </c>
      <c r="D67" s="11" t="s">
        <v>4479</v>
      </c>
      <c r="E67" s="11" t="s">
        <v>4259</v>
      </c>
      <c r="F67" s="11" t="s">
        <v>84</v>
      </c>
      <c r="G67" s="11" t="s">
        <v>4449</v>
      </c>
      <c r="H67" s="11" t="s">
        <v>4449</v>
      </c>
      <c r="I67" s="11" t="s">
        <v>1524</v>
      </c>
      <c r="J67" s="11" t="s">
        <v>142</v>
      </c>
      <c r="K67" s="11" t="s">
        <v>4456</v>
      </c>
      <c r="L67" s="11"/>
    </row>
    <row r="68" ht="27" customHeight="1" spans="1:12" s="10" customFormat="1" x14ac:dyDescent="0.25">
      <c r="A68" s="26" t="s">
        <v>4480</v>
      </c>
      <c r="B68" s="11" t="s">
        <v>4481</v>
      </c>
      <c r="C68" s="11" t="s">
        <v>94</v>
      </c>
      <c r="D68" s="11" t="s">
        <v>4482</v>
      </c>
      <c r="E68" s="11" t="s">
        <v>4259</v>
      </c>
      <c r="F68" s="11" t="s">
        <v>84</v>
      </c>
      <c r="G68" s="11" t="s">
        <v>4449</v>
      </c>
      <c r="H68" s="11" t="s">
        <v>4449</v>
      </c>
      <c r="I68" s="11" t="s">
        <v>4483</v>
      </c>
      <c r="J68" s="11" t="s">
        <v>142</v>
      </c>
      <c r="K68" s="11" t="s">
        <v>4456</v>
      </c>
      <c r="L68" s="11"/>
    </row>
    <row r="69" ht="27" customHeight="1" spans="1:12" s="10" customFormat="1" x14ac:dyDescent="0.25">
      <c r="A69" s="26" t="s">
        <v>4484</v>
      </c>
      <c r="B69" s="11" t="s">
        <v>4485</v>
      </c>
      <c r="C69" s="11" t="s">
        <v>93</v>
      </c>
      <c r="D69" s="11" t="s">
        <v>4482</v>
      </c>
      <c r="E69" s="11" t="s">
        <v>4259</v>
      </c>
      <c r="F69" s="11" t="s">
        <v>84</v>
      </c>
      <c r="G69" s="11" t="s">
        <v>4449</v>
      </c>
      <c r="H69" s="11" t="s">
        <v>4351</v>
      </c>
      <c r="I69" s="11" t="s">
        <v>4486</v>
      </c>
      <c r="J69" s="11" t="s">
        <v>142</v>
      </c>
      <c r="K69" s="11" t="s">
        <v>4487</v>
      </c>
      <c r="L69" s="11"/>
    </row>
    <row r="70" ht="27" customHeight="1" spans="1:12" s="10" customFormat="1" x14ac:dyDescent="0.25">
      <c r="A70" s="26" t="s">
        <v>4488</v>
      </c>
      <c r="B70" s="11" t="s">
        <v>4489</v>
      </c>
      <c r="C70" s="11" t="s">
        <v>100</v>
      </c>
      <c r="D70" s="11" t="s">
        <v>4273</v>
      </c>
      <c r="E70" s="11" t="s">
        <v>4244</v>
      </c>
      <c r="F70" s="11" t="s">
        <v>84</v>
      </c>
      <c r="G70" s="11" t="s">
        <v>4351</v>
      </c>
      <c r="H70" s="11" t="s">
        <v>4351</v>
      </c>
      <c r="I70" s="11" t="s">
        <v>142</v>
      </c>
      <c r="J70" s="11" t="s">
        <v>4486</v>
      </c>
      <c r="K70" s="11" t="s">
        <v>4275</v>
      </c>
      <c r="L70" s="11"/>
    </row>
    <row r="71" ht="27" customHeight="1" spans="1:12" s="10" customFormat="1" x14ac:dyDescent="0.25">
      <c r="A71" s="26" t="s">
        <v>4490</v>
      </c>
      <c r="B71" s="11" t="s">
        <v>4491</v>
      </c>
      <c r="C71" s="11" t="s">
        <v>100</v>
      </c>
      <c r="D71" s="11" t="s">
        <v>4273</v>
      </c>
      <c r="E71" s="11" t="s">
        <v>4244</v>
      </c>
      <c r="F71" s="11" t="s">
        <v>84</v>
      </c>
      <c r="G71" s="11" t="s">
        <v>4351</v>
      </c>
      <c r="H71" s="11" t="s">
        <v>4351</v>
      </c>
      <c r="I71" s="11" t="s">
        <v>142</v>
      </c>
      <c r="J71" s="11" t="s">
        <v>4432</v>
      </c>
      <c r="K71" s="11" t="s">
        <v>4275</v>
      </c>
      <c r="L71" s="11"/>
    </row>
    <row r="72" ht="39" customHeight="1" spans="1:12" s="10" customFormat="1" x14ac:dyDescent="0.25">
      <c r="A72" s="26" t="s">
        <v>4492</v>
      </c>
      <c r="B72" s="11" t="s">
        <v>4493</v>
      </c>
      <c r="C72" s="11" t="s">
        <v>100</v>
      </c>
      <c r="D72" s="11" t="s">
        <v>4273</v>
      </c>
      <c r="E72" s="11" t="s">
        <v>4244</v>
      </c>
      <c r="F72" s="11" t="s">
        <v>84</v>
      </c>
      <c r="G72" s="11" t="s">
        <v>4351</v>
      </c>
      <c r="H72" s="11" t="s">
        <v>4351</v>
      </c>
      <c r="I72" s="11" t="s">
        <v>142</v>
      </c>
      <c r="J72" s="11" t="s">
        <v>4421</v>
      </c>
      <c r="K72" s="11" t="s">
        <v>4275</v>
      </c>
      <c r="L72" s="11"/>
    </row>
    <row r="73" ht="27" customHeight="1" spans="1:12" s="10" customFormat="1" x14ac:dyDescent="0.25">
      <c r="A73" s="26" t="s">
        <v>4494</v>
      </c>
      <c r="B73" s="11" t="s">
        <v>4495</v>
      </c>
      <c r="C73" s="11" t="s">
        <v>94</v>
      </c>
      <c r="D73" s="11" t="s">
        <v>4496</v>
      </c>
      <c r="E73" s="11" t="s">
        <v>4259</v>
      </c>
      <c r="F73" s="11" t="s">
        <v>84</v>
      </c>
      <c r="G73" s="11" t="s">
        <v>4351</v>
      </c>
      <c r="H73" s="11" t="s">
        <v>4351</v>
      </c>
      <c r="I73" s="11" t="s">
        <v>4497</v>
      </c>
      <c r="J73" s="11" t="s">
        <v>142</v>
      </c>
      <c r="K73" s="11" t="s">
        <v>1090</v>
      </c>
      <c r="L73" s="11"/>
    </row>
    <row r="74" ht="63" customHeight="1" spans="1:12" s="10" customFormat="1" x14ac:dyDescent="0.25">
      <c r="A74" s="26" t="s">
        <v>4498</v>
      </c>
      <c r="B74" s="11" t="s">
        <v>4499</v>
      </c>
      <c r="C74" s="11" t="s">
        <v>100</v>
      </c>
      <c r="D74" s="11" t="s">
        <v>4273</v>
      </c>
      <c r="E74" s="11" t="s">
        <v>4244</v>
      </c>
      <c r="F74" s="11" t="s">
        <v>84</v>
      </c>
      <c r="G74" s="11" t="s">
        <v>4351</v>
      </c>
      <c r="H74" s="11" t="s">
        <v>4351</v>
      </c>
      <c r="I74" s="11" t="s">
        <v>142</v>
      </c>
      <c r="J74" s="11" t="s">
        <v>4500</v>
      </c>
      <c r="K74" s="11" t="s">
        <v>4275</v>
      </c>
      <c r="L74" s="11"/>
    </row>
    <row r="75" ht="27" customHeight="1" spans="1:12" s="10" customFormat="1" x14ac:dyDescent="0.25">
      <c r="A75" s="26" t="s">
        <v>4501</v>
      </c>
      <c r="B75" s="11" t="s">
        <v>4502</v>
      </c>
      <c r="C75" s="11" t="s">
        <v>94</v>
      </c>
      <c r="D75" s="11" t="s">
        <v>4496</v>
      </c>
      <c r="E75" s="11" t="s">
        <v>4259</v>
      </c>
      <c r="F75" s="11" t="s">
        <v>84</v>
      </c>
      <c r="G75" s="11" t="s">
        <v>4351</v>
      </c>
      <c r="H75" s="11" t="s">
        <v>4351</v>
      </c>
      <c r="I75" s="11" t="s">
        <v>4503</v>
      </c>
      <c r="J75" s="11" t="s">
        <v>142</v>
      </c>
      <c r="K75" s="11" t="s">
        <v>1090</v>
      </c>
      <c r="L75" s="11"/>
    </row>
    <row r="76" ht="27" customHeight="1" spans="1:12" s="10" customFormat="1" x14ac:dyDescent="0.25">
      <c r="A76" s="26" t="s">
        <v>4504</v>
      </c>
      <c r="B76" s="11" t="s">
        <v>4505</v>
      </c>
      <c r="C76" s="11" t="s">
        <v>94</v>
      </c>
      <c r="D76" s="11" t="s">
        <v>4496</v>
      </c>
      <c r="E76" s="11" t="s">
        <v>4259</v>
      </c>
      <c r="F76" s="11" t="s">
        <v>84</v>
      </c>
      <c r="G76" s="11" t="s">
        <v>4351</v>
      </c>
      <c r="H76" s="11" t="s">
        <v>4351</v>
      </c>
      <c r="I76" s="11" t="s">
        <v>1092</v>
      </c>
      <c r="J76" s="11" t="s">
        <v>142</v>
      </c>
      <c r="K76" s="11" t="s">
        <v>4506</v>
      </c>
      <c r="L76" s="11"/>
    </row>
    <row r="77" ht="27" customHeight="1" spans="1:12" s="10" customFormat="1" x14ac:dyDescent="0.25">
      <c r="A77" s="26" t="s">
        <v>4507</v>
      </c>
      <c r="B77" s="11" t="s">
        <v>4508</v>
      </c>
      <c r="C77" s="11" t="s">
        <v>100</v>
      </c>
      <c r="D77" s="11" t="s">
        <v>4273</v>
      </c>
      <c r="E77" s="11" t="s">
        <v>4244</v>
      </c>
      <c r="F77" s="11" t="s">
        <v>84</v>
      </c>
      <c r="G77" s="11" t="s">
        <v>4351</v>
      </c>
      <c r="H77" s="11" t="s">
        <v>4351</v>
      </c>
      <c r="I77" s="11" t="s">
        <v>142</v>
      </c>
      <c r="J77" s="11" t="s">
        <v>1092</v>
      </c>
      <c r="K77" s="11" t="s">
        <v>4275</v>
      </c>
      <c r="L77" s="11"/>
    </row>
    <row r="78" ht="27" customHeight="1" spans="1:12" s="10" customFormat="1" x14ac:dyDescent="0.25">
      <c r="A78" s="26" t="s">
        <v>4509</v>
      </c>
      <c r="B78" s="11" t="s">
        <v>4510</v>
      </c>
      <c r="C78" s="11" t="s">
        <v>94</v>
      </c>
      <c r="D78" s="11" t="s">
        <v>4496</v>
      </c>
      <c r="E78" s="11" t="s">
        <v>4259</v>
      </c>
      <c r="F78" s="11" t="s">
        <v>84</v>
      </c>
      <c r="G78" s="11" t="s">
        <v>4351</v>
      </c>
      <c r="H78" s="11" t="s">
        <v>4351</v>
      </c>
      <c r="I78" s="11" t="s">
        <v>2724</v>
      </c>
      <c r="J78" s="11" t="s">
        <v>142</v>
      </c>
      <c r="K78" s="11" t="s">
        <v>4511</v>
      </c>
      <c r="L78" s="11"/>
    </row>
    <row r="79" ht="27" customHeight="1" spans="1:12" s="10" customFormat="1" x14ac:dyDescent="0.25">
      <c r="A79" s="26" t="s">
        <v>4512</v>
      </c>
      <c r="B79" s="11" t="s">
        <v>4513</v>
      </c>
      <c r="C79" s="11" t="s">
        <v>100</v>
      </c>
      <c r="D79" s="11" t="s">
        <v>4273</v>
      </c>
      <c r="E79" s="11" t="s">
        <v>4244</v>
      </c>
      <c r="F79" s="11" t="s">
        <v>84</v>
      </c>
      <c r="G79" s="11" t="s">
        <v>4351</v>
      </c>
      <c r="H79" s="11" t="s">
        <v>4351</v>
      </c>
      <c r="I79" s="11" t="s">
        <v>142</v>
      </c>
      <c r="J79" s="11" t="s">
        <v>2724</v>
      </c>
      <c r="K79" s="11" t="s">
        <v>4275</v>
      </c>
      <c r="L79" s="11"/>
    </row>
    <row r="80" ht="27" customHeight="1" spans="1:12" s="10" customFormat="1" x14ac:dyDescent="0.25">
      <c r="A80" s="26" t="s">
        <v>4514</v>
      </c>
      <c r="B80" s="11" t="s">
        <v>4515</v>
      </c>
      <c r="C80" s="11" t="s">
        <v>91</v>
      </c>
      <c r="D80" s="11" t="s">
        <v>4516</v>
      </c>
      <c r="E80" s="11" t="s">
        <v>4259</v>
      </c>
      <c r="F80" s="11" t="s">
        <v>84</v>
      </c>
      <c r="G80" s="11" t="s">
        <v>4351</v>
      </c>
      <c r="H80" s="11" t="s">
        <v>4351</v>
      </c>
      <c r="I80" s="11" t="s">
        <v>4517</v>
      </c>
      <c r="J80" s="11" t="s">
        <v>142</v>
      </c>
      <c r="K80" s="11" t="s">
        <v>1103</v>
      </c>
      <c r="L80" s="11"/>
    </row>
    <row r="81" ht="27" customHeight="1" spans="1:12" s="10" customFormat="1" x14ac:dyDescent="0.25">
      <c r="A81" s="26" t="s">
        <v>4518</v>
      </c>
      <c r="B81" s="11" t="s">
        <v>4519</v>
      </c>
      <c r="C81" s="11" t="s">
        <v>94</v>
      </c>
      <c r="D81" s="11" t="s">
        <v>4496</v>
      </c>
      <c r="E81" s="11" t="s">
        <v>4259</v>
      </c>
      <c r="F81" s="11" t="s">
        <v>84</v>
      </c>
      <c r="G81" s="11" t="s">
        <v>4351</v>
      </c>
      <c r="H81" s="11" t="s">
        <v>4351</v>
      </c>
      <c r="I81" s="11" t="s">
        <v>2326</v>
      </c>
      <c r="J81" s="11" t="s">
        <v>142</v>
      </c>
      <c r="K81" s="11" t="s">
        <v>1110</v>
      </c>
      <c r="L81" s="11"/>
    </row>
    <row r="82" ht="27" customHeight="1" spans="1:12" s="10" customFormat="1" x14ac:dyDescent="0.25">
      <c r="A82" s="26" t="s">
        <v>4520</v>
      </c>
      <c r="B82" s="11" t="s">
        <v>4521</v>
      </c>
      <c r="C82" s="11" t="s">
        <v>100</v>
      </c>
      <c r="D82" s="11" t="s">
        <v>4273</v>
      </c>
      <c r="E82" s="11" t="s">
        <v>4244</v>
      </c>
      <c r="F82" s="11" t="s">
        <v>84</v>
      </c>
      <c r="G82" s="11" t="s">
        <v>4351</v>
      </c>
      <c r="H82" s="11" t="s">
        <v>4351</v>
      </c>
      <c r="I82" s="11" t="s">
        <v>142</v>
      </c>
      <c r="J82" s="11" t="s">
        <v>2326</v>
      </c>
      <c r="K82" s="11" t="s">
        <v>4275</v>
      </c>
      <c r="L82" s="11"/>
    </row>
    <row r="83" ht="27" customHeight="1" spans="1:12" s="10" customFormat="1" x14ac:dyDescent="0.25">
      <c r="A83" s="26" t="s">
        <v>4522</v>
      </c>
      <c r="B83" s="11" t="s">
        <v>4523</v>
      </c>
      <c r="C83" s="11" t="s">
        <v>100</v>
      </c>
      <c r="D83" s="11" t="s">
        <v>4273</v>
      </c>
      <c r="E83" s="11" t="s">
        <v>4244</v>
      </c>
      <c r="F83" s="11" t="s">
        <v>84</v>
      </c>
      <c r="G83" s="11" t="s">
        <v>4351</v>
      </c>
      <c r="H83" s="11" t="s">
        <v>4351</v>
      </c>
      <c r="I83" s="11" t="s">
        <v>142</v>
      </c>
      <c r="J83" s="11" t="s">
        <v>4517</v>
      </c>
      <c r="K83" s="11" t="s">
        <v>4275</v>
      </c>
      <c r="L83" s="11"/>
    </row>
    <row r="84" ht="27" customHeight="1" spans="1:12" s="10" customFormat="1" x14ac:dyDescent="0.25">
      <c r="A84" s="26" t="s">
        <v>4524</v>
      </c>
      <c r="B84" s="11" t="s">
        <v>4525</v>
      </c>
      <c r="C84" s="11" t="s">
        <v>91</v>
      </c>
      <c r="D84" s="11" t="s">
        <v>4526</v>
      </c>
      <c r="E84" s="11" t="s">
        <v>4259</v>
      </c>
      <c r="F84" s="11" t="s">
        <v>84</v>
      </c>
      <c r="G84" s="11" t="s">
        <v>4351</v>
      </c>
      <c r="H84" s="11" t="s">
        <v>4351</v>
      </c>
      <c r="I84" s="11" t="s">
        <v>4527</v>
      </c>
      <c r="J84" s="11" t="s">
        <v>142</v>
      </c>
      <c r="K84" s="11" t="s">
        <v>1117</v>
      </c>
      <c r="L84" s="11"/>
    </row>
    <row r="85" ht="63" customHeight="1" spans="1:12" s="10" customFormat="1" x14ac:dyDescent="0.25">
      <c r="A85" s="26" t="s">
        <v>4528</v>
      </c>
      <c r="B85" s="11" t="s">
        <v>4529</v>
      </c>
      <c r="C85" s="11" t="s">
        <v>100</v>
      </c>
      <c r="D85" s="11" t="s">
        <v>4273</v>
      </c>
      <c r="E85" s="11" t="s">
        <v>4244</v>
      </c>
      <c r="F85" s="11" t="s">
        <v>84</v>
      </c>
      <c r="G85" s="11" t="s">
        <v>4351</v>
      </c>
      <c r="H85" s="11" t="s">
        <v>4351</v>
      </c>
      <c r="I85" s="11" t="s">
        <v>142</v>
      </c>
      <c r="J85" s="11" t="s">
        <v>4530</v>
      </c>
      <c r="K85" s="11" t="s">
        <v>4275</v>
      </c>
      <c r="L85" s="11"/>
    </row>
    <row r="86" ht="39" customHeight="1" spans="1:12" s="10" customFormat="1" x14ac:dyDescent="0.25">
      <c r="A86" s="26" t="s">
        <v>4531</v>
      </c>
      <c r="B86" s="11" t="s">
        <v>4532</v>
      </c>
      <c r="C86" s="11" t="s">
        <v>91</v>
      </c>
      <c r="D86" s="11" t="s">
        <v>4533</v>
      </c>
      <c r="E86" s="11" t="s">
        <v>4259</v>
      </c>
      <c r="F86" s="11" t="s">
        <v>84</v>
      </c>
      <c r="G86" s="11" t="s">
        <v>4351</v>
      </c>
      <c r="H86" s="11" t="s">
        <v>4534</v>
      </c>
      <c r="I86" s="11" t="s">
        <v>4535</v>
      </c>
      <c r="J86" s="11" t="s">
        <v>142</v>
      </c>
      <c r="K86" s="11" t="s">
        <v>4536</v>
      </c>
      <c r="L86" s="11" t="s">
        <v>4537</v>
      </c>
    </row>
    <row r="87" ht="75" customHeight="1" spans="1:12" s="10" customFormat="1" x14ac:dyDescent="0.25">
      <c r="A87" s="26" t="s">
        <v>4538</v>
      </c>
      <c r="B87" s="11" t="s">
        <v>4539</v>
      </c>
      <c r="C87" s="11" t="s">
        <v>100</v>
      </c>
      <c r="D87" s="11" t="s">
        <v>4273</v>
      </c>
      <c r="E87" s="11" t="s">
        <v>4244</v>
      </c>
      <c r="F87" s="11" t="s">
        <v>84</v>
      </c>
      <c r="G87" s="11" t="s">
        <v>4534</v>
      </c>
      <c r="H87" s="11" t="s">
        <v>4534</v>
      </c>
      <c r="I87" s="11" t="s">
        <v>142</v>
      </c>
      <c r="J87" s="11" t="s">
        <v>4540</v>
      </c>
      <c r="K87" s="11" t="s">
        <v>4275</v>
      </c>
      <c r="L87" s="11" t="s">
        <v>4541</v>
      </c>
    </row>
    <row r="88" ht="39" customHeight="1" spans="1:12" s="10" customFormat="1" x14ac:dyDescent="0.25">
      <c r="A88" s="26" t="s">
        <v>4542</v>
      </c>
      <c r="B88" s="11" t="s">
        <v>4543</v>
      </c>
      <c r="C88" s="11" t="s">
        <v>102</v>
      </c>
      <c r="D88" s="11" t="s">
        <v>4544</v>
      </c>
      <c r="E88" s="11" t="s">
        <v>4244</v>
      </c>
      <c r="F88" s="11" t="s">
        <v>84</v>
      </c>
      <c r="G88" s="11" t="s">
        <v>4534</v>
      </c>
      <c r="H88" s="11" t="s">
        <v>4534</v>
      </c>
      <c r="I88" s="11" t="s">
        <v>142</v>
      </c>
      <c r="J88" s="11" t="s">
        <v>142</v>
      </c>
      <c r="K88" s="11" t="s">
        <v>4275</v>
      </c>
      <c r="L88" s="11" t="s">
        <v>4545</v>
      </c>
    </row>
    <row r="89" ht="27" customHeight="1" spans="1:12" s="10" customFormat="1" x14ac:dyDescent="0.25">
      <c r="A89" s="26" t="s">
        <v>4546</v>
      </c>
      <c r="B89" s="11" t="s">
        <v>4547</v>
      </c>
      <c r="C89" s="11" t="s">
        <v>90</v>
      </c>
      <c r="D89" s="11" t="s">
        <v>4360</v>
      </c>
      <c r="E89" s="11" t="s">
        <v>4244</v>
      </c>
      <c r="F89" s="11" t="s">
        <v>84</v>
      </c>
      <c r="G89" s="11" t="s">
        <v>4534</v>
      </c>
      <c r="H89" s="11" t="s">
        <v>4534</v>
      </c>
      <c r="I89" s="11" t="s">
        <v>1536</v>
      </c>
      <c r="J89" s="11" t="s">
        <v>1536</v>
      </c>
      <c r="K89" s="11" t="s">
        <v>4275</v>
      </c>
      <c r="L89" s="11"/>
    </row>
    <row r="90" ht="27" customHeight="1" spans="1:12" s="10" customFormat="1" x14ac:dyDescent="0.25">
      <c r="A90" s="26" t="s">
        <v>4548</v>
      </c>
      <c r="B90" s="11" t="s">
        <v>4549</v>
      </c>
      <c r="C90" s="11" t="s">
        <v>91</v>
      </c>
      <c r="D90" s="11" t="s">
        <v>4550</v>
      </c>
      <c r="E90" s="11" t="s">
        <v>4259</v>
      </c>
      <c r="F90" s="11" t="s">
        <v>84</v>
      </c>
      <c r="G90" s="11" t="s">
        <v>4534</v>
      </c>
      <c r="H90" s="11" t="s">
        <v>4534</v>
      </c>
      <c r="I90" s="11" t="s">
        <v>4551</v>
      </c>
      <c r="J90" s="11" t="s">
        <v>142</v>
      </c>
      <c r="K90" s="11" t="s">
        <v>4552</v>
      </c>
      <c r="L90" s="11"/>
    </row>
    <row r="91" ht="27" customHeight="1" spans="1:12" s="10" customFormat="1" x14ac:dyDescent="0.25">
      <c r="A91" s="26" t="s">
        <v>4553</v>
      </c>
      <c r="B91" s="11" t="s">
        <v>4554</v>
      </c>
      <c r="C91" s="11" t="s">
        <v>88</v>
      </c>
      <c r="D91" s="11" t="s">
        <v>4550</v>
      </c>
      <c r="E91" s="11" t="s">
        <v>4259</v>
      </c>
      <c r="F91" s="11" t="s">
        <v>84</v>
      </c>
      <c r="G91" s="11" t="s">
        <v>4534</v>
      </c>
      <c r="H91" s="11" t="s">
        <v>4534</v>
      </c>
      <c r="I91" s="11" t="s">
        <v>4555</v>
      </c>
      <c r="J91" s="11" t="s">
        <v>142</v>
      </c>
      <c r="K91" s="11" t="s">
        <v>4552</v>
      </c>
      <c r="L91" s="11"/>
    </row>
    <row r="92" ht="27" customHeight="1" spans="1:12" s="10" customFormat="1" x14ac:dyDescent="0.25">
      <c r="A92" s="26" t="s">
        <v>4556</v>
      </c>
      <c r="B92" s="11" t="s">
        <v>4557</v>
      </c>
      <c r="C92" s="11" t="s">
        <v>91</v>
      </c>
      <c r="D92" s="11" t="s">
        <v>4558</v>
      </c>
      <c r="E92" s="11" t="s">
        <v>4259</v>
      </c>
      <c r="F92" s="11" t="s">
        <v>84</v>
      </c>
      <c r="G92" s="11" t="s">
        <v>4534</v>
      </c>
      <c r="H92" s="11" t="s">
        <v>4534</v>
      </c>
      <c r="I92" s="11" t="s">
        <v>4559</v>
      </c>
      <c r="J92" s="11" t="s">
        <v>142</v>
      </c>
      <c r="K92" s="11" t="s">
        <v>1165</v>
      </c>
      <c r="L92" s="11"/>
    </row>
    <row r="93" ht="27" customHeight="1" spans="1:12" s="10" customFormat="1" x14ac:dyDescent="0.25">
      <c r="A93" s="26" t="s">
        <v>4560</v>
      </c>
      <c r="B93" s="11" t="s">
        <v>4561</v>
      </c>
      <c r="C93" s="11" t="s">
        <v>91</v>
      </c>
      <c r="D93" s="11" t="s">
        <v>4562</v>
      </c>
      <c r="E93" s="11" t="s">
        <v>4259</v>
      </c>
      <c r="F93" s="11" t="s">
        <v>84</v>
      </c>
      <c r="G93" s="11" t="s">
        <v>4534</v>
      </c>
      <c r="H93" s="11" t="s">
        <v>4563</v>
      </c>
      <c r="I93" s="11" t="s">
        <v>4015</v>
      </c>
      <c r="J93" s="11" t="s">
        <v>4015</v>
      </c>
      <c r="K93" s="11" t="s">
        <v>1165</v>
      </c>
      <c r="L93" s="11" t="s">
        <v>4564</v>
      </c>
    </row>
    <row r="94" ht="27" customHeight="1" spans="1:12" s="10" customFormat="1" x14ac:dyDescent="0.25">
      <c r="A94" s="26" t="s">
        <v>4565</v>
      </c>
      <c r="B94" s="11" t="s">
        <v>4566</v>
      </c>
      <c r="C94" s="11" t="s">
        <v>88</v>
      </c>
      <c r="D94" s="11" t="s">
        <v>4550</v>
      </c>
      <c r="E94" s="11" t="s">
        <v>4259</v>
      </c>
      <c r="F94" s="11" t="s">
        <v>84</v>
      </c>
      <c r="G94" s="11" t="s">
        <v>4534</v>
      </c>
      <c r="H94" s="11" t="s">
        <v>4534</v>
      </c>
      <c r="I94" s="11" t="s">
        <v>1556</v>
      </c>
      <c r="J94" s="11" t="s">
        <v>142</v>
      </c>
      <c r="K94" s="11" t="s">
        <v>4567</v>
      </c>
      <c r="L94" s="11" t="s">
        <v>4568</v>
      </c>
    </row>
    <row r="95" ht="27" customHeight="1" spans="1:12" s="10" customFormat="1" x14ac:dyDescent="0.25">
      <c r="A95" s="26" t="s">
        <v>4569</v>
      </c>
      <c r="B95" s="11" t="s">
        <v>4570</v>
      </c>
      <c r="C95" s="11" t="s">
        <v>104</v>
      </c>
      <c r="D95" s="11" t="s">
        <v>4558</v>
      </c>
      <c r="E95" s="11" t="s">
        <v>4259</v>
      </c>
      <c r="F95" s="11" t="s">
        <v>84</v>
      </c>
      <c r="G95" s="11" t="s">
        <v>4534</v>
      </c>
      <c r="H95" s="11" t="s">
        <v>4534</v>
      </c>
      <c r="I95" s="11" t="s">
        <v>4571</v>
      </c>
      <c r="J95" s="11" t="s">
        <v>142</v>
      </c>
      <c r="K95" s="11" t="s">
        <v>4572</v>
      </c>
      <c r="L95" s="11"/>
    </row>
    <row r="96" ht="27" customHeight="1" spans="1:12" s="10" customFormat="1" x14ac:dyDescent="0.25">
      <c r="A96" s="26" t="s">
        <v>4573</v>
      </c>
      <c r="B96" s="11" t="s">
        <v>4574</v>
      </c>
      <c r="C96" s="11" t="s">
        <v>104</v>
      </c>
      <c r="D96" s="11" t="s">
        <v>4558</v>
      </c>
      <c r="E96" s="11" t="s">
        <v>4259</v>
      </c>
      <c r="F96" s="11" t="s">
        <v>84</v>
      </c>
      <c r="G96" s="11" t="s">
        <v>4534</v>
      </c>
      <c r="H96" s="11" t="s">
        <v>4534</v>
      </c>
      <c r="I96" s="11" t="s">
        <v>1547</v>
      </c>
      <c r="J96" s="11" t="s">
        <v>142</v>
      </c>
      <c r="K96" s="11" t="s">
        <v>4572</v>
      </c>
      <c r="L96" s="11"/>
    </row>
    <row r="97" ht="27" customHeight="1" spans="1:12" s="10" customFormat="1" x14ac:dyDescent="0.25">
      <c r="A97" s="26" t="s">
        <v>4575</v>
      </c>
      <c r="B97" s="11" t="s">
        <v>4576</v>
      </c>
      <c r="C97" s="11" t="s">
        <v>104</v>
      </c>
      <c r="D97" s="11" t="s">
        <v>4558</v>
      </c>
      <c r="E97" s="11" t="s">
        <v>4259</v>
      </c>
      <c r="F97" s="11" t="s">
        <v>84</v>
      </c>
      <c r="G97" s="11" t="s">
        <v>4534</v>
      </c>
      <c r="H97" s="11" t="s">
        <v>4534</v>
      </c>
      <c r="I97" s="11" t="s">
        <v>1547</v>
      </c>
      <c r="J97" s="11" t="s">
        <v>142</v>
      </c>
      <c r="K97" s="11" t="s">
        <v>4572</v>
      </c>
      <c r="L97" s="11"/>
    </row>
    <row r="98" ht="27" customHeight="1" spans="1:12" s="10" customFormat="1" x14ac:dyDescent="0.25">
      <c r="A98" s="26" t="s">
        <v>4577</v>
      </c>
      <c r="B98" s="11" t="s">
        <v>4578</v>
      </c>
      <c r="C98" s="11" t="s">
        <v>104</v>
      </c>
      <c r="D98" s="11" t="s">
        <v>4558</v>
      </c>
      <c r="E98" s="11" t="s">
        <v>4259</v>
      </c>
      <c r="F98" s="11" t="s">
        <v>84</v>
      </c>
      <c r="G98" s="11" t="s">
        <v>4534</v>
      </c>
      <c r="H98" s="11" t="s">
        <v>4534</v>
      </c>
      <c r="I98" s="11" t="s">
        <v>1547</v>
      </c>
      <c r="J98" s="11" t="s">
        <v>142</v>
      </c>
      <c r="K98" s="11" t="s">
        <v>4572</v>
      </c>
      <c r="L98" s="11"/>
    </row>
    <row r="99" ht="27" customHeight="1" spans="1:12" s="10" customFormat="1" x14ac:dyDescent="0.25">
      <c r="A99" s="26" t="s">
        <v>4579</v>
      </c>
      <c r="B99" s="11" t="s">
        <v>4580</v>
      </c>
      <c r="C99" s="11" t="s">
        <v>91</v>
      </c>
      <c r="D99" s="11" t="s">
        <v>4558</v>
      </c>
      <c r="E99" s="11" t="s">
        <v>4259</v>
      </c>
      <c r="F99" s="11" t="s">
        <v>84</v>
      </c>
      <c r="G99" s="11" t="s">
        <v>4534</v>
      </c>
      <c r="H99" s="11" t="s">
        <v>4534</v>
      </c>
      <c r="I99" s="11" t="s">
        <v>1201</v>
      </c>
      <c r="J99" s="11" t="s">
        <v>142</v>
      </c>
      <c r="K99" s="11" t="s">
        <v>1165</v>
      </c>
      <c r="L99" s="11"/>
    </row>
    <row r="100" ht="27" customHeight="1" spans="1:12" s="10" customFormat="1" x14ac:dyDescent="0.25">
      <c r="A100" s="26" t="s">
        <v>4581</v>
      </c>
      <c r="B100" s="11" t="s">
        <v>4582</v>
      </c>
      <c r="C100" s="11" t="s">
        <v>104</v>
      </c>
      <c r="D100" s="11" t="s">
        <v>4558</v>
      </c>
      <c r="E100" s="11" t="s">
        <v>4259</v>
      </c>
      <c r="F100" s="11" t="s">
        <v>84</v>
      </c>
      <c r="G100" s="11" t="s">
        <v>4534</v>
      </c>
      <c r="H100" s="11" t="s">
        <v>4534</v>
      </c>
      <c r="I100" s="11" t="s">
        <v>1547</v>
      </c>
      <c r="J100" s="11" t="s">
        <v>142</v>
      </c>
      <c r="K100" s="11" t="s">
        <v>4572</v>
      </c>
      <c r="L100" s="11" t="s">
        <v>4583</v>
      </c>
    </row>
    <row r="101" ht="39" customHeight="1" spans="1:12" s="10" customFormat="1" x14ac:dyDescent="0.25">
      <c r="A101" s="26" t="s">
        <v>4584</v>
      </c>
      <c r="B101" s="11" t="s">
        <v>4585</v>
      </c>
      <c r="C101" s="11" t="s">
        <v>91</v>
      </c>
      <c r="D101" s="11" t="s">
        <v>4586</v>
      </c>
      <c r="E101" s="11" t="s">
        <v>4244</v>
      </c>
      <c r="F101" s="11" t="s">
        <v>84</v>
      </c>
      <c r="G101" s="11" t="s">
        <v>4534</v>
      </c>
      <c r="H101" s="11" t="s">
        <v>4563</v>
      </c>
      <c r="I101" s="11" t="s">
        <v>4587</v>
      </c>
      <c r="J101" s="11" t="s">
        <v>4588</v>
      </c>
      <c r="K101" s="11" t="s">
        <v>4275</v>
      </c>
      <c r="L101" s="11" t="s">
        <v>4589</v>
      </c>
    </row>
    <row r="102" ht="27" customHeight="1" spans="1:12" s="10" customFormat="1" x14ac:dyDescent="0.25">
      <c r="A102" s="26" t="s">
        <v>4590</v>
      </c>
      <c r="B102" s="11" t="s">
        <v>4591</v>
      </c>
      <c r="C102" s="11" t="s">
        <v>90</v>
      </c>
      <c r="D102" s="11" t="s">
        <v>4592</v>
      </c>
      <c r="E102" s="11" t="s">
        <v>4244</v>
      </c>
      <c r="F102" s="11" t="s">
        <v>84</v>
      </c>
      <c r="G102" s="11" t="s">
        <v>4534</v>
      </c>
      <c r="H102" s="11" t="s">
        <v>4534</v>
      </c>
      <c r="I102" s="11" t="s">
        <v>142</v>
      </c>
      <c r="J102" s="11" t="s">
        <v>142</v>
      </c>
      <c r="K102" s="11" t="s">
        <v>4275</v>
      </c>
      <c r="L102" s="11" t="s">
        <v>4593</v>
      </c>
    </row>
    <row r="103" ht="51" customHeight="1" spans="1:12" s="10" customFormat="1" x14ac:dyDescent="0.25">
      <c r="A103" s="26" t="s">
        <v>4594</v>
      </c>
      <c r="B103" s="11" t="s">
        <v>4595</v>
      </c>
      <c r="C103" s="11" t="s">
        <v>91</v>
      </c>
      <c r="D103" s="11" t="s">
        <v>4596</v>
      </c>
      <c r="E103" s="11" t="s">
        <v>4259</v>
      </c>
      <c r="F103" s="11" t="s">
        <v>84</v>
      </c>
      <c r="G103" s="11" t="s">
        <v>4534</v>
      </c>
      <c r="H103" s="11" t="s">
        <v>4534</v>
      </c>
      <c r="I103" s="11" t="s">
        <v>4597</v>
      </c>
      <c r="J103" s="11" t="s">
        <v>4598</v>
      </c>
      <c r="K103" s="11" t="s">
        <v>1165</v>
      </c>
      <c r="L103" s="11" t="s">
        <v>4599</v>
      </c>
    </row>
    <row r="104" ht="51" customHeight="1" spans="1:12" s="10" customFormat="1" x14ac:dyDescent="0.25">
      <c r="A104" s="26" t="s">
        <v>4600</v>
      </c>
      <c r="B104" s="11" t="s">
        <v>4601</v>
      </c>
      <c r="C104" s="11" t="s">
        <v>93</v>
      </c>
      <c r="D104" s="11" t="s">
        <v>4596</v>
      </c>
      <c r="E104" s="11" t="s">
        <v>4259</v>
      </c>
      <c r="F104" s="11" t="s">
        <v>84</v>
      </c>
      <c r="G104" s="11" t="s">
        <v>4534</v>
      </c>
      <c r="H104" s="11" t="s">
        <v>4534</v>
      </c>
      <c r="I104" s="11" t="s">
        <v>4602</v>
      </c>
      <c r="J104" s="11" t="s">
        <v>4598</v>
      </c>
      <c r="K104" s="11" t="s">
        <v>1165</v>
      </c>
      <c r="L104" s="11" t="s">
        <v>4603</v>
      </c>
    </row>
    <row r="105" ht="39" customHeight="1" spans="1:12" s="10" customFormat="1" x14ac:dyDescent="0.25">
      <c r="A105" s="26" t="s">
        <v>4604</v>
      </c>
      <c r="B105" s="11" t="s">
        <v>4605</v>
      </c>
      <c r="C105" s="11" t="s">
        <v>90</v>
      </c>
      <c r="D105" s="11" t="s">
        <v>4596</v>
      </c>
      <c r="E105" s="11" t="s">
        <v>4259</v>
      </c>
      <c r="F105" s="11" t="s">
        <v>84</v>
      </c>
      <c r="G105" s="11" t="s">
        <v>4534</v>
      </c>
      <c r="H105" s="11" t="s">
        <v>4534</v>
      </c>
      <c r="I105" s="11" t="s">
        <v>4606</v>
      </c>
      <c r="J105" s="11" t="s">
        <v>142</v>
      </c>
      <c r="K105" s="11" t="s">
        <v>4552</v>
      </c>
      <c r="L105" s="11" t="s">
        <v>4607</v>
      </c>
    </row>
    <row r="106" ht="27" customHeight="1" spans="1:12" s="10" customFormat="1" x14ac:dyDescent="0.25">
      <c r="A106" s="26" t="s">
        <v>4608</v>
      </c>
      <c r="B106" s="11" t="s">
        <v>4609</v>
      </c>
      <c r="C106" s="11" t="s">
        <v>90</v>
      </c>
      <c r="D106" s="11" t="s">
        <v>4610</v>
      </c>
      <c r="E106" s="11" t="s">
        <v>4244</v>
      </c>
      <c r="F106" s="11" t="s">
        <v>84</v>
      </c>
      <c r="G106" s="11" t="s">
        <v>4563</v>
      </c>
      <c r="H106" s="11" t="s">
        <v>4563</v>
      </c>
      <c r="I106" s="11" t="s">
        <v>142</v>
      </c>
      <c r="J106" s="11" t="s">
        <v>142</v>
      </c>
      <c r="K106" s="11" t="s">
        <v>4275</v>
      </c>
      <c r="L106" s="11" t="s">
        <v>4611</v>
      </c>
    </row>
    <row r="107" ht="27" customHeight="1" spans="1:12" s="10" customFormat="1" x14ac:dyDescent="0.25">
      <c r="A107" s="26" t="s">
        <v>4612</v>
      </c>
      <c r="B107" s="11" t="s">
        <v>4613</v>
      </c>
      <c r="C107" s="11" t="s">
        <v>91</v>
      </c>
      <c r="D107" s="11" t="s">
        <v>4596</v>
      </c>
      <c r="E107" s="11" t="s">
        <v>4259</v>
      </c>
      <c r="F107" s="11" t="s">
        <v>84</v>
      </c>
      <c r="G107" s="11" t="s">
        <v>4563</v>
      </c>
      <c r="H107" s="11" t="s">
        <v>4563</v>
      </c>
      <c r="I107" s="11" t="s">
        <v>4614</v>
      </c>
      <c r="J107" s="11" t="s">
        <v>4615</v>
      </c>
      <c r="K107" s="11" t="s">
        <v>1165</v>
      </c>
      <c r="L107" s="11" t="s">
        <v>4616</v>
      </c>
    </row>
    <row r="108" ht="27" customHeight="1" spans="1:12" s="10" customFormat="1" x14ac:dyDescent="0.25">
      <c r="A108" s="26" t="s">
        <v>4617</v>
      </c>
      <c r="B108" s="11" t="s">
        <v>4618</v>
      </c>
      <c r="C108" s="11" t="s">
        <v>90</v>
      </c>
      <c r="D108" s="11" t="s">
        <v>4610</v>
      </c>
      <c r="E108" s="11" t="s">
        <v>4244</v>
      </c>
      <c r="F108" s="11" t="s">
        <v>84</v>
      </c>
      <c r="G108" s="11" t="s">
        <v>4563</v>
      </c>
      <c r="H108" s="11" t="s">
        <v>4563</v>
      </c>
      <c r="I108" s="11" t="s">
        <v>142</v>
      </c>
      <c r="J108" s="11" t="s">
        <v>142</v>
      </c>
      <c r="K108" s="11" t="s">
        <v>4275</v>
      </c>
      <c r="L108" s="11"/>
    </row>
    <row r="109" ht="27" customHeight="1" spans="1:12" s="10" customFormat="1" x14ac:dyDescent="0.25">
      <c r="A109" s="26" t="s">
        <v>4619</v>
      </c>
      <c r="B109" s="11" t="s">
        <v>4620</v>
      </c>
      <c r="C109" s="11" t="s">
        <v>90</v>
      </c>
      <c r="D109" s="11" t="s">
        <v>4596</v>
      </c>
      <c r="E109" s="11" t="s">
        <v>4259</v>
      </c>
      <c r="F109" s="11" t="s">
        <v>84</v>
      </c>
      <c r="G109" s="11" t="s">
        <v>4563</v>
      </c>
      <c r="H109" s="11" t="s">
        <v>4563</v>
      </c>
      <c r="I109" s="11" t="s">
        <v>1653</v>
      </c>
      <c r="J109" s="11" t="s">
        <v>142</v>
      </c>
      <c r="K109" s="11" t="s">
        <v>1165</v>
      </c>
      <c r="L109" s="11" t="s">
        <v>4621</v>
      </c>
    </row>
    <row r="110" ht="27" customHeight="1" spans="1:12" s="10" customFormat="1" x14ac:dyDescent="0.25">
      <c r="A110" s="26" t="s">
        <v>4622</v>
      </c>
      <c r="B110" s="11" t="s">
        <v>4623</v>
      </c>
      <c r="C110" s="11" t="s">
        <v>91</v>
      </c>
      <c r="D110" s="11" t="s">
        <v>4596</v>
      </c>
      <c r="E110" s="11" t="s">
        <v>4259</v>
      </c>
      <c r="F110" s="11" t="s">
        <v>84</v>
      </c>
      <c r="G110" s="11" t="s">
        <v>4563</v>
      </c>
      <c r="H110" s="11" t="s">
        <v>4563</v>
      </c>
      <c r="I110" s="11" t="s">
        <v>4624</v>
      </c>
      <c r="J110" s="11" t="s">
        <v>4625</v>
      </c>
      <c r="K110" s="11" t="s">
        <v>1165</v>
      </c>
      <c r="L110" s="11" t="s">
        <v>4626</v>
      </c>
    </row>
    <row r="111" ht="27" customHeight="1" spans="1:12" s="10" customFormat="1" x14ac:dyDescent="0.25">
      <c r="A111" s="26" t="s">
        <v>4627</v>
      </c>
      <c r="B111" s="11" t="s">
        <v>4628</v>
      </c>
      <c r="C111" s="11" t="s">
        <v>93</v>
      </c>
      <c r="D111" s="11" t="s">
        <v>4596</v>
      </c>
      <c r="E111" s="11" t="s">
        <v>4259</v>
      </c>
      <c r="F111" s="11" t="s">
        <v>84</v>
      </c>
      <c r="G111" s="11" t="s">
        <v>4563</v>
      </c>
      <c r="H111" s="11" t="s">
        <v>4563</v>
      </c>
      <c r="I111" s="11" t="s">
        <v>4624</v>
      </c>
      <c r="J111" s="11" t="s">
        <v>4625</v>
      </c>
      <c r="K111" s="11" t="s">
        <v>1165</v>
      </c>
      <c r="L111" s="11" t="s">
        <v>4629</v>
      </c>
    </row>
    <row r="112" ht="27" customHeight="1" spans="1:12" s="10" customFormat="1" x14ac:dyDescent="0.25">
      <c r="A112" s="26" t="s">
        <v>4630</v>
      </c>
      <c r="B112" s="11" t="s">
        <v>4631</v>
      </c>
      <c r="C112" s="11" t="s">
        <v>94</v>
      </c>
      <c r="D112" s="11" t="s">
        <v>4596</v>
      </c>
      <c r="E112" s="11" t="s">
        <v>4259</v>
      </c>
      <c r="F112" s="11" t="s">
        <v>84</v>
      </c>
      <c r="G112" s="11" t="s">
        <v>4563</v>
      </c>
      <c r="H112" s="11" t="s">
        <v>4563</v>
      </c>
      <c r="I112" s="11" t="s">
        <v>4632</v>
      </c>
      <c r="J112" s="11" t="s">
        <v>4633</v>
      </c>
      <c r="K112" s="11" t="s">
        <v>1165</v>
      </c>
      <c r="L112" s="11"/>
    </row>
    <row r="113" ht="27" customHeight="1" spans="1:12" s="10" customFormat="1" x14ac:dyDescent="0.25">
      <c r="A113" s="26" t="s">
        <v>4634</v>
      </c>
      <c r="B113" s="11" t="s">
        <v>4635</v>
      </c>
      <c r="C113" s="11" t="s">
        <v>91</v>
      </c>
      <c r="D113" s="11" t="s">
        <v>4636</v>
      </c>
      <c r="E113" s="11" t="s">
        <v>4259</v>
      </c>
      <c r="F113" s="11" t="s">
        <v>84</v>
      </c>
      <c r="G113" s="11" t="s">
        <v>4563</v>
      </c>
      <c r="H113" s="11" t="s">
        <v>4563</v>
      </c>
      <c r="I113" s="11" t="s">
        <v>4637</v>
      </c>
      <c r="J113" s="11" t="s">
        <v>4638</v>
      </c>
      <c r="K113" s="11" t="s">
        <v>1165</v>
      </c>
      <c r="L113" s="11" t="s">
        <v>4639</v>
      </c>
    </row>
    <row r="114" ht="27" customHeight="1" spans="1:12" s="10" customFormat="1" x14ac:dyDescent="0.25">
      <c r="A114" s="26" t="s">
        <v>4640</v>
      </c>
      <c r="B114" s="11" t="s">
        <v>4641</v>
      </c>
      <c r="C114" s="11" t="s">
        <v>90</v>
      </c>
      <c r="D114" s="11" t="s">
        <v>4596</v>
      </c>
      <c r="E114" s="11" t="s">
        <v>4259</v>
      </c>
      <c r="F114" s="11" t="s">
        <v>84</v>
      </c>
      <c r="G114" s="11" t="s">
        <v>4563</v>
      </c>
      <c r="H114" s="11" t="s">
        <v>4563</v>
      </c>
      <c r="I114" s="11" t="s">
        <v>142</v>
      </c>
      <c r="J114" s="11" t="s">
        <v>142</v>
      </c>
      <c r="K114" s="11" t="s">
        <v>1165</v>
      </c>
      <c r="L114" s="11" t="s">
        <v>4621</v>
      </c>
    </row>
    <row r="115" ht="27" customHeight="1" spans="1:12" s="10" customFormat="1" x14ac:dyDescent="0.25">
      <c r="A115" s="26" t="s">
        <v>4642</v>
      </c>
      <c r="B115" s="11" t="s">
        <v>4643</v>
      </c>
      <c r="C115" s="11" t="s">
        <v>94</v>
      </c>
      <c r="D115" s="11" t="s">
        <v>4636</v>
      </c>
      <c r="E115" s="11" t="s">
        <v>4259</v>
      </c>
      <c r="F115" s="11" t="s">
        <v>84</v>
      </c>
      <c r="G115" s="11" t="s">
        <v>4563</v>
      </c>
      <c r="H115" s="11" t="s">
        <v>4563</v>
      </c>
      <c r="I115" s="11" t="s">
        <v>1297</v>
      </c>
      <c r="J115" s="11" t="s">
        <v>1297</v>
      </c>
      <c r="K115" s="11" t="s">
        <v>1165</v>
      </c>
      <c r="L115" s="11" t="s">
        <v>4644</v>
      </c>
    </row>
    <row r="116" ht="27" customHeight="1" spans="1:12" s="10" customFormat="1" x14ac:dyDescent="0.25">
      <c r="A116" s="26" t="s">
        <v>4645</v>
      </c>
      <c r="B116" s="11" t="s">
        <v>4646</v>
      </c>
      <c r="C116" s="11" t="s">
        <v>91</v>
      </c>
      <c r="D116" s="11" t="s">
        <v>4596</v>
      </c>
      <c r="E116" s="11" t="s">
        <v>4259</v>
      </c>
      <c r="F116" s="11" t="s">
        <v>84</v>
      </c>
      <c r="G116" s="11" t="s">
        <v>4563</v>
      </c>
      <c r="H116" s="11" t="s">
        <v>4563</v>
      </c>
      <c r="I116" s="11" t="s">
        <v>1328</v>
      </c>
      <c r="J116" s="11" t="s">
        <v>4647</v>
      </c>
      <c r="K116" s="11" t="s">
        <v>1165</v>
      </c>
      <c r="L116" s="11" t="s">
        <v>4648</v>
      </c>
    </row>
    <row r="117" ht="51" customHeight="1" spans="1:12" s="10" customFormat="1" x14ac:dyDescent="0.25">
      <c r="A117" s="26" t="s">
        <v>4649</v>
      </c>
      <c r="B117" s="11" t="s">
        <v>4650</v>
      </c>
      <c r="C117" s="11" t="s">
        <v>88</v>
      </c>
      <c r="D117" s="11" t="s">
        <v>4636</v>
      </c>
      <c r="E117" s="11" t="s">
        <v>4259</v>
      </c>
      <c r="F117" s="11" t="s">
        <v>84</v>
      </c>
      <c r="G117" s="11" t="s">
        <v>4563</v>
      </c>
      <c r="H117" s="11" t="s">
        <v>4563</v>
      </c>
      <c r="I117" s="11" t="s">
        <v>4651</v>
      </c>
      <c r="J117" s="11" t="s">
        <v>142</v>
      </c>
      <c r="K117" s="11" t="s">
        <v>1165</v>
      </c>
      <c r="L117" s="11" t="s">
        <v>4652</v>
      </c>
    </row>
    <row r="118" ht="27" customHeight="1" spans="1:12" s="10" customFormat="1" x14ac:dyDescent="0.25">
      <c r="A118" s="26" t="s">
        <v>4653</v>
      </c>
      <c r="B118" s="11" t="s">
        <v>4654</v>
      </c>
      <c r="C118" s="11" t="s">
        <v>93</v>
      </c>
      <c r="D118" s="11" t="s">
        <v>4596</v>
      </c>
      <c r="E118" s="11" t="s">
        <v>4259</v>
      </c>
      <c r="F118" s="11" t="s">
        <v>84</v>
      </c>
      <c r="G118" s="11" t="s">
        <v>4563</v>
      </c>
      <c r="H118" s="11" t="s">
        <v>4563</v>
      </c>
      <c r="I118" s="11" t="s">
        <v>1328</v>
      </c>
      <c r="J118" s="11" t="s">
        <v>4647</v>
      </c>
      <c r="K118" s="11" t="s">
        <v>1165</v>
      </c>
      <c r="L118" s="11"/>
    </row>
    <row r="119" ht="27" customHeight="1" spans="1:12" s="10" customFormat="1" x14ac:dyDescent="0.25">
      <c r="A119" s="26" t="s">
        <v>4655</v>
      </c>
      <c r="B119" s="11" t="s">
        <v>4656</v>
      </c>
      <c r="C119" s="11" t="s">
        <v>88</v>
      </c>
      <c r="D119" s="11" t="s">
        <v>4657</v>
      </c>
      <c r="E119" s="11" t="s">
        <v>4244</v>
      </c>
      <c r="F119" s="11" t="s">
        <v>84</v>
      </c>
      <c r="G119" s="11" t="s">
        <v>4563</v>
      </c>
      <c r="H119" s="11" t="s">
        <v>4563</v>
      </c>
      <c r="I119" s="11" t="s">
        <v>1556</v>
      </c>
      <c r="J119" s="11" t="s">
        <v>1556</v>
      </c>
      <c r="K119" s="11" t="s">
        <v>4275</v>
      </c>
      <c r="L119" s="11" t="s">
        <v>4658</v>
      </c>
    </row>
    <row r="120" ht="27" customHeight="1" spans="1:12" s="10" customFormat="1" x14ac:dyDescent="0.25">
      <c r="A120" s="26" t="s">
        <v>4659</v>
      </c>
      <c r="B120" s="11" t="s">
        <v>4660</v>
      </c>
      <c r="C120" s="11" t="s">
        <v>88</v>
      </c>
      <c r="D120" s="11" t="s">
        <v>4661</v>
      </c>
      <c r="E120" s="11" t="s">
        <v>4244</v>
      </c>
      <c r="F120" s="11" t="s">
        <v>83</v>
      </c>
      <c r="G120" s="11" t="s">
        <v>4563</v>
      </c>
      <c r="H120" s="11" t="s">
        <v>4563</v>
      </c>
      <c r="I120" s="11" t="s">
        <v>1556</v>
      </c>
      <c r="J120" s="11" t="s">
        <v>142</v>
      </c>
      <c r="K120" s="11" t="s">
        <v>142</v>
      </c>
      <c r="L120" s="11" t="s">
        <v>4662</v>
      </c>
    </row>
    <row r="121" ht="39" customHeight="1" spans="1:12" s="10" customFormat="1" x14ac:dyDescent="0.25">
      <c r="A121" s="26" t="s">
        <v>4663</v>
      </c>
      <c r="B121" s="11" t="s">
        <v>4664</v>
      </c>
      <c r="C121" s="11" t="s">
        <v>100</v>
      </c>
      <c r="D121" s="11" t="s">
        <v>4273</v>
      </c>
      <c r="E121" s="11" t="s">
        <v>4244</v>
      </c>
      <c r="F121" s="11" t="s">
        <v>84</v>
      </c>
      <c r="G121" s="11" t="s">
        <v>4563</v>
      </c>
      <c r="H121" s="11" t="s">
        <v>4563</v>
      </c>
      <c r="I121" s="11" t="s">
        <v>142</v>
      </c>
      <c r="J121" s="11" t="s">
        <v>4665</v>
      </c>
      <c r="K121" s="11" t="s">
        <v>4275</v>
      </c>
      <c r="L121" s="11" t="s">
        <v>4666</v>
      </c>
    </row>
    <row r="122" ht="27" customHeight="1" spans="1:12" s="10" customFormat="1" x14ac:dyDescent="0.25">
      <c r="A122" s="26" t="s">
        <v>4667</v>
      </c>
      <c r="B122" s="11" t="s">
        <v>4668</v>
      </c>
      <c r="C122" s="11" t="s">
        <v>94</v>
      </c>
      <c r="D122" s="11" t="s">
        <v>4636</v>
      </c>
      <c r="E122" s="11" t="s">
        <v>4259</v>
      </c>
      <c r="F122" s="11" t="s">
        <v>84</v>
      </c>
      <c r="G122" s="11" t="s">
        <v>4563</v>
      </c>
      <c r="H122" s="11" t="s">
        <v>4563</v>
      </c>
      <c r="I122" s="11" t="s">
        <v>4669</v>
      </c>
      <c r="J122" s="11" t="s">
        <v>1365</v>
      </c>
      <c r="K122" s="11" t="s">
        <v>1340</v>
      </c>
      <c r="L122" s="11" t="s">
        <v>4670</v>
      </c>
    </row>
    <row r="123" ht="39" customHeight="1" spans="1:12" s="10" customFormat="1" x14ac:dyDescent="0.25">
      <c r="A123" s="26" t="s">
        <v>4671</v>
      </c>
      <c r="B123" s="11" t="s">
        <v>4672</v>
      </c>
      <c r="C123" s="11" t="s">
        <v>91</v>
      </c>
      <c r="D123" s="11" t="s">
        <v>4673</v>
      </c>
      <c r="E123" s="11" t="s">
        <v>4259</v>
      </c>
      <c r="F123" s="11" t="s">
        <v>84</v>
      </c>
      <c r="G123" s="11" t="s">
        <v>4563</v>
      </c>
      <c r="H123" s="11" t="s">
        <v>4563</v>
      </c>
      <c r="I123" s="11" t="s">
        <v>4674</v>
      </c>
      <c r="J123" s="11" t="s">
        <v>4675</v>
      </c>
      <c r="K123" s="11" t="s">
        <v>1340</v>
      </c>
      <c r="L123" s="11" t="s">
        <v>4676</v>
      </c>
    </row>
    <row r="124" ht="27" customHeight="1" spans="1:12" s="10" customFormat="1" x14ac:dyDescent="0.25">
      <c r="A124" s="26" t="s">
        <v>4677</v>
      </c>
      <c r="B124" s="11" t="s">
        <v>4678</v>
      </c>
      <c r="C124" s="11" t="s">
        <v>100</v>
      </c>
      <c r="D124" s="11" t="s">
        <v>4273</v>
      </c>
      <c r="E124" s="11" t="s">
        <v>4244</v>
      </c>
      <c r="F124" s="11" t="s">
        <v>84</v>
      </c>
      <c r="G124" s="11" t="s">
        <v>4563</v>
      </c>
      <c r="H124" s="11" t="s">
        <v>4563</v>
      </c>
      <c r="I124" s="11" t="s">
        <v>142</v>
      </c>
      <c r="J124" s="11" t="s">
        <v>4679</v>
      </c>
      <c r="K124" s="11" t="s">
        <v>4275</v>
      </c>
      <c r="L124" s="11" t="s">
        <v>4680</v>
      </c>
    </row>
    <row r="125" ht="51" customHeight="1" spans="1:12" s="10" customFormat="1" x14ac:dyDescent="0.25">
      <c r="A125" s="26" t="s">
        <v>4681</v>
      </c>
      <c r="B125" s="11" t="s">
        <v>4682</v>
      </c>
      <c r="C125" s="11" t="s">
        <v>94</v>
      </c>
      <c r="D125" s="11" t="s">
        <v>4673</v>
      </c>
      <c r="E125" s="11" t="s">
        <v>4259</v>
      </c>
      <c r="F125" s="11" t="s">
        <v>84</v>
      </c>
      <c r="G125" s="11" t="s">
        <v>4563</v>
      </c>
      <c r="H125" s="11" t="s">
        <v>4563</v>
      </c>
      <c r="I125" s="11" t="s">
        <v>4683</v>
      </c>
      <c r="J125" s="11" t="s">
        <v>4675</v>
      </c>
      <c r="K125" s="11" t="s">
        <v>1580</v>
      </c>
      <c r="L125" s="11" t="s">
        <v>4684</v>
      </c>
    </row>
    <row r="126" ht="27" customHeight="1" spans="1:12" s="10" customFormat="1" x14ac:dyDescent="0.25">
      <c r="A126" s="26" t="s">
        <v>4685</v>
      </c>
      <c r="B126" s="11" t="s">
        <v>4686</v>
      </c>
      <c r="C126" s="11" t="s">
        <v>93</v>
      </c>
      <c r="D126" s="11" t="s">
        <v>4687</v>
      </c>
      <c r="E126" s="11" t="s">
        <v>4259</v>
      </c>
      <c r="F126" s="11" t="s">
        <v>84</v>
      </c>
      <c r="G126" s="11" t="s">
        <v>4563</v>
      </c>
      <c r="H126" s="11" t="s">
        <v>4688</v>
      </c>
      <c r="I126" s="11" t="s">
        <v>1452</v>
      </c>
      <c r="J126" s="11" t="s">
        <v>4689</v>
      </c>
      <c r="K126" s="11" t="s">
        <v>4690</v>
      </c>
      <c r="L126" s="11" t="s">
        <v>4691</v>
      </c>
    </row>
    <row r="127" ht="39" customHeight="1" spans="1:12" s="10" customFormat="1" x14ac:dyDescent="0.25">
      <c r="A127" s="26" t="s">
        <v>4692</v>
      </c>
      <c r="B127" s="11" t="s">
        <v>4693</v>
      </c>
      <c r="C127" s="11" t="s">
        <v>100</v>
      </c>
      <c r="D127" s="11" t="s">
        <v>4273</v>
      </c>
      <c r="E127" s="11" t="s">
        <v>4244</v>
      </c>
      <c r="F127" s="11" t="s">
        <v>84</v>
      </c>
      <c r="G127" s="11" t="s">
        <v>4563</v>
      </c>
      <c r="H127" s="11" t="s">
        <v>4563</v>
      </c>
      <c r="I127" s="11" t="s">
        <v>142</v>
      </c>
      <c r="J127" s="11" t="s">
        <v>4694</v>
      </c>
      <c r="K127" s="11" t="s">
        <v>4275</v>
      </c>
      <c r="L127" s="11" t="s">
        <v>4695</v>
      </c>
    </row>
    <row r="128" ht="27" customHeight="1" spans="1:12" s="10" customFormat="1" x14ac:dyDescent="0.25">
      <c r="A128" s="26" t="s">
        <v>4696</v>
      </c>
      <c r="B128" s="11" t="s">
        <v>4697</v>
      </c>
      <c r="C128" s="11" t="s">
        <v>93</v>
      </c>
      <c r="D128" s="11" t="s">
        <v>4673</v>
      </c>
      <c r="E128" s="11" t="s">
        <v>4259</v>
      </c>
      <c r="F128" s="11" t="s">
        <v>84</v>
      </c>
      <c r="G128" s="11" t="s">
        <v>4563</v>
      </c>
      <c r="H128" s="11" t="s">
        <v>4563</v>
      </c>
      <c r="I128" s="11" t="s">
        <v>1589</v>
      </c>
      <c r="J128" s="11" t="s">
        <v>1589</v>
      </c>
      <c r="K128" s="11" t="s">
        <v>4698</v>
      </c>
      <c r="L128" s="11" t="s">
        <v>4699</v>
      </c>
    </row>
    <row r="129" ht="27" customHeight="1" spans="1:12" s="10" customFormat="1" x14ac:dyDescent="0.25">
      <c r="A129" s="26" t="s">
        <v>4700</v>
      </c>
      <c r="B129" s="11" t="s">
        <v>4701</v>
      </c>
      <c r="C129" s="11" t="s">
        <v>98</v>
      </c>
      <c r="D129" s="11" t="s">
        <v>4673</v>
      </c>
      <c r="E129" s="11" t="s">
        <v>4259</v>
      </c>
      <c r="F129" s="11" t="s">
        <v>84</v>
      </c>
      <c r="G129" s="11" t="s">
        <v>4563</v>
      </c>
      <c r="H129" s="11" t="s">
        <v>4688</v>
      </c>
      <c r="I129" s="11" t="s">
        <v>1660</v>
      </c>
      <c r="J129" s="11" t="s">
        <v>4702</v>
      </c>
      <c r="K129" s="11" t="s">
        <v>4698</v>
      </c>
      <c r="L129" s="11" t="s">
        <v>4621</v>
      </c>
    </row>
    <row r="130" ht="27" customHeight="1" spans="1:12" s="10" customFormat="1" x14ac:dyDescent="0.25">
      <c r="A130" s="26" t="s">
        <v>4703</v>
      </c>
      <c r="B130" s="11" t="s">
        <v>4704</v>
      </c>
      <c r="C130" s="11" t="s">
        <v>100</v>
      </c>
      <c r="D130" s="11" t="s">
        <v>4273</v>
      </c>
      <c r="E130" s="11" t="s">
        <v>4244</v>
      </c>
      <c r="F130" s="11" t="s">
        <v>84</v>
      </c>
      <c r="G130" s="11" t="s">
        <v>4688</v>
      </c>
      <c r="H130" s="11" t="s">
        <v>4688</v>
      </c>
      <c r="I130" s="11" t="s">
        <v>142</v>
      </c>
      <c r="J130" s="11" t="s">
        <v>4705</v>
      </c>
      <c r="K130" s="11" t="s">
        <v>4275</v>
      </c>
      <c r="L130" s="11" t="s">
        <v>4706</v>
      </c>
    </row>
    <row r="131" ht="27" customHeight="1" spans="1:12" s="10" customFormat="1" x14ac:dyDescent="0.25">
      <c r="A131" s="26" t="s">
        <v>4707</v>
      </c>
      <c r="B131" s="11" t="s">
        <v>4708</v>
      </c>
      <c r="C131" s="11" t="s">
        <v>93</v>
      </c>
      <c r="D131" s="11" t="s">
        <v>4709</v>
      </c>
      <c r="E131" s="11" t="s">
        <v>4259</v>
      </c>
      <c r="F131" s="11" t="s">
        <v>84</v>
      </c>
      <c r="G131" s="11" t="s">
        <v>4688</v>
      </c>
      <c r="H131" s="11" t="s">
        <v>4688</v>
      </c>
      <c r="I131" s="11" t="s">
        <v>1589</v>
      </c>
      <c r="J131" s="11" t="s">
        <v>1589</v>
      </c>
      <c r="K131" s="11" t="s">
        <v>4690</v>
      </c>
      <c r="L131" s="11" t="s">
        <v>4710</v>
      </c>
    </row>
    <row r="132" ht="27" customHeight="1" spans="1:12" s="10" customFormat="1" x14ac:dyDescent="0.25">
      <c r="A132" s="26" t="s">
        <v>4711</v>
      </c>
      <c r="B132" s="11" t="s">
        <v>4712</v>
      </c>
      <c r="C132" s="11" t="s">
        <v>100</v>
      </c>
      <c r="D132" s="11" t="s">
        <v>4273</v>
      </c>
      <c r="E132" s="11" t="s">
        <v>4244</v>
      </c>
      <c r="F132" s="11" t="s">
        <v>84</v>
      </c>
      <c r="G132" s="11" t="s">
        <v>4688</v>
      </c>
      <c r="H132" s="11" t="s">
        <v>4688</v>
      </c>
      <c r="I132" s="11" t="s">
        <v>142</v>
      </c>
      <c r="J132" s="11" t="s">
        <v>4713</v>
      </c>
      <c r="K132" s="11" t="s">
        <v>4275</v>
      </c>
      <c r="L132" s="11" t="s">
        <v>4714</v>
      </c>
    </row>
    <row r="133" ht="27" customHeight="1" spans="1:12" s="10" customFormat="1" x14ac:dyDescent="0.25">
      <c r="A133" s="26" t="s">
        <v>4715</v>
      </c>
      <c r="B133" s="11" t="s">
        <v>4716</v>
      </c>
      <c r="C133" s="11" t="s">
        <v>90</v>
      </c>
      <c r="D133" s="11" t="s">
        <v>4717</v>
      </c>
      <c r="E133" s="11" t="s">
        <v>4259</v>
      </c>
      <c r="F133" s="11" t="s">
        <v>84</v>
      </c>
      <c r="G133" s="11" t="s">
        <v>4688</v>
      </c>
      <c r="H133" s="11" t="s">
        <v>4688</v>
      </c>
      <c r="I133" s="11" t="s">
        <v>142</v>
      </c>
      <c r="J133" s="11" t="s">
        <v>142</v>
      </c>
      <c r="K133" s="11" t="s">
        <v>4718</v>
      </c>
      <c r="L133" s="11"/>
    </row>
    <row r="134" ht="27" customHeight="1" spans="1:12" s="10" customFormat="1" x14ac:dyDescent="0.25">
      <c r="A134" s="26" t="s">
        <v>4719</v>
      </c>
      <c r="B134" s="11" t="s">
        <v>4720</v>
      </c>
      <c r="C134" s="11" t="s">
        <v>91</v>
      </c>
      <c r="D134" s="11" t="s">
        <v>4721</v>
      </c>
      <c r="E134" s="11" t="s">
        <v>4259</v>
      </c>
      <c r="F134" s="11" t="s">
        <v>84</v>
      </c>
      <c r="G134" s="11" t="s">
        <v>4688</v>
      </c>
      <c r="H134" s="11" t="s">
        <v>4688</v>
      </c>
      <c r="I134" s="11" t="s">
        <v>4722</v>
      </c>
      <c r="J134" s="11" t="s">
        <v>142</v>
      </c>
      <c r="K134" s="11" t="s">
        <v>1376</v>
      </c>
      <c r="L134" s="11" t="s">
        <v>4723</v>
      </c>
    </row>
    <row r="135" ht="27" customHeight="1" spans="1:12" s="10" customFormat="1" x14ac:dyDescent="0.25">
      <c r="A135" s="26" t="s">
        <v>4724</v>
      </c>
      <c r="B135" s="11" t="s">
        <v>4725</v>
      </c>
      <c r="C135" s="11" t="s">
        <v>88</v>
      </c>
      <c r="D135" s="11" t="s">
        <v>4726</v>
      </c>
      <c r="E135" s="11" t="s">
        <v>4259</v>
      </c>
      <c r="F135" s="11" t="s">
        <v>84</v>
      </c>
      <c r="G135" s="11" t="s">
        <v>4688</v>
      </c>
      <c r="H135" s="11" t="s">
        <v>4688</v>
      </c>
      <c r="I135" s="11" t="s">
        <v>1604</v>
      </c>
      <c r="J135" s="11" t="s">
        <v>142</v>
      </c>
      <c r="K135" s="11" t="s">
        <v>1376</v>
      </c>
      <c r="L135" s="11"/>
    </row>
    <row r="136" ht="39" customHeight="1" spans="1:12" s="10" customFormat="1" x14ac:dyDescent="0.25">
      <c r="A136" s="26" t="s">
        <v>4727</v>
      </c>
      <c r="B136" s="11" t="s">
        <v>4728</v>
      </c>
      <c r="C136" s="11" t="s">
        <v>100</v>
      </c>
      <c r="D136" s="11" t="s">
        <v>4273</v>
      </c>
      <c r="E136" s="11" t="s">
        <v>4244</v>
      </c>
      <c r="F136" s="11" t="s">
        <v>84</v>
      </c>
      <c r="G136" s="11" t="s">
        <v>4688</v>
      </c>
      <c r="H136" s="11" t="s">
        <v>4688</v>
      </c>
      <c r="I136" s="11" t="s">
        <v>142</v>
      </c>
      <c r="J136" s="11" t="s">
        <v>4729</v>
      </c>
      <c r="K136" s="11" t="s">
        <v>4275</v>
      </c>
      <c r="L136" s="11" t="s">
        <v>4730</v>
      </c>
    </row>
    <row r="137" ht="27" customHeight="1" spans="1:12" s="10" customFormat="1" x14ac:dyDescent="0.25">
      <c r="A137" s="26" t="s">
        <v>4731</v>
      </c>
      <c r="B137" s="11" t="s">
        <v>4732</v>
      </c>
      <c r="C137" s="11" t="s">
        <v>94</v>
      </c>
      <c r="D137" s="11" t="s">
        <v>4721</v>
      </c>
      <c r="E137" s="11" t="s">
        <v>4259</v>
      </c>
      <c r="F137" s="11" t="s">
        <v>84</v>
      </c>
      <c r="G137" s="11" t="s">
        <v>4688</v>
      </c>
      <c r="H137" s="11" t="s">
        <v>4688</v>
      </c>
      <c r="I137" s="11" t="s">
        <v>4733</v>
      </c>
      <c r="J137" s="11" t="s">
        <v>142</v>
      </c>
      <c r="K137" s="11" t="s">
        <v>1376</v>
      </c>
      <c r="L137" s="11"/>
    </row>
    <row r="138" ht="27" customHeight="1" spans="1:12" s="10" customFormat="1" x14ac:dyDescent="0.25">
      <c r="A138" s="26" t="s">
        <v>4734</v>
      </c>
      <c r="B138" s="11" t="s">
        <v>4735</v>
      </c>
      <c r="C138" s="11" t="s">
        <v>90</v>
      </c>
      <c r="D138" s="11" t="s">
        <v>4721</v>
      </c>
      <c r="E138" s="11" t="s">
        <v>4259</v>
      </c>
      <c r="F138" s="11" t="s">
        <v>84</v>
      </c>
      <c r="G138" s="11" t="s">
        <v>4688</v>
      </c>
      <c r="H138" s="11" t="s">
        <v>4688</v>
      </c>
      <c r="I138" s="11" t="s">
        <v>1666</v>
      </c>
      <c r="J138" s="11" t="s">
        <v>142</v>
      </c>
      <c r="K138" s="11" t="s">
        <v>4718</v>
      </c>
      <c r="L138" s="11"/>
    </row>
    <row r="139" ht="27" customHeight="1" spans="1:12" s="10" customFormat="1" x14ac:dyDescent="0.25">
      <c r="A139" s="26" t="s">
        <v>4736</v>
      </c>
      <c r="B139" s="11" t="s">
        <v>4737</v>
      </c>
      <c r="C139" s="11" t="s">
        <v>93</v>
      </c>
      <c r="D139" s="11" t="s">
        <v>4721</v>
      </c>
      <c r="E139" s="11" t="s">
        <v>4259</v>
      </c>
      <c r="F139" s="11" t="s">
        <v>84</v>
      </c>
      <c r="G139" s="11" t="s">
        <v>4738</v>
      </c>
      <c r="H139" s="11" t="s">
        <v>4738</v>
      </c>
      <c r="I139" s="11" t="s">
        <v>1426</v>
      </c>
      <c r="J139" s="11" t="s">
        <v>142</v>
      </c>
      <c r="K139" s="11" t="s">
        <v>1430</v>
      </c>
      <c r="L139" s="11"/>
    </row>
    <row r="140" ht="27" customHeight="1" spans="1:12" s="10" customFormat="1" x14ac:dyDescent="0.25">
      <c r="A140" s="26" t="s">
        <v>4739</v>
      </c>
      <c r="B140" s="11" t="s">
        <v>4740</v>
      </c>
      <c r="C140" s="11" t="s">
        <v>100</v>
      </c>
      <c r="D140" s="11" t="s">
        <v>4273</v>
      </c>
      <c r="E140" s="11" t="s">
        <v>4244</v>
      </c>
      <c r="F140" s="11" t="s">
        <v>84</v>
      </c>
      <c r="G140" s="11" t="s">
        <v>4738</v>
      </c>
      <c r="H140" s="11" t="s">
        <v>4738</v>
      </c>
      <c r="I140" s="11" t="s">
        <v>142</v>
      </c>
      <c r="J140" s="11" t="s">
        <v>1426</v>
      </c>
      <c r="K140" s="11" t="s">
        <v>4275</v>
      </c>
      <c r="L140" s="11"/>
    </row>
    <row r="141" ht="27" customHeight="1" spans="1:12" s="10" customFormat="1" x14ac:dyDescent="0.25">
      <c r="A141" s="26" t="s">
        <v>4741</v>
      </c>
      <c r="B141" s="11" t="s">
        <v>4742</v>
      </c>
      <c r="C141" s="11" t="s">
        <v>88</v>
      </c>
      <c r="D141" s="11" t="s">
        <v>4721</v>
      </c>
      <c r="E141" s="11" t="s">
        <v>4259</v>
      </c>
      <c r="F141" s="11" t="s">
        <v>84</v>
      </c>
      <c r="G141" s="11" t="s">
        <v>4738</v>
      </c>
      <c r="H141" s="11" t="s">
        <v>4738</v>
      </c>
      <c r="I141" s="11" t="s">
        <v>1619</v>
      </c>
      <c r="J141" s="11" t="s">
        <v>142</v>
      </c>
      <c r="K141" s="11" t="s">
        <v>4743</v>
      </c>
      <c r="L141" s="11"/>
    </row>
    <row r="142" ht="27" customHeight="1" spans="1:12" s="10" customFormat="1" x14ac:dyDescent="0.25">
      <c r="A142" s="26" t="s">
        <v>4744</v>
      </c>
      <c r="B142" s="11" t="s">
        <v>4745</v>
      </c>
      <c r="C142" s="11" t="s">
        <v>100</v>
      </c>
      <c r="D142" s="11" t="s">
        <v>4273</v>
      </c>
      <c r="E142" s="11" t="s">
        <v>4244</v>
      </c>
      <c r="F142" s="11" t="s">
        <v>84</v>
      </c>
      <c r="G142" s="11" t="s">
        <v>4738</v>
      </c>
      <c r="H142" s="11" t="s">
        <v>4738</v>
      </c>
      <c r="I142" s="11" t="s">
        <v>142</v>
      </c>
      <c r="J142" s="11" t="s">
        <v>1619</v>
      </c>
      <c r="K142" s="11" t="s">
        <v>4275</v>
      </c>
      <c r="L142" s="11"/>
    </row>
    <row r="143" ht="27" customHeight="1" spans="1:12" s="10" customFormat="1" x14ac:dyDescent="0.25">
      <c r="A143" s="26" t="s">
        <v>4746</v>
      </c>
      <c r="B143" s="11" t="s">
        <v>4747</v>
      </c>
      <c r="C143" s="11" t="s">
        <v>91</v>
      </c>
      <c r="D143" s="11" t="s">
        <v>4748</v>
      </c>
      <c r="E143" s="11" t="s">
        <v>4259</v>
      </c>
      <c r="F143" s="11" t="s">
        <v>84</v>
      </c>
      <c r="G143" s="11" t="s">
        <v>4749</v>
      </c>
      <c r="H143" s="11" t="s">
        <v>4749</v>
      </c>
      <c r="I143" s="11" t="s">
        <v>1393</v>
      </c>
      <c r="J143" s="11" t="s">
        <v>142</v>
      </c>
      <c r="K143" s="11" t="s">
        <v>1398</v>
      </c>
      <c r="L143" s="11"/>
    </row>
    <row r="144" ht="27" customHeight="1" spans="1:12" s="10" customFormat="1" x14ac:dyDescent="0.25">
      <c r="A144" s="26" t="s">
        <v>4750</v>
      </c>
      <c r="B144" s="11" t="s">
        <v>4751</v>
      </c>
      <c r="C144" s="11" t="s">
        <v>100</v>
      </c>
      <c r="D144" s="11" t="s">
        <v>4273</v>
      </c>
      <c r="E144" s="11" t="s">
        <v>4244</v>
      </c>
      <c r="F144" s="11" t="s">
        <v>84</v>
      </c>
      <c r="G144" s="11" t="s">
        <v>4749</v>
      </c>
      <c r="H144" s="11" t="s">
        <v>4749</v>
      </c>
      <c r="I144" s="11" t="s">
        <v>142</v>
      </c>
      <c r="J144" s="11" t="s">
        <v>1393</v>
      </c>
      <c r="K144" s="11" t="s">
        <v>4275</v>
      </c>
      <c r="L144" s="11"/>
    </row>
    <row r="145" ht="27" customHeight="1" spans="1:12" s="10" customFormat="1" x14ac:dyDescent="0.25">
      <c r="A145" s="26" t="s">
        <v>4752</v>
      </c>
      <c r="B145" s="11" t="s">
        <v>4753</v>
      </c>
      <c r="C145" s="11" t="s">
        <v>88</v>
      </c>
      <c r="D145" s="11" t="s">
        <v>4721</v>
      </c>
      <c r="E145" s="11" t="s">
        <v>4259</v>
      </c>
      <c r="F145" s="11" t="s">
        <v>84</v>
      </c>
      <c r="G145" s="11" t="s">
        <v>4749</v>
      </c>
      <c r="H145" s="11" t="s">
        <v>4749</v>
      </c>
      <c r="I145" s="11" t="s">
        <v>1619</v>
      </c>
      <c r="J145" s="11" t="s">
        <v>142</v>
      </c>
      <c r="K145" s="11" t="s">
        <v>4754</v>
      </c>
      <c r="L145" s="11" t="s">
        <v>4755</v>
      </c>
    </row>
    <row r="146" ht="27" customHeight="1" spans="1:12" s="10" customFormat="1" x14ac:dyDescent="0.25">
      <c r="A146" s="26" t="s">
        <v>4756</v>
      </c>
      <c r="B146" s="11" t="s">
        <v>4757</v>
      </c>
      <c r="C146" s="11" t="s">
        <v>100</v>
      </c>
      <c r="D146" s="11" t="s">
        <v>4273</v>
      </c>
      <c r="E146" s="11" t="s">
        <v>4244</v>
      </c>
      <c r="F146" s="11" t="s">
        <v>84</v>
      </c>
      <c r="G146" s="11" t="s">
        <v>4749</v>
      </c>
      <c r="H146" s="11" t="s">
        <v>4749</v>
      </c>
      <c r="I146" s="11" t="s">
        <v>142</v>
      </c>
      <c r="J146" s="11" t="s">
        <v>1619</v>
      </c>
      <c r="K146" s="11" t="s">
        <v>4275</v>
      </c>
      <c r="L146" s="11"/>
    </row>
    <row r="147" ht="27" customHeight="1" spans="1:12" s="10" customFormat="1" x14ac:dyDescent="0.25">
      <c r="A147" s="26" t="s">
        <v>4758</v>
      </c>
      <c r="B147" s="11" t="s">
        <v>4759</v>
      </c>
      <c r="C147" s="11" t="s">
        <v>91</v>
      </c>
      <c r="D147" s="11" t="s">
        <v>4760</v>
      </c>
      <c r="E147" s="11" t="s">
        <v>4259</v>
      </c>
      <c r="F147" s="11" t="s">
        <v>84</v>
      </c>
      <c r="G147" s="11" t="s">
        <v>4761</v>
      </c>
      <c r="H147" s="11" t="s">
        <v>4761</v>
      </c>
      <c r="I147" s="11" t="s">
        <v>4762</v>
      </c>
      <c r="J147" s="11" t="s">
        <v>142</v>
      </c>
      <c r="K147" s="11" t="s">
        <v>1417</v>
      </c>
      <c r="L147" s="11"/>
    </row>
    <row r="148" ht="27" customHeight="1" spans="1:12" s="10" customFormat="1" x14ac:dyDescent="0.25">
      <c r="A148" s="26" t="s">
        <v>4763</v>
      </c>
      <c r="B148" s="11" t="s">
        <v>4764</v>
      </c>
      <c r="C148" s="11" t="s">
        <v>93</v>
      </c>
      <c r="D148" s="11" t="s">
        <v>4760</v>
      </c>
      <c r="E148" s="11" t="s">
        <v>4259</v>
      </c>
      <c r="F148" s="11" t="s">
        <v>84</v>
      </c>
      <c r="G148" s="11" t="s">
        <v>4761</v>
      </c>
      <c r="H148" s="11" t="s">
        <v>4761</v>
      </c>
      <c r="I148" s="11" t="s">
        <v>4765</v>
      </c>
      <c r="J148" s="11" t="s">
        <v>142</v>
      </c>
      <c r="K148" s="11" t="s">
        <v>1417</v>
      </c>
      <c r="L148" s="11" t="s">
        <v>4766</v>
      </c>
    </row>
    <row r="149" ht="27" customHeight="1" spans="1:12" s="10" customFormat="1" x14ac:dyDescent="0.25">
      <c r="A149" s="26" t="s">
        <v>4767</v>
      </c>
      <c r="B149" s="11" t="s">
        <v>4768</v>
      </c>
      <c r="C149" s="11" t="s">
        <v>93</v>
      </c>
      <c r="D149" s="11" t="s">
        <v>4760</v>
      </c>
      <c r="E149" s="11" t="s">
        <v>4259</v>
      </c>
      <c r="F149" s="11" t="s">
        <v>84</v>
      </c>
      <c r="G149" s="11" t="s">
        <v>4761</v>
      </c>
      <c r="H149" s="11" t="s">
        <v>4761</v>
      </c>
      <c r="I149" s="11" t="s">
        <v>1402</v>
      </c>
      <c r="J149" s="11" t="s">
        <v>142</v>
      </c>
      <c r="K149" s="11" t="s">
        <v>1417</v>
      </c>
      <c r="L149" s="11" t="s">
        <v>4769</v>
      </c>
    </row>
    <row r="150" ht="39" customHeight="1" spans="1:12" s="10" customFormat="1" x14ac:dyDescent="0.25">
      <c r="A150" s="26" t="s">
        <v>4770</v>
      </c>
      <c r="B150" s="11" t="s">
        <v>4771</v>
      </c>
      <c r="C150" s="11" t="s">
        <v>100</v>
      </c>
      <c r="D150" s="11" t="s">
        <v>4273</v>
      </c>
      <c r="E150" s="11" t="s">
        <v>4244</v>
      </c>
      <c r="F150" s="11" t="s">
        <v>84</v>
      </c>
      <c r="G150" s="11" t="s">
        <v>4761</v>
      </c>
      <c r="H150" s="11" t="s">
        <v>4761</v>
      </c>
      <c r="I150" s="11" t="s">
        <v>142</v>
      </c>
      <c r="J150" s="11" t="s">
        <v>4772</v>
      </c>
      <c r="K150" s="11" t="s">
        <v>4275</v>
      </c>
      <c r="L150" s="11" t="s">
        <v>4773</v>
      </c>
    </row>
    <row r="151" ht="27" customHeight="1" spans="1:12" s="10" customFormat="1" x14ac:dyDescent="0.25">
      <c r="A151" s="26" t="s">
        <v>4774</v>
      </c>
      <c r="B151" s="11" t="s">
        <v>4775</v>
      </c>
      <c r="C151" s="11" t="s">
        <v>93</v>
      </c>
      <c r="D151" s="11" t="s">
        <v>4760</v>
      </c>
      <c r="E151" s="11" t="s">
        <v>4259</v>
      </c>
      <c r="F151" s="11" t="s">
        <v>84</v>
      </c>
      <c r="G151" s="11" t="s">
        <v>4761</v>
      </c>
      <c r="H151" s="11" t="s">
        <v>4761</v>
      </c>
      <c r="I151" s="11" t="s">
        <v>4776</v>
      </c>
      <c r="J151" s="11" t="s">
        <v>142</v>
      </c>
      <c r="K151" s="11" t="s">
        <v>4777</v>
      </c>
      <c r="L151" s="11"/>
    </row>
    <row r="152" ht="27" customHeight="1" spans="1:12" s="10" customFormat="1" x14ac:dyDescent="0.25">
      <c r="A152" s="26" t="s">
        <v>4778</v>
      </c>
      <c r="B152" s="11" t="s">
        <v>4779</v>
      </c>
      <c r="C152" s="11" t="s">
        <v>100</v>
      </c>
      <c r="D152" s="11" t="s">
        <v>4273</v>
      </c>
      <c r="E152" s="11" t="s">
        <v>4244</v>
      </c>
      <c r="F152" s="11" t="s">
        <v>84</v>
      </c>
      <c r="G152" s="11" t="s">
        <v>4761</v>
      </c>
      <c r="H152" s="11" t="s">
        <v>4761</v>
      </c>
      <c r="I152" s="11" t="s">
        <v>142</v>
      </c>
      <c r="J152" s="11" t="s">
        <v>1419</v>
      </c>
      <c r="K152" s="11" t="s">
        <v>4275</v>
      </c>
      <c r="L152" s="11"/>
    </row>
    <row r="153" ht="27" customHeight="1" spans="1:12" s="10" customFormat="1" x14ac:dyDescent="0.25">
      <c r="A153" s="26" t="s">
        <v>4780</v>
      </c>
      <c r="B153" s="11" t="s">
        <v>4781</v>
      </c>
      <c r="C153" s="11" t="s">
        <v>93</v>
      </c>
      <c r="D153" s="11" t="s">
        <v>4760</v>
      </c>
      <c r="E153" s="11" t="s">
        <v>4259</v>
      </c>
      <c r="F153" s="11" t="s">
        <v>84</v>
      </c>
      <c r="G153" s="11" t="s">
        <v>4761</v>
      </c>
      <c r="H153" s="11" t="s">
        <v>4761</v>
      </c>
      <c r="I153" s="11" t="s">
        <v>1595</v>
      </c>
      <c r="J153" s="11" t="s">
        <v>142</v>
      </c>
      <c r="K153" s="11" t="s">
        <v>1615</v>
      </c>
      <c r="L153" s="11"/>
    </row>
    <row r="154" ht="27" customHeight="1" spans="1:12" s="10" customFormat="1" x14ac:dyDescent="0.25">
      <c r="A154" s="26" t="s">
        <v>4782</v>
      </c>
      <c r="B154" s="11" t="s">
        <v>4783</v>
      </c>
      <c r="C154" s="11" t="s">
        <v>87</v>
      </c>
      <c r="D154" s="11" t="s">
        <v>4748</v>
      </c>
      <c r="E154" s="11" t="s">
        <v>4259</v>
      </c>
      <c r="F154" s="11" t="s">
        <v>84</v>
      </c>
      <c r="G154" s="11" t="s">
        <v>4761</v>
      </c>
      <c r="H154" s="11" t="s">
        <v>4761</v>
      </c>
      <c r="I154" s="11" t="s">
        <v>4784</v>
      </c>
      <c r="J154" s="11" t="s">
        <v>142</v>
      </c>
      <c r="K154" s="11" t="s">
        <v>1615</v>
      </c>
      <c r="L154" s="11"/>
    </row>
    <row r="155" ht="27" customHeight="1" spans="1:12" s="10" customFormat="1" x14ac:dyDescent="0.25">
      <c r="A155" s="26" t="s">
        <v>4785</v>
      </c>
      <c r="B155" s="11" t="s">
        <v>4786</v>
      </c>
      <c r="C155" s="11" t="s">
        <v>90</v>
      </c>
      <c r="D155" s="11" t="s">
        <v>4760</v>
      </c>
      <c r="E155" s="11" t="s">
        <v>4259</v>
      </c>
      <c r="F155" s="11" t="s">
        <v>84</v>
      </c>
      <c r="G155" s="11" t="s">
        <v>4761</v>
      </c>
      <c r="H155" s="11" t="s">
        <v>4761</v>
      </c>
      <c r="I155" s="11" t="s">
        <v>4787</v>
      </c>
      <c r="J155" s="11" t="s">
        <v>142</v>
      </c>
      <c r="K155" s="11" t="s">
        <v>1615</v>
      </c>
      <c r="L155" s="11"/>
    </row>
    <row r="156" ht="27" customHeight="1" spans="1:12" s="10" customFormat="1" x14ac:dyDescent="0.25">
      <c r="A156" s="26" t="s">
        <v>4788</v>
      </c>
      <c r="B156" s="11" t="s">
        <v>4789</v>
      </c>
      <c r="C156" s="11" t="s">
        <v>100</v>
      </c>
      <c r="D156" s="11" t="s">
        <v>4273</v>
      </c>
      <c r="E156" s="11" t="s">
        <v>4244</v>
      </c>
      <c r="F156" s="11" t="s">
        <v>83</v>
      </c>
      <c r="G156" s="11" t="s">
        <v>4761</v>
      </c>
      <c r="H156" s="11" t="s">
        <v>4761</v>
      </c>
      <c r="I156" s="11" t="s">
        <v>142</v>
      </c>
      <c r="J156" s="11" t="s">
        <v>142</v>
      </c>
      <c r="K156" s="11" t="s">
        <v>142</v>
      </c>
      <c r="L156" s="11" t="s">
        <v>4790</v>
      </c>
    </row>
    <row r="157" ht="27" customHeight="1" spans="1:12" s="10" customFormat="1" x14ac:dyDescent="0.25">
      <c r="A157" s="26" t="s">
        <v>4791</v>
      </c>
      <c r="B157" s="11" t="s">
        <v>4792</v>
      </c>
      <c r="C157" s="11" t="s">
        <v>90</v>
      </c>
      <c r="D157" s="11" t="s">
        <v>4721</v>
      </c>
      <c r="E157" s="11" t="s">
        <v>4259</v>
      </c>
      <c r="F157" s="11" t="s">
        <v>84</v>
      </c>
      <c r="G157" s="11" t="s">
        <v>4761</v>
      </c>
      <c r="H157" s="11" t="s">
        <v>4761</v>
      </c>
      <c r="I157" s="11" t="s">
        <v>1619</v>
      </c>
      <c r="J157" s="11" t="s">
        <v>142</v>
      </c>
      <c r="K157" s="11" t="s">
        <v>1615</v>
      </c>
      <c r="L157" s="11"/>
    </row>
    <row r="158" ht="39" customHeight="1" spans="1:12" s="10" customFormat="1" x14ac:dyDescent="0.25">
      <c r="A158" s="26" t="s">
        <v>4793</v>
      </c>
      <c r="B158" s="11" t="s">
        <v>4794</v>
      </c>
      <c r="C158" s="11" t="s">
        <v>100</v>
      </c>
      <c r="D158" s="11" t="s">
        <v>4273</v>
      </c>
      <c r="E158" s="11" t="s">
        <v>4244</v>
      </c>
      <c r="F158" s="11" t="s">
        <v>84</v>
      </c>
      <c r="G158" s="11" t="s">
        <v>4761</v>
      </c>
      <c r="H158" s="11" t="s">
        <v>4761</v>
      </c>
      <c r="I158" s="11" t="s">
        <v>142</v>
      </c>
      <c r="J158" s="11" t="s">
        <v>4795</v>
      </c>
      <c r="K158" s="11" t="s">
        <v>4275</v>
      </c>
      <c r="L158" s="11"/>
    </row>
    <row r="159" ht="27" customHeight="1" spans="1:12" s="10" customFormat="1" x14ac:dyDescent="0.25">
      <c r="A159" s="26" t="s">
        <v>4796</v>
      </c>
      <c r="B159" s="11" t="s">
        <v>4797</v>
      </c>
      <c r="C159" s="11" t="s">
        <v>93</v>
      </c>
      <c r="D159" s="11" t="s">
        <v>4760</v>
      </c>
      <c r="E159" s="11" t="s">
        <v>4259</v>
      </c>
      <c r="F159" s="11" t="s">
        <v>84</v>
      </c>
      <c r="G159" s="11" t="s">
        <v>4761</v>
      </c>
      <c r="H159" s="11" t="s">
        <v>4761</v>
      </c>
      <c r="I159" s="11" t="s">
        <v>1595</v>
      </c>
      <c r="J159" s="11" t="s">
        <v>142</v>
      </c>
      <c r="K159" s="11" t="s">
        <v>4798</v>
      </c>
      <c r="L159" s="11"/>
    </row>
    <row r="160" ht="27" customHeight="1" spans="1:12" s="10" customFormat="1" x14ac:dyDescent="0.25">
      <c r="A160" s="26" t="s">
        <v>4799</v>
      </c>
      <c r="B160" s="11" t="s">
        <v>4800</v>
      </c>
      <c r="C160" s="11" t="s">
        <v>100</v>
      </c>
      <c r="D160" s="11" t="s">
        <v>4273</v>
      </c>
      <c r="E160" s="11" t="s">
        <v>4244</v>
      </c>
      <c r="F160" s="11" t="s">
        <v>84</v>
      </c>
      <c r="G160" s="11" t="s">
        <v>4761</v>
      </c>
      <c r="H160" s="11" t="s">
        <v>4761</v>
      </c>
      <c r="I160" s="11" t="s">
        <v>142</v>
      </c>
      <c r="J160" s="11" t="s">
        <v>1595</v>
      </c>
      <c r="K160" s="11" t="s">
        <v>4275</v>
      </c>
      <c r="L160" s="11"/>
    </row>
    <row r="161" ht="27" customHeight="1" spans="1:12" s="10" customFormat="1" x14ac:dyDescent="0.25">
      <c r="A161" s="26" t="s">
        <v>4801</v>
      </c>
      <c r="B161" s="11" t="s">
        <v>4802</v>
      </c>
      <c r="C161" s="11" t="s">
        <v>94</v>
      </c>
      <c r="D161" s="11" t="s">
        <v>4760</v>
      </c>
      <c r="E161" s="11" t="s">
        <v>4259</v>
      </c>
      <c r="F161" s="11" t="s">
        <v>84</v>
      </c>
      <c r="G161" s="11" t="s">
        <v>4761</v>
      </c>
      <c r="H161" s="11" t="s">
        <v>4761</v>
      </c>
      <c r="I161" s="11" t="s">
        <v>1595</v>
      </c>
      <c r="J161" s="11" t="s">
        <v>142</v>
      </c>
      <c r="K161" s="11" t="s">
        <v>4803</v>
      </c>
      <c r="L161" s="11"/>
    </row>
    <row r="162" ht="27" customHeight="1" spans="1:12" s="10" customFormat="1" x14ac:dyDescent="0.25">
      <c r="A162" s="26" t="s">
        <v>4804</v>
      </c>
      <c r="B162" s="11" t="s">
        <v>4805</v>
      </c>
      <c r="C162" s="11" t="s">
        <v>100</v>
      </c>
      <c r="D162" s="11" t="s">
        <v>4273</v>
      </c>
      <c r="E162" s="11" t="s">
        <v>4244</v>
      </c>
      <c r="F162" s="11" t="s">
        <v>84</v>
      </c>
      <c r="G162" s="11" t="s">
        <v>4761</v>
      </c>
      <c r="H162" s="11" t="s">
        <v>4761</v>
      </c>
      <c r="I162" s="11" t="s">
        <v>142</v>
      </c>
      <c r="J162" s="11" t="s">
        <v>1595</v>
      </c>
      <c r="K162" s="11" t="s">
        <v>4275</v>
      </c>
      <c r="L162" s="11"/>
    </row>
    <row r="163" ht="27" customHeight="1" spans="1:12" s="10" customFormat="1" x14ac:dyDescent="0.25">
      <c r="A163" s="26" t="s">
        <v>4806</v>
      </c>
      <c r="B163" s="11" t="s">
        <v>4807</v>
      </c>
      <c r="C163" s="11" t="s">
        <v>94</v>
      </c>
      <c r="D163" s="11" t="s">
        <v>4760</v>
      </c>
      <c r="E163" s="11" t="s">
        <v>4259</v>
      </c>
      <c r="F163" s="11" t="s">
        <v>84</v>
      </c>
      <c r="G163" s="11" t="s">
        <v>4808</v>
      </c>
      <c r="H163" s="11" t="s">
        <v>4808</v>
      </c>
      <c r="I163" s="11" t="s">
        <v>1595</v>
      </c>
      <c r="J163" s="11" t="s">
        <v>142</v>
      </c>
      <c r="K163" s="11" t="s">
        <v>4809</v>
      </c>
      <c r="L163" s="11"/>
    </row>
    <row r="164" ht="27" customHeight="1" spans="1:12" s="10" customFormat="1" x14ac:dyDescent="0.25">
      <c r="A164" s="26" t="s">
        <v>4810</v>
      </c>
      <c r="B164" s="11" t="s">
        <v>4811</v>
      </c>
      <c r="C164" s="11" t="s">
        <v>100</v>
      </c>
      <c r="D164" s="11" t="s">
        <v>4273</v>
      </c>
      <c r="E164" s="11" t="s">
        <v>4244</v>
      </c>
      <c r="F164" s="11" t="s">
        <v>84</v>
      </c>
      <c r="G164" s="11" t="s">
        <v>4808</v>
      </c>
      <c r="H164" s="11" t="s">
        <v>4808</v>
      </c>
      <c r="I164" s="11" t="s">
        <v>142</v>
      </c>
      <c r="J164" s="11" t="s">
        <v>1595</v>
      </c>
      <c r="K164" s="11" t="s">
        <v>4275</v>
      </c>
      <c r="L164" s="11"/>
    </row>
    <row r="165" ht="27" customHeight="1" spans="1:12" s="10" customFormat="1" x14ac:dyDescent="0.25">
      <c r="A165" s="26" t="s">
        <v>4812</v>
      </c>
      <c r="B165" s="11" t="s">
        <v>4813</v>
      </c>
      <c r="C165" s="11" t="s">
        <v>90</v>
      </c>
      <c r="D165" s="11" t="s">
        <v>4760</v>
      </c>
      <c r="E165" s="11" t="s">
        <v>4259</v>
      </c>
      <c r="F165" s="11" t="s">
        <v>84</v>
      </c>
      <c r="G165" s="11" t="s">
        <v>4808</v>
      </c>
      <c r="H165" s="11" t="s">
        <v>4808</v>
      </c>
      <c r="I165" s="11" t="s">
        <v>1595</v>
      </c>
      <c r="J165" s="11" t="s">
        <v>142</v>
      </c>
      <c r="K165" s="11" t="s">
        <v>4814</v>
      </c>
      <c r="L165" s="11"/>
    </row>
    <row r="166" ht="27" customHeight="1" spans="1:12" s="10" customFormat="1" x14ac:dyDescent="0.25">
      <c r="A166" s="26" t="s">
        <v>4815</v>
      </c>
      <c r="B166" s="11" t="s">
        <v>4816</v>
      </c>
      <c r="C166" s="11" t="s">
        <v>100</v>
      </c>
      <c r="D166" s="11" t="s">
        <v>4273</v>
      </c>
      <c r="E166" s="11" t="s">
        <v>4244</v>
      </c>
      <c r="F166" s="11" t="s">
        <v>84</v>
      </c>
      <c r="G166" s="11" t="s">
        <v>4808</v>
      </c>
      <c r="H166" s="11" t="s">
        <v>4808</v>
      </c>
      <c r="I166" s="11" t="s">
        <v>142</v>
      </c>
      <c r="J166" s="11" t="s">
        <v>1595</v>
      </c>
      <c r="K166" s="11" t="s">
        <v>4275</v>
      </c>
      <c r="L166" s="11" t="s">
        <v>4817</v>
      </c>
    </row>
    <row r="167" ht="27" customHeight="1" spans="1:12" s="10" customFormat="1" x14ac:dyDescent="0.25">
      <c r="A167" s="26" t="s">
        <v>4818</v>
      </c>
      <c r="B167" s="11" t="s">
        <v>4819</v>
      </c>
      <c r="C167" s="11" t="s">
        <v>90</v>
      </c>
      <c r="D167" s="11" t="s">
        <v>4610</v>
      </c>
      <c r="E167" s="11" t="s">
        <v>4244</v>
      </c>
      <c r="F167" s="11" t="s">
        <v>84</v>
      </c>
      <c r="G167" s="11" t="s">
        <v>4808</v>
      </c>
      <c r="H167" s="11" t="s">
        <v>4808</v>
      </c>
      <c r="I167" s="11" t="s">
        <v>142</v>
      </c>
      <c r="J167" s="11" t="s">
        <v>142</v>
      </c>
      <c r="K167" s="11" t="s">
        <v>4718</v>
      </c>
      <c r="L167" s="11"/>
    </row>
    <row r="168" ht="27" customHeight="1" spans="1:12" s="10" customFormat="1" x14ac:dyDescent="0.25">
      <c r="A168" s="26" t="s">
        <v>4820</v>
      </c>
      <c r="B168" s="11" t="s">
        <v>4821</v>
      </c>
      <c r="C168" s="11" t="s">
        <v>90</v>
      </c>
      <c r="D168" s="11" t="s">
        <v>4610</v>
      </c>
      <c r="E168" s="11" t="s">
        <v>4244</v>
      </c>
      <c r="F168" s="11" t="s">
        <v>84</v>
      </c>
      <c r="G168" s="11" t="s">
        <v>4808</v>
      </c>
      <c r="H168" s="11" t="s">
        <v>4808</v>
      </c>
      <c r="I168" s="11" t="s">
        <v>142</v>
      </c>
      <c r="J168" s="11" t="s">
        <v>142</v>
      </c>
      <c r="K168" s="11" t="s">
        <v>4718</v>
      </c>
      <c r="L168" s="11"/>
    </row>
    <row r="169" ht="27" customHeight="1" spans="1:12" s="10" customFormat="1" x14ac:dyDescent="0.25">
      <c r="A169" s="26" t="s">
        <v>4822</v>
      </c>
      <c r="B169" s="11" t="s">
        <v>4823</v>
      </c>
      <c r="C169" s="11" t="s">
        <v>93</v>
      </c>
      <c r="D169" s="11" t="s">
        <v>4824</v>
      </c>
      <c r="E169" s="11" t="s">
        <v>4259</v>
      </c>
      <c r="F169" s="11" t="s">
        <v>84</v>
      </c>
      <c r="G169" s="11" t="s">
        <v>4808</v>
      </c>
      <c r="H169" s="11" t="s">
        <v>4808</v>
      </c>
      <c r="I169" s="11" t="s">
        <v>4825</v>
      </c>
      <c r="J169" s="11" t="s">
        <v>142</v>
      </c>
      <c r="K169" s="11" t="s">
        <v>4552</v>
      </c>
      <c r="L169" s="11" t="s">
        <v>4826</v>
      </c>
    </row>
    <row r="170" ht="27" customHeight="1" spans="1:12" s="10" customFormat="1" x14ac:dyDescent="0.25">
      <c r="A170" s="26" t="s">
        <v>4827</v>
      </c>
      <c r="B170" s="11" t="s">
        <v>4828</v>
      </c>
      <c r="C170" s="11" t="s">
        <v>93</v>
      </c>
      <c r="D170" s="11" t="s">
        <v>4829</v>
      </c>
      <c r="E170" s="11" t="s">
        <v>4259</v>
      </c>
      <c r="F170" s="11" t="s">
        <v>84</v>
      </c>
      <c r="G170" s="11" t="s">
        <v>4808</v>
      </c>
      <c r="H170" s="11" t="s">
        <v>4808</v>
      </c>
      <c r="I170" s="11" t="s">
        <v>1402</v>
      </c>
      <c r="J170" s="11" t="s">
        <v>1402</v>
      </c>
      <c r="K170" s="11" t="s">
        <v>4830</v>
      </c>
      <c r="L170" s="11" t="s">
        <v>4831</v>
      </c>
    </row>
    <row r="171" ht="27" customHeight="1" spans="1:12" s="10" customFormat="1" x14ac:dyDescent="0.25">
      <c r="A171" s="26" t="s">
        <v>4832</v>
      </c>
      <c r="B171" s="11" t="s">
        <v>4833</v>
      </c>
      <c r="C171" s="11" t="s">
        <v>90</v>
      </c>
      <c r="D171" s="11" t="s">
        <v>4610</v>
      </c>
      <c r="E171" s="11" t="s">
        <v>4244</v>
      </c>
      <c r="F171" s="11" t="s">
        <v>84</v>
      </c>
      <c r="G171" s="11" t="s">
        <v>4808</v>
      </c>
      <c r="H171" s="11" t="s">
        <v>4834</v>
      </c>
      <c r="I171" s="11" t="s">
        <v>1678</v>
      </c>
      <c r="J171" s="11" t="s">
        <v>142</v>
      </c>
      <c r="K171" s="11" t="s">
        <v>4718</v>
      </c>
      <c r="L171" s="11" t="s">
        <v>4835</v>
      </c>
    </row>
    <row r="172" ht="27" customHeight="1" spans="1:12" s="10" customFormat="1" x14ac:dyDescent="0.25">
      <c r="A172" s="26" t="s">
        <v>4836</v>
      </c>
      <c r="B172" s="11" t="s">
        <v>4837</v>
      </c>
      <c r="C172" s="11" t="s">
        <v>91</v>
      </c>
      <c r="D172" s="11" t="s">
        <v>4838</v>
      </c>
      <c r="E172" s="11" t="s">
        <v>4259</v>
      </c>
      <c r="F172" s="11" t="s">
        <v>84</v>
      </c>
      <c r="G172" s="11" t="s">
        <v>4834</v>
      </c>
      <c r="H172" s="11" t="s">
        <v>4834</v>
      </c>
      <c r="I172" s="11" t="s">
        <v>1442</v>
      </c>
      <c r="J172" s="11" t="s">
        <v>1442</v>
      </c>
      <c r="K172" s="11" t="s">
        <v>4839</v>
      </c>
      <c r="L172" s="11" t="s">
        <v>4840</v>
      </c>
    </row>
    <row r="173" ht="39" customHeight="1" spans="1:12" s="12" customFormat="1" x14ac:dyDescent="0.25">
      <c r="A173" s="26" t="s">
        <v>4841</v>
      </c>
      <c r="B173" s="11" t="s">
        <v>4842</v>
      </c>
      <c r="C173" s="11" t="s">
        <v>93</v>
      </c>
      <c r="D173" s="11" t="s">
        <v>4838</v>
      </c>
      <c r="E173" s="11" t="s">
        <v>4259</v>
      </c>
      <c r="F173" s="11" t="s">
        <v>84</v>
      </c>
      <c r="G173" s="11" t="s">
        <v>4834</v>
      </c>
      <c r="H173" s="11" t="s">
        <v>4834</v>
      </c>
      <c r="I173" s="11" t="s">
        <v>1442</v>
      </c>
      <c r="J173" s="11" t="s">
        <v>1442</v>
      </c>
      <c r="K173" s="11" t="s">
        <v>4839</v>
      </c>
      <c r="L173" s="11" t="s">
        <v>4843</v>
      </c>
    </row>
    <row r="174" ht="27" customHeight="1" spans="1:12" s="12" customFormat="1" x14ac:dyDescent="0.25">
      <c r="A174" s="26" t="s">
        <v>4844</v>
      </c>
      <c r="B174" s="11" t="s">
        <v>4845</v>
      </c>
      <c r="C174" s="11" t="s">
        <v>91</v>
      </c>
      <c r="D174" s="11" t="s">
        <v>4846</v>
      </c>
      <c r="E174" s="11" t="s">
        <v>4259</v>
      </c>
      <c r="F174" s="11" t="s">
        <v>84</v>
      </c>
      <c r="G174" s="11" t="s">
        <v>4834</v>
      </c>
      <c r="H174" s="11" t="s">
        <v>4834</v>
      </c>
      <c r="I174" s="11" t="s">
        <v>225</v>
      </c>
      <c r="J174" s="11" t="s">
        <v>142</v>
      </c>
      <c r="K174" s="11" t="s">
        <v>4847</v>
      </c>
      <c r="L174" s="11" t="s">
        <v>4848</v>
      </c>
    </row>
    <row r="175" ht="27" customHeight="1" spans="1:12" s="12" customFormat="1" x14ac:dyDescent="0.25">
      <c r="A175" s="26" t="s">
        <v>4849</v>
      </c>
      <c r="B175" s="11" t="s">
        <v>4850</v>
      </c>
      <c r="C175" s="11" t="s">
        <v>98</v>
      </c>
      <c r="D175" s="11" t="s">
        <v>4846</v>
      </c>
      <c r="E175" s="11" t="s">
        <v>4259</v>
      </c>
      <c r="F175" s="11" t="s">
        <v>84</v>
      </c>
      <c r="G175" s="11" t="s">
        <v>4834</v>
      </c>
      <c r="H175" s="11" t="s">
        <v>4834</v>
      </c>
      <c r="I175" s="11" t="s">
        <v>225</v>
      </c>
      <c r="J175" s="11" t="s">
        <v>142</v>
      </c>
      <c r="K175" s="11" t="s">
        <v>4847</v>
      </c>
      <c r="L175" s="11"/>
    </row>
    <row r="176" ht="27" customHeight="1" spans="1:12" s="12" customFormat="1" x14ac:dyDescent="0.25">
      <c r="A176" s="26" t="s">
        <v>4851</v>
      </c>
      <c r="B176" s="11" t="s">
        <v>4852</v>
      </c>
      <c r="C176" s="11" t="s">
        <v>100</v>
      </c>
      <c r="D176" s="11" t="s">
        <v>4610</v>
      </c>
      <c r="E176" s="11" t="s">
        <v>4244</v>
      </c>
      <c r="F176" s="11" t="s">
        <v>84</v>
      </c>
      <c r="G176" s="11" t="s">
        <v>4834</v>
      </c>
      <c r="H176" s="11" t="s">
        <v>4834</v>
      </c>
      <c r="I176" s="11" t="s">
        <v>142</v>
      </c>
      <c r="J176" s="11" t="s">
        <v>4853</v>
      </c>
      <c r="K176" s="11" t="s">
        <v>4275</v>
      </c>
      <c r="L176" s="11" t="s">
        <v>4854</v>
      </c>
    </row>
    <row r="177" ht="39" customHeight="1" spans="1:12" s="12" customFormat="1" x14ac:dyDescent="0.25">
      <c r="A177" s="26" t="s">
        <v>4855</v>
      </c>
      <c r="B177" s="11" t="s">
        <v>4856</v>
      </c>
      <c r="C177" s="11" t="s">
        <v>100</v>
      </c>
      <c r="D177" s="11" t="s">
        <v>4273</v>
      </c>
      <c r="E177" s="11" t="s">
        <v>4244</v>
      </c>
      <c r="F177" s="11" t="s">
        <v>83</v>
      </c>
      <c r="G177" s="11" t="s">
        <v>4834</v>
      </c>
      <c r="H177" s="11" t="s">
        <v>4834</v>
      </c>
      <c r="I177" s="11" t="s">
        <v>142</v>
      </c>
      <c r="J177" s="11" t="s">
        <v>142</v>
      </c>
      <c r="K177" s="11" t="s">
        <v>142</v>
      </c>
      <c r="L177" s="11" t="s">
        <v>4857</v>
      </c>
    </row>
    <row r="178" ht="27" customHeight="1" spans="1:12" s="12" customFormat="1" x14ac:dyDescent="0.25">
      <c r="A178" s="26" t="s">
        <v>4858</v>
      </c>
      <c r="B178" s="11" t="s">
        <v>4856</v>
      </c>
      <c r="C178" s="11" t="s">
        <v>100</v>
      </c>
      <c r="D178" s="11" t="s">
        <v>4859</v>
      </c>
      <c r="E178" s="11" t="s">
        <v>4244</v>
      </c>
      <c r="F178" s="11" t="s">
        <v>84</v>
      </c>
      <c r="G178" s="11" t="s">
        <v>4834</v>
      </c>
      <c r="H178" s="11" t="s">
        <v>4834</v>
      </c>
      <c r="I178" s="11" t="s">
        <v>142</v>
      </c>
      <c r="J178" s="11" t="s">
        <v>1402</v>
      </c>
      <c r="K178" s="11" t="s">
        <v>4275</v>
      </c>
      <c r="L178" s="11" t="s">
        <v>4860</v>
      </c>
    </row>
    <row r="179" ht="27" customHeight="1" spans="1:12" s="12" customFormat="1" x14ac:dyDescent="0.25">
      <c r="A179" s="26" t="s">
        <v>4861</v>
      </c>
      <c r="B179" s="11" t="s">
        <v>4862</v>
      </c>
      <c r="C179" s="11" t="s">
        <v>90</v>
      </c>
      <c r="D179" s="11" t="s">
        <v>4859</v>
      </c>
      <c r="E179" s="11" t="s">
        <v>4244</v>
      </c>
      <c r="F179" s="11" t="s">
        <v>84</v>
      </c>
      <c r="G179" s="11" t="s">
        <v>4834</v>
      </c>
      <c r="H179" s="11" t="s">
        <v>4834</v>
      </c>
      <c r="I179" s="11" t="s">
        <v>1402</v>
      </c>
      <c r="J179" s="11" t="s">
        <v>142</v>
      </c>
      <c r="K179" s="11" t="s">
        <v>4718</v>
      </c>
      <c r="L179" s="11" t="s">
        <v>4863</v>
      </c>
    </row>
    <row r="180" ht="27" customHeight="1" spans="1:12" s="12" customFormat="1" x14ac:dyDescent="0.25">
      <c r="A180" s="26" t="s">
        <v>4864</v>
      </c>
      <c r="B180" s="11" t="s">
        <v>4865</v>
      </c>
      <c r="C180" s="11" t="s">
        <v>100</v>
      </c>
      <c r="D180" s="11" t="s">
        <v>4866</v>
      </c>
      <c r="E180" s="11" t="s">
        <v>4244</v>
      </c>
      <c r="F180" s="11" t="s">
        <v>84</v>
      </c>
      <c r="G180" s="11" t="s">
        <v>4834</v>
      </c>
      <c r="H180" s="11" t="s">
        <v>4834</v>
      </c>
      <c r="I180" s="11" t="s">
        <v>142</v>
      </c>
      <c r="J180" s="11" t="s">
        <v>4867</v>
      </c>
      <c r="K180" s="11" t="s">
        <v>4275</v>
      </c>
      <c r="L180" s="11" t="s">
        <v>4868</v>
      </c>
    </row>
    <row r="181" ht="39" customHeight="1" spans="1:12" s="12" customFormat="1" x14ac:dyDescent="0.25">
      <c r="A181" s="26" t="s">
        <v>4869</v>
      </c>
      <c r="B181" s="11" t="s">
        <v>4870</v>
      </c>
      <c r="C181" s="11" t="s">
        <v>100</v>
      </c>
      <c r="D181" s="11" t="s">
        <v>4871</v>
      </c>
      <c r="E181" s="11" t="s">
        <v>4244</v>
      </c>
      <c r="F181" s="11" t="s">
        <v>83</v>
      </c>
      <c r="G181" s="11" t="s">
        <v>4834</v>
      </c>
      <c r="H181" s="11" t="s">
        <v>4834</v>
      </c>
      <c r="I181" s="11" t="s">
        <v>142</v>
      </c>
      <c r="J181" s="11" t="s">
        <v>142</v>
      </c>
      <c r="K181" s="11" t="s">
        <v>4872</v>
      </c>
      <c r="L181" s="11" t="s">
        <v>4873</v>
      </c>
    </row>
    <row r="182" ht="27" customHeight="1" spans="1:12" s="12" customFormat="1" x14ac:dyDescent="0.25">
      <c r="A182" s="26" t="s">
        <v>4874</v>
      </c>
      <c r="B182" s="11" t="s">
        <v>4875</v>
      </c>
      <c r="C182" s="11" t="s">
        <v>90</v>
      </c>
      <c r="D182" s="11" t="s">
        <v>4846</v>
      </c>
      <c r="E182" s="11" t="s">
        <v>4259</v>
      </c>
      <c r="F182" s="11" t="s">
        <v>84</v>
      </c>
      <c r="G182" s="11" t="s">
        <v>4834</v>
      </c>
      <c r="H182" s="11" t="s">
        <v>4834</v>
      </c>
      <c r="I182" s="11" t="s">
        <v>225</v>
      </c>
      <c r="J182" s="11" t="s">
        <v>142</v>
      </c>
      <c r="K182" s="11" t="s">
        <v>4718</v>
      </c>
      <c r="L182" s="11"/>
    </row>
    <row r="183" ht="27" customHeight="1" spans="1:12" s="12" customFormat="1" x14ac:dyDescent="0.25">
      <c r="A183" s="26" t="s">
        <v>4876</v>
      </c>
      <c r="B183" s="11" t="s">
        <v>4877</v>
      </c>
      <c r="C183" s="11" t="s">
        <v>90</v>
      </c>
      <c r="D183" s="11" t="s">
        <v>4838</v>
      </c>
      <c r="E183" s="11" t="s">
        <v>4259</v>
      </c>
      <c r="F183" s="11" t="s">
        <v>84</v>
      </c>
      <c r="G183" s="11" t="s">
        <v>4834</v>
      </c>
      <c r="H183" s="11" t="s">
        <v>4834</v>
      </c>
      <c r="I183" s="11" t="s">
        <v>1442</v>
      </c>
      <c r="J183" s="11" t="s">
        <v>142</v>
      </c>
      <c r="K183" s="11" t="s">
        <v>4718</v>
      </c>
      <c r="L183" s="11"/>
    </row>
    <row r="184" ht="27" customHeight="1" spans="1:12" s="12" customFormat="1" x14ac:dyDescent="0.25">
      <c r="A184" s="26" t="s">
        <v>4878</v>
      </c>
      <c r="B184" s="11" t="s">
        <v>4879</v>
      </c>
      <c r="C184" s="11" t="s">
        <v>90</v>
      </c>
      <c r="D184" s="11" t="s">
        <v>4610</v>
      </c>
      <c r="E184" s="11" t="s">
        <v>4244</v>
      </c>
      <c r="F184" s="11" t="s">
        <v>84</v>
      </c>
      <c r="G184" s="11" t="s">
        <v>4834</v>
      </c>
      <c r="H184" s="11" t="s">
        <v>4880</v>
      </c>
      <c r="I184" s="11" t="s">
        <v>4853</v>
      </c>
      <c r="J184" s="11" t="s">
        <v>142</v>
      </c>
      <c r="K184" s="11" t="s">
        <v>4718</v>
      </c>
      <c r="L184" s="11" t="s">
        <v>4881</v>
      </c>
    </row>
    <row r="185" ht="27" customHeight="1" spans="1:12" s="12" customFormat="1" x14ac:dyDescent="0.25">
      <c r="A185" s="26" t="s">
        <v>4882</v>
      </c>
      <c r="B185" s="11" t="s">
        <v>4883</v>
      </c>
      <c r="C185" s="11" t="s">
        <v>93</v>
      </c>
      <c r="D185" s="11" t="s">
        <v>4846</v>
      </c>
      <c r="E185" s="11" t="s">
        <v>4259</v>
      </c>
      <c r="F185" s="11" t="s">
        <v>84</v>
      </c>
      <c r="G185" s="11" t="s">
        <v>4834</v>
      </c>
      <c r="H185" s="11" t="s">
        <v>4884</v>
      </c>
      <c r="I185" s="11" t="s">
        <v>4885</v>
      </c>
      <c r="J185" s="11" t="s">
        <v>1471</v>
      </c>
      <c r="K185" s="11" t="s">
        <v>4886</v>
      </c>
      <c r="L185" s="11" t="s">
        <v>4887</v>
      </c>
    </row>
    <row r="186" ht="27" customHeight="1" spans="1:12" s="12" customFormat="1" x14ac:dyDescent="0.25">
      <c r="A186" s="26" t="s">
        <v>4888</v>
      </c>
      <c r="B186" s="11" t="s">
        <v>4889</v>
      </c>
      <c r="C186" s="11" t="s">
        <v>100</v>
      </c>
      <c r="D186" s="11" t="s">
        <v>4273</v>
      </c>
      <c r="E186" s="11" t="s">
        <v>4244</v>
      </c>
      <c r="F186" s="11" t="s">
        <v>84</v>
      </c>
      <c r="G186" s="11" t="s">
        <v>4884</v>
      </c>
      <c r="H186" s="11" t="s">
        <v>4884</v>
      </c>
      <c r="I186" s="11" t="s">
        <v>142</v>
      </c>
      <c r="J186" s="11" t="s">
        <v>1471</v>
      </c>
      <c r="K186" s="11" t="s">
        <v>4275</v>
      </c>
      <c r="L186" s="11" t="s">
        <v>4890</v>
      </c>
    </row>
    <row r="187" ht="27" customHeight="1" spans="1:12" s="12" customFormat="1" x14ac:dyDescent="0.25">
      <c r="A187" s="26" t="s">
        <v>4891</v>
      </c>
      <c r="B187" s="11" t="s">
        <v>4892</v>
      </c>
      <c r="C187" s="11" t="s">
        <v>90</v>
      </c>
      <c r="D187" s="11" t="s">
        <v>4829</v>
      </c>
      <c r="E187" s="11" t="s">
        <v>4259</v>
      </c>
      <c r="F187" s="11" t="s">
        <v>84</v>
      </c>
      <c r="G187" s="11" t="s">
        <v>4884</v>
      </c>
      <c r="H187" s="11" t="s">
        <v>4884</v>
      </c>
      <c r="I187" s="11" t="s">
        <v>1402</v>
      </c>
      <c r="J187" s="11" t="s">
        <v>142</v>
      </c>
      <c r="K187" s="11" t="s">
        <v>4718</v>
      </c>
      <c r="L187" s="11"/>
    </row>
    <row r="188" ht="27" customHeight="1" spans="1:12" s="12" customFormat="1" x14ac:dyDescent="0.25">
      <c r="A188" s="26" t="s">
        <v>4893</v>
      </c>
      <c r="B188" s="11" t="s">
        <v>4894</v>
      </c>
      <c r="C188" s="11" t="s">
        <v>88</v>
      </c>
      <c r="D188" s="11" t="s">
        <v>4895</v>
      </c>
      <c r="E188" s="11" t="s">
        <v>4259</v>
      </c>
      <c r="F188" s="11" t="s">
        <v>84</v>
      </c>
      <c r="G188" s="11" t="s">
        <v>4884</v>
      </c>
      <c r="H188" s="11" t="s">
        <v>4884</v>
      </c>
      <c r="I188" s="11" t="s">
        <v>142</v>
      </c>
      <c r="J188" s="11" t="s">
        <v>142</v>
      </c>
      <c r="K188" s="11" t="s">
        <v>4896</v>
      </c>
      <c r="L188" s="11" t="s">
        <v>4897</v>
      </c>
    </row>
    <row r="189" ht="27" customHeight="1" spans="1:12" s="12" customFormat="1" x14ac:dyDescent="0.25">
      <c r="A189" s="26" t="s">
        <v>4898</v>
      </c>
      <c r="B189" s="11" t="s">
        <v>4899</v>
      </c>
      <c r="C189" s="11" t="s">
        <v>90</v>
      </c>
      <c r="D189" s="11" t="s">
        <v>4900</v>
      </c>
      <c r="E189" s="11" t="s">
        <v>4244</v>
      </c>
      <c r="F189" s="11" t="s">
        <v>84</v>
      </c>
      <c r="G189" s="11" t="s">
        <v>4901</v>
      </c>
      <c r="H189" s="11" t="s">
        <v>4880</v>
      </c>
      <c r="I189" s="11" t="s">
        <v>142</v>
      </c>
      <c r="J189" s="11" t="s">
        <v>142</v>
      </c>
      <c r="K189" s="11" t="s">
        <v>4718</v>
      </c>
      <c r="L189" s="11" t="s">
        <v>4902</v>
      </c>
    </row>
    <row r="190" ht="27" customHeight="1" spans="1:12" s="12" customFormat="1" x14ac:dyDescent="0.25">
      <c r="A190" s="26" t="s">
        <v>4903</v>
      </c>
      <c r="B190" s="11" t="s">
        <v>4904</v>
      </c>
      <c r="C190" s="11" t="s">
        <v>90</v>
      </c>
      <c r="D190" s="11" t="s">
        <v>4905</v>
      </c>
      <c r="E190" s="11" t="s">
        <v>4244</v>
      </c>
      <c r="F190" s="11" t="s">
        <v>85</v>
      </c>
      <c r="G190" s="11" t="s">
        <v>4901</v>
      </c>
      <c r="H190" s="11" t="s">
        <v>142</v>
      </c>
      <c r="I190" s="11" t="s">
        <v>142</v>
      </c>
      <c r="J190" s="11" t="s">
        <v>142</v>
      </c>
      <c r="K190" s="11" t="s">
        <v>4718</v>
      </c>
      <c r="L190" s="11" t="s">
        <v>4906</v>
      </c>
    </row>
    <row r="191" ht="63" customHeight="1" spans="1:12" s="12" customFormat="1" x14ac:dyDescent="0.25">
      <c r="A191" s="26" t="s">
        <v>4907</v>
      </c>
      <c r="B191" s="11" t="s">
        <v>4908</v>
      </c>
      <c r="C191" s="11" t="s">
        <v>91</v>
      </c>
      <c r="D191" s="11" t="s">
        <v>4909</v>
      </c>
      <c r="E191" s="11" t="s">
        <v>4259</v>
      </c>
      <c r="F191" s="11" t="s">
        <v>84</v>
      </c>
      <c r="G191" s="11" t="s">
        <v>4901</v>
      </c>
      <c r="H191" s="11" t="s">
        <v>4901</v>
      </c>
      <c r="I191" s="11" t="s">
        <v>4910</v>
      </c>
      <c r="J191" s="11" t="s">
        <v>142</v>
      </c>
      <c r="K191" s="11" t="s">
        <v>1498</v>
      </c>
      <c r="L191" s="11" t="s">
        <v>4911</v>
      </c>
    </row>
    <row r="192" ht="27" customHeight="1" spans="1:12" s="12" customFormat="1" x14ac:dyDescent="0.25">
      <c r="A192" s="26" t="s">
        <v>4912</v>
      </c>
      <c r="B192" s="11" t="s">
        <v>4913</v>
      </c>
      <c r="C192" s="11" t="s">
        <v>98</v>
      </c>
      <c r="D192" s="11" t="s">
        <v>4846</v>
      </c>
      <c r="E192" s="11" t="s">
        <v>4259</v>
      </c>
      <c r="F192" s="11" t="s">
        <v>84</v>
      </c>
      <c r="G192" s="11" t="s">
        <v>4901</v>
      </c>
      <c r="H192" s="11" t="s">
        <v>4880</v>
      </c>
      <c r="I192" s="11" t="s">
        <v>225</v>
      </c>
      <c r="J192" s="11" t="s">
        <v>142</v>
      </c>
      <c r="K192" s="11" t="s">
        <v>4914</v>
      </c>
      <c r="L192" s="11" t="s">
        <v>4915</v>
      </c>
    </row>
    <row r="193" ht="27" customHeight="1" spans="1:12" s="12" customFormat="1" x14ac:dyDescent="0.25">
      <c r="A193" s="26" t="s">
        <v>4916</v>
      </c>
      <c r="B193" s="11" t="s">
        <v>4917</v>
      </c>
      <c r="C193" s="11" t="s">
        <v>93</v>
      </c>
      <c r="D193" s="11" t="s">
        <v>4909</v>
      </c>
      <c r="E193" s="11" t="s">
        <v>4259</v>
      </c>
      <c r="F193" s="11" t="s">
        <v>84</v>
      </c>
      <c r="G193" s="11" t="s">
        <v>4901</v>
      </c>
      <c r="H193" s="11" t="s">
        <v>4901</v>
      </c>
      <c r="I193" s="11" t="s">
        <v>4918</v>
      </c>
      <c r="J193" s="11" t="s">
        <v>142</v>
      </c>
      <c r="K193" s="11" t="s">
        <v>1498</v>
      </c>
      <c r="L193" s="11"/>
    </row>
    <row r="194" ht="27" customHeight="1" spans="1:12" s="12" customFormat="1" x14ac:dyDescent="0.25">
      <c r="A194" s="26" t="s">
        <v>4919</v>
      </c>
      <c r="B194" s="11" t="s">
        <v>4920</v>
      </c>
      <c r="C194" s="11" t="s">
        <v>93</v>
      </c>
      <c r="D194" s="11" t="s">
        <v>4909</v>
      </c>
      <c r="E194" s="11" t="s">
        <v>4259</v>
      </c>
      <c r="F194" s="11" t="s">
        <v>84</v>
      </c>
      <c r="G194" s="11" t="s">
        <v>4901</v>
      </c>
      <c r="H194" s="11" t="s">
        <v>4901</v>
      </c>
      <c r="I194" s="11" t="s">
        <v>3999</v>
      </c>
      <c r="J194" s="11" t="s">
        <v>142</v>
      </c>
      <c r="K194" s="11" t="s">
        <v>1498</v>
      </c>
      <c r="L194" s="11"/>
    </row>
    <row r="195" ht="147" customHeight="1" spans="1:12" s="12" customFormat="1" x14ac:dyDescent="0.25">
      <c r="A195" s="26" t="s">
        <v>4921</v>
      </c>
      <c r="B195" s="11" t="s">
        <v>4922</v>
      </c>
      <c r="C195" s="11" t="s">
        <v>100</v>
      </c>
      <c r="D195" s="11" t="s">
        <v>4273</v>
      </c>
      <c r="E195" s="11" t="s">
        <v>4244</v>
      </c>
      <c r="F195" s="11" t="s">
        <v>84</v>
      </c>
      <c r="G195" s="11" t="s">
        <v>4901</v>
      </c>
      <c r="H195" s="11" t="s">
        <v>4901</v>
      </c>
      <c r="I195" s="11" t="s">
        <v>142</v>
      </c>
      <c r="J195" s="11" t="s">
        <v>4923</v>
      </c>
      <c r="K195" s="11" t="s">
        <v>4275</v>
      </c>
      <c r="L195" s="11" t="s">
        <v>4924</v>
      </c>
    </row>
    <row r="196" ht="27" customHeight="1" spans="1:12" s="12" customFormat="1" x14ac:dyDescent="0.25">
      <c r="A196" s="26" t="s">
        <v>4925</v>
      </c>
      <c r="B196" s="11" t="s">
        <v>4926</v>
      </c>
      <c r="C196" s="11" t="s">
        <v>90</v>
      </c>
      <c r="D196" s="11" t="s">
        <v>4909</v>
      </c>
      <c r="E196" s="11" t="s">
        <v>4259</v>
      </c>
      <c r="F196" s="11" t="s">
        <v>84</v>
      </c>
      <c r="G196" s="11" t="s">
        <v>4901</v>
      </c>
      <c r="H196" s="11" t="s">
        <v>4901</v>
      </c>
      <c r="I196" s="11" t="s">
        <v>1644</v>
      </c>
      <c r="J196" s="11" t="s">
        <v>142</v>
      </c>
      <c r="K196" s="11" t="s">
        <v>4927</v>
      </c>
      <c r="L196" s="11" t="s">
        <v>4928</v>
      </c>
    </row>
    <row r="197" ht="27" customHeight="1" spans="1:12" s="12" customFormat="1" x14ac:dyDescent="0.25">
      <c r="A197" s="26" t="s">
        <v>4929</v>
      </c>
      <c r="B197" s="11" t="s">
        <v>4930</v>
      </c>
      <c r="C197" s="11" t="s">
        <v>100</v>
      </c>
      <c r="D197" s="11" t="s">
        <v>4273</v>
      </c>
      <c r="E197" s="11" t="s">
        <v>4244</v>
      </c>
      <c r="F197" s="11" t="s">
        <v>84</v>
      </c>
      <c r="G197" s="11" t="s">
        <v>4901</v>
      </c>
      <c r="H197" s="11" t="s">
        <v>4901</v>
      </c>
      <c r="I197" s="11" t="s">
        <v>142</v>
      </c>
      <c r="J197" s="11" t="s">
        <v>142</v>
      </c>
      <c r="K197" s="11" t="s">
        <v>4275</v>
      </c>
      <c r="L197" s="11" t="s">
        <v>4621</v>
      </c>
    </row>
    <row r="198" ht="27" customHeight="1" spans="1:12" s="12" customFormat="1" x14ac:dyDescent="0.25">
      <c r="A198" s="26" t="s">
        <v>4931</v>
      </c>
      <c r="B198" s="11" t="s">
        <v>4932</v>
      </c>
      <c r="C198" s="11" t="s">
        <v>90</v>
      </c>
      <c r="D198" s="11" t="s">
        <v>4909</v>
      </c>
      <c r="E198" s="11" t="s">
        <v>4259</v>
      </c>
      <c r="F198" s="11" t="s">
        <v>84</v>
      </c>
      <c r="G198" s="11" t="s">
        <v>4880</v>
      </c>
      <c r="H198" s="11" t="s">
        <v>4880</v>
      </c>
      <c r="I198" s="11" t="s">
        <v>1556</v>
      </c>
      <c r="J198" s="11" t="s">
        <v>142</v>
      </c>
      <c r="K198" s="11" t="s">
        <v>4914</v>
      </c>
      <c r="L198" s="11" t="s">
        <v>4933</v>
      </c>
    </row>
    <row r="199" ht="27" customHeight="1" spans="1:12" s="12" customFormat="1" x14ac:dyDescent="0.25">
      <c r="A199" s="26" t="s">
        <v>4934</v>
      </c>
      <c r="B199" s="11" t="s">
        <v>4935</v>
      </c>
      <c r="C199" s="11" t="s">
        <v>100</v>
      </c>
      <c r="D199" s="11" t="s">
        <v>4273</v>
      </c>
      <c r="E199" s="11" t="s">
        <v>4244</v>
      </c>
      <c r="F199" s="11" t="s">
        <v>84</v>
      </c>
      <c r="G199" s="11" t="s">
        <v>4880</v>
      </c>
      <c r="H199" s="11" t="s">
        <v>4880</v>
      </c>
      <c r="I199" s="11" t="s">
        <v>142</v>
      </c>
      <c r="J199" s="11" t="s">
        <v>142</v>
      </c>
      <c r="K199" s="11" t="s">
        <v>4275</v>
      </c>
      <c r="L199" s="11" t="s">
        <v>4936</v>
      </c>
    </row>
    <row r="200" ht="27" customHeight="1" spans="1:12" s="12" customFormat="1" x14ac:dyDescent="0.25">
      <c r="A200" s="26" t="s">
        <v>4937</v>
      </c>
      <c r="B200" s="11" t="s">
        <v>4938</v>
      </c>
      <c r="C200" s="11" t="s">
        <v>98</v>
      </c>
      <c r="D200" s="11" t="s">
        <v>4846</v>
      </c>
      <c r="E200" s="11" t="s">
        <v>4259</v>
      </c>
      <c r="F200" s="11" t="s">
        <v>84</v>
      </c>
      <c r="G200" s="11" t="s">
        <v>4880</v>
      </c>
      <c r="H200" s="11" t="s">
        <v>4880</v>
      </c>
      <c r="I200" s="11" t="s">
        <v>225</v>
      </c>
      <c r="J200" s="11" t="s">
        <v>142</v>
      </c>
      <c r="K200" s="11" t="s">
        <v>4914</v>
      </c>
      <c r="L200" s="11"/>
    </row>
    <row r="201" ht="27" customHeight="1" spans="1:12" s="12" customFormat="1" x14ac:dyDescent="0.25">
      <c r="A201" s="26" t="s">
        <v>4939</v>
      </c>
      <c r="B201" s="11" t="s">
        <v>4940</v>
      </c>
      <c r="C201" s="11" t="s">
        <v>91</v>
      </c>
      <c r="D201" s="11" t="s">
        <v>4824</v>
      </c>
      <c r="E201" s="11" t="s">
        <v>4259</v>
      </c>
      <c r="F201" s="11" t="s">
        <v>84</v>
      </c>
      <c r="G201" s="11" t="s">
        <v>4880</v>
      </c>
      <c r="H201" s="11" t="s">
        <v>4880</v>
      </c>
      <c r="I201" s="11" t="s">
        <v>4941</v>
      </c>
      <c r="J201" s="11" t="s">
        <v>142</v>
      </c>
      <c r="K201" s="11" t="s">
        <v>4942</v>
      </c>
      <c r="L201" s="11" t="s">
        <v>4943</v>
      </c>
    </row>
    <row r="202" ht="27" customHeight="1" spans="1:12" s="12" customFormat="1" x14ac:dyDescent="0.25">
      <c r="A202" s="26" t="s">
        <v>4944</v>
      </c>
      <c r="B202" s="11" t="s">
        <v>4945</v>
      </c>
      <c r="C202" s="11" t="s">
        <v>88</v>
      </c>
      <c r="D202" s="11" t="s">
        <v>4846</v>
      </c>
      <c r="E202" s="11" t="s">
        <v>4259</v>
      </c>
      <c r="F202" s="11" t="s">
        <v>84</v>
      </c>
      <c r="G202" s="11" t="s">
        <v>4880</v>
      </c>
      <c r="H202" s="11" t="s">
        <v>4880</v>
      </c>
      <c r="I202" s="11" t="s">
        <v>142</v>
      </c>
      <c r="J202" s="11" t="s">
        <v>142</v>
      </c>
      <c r="K202" s="11" t="s">
        <v>4896</v>
      </c>
      <c r="L202" s="11"/>
    </row>
    <row r="203" ht="27" customHeight="1" spans="1:12" s="12" customFormat="1" x14ac:dyDescent="0.25">
      <c r="A203" s="26" t="s">
        <v>4946</v>
      </c>
      <c r="B203" s="11" t="s">
        <v>4947</v>
      </c>
      <c r="C203" s="11" t="s">
        <v>98</v>
      </c>
      <c r="D203" s="11" t="s">
        <v>4846</v>
      </c>
      <c r="E203" s="11" t="s">
        <v>4259</v>
      </c>
      <c r="F203" s="11" t="s">
        <v>84</v>
      </c>
      <c r="G203" s="11" t="s">
        <v>4880</v>
      </c>
      <c r="H203" s="11" t="s">
        <v>4880</v>
      </c>
      <c r="I203" s="11" t="s">
        <v>1644</v>
      </c>
      <c r="J203" s="11" t="s">
        <v>142</v>
      </c>
      <c r="K203" s="11" t="s">
        <v>4948</v>
      </c>
      <c r="L203" s="11" t="s">
        <v>4949</v>
      </c>
    </row>
    <row r="204" ht="27" customHeight="1" spans="1:12" s="12" customFormat="1" x14ac:dyDescent="0.25">
      <c r="A204" s="26" t="s">
        <v>4950</v>
      </c>
      <c r="B204" s="11" t="s">
        <v>4951</v>
      </c>
      <c r="C204" s="11" t="s">
        <v>98</v>
      </c>
      <c r="D204" s="11" t="s">
        <v>4846</v>
      </c>
      <c r="E204" s="11" t="s">
        <v>4259</v>
      </c>
      <c r="F204" s="11" t="s">
        <v>84</v>
      </c>
      <c r="G204" s="11" t="s">
        <v>4880</v>
      </c>
      <c r="H204" s="11" t="s">
        <v>4880</v>
      </c>
      <c r="I204" s="11" t="s">
        <v>1644</v>
      </c>
      <c r="J204" s="11" t="s">
        <v>142</v>
      </c>
      <c r="K204" s="11" t="s">
        <v>4952</v>
      </c>
      <c r="L204" s="11"/>
    </row>
    <row r="205" ht="27" customHeight="1" spans="1:12" s="12" customFormat="1" x14ac:dyDescent="0.25">
      <c r="A205" s="26" t="s">
        <v>4953</v>
      </c>
      <c r="B205" s="11" t="s">
        <v>4954</v>
      </c>
      <c r="C205" s="11" t="s">
        <v>91</v>
      </c>
      <c r="D205" s="11" t="s">
        <v>4909</v>
      </c>
      <c r="E205" s="11" t="s">
        <v>4259</v>
      </c>
      <c r="F205" s="11" t="s">
        <v>84</v>
      </c>
      <c r="G205" s="11" t="s">
        <v>4880</v>
      </c>
      <c r="H205" s="11" t="s">
        <v>4880</v>
      </c>
      <c r="I205" s="11" t="s">
        <v>1595</v>
      </c>
      <c r="J205" s="11" t="s">
        <v>142</v>
      </c>
      <c r="K205" s="11" t="s">
        <v>4955</v>
      </c>
      <c r="L205" s="11" t="s">
        <v>4956</v>
      </c>
    </row>
    <row r="206" ht="27" customHeight="1" spans="1:12" s="12" customFormat="1" x14ac:dyDescent="0.25">
      <c r="A206" s="26" t="s">
        <v>4957</v>
      </c>
      <c r="B206" s="11" t="s">
        <v>4958</v>
      </c>
      <c r="C206" s="11" t="s">
        <v>100</v>
      </c>
      <c r="D206" s="11" t="s">
        <v>4273</v>
      </c>
      <c r="E206" s="11" t="s">
        <v>4244</v>
      </c>
      <c r="F206" s="11" t="s">
        <v>84</v>
      </c>
      <c r="G206" s="11" t="s">
        <v>4880</v>
      </c>
      <c r="H206" s="11" t="s">
        <v>4880</v>
      </c>
      <c r="I206" s="11" t="s">
        <v>142</v>
      </c>
      <c r="J206" s="11" t="s">
        <v>1644</v>
      </c>
      <c r="K206" s="11" t="s">
        <v>4275</v>
      </c>
      <c r="L206" s="11" t="s">
        <v>4959</v>
      </c>
    </row>
    <row r="207" ht="27" customHeight="1" spans="1:12" s="12" customFormat="1" x14ac:dyDescent="0.25">
      <c r="A207" s="26" t="s">
        <v>4960</v>
      </c>
      <c r="B207" s="11" t="s">
        <v>4961</v>
      </c>
      <c r="C207" s="11" t="s">
        <v>88</v>
      </c>
      <c r="D207" s="11" t="s">
        <v>4846</v>
      </c>
      <c r="E207" s="11" t="s">
        <v>4259</v>
      </c>
      <c r="F207" s="11" t="s">
        <v>84</v>
      </c>
      <c r="G207" s="11" t="s">
        <v>4880</v>
      </c>
      <c r="H207" s="11" t="s">
        <v>4880</v>
      </c>
      <c r="I207" s="11" t="s">
        <v>142</v>
      </c>
      <c r="J207" s="11" t="s">
        <v>142</v>
      </c>
      <c r="K207" s="11" t="s">
        <v>4896</v>
      </c>
      <c r="L207" s="11"/>
    </row>
    <row r="208" ht="27" customHeight="1" spans="1:12" s="12" customFormat="1" x14ac:dyDescent="0.25">
      <c r="A208" s="26" t="s">
        <v>4962</v>
      </c>
      <c r="B208" s="11" t="s">
        <v>4963</v>
      </c>
      <c r="C208" s="11" t="s">
        <v>100</v>
      </c>
      <c r="D208" s="11" t="s">
        <v>4610</v>
      </c>
      <c r="E208" s="11" t="s">
        <v>4244</v>
      </c>
      <c r="F208" s="11" t="s">
        <v>84</v>
      </c>
      <c r="G208" s="11" t="s">
        <v>4880</v>
      </c>
      <c r="H208" s="11" t="s">
        <v>4880</v>
      </c>
      <c r="I208" s="11" t="s">
        <v>142</v>
      </c>
      <c r="J208" s="11" t="s">
        <v>4941</v>
      </c>
      <c r="K208" s="11" t="s">
        <v>4275</v>
      </c>
      <c r="L208" s="11" t="s">
        <v>4964</v>
      </c>
    </row>
    <row r="209" ht="27" customHeight="1" spans="1:12" s="12" customFormat="1" x14ac:dyDescent="0.25">
      <c r="A209" s="26" t="s">
        <v>4965</v>
      </c>
      <c r="B209" s="11" t="s">
        <v>4966</v>
      </c>
      <c r="C209" s="11" t="s">
        <v>94</v>
      </c>
      <c r="D209" s="11" t="s">
        <v>4909</v>
      </c>
      <c r="E209" s="11" t="s">
        <v>4259</v>
      </c>
      <c r="F209" s="11" t="s">
        <v>84</v>
      </c>
      <c r="G209" s="11" t="s">
        <v>4880</v>
      </c>
      <c r="H209" s="11" t="s">
        <v>4880</v>
      </c>
      <c r="I209" s="11" t="s">
        <v>1595</v>
      </c>
      <c r="J209" s="11" t="s">
        <v>142</v>
      </c>
      <c r="K209" s="11" t="s">
        <v>4955</v>
      </c>
      <c r="L209" s="11"/>
    </row>
    <row r="210" ht="27" customHeight="1" spans="1:12" s="12" customFormat="1" x14ac:dyDescent="0.25">
      <c r="A210" s="26" t="s">
        <v>4967</v>
      </c>
      <c r="B210" s="11" t="s">
        <v>4968</v>
      </c>
      <c r="C210" s="11" t="s">
        <v>93</v>
      </c>
      <c r="D210" s="11" t="s">
        <v>4969</v>
      </c>
      <c r="E210" s="11" t="s">
        <v>4259</v>
      </c>
      <c r="F210" s="11" t="s">
        <v>84</v>
      </c>
      <c r="G210" s="11" t="s">
        <v>4880</v>
      </c>
      <c r="H210" s="11" t="s">
        <v>4880</v>
      </c>
      <c r="I210" s="11" t="s">
        <v>1836</v>
      </c>
      <c r="J210" s="11" t="s">
        <v>142</v>
      </c>
      <c r="K210" s="11" t="s">
        <v>4955</v>
      </c>
      <c r="L210" s="11" t="s">
        <v>4970</v>
      </c>
    </row>
    <row r="211" ht="27" customHeight="1" spans="1:12" s="12" customFormat="1" x14ac:dyDescent="0.25">
      <c r="A211" s="26" t="s">
        <v>4971</v>
      </c>
      <c r="B211" s="11" t="s">
        <v>4972</v>
      </c>
      <c r="C211" s="11" t="s">
        <v>100</v>
      </c>
      <c r="D211" s="11" t="s">
        <v>4273</v>
      </c>
      <c r="E211" s="11" t="s">
        <v>4244</v>
      </c>
      <c r="F211" s="11" t="s">
        <v>84</v>
      </c>
      <c r="G211" s="11" t="s">
        <v>4880</v>
      </c>
      <c r="H211" s="11" t="s">
        <v>4880</v>
      </c>
      <c r="I211" s="11" t="s">
        <v>142</v>
      </c>
      <c r="J211" s="11" t="s">
        <v>4973</v>
      </c>
      <c r="K211" s="11" t="s">
        <v>4275</v>
      </c>
      <c r="L211" s="11" t="s">
        <v>4974</v>
      </c>
    </row>
    <row r="212" ht="27" customHeight="1" spans="1:12" s="12" customFormat="1" x14ac:dyDescent="0.25">
      <c r="A212" s="26" t="s">
        <v>4975</v>
      </c>
      <c r="B212" s="11" t="s">
        <v>4976</v>
      </c>
      <c r="C212" s="11" t="s">
        <v>93</v>
      </c>
      <c r="D212" s="11" t="s">
        <v>4909</v>
      </c>
      <c r="E212" s="11" t="s">
        <v>4259</v>
      </c>
      <c r="F212" s="11" t="s">
        <v>84</v>
      </c>
      <c r="G212" s="11" t="s">
        <v>4880</v>
      </c>
      <c r="H212" s="11" t="s">
        <v>4880</v>
      </c>
      <c r="I212" s="11" t="s">
        <v>1595</v>
      </c>
      <c r="J212" s="11" t="s">
        <v>142</v>
      </c>
      <c r="K212" s="11" t="s">
        <v>4977</v>
      </c>
      <c r="L212" s="11"/>
    </row>
    <row r="213" ht="27" customHeight="1" spans="1:12" s="12" customFormat="1" x14ac:dyDescent="0.25">
      <c r="A213" s="26" t="s">
        <v>4978</v>
      </c>
      <c r="B213" s="11" t="s">
        <v>4979</v>
      </c>
      <c r="C213" s="11" t="s">
        <v>93</v>
      </c>
      <c r="D213" s="11" t="s">
        <v>4969</v>
      </c>
      <c r="E213" s="11" t="s">
        <v>4259</v>
      </c>
      <c r="F213" s="11" t="s">
        <v>83</v>
      </c>
      <c r="G213" s="11" t="s">
        <v>4880</v>
      </c>
      <c r="H213" s="11" t="s">
        <v>4880</v>
      </c>
      <c r="I213" s="11" t="s">
        <v>1595</v>
      </c>
      <c r="J213" s="11" t="s">
        <v>142</v>
      </c>
      <c r="K213" s="11" t="s">
        <v>142</v>
      </c>
      <c r="L213" s="11" t="s">
        <v>4980</v>
      </c>
    </row>
    <row r="214" ht="27" customHeight="1" spans="1:12" s="12" customFormat="1" x14ac:dyDescent="0.25">
      <c r="A214" s="26" t="s">
        <v>4981</v>
      </c>
      <c r="B214" s="11" t="s">
        <v>4982</v>
      </c>
      <c r="C214" s="11" t="s">
        <v>93</v>
      </c>
      <c r="D214" s="11" t="s">
        <v>4909</v>
      </c>
      <c r="E214" s="11" t="s">
        <v>4259</v>
      </c>
      <c r="F214" s="11" t="s">
        <v>84</v>
      </c>
      <c r="G214" s="11" t="s">
        <v>4880</v>
      </c>
      <c r="H214" s="11" t="s">
        <v>4880</v>
      </c>
      <c r="I214" s="11" t="s">
        <v>1595</v>
      </c>
      <c r="J214" s="11" t="s">
        <v>142</v>
      </c>
      <c r="K214" s="11" t="s">
        <v>4977</v>
      </c>
      <c r="L214" s="11"/>
    </row>
    <row r="215" ht="39" customHeight="1" spans="1:12" s="12" customFormat="1" x14ac:dyDescent="0.25">
      <c r="A215" s="26" t="s">
        <v>4983</v>
      </c>
      <c r="B215" s="11" t="s">
        <v>4984</v>
      </c>
      <c r="C215" s="11" t="s">
        <v>91</v>
      </c>
      <c r="D215" s="11" t="s">
        <v>4985</v>
      </c>
      <c r="E215" s="11" t="s">
        <v>4259</v>
      </c>
      <c r="F215" s="11" t="s">
        <v>84</v>
      </c>
      <c r="G215" s="11" t="s">
        <v>4880</v>
      </c>
      <c r="H215" s="11" t="s">
        <v>4880</v>
      </c>
      <c r="I215" s="11" t="s">
        <v>4986</v>
      </c>
      <c r="J215" s="11" t="s">
        <v>142</v>
      </c>
      <c r="K215" s="11" t="s">
        <v>4987</v>
      </c>
      <c r="L215" s="11" t="s">
        <v>4988</v>
      </c>
    </row>
    <row r="216" ht="27" customHeight="1" spans="1:12" s="12" customFormat="1" x14ac:dyDescent="0.25">
      <c r="A216" s="26" t="s">
        <v>4989</v>
      </c>
      <c r="B216" s="11" t="s">
        <v>4990</v>
      </c>
      <c r="C216" s="11" t="s">
        <v>93</v>
      </c>
      <c r="D216" s="11" t="s">
        <v>4985</v>
      </c>
      <c r="E216" s="11" t="s">
        <v>4259</v>
      </c>
      <c r="F216" s="11" t="s">
        <v>84</v>
      </c>
      <c r="G216" s="11" t="s">
        <v>4880</v>
      </c>
      <c r="H216" s="11" t="s">
        <v>4880</v>
      </c>
      <c r="I216" s="11" t="s">
        <v>4991</v>
      </c>
      <c r="J216" s="11" t="s">
        <v>142</v>
      </c>
      <c r="K216" s="11" t="s">
        <v>4977</v>
      </c>
      <c r="L216" s="11"/>
    </row>
    <row r="217" ht="27" customHeight="1" spans="1:12" s="12" customFormat="1" x14ac:dyDescent="0.25">
      <c r="A217" s="26" t="s">
        <v>4992</v>
      </c>
      <c r="B217" s="11" t="s">
        <v>4993</v>
      </c>
      <c r="C217" s="11" t="s">
        <v>100</v>
      </c>
      <c r="D217" s="11" t="s">
        <v>4994</v>
      </c>
      <c r="E217" s="11" t="s">
        <v>4244</v>
      </c>
      <c r="F217" s="11" t="s">
        <v>84</v>
      </c>
      <c r="G217" s="11" t="s">
        <v>4880</v>
      </c>
      <c r="H217" s="11" t="s">
        <v>4995</v>
      </c>
      <c r="I217" s="11" t="s">
        <v>142</v>
      </c>
      <c r="J217" s="11" t="s">
        <v>4973</v>
      </c>
      <c r="K217" s="11" t="s">
        <v>4275</v>
      </c>
      <c r="L217" s="11" t="s">
        <v>4996</v>
      </c>
    </row>
    <row r="218" ht="27" customHeight="1" spans="1:12" s="12" customFormat="1" x14ac:dyDescent="0.25">
      <c r="A218" s="26" t="s">
        <v>4997</v>
      </c>
      <c r="B218" s="11" t="s">
        <v>4998</v>
      </c>
      <c r="C218" s="11" t="s">
        <v>90</v>
      </c>
      <c r="D218" s="11" t="s">
        <v>4985</v>
      </c>
      <c r="E218" s="11" t="s">
        <v>4259</v>
      </c>
      <c r="F218" s="11" t="s">
        <v>84</v>
      </c>
      <c r="G218" s="11" t="s">
        <v>4995</v>
      </c>
      <c r="H218" s="11" t="s">
        <v>4999</v>
      </c>
      <c r="I218" s="11" t="s">
        <v>1821</v>
      </c>
      <c r="J218" s="11" t="s">
        <v>142</v>
      </c>
      <c r="K218" s="11" t="s">
        <v>5000</v>
      </c>
      <c r="L218" s="11" t="s">
        <v>5001</v>
      </c>
    </row>
    <row r="219" ht="27" customHeight="1" spans="1:12" s="12" customFormat="1" x14ac:dyDescent="0.25">
      <c r="A219" s="26" t="s">
        <v>5002</v>
      </c>
      <c r="B219" s="11" t="s">
        <v>5003</v>
      </c>
      <c r="C219" s="11" t="s">
        <v>93</v>
      </c>
      <c r="D219" s="11" t="s">
        <v>4909</v>
      </c>
      <c r="E219" s="11" t="s">
        <v>4259</v>
      </c>
      <c r="F219" s="11" t="s">
        <v>84</v>
      </c>
      <c r="G219" s="11" t="s">
        <v>4995</v>
      </c>
      <c r="H219" s="11" t="s">
        <v>4995</v>
      </c>
      <c r="I219" s="11" t="s">
        <v>4973</v>
      </c>
      <c r="J219" s="11" t="s">
        <v>142</v>
      </c>
      <c r="K219" s="11" t="s">
        <v>4987</v>
      </c>
      <c r="L219" s="11" t="s">
        <v>5004</v>
      </c>
    </row>
    <row r="220" ht="39" customHeight="1" spans="1:12" s="12" customFormat="1" x14ac:dyDescent="0.25">
      <c r="A220" s="26" t="s">
        <v>5005</v>
      </c>
      <c r="B220" s="11" t="s">
        <v>5006</v>
      </c>
      <c r="C220" s="11" t="s">
        <v>100</v>
      </c>
      <c r="D220" s="11" t="s">
        <v>4273</v>
      </c>
      <c r="E220" s="11" t="s">
        <v>4244</v>
      </c>
      <c r="F220" s="11" t="s">
        <v>84</v>
      </c>
      <c r="G220" s="11" t="s">
        <v>4995</v>
      </c>
      <c r="H220" s="11" t="s">
        <v>4995</v>
      </c>
      <c r="I220" s="11" t="s">
        <v>142</v>
      </c>
      <c r="J220" s="11" t="s">
        <v>5007</v>
      </c>
      <c r="K220" s="11" t="s">
        <v>4275</v>
      </c>
      <c r="L220" s="11" t="s">
        <v>5008</v>
      </c>
    </row>
    <row r="221" ht="27" customHeight="1" spans="1:12" s="12" customFormat="1" x14ac:dyDescent="0.25">
      <c r="A221" s="26" t="s">
        <v>5009</v>
      </c>
      <c r="B221" s="11" t="s">
        <v>5010</v>
      </c>
      <c r="C221" s="11" t="s">
        <v>98</v>
      </c>
      <c r="D221" s="11" t="s">
        <v>4909</v>
      </c>
      <c r="E221" s="11" t="s">
        <v>4259</v>
      </c>
      <c r="F221" s="11" t="s">
        <v>84</v>
      </c>
      <c r="G221" s="11" t="s">
        <v>4995</v>
      </c>
      <c r="H221" s="11" t="s">
        <v>4995</v>
      </c>
      <c r="I221" s="11" t="s">
        <v>1821</v>
      </c>
      <c r="J221" s="11" t="s">
        <v>142</v>
      </c>
      <c r="K221" s="11" t="s">
        <v>5011</v>
      </c>
      <c r="L221" s="11"/>
    </row>
    <row r="222" ht="27" customHeight="1" spans="1:12" s="12" customFormat="1" x14ac:dyDescent="0.25">
      <c r="A222" s="26" t="s">
        <v>5012</v>
      </c>
      <c r="B222" s="11" t="s">
        <v>5013</v>
      </c>
      <c r="C222" s="11" t="s">
        <v>100</v>
      </c>
      <c r="D222" s="11" t="s">
        <v>4273</v>
      </c>
      <c r="E222" s="11" t="s">
        <v>4244</v>
      </c>
      <c r="F222" s="11" t="s">
        <v>84</v>
      </c>
      <c r="G222" s="11" t="s">
        <v>4995</v>
      </c>
      <c r="H222" s="11" t="s">
        <v>4995</v>
      </c>
      <c r="I222" s="11" t="s">
        <v>142</v>
      </c>
      <c r="J222" s="11" t="s">
        <v>1821</v>
      </c>
      <c r="K222" s="11" t="s">
        <v>4275</v>
      </c>
      <c r="L222" s="11" t="s">
        <v>5014</v>
      </c>
    </row>
    <row r="223" ht="27" customHeight="1" spans="1:12" s="12" customFormat="1" x14ac:dyDescent="0.25">
      <c r="A223" s="26" t="s">
        <v>5015</v>
      </c>
      <c r="B223" s="11" t="s">
        <v>5016</v>
      </c>
      <c r="C223" s="11" t="s">
        <v>98</v>
      </c>
      <c r="D223" s="11" t="s">
        <v>4909</v>
      </c>
      <c r="E223" s="11" t="s">
        <v>4259</v>
      </c>
      <c r="F223" s="11" t="s">
        <v>84</v>
      </c>
      <c r="G223" s="11" t="s">
        <v>4995</v>
      </c>
      <c r="H223" s="11" t="s">
        <v>5017</v>
      </c>
      <c r="I223" s="11" t="s">
        <v>1821</v>
      </c>
      <c r="J223" s="11" t="s">
        <v>142</v>
      </c>
      <c r="K223" s="11" t="s">
        <v>5018</v>
      </c>
      <c r="L223" s="11" t="s">
        <v>5019</v>
      </c>
    </row>
    <row r="224" ht="27" customHeight="1" spans="1:12" s="12" customFormat="1" x14ac:dyDescent="0.25">
      <c r="A224" s="26" t="s">
        <v>5020</v>
      </c>
      <c r="B224" s="11" t="s">
        <v>5021</v>
      </c>
      <c r="C224" s="11" t="s">
        <v>90</v>
      </c>
      <c r="D224" s="11" t="s">
        <v>4610</v>
      </c>
      <c r="E224" s="11" t="s">
        <v>4244</v>
      </c>
      <c r="F224" s="11" t="s">
        <v>84</v>
      </c>
      <c r="G224" s="11" t="s">
        <v>5017</v>
      </c>
      <c r="H224" s="11" t="s">
        <v>5022</v>
      </c>
      <c r="I224" s="11" t="s">
        <v>142</v>
      </c>
      <c r="J224" s="11" t="s">
        <v>142</v>
      </c>
      <c r="K224" s="11" t="s">
        <v>4718</v>
      </c>
      <c r="L224" s="11" t="s">
        <v>5023</v>
      </c>
    </row>
    <row r="225" ht="27" customHeight="1" spans="1:12" s="12" customFormat="1" x14ac:dyDescent="0.25">
      <c r="A225" s="26" t="s">
        <v>5024</v>
      </c>
      <c r="B225" s="11" t="s">
        <v>1831</v>
      </c>
      <c r="C225" s="11" t="s">
        <v>93</v>
      </c>
      <c r="D225" s="11" t="s">
        <v>5025</v>
      </c>
      <c r="E225" s="11" t="s">
        <v>4259</v>
      </c>
      <c r="F225" s="11" t="s">
        <v>84</v>
      </c>
      <c r="G225" s="11" t="s">
        <v>5017</v>
      </c>
      <c r="H225" s="11" t="s">
        <v>5022</v>
      </c>
      <c r="I225" s="11" t="s">
        <v>1830</v>
      </c>
      <c r="J225" s="11" t="s">
        <v>142</v>
      </c>
      <c r="K225" s="11" t="s">
        <v>1767</v>
      </c>
      <c r="L225" s="11" t="s">
        <v>5026</v>
      </c>
    </row>
    <row r="226" spans="1:12" x14ac:dyDescent="0.25">
      <c r="A226" s="26">
        <v>225</v>
      </c>
      <c r="B226" s="11" t="s">
        <v>5027</v>
      </c>
      <c r="C226" s="11" t="s">
        <v>91</v>
      </c>
      <c r="D226" s="11" t="s">
        <v>5028</v>
      </c>
      <c r="E226" s="11" t="s">
        <v>4259</v>
      </c>
      <c r="F226" s="11" t="s">
        <v>84</v>
      </c>
      <c r="G226" s="11" t="s">
        <v>4999</v>
      </c>
      <c r="H226" s="11" t="s">
        <v>4999</v>
      </c>
      <c r="I226" s="11" t="s">
        <v>1843</v>
      </c>
      <c r="J226" s="11" t="s">
        <v>1843</v>
      </c>
      <c r="K226" s="11" t="s">
        <v>1847</v>
      </c>
      <c r="L226" s="11" t="s">
        <v>142</v>
      </c>
    </row>
    <row r="227" spans="1:12" x14ac:dyDescent="0.25">
      <c r="A227" s="26">
        <v>226</v>
      </c>
      <c r="B227" s="11" t="s">
        <v>5029</v>
      </c>
      <c r="C227" s="11" t="s">
        <v>91</v>
      </c>
      <c r="D227" s="11" t="s">
        <v>5028</v>
      </c>
      <c r="E227" s="11" t="s">
        <v>4259</v>
      </c>
      <c r="F227" s="11" t="s">
        <v>84</v>
      </c>
      <c r="G227" s="11" t="s">
        <v>4999</v>
      </c>
      <c r="H227" s="11" t="s">
        <v>4999</v>
      </c>
      <c r="I227" s="11" t="s">
        <v>1843</v>
      </c>
      <c r="J227" s="11" t="s">
        <v>1843</v>
      </c>
      <c r="K227" s="11" t="s">
        <v>1847</v>
      </c>
      <c r="L227" s="11" t="s">
        <v>142</v>
      </c>
    </row>
    <row r="228" spans="1:12" x14ac:dyDescent="0.25">
      <c r="A228" s="26">
        <v>227</v>
      </c>
      <c r="B228" s="11" t="s">
        <v>5030</v>
      </c>
      <c r="C228" s="11" t="s">
        <v>99</v>
      </c>
      <c r="D228" s="11" t="s">
        <v>4273</v>
      </c>
      <c r="E228" s="11" t="s">
        <v>4244</v>
      </c>
      <c r="F228" s="11" t="s">
        <v>84</v>
      </c>
      <c r="G228" s="11" t="s">
        <v>4999</v>
      </c>
      <c r="H228" s="11" t="s">
        <v>4999</v>
      </c>
      <c r="I228" s="11" t="s">
        <v>142</v>
      </c>
      <c r="J228" s="11" t="s">
        <v>1843</v>
      </c>
      <c r="K228" s="11" t="s">
        <v>142</v>
      </c>
      <c r="L228" s="11" t="s">
        <v>142</v>
      </c>
    </row>
    <row r="229" spans="1:12" x14ac:dyDescent="0.25">
      <c r="A229" s="26">
        <v>228</v>
      </c>
      <c r="B229" s="11" t="s">
        <v>5031</v>
      </c>
      <c r="C229" s="11" t="s">
        <v>98</v>
      </c>
      <c r="D229" s="11" t="s">
        <v>5032</v>
      </c>
      <c r="E229" s="11" t="s">
        <v>4259</v>
      </c>
      <c r="F229" s="11" t="s">
        <v>84</v>
      </c>
      <c r="G229" s="11" t="s">
        <v>4999</v>
      </c>
      <c r="H229" s="11" t="s">
        <v>4999</v>
      </c>
      <c r="I229" s="11" t="s">
        <v>1878</v>
      </c>
      <c r="J229" s="11" t="s">
        <v>1878</v>
      </c>
      <c r="K229" s="11" t="s">
        <v>1648</v>
      </c>
      <c r="L229" s="11" t="s">
        <v>5033</v>
      </c>
    </row>
    <row r="230" spans="1:12" x14ac:dyDescent="0.25">
      <c r="A230" s="26">
        <v>229</v>
      </c>
      <c r="B230" s="11" t="s">
        <v>5034</v>
      </c>
      <c r="C230" s="11" t="s">
        <v>89</v>
      </c>
      <c r="D230" s="11" t="s">
        <v>5028</v>
      </c>
      <c r="E230" s="11" t="s">
        <v>4259</v>
      </c>
      <c r="F230" s="11" t="s">
        <v>84</v>
      </c>
      <c r="G230" s="11" t="s">
        <v>4999</v>
      </c>
      <c r="H230" s="11" t="s">
        <v>4999</v>
      </c>
      <c r="I230" s="11" t="s">
        <v>1849</v>
      </c>
      <c r="J230" s="11" t="s">
        <v>1849</v>
      </c>
      <c r="K230" s="11" t="s">
        <v>5035</v>
      </c>
      <c r="L230" s="11" t="s">
        <v>142</v>
      </c>
    </row>
    <row r="231" spans="1:12" x14ac:dyDescent="0.25">
      <c r="A231" s="26">
        <v>230</v>
      </c>
      <c r="B231" s="11" t="s">
        <v>5036</v>
      </c>
      <c r="C231" s="11" t="s">
        <v>89</v>
      </c>
      <c r="D231" s="11" t="s">
        <v>5037</v>
      </c>
      <c r="E231" s="11" t="s">
        <v>4259</v>
      </c>
      <c r="F231" s="11" t="s">
        <v>84</v>
      </c>
      <c r="G231" s="11" t="s">
        <v>4999</v>
      </c>
      <c r="H231" s="11" t="s">
        <v>4999</v>
      </c>
      <c r="I231" s="11" t="s">
        <v>1849</v>
      </c>
      <c r="J231" s="11" t="s">
        <v>1849</v>
      </c>
      <c r="K231" s="11" t="s">
        <v>5038</v>
      </c>
      <c r="L231" s="11" t="s">
        <v>142</v>
      </c>
    </row>
    <row r="232" spans="1:12" x14ac:dyDescent="0.25">
      <c r="A232" s="26">
        <v>231</v>
      </c>
      <c r="B232" s="11" t="s">
        <v>5039</v>
      </c>
      <c r="C232" s="11" t="s">
        <v>91</v>
      </c>
      <c r="D232" s="11" t="s">
        <v>5040</v>
      </c>
      <c r="E232" s="11" t="s">
        <v>4259</v>
      </c>
      <c r="F232" s="11" t="s">
        <v>84</v>
      </c>
      <c r="G232" s="11" t="s">
        <v>4999</v>
      </c>
      <c r="H232" s="11" t="s">
        <v>4999</v>
      </c>
      <c r="I232" s="11" t="s">
        <v>1856</v>
      </c>
      <c r="J232" s="11" t="s">
        <v>1856</v>
      </c>
      <c r="K232" s="11" t="s">
        <v>1861</v>
      </c>
      <c r="L232" s="11" t="s">
        <v>5041</v>
      </c>
    </row>
    <row r="233" spans="1:12" x14ac:dyDescent="0.25">
      <c r="A233" s="26">
        <v>232</v>
      </c>
      <c r="B233" s="11" t="s">
        <v>5042</v>
      </c>
      <c r="C233" s="11" t="s">
        <v>97</v>
      </c>
      <c r="D233" s="11" t="s">
        <v>5032</v>
      </c>
      <c r="E233" s="11" t="s">
        <v>4259</v>
      </c>
      <c r="F233" s="11" t="s">
        <v>84</v>
      </c>
      <c r="G233" s="11" t="s">
        <v>4999</v>
      </c>
      <c r="H233" s="11" t="s">
        <v>4999</v>
      </c>
      <c r="I233" s="11" t="s">
        <v>1878</v>
      </c>
      <c r="J233" s="11" t="s">
        <v>1878</v>
      </c>
      <c r="K233" s="11" t="s">
        <v>1648</v>
      </c>
      <c r="L233" s="11" t="s">
        <v>5043</v>
      </c>
    </row>
    <row r="234" spans="1:12" x14ac:dyDescent="0.25">
      <c r="A234" s="26">
        <v>233</v>
      </c>
      <c r="B234" s="11" t="s">
        <v>5044</v>
      </c>
      <c r="C234" s="11" t="s">
        <v>99</v>
      </c>
      <c r="D234" s="11" t="s">
        <v>5045</v>
      </c>
      <c r="E234" s="11" t="s">
        <v>4244</v>
      </c>
      <c r="F234" s="11" t="s">
        <v>84</v>
      </c>
      <c r="G234" s="11" t="s">
        <v>4999</v>
      </c>
      <c r="H234" s="11" t="s">
        <v>4999</v>
      </c>
      <c r="I234" s="11" t="s">
        <v>142</v>
      </c>
      <c r="J234" s="11" t="s">
        <v>1849</v>
      </c>
      <c r="K234" s="11" t="s">
        <v>142</v>
      </c>
      <c r="L234" s="11" t="s">
        <v>142</v>
      </c>
    </row>
    <row r="235" spans="1:12" x14ac:dyDescent="0.25">
      <c r="A235" s="26">
        <v>234</v>
      </c>
      <c r="B235" s="11" t="s">
        <v>5046</v>
      </c>
      <c r="C235" s="11" t="s">
        <v>92</v>
      </c>
      <c r="D235" s="11" t="s">
        <v>5032</v>
      </c>
      <c r="E235" s="11" t="s">
        <v>4259</v>
      </c>
      <c r="F235" s="11" t="s">
        <v>84</v>
      </c>
      <c r="G235" s="11" t="s">
        <v>4999</v>
      </c>
      <c r="H235" s="11" t="s">
        <v>4999</v>
      </c>
      <c r="I235" s="11" t="s">
        <v>1878</v>
      </c>
      <c r="J235" s="11" t="s">
        <v>1878</v>
      </c>
      <c r="K235" s="11" t="s">
        <v>1648</v>
      </c>
      <c r="L235" s="11" t="s">
        <v>5047</v>
      </c>
    </row>
    <row r="236" spans="1:12" x14ac:dyDescent="0.25">
      <c r="A236" s="26">
        <v>235</v>
      </c>
      <c r="B236" s="11" t="s">
        <v>5048</v>
      </c>
      <c r="C236" s="11" t="s">
        <v>99</v>
      </c>
      <c r="D236" s="11" t="s">
        <v>5045</v>
      </c>
      <c r="E236" s="11" t="s">
        <v>4244</v>
      </c>
      <c r="F236" s="11" t="s">
        <v>84</v>
      </c>
      <c r="G236" s="11" t="s">
        <v>4999</v>
      </c>
      <c r="H236" s="11" t="s">
        <v>4999</v>
      </c>
      <c r="I236" s="11" t="s">
        <v>142</v>
      </c>
      <c r="J236" s="11" t="s">
        <v>1849</v>
      </c>
      <c r="K236" s="11" t="s">
        <v>142</v>
      </c>
      <c r="L236" s="11" t="s">
        <v>142</v>
      </c>
    </row>
    <row r="237" spans="1:12" x14ac:dyDescent="0.25">
      <c r="A237" s="26">
        <v>236</v>
      </c>
      <c r="B237" s="11" t="s">
        <v>5049</v>
      </c>
      <c r="C237" s="11" t="s">
        <v>91</v>
      </c>
      <c r="D237" s="11" t="s">
        <v>5037</v>
      </c>
      <c r="E237" s="11" t="s">
        <v>4259</v>
      </c>
      <c r="F237" s="11" t="s">
        <v>84</v>
      </c>
      <c r="G237" s="11" t="s">
        <v>4999</v>
      </c>
      <c r="H237" s="11" t="s">
        <v>4999</v>
      </c>
      <c r="I237" s="11" t="s">
        <v>1849</v>
      </c>
      <c r="J237" s="11" t="s">
        <v>1849</v>
      </c>
      <c r="K237" s="11" t="s">
        <v>1648</v>
      </c>
      <c r="L237" s="11" t="s">
        <v>5050</v>
      </c>
    </row>
    <row r="238" spans="1:12" x14ac:dyDescent="0.25">
      <c r="A238" s="26">
        <v>237</v>
      </c>
      <c r="B238" s="11" t="s">
        <v>5051</v>
      </c>
      <c r="C238" s="11" t="s">
        <v>99</v>
      </c>
      <c r="D238" s="11" t="s">
        <v>5052</v>
      </c>
      <c r="E238" s="11" t="s">
        <v>4244</v>
      </c>
      <c r="F238" s="11" t="s">
        <v>84</v>
      </c>
      <c r="G238" s="11" t="s">
        <v>4999</v>
      </c>
      <c r="H238" s="11" t="s">
        <v>4999</v>
      </c>
      <c r="I238" s="11" t="s">
        <v>142</v>
      </c>
      <c r="J238" s="11" t="s">
        <v>1856</v>
      </c>
      <c r="K238" s="11" t="s">
        <v>142</v>
      </c>
      <c r="L238" s="11" t="s">
        <v>142</v>
      </c>
    </row>
    <row r="239" spans="1:12" x14ac:dyDescent="0.25">
      <c r="A239" s="26">
        <v>238</v>
      </c>
      <c r="B239" s="11" t="s">
        <v>5053</v>
      </c>
      <c r="C239" s="11" t="s">
        <v>98</v>
      </c>
      <c r="D239" s="11" t="s">
        <v>5032</v>
      </c>
      <c r="E239" s="11" t="s">
        <v>4259</v>
      </c>
      <c r="F239" s="11" t="s">
        <v>84</v>
      </c>
      <c r="G239" s="11" t="s">
        <v>4999</v>
      </c>
      <c r="H239" s="11" t="s">
        <v>4999</v>
      </c>
      <c r="I239" s="11" t="s">
        <v>1878</v>
      </c>
      <c r="J239" s="11" t="s">
        <v>1878</v>
      </c>
      <c r="K239" s="11" t="s">
        <v>1648</v>
      </c>
      <c r="L239" s="11" t="s">
        <v>5054</v>
      </c>
    </row>
    <row r="240" spans="1:12" x14ac:dyDescent="0.25">
      <c r="A240" s="26">
        <v>239</v>
      </c>
      <c r="B240" s="11" t="s">
        <v>5055</v>
      </c>
      <c r="C240" s="11" t="s">
        <v>96</v>
      </c>
      <c r="D240" s="11" t="s">
        <v>5056</v>
      </c>
      <c r="E240" s="11" t="s">
        <v>4259</v>
      </c>
      <c r="F240" s="11" t="s">
        <v>84</v>
      </c>
      <c r="G240" s="11" t="s">
        <v>4999</v>
      </c>
      <c r="H240" s="11" t="s">
        <v>4999</v>
      </c>
      <c r="I240" s="11" t="s">
        <v>1856</v>
      </c>
      <c r="J240" s="11" t="s">
        <v>1856</v>
      </c>
      <c r="K240" s="11" t="s">
        <v>1648</v>
      </c>
      <c r="L240" s="11" t="s">
        <v>5057</v>
      </c>
    </row>
    <row r="241" spans="1:12" x14ac:dyDescent="0.25">
      <c r="A241" s="26">
        <v>240</v>
      </c>
      <c r="B241" s="11" t="s">
        <v>5058</v>
      </c>
      <c r="C241" s="11" t="s">
        <v>92</v>
      </c>
      <c r="D241" s="11" t="s">
        <v>5059</v>
      </c>
      <c r="E241" s="11" t="s">
        <v>4259</v>
      </c>
      <c r="F241" s="11" t="s">
        <v>83</v>
      </c>
      <c r="G241" s="11" t="s">
        <v>4999</v>
      </c>
      <c r="H241" s="11" t="s">
        <v>4999</v>
      </c>
      <c r="I241" s="11" t="s">
        <v>142</v>
      </c>
      <c r="J241" s="11" t="s">
        <v>142</v>
      </c>
      <c r="K241" s="11" t="s">
        <v>142</v>
      </c>
      <c r="L241" s="11" t="s">
        <v>5060</v>
      </c>
    </row>
    <row r="242" spans="1:12" x14ac:dyDescent="0.25">
      <c r="A242" s="26">
        <v>241</v>
      </c>
      <c r="B242" s="11" t="s">
        <v>5061</v>
      </c>
      <c r="C242" s="11" t="s">
        <v>92</v>
      </c>
      <c r="D242" s="11" t="s">
        <v>5062</v>
      </c>
      <c r="E242" s="11" t="s">
        <v>4259</v>
      </c>
      <c r="F242" s="11" t="s">
        <v>84</v>
      </c>
      <c r="G242" s="11" t="s">
        <v>4999</v>
      </c>
      <c r="H242" s="11" t="s">
        <v>4999</v>
      </c>
      <c r="I242" s="11" t="s">
        <v>1871</v>
      </c>
      <c r="J242" s="11" t="s">
        <v>1871</v>
      </c>
      <c r="K242" s="11" t="s">
        <v>1648</v>
      </c>
      <c r="L242" s="11" t="s">
        <v>5063</v>
      </c>
    </row>
    <row r="243" spans="1:12" x14ac:dyDescent="0.25">
      <c r="A243" s="26">
        <v>242</v>
      </c>
      <c r="B243" s="11" t="s">
        <v>5064</v>
      </c>
      <c r="C243" s="11" t="s">
        <v>99</v>
      </c>
      <c r="D243" s="11" t="s">
        <v>5065</v>
      </c>
      <c r="E243" s="11" t="s">
        <v>4244</v>
      </c>
      <c r="F243" s="11" t="s">
        <v>84</v>
      </c>
      <c r="G243" s="11" t="s">
        <v>4999</v>
      </c>
      <c r="H243" s="11" t="s">
        <v>4999</v>
      </c>
      <c r="I243" s="11" t="s">
        <v>142</v>
      </c>
      <c r="J243" s="11" t="s">
        <v>5066</v>
      </c>
      <c r="K243" s="11" t="s">
        <v>142</v>
      </c>
      <c r="L243" s="11" t="s">
        <v>5067</v>
      </c>
    </row>
    <row r="244" spans="1:12" x14ac:dyDescent="0.25">
      <c r="A244" s="26">
        <v>243</v>
      </c>
      <c r="B244" s="11" t="s">
        <v>5068</v>
      </c>
      <c r="C244" s="11" t="s">
        <v>92</v>
      </c>
      <c r="D244" s="11" t="s">
        <v>5069</v>
      </c>
      <c r="E244" s="11" t="s">
        <v>4259</v>
      </c>
      <c r="F244" s="11" t="s">
        <v>84</v>
      </c>
      <c r="G244" s="11" t="s">
        <v>4999</v>
      </c>
      <c r="H244" s="11" t="s">
        <v>4999</v>
      </c>
      <c r="I244" s="11" t="s">
        <v>1871</v>
      </c>
      <c r="J244" s="11" t="s">
        <v>1871</v>
      </c>
      <c r="K244" s="11" t="s">
        <v>1648</v>
      </c>
      <c r="L244" s="11" t="s">
        <v>5070</v>
      </c>
    </row>
    <row r="245" spans="1:12" x14ac:dyDescent="0.25">
      <c r="A245" s="26">
        <v>244</v>
      </c>
      <c r="B245" s="11" t="s">
        <v>5071</v>
      </c>
      <c r="C245" s="11" t="s">
        <v>92</v>
      </c>
      <c r="D245" s="11" t="s">
        <v>5032</v>
      </c>
      <c r="E245" s="11" t="s">
        <v>4259</v>
      </c>
      <c r="F245" s="11" t="s">
        <v>84</v>
      </c>
      <c r="G245" s="11" t="s">
        <v>4999</v>
      </c>
      <c r="H245" s="11" t="s">
        <v>4999</v>
      </c>
      <c r="I245" s="11" t="s">
        <v>5072</v>
      </c>
      <c r="J245" s="11" t="s">
        <v>1452</v>
      </c>
      <c r="K245" s="11" t="s">
        <v>1648</v>
      </c>
      <c r="L245" s="11" t="s">
        <v>5073</v>
      </c>
    </row>
    <row r="246" spans="1:12" x14ac:dyDescent="0.25">
      <c r="A246" s="26">
        <v>245</v>
      </c>
      <c r="B246" s="11" t="s">
        <v>5074</v>
      </c>
      <c r="C246" s="11" t="s">
        <v>99</v>
      </c>
      <c r="D246" s="11" t="s">
        <v>4273</v>
      </c>
      <c r="E246" s="11" t="s">
        <v>4244</v>
      </c>
      <c r="F246" s="11" t="s">
        <v>83</v>
      </c>
      <c r="G246" s="11" t="s">
        <v>4999</v>
      </c>
      <c r="H246" s="11" t="s">
        <v>4999</v>
      </c>
      <c r="I246" s="11" t="s">
        <v>142</v>
      </c>
      <c r="J246" s="11" t="s">
        <v>142</v>
      </c>
      <c r="K246" s="11" t="s">
        <v>142</v>
      </c>
      <c r="L246" s="11" t="s">
        <v>5075</v>
      </c>
    </row>
    <row r="247" spans="1:12" x14ac:dyDescent="0.25">
      <c r="A247" s="26">
        <v>246</v>
      </c>
      <c r="B247" s="11" t="s">
        <v>5076</v>
      </c>
      <c r="C247" s="11" t="s">
        <v>91</v>
      </c>
      <c r="D247" s="11" t="s">
        <v>5032</v>
      </c>
      <c r="E247" s="11" t="s">
        <v>4259</v>
      </c>
      <c r="F247" s="11" t="s">
        <v>84</v>
      </c>
      <c r="G247" s="11" t="s">
        <v>4999</v>
      </c>
      <c r="H247" s="11" t="s">
        <v>4999</v>
      </c>
      <c r="I247" s="11" t="s">
        <v>1865</v>
      </c>
      <c r="J247" s="11" t="s">
        <v>1865</v>
      </c>
      <c r="K247" s="11" t="s">
        <v>1648</v>
      </c>
      <c r="L247" s="11" t="s">
        <v>5077</v>
      </c>
    </row>
    <row r="248" spans="1:12" x14ac:dyDescent="0.25">
      <c r="A248" s="26">
        <v>247</v>
      </c>
      <c r="B248" s="11" t="s">
        <v>5078</v>
      </c>
      <c r="C248" s="11" t="s">
        <v>92</v>
      </c>
      <c r="D248" s="11" t="s">
        <v>5032</v>
      </c>
      <c r="E248" s="11" t="s">
        <v>4259</v>
      </c>
      <c r="F248" s="11" t="s">
        <v>84</v>
      </c>
      <c r="G248" s="11" t="s">
        <v>4999</v>
      </c>
      <c r="H248" s="11" t="s">
        <v>5022</v>
      </c>
      <c r="I248" s="11" t="s">
        <v>1878</v>
      </c>
      <c r="J248" s="11" t="s">
        <v>142</v>
      </c>
      <c r="K248" s="11" t="s">
        <v>142</v>
      </c>
      <c r="L248" s="11" t="s">
        <v>5079</v>
      </c>
    </row>
    <row r="249" spans="1:12" x14ac:dyDescent="0.25">
      <c r="A249" s="26" t="s">
        <v>5080</v>
      </c>
      <c r="B249" s="11" t="s">
        <v>5081</v>
      </c>
      <c r="C249" s="11" t="s">
        <v>100</v>
      </c>
      <c r="D249" s="11" t="s">
        <v>5065</v>
      </c>
      <c r="E249" s="11" t="s">
        <v>4244</v>
      </c>
      <c r="F249" s="11" t="s">
        <v>84</v>
      </c>
      <c r="G249" s="11" t="s">
        <v>5022</v>
      </c>
      <c r="H249" s="11" t="s">
        <v>5022</v>
      </c>
      <c r="I249" s="11" t="s">
        <v>142</v>
      </c>
      <c r="J249" s="11" t="s">
        <v>142</v>
      </c>
      <c r="K249" s="11" t="s">
        <v>5082</v>
      </c>
      <c r="L249" s="11" t="s">
        <v>142</v>
      </c>
    </row>
    <row r="250" spans="1:12" x14ac:dyDescent="0.25">
      <c r="A250" s="26" t="s">
        <v>5083</v>
      </c>
      <c r="B250" s="11" t="s">
        <v>5084</v>
      </c>
      <c r="C250" s="11" t="s">
        <v>93</v>
      </c>
      <c r="D250" s="11" t="s">
        <v>4824</v>
      </c>
      <c r="E250" s="11" t="s">
        <v>4259</v>
      </c>
      <c r="F250" s="11" t="s">
        <v>84</v>
      </c>
      <c r="G250" s="11" t="s">
        <v>5022</v>
      </c>
      <c r="H250" s="11" t="s">
        <v>5022</v>
      </c>
      <c r="I250" s="11" t="s">
        <v>5085</v>
      </c>
      <c r="J250" s="11" t="s">
        <v>142</v>
      </c>
      <c r="K250" s="11" t="s">
        <v>1767</v>
      </c>
      <c r="L250" s="11" t="s">
        <v>142</v>
      </c>
    </row>
    <row r="251" spans="1:12" x14ac:dyDescent="0.25">
      <c r="A251" s="26" t="s">
        <v>5086</v>
      </c>
      <c r="B251" s="11" t="s">
        <v>5087</v>
      </c>
      <c r="C251" s="11" t="s">
        <v>93</v>
      </c>
      <c r="D251" s="11" t="s">
        <v>5088</v>
      </c>
      <c r="E251" s="11" t="s">
        <v>4259</v>
      </c>
      <c r="F251" s="11" t="s">
        <v>84</v>
      </c>
      <c r="G251" s="11" t="s">
        <v>5022</v>
      </c>
      <c r="H251" s="11" t="s">
        <v>5022</v>
      </c>
      <c r="I251" s="11" t="s">
        <v>5089</v>
      </c>
      <c r="J251" s="11" t="s">
        <v>142</v>
      </c>
      <c r="K251" s="11" t="s">
        <v>1767</v>
      </c>
      <c r="L251" s="11" t="s">
        <v>142</v>
      </c>
    </row>
    <row r="252" spans="1:12" x14ac:dyDescent="0.25">
      <c r="A252" s="26" t="s">
        <v>5090</v>
      </c>
      <c r="B252" s="11" t="s">
        <v>5091</v>
      </c>
      <c r="C252" s="11" t="s">
        <v>98</v>
      </c>
      <c r="D252" s="11" t="s">
        <v>5092</v>
      </c>
      <c r="E252" s="11" t="s">
        <v>4259</v>
      </c>
      <c r="F252" s="11" t="s">
        <v>84</v>
      </c>
      <c r="G252" s="11" t="s">
        <v>5022</v>
      </c>
      <c r="H252" s="11" t="s">
        <v>5022</v>
      </c>
      <c r="I252" s="11" t="s">
        <v>142</v>
      </c>
      <c r="J252" s="11" t="s">
        <v>142</v>
      </c>
      <c r="K252" s="11" t="s">
        <v>142</v>
      </c>
      <c r="L252" s="11" t="s">
        <v>142</v>
      </c>
    </row>
    <row r="253" spans="1:12" x14ac:dyDescent="0.25">
      <c r="A253" s="26" t="s">
        <v>5093</v>
      </c>
      <c r="B253" s="11" t="s">
        <v>5094</v>
      </c>
      <c r="C253" s="11" t="s">
        <v>98</v>
      </c>
      <c r="D253" s="11" t="s">
        <v>5032</v>
      </c>
      <c r="E253" s="11" t="s">
        <v>4259</v>
      </c>
      <c r="F253" s="11" t="s">
        <v>84</v>
      </c>
      <c r="G253" s="11" t="s">
        <v>5022</v>
      </c>
      <c r="H253" s="11" t="s">
        <v>5022</v>
      </c>
      <c r="I253" s="11" t="s">
        <v>142</v>
      </c>
      <c r="J253" s="11" t="s">
        <v>142</v>
      </c>
      <c r="K253" s="11" t="s">
        <v>142</v>
      </c>
      <c r="L253" s="11" t="s">
        <v>142</v>
      </c>
    </row>
    <row r="254" spans="1:12" x14ac:dyDescent="0.25">
      <c r="A254" s="26" t="s">
        <v>5095</v>
      </c>
      <c r="B254" s="11" t="s">
        <v>5096</v>
      </c>
      <c r="C254" s="11" t="s">
        <v>91</v>
      </c>
      <c r="D254" s="11" t="s">
        <v>4824</v>
      </c>
      <c r="E254" s="11" t="s">
        <v>4259</v>
      </c>
      <c r="F254" s="11" t="s">
        <v>84</v>
      </c>
      <c r="G254" s="11" t="s">
        <v>5022</v>
      </c>
      <c r="H254" s="11" t="s">
        <v>5022</v>
      </c>
      <c r="I254" s="11" t="s">
        <v>2097</v>
      </c>
      <c r="J254" s="11" t="s">
        <v>142</v>
      </c>
      <c r="K254" s="11" t="s">
        <v>1767</v>
      </c>
      <c r="L254" s="11" t="s">
        <v>142</v>
      </c>
    </row>
    <row r="255" spans="1:12" x14ac:dyDescent="0.25">
      <c r="A255" s="26" t="s">
        <v>5097</v>
      </c>
      <c r="B255" s="11" t="s">
        <v>5098</v>
      </c>
      <c r="C255" s="11" t="s">
        <v>90</v>
      </c>
      <c r="D255" s="11" t="s">
        <v>5088</v>
      </c>
      <c r="E255" s="11" t="s">
        <v>4259</v>
      </c>
      <c r="F255" s="11" t="s">
        <v>84</v>
      </c>
      <c r="G255" s="11" t="s">
        <v>5022</v>
      </c>
      <c r="H255" s="11" t="s">
        <v>5022</v>
      </c>
      <c r="I255" s="11" t="s">
        <v>142</v>
      </c>
      <c r="J255" s="11" t="s">
        <v>142</v>
      </c>
      <c r="K255" s="11" t="s">
        <v>142</v>
      </c>
      <c r="L255" s="11" t="s">
        <v>142</v>
      </c>
    </row>
    <row r="256" spans="1:12" x14ac:dyDescent="0.25">
      <c r="A256" s="26" t="s">
        <v>5099</v>
      </c>
      <c r="B256" s="11" t="s">
        <v>5100</v>
      </c>
      <c r="C256" s="11" t="s">
        <v>93</v>
      </c>
      <c r="D256" s="11" t="s">
        <v>5088</v>
      </c>
      <c r="E256" s="11" t="s">
        <v>4259</v>
      </c>
      <c r="F256" s="11" t="s">
        <v>84</v>
      </c>
      <c r="G256" s="11" t="s">
        <v>5022</v>
      </c>
      <c r="H256" s="11" t="s">
        <v>5022</v>
      </c>
      <c r="I256" s="11" t="s">
        <v>2103</v>
      </c>
      <c r="J256" s="11" t="s">
        <v>142</v>
      </c>
      <c r="K256" s="11" t="s">
        <v>1767</v>
      </c>
      <c r="L256" s="11" t="s">
        <v>142</v>
      </c>
    </row>
    <row r="257" spans="1:12" x14ac:dyDescent="0.25">
      <c r="A257" s="26" t="s">
        <v>5101</v>
      </c>
      <c r="B257" s="11" t="s">
        <v>5102</v>
      </c>
      <c r="C257" s="11" t="s">
        <v>90</v>
      </c>
      <c r="D257" s="11" t="s">
        <v>5103</v>
      </c>
      <c r="E257" s="11" t="s">
        <v>4259</v>
      </c>
      <c r="F257" s="11" t="s">
        <v>84</v>
      </c>
      <c r="G257" s="11" t="s">
        <v>5017</v>
      </c>
      <c r="H257" s="11" t="s">
        <v>5022</v>
      </c>
      <c r="I257" s="11" t="s">
        <v>142</v>
      </c>
      <c r="J257" s="11" t="s">
        <v>142</v>
      </c>
      <c r="K257" s="11" t="s">
        <v>142</v>
      </c>
      <c r="L257" s="11" t="s">
        <v>142</v>
      </c>
    </row>
    <row r="258" spans="1:12" x14ac:dyDescent="0.25">
      <c r="A258" s="26" t="s">
        <v>5104</v>
      </c>
      <c r="B258" s="11" t="s">
        <v>5105</v>
      </c>
      <c r="C258" s="11" t="s">
        <v>93</v>
      </c>
      <c r="D258" s="11" t="s">
        <v>5103</v>
      </c>
      <c r="E258" s="11" t="s">
        <v>4259</v>
      </c>
      <c r="F258" s="11" t="s">
        <v>84</v>
      </c>
      <c r="G258" s="11" t="s">
        <v>5022</v>
      </c>
      <c r="H258" s="11" t="s">
        <v>5022</v>
      </c>
      <c r="I258" s="11" t="s">
        <v>5106</v>
      </c>
      <c r="J258" s="11" t="s">
        <v>142</v>
      </c>
      <c r="K258" s="11" t="s">
        <v>1767</v>
      </c>
      <c r="L258" s="11" t="s">
        <v>142</v>
      </c>
    </row>
    <row r="259" spans="1:12" x14ac:dyDescent="0.25">
      <c r="A259" s="26" t="s">
        <v>5107</v>
      </c>
      <c r="B259" s="11" t="s">
        <v>5108</v>
      </c>
      <c r="C259" s="11" t="s">
        <v>88</v>
      </c>
      <c r="D259" s="11" t="s">
        <v>5032</v>
      </c>
      <c r="E259" s="11" t="s">
        <v>4259</v>
      </c>
      <c r="F259" s="11" t="s">
        <v>84</v>
      </c>
      <c r="G259" s="11" t="s">
        <v>5022</v>
      </c>
      <c r="H259" s="11" t="s">
        <v>5022</v>
      </c>
      <c r="I259" s="11" t="s">
        <v>2113</v>
      </c>
      <c r="J259" s="11" t="s">
        <v>142</v>
      </c>
      <c r="K259" s="11" t="s">
        <v>1767</v>
      </c>
      <c r="L259" s="11" t="s">
        <v>142</v>
      </c>
    </row>
    <row r="260" spans="1:12" x14ac:dyDescent="0.25">
      <c r="A260" s="26" t="s">
        <v>5109</v>
      </c>
      <c r="B260" s="11" t="s">
        <v>5110</v>
      </c>
      <c r="C260" s="11" t="s">
        <v>100</v>
      </c>
      <c r="D260" s="11" t="s">
        <v>4610</v>
      </c>
      <c r="E260" s="11" t="s">
        <v>4244</v>
      </c>
      <c r="F260" s="11" t="s">
        <v>84</v>
      </c>
      <c r="G260" s="11" t="s">
        <v>5022</v>
      </c>
      <c r="H260" s="11" t="s">
        <v>5022</v>
      </c>
      <c r="I260" s="11" t="s">
        <v>142</v>
      </c>
      <c r="J260" s="11" t="s">
        <v>142</v>
      </c>
      <c r="K260" s="11" t="s">
        <v>5082</v>
      </c>
      <c r="L260" s="11" t="s">
        <v>142</v>
      </c>
    </row>
    <row r="261" spans="1:12" x14ac:dyDescent="0.25">
      <c r="A261" s="26" t="s">
        <v>5111</v>
      </c>
      <c r="B261" s="11" t="s">
        <v>5112</v>
      </c>
      <c r="C261" s="11" t="s">
        <v>102</v>
      </c>
      <c r="D261" s="11" t="s">
        <v>4610</v>
      </c>
      <c r="E261" s="11" t="s">
        <v>4244</v>
      </c>
      <c r="F261" s="11" t="s">
        <v>84</v>
      </c>
      <c r="G261" s="11" t="s">
        <v>5022</v>
      </c>
      <c r="H261" s="11" t="s">
        <v>5022</v>
      </c>
      <c r="I261" s="11" t="s">
        <v>142</v>
      </c>
      <c r="J261" s="11" t="s">
        <v>142</v>
      </c>
      <c r="K261" s="11" t="s">
        <v>5082</v>
      </c>
      <c r="L261" s="11" t="s">
        <v>5113</v>
      </c>
    </row>
    <row r="262" spans="1:12" x14ac:dyDescent="0.25">
      <c r="A262" s="26" t="s">
        <v>5114</v>
      </c>
      <c r="B262" s="11" t="s">
        <v>5115</v>
      </c>
      <c r="C262" s="11" t="s">
        <v>98</v>
      </c>
      <c r="D262" s="11" t="s">
        <v>5059</v>
      </c>
      <c r="E262" s="11" t="s">
        <v>4259</v>
      </c>
      <c r="F262" s="11" t="s">
        <v>84</v>
      </c>
      <c r="G262" s="11" t="s">
        <v>5116</v>
      </c>
      <c r="H262" s="11" t="s">
        <v>5117</v>
      </c>
      <c r="I262" s="11" t="s">
        <v>142</v>
      </c>
      <c r="J262" s="11" t="s">
        <v>142</v>
      </c>
      <c r="K262" s="11" t="s">
        <v>142</v>
      </c>
      <c r="L262" s="11" t="s">
        <v>142</v>
      </c>
    </row>
    <row r="263" spans="1:12" x14ac:dyDescent="0.25">
      <c r="A263" s="26" t="s">
        <v>5118</v>
      </c>
      <c r="B263" s="11" t="s">
        <v>5119</v>
      </c>
      <c r="C263" s="11" t="s">
        <v>90</v>
      </c>
      <c r="D263" s="11" t="s">
        <v>4824</v>
      </c>
      <c r="E263" s="11" t="s">
        <v>4259</v>
      </c>
      <c r="F263" s="11" t="s">
        <v>84</v>
      </c>
      <c r="G263" s="11" t="s">
        <v>5116</v>
      </c>
      <c r="H263" s="11" t="s">
        <v>5117</v>
      </c>
      <c r="I263" s="11" t="s">
        <v>142</v>
      </c>
      <c r="J263" s="11" t="s">
        <v>142</v>
      </c>
      <c r="K263" s="11" t="s">
        <v>142</v>
      </c>
      <c r="L263" s="11" t="s">
        <v>142</v>
      </c>
    </row>
    <row r="264" spans="1:12" x14ac:dyDescent="0.25">
      <c r="A264" s="26" t="s">
        <v>5120</v>
      </c>
      <c r="B264" s="11" t="s">
        <v>5121</v>
      </c>
      <c r="C264" s="11" t="s">
        <v>91</v>
      </c>
      <c r="D264" s="11" t="s">
        <v>5122</v>
      </c>
      <c r="E264" s="11" t="s">
        <v>4259</v>
      </c>
      <c r="F264" s="11" t="s">
        <v>84</v>
      </c>
      <c r="G264" s="11" t="s">
        <v>5123</v>
      </c>
      <c r="H264" s="11" t="s">
        <v>5117</v>
      </c>
      <c r="I264" s="11" t="s">
        <v>5124</v>
      </c>
      <c r="J264" s="11" t="s">
        <v>142</v>
      </c>
      <c r="K264" s="11" t="s">
        <v>1894</v>
      </c>
      <c r="L264" s="11" t="s">
        <v>142</v>
      </c>
    </row>
    <row r="265" spans="1:12" x14ac:dyDescent="0.25">
      <c r="A265" s="26" t="s">
        <v>5125</v>
      </c>
      <c r="B265" s="11" t="s">
        <v>3782</v>
      </c>
      <c r="C265" s="11" t="s">
        <v>100</v>
      </c>
      <c r="D265" s="11" t="s">
        <v>4273</v>
      </c>
      <c r="E265" s="11" t="s">
        <v>4244</v>
      </c>
      <c r="F265" s="11" t="s">
        <v>84</v>
      </c>
      <c r="G265" s="11" t="s">
        <v>5022</v>
      </c>
      <c r="H265" s="11" t="s">
        <v>5123</v>
      </c>
      <c r="I265" s="11" t="s">
        <v>5126</v>
      </c>
      <c r="J265" s="11" t="s">
        <v>5126</v>
      </c>
      <c r="K265" s="11" t="s">
        <v>5082</v>
      </c>
      <c r="L265" s="11" t="s">
        <v>142</v>
      </c>
    </row>
    <row r="266" spans="1:12" x14ac:dyDescent="0.25">
      <c r="A266" s="26" t="s">
        <v>5127</v>
      </c>
      <c r="B266" s="11" t="s">
        <v>5128</v>
      </c>
      <c r="C266" s="11" t="s">
        <v>91</v>
      </c>
      <c r="D266" s="11" t="s">
        <v>5129</v>
      </c>
      <c r="E266" s="11" t="s">
        <v>4259</v>
      </c>
      <c r="F266" s="11" t="s">
        <v>84</v>
      </c>
      <c r="G266" s="11" t="s">
        <v>5117</v>
      </c>
      <c r="H266" s="11" t="s">
        <v>5117</v>
      </c>
      <c r="I266" s="11" t="s">
        <v>2152</v>
      </c>
      <c r="J266" s="11" t="s">
        <v>142</v>
      </c>
      <c r="K266" s="11" t="s">
        <v>1894</v>
      </c>
      <c r="L266" s="11" t="s">
        <v>142</v>
      </c>
    </row>
    <row r="267" spans="1:12" x14ac:dyDescent="0.25">
      <c r="A267" s="26" t="s">
        <v>5130</v>
      </c>
      <c r="B267" s="11" t="s">
        <v>3779</v>
      </c>
      <c r="C267" s="11" t="s">
        <v>100</v>
      </c>
      <c r="D267" s="11" t="s">
        <v>5131</v>
      </c>
      <c r="E267" s="11" t="s">
        <v>4244</v>
      </c>
      <c r="F267" s="11" t="s">
        <v>84</v>
      </c>
      <c r="G267" s="11" t="s">
        <v>5123</v>
      </c>
      <c r="H267" s="11" t="s">
        <v>5117</v>
      </c>
      <c r="I267" s="11" t="s">
        <v>5132</v>
      </c>
      <c r="J267" s="11" t="s">
        <v>5132</v>
      </c>
      <c r="K267" s="11" t="s">
        <v>5082</v>
      </c>
      <c r="L267" s="11" t="s">
        <v>142</v>
      </c>
    </row>
    <row r="268" spans="1:12" x14ac:dyDescent="0.25">
      <c r="A268" s="26" t="s">
        <v>5133</v>
      </c>
      <c r="B268" s="11" t="s">
        <v>5134</v>
      </c>
      <c r="C268" s="11" t="s">
        <v>91</v>
      </c>
      <c r="D268" s="11" t="s">
        <v>5135</v>
      </c>
      <c r="E268" s="11" t="s">
        <v>4259</v>
      </c>
      <c r="F268" s="11" t="s">
        <v>84</v>
      </c>
      <c r="G268" s="11" t="s">
        <v>5117</v>
      </c>
      <c r="H268" s="11" t="s">
        <v>5117</v>
      </c>
      <c r="I268" s="11" t="s">
        <v>2145</v>
      </c>
      <c r="J268" s="11" t="s">
        <v>142</v>
      </c>
      <c r="K268" s="11" t="s">
        <v>2150</v>
      </c>
      <c r="L268" s="11" t="s">
        <v>142</v>
      </c>
    </row>
    <row r="269" spans="1:12" x14ac:dyDescent="0.25">
      <c r="A269" s="26" t="s">
        <v>5136</v>
      </c>
      <c r="B269" s="11" t="s">
        <v>5137</v>
      </c>
      <c r="C269" s="11" t="s">
        <v>91</v>
      </c>
      <c r="D269" s="11" t="s">
        <v>5138</v>
      </c>
      <c r="E269" s="11" t="s">
        <v>4259</v>
      </c>
      <c r="F269" s="11" t="s">
        <v>84</v>
      </c>
      <c r="G269" s="11" t="s">
        <v>5117</v>
      </c>
      <c r="H269" s="11" t="s">
        <v>5139</v>
      </c>
      <c r="I269" s="11" t="s">
        <v>2159</v>
      </c>
      <c r="J269" s="11" t="s">
        <v>142</v>
      </c>
      <c r="K269" s="11" t="s">
        <v>2150</v>
      </c>
      <c r="L269" s="11" t="s">
        <v>142</v>
      </c>
    </row>
    <row r="270" spans="1:12" x14ac:dyDescent="0.25">
      <c r="A270" s="26" t="s">
        <v>5140</v>
      </c>
      <c r="B270" s="11" t="s">
        <v>5141</v>
      </c>
      <c r="C270" s="11" t="s">
        <v>91</v>
      </c>
      <c r="D270" s="11" t="s">
        <v>5142</v>
      </c>
      <c r="E270" s="11" t="s">
        <v>4259</v>
      </c>
      <c r="F270" s="11" t="s">
        <v>84</v>
      </c>
      <c r="G270" s="11" t="s">
        <v>5139</v>
      </c>
      <c r="H270" s="11" t="s">
        <v>5139</v>
      </c>
      <c r="I270" s="11" t="s">
        <v>1977</v>
      </c>
      <c r="J270" s="11" t="s">
        <v>142</v>
      </c>
      <c r="K270" s="11" t="s">
        <v>1982</v>
      </c>
      <c r="L270" s="11" t="s">
        <v>142</v>
      </c>
    </row>
    <row r="271" spans="1:12" x14ac:dyDescent="0.25">
      <c r="A271" s="26" t="s">
        <v>5143</v>
      </c>
      <c r="B271" s="11" t="s">
        <v>3772</v>
      </c>
      <c r="C271" s="11" t="s">
        <v>100</v>
      </c>
      <c r="D271" s="11" t="s">
        <v>5144</v>
      </c>
      <c r="E271" s="11" t="s">
        <v>4244</v>
      </c>
      <c r="F271" s="11" t="s">
        <v>84</v>
      </c>
      <c r="G271" s="11" t="s">
        <v>5116</v>
      </c>
      <c r="H271" s="11" t="s">
        <v>5139</v>
      </c>
      <c r="I271" s="11" t="s">
        <v>142</v>
      </c>
      <c r="J271" s="11" t="s">
        <v>142</v>
      </c>
      <c r="K271" s="11" t="s">
        <v>5082</v>
      </c>
      <c r="L271" s="11" t="s">
        <v>142</v>
      </c>
    </row>
    <row r="272" spans="1:12" x14ac:dyDescent="0.25">
      <c r="A272" s="26" t="s">
        <v>5145</v>
      </c>
      <c r="B272" s="11" t="s">
        <v>5146</v>
      </c>
      <c r="C272" s="11" t="s">
        <v>91</v>
      </c>
      <c r="D272" s="11" t="s">
        <v>4824</v>
      </c>
      <c r="E272" s="11" t="s">
        <v>4259</v>
      </c>
      <c r="F272" s="11" t="s">
        <v>84</v>
      </c>
      <c r="G272" s="11" t="s">
        <v>5139</v>
      </c>
      <c r="H272" s="11" t="s">
        <v>5139</v>
      </c>
      <c r="I272" s="11" t="s">
        <v>2174</v>
      </c>
      <c r="J272" s="11" t="s">
        <v>142</v>
      </c>
      <c r="K272" s="11" t="s">
        <v>2042</v>
      </c>
      <c r="L272" s="11" t="s">
        <v>142</v>
      </c>
    </row>
    <row r="273" spans="1:12" x14ac:dyDescent="0.25">
      <c r="A273" s="26" t="s">
        <v>5147</v>
      </c>
      <c r="B273" s="11" t="s">
        <v>5148</v>
      </c>
      <c r="C273" s="11" t="s">
        <v>93</v>
      </c>
      <c r="D273" s="11" t="s">
        <v>5149</v>
      </c>
      <c r="E273" s="11" t="s">
        <v>4259</v>
      </c>
      <c r="F273" s="11" t="s">
        <v>84</v>
      </c>
      <c r="G273" s="11" t="s">
        <v>5139</v>
      </c>
      <c r="H273" s="11" t="s">
        <v>5139</v>
      </c>
      <c r="I273" s="11" t="s">
        <v>2166</v>
      </c>
      <c r="J273" s="11" t="s">
        <v>142</v>
      </c>
      <c r="K273" s="11" t="s">
        <v>2042</v>
      </c>
      <c r="L273" s="11" t="s">
        <v>142</v>
      </c>
    </row>
    <row r="274" spans="1:12" x14ac:dyDescent="0.25">
      <c r="A274" s="26" t="s">
        <v>5150</v>
      </c>
      <c r="B274" s="11" t="s">
        <v>3769</v>
      </c>
      <c r="C274" s="11" t="s">
        <v>100</v>
      </c>
      <c r="D274" s="11" t="s">
        <v>5151</v>
      </c>
      <c r="E274" s="11" t="s">
        <v>4244</v>
      </c>
      <c r="F274" s="11" t="s">
        <v>84</v>
      </c>
      <c r="G274" s="11" t="s">
        <v>5139</v>
      </c>
      <c r="H274" s="11" t="s">
        <v>5139</v>
      </c>
      <c r="I274" s="11" t="s">
        <v>142</v>
      </c>
      <c r="J274" s="11" t="s">
        <v>142</v>
      </c>
      <c r="K274" s="11" t="s">
        <v>5082</v>
      </c>
      <c r="L274" s="11" t="s">
        <v>142</v>
      </c>
    </row>
    <row r="275" spans="1:12" x14ac:dyDescent="0.25">
      <c r="A275" s="26" t="s">
        <v>5152</v>
      </c>
      <c r="B275" s="11" t="s">
        <v>5153</v>
      </c>
      <c r="C275" s="11" t="s">
        <v>88</v>
      </c>
      <c r="D275" s="11" t="s">
        <v>5154</v>
      </c>
      <c r="E275" s="11" t="s">
        <v>4259</v>
      </c>
      <c r="F275" s="11" t="s">
        <v>84</v>
      </c>
      <c r="G275" s="11" t="s">
        <v>5139</v>
      </c>
      <c r="H275" s="11" t="s">
        <v>5139</v>
      </c>
      <c r="I275" s="11" t="s">
        <v>2196</v>
      </c>
      <c r="J275" s="11" t="s">
        <v>142</v>
      </c>
      <c r="K275" s="11" t="s">
        <v>1982</v>
      </c>
      <c r="L275" s="11" t="s">
        <v>142</v>
      </c>
    </row>
    <row r="276" spans="1:12" x14ac:dyDescent="0.25">
      <c r="A276" s="26" t="s">
        <v>5155</v>
      </c>
      <c r="B276" s="11" t="s">
        <v>3766</v>
      </c>
      <c r="C276" s="11" t="s">
        <v>100</v>
      </c>
      <c r="D276" s="11" t="s">
        <v>5156</v>
      </c>
      <c r="E276" s="11" t="s">
        <v>4244</v>
      </c>
      <c r="F276" s="11" t="s">
        <v>84</v>
      </c>
      <c r="G276" s="11" t="s">
        <v>142</v>
      </c>
      <c r="H276" s="11" t="s">
        <v>5139</v>
      </c>
      <c r="I276" s="11" t="s">
        <v>142</v>
      </c>
      <c r="J276" s="11" t="s">
        <v>142</v>
      </c>
      <c r="K276" s="11" t="s">
        <v>5082</v>
      </c>
      <c r="L276" s="11" t="s">
        <v>142</v>
      </c>
    </row>
    <row r="277" spans="1:12" x14ac:dyDescent="0.25">
      <c r="A277" s="26" t="s">
        <v>5157</v>
      </c>
      <c r="B277" s="11" t="s">
        <v>5158</v>
      </c>
      <c r="C277" s="11" t="s">
        <v>98</v>
      </c>
      <c r="D277" s="11" t="s">
        <v>5092</v>
      </c>
      <c r="E277" s="11" t="s">
        <v>4259</v>
      </c>
      <c r="F277" s="11" t="s">
        <v>84</v>
      </c>
      <c r="G277" s="11" t="s">
        <v>5022</v>
      </c>
      <c r="H277" s="11" t="s">
        <v>5139</v>
      </c>
      <c r="I277" s="11" t="s">
        <v>2174</v>
      </c>
      <c r="J277" s="11" t="s">
        <v>142</v>
      </c>
      <c r="K277" s="11" t="s">
        <v>3752</v>
      </c>
      <c r="L277" s="11" t="s">
        <v>142</v>
      </c>
    </row>
    <row r="278" spans="1:12" x14ac:dyDescent="0.25">
      <c r="A278" s="26" t="s">
        <v>5159</v>
      </c>
      <c r="B278" s="11" t="s">
        <v>5160</v>
      </c>
      <c r="C278" s="11" t="s">
        <v>94</v>
      </c>
      <c r="D278" s="11" t="s">
        <v>5161</v>
      </c>
      <c r="E278" s="11" t="s">
        <v>4259</v>
      </c>
      <c r="F278" s="11" t="s">
        <v>84</v>
      </c>
      <c r="G278" s="11" t="s">
        <v>5139</v>
      </c>
      <c r="H278" s="11" t="s">
        <v>5139</v>
      </c>
      <c r="I278" s="11" t="s">
        <v>2202</v>
      </c>
      <c r="J278" s="11" t="s">
        <v>142</v>
      </c>
      <c r="K278" s="11" t="s">
        <v>2207</v>
      </c>
      <c r="L278" s="11" t="s">
        <v>142</v>
      </c>
    </row>
    <row r="279" spans="1:12" x14ac:dyDescent="0.25">
      <c r="A279" s="26" t="s">
        <v>5162</v>
      </c>
      <c r="B279" s="11" t="s">
        <v>5163</v>
      </c>
      <c r="C279" s="11" t="s">
        <v>91</v>
      </c>
      <c r="D279" s="11" t="s">
        <v>5092</v>
      </c>
      <c r="E279" s="11" t="s">
        <v>4259</v>
      </c>
      <c r="F279" s="11" t="s">
        <v>84</v>
      </c>
      <c r="G279" s="11" t="s">
        <v>5139</v>
      </c>
      <c r="H279" s="11" t="s">
        <v>5139</v>
      </c>
      <c r="I279" s="11" t="s">
        <v>1984</v>
      </c>
      <c r="J279" s="11" t="s">
        <v>142</v>
      </c>
      <c r="K279" s="11" t="s">
        <v>1989</v>
      </c>
      <c r="L279" s="11" t="s">
        <v>142</v>
      </c>
    </row>
    <row r="280" spans="1:12" x14ac:dyDescent="0.25">
      <c r="A280" s="26" t="s">
        <v>5164</v>
      </c>
      <c r="B280" s="11" t="s">
        <v>3763</v>
      </c>
      <c r="C280" s="11" t="s">
        <v>100</v>
      </c>
      <c r="D280" s="11" t="s">
        <v>4273</v>
      </c>
      <c r="E280" s="11" t="s">
        <v>4244</v>
      </c>
      <c r="F280" s="11" t="s">
        <v>84</v>
      </c>
      <c r="G280" s="11" t="s">
        <v>5139</v>
      </c>
      <c r="H280" s="11" t="s">
        <v>5139</v>
      </c>
      <c r="I280" s="11" t="s">
        <v>142</v>
      </c>
      <c r="J280" s="11" t="s">
        <v>142</v>
      </c>
      <c r="K280" s="11" t="s">
        <v>5082</v>
      </c>
      <c r="L280" s="11" t="s">
        <v>142</v>
      </c>
    </row>
    <row r="281" spans="1:12" x14ac:dyDescent="0.25">
      <c r="A281" s="26" t="s">
        <v>5165</v>
      </c>
      <c r="B281" s="11" t="s">
        <v>3760</v>
      </c>
      <c r="C281" s="11" t="s">
        <v>100</v>
      </c>
      <c r="D281" s="11" t="s">
        <v>5166</v>
      </c>
      <c r="E281" s="11" t="s">
        <v>4244</v>
      </c>
      <c r="F281" s="11" t="s">
        <v>84</v>
      </c>
      <c r="G281" s="11" t="s">
        <v>5139</v>
      </c>
      <c r="H281" s="11" t="s">
        <v>5139</v>
      </c>
      <c r="I281" s="11" t="s">
        <v>142</v>
      </c>
      <c r="J281" s="11" t="s">
        <v>142</v>
      </c>
      <c r="K281" s="11" t="s">
        <v>5082</v>
      </c>
      <c r="L281" s="11" t="s">
        <v>142</v>
      </c>
    </row>
    <row r="282" spans="1:12" x14ac:dyDescent="0.25">
      <c r="A282" s="26" t="s">
        <v>5167</v>
      </c>
      <c r="B282" s="11" t="s">
        <v>5168</v>
      </c>
      <c r="C282" s="11" t="s">
        <v>98</v>
      </c>
      <c r="D282" s="11" t="s">
        <v>5169</v>
      </c>
      <c r="E282" s="11" t="s">
        <v>4259</v>
      </c>
      <c r="F282" s="11" t="s">
        <v>84</v>
      </c>
      <c r="G282" s="11" t="s">
        <v>5139</v>
      </c>
      <c r="H282" s="11" t="s">
        <v>5139</v>
      </c>
      <c r="I282" s="11" t="s">
        <v>2247</v>
      </c>
      <c r="J282" s="11" t="s">
        <v>142</v>
      </c>
      <c r="K282" s="11" t="s">
        <v>1989</v>
      </c>
      <c r="L282" s="11" t="s">
        <v>142</v>
      </c>
    </row>
    <row r="283" spans="1:12" x14ac:dyDescent="0.25">
      <c r="A283" s="26" t="s">
        <v>5170</v>
      </c>
      <c r="B283" s="11" t="s">
        <v>5171</v>
      </c>
      <c r="C283" s="11" t="s">
        <v>100</v>
      </c>
      <c r="D283" s="11" t="s">
        <v>4900</v>
      </c>
      <c r="E283" s="11" t="s">
        <v>4244</v>
      </c>
      <c r="F283" s="11" t="s">
        <v>83</v>
      </c>
      <c r="G283" s="11" t="s">
        <v>142</v>
      </c>
      <c r="H283" s="11" t="s">
        <v>5139</v>
      </c>
      <c r="I283" s="11" t="s">
        <v>142</v>
      </c>
      <c r="J283" s="11" t="s">
        <v>142</v>
      </c>
      <c r="K283" s="11" t="s">
        <v>5082</v>
      </c>
      <c r="L283" s="11" t="s">
        <v>5172</v>
      </c>
    </row>
    <row r="284" spans="1:12" x14ac:dyDescent="0.25">
      <c r="A284" s="26" t="s">
        <v>5173</v>
      </c>
      <c r="B284" s="11" t="s">
        <v>3757</v>
      </c>
      <c r="C284" s="11" t="s">
        <v>100</v>
      </c>
      <c r="D284" s="11" t="s">
        <v>5174</v>
      </c>
      <c r="E284" s="11" t="s">
        <v>4244</v>
      </c>
      <c r="F284" s="11" t="s">
        <v>84</v>
      </c>
      <c r="G284" s="11" t="s">
        <v>5139</v>
      </c>
      <c r="H284" s="11" t="s">
        <v>5139</v>
      </c>
      <c r="I284" s="11" t="s">
        <v>142</v>
      </c>
      <c r="J284" s="11" t="s">
        <v>142</v>
      </c>
      <c r="K284" s="11" t="s">
        <v>5082</v>
      </c>
      <c r="L284" s="11" t="s">
        <v>142</v>
      </c>
    </row>
    <row r="285" spans="1:12" x14ac:dyDescent="0.25">
      <c r="A285" s="26" t="s">
        <v>5175</v>
      </c>
      <c r="B285" s="11" t="s">
        <v>5176</v>
      </c>
      <c r="C285" s="11" t="s">
        <v>93</v>
      </c>
      <c r="D285" s="11" t="s">
        <v>5092</v>
      </c>
      <c r="E285" s="11" t="s">
        <v>4259</v>
      </c>
      <c r="F285" s="11" t="s">
        <v>84</v>
      </c>
      <c r="G285" s="11" t="s">
        <v>5139</v>
      </c>
      <c r="H285" s="11" t="s">
        <v>5139</v>
      </c>
      <c r="I285" s="11" t="s">
        <v>2174</v>
      </c>
      <c r="J285" s="11" t="s">
        <v>142</v>
      </c>
      <c r="K285" s="11" t="s">
        <v>3752</v>
      </c>
      <c r="L285" s="11" t="s">
        <v>142</v>
      </c>
    </row>
    <row r="286" spans="1:12" x14ac:dyDescent="0.25">
      <c r="A286" s="26" t="s">
        <v>5177</v>
      </c>
      <c r="B286" s="11" t="s">
        <v>3754</v>
      </c>
      <c r="C286" s="11" t="s">
        <v>100</v>
      </c>
      <c r="D286" s="11" t="s">
        <v>5178</v>
      </c>
      <c r="E286" s="11" t="s">
        <v>4244</v>
      </c>
      <c r="F286" s="11" t="s">
        <v>84</v>
      </c>
      <c r="G286" s="11" t="s">
        <v>5139</v>
      </c>
      <c r="H286" s="11" t="s">
        <v>5139</v>
      </c>
      <c r="I286" s="11" t="s">
        <v>142</v>
      </c>
      <c r="J286" s="11" t="s">
        <v>142</v>
      </c>
      <c r="K286" s="11" t="s">
        <v>5082</v>
      </c>
      <c r="L286" s="11" t="s">
        <v>142</v>
      </c>
    </row>
    <row r="287" spans="1:12" x14ac:dyDescent="0.25">
      <c r="A287" s="26" t="s">
        <v>5179</v>
      </c>
      <c r="B287" s="11" t="s">
        <v>5180</v>
      </c>
      <c r="C287" s="11" t="s">
        <v>90</v>
      </c>
      <c r="D287" s="11" t="s">
        <v>5092</v>
      </c>
      <c r="E287" s="11" t="s">
        <v>4259</v>
      </c>
      <c r="F287" s="11" t="s">
        <v>84</v>
      </c>
      <c r="G287" s="11" t="s">
        <v>5139</v>
      </c>
      <c r="H287" s="11" t="s">
        <v>5139</v>
      </c>
      <c r="I287" s="11" t="s">
        <v>142</v>
      </c>
      <c r="J287" s="11" t="s">
        <v>142</v>
      </c>
      <c r="K287" s="11" t="s">
        <v>5181</v>
      </c>
      <c r="L287" s="11" t="s">
        <v>142</v>
      </c>
    </row>
    <row r="288" spans="1:12" x14ac:dyDescent="0.25">
      <c r="A288" s="26" t="s">
        <v>5182</v>
      </c>
      <c r="B288" s="11" t="s">
        <v>5183</v>
      </c>
      <c r="C288" s="11" t="s">
        <v>90</v>
      </c>
      <c r="D288" s="11" t="s">
        <v>5184</v>
      </c>
      <c r="E288" s="11" t="s">
        <v>4259</v>
      </c>
      <c r="F288" s="11" t="s">
        <v>84</v>
      </c>
      <c r="G288" s="11" t="s">
        <v>5139</v>
      </c>
      <c r="H288" s="11" t="s">
        <v>5139</v>
      </c>
      <c r="I288" s="11" t="s">
        <v>142</v>
      </c>
      <c r="J288" s="11" t="s">
        <v>142</v>
      </c>
      <c r="K288" s="11" t="s">
        <v>5181</v>
      </c>
      <c r="L288" s="11" t="s">
        <v>142</v>
      </c>
    </row>
    <row r="289" spans="1:12" x14ac:dyDescent="0.25">
      <c r="A289" s="26" t="s">
        <v>5185</v>
      </c>
      <c r="B289" s="11" t="s">
        <v>5186</v>
      </c>
      <c r="C289" s="11" t="s">
        <v>91</v>
      </c>
      <c r="D289" s="11" t="s">
        <v>5187</v>
      </c>
      <c r="E289" s="11" t="s">
        <v>4259</v>
      </c>
      <c r="F289" s="11" t="s">
        <v>84</v>
      </c>
      <c r="G289" s="11" t="s">
        <v>5188</v>
      </c>
      <c r="H289" s="11" t="s">
        <v>5188</v>
      </c>
      <c r="I289" s="11" t="s">
        <v>5189</v>
      </c>
      <c r="J289" s="11" t="s">
        <v>5189</v>
      </c>
      <c r="K289" s="11" t="s">
        <v>5190</v>
      </c>
      <c r="L289" s="11" t="s">
        <v>5191</v>
      </c>
    </row>
    <row r="290" spans="1:12" x14ac:dyDescent="0.25">
      <c r="A290" s="26" t="s">
        <v>5192</v>
      </c>
      <c r="B290" s="11" t="s">
        <v>5193</v>
      </c>
      <c r="C290" s="11" t="s">
        <v>92</v>
      </c>
      <c r="D290" s="11" t="s">
        <v>5194</v>
      </c>
      <c r="E290" s="11" t="s">
        <v>4259</v>
      </c>
      <c r="F290" s="11" t="s">
        <v>84</v>
      </c>
      <c r="G290" s="11" t="s">
        <v>5188</v>
      </c>
      <c r="H290" s="11" t="s">
        <v>5188</v>
      </c>
      <c r="I290" s="11" t="s">
        <v>5195</v>
      </c>
      <c r="J290" s="11" t="s">
        <v>5195</v>
      </c>
      <c r="K290" s="11" t="s">
        <v>5190</v>
      </c>
      <c r="L290" s="11" t="s">
        <v>5196</v>
      </c>
    </row>
  </sheetData>
  <autoFilter ref="A1:L248"/>
  <conditionalFormatting sqref="F2:F288">
    <cfRule type="cellIs" dxfId="33" priority="2" operator="equal">
      <formula>"Merged"</formula>
    </cfRule>
    <cfRule type="cellIs" dxfId="34" priority="3" operator="equal">
      <formula>"Open (draft)"</formula>
    </cfRule>
    <cfRule type="cellIs" dxfId="35" priority="4" operator="equal">
      <formula>"Open"</formula>
    </cfRule>
    <cfRule type="cellIs" dxfId="36" priority="5" operator="equal">
      <formula>"Closed - not merged"</formula>
    </cfRule>
  </conditionalFormatting>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 ref="A212" r:id="rId211"/>
    <hyperlink ref="A213" r:id="rId212"/>
    <hyperlink ref="A214" r:id="rId213"/>
    <hyperlink ref="A215" r:id="rId214"/>
    <hyperlink ref="A216" r:id="rId215"/>
    <hyperlink ref="A217" r:id="rId216"/>
    <hyperlink ref="A218" r:id="rId217"/>
    <hyperlink ref="A219" r:id="rId218"/>
    <hyperlink ref="A220" r:id="rId219"/>
    <hyperlink ref="A221" r:id="rId220"/>
    <hyperlink ref="A222" r:id="rId221"/>
    <hyperlink ref="A223" r:id="rId222"/>
    <hyperlink ref="A224" r:id="rId223"/>
    <hyperlink ref="A225" r:id="rId224"/>
    <hyperlink ref="A249" r:id="rId225"/>
    <hyperlink ref="A250" r:id="rId226"/>
    <hyperlink ref="A251" r:id="rId227"/>
    <hyperlink ref="A252" r:id="rId228"/>
    <hyperlink ref="A253" r:id="rId229"/>
    <hyperlink ref="A254" r:id="rId230"/>
    <hyperlink ref="A255" r:id="rId231"/>
    <hyperlink ref="A256" r:id="rId232"/>
    <hyperlink ref="A257" r:id="rId233"/>
    <hyperlink ref="A258" r:id="rId234"/>
    <hyperlink ref="A259" r:id="rId235"/>
    <hyperlink ref="A260" r:id="rId236"/>
    <hyperlink ref="A261" r:id="rId237"/>
    <hyperlink ref="A262" r:id="rId238"/>
    <hyperlink ref="A263" r:id="rId239"/>
    <hyperlink ref="A264" r:id="rId240"/>
    <hyperlink ref="A265" r:id="rId241"/>
    <hyperlink ref="A266" r:id="rId242"/>
    <hyperlink ref="A267" r:id="rId243"/>
    <hyperlink ref="A268" r:id="rId244"/>
    <hyperlink ref="A269" r:id="rId245"/>
    <hyperlink ref="A270" r:id="rId246"/>
    <hyperlink ref="A271" r:id="rId247"/>
    <hyperlink ref="A272" r:id="rId248"/>
    <hyperlink ref="A273" r:id="rId249"/>
    <hyperlink ref="A274" r:id="rId250"/>
    <hyperlink ref="A275" r:id="rId251"/>
    <hyperlink ref="A276" r:id="rId252"/>
    <hyperlink ref="A277" r:id="rId253"/>
    <hyperlink ref="A278" r:id="rId254"/>
    <hyperlink ref="A279" r:id="rId255"/>
    <hyperlink ref="A280" r:id="rId256"/>
    <hyperlink ref="A281" r:id="rId257"/>
    <hyperlink ref="A282" r:id="rId258"/>
    <hyperlink ref="A283" r:id="rId259"/>
    <hyperlink ref="A284" r:id="rId260"/>
    <hyperlink ref="A285" r:id="rId261"/>
    <hyperlink ref="A286" r:id="rId262"/>
    <hyperlink ref="A287" r:id="rId263"/>
    <hyperlink ref="A288" r:id="rId264"/>
    <hyperlink ref="A289" r:id="rId265"/>
    <hyperlink ref="A290" r:id="rId266"/>
  </hyperlinks>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91B1B"/>
    <pageSetUpPr fitToPage="1"/>
    <outlinePr summaryBelow="1" summaryRight="1"/>
  </sheetPr>
  <dimension ref="A1:H83"/>
  <sheetViews>
    <sheetView workbookViewId="0" zoomScale="90" zoomScaleNormal="90" view="normal">
      <pane xSplit="3" ySplit="1" topLeftCell="D2" activePane="bottomRight" state="frozen"/>
      <selection pane="bottomRight" activeCell="A1" sqref="A1"/>
    </sheetView>
  </sheetViews>
  <sheetFormatPr defaultRowHeight="15" outlineLevelRow="0" outlineLevelCol="0" x14ac:dyDescent="0" defaultColWidth="8.6796875"/>
  <cols>
    <col min="1" max="1" width="5" style="10" customWidth="1"/>
    <col min="2" max="2" width="16" style="10" customWidth="1"/>
    <col min="3" max="3" width="36" style="10" customWidth="1"/>
    <col min="4" max="4" width="60" style="10" customWidth="1"/>
    <col min="5" max="5" width="34" style="10" customWidth="1"/>
    <col min="6" max="6" width="14" style="10" customWidth="1"/>
    <col min="7" max="7" width="12" style="10" customWidth="1"/>
    <col min="8" max="8" width="34" style="10" customWidth="1"/>
  </cols>
  <sheetData>
    <row r="1" ht="30" customHeight="1" spans="1:8" s="10" customFormat="1" x14ac:dyDescent="0.25">
      <c r="A1" s="4" t="s">
        <v>118</v>
      </c>
      <c r="B1" s="4" t="s">
        <v>3583</v>
      </c>
      <c r="C1" s="4" t="s">
        <v>3784</v>
      </c>
      <c r="D1" s="4" t="s">
        <v>3915</v>
      </c>
      <c r="E1" s="4" t="s">
        <v>3916</v>
      </c>
      <c r="F1" s="4" t="s">
        <v>3902</v>
      </c>
      <c r="G1" s="4" t="s">
        <v>6</v>
      </c>
      <c r="H1" s="4" t="s">
        <v>3917</v>
      </c>
    </row>
    <row r="2" ht="39" customHeight="1" spans="1:8" s="10" customFormat="1" x14ac:dyDescent="0.25">
      <c r="A2" s="6">
        <v>1</v>
      </c>
      <c r="B2" s="11" t="s">
        <v>3918</v>
      </c>
      <c r="C2" s="11" t="s">
        <v>3919</v>
      </c>
      <c r="D2" s="11" t="s">
        <v>3920</v>
      </c>
      <c r="E2" s="11" t="s">
        <v>3921</v>
      </c>
      <c r="F2" s="11" t="s">
        <v>2815</v>
      </c>
      <c r="G2" s="11" t="s">
        <v>3922</v>
      </c>
      <c r="H2" s="11" t="s">
        <v>3923</v>
      </c>
    </row>
    <row r="3" ht="27" customHeight="1" spans="1:8" s="10" customFormat="1" x14ac:dyDescent="0.25">
      <c r="A3" s="6">
        <v>2</v>
      </c>
      <c r="B3" s="11" t="s">
        <v>3918</v>
      </c>
      <c r="C3" s="11" t="s">
        <v>3924</v>
      </c>
      <c r="D3" s="11" t="s">
        <v>3925</v>
      </c>
      <c r="E3" s="11" t="s">
        <v>3926</v>
      </c>
      <c r="F3" s="11" t="s">
        <v>3927</v>
      </c>
      <c r="G3" s="11" t="s">
        <v>3922</v>
      </c>
      <c r="H3" s="11" t="s">
        <v>3928</v>
      </c>
    </row>
    <row r="4" ht="63" customHeight="1" spans="1:8" s="10" customFormat="1" x14ac:dyDescent="0.25">
      <c r="A4" s="6">
        <v>3</v>
      </c>
      <c r="B4" s="11" t="s">
        <v>3929</v>
      </c>
      <c r="C4" s="11" t="s">
        <v>3930</v>
      </c>
      <c r="D4" s="11" t="s">
        <v>3931</v>
      </c>
      <c r="E4" s="11" t="s">
        <v>3932</v>
      </c>
      <c r="F4" s="11" t="s">
        <v>3933</v>
      </c>
      <c r="G4" s="11" t="s">
        <v>3934</v>
      </c>
      <c r="H4" s="11" t="s">
        <v>3935</v>
      </c>
    </row>
    <row r="5" ht="63" customHeight="1" spans="1:8" s="10" customFormat="1" x14ac:dyDescent="0.25">
      <c r="A5" s="6">
        <v>4</v>
      </c>
      <c r="B5" s="11" t="s">
        <v>3929</v>
      </c>
      <c r="C5" s="11" t="s">
        <v>3936</v>
      </c>
      <c r="D5" s="11" t="s">
        <v>3937</v>
      </c>
      <c r="E5" s="11" t="s">
        <v>3938</v>
      </c>
      <c r="F5" s="11" t="s">
        <v>2815</v>
      </c>
      <c r="G5" s="11" t="s">
        <v>3939</v>
      </c>
      <c r="H5" s="11" t="s">
        <v>3940</v>
      </c>
    </row>
    <row r="6" ht="27" customHeight="1" spans="1:8" s="10" customFormat="1" x14ac:dyDescent="0.25">
      <c r="A6" s="6">
        <v>5</v>
      </c>
      <c r="B6" s="11" t="s">
        <v>3941</v>
      </c>
      <c r="C6" s="11" t="s">
        <v>3942</v>
      </c>
      <c r="D6" s="11" t="s">
        <v>3943</v>
      </c>
      <c r="E6" s="11" t="s">
        <v>3944</v>
      </c>
      <c r="F6" s="11" t="s">
        <v>2815</v>
      </c>
      <c r="G6" s="11" t="s">
        <v>3922</v>
      </c>
      <c r="H6" s="11" t="s">
        <v>3945</v>
      </c>
    </row>
    <row r="7" ht="27" customHeight="1" spans="1:8" s="10" customFormat="1" x14ac:dyDescent="0.25">
      <c r="A7" s="6">
        <v>6</v>
      </c>
      <c r="B7" s="11" t="s">
        <v>3946</v>
      </c>
      <c r="C7" s="11" t="s">
        <v>3947</v>
      </c>
      <c r="D7" s="11" t="s">
        <v>3948</v>
      </c>
      <c r="E7" s="11" t="s">
        <v>3949</v>
      </c>
      <c r="F7" s="11" t="s">
        <v>2815</v>
      </c>
      <c r="G7" s="11" t="s">
        <v>3922</v>
      </c>
      <c r="H7" s="11" t="s">
        <v>3950</v>
      </c>
    </row>
    <row r="8" ht="27" customHeight="1" spans="1:8" s="10" customFormat="1" x14ac:dyDescent="0.25">
      <c r="A8" s="6">
        <v>7</v>
      </c>
      <c r="B8" s="11" t="s">
        <v>3941</v>
      </c>
      <c r="C8" s="11" t="s">
        <v>3951</v>
      </c>
      <c r="D8" s="11" t="s">
        <v>3952</v>
      </c>
      <c r="E8" s="11" t="s">
        <v>291</v>
      </c>
      <c r="F8" s="11" t="s">
        <v>2815</v>
      </c>
      <c r="G8" s="11" t="s">
        <v>3922</v>
      </c>
      <c r="H8" s="11" t="s">
        <v>3945</v>
      </c>
    </row>
    <row r="9" ht="27" customHeight="1" spans="1:8" s="10" customFormat="1" x14ac:dyDescent="0.25">
      <c r="A9" s="6">
        <v>8</v>
      </c>
      <c r="B9" s="11" t="s">
        <v>3941</v>
      </c>
      <c r="C9" s="11" t="s">
        <v>3953</v>
      </c>
      <c r="D9" s="11" t="s">
        <v>3954</v>
      </c>
      <c r="E9" s="11" t="s">
        <v>3955</v>
      </c>
      <c r="F9" s="11" t="s">
        <v>2815</v>
      </c>
      <c r="G9" s="11" t="s">
        <v>3922</v>
      </c>
      <c r="H9" s="11" t="s">
        <v>3956</v>
      </c>
    </row>
    <row r="10" ht="27" customHeight="1" spans="1:8" s="10" customFormat="1" x14ac:dyDescent="0.25">
      <c r="A10" s="6">
        <v>9</v>
      </c>
      <c r="B10" s="11" t="s">
        <v>3941</v>
      </c>
      <c r="C10" s="11" t="s">
        <v>3957</v>
      </c>
      <c r="D10" s="11" t="s">
        <v>3958</v>
      </c>
      <c r="E10" s="11" t="s">
        <v>1727</v>
      </c>
      <c r="F10" s="11" t="s">
        <v>3959</v>
      </c>
      <c r="G10" s="11" t="s">
        <v>3922</v>
      </c>
      <c r="H10" s="11" t="s">
        <v>3960</v>
      </c>
    </row>
    <row r="11" ht="27" customHeight="1" spans="1:8" s="10" customFormat="1" x14ac:dyDescent="0.25">
      <c r="A11" s="6">
        <v>10</v>
      </c>
      <c r="B11" s="11" t="s">
        <v>3941</v>
      </c>
      <c r="C11" s="11" t="s">
        <v>3961</v>
      </c>
      <c r="D11" s="11" t="s">
        <v>3962</v>
      </c>
      <c r="E11" s="11" t="s">
        <v>693</v>
      </c>
      <c r="F11" s="11" t="s">
        <v>2815</v>
      </c>
      <c r="G11" s="11" t="s">
        <v>3922</v>
      </c>
      <c r="H11" s="11" t="s">
        <v>3945</v>
      </c>
    </row>
    <row r="12" ht="27" customHeight="1" spans="1:8" s="10" customFormat="1" x14ac:dyDescent="0.25">
      <c r="A12" s="6">
        <v>11</v>
      </c>
      <c r="B12" s="11" t="s">
        <v>3941</v>
      </c>
      <c r="C12" s="11" t="s">
        <v>3963</v>
      </c>
      <c r="D12" s="11" t="s">
        <v>3964</v>
      </c>
      <c r="E12" s="11" t="s">
        <v>781</v>
      </c>
      <c r="F12" s="11" t="s">
        <v>2815</v>
      </c>
      <c r="G12" s="11" t="s">
        <v>3922</v>
      </c>
      <c r="H12" s="11" t="s">
        <v>3965</v>
      </c>
    </row>
    <row r="13" ht="63" customHeight="1" spans="1:8" s="10" customFormat="1" x14ac:dyDescent="0.25">
      <c r="A13" s="6">
        <v>12</v>
      </c>
      <c r="B13" s="11" t="s">
        <v>3941</v>
      </c>
      <c r="C13" s="11" t="s">
        <v>3966</v>
      </c>
      <c r="D13" s="11" t="s">
        <v>3967</v>
      </c>
      <c r="E13" s="11" t="s">
        <v>3968</v>
      </c>
      <c r="F13" s="11" t="s">
        <v>2815</v>
      </c>
      <c r="G13" s="11" t="s">
        <v>3969</v>
      </c>
      <c r="H13" s="11" t="s">
        <v>3945</v>
      </c>
    </row>
    <row r="14" ht="39" customHeight="1" spans="1:8" s="10" customFormat="1" x14ac:dyDescent="0.25">
      <c r="A14" s="6">
        <v>13</v>
      </c>
      <c r="B14" s="11" t="s">
        <v>3941</v>
      </c>
      <c r="C14" s="11" t="s">
        <v>3970</v>
      </c>
      <c r="D14" s="11" t="s">
        <v>3971</v>
      </c>
      <c r="E14" s="11" t="s">
        <v>3972</v>
      </c>
      <c r="F14" s="11" t="s">
        <v>2815</v>
      </c>
      <c r="G14" s="11" t="s">
        <v>3973</v>
      </c>
      <c r="H14" s="11" t="s">
        <v>3974</v>
      </c>
    </row>
    <row r="15" ht="39" customHeight="1" spans="1:8" s="10" customFormat="1" x14ac:dyDescent="0.25">
      <c r="A15" s="6">
        <v>14</v>
      </c>
      <c r="B15" s="11" t="s">
        <v>3946</v>
      </c>
      <c r="C15" s="11" t="s">
        <v>3975</v>
      </c>
      <c r="D15" s="11" t="s">
        <v>3976</v>
      </c>
      <c r="E15" s="11" t="s">
        <v>3977</v>
      </c>
      <c r="F15" s="11" t="s">
        <v>2815</v>
      </c>
      <c r="G15" s="11" t="s">
        <v>3969</v>
      </c>
      <c r="H15" s="11" t="s">
        <v>3978</v>
      </c>
    </row>
    <row r="16" ht="63" customHeight="1" spans="1:8" s="10" customFormat="1" x14ac:dyDescent="0.25">
      <c r="A16" s="6">
        <v>15</v>
      </c>
      <c r="B16" s="11" t="s">
        <v>3979</v>
      </c>
      <c r="C16" s="11" t="s">
        <v>3980</v>
      </c>
      <c r="D16" s="11" t="s">
        <v>3981</v>
      </c>
      <c r="E16" s="11" t="s">
        <v>3982</v>
      </c>
      <c r="F16" s="11" t="s">
        <v>3959</v>
      </c>
      <c r="G16" s="11" t="s">
        <v>3969</v>
      </c>
      <c r="H16" s="11" t="s">
        <v>3965</v>
      </c>
    </row>
    <row r="17" ht="27" customHeight="1" spans="1:8" s="10" customFormat="1" x14ac:dyDescent="0.25">
      <c r="A17" s="6">
        <v>16</v>
      </c>
      <c r="B17" s="11" t="s">
        <v>1850</v>
      </c>
      <c r="C17" s="11" t="s">
        <v>3983</v>
      </c>
      <c r="D17" s="11" t="s">
        <v>3984</v>
      </c>
      <c r="E17" s="11" t="s">
        <v>3985</v>
      </c>
      <c r="F17" s="11" t="s">
        <v>3986</v>
      </c>
      <c r="G17" s="11" t="s">
        <v>3969</v>
      </c>
      <c r="H17" s="11" t="s">
        <v>3987</v>
      </c>
    </row>
    <row r="18" ht="27" customHeight="1" spans="1:8" s="10" customFormat="1" x14ac:dyDescent="0.25">
      <c r="A18" s="6">
        <v>17</v>
      </c>
      <c r="B18" s="11" t="s">
        <v>1850</v>
      </c>
      <c r="C18" s="11" t="s">
        <v>3988</v>
      </c>
      <c r="D18" s="11" t="s">
        <v>3989</v>
      </c>
      <c r="E18" s="11" t="s">
        <v>2695</v>
      </c>
      <c r="F18" s="11" t="s">
        <v>3986</v>
      </c>
      <c r="G18" s="11" t="s">
        <v>3969</v>
      </c>
      <c r="H18" s="11" t="s">
        <v>3990</v>
      </c>
    </row>
    <row r="19" ht="39" customHeight="1" spans="1:8" s="10" customFormat="1" x14ac:dyDescent="0.25">
      <c r="A19" s="6">
        <v>18</v>
      </c>
      <c r="B19" s="11" t="s">
        <v>3991</v>
      </c>
      <c r="C19" s="11" t="s">
        <v>3992</v>
      </c>
      <c r="D19" s="11" t="s">
        <v>3993</v>
      </c>
      <c r="E19" s="11" t="s">
        <v>3994</v>
      </c>
      <c r="F19" s="11" t="s">
        <v>2815</v>
      </c>
      <c r="G19" s="11" t="s">
        <v>3969</v>
      </c>
      <c r="H19" s="11" t="s">
        <v>3995</v>
      </c>
    </row>
    <row r="20" ht="27" customHeight="1" spans="1:8" s="10" customFormat="1" x14ac:dyDescent="0.25">
      <c r="A20" s="6">
        <v>19</v>
      </c>
      <c r="B20" s="11" t="s">
        <v>3996</v>
      </c>
      <c r="C20" s="11" t="s">
        <v>3997</v>
      </c>
      <c r="D20" s="11" t="s">
        <v>3998</v>
      </c>
      <c r="E20" s="11" t="s">
        <v>3999</v>
      </c>
      <c r="F20" s="11" t="s">
        <v>2815</v>
      </c>
      <c r="G20" s="11" t="s">
        <v>3969</v>
      </c>
      <c r="H20" s="11" t="s">
        <v>1500</v>
      </c>
    </row>
    <row r="21" ht="27" customHeight="1" spans="1:8" s="10" customFormat="1" x14ac:dyDescent="0.25">
      <c r="A21" s="6">
        <v>20</v>
      </c>
      <c r="B21" s="11" t="s">
        <v>4000</v>
      </c>
      <c r="C21" s="11" t="s">
        <v>4001</v>
      </c>
      <c r="D21" s="11" t="s">
        <v>4002</v>
      </c>
      <c r="E21" s="11" t="s">
        <v>1214</v>
      </c>
      <c r="F21" s="11" t="s">
        <v>2221</v>
      </c>
      <c r="G21" s="11" t="s">
        <v>3922</v>
      </c>
      <c r="H21" s="11" t="s">
        <v>4003</v>
      </c>
    </row>
    <row r="22" ht="27" customHeight="1" spans="1:8" s="10" customFormat="1" x14ac:dyDescent="0.25">
      <c r="A22" s="6">
        <v>21</v>
      </c>
      <c r="B22" s="11" t="s">
        <v>4000</v>
      </c>
      <c r="C22" s="11" t="s">
        <v>4004</v>
      </c>
      <c r="D22" s="11" t="s">
        <v>4005</v>
      </c>
      <c r="E22" s="11" t="s">
        <v>4006</v>
      </c>
      <c r="F22" s="11" t="s">
        <v>2815</v>
      </c>
      <c r="G22" s="11" t="s">
        <v>3922</v>
      </c>
      <c r="H22" s="11" t="s">
        <v>4007</v>
      </c>
    </row>
    <row r="23" ht="27" customHeight="1" spans="1:8" s="10" customFormat="1" x14ac:dyDescent="0.25">
      <c r="A23" s="6">
        <v>22</v>
      </c>
      <c r="B23" s="11" t="s">
        <v>4008</v>
      </c>
      <c r="C23" s="11" t="s">
        <v>4009</v>
      </c>
      <c r="D23" s="11" t="s">
        <v>4010</v>
      </c>
      <c r="E23" s="11" t="s">
        <v>1156</v>
      </c>
      <c r="F23" s="11" t="s">
        <v>2815</v>
      </c>
      <c r="G23" s="11" t="s">
        <v>4011</v>
      </c>
      <c r="H23" s="11" t="s">
        <v>4012</v>
      </c>
    </row>
    <row r="24" ht="27" customHeight="1" spans="1:8" s="10" customFormat="1" x14ac:dyDescent="0.25">
      <c r="A24" s="6">
        <v>23</v>
      </c>
      <c r="B24" s="11" t="s">
        <v>4000</v>
      </c>
      <c r="C24" s="11" t="s">
        <v>4013</v>
      </c>
      <c r="D24" s="11" t="s">
        <v>4014</v>
      </c>
      <c r="E24" s="11" t="s">
        <v>4015</v>
      </c>
      <c r="F24" s="11" t="s">
        <v>2815</v>
      </c>
      <c r="G24" s="11" t="s">
        <v>3922</v>
      </c>
      <c r="H24" s="11" t="s">
        <v>4016</v>
      </c>
    </row>
    <row r="25" ht="39" customHeight="1" spans="1:8" s="10" customFormat="1" x14ac:dyDescent="0.25">
      <c r="A25" s="6">
        <v>24</v>
      </c>
      <c r="B25" s="11" t="s">
        <v>3946</v>
      </c>
      <c r="C25" s="11" t="s">
        <v>4017</v>
      </c>
      <c r="D25" s="11" t="s">
        <v>4018</v>
      </c>
      <c r="E25" s="11" t="s">
        <v>1255</v>
      </c>
      <c r="F25" s="11" t="s">
        <v>2815</v>
      </c>
      <c r="G25" s="11" t="s">
        <v>3969</v>
      </c>
      <c r="H25" s="11" t="s">
        <v>4019</v>
      </c>
    </row>
    <row r="26" ht="39" customHeight="1" spans="1:8" s="10" customFormat="1" x14ac:dyDescent="0.25">
      <c r="A26" s="6">
        <v>25</v>
      </c>
      <c r="B26" s="11" t="s">
        <v>3929</v>
      </c>
      <c r="C26" s="11" t="s">
        <v>4020</v>
      </c>
      <c r="D26" s="11" t="s">
        <v>4021</v>
      </c>
      <c r="E26" s="11" t="s">
        <v>4022</v>
      </c>
      <c r="F26" s="11" t="s">
        <v>2815</v>
      </c>
      <c r="G26" s="11" t="s">
        <v>3939</v>
      </c>
      <c r="H26" s="11" t="s">
        <v>4023</v>
      </c>
    </row>
    <row r="27" ht="39" customHeight="1" spans="1:8" s="10" customFormat="1" x14ac:dyDescent="0.25">
      <c r="A27" s="6">
        <v>26</v>
      </c>
      <c r="B27" s="11" t="s">
        <v>3991</v>
      </c>
      <c r="C27" s="11" t="s">
        <v>4024</v>
      </c>
      <c r="D27" s="11" t="s">
        <v>4025</v>
      </c>
      <c r="E27" s="11" t="s">
        <v>1264</v>
      </c>
      <c r="F27" s="11" t="s">
        <v>2815</v>
      </c>
      <c r="G27" s="11" t="s">
        <v>3969</v>
      </c>
      <c r="H27" s="11" t="s">
        <v>4026</v>
      </c>
    </row>
    <row r="28" ht="27" customHeight="1" spans="1:8" s="10" customFormat="1" x14ac:dyDescent="0.25">
      <c r="A28" s="6">
        <v>27</v>
      </c>
      <c r="B28" s="11" t="s">
        <v>3941</v>
      </c>
      <c r="C28" s="11" t="s">
        <v>4027</v>
      </c>
      <c r="D28" s="11" t="s">
        <v>4028</v>
      </c>
      <c r="E28" s="11" t="s">
        <v>4029</v>
      </c>
      <c r="F28" s="11" t="s">
        <v>2815</v>
      </c>
      <c r="G28" s="11" t="s">
        <v>3922</v>
      </c>
      <c r="H28" s="11" t="s">
        <v>4030</v>
      </c>
    </row>
    <row r="29" ht="27" customHeight="1" spans="1:8" s="10" customFormat="1" x14ac:dyDescent="0.25">
      <c r="A29" s="6">
        <v>28</v>
      </c>
      <c r="B29" s="11" t="s">
        <v>4008</v>
      </c>
      <c r="C29" s="11" t="s">
        <v>4031</v>
      </c>
      <c r="D29" s="11" t="s">
        <v>4032</v>
      </c>
      <c r="E29" s="11" t="s">
        <v>1246</v>
      </c>
      <c r="F29" s="11" t="s">
        <v>2815</v>
      </c>
      <c r="G29" s="11" t="s">
        <v>4011</v>
      </c>
      <c r="H29" s="11" t="s">
        <v>4033</v>
      </c>
    </row>
    <row r="30" ht="99" customHeight="1" spans="1:8" s="10" customFormat="1" x14ac:dyDescent="0.25">
      <c r="A30" s="6">
        <v>29</v>
      </c>
      <c r="B30" s="11" t="s">
        <v>4034</v>
      </c>
      <c r="C30" s="11" t="s">
        <v>4035</v>
      </c>
      <c r="D30" s="11" t="s">
        <v>4036</v>
      </c>
      <c r="E30" s="11" t="s">
        <v>4037</v>
      </c>
      <c r="F30" s="11" t="s">
        <v>2815</v>
      </c>
      <c r="G30" s="11" t="s">
        <v>4038</v>
      </c>
      <c r="H30" s="11" t="s">
        <v>4039</v>
      </c>
    </row>
    <row r="31" ht="75" customHeight="1" spans="1:8" s="10" customFormat="1" x14ac:dyDescent="0.25">
      <c r="A31" s="6">
        <v>30</v>
      </c>
      <c r="B31" s="11" t="s">
        <v>4040</v>
      </c>
      <c r="C31" s="11" t="s">
        <v>4041</v>
      </c>
      <c r="D31" s="11" t="s">
        <v>4042</v>
      </c>
      <c r="E31" s="11" t="s">
        <v>1518</v>
      </c>
      <c r="F31" s="11" t="s">
        <v>2221</v>
      </c>
      <c r="G31" s="11" t="s">
        <v>3922</v>
      </c>
      <c r="H31" s="11" t="s">
        <v>4043</v>
      </c>
    </row>
    <row r="32" ht="39" customHeight="1" spans="1:8" s="10" customFormat="1" x14ac:dyDescent="0.25">
      <c r="A32" s="6">
        <v>31</v>
      </c>
      <c r="B32" s="11" t="s">
        <v>4044</v>
      </c>
      <c r="C32" s="11" t="s">
        <v>4045</v>
      </c>
      <c r="D32" s="11" t="s">
        <v>4046</v>
      </c>
      <c r="E32" s="11" t="s">
        <v>1741</v>
      </c>
      <c r="F32" s="11" t="s">
        <v>2815</v>
      </c>
      <c r="G32" s="11" t="s">
        <v>3922</v>
      </c>
      <c r="H32" s="11" t="s">
        <v>4047</v>
      </c>
    </row>
    <row r="33" ht="27" customHeight="1" spans="1:8" s="10" customFormat="1" x14ac:dyDescent="0.25">
      <c r="A33" s="6">
        <v>32</v>
      </c>
      <c r="B33" s="11" t="s">
        <v>4048</v>
      </c>
      <c r="C33" s="11" t="s">
        <v>4049</v>
      </c>
      <c r="D33" s="11" t="s">
        <v>4050</v>
      </c>
      <c r="E33" s="11" t="s">
        <v>1556</v>
      </c>
      <c r="F33" s="11" t="s">
        <v>2815</v>
      </c>
      <c r="G33" s="11" t="s">
        <v>3922</v>
      </c>
      <c r="H33" s="11" t="s">
        <v>4051</v>
      </c>
    </row>
    <row r="34" ht="51" customHeight="1" spans="1:8" s="10" customFormat="1" x14ac:dyDescent="0.25">
      <c r="A34" s="6">
        <v>33</v>
      </c>
      <c r="B34" s="11" t="s">
        <v>582</v>
      </c>
      <c r="C34" s="11" t="s">
        <v>4052</v>
      </c>
      <c r="D34" s="11" t="s">
        <v>4053</v>
      </c>
      <c r="E34" s="11" t="s">
        <v>4054</v>
      </c>
      <c r="F34" s="11" t="s">
        <v>2815</v>
      </c>
      <c r="G34" s="11" t="s">
        <v>3939</v>
      </c>
      <c r="H34" s="11" t="s">
        <v>4055</v>
      </c>
    </row>
    <row r="35" ht="39" customHeight="1" spans="1:8" s="10" customFormat="1" x14ac:dyDescent="0.25">
      <c r="A35" s="6">
        <v>34</v>
      </c>
      <c r="B35" s="11" t="s">
        <v>3941</v>
      </c>
      <c r="C35" s="11" t="s">
        <v>4056</v>
      </c>
      <c r="D35" s="11" t="s">
        <v>4057</v>
      </c>
      <c r="E35" s="11" t="s">
        <v>1297</v>
      </c>
      <c r="F35" s="11" t="s">
        <v>2815</v>
      </c>
      <c r="G35" s="11" t="s">
        <v>3969</v>
      </c>
      <c r="H35" s="11" t="s">
        <v>4058</v>
      </c>
    </row>
    <row r="36" ht="51" customHeight="1" spans="1:8" s="10" customFormat="1" x14ac:dyDescent="0.25">
      <c r="A36" s="6">
        <v>35</v>
      </c>
      <c r="B36" s="11" t="s">
        <v>4059</v>
      </c>
      <c r="C36" s="11" t="s">
        <v>4060</v>
      </c>
      <c r="D36" s="11" t="s">
        <v>4061</v>
      </c>
      <c r="E36" s="11" t="s">
        <v>4062</v>
      </c>
      <c r="F36" s="11" t="s">
        <v>2815</v>
      </c>
      <c r="G36" s="11" t="s">
        <v>4063</v>
      </c>
      <c r="H36" s="11" t="s">
        <v>1762</v>
      </c>
    </row>
    <row r="37" ht="27" customHeight="1" spans="1:8" s="10" customFormat="1" x14ac:dyDescent="0.25">
      <c r="A37" s="6">
        <v>36</v>
      </c>
      <c r="B37" s="11" t="s">
        <v>4008</v>
      </c>
      <c r="C37" s="11" t="s">
        <v>4064</v>
      </c>
      <c r="D37" s="11" t="s">
        <v>4065</v>
      </c>
      <c r="E37" s="11" t="s">
        <v>1582</v>
      </c>
      <c r="F37" s="11" t="s">
        <v>2815</v>
      </c>
      <c r="G37" s="11" t="s">
        <v>3969</v>
      </c>
      <c r="H37" s="11" t="s">
        <v>4066</v>
      </c>
    </row>
    <row r="38" ht="39" customHeight="1" spans="1:8" s="10" customFormat="1" x14ac:dyDescent="0.25">
      <c r="A38" s="6">
        <v>37</v>
      </c>
      <c r="B38" s="11" t="s">
        <v>4067</v>
      </c>
      <c r="C38" s="11" t="s">
        <v>4068</v>
      </c>
      <c r="D38" s="11" t="s">
        <v>4069</v>
      </c>
      <c r="E38" s="11" t="s">
        <v>4070</v>
      </c>
      <c r="F38" s="11" t="s">
        <v>3927</v>
      </c>
      <c r="G38" s="11" t="s">
        <v>3922</v>
      </c>
      <c r="H38" s="11" t="s">
        <v>4071</v>
      </c>
    </row>
    <row r="39" ht="39" customHeight="1" spans="1:8" s="10" customFormat="1" x14ac:dyDescent="0.25">
      <c r="A39" s="6">
        <v>38</v>
      </c>
      <c r="B39" s="11" t="s">
        <v>3941</v>
      </c>
      <c r="C39" s="11" t="s">
        <v>4072</v>
      </c>
      <c r="D39" s="11" t="s">
        <v>4073</v>
      </c>
      <c r="E39" s="11" t="s">
        <v>4074</v>
      </c>
      <c r="F39" s="11" t="s">
        <v>2815</v>
      </c>
      <c r="G39" s="11" t="s">
        <v>3969</v>
      </c>
      <c r="H39" s="11" t="s">
        <v>1791</v>
      </c>
    </row>
    <row r="40" ht="27" customHeight="1" spans="1:8" s="10" customFormat="1" x14ac:dyDescent="0.25">
      <c r="A40" s="6">
        <v>39</v>
      </c>
      <c r="B40" s="11" t="s">
        <v>582</v>
      </c>
      <c r="C40" s="11" t="s">
        <v>4075</v>
      </c>
      <c r="D40" s="11" t="s">
        <v>4076</v>
      </c>
      <c r="E40" s="11" t="s">
        <v>1619</v>
      </c>
      <c r="F40" s="11" t="s">
        <v>2815</v>
      </c>
      <c r="G40" s="11" t="s">
        <v>3939</v>
      </c>
      <c r="H40" s="11" t="s">
        <v>4077</v>
      </c>
    </row>
    <row r="41" ht="39" customHeight="1" spans="1:8" s="10" customFormat="1" x14ac:dyDescent="0.25">
      <c r="A41" s="6">
        <v>40</v>
      </c>
      <c r="B41" s="11" t="s">
        <v>3991</v>
      </c>
      <c r="C41" s="11" t="s">
        <v>4078</v>
      </c>
      <c r="D41" s="11" t="s">
        <v>4079</v>
      </c>
      <c r="E41" s="11" t="s">
        <v>4080</v>
      </c>
      <c r="F41" s="11" t="s">
        <v>2815</v>
      </c>
      <c r="G41" s="11" t="s">
        <v>3969</v>
      </c>
      <c r="H41" s="11" t="s">
        <v>4081</v>
      </c>
    </row>
    <row r="42" ht="51" customHeight="1" spans="1:8" s="10" customFormat="1" x14ac:dyDescent="0.25">
      <c r="A42" s="6">
        <v>41</v>
      </c>
      <c r="B42" s="11" t="s">
        <v>3941</v>
      </c>
      <c r="C42" s="11" t="s">
        <v>4082</v>
      </c>
      <c r="D42" s="11" t="s">
        <v>4083</v>
      </c>
      <c r="E42" s="11" t="s">
        <v>1402</v>
      </c>
      <c r="F42" s="11" t="s">
        <v>142</v>
      </c>
      <c r="G42" s="11" t="s">
        <v>3922</v>
      </c>
      <c r="H42" s="11" t="s">
        <v>4084</v>
      </c>
    </row>
    <row r="43" ht="75" customHeight="1" spans="1:8" s="10" customFormat="1" x14ac:dyDescent="0.25">
      <c r="A43" s="6">
        <v>42</v>
      </c>
      <c r="B43" s="11" t="s">
        <v>4008</v>
      </c>
      <c r="C43" s="11" t="s">
        <v>4085</v>
      </c>
      <c r="D43" s="11" t="s">
        <v>4086</v>
      </c>
      <c r="E43" s="11" t="s">
        <v>1595</v>
      </c>
      <c r="F43" s="11" t="s">
        <v>3927</v>
      </c>
      <c r="G43" s="11" t="s">
        <v>3922</v>
      </c>
      <c r="H43" s="11" t="s">
        <v>4087</v>
      </c>
    </row>
    <row r="44" ht="63" customHeight="1" spans="1:8" s="10" customFormat="1" x14ac:dyDescent="0.25">
      <c r="A44" s="6">
        <v>43</v>
      </c>
      <c r="B44" s="11" t="s">
        <v>1630</v>
      </c>
      <c r="C44" s="11" t="s">
        <v>4088</v>
      </c>
      <c r="D44" s="11" t="s">
        <v>4089</v>
      </c>
      <c r="E44" s="11" t="s">
        <v>4090</v>
      </c>
      <c r="F44" s="11" t="s">
        <v>4091</v>
      </c>
      <c r="G44" s="11" t="s">
        <v>3939</v>
      </c>
      <c r="H44" s="11" t="s">
        <v>4092</v>
      </c>
    </row>
    <row r="45" ht="63" customHeight="1" spans="1:8" s="10" customFormat="1" x14ac:dyDescent="0.25">
      <c r="A45" s="6">
        <v>44</v>
      </c>
      <c r="B45" s="11" t="s">
        <v>3991</v>
      </c>
      <c r="C45" s="11" t="s">
        <v>4093</v>
      </c>
      <c r="D45" s="11" t="s">
        <v>4094</v>
      </c>
      <c r="E45" s="11" t="s">
        <v>1684</v>
      </c>
      <c r="F45" s="11" t="s">
        <v>2815</v>
      </c>
      <c r="G45" s="11" t="s">
        <v>3969</v>
      </c>
      <c r="H45" s="11" t="s">
        <v>1804</v>
      </c>
    </row>
    <row r="46" ht="39" customHeight="1" spans="1:8" s="10" customFormat="1" x14ac:dyDescent="0.25">
      <c r="A46" s="6">
        <v>45</v>
      </c>
      <c r="B46" s="11" t="s">
        <v>4008</v>
      </c>
      <c r="C46" s="11" t="s">
        <v>4095</v>
      </c>
      <c r="D46" s="11" t="s">
        <v>4096</v>
      </c>
      <c r="E46" s="11" t="s">
        <v>1442</v>
      </c>
      <c r="F46" s="11" t="s">
        <v>4097</v>
      </c>
      <c r="G46" s="11" t="s">
        <v>2257</v>
      </c>
      <c r="H46" s="11" t="s">
        <v>4098</v>
      </c>
    </row>
    <row r="47" ht="27" customHeight="1" spans="1:8" s="10" customFormat="1" x14ac:dyDescent="0.25">
      <c r="A47" s="6">
        <v>46</v>
      </c>
      <c r="B47" s="11" t="s">
        <v>4008</v>
      </c>
      <c r="C47" s="11" t="s">
        <v>4099</v>
      </c>
      <c r="D47" s="11" t="s">
        <v>4100</v>
      </c>
      <c r="E47" s="11" t="s">
        <v>4101</v>
      </c>
      <c r="F47" s="11" t="s">
        <v>3927</v>
      </c>
      <c r="G47" s="11" t="s">
        <v>2257</v>
      </c>
      <c r="H47" s="11" t="s">
        <v>4102</v>
      </c>
    </row>
    <row r="48" ht="27" customHeight="1" spans="1:8" s="12" customFormat="1" x14ac:dyDescent="0.25">
      <c r="A48" s="6">
        <v>47</v>
      </c>
      <c r="B48" s="11" t="s">
        <v>3918</v>
      </c>
      <c r="C48" s="11" t="s">
        <v>4103</v>
      </c>
      <c r="D48" s="11" t="s">
        <v>4104</v>
      </c>
      <c r="E48" s="11" t="s">
        <v>4105</v>
      </c>
      <c r="F48" s="11" t="s">
        <v>2815</v>
      </c>
      <c r="G48" s="11" t="s">
        <v>3922</v>
      </c>
      <c r="H48" s="11" t="s">
        <v>4106</v>
      </c>
    </row>
    <row r="49" ht="27" customHeight="1" spans="1:8" s="12" customFormat="1" x14ac:dyDescent="0.25">
      <c r="A49" s="6">
        <v>48</v>
      </c>
      <c r="B49" s="11" t="s">
        <v>3941</v>
      </c>
      <c r="C49" s="11" t="s">
        <v>4107</v>
      </c>
      <c r="D49" s="11" t="s">
        <v>4108</v>
      </c>
      <c r="E49" s="11" t="s">
        <v>4109</v>
      </c>
      <c r="F49" s="11" t="s">
        <v>4110</v>
      </c>
      <c r="G49" s="11" t="s">
        <v>4111</v>
      </c>
      <c r="H49" s="11" t="s">
        <v>4106</v>
      </c>
    </row>
    <row r="50" ht="27" customHeight="1" spans="1:8" s="12" customFormat="1" x14ac:dyDescent="0.25">
      <c r="A50" s="6">
        <v>49</v>
      </c>
      <c r="B50" s="11" t="s">
        <v>3941</v>
      </c>
      <c r="C50" s="11" t="s">
        <v>4112</v>
      </c>
      <c r="D50" s="11" t="s">
        <v>4113</v>
      </c>
      <c r="E50" s="11" t="s">
        <v>4114</v>
      </c>
      <c r="F50" s="11" t="s">
        <v>4110</v>
      </c>
      <c r="G50" s="11" t="s">
        <v>4111</v>
      </c>
      <c r="H50" s="11" t="s">
        <v>4106</v>
      </c>
    </row>
    <row r="51" ht="27" customHeight="1" spans="1:8" s="12" customFormat="1" x14ac:dyDescent="0.25">
      <c r="A51" s="6">
        <v>50</v>
      </c>
      <c r="B51" s="11" t="s">
        <v>3929</v>
      </c>
      <c r="C51" s="11" t="s">
        <v>4115</v>
      </c>
      <c r="D51" s="11" t="s">
        <v>4116</v>
      </c>
      <c r="E51" s="11" t="s">
        <v>4117</v>
      </c>
      <c r="F51" s="11" t="s">
        <v>2815</v>
      </c>
      <c r="G51" s="11" t="s">
        <v>3939</v>
      </c>
      <c r="H51" s="11" t="s">
        <v>4106</v>
      </c>
    </row>
    <row r="52" ht="51" customHeight="1" spans="1:8" s="12" customFormat="1" x14ac:dyDescent="0.25">
      <c r="A52" s="6">
        <v>51</v>
      </c>
      <c r="B52" s="11" t="s">
        <v>4118</v>
      </c>
      <c r="C52" s="11" t="s">
        <v>4119</v>
      </c>
      <c r="D52" s="11" t="s">
        <v>4120</v>
      </c>
      <c r="E52" s="11" t="s">
        <v>4121</v>
      </c>
      <c r="F52" s="11" t="s">
        <v>2815</v>
      </c>
      <c r="G52" s="11" t="s">
        <v>3939</v>
      </c>
      <c r="H52" s="11" t="s">
        <v>4122</v>
      </c>
    </row>
    <row r="53" ht="39" customHeight="1" spans="1:8" s="12" customFormat="1" x14ac:dyDescent="0.25">
      <c r="A53" s="6">
        <v>52</v>
      </c>
      <c r="B53" s="11" t="s">
        <v>4123</v>
      </c>
      <c r="C53" s="11" t="s">
        <v>4124</v>
      </c>
      <c r="D53" s="11" t="s">
        <v>4125</v>
      </c>
      <c r="E53" s="11" t="s">
        <v>4126</v>
      </c>
      <c r="F53" s="11" t="s">
        <v>2815</v>
      </c>
      <c r="G53" s="11" t="s">
        <v>3939</v>
      </c>
      <c r="H53" s="11" t="s">
        <v>4122</v>
      </c>
    </row>
    <row r="54" ht="39" customHeight="1" spans="1:8" s="12" customFormat="1" x14ac:dyDescent="0.25">
      <c r="A54" s="6">
        <v>53</v>
      </c>
      <c r="B54" s="11" t="s">
        <v>3941</v>
      </c>
      <c r="C54" s="11" t="s">
        <v>4127</v>
      </c>
      <c r="D54" s="11" t="s">
        <v>4128</v>
      </c>
      <c r="E54" s="11" t="s">
        <v>4129</v>
      </c>
      <c r="F54" s="11" t="s">
        <v>2815</v>
      </c>
      <c r="G54" s="11" t="s">
        <v>3939</v>
      </c>
      <c r="H54" s="11" t="s">
        <v>4122</v>
      </c>
    </row>
    <row r="55" ht="27" customHeight="1" spans="1:8" s="12" customFormat="1" x14ac:dyDescent="0.25">
      <c r="A55" s="6">
        <v>54</v>
      </c>
      <c r="B55" s="11" t="s">
        <v>4118</v>
      </c>
      <c r="C55" s="11" t="s">
        <v>4130</v>
      </c>
      <c r="D55" s="11" t="s">
        <v>4131</v>
      </c>
      <c r="E55" s="11" t="s">
        <v>4132</v>
      </c>
      <c r="F55" s="11" t="s">
        <v>2815</v>
      </c>
      <c r="G55" s="11" t="s">
        <v>3939</v>
      </c>
      <c r="H55" s="11" t="s">
        <v>4122</v>
      </c>
    </row>
    <row r="56" ht="39" customHeight="1" spans="1:8" s="12" customFormat="1" x14ac:dyDescent="0.25">
      <c r="A56" s="6">
        <v>55</v>
      </c>
      <c r="B56" s="11" t="s">
        <v>3946</v>
      </c>
      <c r="C56" s="11" t="s">
        <v>4133</v>
      </c>
      <c r="D56" s="11" t="s">
        <v>4134</v>
      </c>
      <c r="E56" s="11" t="s">
        <v>4135</v>
      </c>
      <c r="F56" s="11" t="s">
        <v>2815</v>
      </c>
      <c r="G56" s="11" t="s">
        <v>3939</v>
      </c>
      <c r="H56" s="11" t="s">
        <v>4122</v>
      </c>
    </row>
    <row r="57" ht="39" customHeight="1" spans="1:8" s="12" customFormat="1" x14ac:dyDescent="0.25">
      <c r="A57" s="6">
        <v>56</v>
      </c>
      <c r="B57" s="11" t="s">
        <v>2221</v>
      </c>
      <c r="C57" s="11" t="s">
        <v>4136</v>
      </c>
      <c r="D57" s="11" t="s">
        <v>4137</v>
      </c>
      <c r="E57" s="11" t="s">
        <v>1452</v>
      </c>
      <c r="F57" s="11" t="s">
        <v>2221</v>
      </c>
      <c r="G57" s="11" t="s">
        <v>3922</v>
      </c>
      <c r="H57" s="11" t="s">
        <v>4122</v>
      </c>
    </row>
    <row r="58" ht="27" customHeight="1" spans="1:8" s="12" customFormat="1" x14ac:dyDescent="0.25">
      <c r="A58" s="6">
        <v>57</v>
      </c>
      <c r="B58" s="11" t="s">
        <v>3991</v>
      </c>
      <c r="C58" s="11" t="s">
        <v>4138</v>
      </c>
      <c r="D58" s="11" t="s">
        <v>4139</v>
      </c>
      <c r="E58" s="11" t="s">
        <v>4140</v>
      </c>
      <c r="F58" s="11" t="s">
        <v>2815</v>
      </c>
      <c r="G58" s="11" t="s">
        <v>3969</v>
      </c>
      <c r="H58" s="11" t="s">
        <v>4141</v>
      </c>
    </row>
    <row r="59" ht="27" customHeight="1" spans="1:8" s="12" customFormat="1" x14ac:dyDescent="0.25">
      <c r="A59" s="6">
        <v>58</v>
      </c>
      <c r="B59" s="11" t="s">
        <v>3991</v>
      </c>
      <c r="C59" s="11" t="s">
        <v>4142</v>
      </c>
      <c r="D59" s="11" t="s">
        <v>4143</v>
      </c>
      <c r="E59" s="11" t="s">
        <v>1719</v>
      </c>
      <c r="F59" s="11" t="s">
        <v>2815</v>
      </c>
      <c r="G59" s="11" t="s">
        <v>3969</v>
      </c>
      <c r="H59" s="11" t="s">
        <v>4144</v>
      </c>
    </row>
    <row r="60" ht="27" customHeight="1" spans="1:8" s="12" customFormat="1" x14ac:dyDescent="0.25">
      <c r="A60" s="6">
        <v>59</v>
      </c>
      <c r="B60" s="11" t="s">
        <v>3991</v>
      </c>
      <c r="C60" s="11" t="s">
        <v>4145</v>
      </c>
      <c r="D60" s="11" t="s">
        <v>4146</v>
      </c>
      <c r="E60" s="11" t="s">
        <v>1727</v>
      </c>
      <c r="F60" s="11" t="s">
        <v>2815</v>
      </c>
      <c r="G60" s="11" t="s">
        <v>3969</v>
      </c>
      <c r="H60" s="11" t="s">
        <v>4147</v>
      </c>
    </row>
    <row r="61" ht="27" customHeight="1" spans="1:8" s="12" customFormat="1" x14ac:dyDescent="0.25">
      <c r="A61" s="6">
        <v>60</v>
      </c>
      <c r="B61" s="11" t="s">
        <v>3979</v>
      </c>
      <c r="C61" s="11" t="s">
        <v>4148</v>
      </c>
      <c r="D61" s="11" t="s">
        <v>4149</v>
      </c>
      <c r="E61" s="11" t="s">
        <v>4150</v>
      </c>
      <c r="F61" s="11" t="s">
        <v>3959</v>
      </c>
      <c r="G61" s="11" t="s">
        <v>3969</v>
      </c>
      <c r="H61" s="11" t="s">
        <v>4151</v>
      </c>
    </row>
    <row r="62" ht="27" customHeight="1" spans="1:8" s="12" customFormat="1" x14ac:dyDescent="0.25">
      <c r="A62" s="6">
        <v>61</v>
      </c>
      <c r="B62" s="11" t="s">
        <v>3991</v>
      </c>
      <c r="C62" s="11" t="s">
        <v>4152</v>
      </c>
      <c r="D62" s="11" t="s">
        <v>4153</v>
      </c>
      <c r="E62" s="11" t="s">
        <v>781</v>
      </c>
      <c r="F62" s="11" t="s">
        <v>2815</v>
      </c>
      <c r="G62" s="11" t="s">
        <v>3969</v>
      </c>
      <c r="H62" s="11" t="s">
        <v>4154</v>
      </c>
    </row>
    <row r="63" ht="27" customHeight="1" spans="1:8" s="12" customFormat="1" x14ac:dyDescent="0.25">
      <c r="A63" s="6">
        <v>62</v>
      </c>
      <c r="B63" s="11" t="s">
        <v>3991</v>
      </c>
      <c r="C63" s="11" t="s">
        <v>4155</v>
      </c>
      <c r="D63" s="11" t="s">
        <v>4156</v>
      </c>
      <c r="E63" s="11" t="s">
        <v>1284</v>
      </c>
      <c r="F63" s="11" t="s">
        <v>2815</v>
      </c>
      <c r="G63" s="11" t="s">
        <v>3969</v>
      </c>
      <c r="H63" s="11" t="s">
        <v>4157</v>
      </c>
    </row>
    <row r="64" ht="27" customHeight="1" spans="1:8" s="12" customFormat="1" x14ac:dyDescent="0.25">
      <c r="A64" s="6">
        <v>63</v>
      </c>
      <c r="B64" s="11" t="s">
        <v>3991</v>
      </c>
      <c r="C64" s="11" t="s">
        <v>4158</v>
      </c>
      <c r="D64" s="11" t="s">
        <v>4159</v>
      </c>
      <c r="E64" s="11" t="s">
        <v>4160</v>
      </c>
      <c r="F64" s="11" t="s">
        <v>2815</v>
      </c>
      <c r="G64" s="11" t="s">
        <v>3969</v>
      </c>
      <c r="H64" s="11" t="s">
        <v>4161</v>
      </c>
    </row>
    <row r="65" ht="39" customHeight="1" spans="1:8" s="12" customFormat="1" x14ac:dyDescent="0.25">
      <c r="A65" s="6">
        <v>64</v>
      </c>
      <c r="B65" s="11" t="s">
        <v>4162</v>
      </c>
      <c r="C65" s="11" t="s">
        <v>4163</v>
      </c>
      <c r="D65" s="11" t="s">
        <v>4164</v>
      </c>
      <c r="E65" s="11" t="s">
        <v>4165</v>
      </c>
      <c r="F65" s="11" t="s">
        <v>2815</v>
      </c>
      <c r="G65" s="11" t="s">
        <v>3969</v>
      </c>
      <c r="H65" s="11" t="s">
        <v>4166</v>
      </c>
    </row>
    <row r="66" ht="27" customHeight="1" spans="1:8" s="12" customFormat="1" x14ac:dyDescent="0.25">
      <c r="A66" s="6">
        <v>65</v>
      </c>
      <c r="B66" s="11" t="s">
        <v>3991</v>
      </c>
      <c r="C66" s="11" t="s">
        <v>4167</v>
      </c>
      <c r="D66" s="11" t="s">
        <v>4168</v>
      </c>
      <c r="E66" s="11" t="s">
        <v>4169</v>
      </c>
      <c r="F66" s="11" t="s">
        <v>2815</v>
      </c>
      <c r="G66" s="11" t="s">
        <v>3969</v>
      </c>
      <c r="H66" s="11" t="s">
        <v>4170</v>
      </c>
    </row>
    <row r="67" ht="51" customHeight="1" spans="1:8" s="12" customFormat="1" x14ac:dyDescent="0.25">
      <c r="A67" s="6">
        <v>66</v>
      </c>
      <c r="B67" s="11" t="s">
        <v>3918</v>
      </c>
      <c r="C67" s="11" t="s">
        <v>4171</v>
      </c>
      <c r="D67" s="11" t="s">
        <v>4172</v>
      </c>
      <c r="E67" s="11" t="s">
        <v>4173</v>
      </c>
      <c r="F67" s="11" t="s">
        <v>3927</v>
      </c>
      <c r="G67" s="11" t="s">
        <v>3922</v>
      </c>
      <c r="H67" s="11" t="s">
        <v>4174</v>
      </c>
    </row>
    <row r="68" ht="27" customHeight="1" spans="1:8" s="12" customFormat="1" x14ac:dyDescent="0.25">
      <c r="A68" s="6">
        <v>67</v>
      </c>
      <c r="B68" s="11" t="s">
        <v>3991</v>
      </c>
      <c r="C68" s="11" t="s">
        <v>4175</v>
      </c>
      <c r="D68" s="11" t="s">
        <v>4176</v>
      </c>
      <c r="E68" s="11" t="s">
        <v>4177</v>
      </c>
      <c r="F68" s="11" t="s">
        <v>2815</v>
      </c>
      <c r="G68" s="11" t="s">
        <v>3939</v>
      </c>
      <c r="H68" s="11" t="s">
        <v>4178</v>
      </c>
    </row>
    <row r="69" ht="39" customHeight="1" spans="1:8" s="12" customFormat="1" x14ac:dyDescent="0.25">
      <c r="A69" s="6">
        <v>68</v>
      </c>
      <c r="B69" s="11" t="s">
        <v>3941</v>
      </c>
      <c r="C69" s="11" t="s">
        <v>4179</v>
      </c>
      <c r="D69" s="11" t="s">
        <v>4180</v>
      </c>
      <c r="E69" s="11" t="s">
        <v>4181</v>
      </c>
      <c r="F69" s="11" t="s">
        <v>2815</v>
      </c>
      <c r="G69" s="11" t="s">
        <v>3922</v>
      </c>
      <c r="H69" s="11" t="s">
        <v>4182</v>
      </c>
    </row>
    <row r="70" ht="27" customHeight="1" spans="1:8" s="12" customFormat="1" x14ac:dyDescent="0.25">
      <c r="A70" s="6">
        <v>69</v>
      </c>
      <c r="B70" s="11" t="s">
        <v>3979</v>
      </c>
      <c r="C70" s="11" t="s">
        <v>4183</v>
      </c>
      <c r="D70" s="11" t="s">
        <v>4184</v>
      </c>
      <c r="E70" s="11" t="s">
        <v>4185</v>
      </c>
      <c r="F70" s="11" t="s">
        <v>3959</v>
      </c>
      <c r="G70" s="11" t="s">
        <v>3969</v>
      </c>
      <c r="H70" s="11" t="s">
        <v>4186</v>
      </c>
    </row>
    <row r="71" spans="1:8" x14ac:dyDescent="0.25">
      <c r="A71" s="6">
        <v>70</v>
      </c>
      <c r="B71" s="11" t="s">
        <v>3941</v>
      </c>
      <c r="C71" s="11" t="s">
        <v>4187</v>
      </c>
      <c r="D71" s="11" t="s">
        <v>4188</v>
      </c>
      <c r="E71" s="11" t="s">
        <v>1644</v>
      </c>
      <c r="F71" s="11" t="s">
        <v>2815</v>
      </c>
      <c r="G71" s="11" t="s">
        <v>3939</v>
      </c>
      <c r="H71" s="11" t="s">
        <v>4189</v>
      </c>
    </row>
    <row r="72" spans="1:8" x14ac:dyDescent="0.25">
      <c r="A72" s="6">
        <v>71</v>
      </c>
      <c r="B72" s="11" t="s">
        <v>1507</v>
      </c>
      <c r="C72" s="11" t="s">
        <v>4190</v>
      </c>
      <c r="D72" s="11" t="s">
        <v>4191</v>
      </c>
      <c r="E72" s="11" t="s">
        <v>4192</v>
      </c>
      <c r="F72" s="11" t="s">
        <v>3927</v>
      </c>
      <c r="G72" s="11" t="s">
        <v>3922</v>
      </c>
      <c r="H72" s="11" t="s">
        <v>4193</v>
      </c>
    </row>
    <row r="73" spans="1:8" x14ac:dyDescent="0.25">
      <c r="A73" s="6">
        <v>72</v>
      </c>
      <c r="B73" s="11" t="s">
        <v>4194</v>
      </c>
      <c r="C73" s="11" t="s">
        <v>4195</v>
      </c>
      <c r="D73" s="11" t="s">
        <v>4196</v>
      </c>
      <c r="E73" s="11" t="s">
        <v>4197</v>
      </c>
      <c r="F73" s="11" t="s">
        <v>2815</v>
      </c>
      <c r="G73" s="11" t="s">
        <v>3969</v>
      </c>
      <c r="H73" s="11" t="s">
        <v>2235</v>
      </c>
    </row>
    <row r="74" spans="1:8" x14ac:dyDescent="0.25">
      <c r="A74" s="6">
        <v>73</v>
      </c>
      <c r="B74" s="11" t="s">
        <v>4118</v>
      </c>
      <c r="C74" s="11" t="s">
        <v>3904</v>
      </c>
      <c r="D74" s="11" t="s">
        <v>4198</v>
      </c>
      <c r="E74" s="11" t="s">
        <v>2119</v>
      </c>
      <c r="F74" s="11" t="s">
        <v>4199</v>
      </c>
      <c r="G74" s="11" t="s">
        <v>3939</v>
      </c>
      <c r="H74" s="11" t="s">
        <v>4200</v>
      </c>
    </row>
    <row r="75" spans="1:8" x14ac:dyDescent="0.25">
      <c r="A75" s="6">
        <v>74</v>
      </c>
      <c r="B75" s="11" t="s">
        <v>4118</v>
      </c>
      <c r="C75" s="11" t="s">
        <v>4201</v>
      </c>
      <c r="D75" s="11" t="s">
        <v>4202</v>
      </c>
      <c r="E75" s="11" t="s">
        <v>2119</v>
      </c>
      <c r="F75" s="11" t="s">
        <v>2815</v>
      </c>
      <c r="G75" s="11" t="s">
        <v>4203</v>
      </c>
      <c r="H75" s="11" t="s">
        <v>4204</v>
      </c>
    </row>
    <row r="76" spans="1:8" x14ac:dyDescent="0.25">
      <c r="A76" s="6">
        <v>75</v>
      </c>
      <c r="B76" s="11" t="s">
        <v>4118</v>
      </c>
      <c r="C76" s="11" t="s">
        <v>4205</v>
      </c>
      <c r="D76" s="11" t="s">
        <v>4206</v>
      </c>
      <c r="E76" s="11" t="s">
        <v>2119</v>
      </c>
      <c r="F76" s="11" t="s">
        <v>3912</v>
      </c>
      <c r="G76" s="11" t="s">
        <v>4207</v>
      </c>
      <c r="H76" s="11" t="s">
        <v>4208</v>
      </c>
    </row>
    <row r="77" spans="1:8" x14ac:dyDescent="0.25">
      <c r="A77" s="6">
        <v>76</v>
      </c>
      <c r="B77" s="11" t="s">
        <v>3941</v>
      </c>
      <c r="C77" s="11" t="s">
        <v>4209</v>
      </c>
      <c r="D77" s="11" t="s">
        <v>4210</v>
      </c>
      <c r="E77" s="11" t="s">
        <v>4211</v>
      </c>
      <c r="F77" s="11" t="s">
        <v>2815</v>
      </c>
      <c r="G77" s="11" t="s">
        <v>3969</v>
      </c>
      <c r="H77" s="11" t="s">
        <v>4212</v>
      </c>
    </row>
    <row r="78" spans="1:8" x14ac:dyDescent="0.25">
      <c r="A78" s="6">
        <v>77</v>
      </c>
      <c r="B78" s="11" t="s">
        <v>3941</v>
      </c>
      <c r="C78" s="11" t="s">
        <v>4213</v>
      </c>
      <c r="D78" s="11" t="s">
        <v>4214</v>
      </c>
      <c r="E78" s="11" t="s">
        <v>2182</v>
      </c>
      <c r="F78" s="11" t="s">
        <v>2815</v>
      </c>
      <c r="G78" s="11" t="s">
        <v>3969</v>
      </c>
      <c r="H78" s="11" t="s">
        <v>4215</v>
      </c>
    </row>
    <row r="79" spans="1:8" x14ac:dyDescent="0.25">
      <c r="A79" s="6">
        <v>78</v>
      </c>
      <c r="B79" s="11" t="s">
        <v>4216</v>
      </c>
      <c r="C79" s="11" t="s">
        <v>4217</v>
      </c>
      <c r="D79" s="11" t="s">
        <v>4218</v>
      </c>
      <c r="E79" s="11" t="s">
        <v>1644</v>
      </c>
      <c r="F79" s="11" t="s">
        <v>2815</v>
      </c>
      <c r="G79" s="11" t="s">
        <v>3922</v>
      </c>
      <c r="H79" s="11" t="s">
        <v>4219</v>
      </c>
    </row>
    <row r="80" spans="1:8" x14ac:dyDescent="0.25">
      <c r="A80" s="6">
        <v>79</v>
      </c>
      <c r="B80" s="11" t="s">
        <v>4220</v>
      </c>
      <c r="C80" s="11" t="s">
        <v>4221</v>
      </c>
      <c r="D80" s="11" t="s">
        <v>4222</v>
      </c>
      <c r="E80" s="11" t="s">
        <v>2236</v>
      </c>
      <c r="F80" s="11" t="s">
        <v>2815</v>
      </c>
      <c r="G80" s="11" t="s">
        <v>3939</v>
      </c>
      <c r="H80" s="11" t="s">
        <v>2240</v>
      </c>
    </row>
    <row r="81" spans="1:8" x14ac:dyDescent="0.25">
      <c r="A81" s="6">
        <v>80</v>
      </c>
      <c r="B81" s="11" t="s">
        <v>3941</v>
      </c>
      <c r="C81" s="11" t="s">
        <v>4223</v>
      </c>
      <c r="D81" s="11" t="s">
        <v>4224</v>
      </c>
      <c r="E81" s="11" t="s">
        <v>2241</v>
      </c>
      <c r="F81" s="11" t="s">
        <v>2815</v>
      </c>
      <c r="G81" s="11" t="s">
        <v>3969</v>
      </c>
      <c r="H81" s="11" t="s">
        <v>2246</v>
      </c>
    </row>
    <row r="82" spans="1:8" x14ac:dyDescent="0.25">
      <c r="A82" s="6">
        <v>81</v>
      </c>
      <c r="B82" s="11" t="s">
        <v>582</v>
      </c>
      <c r="C82" s="11" t="s">
        <v>4225</v>
      </c>
      <c r="D82" s="11" t="s">
        <v>4226</v>
      </c>
      <c r="E82" s="11" t="s">
        <v>2119</v>
      </c>
      <c r="F82" s="11" t="s">
        <v>2815</v>
      </c>
      <c r="G82" s="11" t="s">
        <v>3939</v>
      </c>
      <c r="H82" s="11" t="s">
        <v>2127</v>
      </c>
    </row>
    <row r="83" spans="1:8" x14ac:dyDescent="0.25">
      <c r="A83" s="6">
        <v>82</v>
      </c>
      <c r="B83" s="11" t="s">
        <v>4008</v>
      </c>
      <c r="C83" s="11" t="s">
        <v>4227</v>
      </c>
      <c r="D83" s="11" t="s">
        <v>4228</v>
      </c>
      <c r="E83" s="11" t="s">
        <v>4229</v>
      </c>
      <c r="F83" s="11" t="s">
        <v>3927</v>
      </c>
      <c r="G83" s="11" t="s">
        <v>4203</v>
      </c>
      <c r="H83" s="11" t="s">
        <v>4230</v>
      </c>
    </row>
  </sheetData>
  <autoFilter ref="A1:H72"/>
  <conditionalFormatting sqref="G2:G83">
    <cfRule type="cellIs" dxfId="28" priority="2" operator="equal">
      <formula>"Open"</formula>
    </cfRule>
    <cfRule type="cellIs" dxfId="29" priority="3" operator="equal">
      <formula>"Pending"</formula>
    </cfRule>
    <cfRule type="cellIs" dxfId="30" priority="4" operator="equal">
      <formula>"Pending confirmation"</formula>
    </cfRule>
    <cfRule type="cellIs" dxfId="31" priority="5" operator="equal">
      <formula>"At release"</formula>
    </cfRule>
    <cfRule type="cellIs" dxfId="32" priority="6" operator="equal">
      <formula>"Resolved"</formula>
    </cfRule>
  </conditionalFormatting>
  <pageMargins left="0.3" right="0.3" top="1" bottom="1" header="0.511811023622047" footer="0.511811023622047"/>
  <pageSetup paperSize="9" orientation="landscape" horizontalDpi="300" verticalDpi="300" scale="100" fitToWidth="1" fitToHeight="0" firstPageNumber="1" useFirstPageNumber="1" copies="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12" customWidth="1"/>
    <col min="2" max="2" width="28" customWidth="1"/>
    <col min="3" max="3" width="60" customWidth="1"/>
    <col min="4" max="5" width="8" customWidth="1"/>
    <col min="6" max="6" width="14" customWidth="1"/>
    <col min="7" max="7" width="22" customWidth="1"/>
    <col min="8" max="8" width="8" customWidth="1"/>
    <col min="9" max="9" width="18" customWidth="1"/>
    <col min="10" max="10" width="30" customWidth="1"/>
    <col min="11" max="11" width="50" customWidth="1"/>
  </cols>
  <sheetData>
    <row r="1" spans="1:1" x14ac:dyDescent="0.25">
      <c r="A1" s="1" t="s">
        <v>2971</v>
      </c>
    </row>
    <row r="2" spans="1:1" x14ac:dyDescent="0.25">
      <c r="A2" s="2" t="s">
        <v>2972</v>
      </c>
    </row>
    <row r="3" spans="1:11" x14ac:dyDescent="0.25">
      <c r="A3" s="4" t="s">
        <v>2973</v>
      </c>
      <c r="B3" s="4" t="s">
        <v>2974</v>
      </c>
      <c r="C3" s="4" t="s">
        <v>2975</v>
      </c>
      <c r="D3" s="4" t="s">
        <v>123</v>
      </c>
      <c r="E3" s="4" t="s">
        <v>2976</v>
      </c>
      <c r="F3" s="4" t="s">
        <v>2977</v>
      </c>
      <c r="G3" s="4" t="s">
        <v>2978</v>
      </c>
      <c r="H3" s="4" t="s">
        <v>2979</v>
      </c>
      <c r="I3" s="4" t="s">
        <v>2980</v>
      </c>
      <c r="J3" s="4" t="s">
        <v>2981</v>
      </c>
      <c r="K3" s="4" t="s">
        <v>2982</v>
      </c>
    </row>
    <row r="4" spans="1:11" x14ac:dyDescent="0.25">
      <c r="A4" s="11" t="s">
        <v>2983</v>
      </c>
      <c r="B4" s="11" t="s">
        <v>1889</v>
      </c>
      <c r="C4" s="11" t="s">
        <v>2984</v>
      </c>
      <c r="D4" s="11" t="s">
        <v>137</v>
      </c>
      <c r="E4" s="11">
        <v>1</v>
      </c>
      <c r="F4" s="11" t="s">
        <v>2985</v>
      </c>
      <c r="G4" s="11" t="s">
        <v>2986</v>
      </c>
      <c r="H4" s="11" t="s">
        <v>2257</v>
      </c>
      <c r="I4" s="11" t="s">
        <v>2987</v>
      </c>
      <c r="J4" s="11" t="s">
        <v>2987</v>
      </c>
      <c r="K4" s="11" t="s">
        <v>2988</v>
      </c>
    </row>
    <row r="5" spans="1:11" x14ac:dyDescent="0.25">
      <c r="A5" s="11" t="s">
        <v>2989</v>
      </c>
      <c r="B5" s="11" t="s">
        <v>1900</v>
      </c>
      <c r="C5" s="11" t="s">
        <v>2990</v>
      </c>
      <c r="D5" s="11" t="s">
        <v>137</v>
      </c>
      <c r="E5" s="11">
        <v>1</v>
      </c>
      <c r="F5" s="11" t="s">
        <v>2991</v>
      </c>
      <c r="G5" s="11" t="s">
        <v>2992</v>
      </c>
      <c r="H5" s="11" t="s">
        <v>2257</v>
      </c>
      <c r="I5" s="11" t="s">
        <v>2987</v>
      </c>
      <c r="J5" s="11" t="s">
        <v>2987</v>
      </c>
      <c r="K5" s="11" t="s">
        <v>2988</v>
      </c>
    </row>
    <row r="6" spans="1:11" x14ac:dyDescent="0.25">
      <c r="A6" s="11" t="s">
        <v>1905</v>
      </c>
      <c r="B6" s="11" t="s">
        <v>1906</v>
      </c>
      <c r="C6" s="11" t="s">
        <v>2993</v>
      </c>
      <c r="D6" s="11" t="s">
        <v>137</v>
      </c>
      <c r="E6" s="11">
        <v>2</v>
      </c>
      <c r="F6" s="11" t="s">
        <v>2994</v>
      </c>
      <c r="G6" s="11" t="s">
        <v>2995</v>
      </c>
      <c r="H6" s="11" t="s">
        <v>2257</v>
      </c>
      <c r="I6" s="11" t="s">
        <v>2987</v>
      </c>
      <c r="J6" s="11" t="s">
        <v>2987</v>
      </c>
      <c r="K6" s="11" t="s">
        <v>2988</v>
      </c>
    </row>
    <row r="7" spans="1:11" x14ac:dyDescent="0.25">
      <c r="A7" s="11" t="s">
        <v>1911</v>
      </c>
      <c r="B7" s="11" t="s">
        <v>1912</v>
      </c>
      <c r="C7" s="11" t="s">
        <v>1913</v>
      </c>
      <c r="D7" s="11" t="s">
        <v>137</v>
      </c>
      <c r="E7" s="11">
        <v>2</v>
      </c>
      <c r="F7" s="11" t="s">
        <v>2994</v>
      </c>
      <c r="G7" s="11" t="s">
        <v>2995</v>
      </c>
      <c r="H7" s="11" t="s">
        <v>2257</v>
      </c>
      <c r="I7" s="11" t="s">
        <v>2987</v>
      </c>
      <c r="J7" s="11" t="s">
        <v>2987</v>
      </c>
      <c r="K7" s="11" t="s">
        <v>2988</v>
      </c>
    </row>
    <row r="8" spans="1:11" x14ac:dyDescent="0.25">
      <c r="A8" s="11" t="s">
        <v>1917</v>
      </c>
      <c r="B8" s="11" t="s">
        <v>1918</v>
      </c>
      <c r="C8" s="11" t="s">
        <v>2996</v>
      </c>
      <c r="D8" s="11" t="s">
        <v>137</v>
      </c>
      <c r="E8" s="11">
        <v>2</v>
      </c>
      <c r="F8" s="11" t="s">
        <v>2994</v>
      </c>
      <c r="G8" s="11" t="s">
        <v>2995</v>
      </c>
      <c r="H8" s="11" t="s">
        <v>2257</v>
      </c>
      <c r="I8" s="11" t="s">
        <v>2987</v>
      </c>
      <c r="J8" s="11" t="s">
        <v>2987</v>
      </c>
      <c r="K8" s="11" t="s">
        <v>2988</v>
      </c>
    </row>
    <row r="9" spans="1:11" x14ac:dyDescent="0.25">
      <c r="A9" s="11" t="s">
        <v>1923</v>
      </c>
      <c r="B9" s="11" t="s">
        <v>2997</v>
      </c>
      <c r="C9" s="11" t="s">
        <v>1925</v>
      </c>
      <c r="D9" s="11" t="s">
        <v>137</v>
      </c>
      <c r="E9" s="11">
        <v>2</v>
      </c>
      <c r="F9" s="11" t="s">
        <v>2994</v>
      </c>
      <c r="G9" s="11" t="s">
        <v>2995</v>
      </c>
      <c r="H9" s="11" t="s">
        <v>2257</v>
      </c>
      <c r="I9" s="11" t="s">
        <v>2987</v>
      </c>
      <c r="J9" s="11" t="s">
        <v>2987</v>
      </c>
      <c r="K9" s="11" t="s">
        <v>2988</v>
      </c>
    </row>
    <row r="10" spans="1:11" x14ac:dyDescent="0.25">
      <c r="A10" s="11" t="s">
        <v>1928</v>
      </c>
      <c r="B10" s="11" t="s">
        <v>1929</v>
      </c>
      <c r="C10" s="11" t="s">
        <v>2998</v>
      </c>
      <c r="D10" s="11" t="s">
        <v>137</v>
      </c>
      <c r="E10" s="11">
        <v>3</v>
      </c>
      <c r="F10" s="11" t="s">
        <v>2999</v>
      </c>
      <c r="G10" s="11" t="s">
        <v>3000</v>
      </c>
      <c r="H10" s="11" t="s">
        <v>2257</v>
      </c>
      <c r="I10" s="11" t="s">
        <v>2987</v>
      </c>
      <c r="J10" s="11" t="s">
        <v>2987</v>
      </c>
      <c r="K10" s="11" t="s">
        <v>2988</v>
      </c>
    </row>
    <row r="11" spans="1:11" x14ac:dyDescent="0.25">
      <c r="A11" s="11" t="s">
        <v>1934</v>
      </c>
      <c r="B11" s="11" t="s">
        <v>1935</v>
      </c>
      <c r="C11" s="11" t="s">
        <v>3001</v>
      </c>
      <c r="D11" s="11" t="s">
        <v>137</v>
      </c>
      <c r="E11" s="11">
        <v>3</v>
      </c>
      <c r="F11" s="11" t="s">
        <v>2999</v>
      </c>
      <c r="G11" s="11" t="s">
        <v>3000</v>
      </c>
      <c r="H11" s="11" t="s">
        <v>2257</v>
      </c>
      <c r="I11" s="11" t="s">
        <v>2987</v>
      </c>
      <c r="J11" s="11" t="s">
        <v>2987</v>
      </c>
      <c r="K11" s="11" t="s">
        <v>2988</v>
      </c>
    </row>
    <row r="12" spans="1:11" x14ac:dyDescent="0.25">
      <c r="A12" s="11" t="s">
        <v>1940</v>
      </c>
      <c r="B12" s="11" t="s">
        <v>3002</v>
      </c>
      <c r="C12" s="11" t="s">
        <v>3003</v>
      </c>
      <c r="D12" s="11" t="s">
        <v>137</v>
      </c>
      <c r="E12" s="11">
        <v>3</v>
      </c>
      <c r="F12" s="11" t="s">
        <v>2999</v>
      </c>
      <c r="G12" s="11" t="s">
        <v>3000</v>
      </c>
      <c r="H12" s="11" t="s">
        <v>2257</v>
      </c>
      <c r="I12" s="11" t="s">
        <v>2987</v>
      </c>
      <c r="J12" s="11" t="s">
        <v>2987</v>
      </c>
      <c r="K12" s="11" t="s">
        <v>2988</v>
      </c>
    </row>
    <row r="13" spans="1:11" x14ac:dyDescent="0.25">
      <c r="A13" s="11" t="s">
        <v>1946</v>
      </c>
      <c r="B13" s="11" t="s">
        <v>3004</v>
      </c>
      <c r="C13" s="11" t="s">
        <v>1948</v>
      </c>
      <c r="D13" s="11" t="s">
        <v>137</v>
      </c>
      <c r="E13" s="11">
        <v>3</v>
      </c>
      <c r="F13" s="11" t="s">
        <v>2999</v>
      </c>
      <c r="G13" s="11" t="s">
        <v>3000</v>
      </c>
      <c r="H13" s="11" t="s">
        <v>2257</v>
      </c>
      <c r="I13" s="11" t="s">
        <v>2987</v>
      </c>
      <c r="J13" s="11" t="s">
        <v>2987</v>
      </c>
      <c r="K13" s="11" t="s">
        <v>2988</v>
      </c>
    </row>
    <row r="14" spans="1:11" x14ac:dyDescent="0.25">
      <c r="A14" s="11" t="s">
        <v>1951</v>
      </c>
      <c r="B14" s="11" t="s">
        <v>1952</v>
      </c>
      <c r="C14" s="11" t="s">
        <v>3005</v>
      </c>
      <c r="D14" s="11" t="s">
        <v>137</v>
      </c>
      <c r="E14" s="11">
        <v>4</v>
      </c>
      <c r="F14" s="11" t="s">
        <v>3006</v>
      </c>
      <c r="G14" s="11" t="s">
        <v>3007</v>
      </c>
      <c r="H14" s="11" t="s">
        <v>2257</v>
      </c>
      <c r="I14" s="11" t="s">
        <v>2987</v>
      </c>
      <c r="J14" s="11" t="s">
        <v>2987</v>
      </c>
      <c r="K14" s="11" t="s">
        <v>2988</v>
      </c>
    </row>
    <row r="15" spans="1:11" x14ac:dyDescent="0.25">
      <c r="A15" s="11" t="s">
        <v>1959</v>
      </c>
      <c r="B15" s="11" t="s">
        <v>1960</v>
      </c>
      <c r="C15" s="11" t="s">
        <v>3008</v>
      </c>
      <c r="D15" s="11" t="s">
        <v>137</v>
      </c>
      <c r="E15" s="11">
        <v>5</v>
      </c>
      <c r="F15" s="11" t="s">
        <v>3009</v>
      </c>
      <c r="G15" s="11" t="s">
        <v>3010</v>
      </c>
      <c r="H15" s="11" t="s">
        <v>2257</v>
      </c>
      <c r="I15" s="11" t="s">
        <v>2987</v>
      </c>
      <c r="J15" s="11" t="s">
        <v>2987</v>
      </c>
      <c r="K15" s="11" t="s">
        <v>2988</v>
      </c>
    </row>
    <row r="16" spans="1:11" x14ac:dyDescent="0.25">
      <c r="A16" s="11" t="s">
        <v>1965</v>
      </c>
      <c r="B16" s="11" t="s">
        <v>3011</v>
      </c>
      <c r="C16" s="11" t="s">
        <v>3012</v>
      </c>
      <c r="D16" s="11" t="s">
        <v>137</v>
      </c>
      <c r="E16" s="11">
        <v>5</v>
      </c>
      <c r="F16" s="11" t="s">
        <v>3009</v>
      </c>
      <c r="G16" s="11" t="s">
        <v>3013</v>
      </c>
      <c r="H16" s="11" t="s">
        <v>2257</v>
      </c>
      <c r="I16" s="11" t="s">
        <v>2987</v>
      </c>
      <c r="J16" s="11" t="s">
        <v>2987</v>
      </c>
      <c r="K16" s="11" t="s">
        <v>2988</v>
      </c>
    </row>
    <row r="17" spans="1:11" x14ac:dyDescent="0.25">
      <c r="A17" s="11" t="s">
        <v>1971</v>
      </c>
      <c r="B17" s="11" t="s">
        <v>3014</v>
      </c>
      <c r="C17" s="11" t="s">
        <v>3015</v>
      </c>
      <c r="D17" s="11" t="s">
        <v>137</v>
      </c>
      <c r="E17" s="11">
        <v>5</v>
      </c>
      <c r="F17" s="11" t="s">
        <v>3009</v>
      </c>
      <c r="G17" s="11" t="s">
        <v>3010</v>
      </c>
      <c r="H17" s="11" t="s">
        <v>2257</v>
      </c>
      <c r="I17" s="11" t="s">
        <v>2987</v>
      </c>
      <c r="J17" s="11" t="s">
        <v>2987</v>
      </c>
      <c r="K17" s="11" t="s">
        <v>2988</v>
      </c>
    </row>
    <row r="18" spans="1:11" x14ac:dyDescent="0.25">
      <c r="A18" s="11" t="s">
        <v>1996</v>
      </c>
      <c r="B18" s="11" t="s">
        <v>1997</v>
      </c>
      <c r="C18" s="11" t="s">
        <v>3016</v>
      </c>
      <c r="D18" s="11" t="s">
        <v>137</v>
      </c>
      <c r="E18" s="11">
        <v>6</v>
      </c>
      <c r="F18" s="11" t="s">
        <v>2991</v>
      </c>
      <c r="G18" s="11" t="s">
        <v>3017</v>
      </c>
      <c r="H18" s="11" t="s">
        <v>2257</v>
      </c>
      <c r="I18" s="11" t="s">
        <v>2987</v>
      </c>
      <c r="J18" s="11" t="s">
        <v>2987</v>
      </c>
      <c r="K18" s="11" t="s">
        <v>2988</v>
      </c>
    </row>
    <row r="19" spans="1:11" x14ac:dyDescent="0.25">
      <c r="A19" s="11" t="s">
        <v>2002</v>
      </c>
      <c r="B19" s="11" t="s">
        <v>3018</v>
      </c>
      <c r="C19" s="11" t="s">
        <v>3019</v>
      </c>
      <c r="D19" s="11" t="s">
        <v>137</v>
      </c>
      <c r="E19" s="11">
        <v>7</v>
      </c>
      <c r="F19" s="11" t="s">
        <v>3020</v>
      </c>
      <c r="G19" s="11" t="s">
        <v>3021</v>
      </c>
      <c r="H19" s="11" t="s">
        <v>2257</v>
      </c>
      <c r="I19" s="11" t="s">
        <v>2987</v>
      </c>
      <c r="J19" s="11" t="s">
        <v>2987</v>
      </c>
      <c r="K19" s="11" t="s">
        <v>2988</v>
      </c>
    </row>
    <row r="20" spans="1:11" x14ac:dyDescent="0.25">
      <c r="A20" s="11" t="s">
        <v>2009</v>
      </c>
      <c r="B20" s="11" t="s">
        <v>2010</v>
      </c>
      <c r="C20" s="11" t="s">
        <v>3022</v>
      </c>
      <c r="D20" s="11" t="s">
        <v>157</v>
      </c>
      <c r="E20" s="11">
        <v>8</v>
      </c>
      <c r="F20" s="11" t="s">
        <v>3023</v>
      </c>
      <c r="G20" s="11" t="s">
        <v>3024</v>
      </c>
      <c r="H20" s="11" t="s">
        <v>2257</v>
      </c>
      <c r="I20" s="11" t="s">
        <v>2987</v>
      </c>
      <c r="J20" s="11" t="s">
        <v>2987</v>
      </c>
      <c r="K20" s="11" t="s">
        <v>2988</v>
      </c>
    </row>
    <row r="21" spans="1:11" x14ac:dyDescent="0.25">
      <c r="A21" s="11" t="s">
        <v>2015</v>
      </c>
      <c r="B21" s="11" t="s">
        <v>3025</v>
      </c>
      <c r="C21" s="11" t="s">
        <v>3026</v>
      </c>
      <c r="D21" s="11" t="s">
        <v>157</v>
      </c>
      <c r="E21" s="11">
        <v>8</v>
      </c>
      <c r="F21" s="11" t="s">
        <v>2991</v>
      </c>
      <c r="G21" s="11" t="s">
        <v>3024</v>
      </c>
      <c r="H21" s="11" t="s">
        <v>2257</v>
      </c>
      <c r="I21" s="11" t="s">
        <v>2987</v>
      </c>
      <c r="J21" s="11" t="s">
        <v>2987</v>
      </c>
      <c r="K21" s="11" t="s">
        <v>2988</v>
      </c>
    </row>
    <row r="22" spans="1:11" x14ac:dyDescent="0.25">
      <c r="A22" s="11" t="s">
        <v>2021</v>
      </c>
      <c r="B22" s="11" t="s">
        <v>2022</v>
      </c>
      <c r="C22" s="11" t="s">
        <v>3027</v>
      </c>
      <c r="D22" s="11" t="s">
        <v>157</v>
      </c>
      <c r="E22" s="11">
        <v>8</v>
      </c>
      <c r="F22" s="11" t="s">
        <v>2991</v>
      </c>
      <c r="G22" s="11" t="s">
        <v>3024</v>
      </c>
      <c r="H22" s="11" t="s">
        <v>2257</v>
      </c>
      <c r="I22" s="11" t="s">
        <v>2987</v>
      </c>
      <c r="J22" s="11" t="s">
        <v>2987</v>
      </c>
      <c r="K22" s="11" t="s">
        <v>2988</v>
      </c>
    </row>
    <row r="23" spans="1:11" x14ac:dyDescent="0.25">
      <c r="A23" s="11" t="s">
        <v>3028</v>
      </c>
      <c r="B23" s="11" t="s">
        <v>3029</v>
      </c>
      <c r="C23" s="11" t="s">
        <v>3030</v>
      </c>
      <c r="D23" s="11" t="s">
        <v>137</v>
      </c>
      <c r="E23" s="11">
        <v>9</v>
      </c>
      <c r="F23" s="11" t="s">
        <v>2991</v>
      </c>
      <c r="G23" s="11" t="s">
        <v>3031</v>
      </c>
      <c r="H23" s="11" t="s">
        <v>2257</v>
      </c>
      <c r="I23" s="11" t="s">
        <v>2987</v>
      </c>
      <c r="J23" s="11" t="s">
        <v>2987</v>
      </c>
      <c r="K23" s="11" t="s">
        <v>2988</v>
      </c>
    </row>
    <row r="24" spans="1:11" x14ac:dyDescent="0.25">
      <c r="A24" s="11" t="s">
        <v>3032</v>
      </c>
      <c r="B24" s="11" t="s">
        <v>3033</v>
      </c>
      <c r="C24" s="11" t="s">
        <v>3034</v>
      </c>
      <c r="D24" s="11" t="s">
        <v>137</v>
      </c>
      <c r="E24" s="11">
        <v>10</v>
      </c>
      <c r="F24" s="11" t="s">
        <v>2991</v>
      </c>
      <c r="G24" s="11" t="s">
        <v>3035</v>
      </c>
      <c r="H24" s="11" t="s">
        <v>2257</v>
      </c>
      <c r="I24" s="11" t="s">
        <v>2987</v>
      </c>
      <c r="J24" s="11" t="s">
        <v>2987</v>
      </c>
      <c r="K24" s="11" t="s">
        <v>2988</v>
      </c>
    </row>
    <row r="25" spans="1:11" x14ac:dyDescent="0.25">
      <c r="A25" s="11" t="s">
        <v>2037</v>
      </c>
      <c r="B25" s="11" t="s">
        <v>2038</v>
      </c>
      <c r="C25" s="11" t="s">
        <v>3036</v>
      </c>
      <c r="D25" s="11" t="s">
        <v>137</v>
      </c>
      <c r="E25" s="11">
        <v>11</v>
      </c>
      <c r="F25" s="11" t="s">
        <v>3037</v>
      </c>
      <c r="G25" s="11" t="s">
        <v>3038</v>
      </c>
      <c r="H25" s="11" t="s">
        <v>2257</v>
      </c>
      <c r="I25" s="11" t="s">
        <v>2987</v>
      </c>
      <c r="J25" s="11" t="s">
        <v>3039</v>
      </c>
      <c r="K25" s="11" t="s">
        <v>2988</v>
      </c>
    </row>
    <row r="26" spans="1:11" x14ac:dyDescent="0.25">
      <c r="A26" s="11" t="s">
        <v>2044</v>
      </c>
      <c r="B26" s="11" t="s">
        <v>2045</v>
      </c>
      <c r="C26" s="11" t="s">
        <v>3040</v>
      </c>
      <c r="D26" s="11" t="s">
        <v>137</v>
      </c>
      <c r="E26" s="11">
        <v>11</v>
      </c>
      <c r="F26" s="11" t="s">
        <v>3037</v>
      </c>
      <c r="G26" s="11" t="s">
        <v>3041</v>
      </c>
      <c r="H26" s="11" t="s">
        <v>2257</v>
      </c>
      <c r="I26" s="11" t="s">
        <v>2987</v>
      </c>
      <c r="J26" s="11" t="s">
        <v>3042</v>
      </c>
      <c r="K26" s="11" t="s">
        <v>2988</v>
      </c>
    </row>
    <row r="27" spans="1:11" x14ac:dyDescent="0.25">
      <c r="A27" s="11" t="s">
        <v>2049</v>
      </c>
      <c r="B27" s="11" t="s">
        <v>2050</v>
      </c>
      <c r="C27" s="11" t="s">
        <v>3043</v>
      </c>
      <c r="D27" s="11" t="s">
        <v>137</v>
      </c>
      <c r="E27" s="11">
        <v>11</v>
      </c>
      <c r="F27" s="11" t="s">
        <v>2991</v>
      </c>
      <c r="G27" s="11" t="s">
        <v>3041</v>
      </c>
      <c r="H27" s="11" t="s">
        <v>2257</v>
      </c>
      <c r="I27" s="11" t="s">
        <v>2987</v>
      </c>
      <c r="J27" s="11" t="s">
        <v>3042</v>
      </c>
      <c r="K27" s="11" t="s">
        <v>2988</v>
      </c>
    </row>
    <row r="28" spans="1:11" x14ac:dyDescent="0.25">
      <c r="A28" s="11" t="s">
        <v>3044</v>
      </c>
      <c r="B28" s="11" t="s">
        <v>2055</v>
      </c>
      <c r="C28" s="11" t="s">
        <v>3045</v>
      </c>
      <c r="D28" s="11" t="s">
        <v>137</v>
      </c>
      <c r="E28" s="11">
        <v>11</v>
      </c>
      <c r="F28" s="11" t="s">
        <v>2991</v>
      </c>
      <c r="G28" s="11" t="s">
        <v>3046</v>
      </c>
      <c r="H28" s="11" t="s">
        <v>2257</v>
      </c>
      <c r="I28" s="11" t="s">
        <v>2987</v>
      </c>
      <c r="J28" s="11" t="s">
        <v>3047</v>
      </c>
      <c r="K28" s="11" t="s">
        <v>2988</v>
      </c>
    </row>
    <row r="29" spans="1:11" x14ac:dyDescent="0.25">
      <c r="A29" s="11" t="s">
        <v>1977</v>
      </c>
      <c r="B29" s="11" t="s">
        <v>1978</v>
      </c>
      <c r="C29" s="11" t="s">
        <v>3048</v>
      </c>
      <c r="D29" s="11" t="s">
        <v>137</v>
      </c>
      <c r="E29" s="11">
        <v>12</v>
      </c>
      <c r="F29" s="11" t="s">
        <v>3049</v>
      </c>
      <c r="G29" s="11" t="s">
        <v>3050</v>
      </c>
      <c r="H29" s="11" t="s">
        <v>2257</v>
      </c>
      <c r="I29" s="11" t="s">
        <v>2987</v>
      </c>
      <c r="J29" s="11" t="s">
        <v>3051</v>
      </c>
      <c r="K29" s="11" t="s">
        <v>3052</v>
      </c>
    </row>
    <row r="30" spans="1:11" x14ac:dyDescent="0.25">
      <c r="A30" s="11" t="s">
        <v>1984</v>
      </c>
      <c r="B30" s="11" t="s">
        <v>3053</v>
      </c>
      <c r="C30" s="11" t="s">
        <v>3054</v>
      </c>
      <c r="D30" s="11" t="s">
        <v>137</v>
      </c>
      <c r="E30" s="11">
        <v>12</v>
      </c>
      <c r="F30" s="11" t="s">
        <v>3055</v>
      </c>
      <c r="G30" s="11" t="s">
        <v>3056</v>
      </c>
      <c r="H30" s="11" t="s">
        <v>2257</v>
      </c>
      <c r="I30" s="11" t="s">
        <v>3057</v>
      </c>
      <c r="J30" s="11" t="s">
        <v>3058</v>
      </c>
      <c r="K30" s="11" t="s">
        <v>3059</v>
      </c>
    </row>
    <row r="31" spans="1:11" x14ac:dyDescent="0.25">
      <c r="A31" s="11" t="s">
        <v>1991</v>
      </c>
      <c r="B31" s="11" t="s">
        <v>1992</v>
      </c>
      <c r="C31" s="11" t="s">
        <v>3060</v>
      </c>
      <c r="D31" s="11" t="s">
        <v>137</v>
      </c>
      <c r="E31" s="11">
        <v>12</v>
      </c>
      <c r="F31" s="11" t="s">
        <v>142</v>
      </c>
      <c r="G31" s="11" t="s">
        <v>3061</v>
      </c>
      <c r="H31" s="11" t="s">
        <v>2257</v>
      </c>
      <c r="I31" s="11" t="s">
        <v>2987</v>
      </c>
      <c r="J31" s="11" t="s">
        <v>142</v>
      </c>
      <c r="K31" s="11" t="s">
        <v>3062</v>
      </c>
    </row>
    <row r="33" spans="1:1" x14ac:dyDescent="0.25">
      <c r="A33" s="3" t="s">
        <v>3063</v>
      </c>
    </row>
    <row r="34" spans="1:4" x14ac:dyDescent="0.25">
      <c r="A34" s="4" t="s">
        <v>3064</v>
      </c>
      <c r="B34" s="4" t="s">
        <v>3065</v>
      </c>
      <c r="C34" s="4" t="s">
        <v>3066</v>
      </c>
      <c r="D34" s="4" t="s">
        <v>2982</v>
      </c>
    </row>
    <row r="35" spans="1:4" x14ac:dyDescent="0.25">
      <c r="A35" s="11" t="s">
        <v>3067</v>
      </c>
      <c r="B35" s="11" t="s">
        <v>3068</v>
      </c>
      <c r="C35" s="11" t="s">
        <v>3069</v>
      </c>
      <c r="D35" s="11" t="s">
        <v>3070</v>
      </c>
    </row>
    <row r="36" spans="1:4" x14ac:dyDescent="0.25">
      <c r="A36" s="11" t="s">
        <v>3071</v>
      </c>
      <c r="B36" s="11" t="s">
        <v>3072</v>
      </c>
      <c r="C36" s="11" t="s">
        <v>3073</v>
      </c>
      <c r="D36" s="11" t="s">
        <v>3070</v>
      </c>
    </row>
    <row r="37" spans="1:4" x14ac:dyDescent="0.25">
      <c r="A37" s="11" t="s">
        <v>3074</v>
      </c>
      <c r="B37" s="11" t="s">
        <v>3075</v>
      </c>
      <c r="C37" s="11" t="s">
        <v>3073</v>
      </c>
      <c r="D37" s="11" t="s">
        <v>3070</v>
      </c>
    </row>
    <row r="38" spans="1:4" x14ac:dyDescent="0.25">
      <c r="A38" s="11" t="s">
        <v>3076</v>
      </c>
      <c r="B38" s="11" t="s">
        <v>3077</v>
      </c>
      <c r="C38" s="11" t="s">
        <v>3073</v>
      </c>
      <c r="D38" s="11" t="s">
        <v>3070</v>
      </c>
    </row>
    <row r="39" spans="1:4" x14ac:dyDescent="0.25">
      <c r="A39" s="11" t="s">
        <v>3078</v>
      </c>
      <c r="B39" s="11" t="s">
        <v>3079</v>
      </c>
      <c r="C39" s="11" t="s">
        <v>3080</v>
      </c>
      <c r="D39" s="11" t="s">
        <v>3070</v>
      </c>
    </row>
  </sheetData>
  <pageMargins left="0.7" right="0.7" top="0.75" bottom="0.75" header="0.3" footer="0.3"/>
  <pageSetup orientation="portrait" horizontalDpi="4294967295" verticalDpi="4294967295" scale="100" fitToWidth="1" fitToHeight="1" firstPageNumber="1" useFirstPageNumber="1" copies="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42"/>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5" customWidth="1"/>
    <col min="2" max="2" width="20" customWidth="1"/>
    <col min="3" max="3" width="44" customWidth="1"/>
    <col min="4" max="4" width="32" customWidth="1"/>
    <col min="5" max="5" width="80" customWidth="1"/>
    <col min="6" max="6" width="22" customWidth="1"/>
    <col min="7" max="7" width="60" customWidth="1"/>
    <col min="8" max="8" width="22" customWidth="1"/>
  </cols>
  <sheetData>
    <row r="1" spans="1:1" x14ac:dyDescent="0.25">
      <c r="A1" s="1" t="s">
        <v>3081</v>
      </c>
    </row>
    <row r="2" spans="1:1" x14ac:dyDescent="0.25">
      <c r="A2" s="2" t="s">
        <v>3082</v>
      </c>
    </row>
    <row r="3" spans="1:8" x14ac:dyDescent="0.25">
      <c r="A3" s="4" t="s">
        <v>118</v>
      </c>
      <c r="B3" s="4" t="s">
        <v>3083</v>
      </c>
      <c r="C3" s="4" t="s">
        <v>3084</v>
      </c>
      <c r="D3" s="4" t="s">
        <v>3085</v>
      </c>
      <c r="E3" s="4" t="s">
        <v>3086</v>
      </c>
      <c r="F3" s="4" t="s">
        <v>119</v>
      </c>
      <c r="G3" s="4" t="s">
        <v>3087</v>
      </c>
      <c r="H3" s="4" t="s">
        <v>3088</v>
      </c>
    </row>
    <row r="4" spans="1:8" x14ac:dyDescent="0.25">
      <c r="A4" s="11">
        <v>1</v>
      </c>
      <c r="B4" s="11" t="s">
        <v>3089</v>
      </c>
      <c r="C4" s="11" t="s">
        <v>3090</v>
      </c>
      <c r="D4" s="11" t="s">
        <v>3091</v>
      </c>
      <c r="E4" s="11" t="s">
        <v>3092</v>
      </c>
      <c r="F4" s="11" t="s">
        <v>2002</v>
      </c>
      <c r="G4" s="11" t="s">
        <v>3093</v>
      </c>
      <c r="H4" s="11" t="s">
        <v>3094</v>
      </c>
    </row>
    <row r="5" spans="1:8" x14ac:dyDescent="0.25">
      <c r="A5" s="11">
        <v>2</v>
      </c>
      <c r="B5" s="11" t="s">
        <v>3095</v>
      </c>
      <c r="C5" s="11" t="s">
        <v>2133</v>
      </c>
      <c r="D5" s="11" t="s">
        <v>3096</v>
      </c>
      <c r="E5" s="11" t="s">
        <v>3097</v>
      </c>
      <c r="F5" s="11" t="s">
        <v>2128</v>
      </c>
      <c r="G5" s="11" t="s">
        <v>3098</v>
      </c>
      <c r="H5" s="11" t="s">
        <v>3094</v>
      </c>
    </row>
    <row r="6" spans="1:8" x14ac:dyDescent="0.25">
      <c r="A6" s="11">
        <v>3</v>
      </c>
      <c r="B6" s="11" t="s">
        <v>3099</v>
      </c>
      <c r="C6" s="11" t="s">
        <v>2195</v>
      </c>
      <c r="D6" s="11" t="s">
        <v>3100</v>
      </c>
      <c r="E6" s="11" t="s">
        <v>142</v>
      </c>
      <c r="F6" s="11" t="s">
        <v>2188</v>
      </c>
      <c r="G6" s="11" t="s">
        <v>3101</v>
      </c>
      <c r="H6" s="11" t="s">
        <v>3094</v>
      </c>
    </row>
    <row r="7" spans="1:8" x14ac:dyDescent="0.25">
      <c r="A7" s="11">
        <v>4</v>
      </c>
      <c r="B7" s="11" t="s">
        <v>3102</v>
      </c>
      <c r="C7" s="11" t="s">
        <v>3103</v>
      </c>
      <c r="D7" s="11" t="s">
        <v>3104</v>
      </c>
      <c r="E7" s="11" t="s">
        <v>3105</v>
      </c>
      <c r="F7" s="11" t="s">
        <v>2075</v>
      </c>
      <c r="G7" s="11" t="s">
        <v>3106</v>
      </c>
      <c r="H7" s="11" t="s">
        <v>3094</v>
      </c>
    </row>
    <row r="8" spans="1:8" x14ac:dyDescent="0.25">
      <c r="A8" s="11">
        <v>5</v>
      </c>
      <c r="B8" s="11" t="s">
        <v>3107</v>
      </c>
      <c r="C8" s="11" t="s">
        <v>2024</v>
      </c>
      <c r="D8" s="11" t="s">
        <v>3108</v>
      </c>
      <c r="E8" s="11" t="s">
        <v>3109</v>
      </c>
      <c r="F8" s="11" t="s">
        <v>3110</v>
      </c>
      <c r="G8" s="11" t="s">
        <v>3111</v>
      </c>
      <c r="H8" s="11" t="s">
        <v>3094</v>
      </c>
    </row>
    <row r="9" spans="1:8" x14ac:dyDescent="0.25">
      <c r="A9" s="11">
        <v>6</v>
      </c>
      <c r="B9" s="11" t="s">
        <v>3107</v>
      </c>
      <c r="C9" s="11" t="s">
        <v>2024</v>
      </c>
      <c r="D9" s="11" t="s">
        <v>3112</v>
      </c>
      <c r="E9" s="11" t="s">
        <v>3113</v>
      </c>
      <c r="F9" s="11" t="s">
        <v>3110</v>
      </c>
      <c r="G9" s="11" t="s">
        <v>3111</v>
      </c>
      <c r="H9" s="11" t="s">
        <v>3094</v>
      </c>
    </row>
    <row r="10" spans="1:8" x14ac:dyDescent="0.25">
      <c r="A10" s="11">
        <v>7</v>
      </c>
      <c r="B10" s="11" t="s">
        <v>3107</v>
      </c>
      <c r="C10" s="11" t="s">
        <v>2024</v>
      </c>
      <c r="D10" s="11" t="s">
        <v>3114</v>
      </c>
      <c r="E10" s="11" t="s">
        <v>3115</v>
      </c>
      <c r="F10" s="11" t="s">
        <v>3110</v>
      </c>
      <c r="G10" s="11" t="s">
        <v>3111</v>
      </c>
      <c r="H10" s="11" t="s">
        <v>3094</v>
      </c>
    </row>
    <row r="11" spans="1:8" x14ac:dyDescent="0.25">
      <c r="A11" s="11">
        <v>8</v>
      </c>
      <c r="B11" s="11" t="s">
        <v>3107</v>
      </c>
      <c r="C11" s="11" t="s">
        <v>2024</v>
      </c>
      <c r="D11" s="11" t="s">
        <v>3116</v>
      </c>
      <c r="E11" s="11" t="s">
        <v>3117</v>
      </c>
      <c r="F11" s="11" t="s">
        <v>3110</v>
      </c>
      <c r="G11" s="11" t="s">
        <v>3111</v>
      </c>
      <c r="H11" s="11" t="s">
        <v>3094</v>
      </c>
    </row>
    <row r="12" spans="1:8" x14ac:dyDescent="0.25">
      <c r="A12" s="11">
        <v>9</v>
      </c>
      <c r="B12" s="11" t="s">
        <v>3107</v>
      </c>
      <c r="C12" s="11" t="s">
        <v>1939</v>
      </c>
      <c r="D12" s="11" t="s">
        <v>3118</v>
      </c>
      <c r="E12" s="11" t="s">
        <v>3119</v>
      </c>
      <c r="F12" s="11" t="s">
        <v>1934</v>
      </c>
      <c r="G12" s="11" t="s">
        <v>3120</v>
      </c>
      <c r="H12" s="11" t="s">
        <v>3094</v>
      </c>
    </row>
    <row r="13" spans="1:8" x14ac:dyDescent="0.25">
      <c r="A13" s="11">
        <v>10</v>
      </c>
      <c r="B13" s="11" t="s">
        <v>3107</v>
      </c>
      <c r="C13" s="11" t="s">
        <v>1939</v>
      </c>
      <c r="D13" s="11" t="s">
        <v>3121</v>
      </c>
      <c r="E13" s="11" t="s">
        <v>3122</v>
      </c>
      <c r="F13" s="11" t="s">
        <v>1934</v>
      </c>
      <c r="G13" s="11" t="s">
        <v>3120</v>
      </c>
      <c r="H13" s="11" t="s">
        <v>3094</v>
      </c>
    </row>
    <row r="14" spans="1:8" x14ac:dyDescent="0.25">
      <c r="A14" s="11">
        <v>11</v>
      </c>
      <c r="B14" s="11" t="s">
        <v>3107</v>
      </c>
      <c r="C14" s="11" t="s">
        <v>1939</v>
      </c>
      <c r="D14" s="11" t="s">
        <v>3123</v>
      </c>
      <c r="E14" s="11" t="s">
        <v>3124</v>
      </c>
      <c r="F14" s="11" t="s">
        <v>1934</v>
      </c>
      <c r="G14" s="11" t="s">
        <v>3120</v>
      </c>
      <c r="H14" s="11" t="s">
        <v>3094</v>
      </c>
    </row>
    <row r="15" spans="1:8" x14ac:dyDescent="0.25">
      <c r="A15" s="11">
        <v>12</v>
      </c>
      <c r="B15" s="11" t="s">
        <v>3107</v>
      </c>
      <c r="C15" s="11" t="s">
        <v>1939</v>
      </c>
      <c r="D15" s="11" t="s">
        <v>3125</v>
      </c>
      <c r="E15" s="11" t="s">
        <v>142</v>
      </c>
      <c r="F15" s="11" t="s">
        <v>1934</v>
      </c>
      <c r="G15" s="11" t="s">
        <v>3120</v>
      </c>
      <c r="H15" s="11" t="s">
        <v>3094</v>
      </c>
    </row>
    <row r="16" spans="1:8" x14ac:dyDescent="0.25">
      <c r="A16" s="11">
        <v>13</v>
      </c>
      <c r="B16" s="11" t="s">
        <v>3107</v>
      </c>
      <c r="C16" s="11" t="s">
        <v>1933</v>
      </c>
      <c r="D16" s="11" t="s">
        <v>3126</v>
      </c>
      <c r="E16" s="11" t="s">
        <v>3127</v>
      </c>
      <c r="F16" s="11" t="s">
        <v>3128</v>
      </c>
      <c r="G16" s="11" t="s">
        <v>3120</v>
      </c>
      <c r="H16" s="11" t="s">
        <v>3094</v>
      </c>
    </row>
    <row r="17" spans="1:8" x14ac:dyDescent="0.25">
      <c r="A17" s="11">
        <v>14</v>
      </c>
      <c r="B17" s="11" t="s">
        <v>3107</v>
      </c>
      <c r="C17" s="11" t="s">
        <v>1933</v>
      </c>
      <c r="D17" s="11" t="s">
        <v>3129</v>
      </c>
      <c r="E17" s="11" t="s">
        <v>3130</v>
      </c>
      <c r="F17" s="11" t="s">
        <v>3128</v>
      </c>
      <c r="G17" s="11" t="s">
        <v>3120</v>
      </c>
      <c r="H17" s="11" t="s">
        <v>3094</v>
      </c>
    </row>
    <row r="18" spans="1:8" x14ac:dyDescent="0.25">
      <c r="A18" s="11">
        <v>15</v>
      </c>
      <c r="B18" s="11" t="s">
        <v>3107</v>
      </c>
      <c r="C18" s="11" t="s">
        <v>1933</v>
      </c>
      <c r="D18" s="11" t="s">
        <v>3131</v>
      </c>
      <c r="E18" s="11" t="s">
        <v>3132</v>
      </c>
      <c r="F18" s="11" t="s">
        <v>3128</v>
      </c>
      <c r="G18" s="11" t="s">
        <v>3120</v>
      </c>
      <c r="H18" s="11" t="s">
        <v>3094</v>
      </c>
    </row>
    <row r="19" spans="1:8" x14ac:dyDescent="0.25">
      <c r="A19" s="11">
        <v>16</v>
      </c>
      <c r="B19" s="11" t="s">
        <v>3107</v>
      </c>
      <c r="C19" s="11" t="s">
        <v>1933</v>
      </c>
      <c r="D19" s="11" t="s">
        <v>3133</v>
      </c>
      <c r="E19" s="11" t="s">
        <v>3134</v>
      </c>
      <c r="F19" s="11" t="s">
        <v>3128</v>
      </c>
      <c r="G19" s="11" t="s">
        <v>3120</v>
      </c>
      <c r="H19" s="11" t="s">
        <v>3094</v>
      </c>
    </row>
    <row r="20" spans="1:8" x14ac:dyDescent="0.25">
      <c r="A20" s="11">
        <v>17</v>
      </c>
      <c r="B20" s="11" t="s">
        <v>3107</v>
      </c>
      <c r="C20" s="11" t="s">
        <v>1933</v>
      </c>
      <c r="D20" s="11" t="s">
        <v>3135</v>
      </c>
      <c r="E20" s="11" t="s">
        <v>3136</v>
      </c>
      <c r="F20" s="11" t="s">
        <v>3128</v>
      </c>
      <c r="G20" s="11" t="s">
        <v>3120</v>
      </c>
      <c r="H20" s="11" t="s">
        <v>3094</v>
      </c>
    </row>
    <row r="21" spans="1:8" x14ac:dyDescent="0.25">
      <c r="A21" s="11">
        <v>18</v>
      </c>
      <c r="B21" s="11" t="s">
        <v>3107</v>
      </c>
      <c r="C21" s="11" t="s">
        <v>1933</v>
      </c>
      <c r="D21" s="11" t="s">
        <v>3137</v>
      </c>
      <c r="E21" s="11" t="s">
        <v>3138</v>
      </c>
      <c r="F21" s="11" t="s">
        <v>3128</v>
      </c>
      <c r="G21" s="11" t="s">
        <v>3120</v>
      </c>
      <c r="H21" s="11" t="s">
        <v>3094</v>
      </c>
    </row>
    <row r="22" spans="1:8" x14ac:dyDescent="0.25">
      <c r="A22" s="11">
        <v>19</v>
      </c>
      <c r="B22" s="11" t="s">
        <v>3107</v>
      </c>
      <c r="C22" s="11" t="s">
        <v>1922</v>
      </c>
      <c r="D22" s="11" t="s">
        <v>3139</v>
      </c>
      <c r="E22" s="11" t="s">
        <v>142</v>
      </c>
      <c r="F22" s="11" t="s">
        <v>1917</v>
      </c>
      <c r="G22" s="11" t="s">
        <v>3140</v>
      </c>
      <c r="H22" s="11" t="s">
        <v>3094</v>
      </c>
    </row>
    <row r="23" spans="1:8" x14ac:dyDescent="0.25">
      <c r="A23" s="11">
        <v>20</v>
      </c>
      <c r="B23" s="11" t="s">
        <v>3107</v>
      </c>
      <c r="C23" s="11" t="s">
        <v>1922</v>
      </c>
      <c r="D23" s="11" t="s">
        <v>3141</v>
      </c>
      <c r="E23" s="11" t="s">
        <v>3142</v>
      </c>
      <c r="F23" s="11" t="s">
        <v>1917</v>
      </c>
      <c r="G23" s="11" t="s">
        <v>3140</v>
      </c>
      <c r="H23" s="11" t="s">
        <v>3094</v>
      </c>
    </row>
    <row r="24" spans="1:8" x14ac:dyDescent="0.25">
      <c r="A24" s="11">
        <v>21</v>
      </c>
      <c r="B24" s="11" t="s">
        <v>3107</v>
      </c>
      <c r="C24" s="11" t="s">
        <v>1922</v>
      </c>
      <c r="D24" s="11" t="s">
        <v>3143</v>
      </c>
      <c r="E24" s="11" t="s">
        <v>142</v>
      </c>
      <c r="F24" s="11" t="s">
        <v>1917</v>
      </c>
      <c r="G24" s="11" t="s">
        <v>3140</v>
      </c>
      <c r="H24" s="11" t="s">
        <v>3094</v>
      </c>
    </row>
    <row r="25" spans="1:8" x14ac:dyDescent="0.25">
      <c r="A25" s="11">
        <v>22</v>
      </c>
      <c r="B25" s="11" t="s">
        <v>3107</v>
      </c>
      <c r="C25" s="11" t="s">
        <v>1922</v>
      </c>
      <c r="D25" s="11" t="s">
        <v>3144</v>
      </c>
      <c r="E25" s="11" t="s">
        <v>3145</v>
      </c>
      <c r="F25" s="11" t="s">
        <v>1917</v>
      </c>
      <c r="G25" s="11" t="s">
        <v>3140</v>
      </c>
      <c r="H25" s="11" t="s">
        <v>3094</v>
      </c>
    </row>
    <row r="26" spans="1:8" x14ac:dyDescent="0.25">
      <c r="A26" s="11">
        <v>23</v>
      </c>
      <c r="B26" s="11" t="s">
        <v>3107</v>
      </c>
      <c r="C26" s="11" t="s">
        <v>1922</v>
      </c>
      <c r="D26" s="11" t="s">
        <v>3146</v>
      </c>
      <c r="E26" s="11" t="s">
        <v>3147</v>
      </c>
      <c r="F26" s="11" t="s">
        <v>1917</v>
      </c>
      <c r="G26" s="11" t="s">
        <v>3140</v>
      </c>
      <c r="H26" s="11" t="s">
        <v>3094</v>
      </c>
    </row>
    <row r="27" spans="1:8" x14ac:dyDescent="0.25">
      <c r="A27" s="11">
        <v>24</v>
      </c>
      <c r="B27" s="11" t="s">
        <v>3107</v>
      </c>
      <c r="C27" s="11" t="s">
        <v>1922</v>
      </c>
      <c r="D27" s="11" t="s">
        <v>3148</v>
      </c>
      <c r="E27" s="11" t="s">
        <v>3149</v>
      </c>
      <c r="F27" s="11" t="s">
        <v>1917</v>
      </c>
      <c r="G27" s="11" t="s">
        <v>3140</v>
      </c>
      <c r="H27" s="11" t="s">
        <v>3094</v>
      </c>
    </row>
    <row r="28" spans="1:8" x14ac:dyDescent="0.25">
      <c r="A28" s="11">
        <v>25</v>
      </c>
      <c r="B28" s="11" t="s">
        <v>3107</v>
      </c>
      <c r="C28" s="11" t="s">
        <v>1922</v>
      </c>
      <c r="D28" s="11" t="s">
        <v>3150</v>
      </c>
      <c r="E28" s="11" t="s">
        <v>3151</v>
      </c>
      <c r="F28" s="11" t="s">
        <v>1917</v>
      </c>
      <c r="G28" s="11" t="s">
        <v>3140</v>
      </c>
      <c r="H28" s="11" t="s">
        <v>3094</v>
      </c>
    </row>
    <row r="29" spans="1:8" x14ac:dyDescent="0.25">
      <c r="A29" s="11">
        <v>26</v>
      </c>
      <c r="B29" s="11" t="s">
        <v>3107</v>
      </c>
      <c r="C29" s="11" t="s">
        <v>1922</v>
      </c>
      <c r="D29" s="11" t="s">
        <v>3152</v>
      </c>
      <c r="E29" s="11" t="s">
        <v>3153</v>
      </c>
      <c r="F29" s="11" t="s">
        <v>1917</v>
      </c>
      <c r="G29" s="11" t="s">
        <v>3140</v>
      </c>
      <c r="H29" s="11" t="s">
        <v>3094</v>
      </c>
    </row>
    <row r="30" spans="1:8" x14ac:dyDescent="0.25">
      <c r="A30" s="11">
        <v>27</v>
      </c>
      <c r="B30" s="11" t="s">
        <v>3107</v>
      </c>
      <c r="C30" s="11" t="s">
        <v>1922</v>
      </c>
      <c r="D30" s="11" t="s">
        <v>3154</v>
      </c>
      <c r="E30" s="11" t="s">
        <v>3155</v>
      </c>
      <c r="F30" s="11" t="s">
        <v>1917</v>
      </c>
      <c r="G30" s="11" t="s">
        <v>3140</v>
      </c>
      <c r="H30" s="11" t="s">
        <v>3094</v>
      </c>
    </row>
    <row r="31" spans="1:8" x14ac:dyDescent="0.25">
      <c r="A31" s="11">
        <v>28</v>
      </c>
      <c r="B31" s="11" t="s">
        <v>3107</v>
      </c>
      <c r="C31" s="11" t="s">
        <v>1922</v>
      </c>
      <c r="D31" s="11" t="s">
        <v>3156</v>
      </c>
      <c r="E31" s="11" t="s">
        <v>3157</v>
      </c>
      <c r="F31" s="11" t="s">
        <v>1917</v>
      </c>
      <c r="G31" s="11" t="s">
        <v>3140</v>
      </c>
      <c r="H31" s="11" t="s">
        <v>3094</v>
      </c>
    </row>
    <row r="32" spans="1:8" x14ac:dyDescent="0.25">
      <c r="A32" s="11">
        <v>29</v>
      </c>
      <c r="B32" s="11" t="s">
        <v>3107</v>
      </c>
      <c r="C32" s="11" t="s">
        <v>1922</v>
      </c>
      <c r="D32" s="11" t="s">
        <v>3158</v>
      </c>
      <c r="E32" s="11" t="s">
        <v>142</v>
      </c>
      <c r="F32" s="11" t="s">
        <v>1917</v>
      </c>
      <c r="G32" s="11" t="s">
        <v>3140</v>
      </c>
      <c r="H32" s="11" t="s">
        <v>3094</v>
      </c>
    </row>
    <row r="33" spans="1:8" x14ac:dyDescent="0.25">
      <c r="A33" s="11">
        <v>30</v>
      </c>
      <c r="B33" s="11" t="s">
        <v>3107</v>
      </c>
      <c r="C33" s="11" t="s">
        <v>1964</v>
      </c>
      <c r="D33" s="11" t="s">
        <v>3159</v>
      </c>
      <c r="E33" s="11" t="s">
        <v>142</v>
      </c>
      <c r="F33" s="11" t="s">
        <v>3160</v>
      </c>
      <c r="G33" s="11" t="s">
        <v>3161</v>
      </c>
      <c r="H33" s="11" t="s">
        <v>3094</v>
      </c>
    </row>
    <row r="34" spans="1:8" x14ac:dyDescent="0.25">
      <c r="A34" s="11">
        <v>31</v>
      </c>
      <c r="B34" s="11" t="s">
        <v>3107</v>
      </c>
      <c r="C34" s="11" t="s">
        <v>1964</v>
      </c>
      <c r="D34" s="11" t="s">
        <v>3162</v>
      </c>
      <c r="E34" s="11" t="s">
        <v>142</v>
      </c>
      <c r="F34" s="11" t="s">
        <v>3160</v>
      </c>
      <c r="G34" s="11" t="s">
        <v>3161</v>
      </c>
      <c r="H34" s="11" t="s">
        <v>3094</v>
      </c>
    </row>
    <row r="35" spans="1:8" x14ac:dyDescent="0.25">
      <c r="A35" s="11">
        <v>32</v>
      </c>
      <c r="B35" s="11" t="s">
        <v>3107</v>
      </c>
      <c r="C35" s="11" t="s">
        <v>1964</v>
      </c>
      <c r="D35" s="11" t="s">
        <v>3163</v>
      </c>
      <c r="E35" s="11" t="s">
        <v>3164</v>
      </c>
      <c r="F35" s="11" t="s">
        <v>3160</v>
      </c>
      <c r="G35" s="11" t="s">
        <v>3161</v>
      </c>
      <c r="H35" s="11" t="s">
        <v>3094</v>
      </c>
    </row>
    <row r="36" spans="1:8" x14ac:dyDescent="0.25">
      <c r="A36" s="11">
        <v>33</v>
      </c>
      <c r="B36" s="11" t="s">
        <v>3107</v>
      </c>
      <c r="C36" s="11" t="s">
        <v>1964</v>
      </c>
      <c r="D36" s="11" t="s">
        <v>3165</v>
      </c>
      <c r="E36" s="11" t="s">
        <v>3166</v>
      </c>
      <c r="F36" s="11" t="s">
        <v>3160</v>
      </c>
      <c r="G36" s="11" t="s">
        <v>3161</v>
      </c>
      <c r="H36" s="11" t="s">
        <v>3094</v>
      </c>
    </row>
    <row r="37" spans="1:8" x14ac:dyDescent="0.25">
      <c r="A37" s="11">
        <v>34</v>
      </c>
      <c r="B37" s="11" t="s">
        <v>3107</v>
      </c>
      <c r="C37" s="11" t="s">
        <v>1964</v>
      </c>
      <c r="D37" s="11" t="s">
        <v>3167</v>
      </c>
      <c r="E37" s="11" t="s">
        <v>3168</v>
      </c>
      <c r="F37" s="11" t="s">
        <v>3160</v>
      </c>
      <c r="G37" s="11" t="s">
        <v>3161</v>
      </c>
      <c r="H37" s="11" t="s">
        <v>3094</v>
      </c>
    </row>
    <row r="38" spans="1:8" x14ac:dyDescent="0.25">
      <c r="A38" s="11">
        <v>35</v>
      </c>
      <c r="B38" s="11" t="s">
        <v>3107</v>
      </c>
      <c r="C38" s="11" t="s">
        <v>1964</v>
      </c>
      <c r="D38" s="11" t="s">
        <v>3169</v>
      </c>
      <c r="E38" s="11" t="s">
        <v>142</v>
      </c>
      <c r="F38" s="11" t="s">
        <v>3160</v>
      </c>
      <c r="G38" s="11" t="s">
        <v>3161</v>
      </c>
      <c r="H38" s="11" t="s">
        <v>3094</v>
      </c>
    </row>
    <row r="39" spans="1:8" x14ac:dyDescent="0.25">
      <c r="A39" s="11">
        <v>36</v>
      </c>
      <c r="B39" s="11" t="s">
        <v>3107</v>
      </c>
      <c r="C39" s="11" t="s">
        <v>1964</v>
      </c>
      <c r="D39" s="11" t="s">
        <v>3170</v>
      </c>
      <c r="E39" s="11" t="s">
        <v>3171</v>
      </c>
      <c r="F39" s="11" t="s">
        <v>3160</v>
      </c>
      <c r="G39" s="11" t="s">
        <v>3172</v>
      </c>
      <c r="H39" s="11" t="s">
        <v>3094</v>
      </c>
    </row>
    <row r="40" spans="1:8" x14ac:dyDescent="0.25">
      <c r="A40" s="11">
        <v>37</v>
      </c>
      <c r="B40" s="11" t="s">
        <v>3107</v>
      </c>
      <c r="C40" s="11" t="s">
        <v>1964</v>
      </c>
      <c r="D40" s="11" t="s">
        <v>3173</v>
      </c>
      <c r="E40" s="11" t="s">
        <v>3174</v>
      </c>
      <c r="F40" s="11" t="s">
        <v>3160</v>
      </c>
      <c r="G40" s="11" t="s">
        <v>3161</v>
      </c>
      <c r="H40" s="11" t="s">
        <v>3094</v>
      </c>
    </row>
    <row r="41" spans="1:8" x14ac:dyDescent="0.25">
      <c r="A41" s="11">
        <v>38</v>
      </c>
      <c r="B41" s="11" t="s">
        <v>3107</v>
      </c>
      <c r="C41" s="11" t="s">
        <v>1964</v>
      </c>
      <c r="D41" s="11" t="s">
        <v>3175</v>
      </c>
      <c r="E41" s="11" t="s">
        <v>3176</v>
      </c>
      <c r="F41" s="11" t="s">
        <v>3160</v>
      </c>
      <c r="G41" s="11" t="s">
        <v>3161</v>
      </c>
      <c r="H41" s="11" t="s">
        <v>3094</v>
      </c>
    </row>
    <row r="42" spans="1:8" x14ac:dyDescent="0.25">
      <c r="A42" s="11">
        <v>39</v>
      </c>
      <c r="B42" s="11" t="s">
        <v>3107</v>
      </c>
      <c r="C42" s="11" t="s">
        <v>1964</v>
      </c>
      <c r="D42" s="11" t="s">
        <v>3177</v>
      </c>
      <c r="E42" s="11" t="s">
        <v>3178</v>
      </c>
      <c r="F42" s="11" t="s">
        <v>3160</v>
      </c>
      <c r="G42" s="11" t="s">
        <v>3179</v>
      </c>
      <c r="H42" s="11" t="s">
        <v>3094</v>
      </c>
    </row>
    <row r="43" spans="1:8" x14ac:dyDescent="0.25">
      <c r="A43" s="11">
        <v>40</v>
      </c>
      <c r="B43" s="11" t="s">
        <v>3107</v>
      </c>
      <c r="C43" s="11" t="s">
        <v>1964</v>
      </c>
      <c r="D43" s="11" t="s">
        <v>3180</v>
      </c>
      <c r="E43" s="11" t="s">
        <v>3181</v>
      </c>
      <c r="F43" s="11" t="s">
        <v>3160</v>
      </c>
      <c r="G43" s="11" t="s">
        <v>3179</v>
      </c>
      <c r="H43" s="11" t="s">
        <v>3094</v>
      </c>
    </row>
    <row r="44" spans="1:8" x14ac:dyDescent="0.25">
      <c r="A44" s="11">
        <v>41</v>
      </c>
      <c r="B44" s="11" t="s">
        <v>3107</v>
      </c>
      <c r="C44" s="11" t="s">
        <v>1964</v>
      </c>
      <c r="D44" s="11" t="s">
        <v>3182</v>
      </c>
      <c r="E44" s="11" t="s">
        <v>3183</v>
      </c>
      <c r="F44" s="11" t="s">
        <v>3160</v>
      </c>
      <c r="G44" s="11" t="s">
        <v>3179</v>
      </c>
      <c r="H44" s="11" t="s">
        <v>3094</v>
      </c>
    </row>
    <row r="45" spans="1:8" x14ac:dyDescent="0.25">
      <c r="A45" s="11">
        <v>42</v>
      </c>
      <c r="B45" s="11" t="s">
        <v>3107</v>
      </c>
      <c r="C45" s="11" t="s">
        <v>1964</v>
      </c>
      <c r="D45" s="11" t="s">
        <v>3184</v>
      </c>
      <c r="E45" s="11" t="s">
        <v>3185</v>
      </c>
      <c r="F45" s="11" t="s">
        <v>3160</v>
      </c>
      <c r="G45" s="11" t="s">
        <v>3179</v>
      </c>
      <c r="H45" s="11" t="s">
        <v>3094</v>
      </c>
    </row>
    <row r="46" spans="1:8" x14ac:dyDescent="0.25">
      <c r="A46" s="11">
        <v>43</v>
      </c>
      <c r="B46" s="11" t="s">
        <v>3107</v>
      </c>
      <c r="C46" s="11" t="s">
        <v>1964</v>
      </c>
      <c r="D46" s="11" t="s">
        <v>3186</v>
      </c>
      <c r="E46" s="11" t="s">
        <v>3187</v>
      </c>
      <c r="F46" s="11" t="s">
        <v>3160</v>
      </c>
      <c r="G46" s="11" t="s">
        <v>3179</v>
      </c>
      <c r="H46" s="11" t="s">
        <v>3094</v>
      </c>
    </row>
    <row r="47" spans="1:8" x14ac:dyDescent="0.25">
      <c r="A47" s="11">
        <v>44</v>
      </c>
      <c r="B47" s="11" t="s">
        <v>3107</v>
      </c>
      <c r="C47" s="11" t="s">
        <v>1964</v>
      </c>
      <c r="D47" s="11" t="s">
        <v>3188</v>
      </c>
      <c r="E47" s="11" t="s">
        <v>3189</v>
      </c>
      <c r="F47" s="11" t="s">
        <v>3160</v>
      </c>
      <c r="G47" s="11" t="s">
        <v>3161</v>
      </c>
      <c r="H47" s="11" t="s">
        <v>3094</v>
      </c>
    </row>
    <row r="48" spans="1:8" x14ac:dyDescent="0.25">
      <c r="A48" s="11">
        <v>45</v>
      </c>
      <c r="B48" s="11" t="s">
        <v>3107</v>
      </c>
      <c r="C48" s="11" t="s">
        <v>1964</v>
      </c>
      <c r="D48" s="11" t="s">
        <v>3190</v>
      </c>
      <c r="E48" s="11" t="s">
        <v>3191</v>
      </c>
      <c r="F48" s="11" t="s">
        <v>3160</v>
      </c>
      <c r="G48" s="11" t="s">
        <v>3161</v>
      </c>
      <c r="H48" s="11" t="s">
        <v>3094</v>
      </c>
    </row>
    <row r="49" spans="1:8" x14ac:dyDescent="0.25">
      <c r="A49" s="11">
        <v>46</v>
      </c>
      <c r="B49" s="11" t="s">
        <v>3107</v>
      </c>
      <c r="C49" s="11" t="s">
        <v>1964</v>
      </c>
      <c r="D49" s="11" t="s">
        <v>3192</v>
      </c>
      <c r="E49" s="11" t="s">
        <v>3193</v>
      </c>
      <c r="F49" s="11" t="s">
        <v>3160</v>
      </c>
      <c r="G49" s="11" t="s">
        <v>3161</v>
      </c>
      <c r="H49" s="11" t="s">
        <v>3094</v>
      </c>
    </row>
    <row r="50" spans="1:8" x14ac:dyDescent="0.25">
      <c r="A50" s="11">
        <v>47</v>
      </c>
      <c r="B50" s="11" t="s">
        <v>3107</v>
      </c>
      <c r="C50" s="11" t="s">
        <v>1964</v>
      </c>
      <c r="D50" s="11" t="s">
        <v>3194</v>
      </c>
      <c r="E50" s="11" t="s">
        <v>3195</v>
      </c>
      <c r="F50" s="11" t="s">
        <v>3160</v>
      </c>
      <c r="G50" s="11" t="s">
        <v>3161</v>
      </c>
      <c r="H50" s="11" t="s">
        <v>3094</v>
      </c>
    </row>
    <row r="51" spans="1:8" x14ac:dyDescent="0.25">
      <c r="A51" s="11">
        <v>48</v>
      </c>
      <c r="B51" s="11" t="s">
        <v>3107</v>
      </c>
      <c r="C51" s="11" t="s">
        <v>1964</v>
      </c>
      <c r="D51" s="11" t="s">
        <v>3196</v>
      </c>
      <c r="E51" s="11" t="s">
        <v>142</v>
      </c>
      <c r="F51" s="11" t="s">
        <v>3160</v>
      </c>
      <c r="G51" s="11" t="s">
        <v>3161</v>
      </c>
      <c r="H51" s="11" t="s">
        <v>3094</v>
      </c>
    </row>
    <row r="52" spans="1:8" x14ac:dyDescent="0.25">
      <c r="A52" s="11">
        <v>49</v>
      </c>
      <c r="B52" s="11" t="s">
        <v>3107</v>
      </c>
      <c r="C52" s="11" t="s">
        <v>1964</v>
      </c>
      <c r="D52" s="11" t="s">
        <v>3197</v>
      </c>
      <c r="E52" s="11" t="s">
        <v>3198</v>
      </c>
      <c r="F52" s="11" t="s">
        <v>3160</v>
      </c>
      <c r="G52" s="11" t="s">
        <v>3172</v>
      </c>
      <c r="H52" s="11" t="s">
        <v>3094</v>
      </c>
    </row>
    <row r="53" spans="1:8" x14ac:dyDescent="0.25">
      <c r="A53" s="11">
        <v>50</v>
      </c>
      <c r="B53" s="11" t="s">
        <v>3107</v>
      </c>
      <c r="C53" s="11" t="s">
        <v>1964</v>
      </c>
      <c r="D53" s="11" t="s">
        <v>3199</v>
      </c>
      <c r="E53" s="11" t="s">
        <v>3200</v>
      </c>
      <c r="F53" s="11" t="s">
        <v>3160</v>
      </c>
      <c r="G53" s="11" t="s">
        <v>3161</v>
      </c>
      <c r="H53" s="11" t="s">
        <v>3094</v>
      </c>
    </row>
    <row r="54" spans="1:8" x14ac:dyDescent="0.25">
      <c r="A54" s="11">
        <v>51</v>
      </c>
      <c r="B54" s="11" t="s">
        <v>3107</v>
      </c>
      <c r="C54" s="11" t="s">
        <v>1964</v>
      </c>
      <c r="D54" s="11" t="s">
        <v>3201</v>
      </c>
      <c r="E54" s="11" t="s">
        <v>3202</v>
      </c>
      <c r="F54" s="11" t="s">
        <v>3160</v>
      </c>
      <c r="G54" s="11" t="s">
        <v>3161</v>
      </c>
      <c r="H54" s="11" t="s">
        <v>3094</v>
      </c>
    </row>
    <row r="55" spans="1:8" x14ac:dyDescent="0.25">
      <c r="A55" s="11">
        <v>52</v>
      </c>
      <c r="B55" s="11" t="s">
        <v>3107</v>
      </c>
      <c r="C55" s="11" t="s">
        <v>1964</v>
      </c>
      <c r="D55" s="11" t="s">
        <v>3203</v>
      </c>
      <c r="E55" s="11" t="s">
        <v>3204</v>
      </c>
      <c r="F55" s="11" t="s">
        <v>3160</v>
      </c>
      <c r="G55" s="11" t="s">
        <v>3161</v>
      </c>
      <c r="H55" s="11" t="s">
        <v>3094</v>
      </c>
    </row>
    <row r="56" spans="1:8" x14ac:dyDescent="0.25">
      <c r="A56" s="11">
        <v>53</v>
      </c>
      <c r="B56" s="11" t="s">
        <v>3107</v>
      </c>
      <c r="C56" s="11" t="s">
        <v>1964</v>
      </c>
      <c r="D56" s="11" t="s">
        <v>3205</v>
      </c>
      <c r="E56" s="11" t="s">
        <v>3206</v>
      </c>
      <c r="F56" s="11" t="s">
        <v>3160</v>
      </c>
      <c r="G56" s="11" t="s">
        <v>3161</v>
      </c>
      <c r="H56" s="11" t="s">
        <v>3094</v>
      </c>
    </row>
    <row r="57" spans="1:8" x14ac:dyDescent="0.25">
      <c r="A57" s="11">
        <v>54</v>
      </c>
      <c r="B57" s="11" t="s">
        <v>3107</v>
      </c>
      <c r="C57" s="11" t="s">
        <v>1964</v>
      </c>
      <c r="D57" s="11" t="s">
        <v>3207</v>
      </c>
      <c r="E57" s="11" t="s">
        <v>3208</v>
      </c>
      <c r="F57" s="11" t="s">
        <v>3160</v>
      </c>
      <c r="G57" s="11" t="s">
        <v>3161</v>
      </c>
      <c r="H57" s="11" t="s">
        <v>3094</v>
      </c>
    </row>
    <row r="58" spans="1:8" x14ac:dyDescent="0.25">
      <c r="A58" s="11">
        <v>55</v>
      </c>
      <c r="B58" s="11" t="s">
        <v>3107</v>
      </c>
      <c r="C58" s="11" t="s">
        <v>1964</v>
      </c>
      <c r="D58" s="11" t="s">
        <v>3209</v>
      </c>
      <c r="E58" s="11" t="s">
        <v>3210</v>
      </c>
      <c r="F58" s="11" t="s">
        <v>3160</v>
      </c>
      <c r="G58" s="11" t="s">
        <v>3161</v>
      </c>
      <c r="H58" s="11" t="s">
        <v>3094</v>
      </c>
    </row>
    <row r="59" spans="1:8" x14ac:dyDescent="0.25">
      <c r="A59" s="11">
        <v>56</v>
      </c>
      <c r="B59" s="11" t="s">
        <v>3107</v>
      </c>
      <c r="C59" s="11" t="s">
        <v>1964</v>
      </c>
      <c r="D59" s="11" t="s">
        <v>3211</v>
      </c>
      <c r="E59" s="11" t="s">
        <v>3212</v>
      </c>
      <c r="F59" s="11" t="s">
        <v>3160</v>
      </c>
      <c r="G59" s="11" t="s">
        <v>3161</v>
      </c>
      <c r="H59" s="11" t="s">
        <v>3094</v>
      </c>
    </row>
    <row r="60" spans="1:8" x14ac:dyDescent="0.25">
      <c r="A60" s="11">
        <v>57</v>
      </c>
      <c r="B60" s="11" t="s">
        <v>3107</v>
      </c>
      <c r="C60" s="11" t="s">
        <v>1964</v>
      </c>
      <c r="D60" s="11" t="s">
        <v>3213</v>
      </c>
      <c r="E60" s="11" t="s">
        <v>142</v>
      </c>
      <c r="F60" s="11" t="s">
        <v>3160</v>
      </c>
      <c r="G60" s="11" t="s">
        <v>3161</v>
      </c>
      <c r="H60" s="11" t="s">
        <v>3094</v>
      </c>
    </row>
    <row r="61" spans="1:8" x14ac:dyDescent="0.25">
      <c r="A61" s="11">
        <v>58</v>
      </c>
      <c r="B61" s="11" t="s">
        <v>3107</v>
      </c>
      <c r="C61" s="11" t="s">
        <v>1964</v>
      </c>
      <c r="D61" s="11" t="s">
        <v>3214</v>
      </c>
      <c r="E61" s="11" t="s">
        <v>3215</v>
      </c>
      <c r="F61" s="11" t="s">
        <v>3160</v>
      </c>
      <c r="G61" s="11" t="s">
        <v>3161</v>
      </c>
      <c r="H61" s="11" t="s">
        <v>3094</v>
      </c>
    </row>
    <row r="62" spans="1:8" x14ac:dyDescent="0.25">
      <c r="A62" s="11">
        <v>59</v>
      </c>
      <c r="B62" s="11" t="s">
        <v>3107</v>
      </c>
      <c r="C62" s="11" t="s">
        <v>1964</v>
      </c>
      <c r="D62" s="11" t="s">
        <v>3216</v>
      </c>
      <c r="E62" s="11" t="s">
        <v>142</v>
      </c>
      <c r="F62" s="11" t="s">
        <v>3160</v>
      </c>
      <c r="G62" s="11" t="s">
        <v>3161</v>
      </c>
      <c r="H62" s="11" t="s">
        <v>3094</v>
      </c>
    </row>
    <row r="63" spans="1:8" x14ac:dyDescent="0.25">
      <c r="A63" s="11">
        <v>60</v>
      </c>
      <c r="B63" s="11" t="s">
        <v>3107</v>
      </c>
      <c r="C63" s="11" t="s">
        <v>1964</v>
      </c>
      <c r="D63" s="11" t="s">
        <v>3217</v>
      </c>
      <c r="E63" s="11" t="s">
        <v>3218</v>
      </c>
      <c r="F63" s="11" t="s">
        <v>3160</v>
      </c>
      <c r="G63" s="11" t="s">
        <v>3161</v>
      </c>
      <c r="H63" s="11" t="s">
        <v>3094</v>
      </c>
    </row>
    <row r="64" spans="1:8" x14ac:dyDescent="0.25">
      <c r="A64" s="11">
        <v>61</v>
      </c>
      <c r="B64" s="11" t="s">
        <v>3107</v>
      </c>
      <c r="C64" s="11" t="s">
        <v>1964</v>
      </c>
      <c r="D64" s="11" t="s">
        <v>3219</v>
      </c>
      <c r="E64" s="11" t="s">
        <v>142</v>
      </c>
      <c r="F64" s="11" t="s">
        <v>3160</v>
      </c>
      <c r="G64" s="11" t="s">
        <v>3161</v>
      </c>
      <c r="H64" s="11" t="s">
        <v>3094</v>
      </c>
    </row>
    <row r="65" spans="1:8" x14ac:dyDescent="0.25">
      <c r="A65" s="11">
        <v>62</v>
      </c>
      <c r="B65" s="11" t="s">
        <v>3107</v>
      </c>
      <c r="C65" s="11" t="s">
        <v>1964</v>
      </c>
      <c r="D65" s="11" t="s">
        <v>3220</v>
      </c>
      <c r="E65" s="11" t="s">
        <v>3221</v>
      </c>
      <c r="F65" s="11" t="s">
        <v>3160</v>
      </c>
      <c r="G65" s="11" t="s">
        <v>3161</v>
      </c>
      <c r="H65" s="11" t="s">
        <v>3094</v>
      </c>
    </row>
    <row r="66" spans="1:8" x14ac:dyDescent="0.25">
      <c r="A66" s="11">
        <v>63</v>
      </c>
      <c r="B66" s="11" t="s">
        <v>3107</v>
      </c>
      <c r="C66" s="11" t="s">
        <v>1964</v>
      </c>
      <c r="D66" s="11" t="s">
        <v>3222</v>
      </c>
      <c r="E66" s="11" t="s">
        <v>3223</v>
      </c>
      <c r="F66" s="11" t="s">
        <v>3160</v>
      </c>
      <c r="G66" s="11" t="s">
        <v>3161</v>
      </c>
      <c r="H66" s="11" t="s">
        <v>3094</v>
      </c>
    </row>
    <row r="67" spans="1:8" x14ac:dyDescent="0.25">
      <c r="A67" s="11">
        <v>64</v>
      </c>
      <c r="B67" s="11" t="s">
        <v>3107</v>
      </c>
      <c r="C67" s="11" t="s">
        <v>1964</v>
      </c>
      <c r="D67" s="11" t="s">
        <v>3224</v>
      </c>
      <c r="E67" s="11" t="s">
        <v>3225</v>
      </c>
      <c r="F67" s="11" t="s">
        <v>3160</v>
      </c>
      <c r="G67" s="11" t="s">
        <v>3161</v>
      </c>
      <c r="H67" s="11" t="s">
        <v>3094</v>
      </c>
    </row>
    <row r="68" spans="1:8" x14ac:dyDescent="0.25">
      <c r="A68" s="11">
        <v>65</v>
      </c>
      <c r="B68" s="11" t="s">
        <v>3107</v>
      </c>
      <c r="C68" s="11" t="s">
        <v>1964</v>
      </c>
      <c r="D68" s="11" t="s">
        <v>3226</v>
      </c>
      <c r="E68" s="11" t="s">
        <v>3227</v>
      </c>
      <c r="F68" s="11" t="s">
        <v>3160</v>
      </c>
      <c r="G68" s="11" t="s">
        <v>3161</v>
      </c>
      <c r="H68" s="11" t="s">
        <v>3094</v>
      </c>
    </row>
    <row r="69" spans="1:8" x14ac:dyDescent="0.25">
      <c r="A69" s="11">
        <v>66</v>
      </c>
      <c r="B69" s="11" t="s">
        <v>3107</v>
      </c>
      <c r="C69" s="11" t="s">
        <v>1964</v>
      </c>
      <c r="D69" s="11" t="s">
        <v>3228</v>
      </c>
      <c r="E69" s="11" t="s">
        <v>3229</v>
      </c>
      <c r="F69" s="11" t="s">
        <v>3160</v>
      </c>
      <c r="G69" s="11" t="s">
        <v>3161</v>
      </c>
      <c r="H69" s="11" t="s">
        <v>3094</v>
      </c>
    </row>
    <row r="70" spans="1:8" x14ac:dyDescent="0.25">
      <c r="A70" s="11">
        <v>67</v>
      </c>
      <c r="B70" s="11" t="s">
        <v>3107</v>
      </c>
      <c r="C70" s="11" t="s">
        <v>1964</v>
      </c>
      <c r="D70" s="11" t="s">
        <v>3230</v>
      </c>
      <c r="E70" s="11" t="s">
        <v>3231</v>
      </c>
      <c r="F70" s="11" t="s">
        <v>3160</v>
      </c>
      <c r="G70" s="11" t="s">
        <v>3161</v>
      </c>
      <c r="H70" s="11" t="s">
        <v>3094</v>
      </c>
    </row>
    <row r="71" spans="1:8" x14ac:dyDescent="0.25">
      <c r="A71" s="11">
        <v>68</v>
      </c>
      <c r="B71" s="11" t="s">
        <v>3107</v>
      </c>
      <c r="C71" s="11" t="s">
        <v>1964</v>
      </c>
      <c r="D71" s="11" t="s">
        <v>3232</v>
      </c>
      <c r="E71" s="11" t="s">
        <v>142</v>
      </c>
      <c r="F71" s="11" t="s">
        <v>3160</v>
      </c>
      <c r="G71" s="11" t="s">
        <v>3161</v>
      </c>
      <c r="H71" s="11" t="s">
        <v>3094</v>
      </c>
    </row>
    <row r="72" spans="1:8" x14ac:dyDescent="0.25">
      <c r="A72" s="11">
        <v>69</v>
      </c>
      <c r="B72" s="11" t="s">
        <v>3107</v>
      </c>
      <c r="C72" s="11" t="s">
        <v>1964</v>
      </c>
      <c r="D72" s="11" t="s">
        <v>3233</v>
      </c>
      <c r="E72" s="11" t="s">
        <v>3234</v>
      </c>
      <c r="F72" s="11" t="s">
        <v>3160</v>
      </c>
      <c r="G72" s="11" t="s">
        <v>3161</v>
      </c>
      <c r="H72" s="11" t="s">
        <v>3094</v>
      </c>
    </row>
    <row r="73" spans="1:8" x14ac:dyDescent="0.25">
      <c r="A73" s="11">
        <v>70</v>
      </c>
      <c r="B73" s="11" t="s">
        <v>3107</v>
      </c>
      <c r="C73" s="11" t="s">
        <v>3235</v>
      </c>
      <c r="D73" s="11" t="s">
        <v>3236</v>
      </c>
      <c r="E73" s="11" t="s">
        <v>142</v>
      </c>
      <c r="F73" s="11" t="s">
        <v>1946</v>
      </c>
      <c r="G73" s="11" t="s">
        <v>3120</v>
      </c>
      <c r="H73" s="11" t="s">
        <v>3094</v>
      </c>
    </row>
    <row r="74" spans="1:8" x14ac:dyDescent="0.25">
      <c r="A74" s="11">
        <v>71</v>
      </c>
      <c r="B74" s="11" t="s">
        <v>3107</v>
      </c>
      <c r="C74" s="11" t="s">
        <v>3235</v>
      </c>
      <c r="D74" s="11" t="s">
        <v>3237</v>
      </c>
      <c r="E74" s="11" t="s">
        <v>3238</v>
      </c>
      <c r="F74" s="11" t="s">
        <v>1946</v>
      </c>
      <c r="G74" s="11" t="s">
        <v>3120</v>
      </c>
      <c r="H74" s="11" t="s">
        <v>3094</v>
      </c>
    </row>
    <row r="75" spans="1:8" x14ac:dyDescent="0.25">
      <c r="A75" s="11">
        <v>72</v>
      </c>
      <c r="B75" s="11" t="s">
        <v>3107</v>
      </c>
      <c r="C75" s="11" t="s">
        <v>3235</v>
      </c>
      <c r="D75" s="11" t="s">
        <v>3239</v>
      </c>
      <c r="E75" s="11" t="s">
        <v>3240</v>
      </c>
      <c r="F75" s="11" t="s">
        <v>1946</v>
      </c>
      <c r="G75" s="11" t="s">
        <v>3120</v>
      </c>
      <c r="H75" s="11" t="s">
        <v>3094</v>
      </c>
    </row>
    <row r="76" spans="1:8" x14ac:dyDescent="0.25">
      <c r="A76" s="11">
        <v>73</v>
      </c>
      <c r="B76" s="11" t="s">
        <v>3107</v>
      </c>
      <c r="C76" s="11" t="s">
        <v>3235</v>
      </c>
      <c r="D76" s="11" t="s">
        <v>3241</v>
      </c>
      <c r="E76" s="11" t="s">
        <v>3242</v>
      </c>
      <c r="F76" s="11" t="s">
        <v>1946</v>
      </c>
      <c r="G76" s="11" t="s">
        <v>3120</v>
      </c>
      <c r="H76" s="11" t="s">
        <v>3094</v>
      </c>
    </row>
    <row r="77" spans="1:8" x14ac:dyDescent="0.25">
      <c r="A77" s="11">
        <v>74</v>
      </c>
      <c r="B77" s="11" t="s">
        <v>3107</v>
      </c>
      <c r="C77" s="11" t="s">
        <v>3243</v>
      </c>
      <c r="D77" s="11" t="s">
        <v>3244</v>
      </c>
      <c r="E77" s="11" t="s">
        <v>3245</v>
      </c>
      <c r="F77" s="11" t="s">
        <v>1887</v>
      </c>
      <c r="G77" s="11" t="s">
        <v>3140</v>
      </c>
      <c r="H77" s="11" t="s">
        <v>3094</v>
      </c>
    </row>
    <row r="78" spans="1:8" x14ac:dyDescent="0.25">
      <c r="A78" s="11">
        <v>75</v>
      </c>
      <c r="B78" s="11" t="s">
        <v>3107</v>
      </c>
      <c r="C78" s="11" t="s">
        <v>3243</v>
      </c>
      <c r="D78" s="11" t="s">
        <v>3246</v>
      </c>
      <c r="E78" s="11" t="s">
        <v>3247</v>
      </c>
      <c r="F78" s="11" t="s">
        <v>1887</v>
      </c>
      <c r="G78" s="11" t="s">
        <v>3140</v>
      </c>
      <c r="H78" s="11" t="s">
        <v>3094</v>
      </c>
    </row>
    <row r="79" spans="1:8" x14ac:dyDescent="0.25">
      <c r="A79" s="11">
        <v>76</v>
      </c>
      <c r="B79" s="11" t="s">
        <v>3107</v>
      </c>
      <c r="C79" s="11" t="s">
        <v>3243</v>
      </c>
      <c r="D79" s="11" t="s">
        <v>3248</v>
      </c>
      <c r="E79" s="11" t="s">
        <v>3249</v>
      </c>
      <c r="F79" s="11" t="s">
        <v>1887</v>
      </c>
      <c r="G79" s="11" t="s">
        <v>3140</v>
      </c>
      <c r="H79" s="11" t="s">
        <v>3094</v>
      </c>
    </row>
    <row r="80" spans="1:8" x14ac:dyDescent="0.25">
      <c r="A80" s="11">
        <v>77</v>
      </c>
      <c r="B80" s="11" t="s">
        <v>3107</v>
      </c>
      <c r="C80" s="11" t="s">
        <v>3243</v>
      </c>
      <c r="D80" s="11" t="s">
        <v>3250</v>
      </c>
      <c r="E80" s="11" t="s">
        <v>142</v>
      </c>
      <c r="F80" s="11" t="s">
        <v>1887</v>
      </c>
      <c r="G80" s="11" t="s">
        <v>3140</v>
      </c>
      <c r="H80" s="11" t="s">
        <v>3094</v>
      </c>
    </row>
    <row r="81" spans="1:8" x14ac:dyDescent="0.25">
      <c r="A81" s="11">
        <v>78</v>
      </c>
      <c r="B81" s="11" t="s">
        <v>3107</v>
      </c>
      <c r="C81" s="11" t="s">
        <v>3251</v>
      </c>
      <c r="D81" s="11" t="s">
        <v>3252</v>
      </c>
      <c r="E81" s="11" t="s">
        <v>142</v>
      </c>
      <c r="F81" s="11" t="s">
        <v>1946</v>
      </c>
      <c r="G81" s="11" t="s">
        <v>3120</v>
      </c>
      <c r="H81" s="11" t="s">
        <v>3094</v>
      </c>
    </row>
    <row r="82" spans="1:8" x14ac:dyDescent="0.25">
      <c r="A82" s="11">
        <v>79</v>
      </c>
      <c r="B82" s="11" t="s">
        <v>3107</v>
      </c>
      <c r="C82" s="11" t="s">
        <v>3251</v>
      </c>
      <c r="D82" s="11" t="s">
        <v>3253</v>
      </c>
      <c r="E82" s="11" t="s">
        <v>142</v>
      </c>
      <c r="F82" s="11" t="s">
        <v>1946</v>
      </c>
      <c r="G82" s="11" t="s">
        <v>3120</v>
      </c>
      <c r="H82" s="11" t="s">
        <v>3094</v>
      </c>
    </row>
    <row r="83" spans="1:8" x14ac:dyDescent="0.25">
      <c r="A83" s="11">
        <v>80</v>
      </c>
      <c r="B83" s="11" t="s">
        <v>3107</v>
      </c>
      <c r="C83" s="11" t="s">
        <v>3251</v>
      </c>
      <c r="D83" s="11" t="s">
        <v>3254</v>
      </c>
      <c r="E83" s="11" t="s">
        <v>3255</v>
      </c>
      <c r="F83" s="11" t="s">
        <v>1946</v>
      </c>
      <c r="G83" s="11" t="s">
        <v>3120</v>
      </c>
      <c r="H83" s="11" t="s">
        <v>3094</v>
      </c>
    </row>
    <row r="84" spans="1:8" x14ac:dyDescent="0.25">
      <c r="A84" s="11">
        <v>81</v>
      </c>
      <c r="B84" s="11" t="s">
        <v>3107</v>
      </c>
      <c r="C84" s="11" t="s">
        <v>1983</v>
      </c>
      <c r="D84" s="11" t="s">
        <v>3256</v>
      </c>
      <c r="E84" s="11" t="s">
        <v>3257</v>
      </c>
      <c r="F84" s="11" t="s">
        <v>1977</v>
      </c>
      <c r="G84" s="11" t="s">
        <v>3258</v>
      </c>
      <c r="H84" s="11" t="s">
        <v>3094</v>
      </c>
    </row>
    <row r="85" spans="1:8" x14ac:dyDescent="0.25">
      <c r="A85" s="11">
        <v>82</v>
      </c>
      <c r="B85" s="11" t="s">
        <v>3107</v>
      </c>
      <c r="C85" s="11" t="s">
        <v>1983</v>
      </c>
      <c r="D85" s="11" t="s">
        <v>3259</v>
      </c>
      <c r="E85" s="11" t="s">
        <v>3260</v>
      </c>
      <c r="F85" s="11" t="s">
        <v>1977</v>
      </c>
      <c r="G85" s="11" t="s">
        <v>3258</v>
      </c>
      <c r="H85" s="11" t="s">
        <v>3094</v>
      </c>
    </row>
    <row r="86" spans="1:8" x14ac:dyDescent="0.25">
      <c r="A86" s="11">
        <v>83</v>
      </c>
      <c r="B86" s="11" t="s">
        <v>3107</v>
      </c>
      <c r="C86" s="11" t="s">
        <v>1983</v>
      </c>
      <c r="D86" s="11" t="s">
        <v>3261</v>
      </c>
      <c r="E86" s="11" t="s">
        <v>3262</v>
      </c>
      <c r="F86" s="11" t="s">
        <v>1977</v>
      </c>
      <c r="G86" s="11" t="s">
        <v>3258</v>
      </c>
      <c r="H86" s="11" t="s">
        <v>3094</v>
      </c>
    </row>
    <row r="87" spans="1:8" x14ac:dyDescent="0.25">
      <c r="A87" s="11">
        <v>84</v>
      </c>
      <c r="B87" s="11" t="s">
        <v>3107</v>
      </c>
      <c r="C87" s="11" t="s">
        <v>1983</v>
      </c>
      <c r="D87" s="11" t="s">
        <v>3263</v>
      </c>
      <c r="E87" s="11" t="s">
        <v>3264</v>
      </c>
      <c r="F87" s="11" t="s">
        <v>1977</v>
      </c>
      <c r="G87" s="11" t="s">
        <v>3258</v>
      </c>
      <c r="H87" s="11" t="s">
        <v>3094</v>
      </c>
    </row>
    <row r="88" spans="1:8" x14ac:dyDescent="0.25">
      <c r="A88" s="11">
        <v>85</v>
      </c>
      <c r="B88" s="11" t="s">
        <v>3107</v>
      </c>
      <c r="C88" s="11" t="s">
        <v>1983</v>
      </c>
      <c r="D88" s="11" t="s">
        <v>3265</v>
      </c>
      <c r="E88" s="11" t="s">
        <v>3266</v>
      </c>
      <c r="F88" s="11" t="s">
        <v>1977</v>
      </c>
      <c r="G88" s="11" t="s">
        <v>3258</v>
      </c>
      <c r="H88" s="11" t="s">
        <v>3094</v>
      </c>
    </row>
    <row r="89" spans="1:8" x14ac:dyDescent="0.25">
      <c r="A89" s="11">
        <v>86</v>
      </c>
      <c r="B89" s="11" t="s">
        <v>3107</v>
      </c>
      <c r="C89" s="11" t="s">
        <v>1983</v>
      </c>
      <c r="D89" s="11" t="s">
        <v>3267</v>
      </c>
      <c r="E89" s="11" t="s">
        <v>3268</v>
      </c>
      <c r="F89" s="11" t="s">
        <v>1977</v>
      </c>
      <c r="G89" s="11" t="s">
        <v>3258</v>
      </c>
      <c r="H89" s="11" t="s">
        <v>3094</v>
      </c>
    </row>
    <row r="90" spans="1:8" x14ac:dyDescent="0.25">
      <c r="A90" s="11">
        <v>87</v>
      </c>
      <c r="B90" s="11" t="s">
        <v>3107</v>
      </c>
      <c r="C90" s="11" t="s">
        <v>1983</v>
      </c>
      <c r="D90" s="11" t="s">
        <v>3269</v>
      </c>
      <c r="E90" s="11" t="s">
        <v>3270</v>
      </c>
      <c r="F90" s="11" t="s">
        <v>1977</v>
      </c>
      <c r="G90" s="11" t="s">
        <v>3258</v>
      </c>
      <c r="H90" s="11" t="s">
        <v>3094</v>
      </c>
    </row>
    <row r="91" spans="1:8" x14ac:dyDescent="0.25">
      <c r="A91" s="11">
        <v>88</v>
      </c>
      <c r="B91" s="11" t="s">
        <v>3107</v>
      </c>
      <c r="C91" s="11" t="s">
        <v>1983</v>
      </c>
      <c r="D91" s="11" t="s">
        <v>3271</v>
      </c>
      <c r="E91" s="11" t="s">
        <v>142</v>
      </c>
      <c r="F91" s="11" t="s">
        <v>1977</v>
      </c>
      <c r="G91" s="11" t="s">
        <v>3258</v>
      </c>
      <c r="H91" s="11" t="s">
        <v>3094</v>
      </c>
    </row>
    <row r="92" spans="1:8" x14ac:dyDescent="0.25">
      <c r="A92" s="11">
        <v>89</v>
      </c>
      <c r="B92" s="11" t="s">
        <v>3107</v>
      </c>
      <c r="C92" s="11" t="s">
        <v>1983</v>
      </c>
      <c r="D92" s="11" t="s">
        <v>3272</v>
      </c>
      <c r="E92" s="11" t="s">
        <v>3273</v>
      </c>
      <c r="F92" s="11" t="s">
        <v>1977</v>
      </c>
      <c r="G92" s="11" t="s">
        <v>3258</v>
      </c>
      <c r="H92" s="11" t="s">
        <v>3094</v>
      </c>
    </row>
    <row r="93" spans="1:8" x14ac:dyDescent="0.25">
      <c r="A93" s="11">
        <v>90</v>
      </c>
      <c r="B93" s="11" t="s">
        <v>3107</v>
      </c>
      <c r="C93" s="11" t="s">
        <v>2020</v>
      </c>
      <c r="D93" s="11" t="s">
        <v>3274</v>
      </c>
      <c r="E93" s="11" t="s">
        <v>142</v>
      </c>
      <c r="F93" s="11" t="s">
        <v>2015</v>
      </c>
      <c r="G93" s="11" t="s">
        <v>3275</v>
      </c>
      <c r="H93" s="11" t="s">
        <v>3094</v>
      </c>
    </row>
    <row r="94" spans="1:8" x14ac:dyDescent="0.25">
      <c r="A94" s="11">
        <v>91</v>
      </c>
      <c r="B94" s="11" t="s">
        <v>3107</v>
      </c>
      <c r="C94" s="11" t="s">
        <v>2020</v>
      </c>
      <c r="D94" s="11" t="s">
        <v>3276</v>
      </c>
      <c r="E94" s="11" t="s">
        <v>3277</v>
      </c>
      <c r="F94" s="11" t="s">
        <v>2015</v>
      </c>
      <c r="G94" s="11" t="s">
        <v>3275</v>
      </c>
      <c r="H94" s="11" t="s">
        <v>3094</v>
      </c>
    </row>
    <row r="95" spans="1:8" x14ac:dyDescent="0.25">
      <c r="A95" s="11">
        <v>92</v>
      </c>
      <c r="B95" s="11" t="s">
        <v>3107</v>
      </c>
      <c r="C95" s="11" t="s">
        <v>3278</v>
      </c>
      <c r="D95" s="11" t="s">
        <v>3279</v>
      </c>
      <c r="E95" s="11" t="s">
        <v>142</v>
      </c>
      <c r="F95" s="11" t="s">
        <v>3280</v>
      </c>
      <c r="G95" s="11" t="s">
        <v>3140</v>
      </c>
      <c r="H95" s="11" t="s">
        <v>3094</v>
      </c>
    </row>
    <row r="96" spans="1:8" x14ac:dyDescent="0.25">
      <c r="A96" s="11">
        <v>93</v>
      </c>
      <c r="B96" s="11" t="s">
        <v>3107</v>
      </c>
      <c r="C96" s="11" t="s">
        <v>3278</v>
      </c>
      <c r="D96" s="11" t="s">
        <v>3281</v>
      </c>
      <c r="E96" s="11" t="s">
        <v>142</v>
      </c>
      <c r="F96" s="11" t="s">
        <v>3280</v>
      </c>
      <c r="G96" s="11" t="s">
        <v>3140</v>
      </c>
      <c r="H96" s="11" t="s">
        <v>3094</v>
      </c>
    </row>
    <row r="97" spans="1:8" x14ac:dyDescent="0.25">
      <c r="A97" s="11">
        <v>94</v>
      </c>
      <c r="B97" s="11" t="s">
        <v>3107</v>
      </c>
      <c r="C97" s="11" t="s">
        <v>3278</v>
      </c>
      <c r="D97" s="11" t="s">
        <v>3282</v>
      </c>
      <c r="E97" s="11" t="s">
        <v>142</v>
      </c>
      <c r="F97" s="11" t="s">
        <v>3280</v>
      </c>
      <c r="G97" s="11" t="s">
        <v>3140</v>
      </c>
      <c r="H97" s="11" t="s">
        <v>3094</v>
      </c>
    </row>
    <row r="98" spans="1:8" x14ac:dyDescent="0.25">
      <c r="A98" s="11">
        <v>95</v>
      </c>
      <c r="B98" s="11" t="s">
        <v>3107</v>
      </c>
      <c r="C98" s="11" t="s">
        <v>3278</v>
      </c>
      <c r="D98" s="11" t="s">
        <v>3283</v>
      </c>
      <c r="E98" s="11" t="s">
        <v>142</v>
      </c>
      <c r="F98" s="11" t="s">
        <v>3280</v>
      </c>
      <c r="G98" s="11" t="s">
        <v>3140</v>
      </c>
      <c r="H98" s="11" t="s">
        <v>3094</v>
      </c>
    </row>
    <row r="99" spans="1:8" x14ac:dyDescent="0.25">
      <c r="A99" s="11">
        <v>96</v>
      </c>
      <c r="B99" s="11" t="s">
        <v>3107</v>
      </c>
      <c r="C99" s="11" t="s">
        <v>3278</v>
      </c>
      <c r="D99" s="11" t="s">
        <v>3284</v>
      </c>
      <c r="E99" s="11" t="s">
        <v>3285</v>
      </c>
      <c r="F99" s="11" t="s">
        <v>3280</v>
      </c>
      <c r="G99" s="11" t="s">
        <v>3140</v>
      </c>
      <c r="H99" s="11" t="s">
        <v>3094</v>
      </c>
    </row>
    <row r="100" spans="1:8" x14ac:dyDescent="0.25">
      <c r="A100" s="11">
        <v>97</v>
      </c>
      <c r="B100" s="11" t="s">
        <v>3107</v>
      </c>
      <c r="C100" s="11" t="s">
        <v>3278</v>
      </c>
      <c r="D100" s="11" t="s">
        <v>3286</v>
      </c>
      <c r="E100" s="11" t="s">
        <v>142</v>
      </c>
      <c r="F100" s="11" t="s">
        <v>3280</v>
      </c>
      <c r="G100" s="11" t="s">
        <v>3140</v>
      </c>
      <c r="H100" s="11" t="s">
        <v>3094</v>
      </c>
    </row>
    <row r="101" spans="1:8" x14ac:dyDescent="0.25">
      <c r="A101" s="11">
        <v>98</v>
      </c>
      <c r="B101" s="11" t="s">
        <v>3107</v>
      </c>
      <c r="C101" s="11" t="s">
        <v>3278</v>
      </c>
      <c r="D101" s="11" t="s">
        <v>3287</v>
      </c>
      <c r="E101" s="11" t="s">
        <v>3288</v>
      </c>
      <c r="F101" s="11" t="s">
        <v>3280</v>
      </c>
      <c r="G101" s="11" t="s">
        <v>3140</v>
      </c>
      <c r="H101" s="11" t="s">
        <v>3094</v>
      </c>
    </row>
    <row r="102" spans="1:8" x14ac:dyDescent="0.25">
      <c r="A102" s="11">
        <v>99</v>
      </c>
      <c r="B102" s="11" t="s">
        <v>3107</v>
      </c>
      <c r="C102" s="11" t="s">
        <v>3278</v>
      </c>
      <c r="D102" s="11" t="s">
        <v>3289</v>
      </c>
      <c r="E102" s="11" t="s">
        <v>3290</v>
      </c>
      <c r="F102" s="11" t="s">
        <v>3280</v>
      </c>
      <c r="G102" s="11" t="s">
        <v>3140</v>
      </c>
      <c r="H102" s="11" t="s">
        <v>3094</v>
      </c>
    </row>
    <row r="103" spans="1:8" x14ac:dyDescent="0.25">
      <c r="A103" s="11">
        <v>100</v>
      </c>
      <c r="B103" s="11" t="s">
        <v>3107</v>
      </c>
      <c r="C103" s="11" t="s">
        <v>3278</v>
      </c>
      <c r="D103" s="11" t="s">
        <v>3291</v>
      </c>
      <c r="E103" s="11" t="s">
        <v>3292</v>
      </c>
      <c r="F103" s="11" t="s">
        <v>3280</v>
      </c>
      <c r="G103" s="11" t="s">
        <v>3140</v>
      </c>
      <c r="H103" s="11" t="s">
        <v>3094</v>
      </c>
    </row>
    <row r="104" spans="1:8" x14ac:dyDescent="0.25">
      <c r="A104" s="11">
        <v>101</v>
      </c>
      <c r="B104" s="11" t="s">
        <v>3107</v>
      </c>
      <c r="C104" s="11" t="s">
        <v>3278</v>
      </c>
      <c r="D104" s="11" t="s">
        <v>3293</v>
      </c>
      <c r="E104" s="11" t="s">
        <v>142</v>
      </c>
      <c r="F104" s="11" t="s">
        <v>3280</v>
      </c>
      <c r="G104" s="11" t="s">
        <v>3140</v>
      </c>
      <c r="H104" s="11" t="s">
        <v>3094</v>
      </c>
    </row>
    <row r="105" spans="1:8" x14ac:dyDescent="0.25">
      <c r="A105" s="11">
        <v>102</v>
      </c>
      <c r="B105" s="11" t="s">
        <v>3107</v>
      </c>
      <c r="C105" s="11" t="s">
        <v>3278</v>
      </c>
      <c r="D105" s="11" t="s">
        <v>3294</v>
      </c>
      <c r="E105" s="11" t="s">
        <v>142</v>
      </c>
      <c r="F105" s="11" t="s">
        <v>3280</v>
      </c>
      <c r="G105" s="11" t="s">
        <v>3140</v>
      </c>
      <c r="H105" s="11" t="s">
        <v>3094</v>
      </c>
    </row>
    <row r="106" spans="1:8" x14ac:dyDescent="0.25">
      <c r="A106" s="11">
        <v>103</v>
      </c>
      <c r="B106" s="11" t="s">
        <v>3107</v>
      </c>
      <c r="C106" s="11" t="s">
        <v>3278</v>
      </c>
      <c r="D106" s="11" t="s">
        <v>3295</v>
      </c>
      <c r="E106" s="11" t="s">
        <v>3296</v>
      </c>
      <c r="F106" s="11" t="s">
        <v>3280</v>
      </c>
      <c r="G106" s="11" t="s">
        <v>3140</v>
      </c>
      <c r="H106" s="11" t="s">
        <v>3094</v>
      </c>
    </row>
    <row r="107" spans="1:8" x14ac:dyDescent="0.25">
      <c r="A107" s="11">
        <v>104</v>
      </c>
      <c r="B107" s="11" t="s">
        <v>3107</v>
      </c>
      <c r="C107" s="11" t="s">
        <v>3278</v>
      </c>
      <c r="D107" s="11" t="s">
        <v>3297</v>
      </c>
      <c r="E107" s="11" t="s">
        <v>3298</v>
      </c>
      <c r="F107" s="11" t="s">
        <v>3280</v>
      </c>
      <c r="G107" s="11" t="s">
        <v>3140</v>
      </c>
      <c r="H107" s="11" t="s">
        <v>3094</v>
      </c>
    </row>
    <row r="108" spans="1:8" x14ac:dyDescent="0.25">
      <c r="A108" s="11">
        <v>105</v>
      </c>
      <c r="B108" s="11" t="s">
        <v>3107</v>
      </c>
      <c r="C108" s="11" t="s">
        <v>3278</v>
      </c>
      <c r="D108" s="11" t="s">
        <v>3299</v>
      </c>
      <c r="E108" s="11" t="s">
        <v>3300</v>
      </c>
      <c r="F108" s="11" t="s">
        <v>3280</v>
      </c>
      <c r="G108" s="11" t="s">
        <v>3140</v>
      </c>
      <c r="H108" s="11" t="s">
        <v>3094</v>
      </c>
    </row>
    <row r="109" spans="1:8" x14ac:dyDescent="0.25">
      <c r="A109" s="11">
        <v>106</v>
      </c>
      <c r="B109" s="11" t="s">
        <v>3107</v>
      </c>
      <c r="C109" s="11" t="s">
        <v>3278</v>
      </c>
      <c r="D109" s="11" t="s">
        <v>3301</v>
      </c>
      <c r="E109" s="11" t="s">
        <v>142</v>
      </c>
      <c r="F109" s="11" t="s">
        <v>3280</v>
      </c>
      <c r="G109" s="11" t="s">
        <v>3140</v>
      </c>
      <c r="H109" s="11" t="s">
        <v>3094</v>
      </c>
    </row>
    <row r="110" spans="1:8" x14ac:dyDescent="0.25">
      <c r="A110" s="11">
        <v>107</v>
      </c>
      <c r="B110" s="11" t="s">
        <v>3107</v>
      </c>
      <c r="C110" s="11" t="s">
        <v>3278</v>
      </c>
      <c r="D110" s="11" t="s">
        <v>3302</v>
      </c>
      <c r="E110" s="11" t="s">
        <v>3303</v>
      </c>
      <c r="F110" s="11" t="s">
        <v>3280</v>
      </c>
      <c r="G110" s="11" t="s">
        <v>3140</v>
      </c>
      <c r="H110" s="11" t="s">
        <v>3094</v>
      </c>
    </row>
    <row r="111" spans="1:8" x14ac:dyDescent="0.25">
      <c r="A111" s="11">
        <v>108</v>
      </c>
      <c r="B111" s="11" t="s">
        <v>3107</v>
      </c>
      <c r="C111" s="11" t="s">
        <v>3278</v>
      </c>
      <c r="D111" s="11" t="s">
        <v>3304</v>
      </c>
      <c r="E111" s="11" t="s">
        <v>3305</v>
      </c>
      <c r="F111" s="11" t="s">
        <v>3280</v>
      </c>
      <c r="G111" s="11" t="s">
        <v>3140</v>
      </c>
      <c r="H111" s="11" t="s">
        <v>3094</v>
      </c>
    </row>
    <row r="112" spans="1:8" x14ac:dyDescent="0.25">
      <c r="A112" s="11">
        <v>109</v>
      </c>
      <c r="B112" s="11" t="s">
        <v>3107</v>
      </c>
      <c r="C112" s="11" t="s">
        <v>3278</v>
      </c>
      <c r="D112" s="11" t="s">
        <v>3306</v>
      </c>
      <c r="E112" s="11" t="s">
        <v>3307</v>
      </c>
      <c r="F112" s="11" t="s">
        <v>3280</v>
      </c>
      <c r="G112" s="11" t="s">
        <v>3140</v>
      </c>
      <c r="H112" s="11" t="s">
        <v>3094</v>
      </c>
    </row>
    <row r="113" spans="1:8" x14ac:dyDescent="0.25">
      <c r="A113" s="11">
        <v>110</v>
      </c>
      <c r="B113" s="11" t="s">
        <v>3107</v>
      </c>
      <c r="C113" s="11" t="s">
        <v>3278</v>
      </c>
      <c r="D113" s="11" t="s">
        <v>3308</v>
      </c>
      <c r="E113" s="11" t="s">
        <v>3309</v>
      </c>
      <c r="F113" s="11" t="s">
        <v>3280</v>
      </c>
      <c r="G113" s="11" t="s">
        <v>3140</v>
      </c>
      <c r="H113" s="11" t="s">
        <v>3094</v>
      </c>
    </row>
    <row r="114" spans="1:8" x14ac:dyDescent="0.25">
      <c r="A114" s="11">
        <v>111</v>
      </c>
      <c r="B114" s="11" t="s">
        <v>3107</v>
      </c>
      <c r="C114" s="11" t="s">
        <v>3278</v>
      </c>
      <c r="D114" s="11" t="s">
        <v>3310</v>
      </c>
      <c r="E114" s="11" t="s">
        <v>3311</v>
      </c>
      <c r="F114" s="11" t="s">
        <v>3280</v>
      </c>
      <c r="G114" s="11" t="s">
        <v>3312</v>
      </c>
      <c r="H114" s="11" t="s">
        <v>3094</v>
      </c>
    </row>
    <row r="115" spans="1:8" x14ac:dyDescent="0.25">
      <c r="A115" s="11">
        <v>112</v>
      </c>
      <c r="B115" s="11" t="s">
        <v>3107</v>
      </c>
      <c r="C115" s="11" t="s">
        <v>3278</v>
      </c>
      <c r="D115" s="11" t="s">
        <v>3313</v>
      </c>
      <c r="E115" s="11" t="s">
        <v>142</v>
      </c>
      <c r="F115" s="11" t="s">
        <v>3280</v>
      </c>
      <c r="G115" s="11" t="s">
        <v>3140</v>
      </c>
      <c r="H115" s="11" t="s">
        <v>3094</v>
      </c>
    </row>
    <row r="116" spans="1:8" x14ac:dyDescent="0.25">
      <c r="A116" s="11">
        <v>113</v>
      </c>
      <c r="B116" s="11" t="s">
        <v>3107</v>
      </c>
      <c r="C116" s="11" t="s">
        <v>3278</v>
      </c>
      <c r="D116" s="11" t="s">
        <v>3314</v>
      </c>
      <c r="E116" s="11" t="s">
        <v>142</v>
      </c>
      <c r="F116" s="11" t="s">
        <v>3280</v>
      </c>
      <c r="G116" s="11" t="s">
        <v>3140</v>
      </c>
      <c r="H116" s="11" t="s">
        <v>3094</v>
      </c>
    </row>
    <row r="117" spans="1:8" x14ac:dyDescent="0.25">
      <c r="A117" s="11">
        <v>114</v>
      </c>
      <c r="B117" s="11" t="s">
        <v>3107</v>
      </c>
      <c r="C117" s="11" t="s">
        <v>3278</v>
      </c>
      <c r="D117" s="11" t="s">
        <v>3315</v>
      </c>
      <c r="E117" s="11" t="s">
        <v>3316</v>
      </c>
      <c r="F117" s="11" t="s">
        <v>3280</v>
      </c>
      <c r="G117" s="11" t="s">
        <v>3140</v>
      </c>
      <c r="H117" s="11" t="s">
        <v>3094</v>
      </c>
    </row>
    <row r="118" spans="1:8" x14ac:dyDescent="0.25">
      <c r="A118" s="11">
        <v>115</v>
      </c>
      <c r="B118" s="11" t="s">
        <v>3107</v>
      </c>
      <c r="C118" s="11" t="s">
        <v>3278</v>
      </c>
      <c r="D118" s="11" t="s">
        <v>3317</v>
      </c>
      <c r="E118" s="11" t="s">
        <v>3318</v>
      </c>
      <c r="F118" s="11" t="s">
        <v>3280</v>
      </c>
      <c r="G118" s="11" t="s">
        <v>3140</v>
      </c>
      <c r="H118" s="11" t="s">
        <v>3094</v>
      </c>
    </row>
    <row r="119" spans="1:8" x14ac:dyDescent="0.25">
      <c r="A119" s="11">
        <v>116</v>
      </c>
      <c r="B119" s="11" t="s">
        <v>3107</v>
      </c>
      <c r="C119" s="11" t="s">
        <v>3278</v>
      </c>
      <c r="D119" s="11" t="s">
        <v>3319</v>
      </c>
      <c r="E119" s="11" t="s">
        <v>3320</v>
      </c>
      <c r="F119" s="11" t="s">
        <v>3280</v>
      </c>
      <c r="G119" s="11" t="s">
        <v>3140</v>
      </c>
      <c r="H119" s="11" t="s">
        <v>3094</v>
      </c>
    </row>
    <row r="120" spans="1:8" x14ac:dyDescent="0.25">
      <c r="A120" s="11">
        <v>117</v>
      </c>
      <c r="B120" s="11" t="s">
        <v>3107</v>
      </c>
      <c r="C120" s="11" t="s">
        <v>3278</v>
      </c>
      <c r="D120" s="11" t="s">
        <v>3321</v>
      </c>
      <c r="E120" s="11" t="s">
        <v>3322</v>
      </c>
      <c r="F120" s="11" t="s">
        <v>3280</v>
      </c>
      <c r="G120" s="11" t="s">
        <v>3140</v>
      </c>
      <c r="H120" s="11" t="s">
        <v>3094</v>
      </c>
    </row>
    <row r="121" spans="1:8" x14ac:dyDescent="0.25">
      <c r="A121" s="11">
        <v>118</v>
      </c>
      <c r="B121" s="11" t="s">
        <v>3323</v>
      </c>
      <c r="C121" s="11" t="s">
        <v>3324</v>
      </c>
      <c r="D121" s="11" t="s">
        <v>3325</v>
      </c>
      <c r="E121" s="11" t="s">
        <v>3326</v>
      </c>
      <c r="F121" s="11" t="s">
        <v>142</v>
      </c>
      <c r="G121" s="11" t="s">
        <v>3327</v>
      </c>
      <c r="H121" s="11" t="s">
        <v>3094</v>
      </c>
    </row>
    <row r="122" spans="1:8" x14ac:dyDescent="0.25">
      <c r="A122" s="11">
        <v>119</v>
      </c>
      <c r="B122" s="11" t="s">
        <v>3328</v>
      </c>
      <c r="C122" s="11" t="s">
        <v>3329</v>
      </c>
      <c r="D122" s="11" t="s">
        <v>3330</v>
      </c>
      <c r="E122" s="11" t="s">
        <v>142</v>
      </c>
      <c r="F122" s="11" t="s">
        <v>1905</v>
      </c>
      <c r="G122" s="11" t="s">
        <v>142</v>
      </c>
      <c r="H122" s="11" t="s">
        <v>3094</v>
      </c>
    </row>
    <row r="123" spans="1:8" x14ac:dyDescent="0.25">
      <c r="A123" s="11">
        <v>120</v>
      </c>
      <c r="B123" s="11" t="s">
        <v>3331</v>
      </c>
      <c r="C123" s="11" t="s">
        <v>3332</v>
      </c>
      <c r="D123" s="11" t="s">
        <v>3333</v>
      </c>
      <c r="E123" s="11" t="s">
        <v>3334</v>
      </c>
      <c r="F123" s="11" t="s">
        <v>2069</v>
      </c>
      <c r="G123" s="11" t="s">
        <v>3335</v>
      </c>
      <c r="H123" s="11" t="s">
        <v>3094</v>
      </c>
    </row>
    <row r="124" spans="1:8" x14ac:dyDescent="0.25">
      <c r="A124" s="11">
        <v>121</v>
      </c>
      <c r="B124" s="11" t="s">
        <v>3331</v>
      </c>
      <c r="C124" s="11" t="s">
        <v>3336</v>
      </c>
      <c r="D124" s="11" t="s">
        <v>3337</v>
      </c>
      <c r="E124" s="11" t="s">
        <v>3338</v>
      </c>
      <c r="F124" s="11" t="s">
        <v>2108</v>
      </c>
      <c r="G124" s="11" t="s">
        <v>142</v>
      </c>
      <c r="H124" s="11" t="s">
        <v>3094</v>
      </c>
    </row>
    <row r="125" spans="1:8" x14ac:dyDescent="0.25">
      <c r="A125" s="11">
        <v>122</v>
      </c>
      <c r="B125" s="11" t="s">
        <v>3331</v>
      </c>
      <c r="C125" s="11" t="s">
        <v>3336</v>
      </c>
      <c r="D125" s="11" t="s">
        <v>3339</v>
      </c>
      <c r="E125" s="11" t="s">
        <v>3340</v>
      </c>
      <c r="F125" s="11" t="s">
        <v>2108</v>
      </c>
      <c r="G125" s="11" t="s">
        <v>3341</v>
      </c>
      <c r="H125" s="11" t="s">
        <v>3094</v>
      </c>
    </row>
    <row r="126" spans="1:8" x14ac:dyDescent="0.25">
      <c r="A126" s="11">
        <v>123</v>
      </c>
      <c r="B126" s="11" t="s">
        <v>3331</v>
      </c>
      <c r="C126" s="11" t="s">
        <v>2052</v>
      </c>
      <c r="D126" s="11" t="s">
        <v>3342</v>
      </c>
      <c r="E126" s="11" t="s">
        <v>3343</v>
      </c>
      <c r="F126" s="11" t="s">
        <v>3344</v>
      </c>
      <c r="G126" s="11" t="s">
        <v>3345</v>
      </c>
      <c r="H126" s="11" t="s">
        <v>3094</v>
      </c>
    </row>
    <row r="127" spans="1:8" x14ac:dyDescent="0.25">
      <c r="A127" s="11">
        <v>124</v>
      </c>
      <c r="B127" s="11" t="s">
        <v>3331</v>
      </c>
      <c r="C127" s="11" t="s">
        <v>2052</v>
      </c>
      <c r="D127" s="11" t="s">
        <v>3346</v>
      </c>
      <c r="E127" s="11" t="s">
        <v>142</v>
      </c>
      <c r="F127" s="11" t="s">
        <v>3344</v>
      </c>
      <c r="G127" s="11" t="s">
        <v>3345</v>
      </c>
      <c r="H127" s="11" t="s">
        <v>3094</v>
      </c>
    </row>
    <row r="128" spans="1:8" x14ac:dyDescent="0.25">
      <c r="A128" s="11">
        <v>125</v>
      </c>
      <c r="B128" s="11" t="s">
        <v>3331</v>
      </c>
      <c r="C128" s="11" t="s">
        <v>2052</v>
      </c>
      <c r="D128" s="11" t="s">
        <v>3347</v>
      </c>
      <c r="E128" s="11" t="s">
        <v>3348</v>
      </c>
      <c r="F128" s="11" t="s">
        <v>3344</v>
      </c>
      <c r="G128" s="11" t="s">
        <v>3140</v>
      </c>
      <c r="H128" s="11" t="s">
        <v>3094</v>
      </c>
    </row>
    <row r="129" spans="1:8" x14ac:dyDescent="0.25">
      <c r="A129" s="11">
        <v>126</v>
      </c>
      <c r="B129" s="11" t="s">
        <v>3331</v>
      </c>
      <c r="C129" s="11" t="s">
        <v>2052</v>
      </c>
      <c r="D129" s="11" t="s">
        <v>3349</v>
      </c>
      <c r="E129" s="11" t="s">
        <v>3350</v>
      </c>
      <c r="F129" s="11" t="s">
        <v>3344</v>
      </c>
      <c r="G129" s="11" t="s">
        <v>3345</v>
      </c>
      <c r="H129" s="11" t="s">
        <v>3094</v>
      </c>
    </row>
    <row r="130" spans="1:8" x14ac:dyDescent="0.25">
      <c r="A130" s="11">
        <v>127</v>
      </c>
      <c r="B130" s="11" t="s">
        <v>3331</v>
      </c>
      <c r="C130" s="11" t="s">
        <v>2052</v>
      </c>
      <c r="D130" s="11" t="s">
        <v>3351</v>
      </c>
      <c r="E130" s="11" t="s">
        <v>3352</v>
      </c>
      <c r="F130" s="11" t="s">
        <v>3344</v>
      </c>
      <c r="G130" s="11" t="s">
        <v>3345</v>
      </c>
      <c r="H130" s="11" t="s">
        <v>3094</v>
      </c>
    </row>
    <row r="131" spans="1:8" x14ac:dyDescent="0.25">
      <c r="A131" s="11">
        <v>128</v>
      </c>
      <c r="B131" s="11" t="s">
        <v>3331</v>
      </c>
      <c r="C131" s="11" t="s">
        <v>2052</v>
      </c>
      <c r="D131" s="11" t="s">
        <v>3353</v>
      </c>
      <c r="E131" s="11" t="s">
        <v>3354</v>
      </c>
      <c r="F131" s="11" t="s">
        <v>3344</v>
      </c>
      <c r="G131" s="11" t="s">
        <v>3345</v>
      </c>
      <c r="H131" s="11" t="s">
        <v>3094</v>
      </c>
    </row>
    <row r="132" spans="1:8" x14ac:dyDescent="0.25">
      <c r="A132" s="11">
        <v>129</v>
      </c>
      <c r="B132" s="11" t="s">
        <v>3331</v>
      </c>
      <c r="C132" s="11" t="s">
        <v>2052</v>
      </c>
      <c r="D132" s="11" t="s">
        <v>3355</v>
      </c>
      <c r="E132" s="11" t="s">
        <v>3356</v>
      </c>
      <c r="F132" s="11" t="s">
        <v>3344</v>
      </c>
      <c r="G132" s="11" t="s">
        <v>3345</v>
      </c>
      <c r="H132" s="11" t="s">
        <v>3094</v>
      </c>
    </row>
    <row r="133" spans="1:8" x14ac:dyDescent="0.25">
      <c r="A133" s="11">
        <v>130</v>
      </c>
      <c r="B133" s="11" t="s">
        <v>3331</v>
      </c>
      <c r="C133" s="11" t="s">
        <v>2052</v>
      </c>
      <c r="D133" s="11" t="s">
        <v>3357</v>
      </c>
      <c r="E133" s="11" t="s">
        <v>3358</v>
      </c>
      <c r="F133" s="11" t="s">
        <v>3344</v>
      </c>
      <c r="G133" s="11" t="s">
        <v>3345</v>
      </c>
      <c r="H133" s="11" t="s">
        <v>3094</v>
      </c>
    </row>
    <row r="134" spans="1:8" x14ac:dyDescent="0.25">
      <c r="A134" s="11">
        <v>131</v>
      </c>
      <c r="B134" s="11" t="s">
        <v>3331</v>
      </c>
      <c r="C134" s="11" t="s">
        <v>2052</v>
      </c>
      <c r="D134" s="11" t="s">
        <v>3359</v>
      </c>
      <c r="E134" s="11" t="s">
        <v>3360</v>
      </c>
      <c r="F134" s="11" t="s">
        <v>3344</v>
      </c>
      <c r="G134" s="11" t="s">
        <v>3345</v>
      </c>
      <c r="H134" s="11" t="s">
        <v>3094</v>
      </c>
    </row>
    <row r="135" spans="1:8" x14ac:dyDescent="0.25">
      <c r="A135" s="11">
        <v>132</v>
      </c>
      <c r="B135" s="11" t="s">
        <v>3331</v>
      </c>
      <c r="C135" s="11" t="s">
        <v>2014</v>
      </c>
      <c r="D135" s="11" t="s">
        <v>3361</v>
      </c>
      <c r="E135" s="11" t="s">
        <v>142</v>
      </c>
      <c r="F135" s="11" t="s">
        <v>3362</v>
      </c>
      <c r="G135" s="11" t="s">
        <v>3345</v>
      </c>
      <c r="H135" s="11" t="s">
        <v>3094</v>
      </c>
    </row>
    <row r="136" spans="1:8" x14ac:dyDescent="0.25">
      <c r="A136" s="11">
        <v>133</v>
      </c>
      <c r="B136" s="11" t="s">
        <v>3331</v>
      </c>
      <c r="C136" s="11" t="s">
        <v>2014</v>
      </c>
      <c r="D136" s="11" t="s">
        <v>3363</v>
      </c>
      <c r="E136" s="11" t="s">
        <v>3364</v>
      </c>
      <c r="F136" s="11" t="s">
        <v>3362</v>
      </c>
      <c r="G136" s="11" t="s">
        <v>3312</v>
      </c>
      <c r="H136" s="11" t="s">
        <v>3094</v>
      </c>
    </row>
    <row r="137" spans="1:8" x14ac:dyDescent="0.25">
      <c r="A137" s="11">
        <v>134</v>
      </c>
      <c r="B137" s="11" t="s">
        <v>3331</v>
      </c>
      <c r="C137" s="11" t="s">
        <v>2014</v>
      </c>
      <c r="D137" s="11" t="s">
        <v>3365</v>
      </c>
      <c r="E137" s="11" t="s">
        <v>3366</v>
      </c>
      <c r="F137" s="11" t="s">
        <v>3362</v>
      </c>
      <c r="G137" s="11" t="s">
        <v>3312</v>
      </c>
      <c r="H137" s="11" t="s">
        <v>3094</v>
      </c>
    </row>
    <row r="138" spans="1:8" x14ac:dyDescent="0.25">
      <c r="A138" s="11">
        <v>135</v>
      </c>
      <c r="B138" s="11" t="s">
        <v>3331</v>
      </c>
      <c r="C138" s="11" t="s">
        <v>2014</v>
      </c>
      <c r="D138" s="11" t="s">
        <v>3367</v>
      </c>
      <c r="E138" s="11" t="s">
        <v>3368</v>
      </c>
      <c r="F138" s="11" t="s">
        <v>3362</v>
      </c>
      <c r="G138" s="11" t="s">
        <v>3312</v>
      </c>
      <c r="H138" s="11" t="s">
        <v>3094</v>
      </c>
    </row>
    <row r="139" spans="1:8" x14ac:dyDescent="0.25">
      <c r="A139" s="11">
        <v>136</v>
      </c>
      <c r="B139" s="11" t="s">
        <v>3331</v>
      </c>
      <c r="C139" s="11" t="s">
        <v>2014</v>
      </c>
      <c r="D139" s="11" t="s">
        <v>3369</v>
      </c>
      <c r="E139" s="11" t="s">
        <v>142</v>
      </c>
      <c r="F139" s="11" t="s">
        <v>3362</v>
      </c>
      <c r="G139" s="11" t="s">
        <v>3345</v>
      </c>
      <c r="H139" s="11" t="s">
        <v>3094</v>
      </c>
    </row>
    <row r="140" spans="1:8" x14ac:dyDescent="0.25">
      <c r="A140" s="11">
        <v>137</v>
      </c>
      <c r="B140" s="11" t="s">
        <v>3331</v>
      </c>
      <c r="C140" s="11" t="s">
        <v>2014</v>
      </c>
      <c r="D140" s="11" t="s">
        <v>3370</v>
      </c>
      <c r="E140" s="11" t="s">
        <v>142</v>
      </c>
      <c r="F140" s="11" t="s">
        <v>3362</v>
      </c>
      <c r="G140" s="11" t="s">
        <v>3345</v>
      </c>
      <c r="H140" s="11" t="s">
        <v>3094</v>
      </c>
    </row>
    <row r="141" spans="1:8" x14ac:dyDescent="0.25">
      <c r="A141" s="11">
        <v>138</v>
      </c>
      <c r="B141" s="11" t="s">
        <v>3331</v>
      </c>
      <c r="C141" s="11" t="s">
        <v>2014</v>
      </c>
      <c r="D141" s="11" t="s">
        <v>3371</v>
      </c>
      <c r="E141" s="11" t="s">
        <v>3372</v>
      </c>
      <c r="F141" s="11" t="s">
        <v>3362</v>
      </c>
      <c r="G141" s="11" t="s">
        <v>3345</v>
      </c>
      <c r="H141" s="11" t="s">
        <v>3094</v>
      </c>
    </row>
    <row r="142" spans="1:8" x14ac:dyDescent="0.25">
      <c r="A142" s="11">
        <v>139</v>
      </c>
      <c r="B142" s="11" t="s">
        <v>3331</v>
      </c>
      <c r="C142" s="11" t="s">
        <v>2014</v>
      </c>
      <c r="D142" s="11" t="s">
        <v>3373</v>
      </c>
      <c r="E142" s="11" t="s">
        <v>3374</v>
      </c>
      <c r="F142" s="11" t="s">
        <v>3362</v>
      </c>
      <c r="G142" s="11" t="s">
        <v>3345</v>
      </c>
      <c r="H142" s="11" t="s">
        <v>3094</v>
      </c>
    </row>
    <row r="143" spans="1:8" x14ac:dyDescent="0.25">
      <c r="A143" s="11">
        <v>140</v>
      </c>
      <c r="B143" s="11" t="s">
        <v>3331</v>
      </c>
      <c r="C143" s="11" t="s">
        <v>2014</v>
      </c>
      <c r="D143" s="11" t="s">
        <v>3375</v>
      </c>
      <c r="E143" s="11" t="s">
        <v>3376</v>
      </c>
      <c r="F143" s="11" t="s">
        <v>3362</v>
      </c>
      <c r="G143" s="11" t="s">
        <v>3345</v>
      </c>
      <c r="H143" s="11" t="s">
        <v>3094</v>
      </c>
    </row>
    <row r="144" spans="1:8" x14ac:dyDescent="0.25">
      <c r="A144" s="11">
        <v>141</v>
      </c>
      <c r="B144" s="11" t="s">
        <v>3331</v>
      </c>
      <c r="C144" s="11" t="s">
        <v>2014</v>
      </c>
      <c r="D144" s="11" t="s">
        <v>3377</v>
      </c>
      <c r="E144" s="11" t="s">
        <v>3378</v>
      </c>
      <c r="F144" s="11" t="s">
        <v>3362</v>
      </c>
      <c r="G144" s="11" t="s">
        <v>3345</v>
      </c>
      <c r="H144" s="11" t="s">
        <v>3094</v>
      </c>
    </row>
    <row r="145" spans="1:8" x14ac:dyDescent="0.25">
      <c r="A145" s="11">
        <v>142</v>
      </c>
      <c r="B145" s="11" t="s">
        <v>3331</v>
      </c>
      <c r="C145" s="11" t="s">
        <v>2014</v>
      </c>
      <c r="D145" s="11" t="s">
        <v>3379</v>
      </c>
      <c r="E145" s="11" t="s">
        <v>3380</v>
      </c>
      <c r="F145" s="11" t="s">
        <v>3362</v>
      </c>
      <c r="G145" s="11" t="s">
        <v>3312</v>
      </c>
      <c r="H145" s="11" t="s">
        <v>3094</v>
      </c>
    </row>
    <row r="146" spans="1:8" x14ac:dyDescent="0.25">
      <c r="A146" s="11">
        <v>143</v>
      </c>
      <c r="B146" s="11" t="s">
        <v>3331</v>
      </c>
      <c r="C146" s="11" t="s">
        <v>1958</v>
      </c>
      <c r="D146" s="11" t="s">
        <v>3381</v>
      </c>
      <c r="E146" s="11" t="s">
        <v>3382</v>
      </c>
      <c r="F146" s="11" t="s">
        <v>1951</v>
      </c>
      <c r="G146" s="11" t="s">
        <v>3383</v>
      </c>
      <c r="H146" s="11" t="s">
        <v>3094</v>
      </c>
    </row>
    <row r="147" spans="1:8" x14ac:dyDescent="0.25">
      <c r="A147" s="11">
        <v>144</v>
      </c>
      <c r="B147" s="11" t="s">
        <v>3331</v>
      </c>
      <c r="C147" s="11" t="s">
        <v>1958</v>
      </c>
      <c r="D147" s="11" t="s">
        <v>3384</v>
      </c>
      <c r="E147" s="11" t="s">
        <v>3385</v>
      </c>
      <c r="F147" s="11" t="s">
        <v>1951</v>
      </c>
      <c r="G147" s="11" t="s">
        <v>3386</v>
      </c>
      <c r="H147" s="11" t="s">
        <v>3094</v>
      </c>
    </row>
    <row r="148" spans="1:8" x14ac:dyDescent="0.25">
      <c r="A148" s="11">
        <v>145</v>
      </c>
      <c r="B148" s="11" t="s">
        <v>3331</v>
      </c>
      <c r="C148" s="11" t="s">
        <v>1958</v>
      </c>
      <c r="D148" s="11" t="s">
        <v>3387</v>
      </c>
      <c r="E148" s="11" t="s">
        <v>3388</v>
      </c>
      <c r="F148" s="11" t="s">
        <v>1951</v>
      </c>
      <c r="G148" s="11" t="s">
        <v>3383</v>
      </c>
      <c r="H148" s="11" t="s">
        <v>3094</v>
      </c>
    </row>
    <row r="149" spans="1:8" x14ac:dyDescent="0.25">
      <c r="A149" s="11">
        <v>146</v>
      </c>
      <c r="B149" s="11" t="s">
        <v>3331</v>
      </c>
      <c r="C149" s="11" t="s">
        <v>1958</v>
      </c>
      <c r="D149" s="11" t="s">
        <v>3389</v>
      </c>
      <c r="E149" s="11" t="s">
        <v>3390</v>
      </c>
      <c r="F149" s="11" t="s">
        <v>1951</v>
      </c>
      <c r="G149" s="11" t="s">
        <v>3383</v>
      </c>
      <c r="H149" s="11" t="s">
        <v>3094</v>
      </c>
    </row>
    <row r="150" spans="1:8" x14ac:dyDescent="0.25">
      <c r="A150" s="11">
        <v>147</v>
      </c>
      <c r="B150" s="11" t="s">
        <v>3331</v>
      </c>
      <c r="C150" s="11" t="s">
        <v>1958</v>
      </c>
      <c r="D150" s="11" t="s">
        <v>3391</v>
      </c>
      <c r="E150" s="11" t="s">
        <v>3392</v>
      </c>
      <c r="F150" s="11" t="s">
        <v>1951</v>
      </c>
      <c r="G150" s="11" t="s">
        <v>3383</v>
      </c>
      <c r="H150" s="11" t="s">
        <v>3094</v>
      </c>
    </row>
    <row r="151" spans="1:8" x14ac:dyDescent="0.25">
      <c r="A151" s="11">
        <v>148</v>
      </c>
      <c r="B151" s="11" t="s">
        <v>3331</v>
      </c>
      <c r="C151" s="11" t="s">
        <v>2151</v>
      </c>
      <c r="D151" s="11" t="s">
        <v>3393</v>
      </c>
      <c r="E151" s="11" t="s">
        <v>3394</v>
      </c>
      <c r="F151" s="11" t="s">
        <v>2145</v>
      </c>
      <c r="G151" s="11" t="s">
        <v>3395</v>
      </c>
      <c r="H151" s="11" t="s">
        <v>3094</v>
      </c>
    </row>
    <row r="152" spans="1:8" x14ac:dyDescent="0.25">
      <c r="A152" s="11">
        <v>149</v>
      </c>
      <c r="B152" s="11" t="s">
        <v>3331</v>
      </c>
      <c r="C152" s="11" t="s">
        <v>3396</v>
      </c>
      <c r="D152" s="11" t="s">
        <v>3397</v>
      </c>
      <c r="E152" s="11" t="s">
        <v>3398</v>
      </c>
      <c r="F152" s="11" t="s">
        <v>3399</v>
      </c>
      <c r="G152" s="11" t="s">
        <v>142</v>
      </c>
      <c r="H152" s="11" t="s">
        <v>3094</v>
      </c>
    </row>
    <row r="153" spans="1:8" x14ac:dyDescent="0.25">
      <c r="A153" s="11">
        <v>150</v>
      </c>
      <c r="B153" s="11" t="s">
        <v>3331</v>
      </c>
      <c r="C153" s="11" t="s">
        <v>3396</v>
      </c>
      <c r="D153" s="11" t="s">
        <v>3400</v>
      </c>
      <c r="E153" s="11" t="s">
        <v>3401</v>
      </c>
      <c r="F153" s="11" t="s">
        <v>3399</v>
      </c>
      <c r="G153" s="11" t="s">
        <v>142</v>
      </c>
      <c r="H153" s="11" t="s">
        <v>3094</v>
      </c>
    </row>
    <row r="154" spans="1:8" x14ac:dyDescent="0.25">
      <c r="A154" s="11">
        <v>151</v>
      </c>
      <c r="B154" s="11" t="s">
        <v>3331</v>
      </c>
      <c r="C154" s="11" t="s">
        <v>3402</v>
      </c>
      <c r="D154" s="11" t="s">
        <v>3403</v>
      </c>
      <c r="E154" s="11" t="s">
        <v>142</v>
      </c>
      <c r="F154" s="11" t="s">
        <v>2062</v>
      </c>
      <c r="G154" s="11" t="s">
        <v>3404</v>
      </c>
      <c r="H154" s="11" t="s">
        <v>3094</v>
      </c>
    </row>
    <row r="155" spans="1:8" x14ac:dyDescent="0.25">
      <c r="A155" s="11">
        <v>152</v>
      </c>
      <c r="B155" s="11" t="s">
        <v>3331</v>
      </c>
      <c r="C155" s="11" t="s">
        <v>3402</v>
      </c>
      <c r="D155" s="11" t="s">
        <v>3405</v>
      </c>
      <c r="E155" s="11" t="s">
        <v>3406</v>
      </c>
      <c r="F155" s="11" t="s">
        <v>2062</v>
      </c>
      <c r="G155" s="11" t="s">
        <v>3404</v>
      </c>
      <c r="H155" s="11" t="s">
        <v>3094</v>
      </c>
    </row>
    <row r="156" spans="1:8" x14ac:dyDescent="0.25">
      <c r="A156" s="11">
        <v>153</v>
      </c>
      <c r="B156" s="11" t="s">
        <v>3331</v>
      </c>
      <c r="C156" s="11" t="s">
        <v>3402</v>
      </c>
      <c r="D156" s="11" t="s">
        <v>3407</v>
      </c>
      <c r="E156" s="11" t="s">
        <v>3408</v>
      </c>
      <c r="F156" s="11" t="s">
        <v>2062</v>
      </c>
      <c r="G156" s="11" t="s">
        <v>3404</v>
      </c>
      <c r="H156" s="11" t="s">
        <v>3094</v>
      </c>
    </row>
    <row r="157" spans="1:8" x14ac:dyDescent="0.25">
      <c r="A157" s="11">
        <v>154</v>
      </c>
      <c r="B157" s="11" t="s">
        <v>3331</v>
      </c>
      <c r="C157" s="11" t="s">
        <v>3402</v>
      </c>
      <c r="D157" s="11" t="s">
        <v>3409</v>
      </c>
      <c r="E157" s="11" t="s">
        <v>3410</v>
      </c>
      <c r="F157" s="11" t="s">
        <v>2062</v>
      </c>
      <c r="G157" s="11" t="s">
        <v>3404</v>
      </c>
      <c r="H157" s="11" t="s">
        <v>3094</v>
      </c>
    </row>
    <row r="158" spans="1:8" x14ac:dyDescent="0.25">
      <c r="A158" s="11">
        <v>155</v>
      </c>
      <c r="B158" s="11" t="s">
        <v>3331</v>
      </c>
      <c r="C158" s="11" t="s">
        <v>3402</v>
      </c>
      <c r="D158" s="11" t="s">
        <v>3411</v>
      </c>
      <c r="E158" s="11" t="s">
        <v>3412</v>
      </c>
      <c r="F158" s="11" t="s">
        <v>2062</v>
      </c>
      <c r="G158" s="11" t="s">
        <v>3404</v>
      </c>
      <c r="H158" s="11" t="s">
        <v>3094</v>
      </c>
    </row>
    <row r="159" spans="1:8" x14ac:dyDescent="0.25">
      <c r="A159" s="11">
        <v>156</v>
      </c>
      <c r="B159" s="11" t="s">
        <v>3331</v>
      </c>
      <c r="C159" s="11" t="s">
        <v>3402</v>
      </c>
      <c r="D159" s="11" t="s">
        <v>3413</v>
      </c>
      <c r="E159" s="11" t="s">
        <v>142</v>
      </c>
      <c r="F159" s="11" t="s">
        <v>2062</v>
      </c>
      <c r="G159" s="11" t="s">
        <v>3404</v>
      </c>
      <c r="H159" s="11" t="s">
        <v>3094</v>
      </c>
    </row>
    <row r="160" spans="1:8" x14ac:dyDescent="0.25">
      <c r="A160" s="11">
        <v>157</v>
      </c>
      <c r="B160" s="11" t="s">
        <v>3331</v>
      </c>
      <c r="C160" s="11" t="s">
        <v>3402</v>
      </c>
      <c r="D160" s="11" t="s">
        <v>3414</v>
      </c>
      <c r="E160" s="11" t="s">
        <v>142</v>
      </c>
      <c r="F160" s="11" t="s">
        <v>2062</v>
      </c>
      <c r="G160" s="11" t="s">
        <v>3404</v>
      </c>
      <c r="H160" s="11" t="s">
        <v>3094</v>
      </c>
    </row>
    <row r="161" spans="1:8" x14ac:dyDescent="0.25">
      <c r="A161" s="11">
        <v>158</v>
      </c>
      <c r="B161" s="11" t="s">
        <v>3331</v>
      </c>
      <c r="C161" s="11" t="s">
        <v>3415</v>
      </c>
      <c r="D161" s="11" t="s">
        <v>3416</v>
      </c>
      <c r="E161" s="11" t="s">
        <v>3417</v>
      </c>
      <c r="F161" s="11" t="s">
        <v>3418</v>
      </c>
      <c r="G161" s="11" t="s">
        <v>3419</v>
      </c>
      <c r="H161" s="11" t="s">
        <v>3094</v>
      </c>
    </row>
    <row r="162" spans="1:8" x14ac:dyDescent="0.25">
      <c r="A162" s="11">
        <v>159</v>
      </c>
      <c r="B162" s="11" t="s">
        <v>3331</v>
      </c>
      <c r="C162" s="11" t="s">
        <v>3415</v>
      </c>
      <c r="D162" s="11" t="s">
        <v>3420</v>
      </c>
      <c r="E162" s="11" t="s">
        <v>3421</v>
      </c>
      <c r="F162" s="11" t="s">
        <v>3418</v>
      </c>
      <c r="G162" s="11" t="s">
        <v>3419</v>
      </c>
      <c r="H162" s="11" t="s">
        <v>3094</v>
      </c>
    </row>
    <row r="163" spans="1:8" x14ac:dyDescent="0.25">
      <c r="A163" s="11">
        <v>160</v>
      </c>
      <c r="B163" s="11" t="s">
        <v>3331</v>
      </c>
      <c r="C163" s="11" t="s">
        <v>3415</v>
      </c>
      <c r="D163" s="11" t="s">
        <v>3422</v>
      </c>
      <c r="E163" s="11" t="s">
        <v>3423</v>
      </c>
      <c r="F163" s="11" t="s">
        <v>3418</v>
      </c>
      <c r="G163" s="11" t="s">
        <v>3419</v>
      </c>
      <c r="H163" s="11" t="s">
        <v>3094</v>
      </c>
    </row>
    <row r="164" spans="1:8" x14ac:dyDescent="0.25">
      <c r="A164" s="11">
        <v>161</v>
      </c>
      <c r="B164" s="11" t="s">
        <v>3331</v>
      </c>
      <c r="C164" s="11" t="s">
        <v>3415</v>
      </c>
      <c r="D164" s="11" t="s">
        <v>3424</v>
      </c>
      <c r="E164" s="11" t="s">
        <v>3425</v>
      </c>
      <c r="F164" s="11" t="s">
        <v>3418</v>
      </c>
      <c r="G164" s="11" t="s">
        <v>3419</v>
      </c>
      <c r="H164" s="11" t="s">
        <v>3094</v>
      </c>
    </row>
    <row r="165" spans="1:8" x14ac:dyDescent="0.25">
      <c r="A165" s="11">
        <v>162</v>
      </c>
      <c r="B165" s="11" t="s">
        <v>3331</v>
      </c>
      <c r="C165" s="11" t="s">
        <v>3415</v>
      </c>
      <c r="D165" s="11" t="s">
        <v>3426</v>
      </c>
      <c r="E165" s="11" t="s">
        <v>3427</v>
      </c>
      <c r="F165" s="11" t="s">
        <v>3418</v>
      </c>
      <c r="G165" s="11" t="s">
        <v>3419</v>
      </c>
      <c r="H165" s="11" t="s">
        <v>3094</v>
      </c>
    </row>
    <row r="166" spans="1:8" x14ac:dyDescent="0.25">
      <c r="A166" s="11">
        <v>163</v>
      </c>
      <c r="B166" s="11" t="s">
        <v>3331</v>
      </c>
      <c r="C166" s="11" t="s">
        <v>2061</v>
      </c>
      <c r="D166" s="11" t="s">
        <v>3428</v>
      </c>
      <c r="E166" s="11" t="s">
        <v>3429</v>
      </c>
      <c r="F166" s="11" t="s">
        <v>2918</v>
      </c>
      <c r="G166" s="11" t="s">
        <v>142</v>
      </c>
      <c r="H166" s="11" t="s">
        <v>3094</v>
      </c>
    </row>
    <row r="167" spans="1:8" x14ac:dyDescent="0.25">
      <c r="A167" s="11">
        <v>164</v>
      </c>
      <c r="B167" s="11" t="s">
        <v>3331</v>
      </c>
      <c r="C167" s="11" t="s">
        <v>2061</v>
      </c>
      <c r="D167" s="11" t="s">
        <v>3430</v>
      </c>
      <c r="E167" s="11" t="s">
        <v>3431</v>
      </c>
      <c r="F167" s="11" t="s">
        <v>2918</v>
      </c>
      <c r="G167" s="11" t="s">
        <v>3386</v>
      </c>
      <c r="H167" s="11" t="s">
        <v>3094</v>
      </c>
    </row>
    <row r="168" spans="1:8" x14ac:dyDescent="0.25">
      <c r="A168" s="11">
        <v>165</v>
      </c>
      <c r="B168" s="11" t="s">
        <v>3331</v>
      </c>
      <c r="C168" s="11" t="s">
        <v>2061</v>
      </c>
      <c r="D168" s="11" t="s">
        <v>3432</v>
      </c>
      <c r="E168" s="11" t="s">
        <v>3433</v>
      </c>
      <c r="F168" s="11" t="s">
        <v>2918</v>
      </c>
      <c r="G168" s="11" t="s">
        <v>3386</v>
      </c>
      <c r="H168" s="11" t="s">
        <v>3094</v>
      </c>
    </row>
    <row r="169" spans="1:8" x14ac:dyDescent="0.25">
      <c r="A169" s="11">
        <v>166</v>
      </c>
      <c r="B169" s="11" t="s">
        <v>3331</v>
      </c>
      <c r="C169" s="11" t="s">
        <v>2061</v>
      </c>
      <c r="D169" s="11" t="s">
        <v>3434</v>
      </c>
      <c r="E169" s="11" t="s">
        <v>3435</v>
      </c>
      <c r="F169" s="11" t="s">
        <v>2918</v>
      </c>
      <c r="G169" s="11" t="s">
        <v>3436</v>
      </c>
      <c r="H169" s="11" t="s">
        <v>3094</v>
      </c>
    </row>
    <row r="170" spans="1:8" x14ac:dyDescent="0.25">
      <c r="A170" s="11">
        <v>167</v>
      </c>
      <c r="B170" s="11" t="s">
        <v>3331</v>
      </c>
      <c r="C170" s="11" t="s">
        <v>3437</v>
      </c>
      <c r="D170" s="11" t="s">
        <v>3438</v>
      </c>
      <c r="E170" s="11" t="s">
        <v>142</v>
      </c>
      <c r="F170" s="11" t="s">
        <v>142</v>
      </c>
      <c r="G170" s="11" t="s">
        <v>3439</v>
      </c>
      <c r="H170" s="11" t="s">
        <v>3094</v>
      </c>
    </row>
    <row r="171" spans="1:8" x14ac:dyDescent="0.25">
      <c r="A171" s="11">
        <v>168</v>
      </c>
      <c r="B171" s="11" t="s">
        <v>3331</v>
      </c>
      <c r="C171" s="11" t="s">
        <v>3440</v>
      </c>
      <c r="D171" s="11" t="s">
        <v>3441</v>
      </c>
      <c r="E171" s="11" t="s">
        <v>3442</v>
      </c>
      <c r="F171" s="11" t="s">
        <v>2174</v>
      </c>
      <c r="G171" s="11" t="s">
        <v>3443</v>
      </c>
      <c r="H171" s="11" t="s">
        <v>3094</v>
      </c>
    </row>
    <row r="172" spans="1:8" x14ac:dyDescent="0.25">
      <c r="A172" s="11">
        <v>169</v>
      </c>
      <c r="B172" s="11" t="s">
        <v>3331</v>
      </c>
      <c r="C172" s="11" t="s">
        <v>3440</v>
      </c>
      <c r="D172" s="11" t="s">
        <v>3444</v>
      </c>
      <c r="E172" s="11" t="s">
        <v>3445</v>
      </c>
      <c r="F172" s="11" t="s">
        <v>2174</v>
      </c>
      <c r="G172" s="11" t="s">
        <v>3443</v>
      </c>
      <c r="H172" s="11" t="s">
        <v>3094</v>
      </c>
    </row>
    <row r="173" spans="1:8" x14ac:dyDescent="0.25">
      <c r="A173" s="11">
        <v>170</v>
      </c>
      <c r="B173" s="11" t="s">
        <v>3331</v>
      </c>
      <c r="C173" s="11" t="s">
        <v>3440</v>
      </c>
      <c r="D173" s="11" t="s">
        <v>3446</v>
      </c>
      <c r="E173" s="11" t="s">
        <v>142</v>
      </c>
      <c r="F173" s="11" t="s">
        <v>2174</v>
      </c>
      <c r="G173" s="11" t="s">
        <v>3443</v>
      </c>
      <c r="H173" s="11" t="s">
        <v>3094</v>
      </c>
    </row>
    <row r="174" spans="1:8" x14ac:dyDescent="0.25">
      <c r="A174" s="11">
        <v>171</v>
      </c>
      <c r="B174" s="11" t="s">
        <v>3331</v>
      </c>
      <c r="C174" s="11" t="s">
        <v>3440</v>
      </c>
      <c r="D174" s="11" t="s">
        <v>3447</v>
      </c>
      <c r="E174" s="11" t="s">
        <v>3448</v>
      </c>
      <c r="F174" s="11" t="s">
        <v>2174</v>
      </c>
      <c r="G174" s="11" t="s">
        <v>3436</v>
      </c>
      <c r="H174" s="11" t="s">
        <v>3094</v>
      </c>
    </row>
    <row r="175" spans="1:8" x14ac:dyDescent="0.25">
      <c r="A175" s="11">
        <v>172</v>
      </c>
      <c r="B175" s="11" t="s">
        <v>3331</v>
      </c>
      <c r="C175" s="11" t="s">
        <v>3449</v>
      </c>
      <c r="D175" s="11" t="s">
        <v>3450</v>
      </c>
      <c r="E175" s="11" t="s">
        <v>3451</v>
      </c>
      <c r="F175" s="11" t="s">
        <v>2174</v>
      </c>
      <c r="G175" s="11" t="s">
        <v>3443</v>
      </c>
      <c r="H175" s="11" t="s">
        <v>3094</v>
      </c>
    </row>
    <row r="176" spans="1:8" x14ac:dyDescent="0.25">
      <c r="A176" s="11">
        <v>173</v>
      </c>
      <c r="B176" s="11" t="s">
        <v>3331</v>
      </c>
      <c r="C176" s="11" t="s">
        <v>3449</v>
      </c>
      <c r="D176" s="11" t="s">
        <v>3452</v>
      </c>
      <c r="E176" s="11" t="s">
        <v>142</v>
      </c>
      <c r="F176" s="11" t="s">
        <v>2174</v>
      </c>
      <c r="G176" s="11" t="s">
        <v>3453</v>
      </c>
      <c r="H176" s="11" t="s">
        <v>3094</v>
      </c>
    </row>
    <row r="177" spans="1:8" x14ac:dyDescent="0.25">
      <c r="A177" s="11">
        <v>174</v>
      </c>
      <c r="B177" s="11" t="s">
        <v>3331</v>
      </c>
      <c r="C177" s="11" t="s">
        <v>3449</v>
      </c>
      <c r="D177" s="11" t="s">
        <v>3454</v>
      </c>
      <c r="E177" s="11" t="s">
        <v>3455</v>
      </c>
      <c r="F177" s="11" t="s">
        <v>2174</v>
      </c>
      <c r="G177" s="11" t="s">
        <v>3453</v>
      </c>
      <c r="H177" s="11" t="s">
        <v>3094</v>
      </c>
    </row>
    <row r="178" spans="1:8" x14ac:dyDescent="0.25">
      <c r="A178" s="11">
        <v>175</v>
      </c>
      <c r="B178" s="11" t="s">
        <v>3331</v>
      </c>
      <c r="C178" s="11" t="s">
        <v>3449</v>
      </c>
      <c r="D178" s="11" t="s">
        <v>3456</v>
      </c>
      <c r="E178" s="11" t="s">
        <v>3457</v>
      </c>
      <c r="F178" s="11" t="s">
        <v>2174</v>
      </c>
      <c r="G178" s="11" t="s">
        <v>3453</v>
      </c>
      <c r="H178" s="11" t="s">
        <v>3094</v>
      </c>
    </row>
    <row r="179" spans="1:8" x14ac:dyDescent="0.25">
      <c r="A179" s="11">
        <v>176</v>
      </c>
      <c r="B179" s="11" t="s">
        <v>3331</v>
      </c>
      <c r="C179" s="11" t="s">
        <v>3449</v>
      </c>
      <c r="D179" s="11" t="s">
        <v>3458</v>
      </c>
      <c r="E179" s="11" t="s">
        <v>3459</v>
      </c>
      <c r="F179" s="11" t="s">
        <v>2174</v>
      </c>
      <c r="G179" s="11" t="s">
        <v>3453</v>
      </c>
      <c r="H179" s="11" t="s">
        <v>3094</v>
      </c>
    </row>
    <row r="180" spans="1:8" x14ac:dyDescent="0.25">
      <c r="A180" s="11">
        <v>177</v>
      </c>
      <c r="B180" s="11" t="s">
        <v>3331</v>
      </c>
      <c r="C180" s="11" t="s">
        <v>3449</v>
      </c>
      <c r="D180" s="11" t="s">
        <v>3460</v>
      </c>
      <c r="E180" s="11" t="s">
        <v>3461</v>
      </c>
      <c r="F180" s="11" t="s">
        <v>2174</v>
      </c>
      <c r="G180" s="11" t="s">
        <v>3453</v>
      </c>
      <c r="H180" s="11" t="s">
        <v>3094</v>
      </c>
    </row>
    <row r="181" spans="1:8" x14ac:dyDescent="0.25">
      <c r="A181" s="11">
        <v>178</v>
      </c>
      <c r="B181" s="11" t="s">
        <v>3331</v>
      </c>
      <c r="C181" s="11" t="s">
        <v>1945</v>
      </c>
      <c r="D181" s="11" t="s">
        <v>3462</v>
      </c>
      <c r="E181" s="11" t="s">
        <v>3463</v>
      </c>
      <c r="F181" s="11" t="s">
        <v>1940</v>
      </c>
      <c r="G181" s="11" t="s">
        <v>3436</v>
      </c>
      <c r="H181" s="11" t="s">
        <v>3094</v>
      </c>
    </row>
    <row r="182" spans="1:8" x14ac:dyDescent="0.25">
      <c r="A182" s="11">
        <v>179</v>
      </c>
      <c r="B182" s="11" t="s">
        <v>3331</v>
      </c>
      <c r="C182" s="11" t="s">
        <v>1945</v>
      </c>
      <c r="D182" s="11" t="s">
        <v>3464</v>
      </c>
      <c r="E182" s="11" t="s">
        <v>3465</v>
      </c>
      <c r="F182" s="11" t="s">
        <v>1940</v>
      </c>
      <c r="G182" s="11" t="s">
        <v>3436</v>
      </c>
      <c r="H182" s="11" t="s">
        <v>3094</v>
      </c>
    </row>
    <row r="183" spans="1:8" x14ac:dyDescent="0.25">
      <c r="A183" s="11">
        <v>180</v>
      </c>
      <c r="B183" s="11" t="s">
        <v>3331</v>
      </c>
      <c r="C183" s="11" t="s">
        <v>1945</v>
      </c>
      <c r="D183" s="11" t="s">
        <v>3466</v>
      </c>
      <c r="E183" s="11" t="s">
        <v>3467</v>
      </c>
      <c r="F183" s="11" t="s">
        <v>1940</v>
      </c>
      <c r="G183" s="11" t="s">
        <v>3436</v>
      </c>
      <c r="H183" s="11" t="s">
        <v>3094</v>
      </c>
    </row>
    <row r="184" spans="1:8" x14ac:dyDescent="0.25">
      <c r="A184" s="11">
        <v>181</v>
      </c>
      <c r="B184" s="11" t="s">
        <v>3331</v>
      </c>
      <c r="C184" s="11" t="s">
        <v>1945</v>
      </c>
      <c r="D184" s="11" t="s">
        <v>3468</v>
      </c>
      <c r="E184" s="11" t="s">
        <v>3469</v>
      </c>
      <c r="F184" s="11" t="s">
        <v>1940</v>
      </c>
      <c r="G184" s="11" t="s">
        <v>3436</v>
      </c>
      <c r="H184" s="11" t="s">
        <v>3094</v>
      </c>
    </row>
    <row r="185" spans="1:8" x14ac:dyDescent="0.25">
      <c r="A185" s="11">
        <v>182</v>
      </c>
      <c r="B185" s="11" t="s">
        <v>3331</v>
      </c>
      <c r="C185" s="11" t="s">
        <v>3470</v>
      </c>
      <c r="D185" s="11" t="s">
        <v>3471</v>
      </c>
      <c r="E185" s="11" t="s">
        <v>3472</v>
      </c>
      <c r="F185" s="11" t="s">
        <v>142</v>
      </c>
      <c r="G185" s="11" t="s">
        <v>3439</v>
      </c>
      <c r="H185" s="11" t="s">
        <v>3094</v>
      </c>
    </row>
    <row r="186" spans="1:8" x14ac:dyDescent="0.25">
      <c r="A186" s="11">
        <v>183</v>
      </c>
      <c r="B186" s="11" t="s">
        <v>3331</v>
      </c>
      <c r="C186" s="11" t="s">
        <v>3470</v>
      </c>
      <c r="D186" s="11" t="s">
        <v>3473</v>
      </c>
      <c r="E186" s="11" t="s">
        <v>3474</v>
      </c>
      <c r="F186" s="11" t="s">
        <v>142</v>
      </c>
      <c r="G186" s="11" t="s">
        <v>3439</v>
      </c>
      <c r="H186" s="11" t="s">
        <v>3094</v>
      </c>
    </row>
    <row r="187" spans="1:8" x14ac:dyDescent="0.25">
      <c r="A187" s="11">
        <v>184</v>
      </c>
      <c r="B187" s="11" t="s">
        <v>3331</v>
      </c>
      <c r="C187" s="11" t="s">
        <v>3470</v>
      </c>
      <c r="D187" s="11" t="s">
        <v>3475</v>
      </c>
      <c r="E187" s="11" t="s">
        <v>3476</v>
      </c>
      <c r="F187" s="11" t="s">
        <v>142</v>
      </c>
      <c r="G187" s="11" t="s">
        <v>3439</v>
      </c>
      <c r="H187" s="11" t="s">
        <v>3094</v>
      </c>
    </row>
    <row r="188" spans="1:8" x14ac:dyDescent="0.25">
      <c r="A188" s="11">
        <v>185</v>
      </c>
      <c r="B188" s="11" t="s">
        <v>3331</v>
      </c>
      <c r="C188" s="11" t="s">
        <v>3470</v>
      </c>
      <c r="D188" s="11" t="s">
        <v>3477</v>
      </c>
      <c r="E188" s="11" t="s">
        <v>142</v>
      </c>
      <c r="F188" s="11" t="s">
        <v>142</v>
      </c>
      <c r="G188" s="11" t="s">
        <v>3439</v>
      </c>
      <c r="H188" s="11" t="s">
        <v>3094</v>
      </c>
    </row>
    <row r="189" spans="1:8" x14ac:dyDescent="0.25">
      <c r="A189" s="11">
        <v>186</v>
      </c>
      <c r="B189" s="11" t="s">
        <v>3331</v>
      </c>
      <c r="C189" s="11" t="s">
        <v>3470</v>
      </c>
      <c r="D189" s="11" t="s">
        <v>3478</v>
      </c>
      <c r="E189" s="11" t="s">
        <v>3479</v>
      </c>
      <c r="F189" s="11" t="s">
        <v>142</v>
      </c>
      <c r="G189" s="11" t="s">
        <v>3439</v>
      </c>
      <c r="H189" s="11" t="s">
        <v>3094</v>
      </c>
    </row>
    <row r="190" spans="1:8" x14ac:dyDescent="0.25">
      <c r="A190" s="11">
        <v>187</v>
      </c>
      <c r="B190" s="11" t="s">
        <v>3331</v>
      </c>
      <c r="C190" s="11" t="s">
        <v>3470</v>
      </c>
      <c r="D190" s="11" t="s">
        <v>3480</v>
      </c>
      <c r="E190" s="11" t="s">
        <v>3481</v>
      </c>
      <c r="F190" s="11" t="s">
        <v>142</v>
      </c>
      <c r="G190" s="11" t="s">
        <v>3439</v>
      </c>
      <c r="H190" s="11" t="s">
        <v>3094</v>
      </c>
    </row>
    <row r="191" spans="1:8" x14ac:dyDescent="0.25">
      <c r="A191" s="11">
        <v>188</v>
      </c>
      <c r="B191" s="11" t="s">
        <v>3331</v>
      </c>
      <c r="C191" s="11" t="s">
        <v>3482</v>
      </c>
      <c r="D191" s="11" t="s">
        <v>3483</v>
      </c>
      <c r="E191" s="11" t="s">
        <v>3484</v>
      </c>
      <c r="F191" s="11" t="s">
        <v>2139</v>
      </c>
      <c r="G191" s="11" t="s">
        <v>142</v>
      </c>
      <c r="H191" s="11" t="s">
        <v>3094</v>
      </c>
    </row>
    <row r="192" spans="1:8" x14ac:dyDescent="0.25">
      <c r="A192" s="11">
        <v>189</v>
      </c>
      <c r="B192" s="11" t="s">
        <v>3331</v>
      </c>
      <c r="C192" s="11" t="s">
        <v>3482</v>
      </c>
      <c r="D192" s="11" t="s">
        <v>3485</v>
      </c>
      <c r="E192" s="11" t="s">
        <v>3486</v>
      </c>
      <c r="F192" s="11" t="s">
        <v>2139</v>
      </c>
      <c r="G192" s="11" t="s">
        <v>3386</v>
      </c>
      <c r="H192" s="11" t="s">
        <v>3094</v>
      </c>
    </row>
    <row r="193" spans="1:8" x14ac:dyDescent="0.25">
      <c r="A193" s="11">
        <v>190</v>
      </c>
      <c r="B193" s="11" t="s">
        <v>3331</v>
      </c>
      <c r="C193" s="11" t="s">
        <v>3482</v>
      </c>
      <c r="D193" s="11" t="s">
        <v>3487</v>
      </c>
      <c r="E193" s="11" t="s">
        <v>3488</v>
      </c>
      <c r="F193" s="11" t="s">
        <v>2139</v>
      </c>
      <c r="G193" s="11" t="s">
        <v>3489</v>
      </c>
      <c r="H193" s="11" t="s">
        <v>3094</v>
      </c>
    </row>
    <row r="194" spans="1:8" x14ac:dyDescent="0.25">
      <c r="A194" s="11">
        <v>191</v>
      </c>
      <c r="B194" s="11" t="s">
        <v>3331</v>
      </c>
      <c r="C194" s="11" t="s">
        <v>3490</v>
      </c>
      <c r="D194" s="11" t="s">
        <v>3491</v>
      </c>
      <c r="E194" s="11" t="s">
        <v>3492</v>
      </c>
      <c r="F194" s="11" t="s">
        <v>2139</v>
      </c>
      <c r="G194" s="11" t="s">
        <v>3493</v>
      </c>
      <c r="H194" s="11" t="s">
        <v>3094</v>
      </c>
    </row>
    <row r="195" spans="1:8" x14ac:dyDescent="0.25">
      <c r="A195" s="11">
        <v>192</v>
      </c>
      <c r="B195" s="11" t="s">
        <v>3331</v>
      </c>
      <c r="C195" s="11" t="s">
        <v>3494</v>
      </c>
      <c r="D195" s="11" t="s">
        <v>3495</v>
      </c>
      <c r="E195" s="11" t="s">
        <v>142</v>
      </c>
      <c r="F195" s="11" t="s">
        <v>1951</v>
      </c>
      <c r="G195" s="11" t="s">
        <v>3383</v>
      </c>
      <c r="H195" s="11" t="s">
        <v>3094</v>
      </c>
    </row>
    <row r="196" spans="1:8" x14ac:dyDescent="0.25">
      <c r="A196" s="11">
        <v>193</v>
      </c>
      <c r="B196" s="11" t="s">
        <v>3331</v>
      </c>
      <c r="C196" s="11" t="s">
        <v>2158</v>
      </c>
      <c r="D196" s="11" t="s">
        <v>3496</v>
      </c>
      <c r="E196" s="11" t="s">
        <v>142</v>
      </c>
      <c r="F196" s="11" t="s">
        <v>2152</v>
      </c>
      <c r="G196" s="11" t="s">
        <v>3497</v>
      </c>
      <c r="H196" s="11" t="s">
        <v>3094</v>
      </c>
    </row>
    <row r="197" spans="1:8" x14ac:dyDescent="0.25">
      <c r="A197" s="11">
        <v>194</v>
      </c>
      <c r="B197" s="11" t="s">
        <v>3331</v>
      </c>
      <c r="C197" s="11" t="s">
        <v>2158</v>
      </c>
      <c r="D197" s="11" t="s">
        <v>3498</v>
      </c>
      <c r="E197" s="11" t="s">
        <v>142</v>
      </c>
      <c r="F197" s="11" t="s">
        <v>2152</v>
      </c>
      <c r="G197" s="11" t="s">
        <v>3497</v>
      </c>
      <c r="H197" s="11" t="s">
        <v>3094</v>
      </c>
    </row>
    <row r="198" spans="1:8" x14ac:dyDescent="0.25">
      <c r="A198" s="11">
        <v>195</v>
      </c>
      <c r="B198" s="11" t="s">
        <v>3331</v>
      </c>
      <c r="C198" s="11" t="s">
        <v>2158</v>
      </c>
      <c r="D198" s="11" t="s">
        <v>3499</v>
      </c>
      <c r="E198" s="11" t="s">
        <v>142</v>
      </c>
      <c r="F198" s="11" t="s">
        <v>2152</v>
      </c>
      <c r="G198" s="11" t="s">
        <v>3497</v>
      </c>
      <c r="H198" s="11" t="s">
        <v>3094</v>
      </c>
    </row>
    <row r="199" spans="1:8" x14ac:dyDescent="0.25">
      <c r="A199" s="11">
        <v>196</v>
      </c>
      <c r="B199" s="11" t="s">
        <v>3331</v>
      </c>
      <c r="C199" s="11" t="s">
        <v>2158</v>
      </c>
      <c r="D199" s="11" t="s">
        <v>3500</v>
      </c>
      <c r="E199" s="11" t="s">
        <v>142</v>
      </c>
      <c r="F199" s="11" t="s">
        <v>2152</v>
      </c>
      <c r="G199" s="11" t="s">
        <v>3497</v>
      </c>
      <c r="H199" s="11" t="s">
        <v>3094</v>
      </c>
    </row>
    <row r="200" spans="1:8" x14ac:dyDescent="0.25">
      <c r="A200" s="11">
        <v>197</v>
      </c>
      <c r="B200" s="11" t="s">
        <v>3331</v>
      </c>
      <c r="C200" s="11" t="s">
        <v>2158</v>
      </c>
      <c r="D200" s="11" t="s">
        <v>3501</v>
      </c>
      <c r="E200" s="11" t="s">
        <v>3502</v>
      </c>
      <c r="F200" s="11" t="s">
        <v>2152</v>
      </c>
      <c r="G200" s="11" t="s">
        <v>3497</v>
      </c>
      <c r="H200" s="11" t="s">
        <v>3094</v>
      </c>
    </row>
    <row r="201" spans="1:8" x14ac:dyDescent="0.25">
      <c r="A201" s="11">
        <v>198</v>
      </c>
      <c r="B201" s="11" t="s">
        <v>3331</v>
      </c>
      <c r="C201" s="11" t="s">
        <v>2158</v>
      </c>
      <c r="D201" s="11" t="s">
        <v>3503</v>
      </c>
      <c r="E201" s="11" t="s">
        <v>3504</v>
      </c>
      <c r="F201" s="11" t="s">
        <v>2152</v>
      </c>
      <c r="G201" s="11" t="s">
        <v>3497</v>
      </c>
      <c r="H201" s="11" t="s">
        <v>3094</v>
      </c>
    </row>
    <row r="202" spans="1:8" x14ac:dyDescent="0.25">
      <c r="A202" s="11">
        <v>199</v>
      </c>
      <c r="B202" s="11" t="s">
        <v>3331</v>
      </c>
      <c r="C202" s="11" t="s">
        <v>2158</v>
      </c>
      <c r="D202" s="11" t="s">
        <v>3505</v>
      </c>
      <c r="E202" s="11" t="s">
        <v>3506</v>
      </c>
      <c r="F202" s="11" t="s">
        <v>2152</v>
      </c>
      <c r="G202" s="11" t="s">
        <v>3497</v>
      </c>
      <c r="H202" s="11" t="s">
        <v>3094</v>
      </c>
    </row>
    <row r="203" spans="1:8" x14ac:dyDescent="0.25">
      <c r="A203" s="11">
        <v>200</v>
      </c>
      <c r="B203" s="11" t="s">
        <v>3331</v>
      </c>
      <c r="C203" s="11" t="s">
        <v>2158</v>
      </c>
      <c r="D203" s="11" t="s">
        <v>3507</v>
      </c>
      <c r="E203" s="11" t="s">
        <v>3508</v>
      </c>
      <c r="F203" s="11" t="s">
        <v>2152</v>
      </c>
      <c r="G203" s="11" t="s">
        <v>3497</v>
      </c>
      <c r="H203" s="11" t="s">
        <v>3094</v>
      </c>
    </row>
    <row r="204" spans="1:8" x14ac:dyDescent="0.25">
      <c r="A204" s="11">
        <v>201</v>
      </c>
      <c r="B204" s="11" t="s">
        <v>3331</v>
      </c>
      <c r="C204" s="11" t="s">
        <v>2158</v>
      </c>
      <c r="D204" s="11" t="s">
        <v>3509</v>
      </c>
      <c r="E204" s="11" t="s">
        <v>3510</v>
      </c>
      <c r="F204" s="11" t="s">
        <v>2152</v>
      </c>
      <c r="G204" s="11" t="s">
        <v>3497</v>
      </c>
      <c r="H204" s="11" t="s">
        <v>3094</v>
      </c>
    </row>
    <row r="205" spans="1:8" x14ac:dyDescent="0.25">
      <c r="A205" s="11">
        <v>202</v>
      </c>
      <c r="B205" s="11" t="s">
        <v>3331</v>
      </c>
      <c r="C205" s="11" t="s">
        <v>2165</v>
      </c>
      <c r="D205" s="11" t="s">
        <v>3511</v>
      </c>
      <c r="E205" s="11" t="s">
        <v>3512</v>
      </c>
      <c r="F205" s="11" t="s">
        <v>2159</v>
      </c>
      <c r="G205" s="11" t="s">
        <v>3513</v>
      </c>
      <c r="H205" s="11" t="s">
        <v>3094</v>
      </c>
    </row>
    <row r="206" spans="1:8" x14ac:dyDescent="0.25">
      <c r="A206" s="11">
        <v>203</v>
      </c>
      <c r="B206" s="11" t="s">
        <v>3331</v>
      </c>
      <c r="C206" s="11" t="s">
        <v>2165</v>
      </c>
      <c r="D206" s="11" t="s">
        <v>3514</v>
      </c>
      <c r="E206" s="11" t="s">
        <v>3515</v>
      </c>
      <c r="F206" s="11" t="s">
        <v>2159</v>
      </c>
      <c r="G206" s="11" t="s">
        <v>3513</v>
      </c>
      <c r="H206" s="11" t="s">
        <v>3094</v>
      </c>
    </row>
    <row r="207" spans="1:8" x14ac:dyDescent="0.25">
      <c r="A207" s="11">
        <v>204</v>
      </c>
      <c r="B207" s="11" t="s">
        <v>3331</v>
      </c>
      <c r="C207" s="11" t="s">
        <v>2165</v>
      </c>
      <c r="D207" s="11" t="s">
        <v>3516</v>
      </c>
      <c r="E207" s="11" t="s">
        <v>3517</v>
      </c>
      <c r="F207" s="11" t="s">
        <v>2159</v>
      </c>
      <c r="G207" s="11" t="s">
        <v>3513</v>
      </c>
      <c r="H207" s="11" t="s">
        <v>3094</v>
      </c>
    </row>
    <row r="208" spans="1:8" x14ac:dyDescent="0.25">
      <c r="A208" s="11">
        <v>205</v>
      </c>
      <c r="B208" s="11" t="s">
        <v>3331</v>
      </c>
      <c r="C208" s="11" t="s">
        <v>2165</v>
      </c>
      <c r="D208" s="11" t="s">
        <v>3518</v>
      </c>
      <c r="E208" s="11" t="s">
        <v>142</v>
      </c>
      <c r="F208" s="11" t="s">
        <v>2159</v>
      </c>
      <c r="G208" s="11" t="s">
        <v>3386</v>
      </c>
      <c r="H208" s="11" t="s">
        <v>3094</v>
      </c>
    </row>
    <row r="209" spans="1:8" x14ac:dyDescent="0.25">
      <c r="A209" s="11">
        <v>206</v>
      </c>
      <c r="B209" s="11" t="s">
        <v>3331</v>
      </c>
      <c r="C209" s="11" t="s">
        <v>2165</v>
      </c>
      <c r="D209" s="11" t="s">
        <v>3519</v>
      </c>
      <c r="E209" s="11" t="s">
        <v>3520</v>
      </c>
      <c r="F209" s="11" t="s">
        <v>2159</v>
      </c>
      <c r="G209" s="11" t="s">
        <v>3386</v>
      </c>
      <c r="H209" s="11" t="s">
        <v>3094</v>
      </c>
    </row>
    <row r="210" spans="1:8" x14ac:dyDescent="0.25">
      <c r="A210" s="11">
        <v>207</v>
      </c>
      <c r="B210" s="11" t="s">
        <v>3331</v>
      </c>
      <c r="C210" s="11" t="s">
        <v>2165</v>
      </c>
      <c r="D210" s="11" t="s">
        <v>3521</v>
      </c>
      <c r="E210" s="11" t="s">
        <v>142</v>
      </c>
      <c r="F210" s="11" t="s">
        <v>2159</v>
      </c>
      <c r="G210" s="11" t="s">
        <v>3386</v>
      </c>
      <c r="H210" s="11" t="s">
        <v>3094</v>
      </c>
    </row>
    <row r="211" spans="1:8" x14ac:dyDescent="0.25">
      <c r="A211" s="11">
        <v>208</v>
      </c>
      <c r="B211" s="11" t="s">
        <v>3331</v>
      </c>
      <c r="C211" s="11" t="s">
        <v>2165</v>
      </c>
      <c r="D211" s="11" t="s">
        <v>3522</v>
      </c>
      <c r="E211" s="11" t="s">
        <v>3523</v>
      </c>
      <c r="F211" s="11" t="s">
        <v>2159</v>
      </c>
      <c r="G211" s="11" t="s">
        <v>3386</v>
      </c>
      <c r="H211" s="11" t="s">
        <v>3094</v>
      </c>
    </row>
    <row r="212" spans="1:8" x14ac:dyDescent="0.25">
      <c r="A212" s="11">
        <v>209</v>
      </c>
      <c r="B212" s="11" t="s">
        <v>3331</v>
      </c>
      <c r="C212" s="11" t="s">
        <v>2165</v>
      </c>
      <c r="D212" s="11" t="s">
        <v>3524</v>
      </c>
      <c r="E212" s="11" t="s">
        <v>3525</v>
      </c>
      <c r="F212" s="11" t="s">
        <v>2159</v>
      </c>
      <c r="G212" s="11" t="s">
        <v>3386</v>
      </c>
      <c r="H212" s="11" t="s">
        <v>3094</v>
      </c>
    </row>
    <row r="213" spans="1:8" x14ac:dyDescent="0.25">
      <c r="A213" s="11">
        <v>210</v>
      </c>
      <c r="B213" s="11" t="s">
        <v>3331</v>
      </c>
      <c r="C213" s="11" t="s">
        <v>2165</v>
      </c>
      <c r="D213" s="11" t="s">
        <v>3526</v>
      </c>
      <c r="E213" s="11" t="s">
        <v>142</v>
      </c>
      <c r="F213" s="11" t="s">
        <v>2159</v>
      </c>
      <c r="G213" s="11" t="s">
        <v>3386</v>
      </c>
      <c r="H213" s="11" t="s">
        <v>3094</v>
      </c>
    </row>
    <row r="214" spans="1:8" x14ac:dyDescent="0.25">
      <c r="A214" s="11">
        <v>211</v>
      </c>
      <c r="B214" s="11" t="s">
        <v>3331</v>
      </c>
      <c r="C214" s="11" t="s">
        <v>2165</v>
      </c>
      <c r="D214" s="11" t="s">
        <v>3527</v>
      </c>
      <c r="E214" s="11" t="s">
        <v>3528</v>
      </c>
      <c r="F214" s="11" t="s">
        <v>2159</v>
      </c>
      <c r="G214" s="11" t="s">
        <v>3386</v>
      </c>
      <c r="H214" s="11" t="s">
        <v>3094</v>
      </c>
    </row>
    <row r="215" spans="1:8" x14ac:dyDescent="0.25">
      <c r="A215" s="11">
        <v>212</v>
      </c>
      <c r="B215" s="11" t="s">
        <v>3331</v>
      </c>
      <c r="C215" s="11" t="s">
        <v>3529</v>
      </c>
      <c r="D215" s="11" t="s">
        <v>3530</v>
      </c>
      <c r="E215" s="11" t="s">
        <v>3531</v>
      </c>
      <c r="F215" s="11" t="s">
        <v>2075</v>
      </c>
      <c r="G215" s="11" t="s">
        <v>3106</v>
      </c>
      <c r="H215" s="11" t="s">
        <v>3094</v>
      </c>
    </row>
    <row r="216" spans="1:8" x14ac:dyDescent="0.25">
      <c r="A216" s="11">
        <v>213</v>
      </c>
      <c r="B216" s="11" t="s">
        <v>3331</v>
      </c>
      <c r="C216" s="11" t="s">
        <v>3529</v>
      </c>
      <c r="D216" s="11" t="s">
        <v>3532</v>
      </c>
      <c r="E216" s="11" t="s">
        <v>3533</v>
      </c>
      <c r="F216" s="11" t="s">
        <v>2075</v>
      </c>
      <c r="G216" s="11" t="s">
        <v>3106</v>
      </c>
      <c r="H216" s="11" t="s">
        <v>3094</v>
      </c>
    </row>
    <row r="217" spans="1:8" x14ac:dyDescent="0.25">
      <c r="A217" s="11">
        <v>214</v>
      </c>
      <c r="B217" s="11" t="s">
        <v>3331</v>
      </c>
      <c r="C217" s="11" t="s">
        <v>3529</v>
      </c>
      <c r="D217" s="11" t="s">
        <v>3534</v>
      </c>
      <c r="E217" s="11" t="s">
        <v>3535</v>
      </c>
      <c r="F217" s="11" t="s">
        <v>2075</v>
      </c>
      <c r="G217" s="11" t="s">
        <v>3106</v>
      </c>
      <c r="H217" s="11" t="s">
        <v>3094</v>
      </c>
    </row>
    <row r="218" spans="1:8" x14ac:dyDescent="0.25">
      <c r="A218" s="11">
        <v>215</v>
      </c>
      <c r="B218" s="11" t="s">
        <v>3331</v>
      </c>
      <c r="C218" s="11" t="s">
        <v>3529</v>
      </c>
      <c r="D218" s="11" t="s">
        <v>3536</v>
      </c>
      <c r="E218" s="11" t="s">
        <v>3537</v>
      </c>
      <c r="F218" s="11" t="s">
        <v>2075</v>
      </c>
      <c r="G218" s="11" t="s">
        <v>3106</v>
      </c>
      <c r="H218" s="11" t="s">
        <v>3094</v>
      </c>
    </row>
    <row r="219" spans="1:8" x14ac:dyDescent="0.25">
      <c r="A219" s="11">
        <v>216</v>
      </c>
      <c r="B219" s="11" t="s">
        <v>3331</v>
      </c>
      <c r="C219" s="11" t="s">
        <v>3529</v>
      </c>
      <c r="D219" s="11" t="s">
        <v>3538</v>
      </c>
      <c r="E219" s="11" t="s">
        <v>142</v>
      </c>
      <c r="F219" s="11" t="s">
        <v>2075</v>
      </c>
      <c r="G219" s="11" t="s">
        <v>3106</v>
      </c>
      <c r="H219" s="11" t="s">
        <v>3094</v>
      </c>
    </row>
    <row r="220" spans="1:8" x14ac:dyDescent="0.25">
      <c r="A220" s="11">
        <v>217</v>
      </c>
      <c r="B220" s="11" t="s">
        <v>3331</v>
      </c>
      <c r="C220" s="11" t="s">
        <v>3529</v>
      </c>
      <c r="D220" s="11" t="s">
        <v>3539</v>
      </c>
      <c r="E220" s="11" t="s">
        <v>3540</v>
      </c>
      <c r="F220" s="11" t="s">
        <v>2075</v>
      </c>
      <c r="G220" s="11" t="s">
        <v>3106</v>
      </c>
      <c r="H220" s="11" t="s">
        <v>3094</v>
      </c>
    </row>
    <row r="221" spans="1:8" x14ac:dyDescent="0.25">
      <c r="A221" s="11">
        <v>218</v>
      </c>
      <c r="B221" s="11" t="s">
        <v>3331</v>
      </c>
      <c r="C221" s="11" t="s">
        <v>3529</v>
      </c>
      <c r="D221" s="11" t="s">
        <v>3541</v>
      </c>
      <c r="E221" s="11" t="s">
        <v>3542</v>
      </c>
      <c r="F221" s="11" t="s">
        <v>2075</v>
      </c>
      <c r="G221" s="11" t="s">
        <v>3106</v>
      </c>
      <c r="H221" s="11" t="s">
        <v>3094</v>
      </c>
    </row>
    <row r="222" spans="1:8" x14ac:dyDescent="0.25">
      <c r="A222" s="11">
        <v>219</v>
      </c>
      <c r="B222" s="11" t="s">
        <v>3331</v>
      </c>
      <c r="C222" s="11" t="s">
        <v>3543</v>
      </c>
      <c r="D222" s="11" t="s">
        <v>3544</v>
      </c>
      <c r="E222" s="11" t="s">
        <v>3545</v>
      </c>
      <c r="F222" s="11" t="s">
        <v>2174</v>
      </c>
      <c r="G222" s="11" t="s">
        <v>3489</v>
      </c>
      <c r="H222" s="11" t="s">
        <v>3094</v>
      </c>
    </row>
    <row r="223" spans="1:8" x14ac:dyDescent="0.25">
      <c r="A223" s="11">
        <v>220</v>
      </c>
      <c r="B223" s="11" t="s">
        <v>3331</v>
      </c>
      <c r="C223" s="11" t="s">
        <v>2008</v>
      </c>
      <c r="D223" s="11" t="s">
        <v>3546</v>
      </c>
      <c r="E223" s="11" t="s">
        <v>142</v>
      </c>
      <c r="F223" s="11" t="s">
        <v>2002</v>
      </c>
      <c r="G223" s="11" t="s">
        <v>3093</v>
      </c>
      <c r="H223" s="11" t="s">
        <v>3094</v>
      </c>
    </row>
    <row r="224" spans="1:8" x14ac:dyDescent="0.25">
      <c r="A224" s="11">
        <v>221</v>
      </c>
      <c r="B224" s="11" t="s">
        <v>3331</v>
      </c>
      <c r="C224" s="11" t="s">
        <v>2008</v>
      </c>
      <c r="D224" s="11" t="s">
        <v>3547</v>
      </c>
      <c r="E224" s="11" t="s">
        <v>3548</v>
      </c>
      <c r="F224" s="11" t="s">
        <v>2002</v>
      </c>
      <c r="G224" s="11" t="s">
        <v>3093</v>
      </c>
      <c r="H224" s="11" t="s">
        <v>3094</v>
      </c>
    </row>
    <row r="225" spans="1:8" x14ac:dyDescent="0.25">
      <c r="A225" s="11">
        <v>222</v>
      </c>
      <c r="B225" s="11" t="s">
        <v>3331</v>
      </c>
      <c r="C225" s="11" t="s">
        <v>2008</v>
      </c>
      <c r="D225" s="11" t="s">
        <v>3549</v>
      </c>
      <c r="E225" s="11" t="s">
        <v>142</v>
      </c>
      <c r="F225" s="11" t="s">
        <v>2002</v>
      </c>
      <c r="G225" s="11" t="s">
        <v>3093</v>
      </c>
      <c r="H225" s="11" t="s">
        <v>3094</v>
      </c>
    </row>
    <row r="226" spans="1:8" x14ac:dyDescent="0.25">
      <c r="A226" s="11">
        <v>223</v>
      </c>
      <c r="B226" s="11" t="s">
        <v>3331</v>
      </c>
      <c r="C226" s="11" t="s">
        <v>2008</v>
      </c>
      <c r="D226" s="11" t="s">
        <v>3550</v>
      </c>
      <c r="E226" s="11" t="s">
        <v>3551</v>
      </c>
      <c r="F226" s="11" t="s">
        <v>2002</v>
      </c>
      <c r="G226" s="11" t="s">
        <v>3093</v>
      </c>
      <c r="H226" s="11" t="s">
        <v>3094</v>
      </c>
    </row>
    <row r="227" spans="1:8" x14ac:dyDescent="0.25">
      <c r="A227" s="11">
        <v>224</v>
      </c>
      <c r="B227" s="11" t="s">
        <v>3331</v>
      </c>
      <c r="C227" s="11" t="s">
        <v>2008</v>
      </c>
      <c r="D227" s="11" t="s">
        <v>3552</v>
      </c>
      <c r="E227" s="11" t="s">
        <v>3553</v>
      </c>
      <c r="F227" s="11" t="s">
        <v>2002</v>
      </c>
      <c r="G227" s="11" t="s">
        <v>3093</v>
      </c>
      <c r="H227" s="11" t="s">
        <v>3094</v>
      </c>
    </row>
    <row r="228" spans="1:8" x14ac:dyDescent="0.25">
      <c r="A228" s="11">
        <v>225</v>
      </c>
      <c r="B228" s="11" t="s">
        <v>3331</v>
      </c>
      <c r="C228" s="11" t="s">
        <v>2008</v>
      </c>
      <c r="D228" s="11" t="s">
        <v>3554</v>
      </c>
      <c r="E228" s="11" t="s">
        <v>3555</v>
      </c>
      <c r="F228" s="11" t="s">
        <v>2002</v>
      </c>
      <c r="G228" s="11" t="s">
        <v>3093</v>
      </c>
      <c r="H228" s="11" t="s">
        <v>3094</v>
      </c>
    </row>
    <row r="229" spans="1:8" x14ac:dyDescent="0.25">
      <c r="A229" s="11">
        <v>226</v>
      </c>
      <c r="B229" s="11" t="s">
        <v>3331</v>
      </c>
      <c r="C229" s="11" t="s">
        <v>2008</v>
      </c>
      <c r="D229" s="11" t="s">
        <v>3556</v>
      </c>
      <c r="E229" s="11" t="s">
        <v>3557</v>
      </c>
      <c r="F229" s="11" t="s">
        <v>2002</v>
      </c>
      <c r="G229" s="11" t="s">
        <v>3093</v>
      </c>
      <c r="H229" s="11" t="s">
        <v>3094</v>
      </c>
    </row>
    <row r="230" spans="1:8" x14ac:dyDescent="0.25">
      <c r="A230" s="11">
        <v>227</v>
      </c>
      <c r="B230" s="11" t="s">
        <v>3331</v>
      </c>
      <c r="C230" s="11" t="s">
        <v>2008</v>
      </c>
      <c r="D230" s="11" t="s">
        <v>3558</v>
      </c>
      <c r="E230" s="11" t="s">
        <v>3559</v>
      </c>
      <c r="F230" s="11" t="s">
        <v>2002</v>
      </c>
      <c r="G230" s="11" t="s">
        <v>3093</v>
      </c>
      <c r="H230" s="11" t="s">
        <v>3094</v>
      </c>
    </row>
    <row r="231" spans="1:8" x14ac:dyDescent="0.25">
      <c r="A231" s="11">
        <v>228</v>
      </c>
      <c r="B231" s="11" t="s">
        <v>3331</v>
      </c>
      <c r="C231" s="11" t="s">
        <v>2008</v>
      </c>
      <c r="D231" s="11" t="s">
        <v>3560</v>
      </c>
      <c r="E231" s="11" t="s">
        <v>142</v>
      </c>
      <c r="F231" s="11" t="s">
        <v>2002</v>
      </c>
      <c r="G231" s="11" t="s">
        <v>3093</v>
      </c>
      <c r="H231" s="11" t="s">
        <v>3094</v>
      </c>
    </row>
    <row r="232" spans="1:8" x14ac:dyDescent="0.25">
      <c r="A232" s="11">
        <v>229</v>
      </c>
      <c r="B232" s="11" t="s">
        <v>3331</v>
      </c>
      <c r="C232" s="11" t="s">
        <v>2008</v>
      </c>
      <c r="D232" s="11" t="s">
        <v>3561</v>
      </c>
      <c r="E232" s="11" t="s">
        <v>3562</v>
      </c>
      <c r="F232" s="11" t="s">
        <v>2002</v>
      </c>
      <c r="G232" s="11" t="s">
        <v>3093</v>
      </c>
      <c r="H232" s="11" t="s">
        <v>3094</v>
      </c>
    </row>
    <row r="233" spans="1:8" x14ac:dyDescent="0.25">
      <c r="A233" s="11">
        <v>230</v>
      </c>
      <c r="B233" s="11" t="s">
        <v>3331</v>
      </c>
      <c r="C233" s="11" t="s">
        <v>2008</v>
      </c>
      <c r="D233" s="11" t="s">
        <v>3563</v>
      </c>
      <c r="E233" s="11" t="s">
        <v>3564</v>
      </c>
      <c r="F233" s="11" t="s">
        <v>2002</v>
      </c>
      <c r="G233" s="11" t="s">
        <v>3093</v>
      </c>
      <c r="H233" s="11" t="s">
        <v>3094</v>
      </c>
    </row>
    <row r="234" spans="1:8" x14ac:dyDescent="0.25">
      <c r="A234" s="11">
        <v>231</v>
      </c>
      <c r="B234" s="11" t="s">
        <v>3331</v>
      </c>
      <c r="C234" s="11" t="s">
        <v>2008</v>
      </c>
      <c r="D234" s="11" t="s">
        <v>3565</v>
      </c>
      <c r="E234" s="11" t="s">
        <v>3566</v>
      </c>
      <c r="F234" s="11" t="s">
        <v>2002</v>
      </c>
      <c r="G234" s="11" t="s">
        <v>3093</v>
      </c>
      <c r="H234" s="11" t="s">
        <v>3094</v>
      </c>
    </row>
    <row r="235" spans="1:8" x14ac:dyDescent="0.25">
      <c r="A235" s="11">
        <v>232</v>
      </c>
      <c r="B235" s="11" t="s">
        <v>3331</v>
      </c>
      <c r="C235" s="11" t="s">
        <v>2008</v>
      </c>
      <c r="D235" s="11" t="s">
        <v>3567</v>
      </c>
      <c r="E235" s="11" t="s">
        <v>3568</v>
      </c>
      <c r="F235" s="11" t="s">
        <v>2002</v>
      </c>
      <c r="G235" s="11" t="s">
        <v>3093</v>
      </c>
      <c r="H235" s="11" t="s">
        <v>3094</v>
      </c>
    </row>
    <row r="236" spans="1:8" x14ac:dyDescent="0.25">
      <c r="A236" s="11">
        <v>233</v>
      </c>
      <c r="B236" s="11" t="s">
        <v>3331</v>
      </c>
      <c r="C236" s="11" t="s">
        <v>2008</v>
      </c>
      <c r="D236" s="11" t="s">
        <v>3569</v>
      </c>
      <c r="E236" s="11" t="s">
        <v>3570</v>
      </c>
      <c r="F236" s="11" t="s">
        <v>2002</v>
      </c>
      <c r="G236" s="11" t="s">
        <v>3093</v>
      </c>
      <c r="H236" s="11" t="s">
        <v>3094</v>
      </c>
    </row>
    <row r="237" spans="1:8" x14ac:dyDescent="0.25">
      <c r="A237" s="11">
        <v>234</v>
      </c>
      <c r="B237" s="11" t="s">
        <v>3331</v>
      </c>
      <c r="C237" s="11" t="s">
        <v>2008</v>
      </c>
      <c r="D237" s="11" t="s">
        <v>3571</v>
      </c>
      <c r="E237" s="11" t="s">
        <v>3572</v>
      </c>
      <c r="F237" s="11" t="s">
        <v>2002</v>
      </c>
      <c r="G237" s="11" t="s">
        <v>3093</v>
      </c>
      <c r="H237" s="11" t="s">
        <v>3094</v>
      </c>
    </row>
    <row r="238" spans="1:8" x14ac:dyDescent="0.25">
      <c r="A238" s="11">
        <v>235</v>
      </c>
      <c r="B238" s="11" t="s">
        <v>3331</v>
      </c>
      <c r="C238" s="11" t="s">
        <v>2008</v>
      </c>
      <c r="D238" s="11" t="s">
        <v>3573</v>
      </c>
      <c r="E238" s="11" t="s">
        <v>142</v>
      </c>
      <c r="F238" s="11" t="s">
        <v>2002</v>
      </c>
      <c r="G238" s="11" t="s">
        <v>3093</v>
      </c>
      <c r="H238" s="11" t="s">
        <v>3094</v>
      </c>
    </row>
    <row r="239" spans="1:8" x14ac:dyDescent="0.25">
      <c r="A239" s="11">
        <v>236</v>
      </c>
      <c r="B239" s="11" t="s">
        <v>3331</v>
      </c>
      <c r="C239" s="11" t="s">
        <v>2008</v>
      </c>
      <c r="D239" s="11" t="s">
        <v>3574</v>
      </c>
      <c r="E239" s="11" t="s">
        <v>142</v>
      </c>
      <c r="F239" s="11" t="s">
        <v>2002</v>
      </c>
      <c r="G239" s="11" t="s">
        <v>3093</v>
      </c>
      <c r="H239" s="11" t="s">
        <v>3094</v>
      </c>
    </row>
    <row r="240" spans="1:8" x14ac:dyDescent="0.25">
      <c r="A240" s="11">
        <v>237</v>
      </c>
      <c r="B240" s="11" t="s">
        <v>3331</v>
      </c>
      <c r="C240" s="11" t="s">
        <v>2008</v>
      </c>
      <c r="D240" s="11" t="s">
        <v>3575</v>
      </c>
      <c r="E240" s="11" t="s">
        <v>3576</v>
      </c>
      <c r="F240" s="11" t="s">
        <v>2002</v>
      </c>
      <c r="G240" s="11" t="s">
        <v>3093</v>
      </c>
      <c r="H240" s="11" t="s">
        <v>3094</v>
      </c>
    </row>
    <row r="241" spans="1:8" x14ac:dyDescent="0.25">
      <c r="A241" s="11">
        <v>238</v>
      </c>
      <c r="B241" s="11" t="s">
        <v>3331</v>
      </c>
      <c r="C241" s="11" t="s">
        <v>2008</v>
      </c>
      <c r="D241" s="11" t="s">
        <v>3577</v>
      </c>
      <c r="E241" s="11" t="s">
        <v>3578</v>
      </c>
      <c r="F241" s="11" t="s">
        <v>2002</v>
      </c>
      <c r="G241" s="11" t="s">
        <v>3093</v>
      </c>
      <c r="H241" s="11" t="s">
        <v>3094</v>
      </c>
    </row>
    <row r="242" spans="1:8" x14ac:dyDescent="0.25">
      <c r="A242" s="11">
        <v>239</v>
      </c>
      <c r="B242" s="11" t="s">
        <v>3331</v>
      </c>
      <c r="C242" s="11" t="s">
        <v>2008</v>
      </c>
      <c r="D242" s="11" t="s">
        <v>3579</v>
      </c>
      <c r="E242" s="11" t="s">
        <v>3580</v>
      </c>
      <c r="F242" s="11" t="s">
        <v>2002</v>
      </c>
      <c r="G242" s="11" t="s">
        <v>3093</v>
      </c>
      <c r="H242" s="11" t="s">
        <v>3094</v>
      </c>
    </row>
  </sheetData>
  <autoFilter ref="A3:H242"/>
  <pageMargins left="0.7" right="0.7" top="0.75" bottom="0.75" header="0.3" footer="0.3"/>
  <pageSetup orientation="portrait"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4"/>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5" customWidth="1"/>
    <col min="2" max="2" width="7" customWidth="1"/>
    <col min="3" max="3" width="52" customWidth="1"/>
    <col min="4" max="4" width="20" customWidth="1"/>
    <col min="5" max="5" width="18" customWidth="1"/>
    <col min="6" max="6" width="24" customWidth="1"/>
    <col min="7" max="7" width="70" customWidth="1"/>
  </cols>
  <sheetData>
    <row r="1" spans="1:1" x14ac:dyDescent="0.25">
      <c r="A1" s="1" t="s">
        <v>3581</v>
      </c>
    </row>
    <row r="2" spans="1:1" x14ac:dyDescent="0.25">
      <c r="A2" s="2" t="s">
        <v>3582</v>
      </c>
    </row>
    <row r="3" spans="1:7" x14ac:dyDescent="0.25">
      <c r="A3" s="4" t="s">
        <v>118</v>
      </c>
      <c r="B3" s="4" t="s">
        <v>3583</v>
      </c>
      <c r="C3" s="4" t="s">
        <v>3584</v>
      </c>
      <c r="D3" s="4" t="s">
        <v>3585</v>
      </c>
      <c r="E3" s="4" t="s">
        <v>3586</v>
      </c>
      <c r="F3" s="4" t="s">
        <v>119</v>
      </c>
      <c r="G3" s="4" t="s">
        <v>3084</v>
      </c>
    </row>
    <row r="4" spans="1:7" x14ac:dyDescent="0.25">
      <c r="A4" s="11">
        <v>1</v>
      </c>
      <c r="B4" s="11" t="s">
        <v>3587</v>
      </c>
      <c r="C4" s="11" t="s">
        <v>3588</v>
      </c>
      <c r="D4" s="11" t="s">
        <v>3589</v>
      </c>
      <c r="E4" s="11" t="s">
        <v>3590</v>
      </c>
      <c r="F4" s="11" t="s">
        <v>1888</v>
      </c>
      <c r="G4" s="11" t="s">
        <v>3591</v>
      </c>
    </row>
    <row r="5" spans="1:7" x14ac:dyDescent="0.25">
      <c r="A5" s="11">
        <v>2</v>
      </c>
      <c r="B5" s="11" t="s">
        <v>3587</v>
      </c>
      <c r="C5" s="11" t="s">
        <v>3592</v>
      </c>
      <c r="D5" s="11" t="s">
        <v>3589</v>
      </c>
      <c r="E5" s="11" t="s">
        <v>3590</v>
      </c>
      <c r="F5" s="11" t="s">
        <v>2883</v>
      </c>
      <c r="G5" s="11" t="s">
        <v>3593</v>
      </c>
    </row>
    <row r="6" spans="1:7" x14ac:dyDescent="0.25">
      <c r="A6" s="11">
        <v>3</v>
      </c>
      <c r="B6" s="11" t="s">
        <v>3587</v>
      </c>
      <c r="C6" s="11" t="s">
        <v>3594</v>
      </c>
      <c r="D6" s="11" t="s">
        <v>3589</v>
      </c>
      <c r="E6" s="11" t="s">
        <v>3590</v>
      </c>
      <c r="F6" s="11" t="s">
        <v>1946</v>
      </c>
      <c r="G6" s="11" t="s">
        <v>3595</v>
      </c>
    </row>
    <row r="7" spans="1:7" x14ac:dyDescent="0.25">
      <c r="A7" s="11">
        <v>4</v>
      </c>
      <c r="B7" s="11" t="s">
        <v>3587</v>
      </c>
      <c r="C7" s="11" t="s">
        <v>3596</v>
      </c>
      <c r="D7" s="11" t="s">
        <v>3589</v>
      </c>
      <c r="E7" s="11" t="s">
        <v>3590</v>
      </c>
      <c r="F7" s="11" t="s">
        <v>1888</v>
      </c>
      <c r="G7" s="11" t="s">
        <v>3597</v>
      </c>
    </row>
    <row r="8" spans="1:7" x14ac:dyDescent="0.25">
      <c r="A8" s="11">
        <v>5</v>
      </c>
      <c r="B8" s="11" t="s">
        <v>3587</v>
      </c>
      <c r="C8" s="11" t="s">
        <v>3598</v>
      </c>
      <c r="D8" s="11" t="s">
        <v>3589</v>
      </c>
      <c r="E8" s="11" t="s">
        <v>3590</v>
      </c>
      <c r="F8" s="11" t="s">
        <v>1888</v>
      </c>
      <c r="G8" s="11" t="s">
        <v>3599</v>
      </c>
    </row>
    <row r="9" spans="1:7" x14ac:dyDescent="0.25">
      <c r="A9" s="11">
        <v>6</v>
      </c>
      <c r="B9" s="11" t="s">
        <v>3587</v>
      </c>
      <c r="C9" s="11" t="s">
        <v>3600</v>
      </c>
      <c r="D9" s="11" t="s">
        <v>3589</v>
      </c>
      <c r="E9" s="11" t="s">
        <v>3590</v>
      </c>
      <c r="F9" s="11" t="s">
        <v>1887</v>
      </c>
      <c r="G9" s="11" t="s">
        <v>3601</v>
      </c>
    </row>
    <row r="10" spans="1:7" x14ac:dyDescent="0.25">
      <c r="A10" s="11">
        <v>7</v>
      </c>
      <c r="B10" s="11" t="s">
        <v>3587</v>
      </c>
      <c r="C10" s="11" t="s">
        <v>3602</v>
      </c>
      <c r="D10" s="11" t="s">
        <v>3589</v>
      </c>
      <c r="E10" s="11" t="s">
        <v>3590</v>
      </c>
      <c r="F10" s="11" t="s">
        <v>2075</v>
      </c>
      <c r="G10" s="11" t="s">
        <v>3603</v>
      </c>
    </row>
    <row r="11" spans="1:7" x14ac:dyDescent="0.25">
      <c r="A11" s="11">
        <v>8</v>
      </c>
      <c r="B11" s="11" t="s">
        <v>3587</v>
      </c>
      <c r="C11" s="11" t="s">
        <v>3604</v>
      </c>
      <c r="D11" s="11" t="s">
        <v>3589</v>
      </c>
      <c r="E11" s="11" t="s">
        <v>3590</v>
      </c>
      <c r="F11" s="11" t="s">
        <v>1951</v>
      </c>
      <c r="G11" s="11" t="s">
        <v>3605</v>
      </c>
    </row>
    <row r="12" spans="1:7" x14ac:dyDescent="0.25">
      <c r="A12" s="11">
        <v>9</v>
      </c>
      <c r="B12" s="11" t="s">
        <v>3587</v>
      </c>
      <c r="C12" s="11" t="s">
        <v>3606</v>
      </c>
      <c r="D12" s="11" t="s">
        <v>3589</v>
      </c>
      <c r="E12" s="11" t="s">
        <v>3590</v>
      </c>
      <c r="F12" s="11" t="s">
        <v>2139</v>
      </c>
      <c r="G12" s="11" t="s">
        <v>3607</v>
      </c>
    </row>
    <row r="13" spans="1:7" x14ac:dyDescent="0.25">
      <c r="A13" s="11">
        <v>10</v>
      </c>
      <c r="B13" s="11" t="s">
        <v>3587</v>
      </c>
      <c r="C13" s="11" t="s">
        <v>3608</v>
      </c>
      <c r="D13" s="11" t="s">
        <v>3589</v>
      </c>
      <c r="E13" s="11" t="s">
        <v>3590</v>
      </c>
      <c r="F13" s="11" t="s">
        <v>2002</v>
      </c>
      <c r="G13" s="11" t="s">
        <v>3609</v>
      </c>
    </row>
    <row r="14" spans="1:7" x14ac:dyDescent="0.25">
      <c r="A14" s="11">
        <v>11</v>
      </c>
      <c r="B14" s="11" t="s">
        <v>3610</v>
      </c>
      <c r="C14" s="11" t="s">
        <v>3611</v>
      </c>
      <c r="D14" s="11" t="s">
        <v>3612</v>
      </c>
      <c r="E14" s="11" t="s">
        <v>3590</v>
      </c>
      <c r="F14" s="11" t="s">
        <v>3613</v>
      </c>
      <c r="G14" s="11" t="s">
        <v>3614</v>
      </c>
    </row>
    <row r="15" spans="1:7" x14ac:dyDescent="0.25">
      <c r="A15" s="11">
        <v>12</v>
      </c>
      <c r="B15" s="11" t="s">
        <v>3610</v>
      </c>
      <c r="C15" s="11" t="s">
        <v>3615</v>
      </c>
      <c r="D15" s="11" t="s">
        <v>3616</v>
      </c>
      <c r="E15" s="11" t="s">
        <v>3590</v>
      </c>
      <c r="F15" s="11" t="s">
        <v>2883</v>
      </c>
      <c r="G15" s="11" t="s">
        <v>3617</v>
      </c>
    </row>
    <row r="16" spans="1:7" x14ac:dyDescent="0.25">
      <c r="A16" s="11">
        <v>13</v>
      </c>
      <c r="B16" s="11" t="s">
        <v>3610</v>
      </c>
      <c r="C16" s="11" t="s">
        <v>3618</v>
      </c>
      <c r="D16" s="11" t="s">
        <v>3616</v>
      </c>
      <c r="E16" s="11" t="s">
        <v>3590</v>
      </c>
      <c r="F16" s="11" t="s">
        <v>3619</v>
      </c>
      <c r="G16" s="11" t="s">
        <v>3620</v>
      </c>
    </row>
    <row r="17" spans="1:7" x14ac:dyDescent="0.25">
      <c r="A17" s="11">
        <v>14</v>
      </c>
      <c r="B17" s="11" t="s">
        <v>3610</v>
      </c>
      <c r="C17" s="11" t="s">
        <v>3621</v>
      </c>
      <c r="D17" s="11" t="s">
        <v>3612</v>
      </c>
      <c r="E17" s="11" t="s">
        <v>3590</v>
      </c>
      <c r="F17" s="11" t="s">
        <v>1946</v>
      </c>
      <c r="G17" s="11" t="s">
        <v>3622</v>
      </c>
    </row>
    <row r="18" spans="1:7" x14ac:dyDescent="0.25">
      <c r="A18" s="11">
        <v>15</v>
      </c>
      <c r="B18" s="11" t="s">
        <v>3610</v>
      </c>
      <c r="C18" s="11" t="s">
        <v>3623</v>
      </c>
      <c r="D18" s="11" t="s">
        <v>3624</v>
      </c>
      <c r="E18" s="11" t="s">
        <v>3590</v>
      </c>
      <c r="F18" s="11" t="s">
        <v>1946</v>
      </c>
      <c r="G18" s="11" t="s">
        <v>3625</v>
      </c>
    </row>
    <row r="19" spans="1:7" x14ac:dyDescent="0.25">
      <c r="A19" s="11">
        <v>16</v>
      </c>
      <c r="B19" s="11" t="s">
        <v>3610</v>
      </c>
      <c r="C19" s="11" t="s">
        <v>3626</v>
      </c>
      <c r="D19" s="11" t="s">
        <v>3627</v>
      </c>
      <c r="E19" s="11" t="s">
        <v>3590</v>
      </c>
      <c r="F19" s="11" t="s">
        <v>1911</v>
      </c>
      <c r="G19" s="11" t="s">
        <v>3628</v>
      </c>
    </row>
    <row r="20" spans="1:7" x14ac:dyDescent="0.25">
      <c r="A20" s="11">
        <v>17</v>
      </c>
      <c r="B20" s="11" t="s">
        <v>3610</v>
      </c>
      <c r="C20" s="11" t="s">
        <v>3629</v>
      </c>
      <c r="D20" s="11" t="s">
        <v>3612</v>
      </c>
      <c r="E20" s="11" t="s">
        <v>3590</v>
      </c>
      <c r="F20" s="11" t="s">
        <v>1905</v>
      </c>
      <c r="G20" s="11" t="s">
        <v>3630</v>
      </c>
    </row>
    <row r="21" spans="1:7" x14ac:dyDescent="0.25">
      <c r="A21" s="11">
        <v>18</v>
      </c>
      <c r="B21" s="11" t="s">
        <v>3610</v>
      </c>
      <c r="C21" s="11" t="s">
        <v>3631</v>
      </c>
      <c r="D21" s="11" t="s">
        <v>3612</v>
      </c>
      <c r="E21" s="11" t="s">
        <v>3590</v>
      </c>
      <c r="F21" s="11" t="s">
        <v>1917</v>
      </c>
      <c r="G21" s="11" t="s">
        <v>3632</v>
      </c>
    </row>
    <row r="22" spans="1:7" x14ac:dyDescent="0.25">
      <c r="A22" s="11">
        <v>19</v>
      </c>
      <c r="B22" s="11" t="s">
        <v>3610</v>
      </c>
      <c r="C22" s="11" t="s">
        <v>3633</v>
      </c>
      <c r="D22" s="11" t="s">
        <v>3612</v>
      </c>
      <c r="E22" s="11" t="s">
        <v>3590</v>
      </c>
      <c r="F22" s="11" t="s">
        <v>1911</v>
      </c>
      <c r="G22" s="11" t="s">
        <v>3634</v>
      </c>
    </row>
    <row r="23" spans="1:7" x14ac:dyDescent="0.25">
      <c r="A23" s="11">
        <v>20</v>
      </c>
      <c r="B23" s="11" t="s">
        <v>3610</v>
      </c>
      <c r="C23" s="11" t="s">
        <v>3635</v>
      </c>
      <c r="D23" s="11" t="s">
        <v>3612</v>
      </c>
      <c r="E23" s="11" t="s">
        <v>3590</v>
      </c>
      <c r="F23" s="11" t="s">
        <v>1911</v>
      </c>
      <c r="G23" s="11" t="s">
        <v>3636</v>
      </c>
    </row>
    <row r="24" spans="1:7" x14ac:dyDescent="0.25">
      <c r="A24" s="11">
        <v>21</v>
      </c>
      <c r="B24" s="11" t="s">
        <v>3610</v>
      </c>
      <c r="C24" s="11" t="s">
        <v>3637</v>
      </c>
      <c r="D24" s="11" t="s">
        <v>3616</v>
      </c>
      <c r="E24" s="11" t="s">
        <v>3590</v>
      </c>
      <c r="F24" s="11" t="s">
        <v>1911</v>
      </c>
      <c r="G24" s="11" t="s">
        <v>3638</v>
      </c>
    </row>
    <row r="25" spans="1:7" x14ac:dyDescent="0.25">
      <c r="A25" s="11">
        <v>22</v>
      </c>
      <c r="B25" s="11" t="s">
        <v>3610</v>
      </c>
      <c r="C25" s="11" t="s">
        <v>3639</v>
      </c>
      <c r="D25" s="11" t="s">
        <v>3612</v>
      </c>
      <c r="E25" s="11" t="s">
        <v>3590</v>
      </c>
      <c r="F25" s="11" t="s">
        <v>1911</v>
      </c>
      <c r="G25" s="11" t="s">
        <v>3640</v>
      </c>
    </row>
    <row r="26" spans="1:7" x14ac:dyDescent="0.25">
      <c r="A26" s="11">
        <v>23</v>
      </c>
      <c r="B26" s="11" t="s">
        <v>3610</v>
      </c>
      <c r="C26" s="11" t="s">
        <v>3641</v>
      </c>
      <c r="D26" s="11" t="s">
        <v>3624</v>
      </c>
      <c r="E26" s="11" t="s">
        <v>3590</v>
      </c>
      <c r="F26" s="11" t="s">
        <v>1888</v>
      </c>
      <c r="G26" s="11" t="s">
        <v>3642</v>
      </c>
    </row>
    <row r="27" spans="1:7" x14ac:dyDescent="0.25">
      <c r="A27" s="11">
        <v>24</v>
      </c>
      <c r="B27" s="11" t="s">
        <v>3610</v>
      </c>
      <c r="C27" s="11" t="s">
        <v>3643</v>
      </c>
      <c r="D27" s="11" t="s">
        <v>3644</v>
      </c>
      <c r="E27" s="11" t="s">
        <v>3590</v>
      </c>
      <c r="F27" s="11" t="s">
        <v>1923</v>
      </c>
      <c r="G27" s="11" t="s">
        <v>3645</v>
      </c>
    </row>
    <row r="28" spans="1:7" x14ac:dyDescent="0.25">
      <c r="A28" s="11">
        <v>25</v>
      </c>
      <c r="B28" s="11" t="s">
        <v>3610</v>
      </c>
      <c r="C28" s="11" t="s">
        <v>3646</v>
      </c>
      <c r="D28" s="11" t="s">
        <v>3616</v>
      </c>
      <c r="E28" s="11" t="s">
        <v>3590</v>
      </c>
      <c r="F28" s="11" t="s">
        <v>1888</v>
      </c>
      <c r="G28" s="11" t="s">
        <v>3647</v>
      </c>
    </row>
    <row r="29" spans="1:7" x14ac:dyDescent="0.25">
      <c r="A29" s="11">
        <v>26</v>
      </c>
      <c r="B29" s="11" t="s">
        <v>3610</v>
      </c>
      <c r="C29" s="11" t="s">
        <v>3648</v>
      </c>
      <c r="D29" s="11" t="s">
        <v>3612</v>
      </c>
      <c r="E29" s="11" t="s">
        <v>3590</v>
      </c>
      <c r="F29" s="11" t="s">
        <v>2108</v>
      </c>
      <c r="G29" s="11" t="s">
        <v>3649</v>
      </c>
    </row>
    <row r="30" spans="1:7" x14ac:dyDescent="0.25">
      <c r="A30" s="11">
        <v>27</v>
      </c>
      <c r="B30" s="11" t="s">
        <v>3610</v>
      </c>
      <c r="C30" s="11" t="s">
        <v>3650</v>
      </c>
      <c r="D30" s="11" t="s">
        <v>3627</v>
      </c>
      <c r="E30" s="11" t="s">
        <v>3590</v>
      </c>
      <c r="F30" s="11" t="s">
        <v>1887</v>
      </c>
      <c r="G30" s="11" t="s">
        <v>3651</v>
      </c>
    </row>
    <row r="31" spans="1:7" x14ac:dyDescent="0.25">
      <c r="A31" s="11">
        <v>28</v>
      </c>
      <c r="B31" s="11" t="s">
        <v>3610</v>
      </c>
      <c r="C31" s="11" t="s">
        <v>3652</v>
      </c>
      <c r="D31" s="11" t="s">
        <v>3653</v>
      </c>
      <c r="E31" s="11" t="s">
        <v>3590</v>
      </c>
      <c r="F31" s="11" t="s">
        <v>2062</v>
      </c>
      <c r="G31" s="11" t="s">
        <v>3654</v>
      </c>
    </row>
    <row r="32" spans="1:7" x14ac:dyDescent="0.25">
      <c r="A32" s="11">
        <v>29</v>
      </c>
      <c r="B32" s="11" t="s">
        <v>3610</v>
      </c>
      <c r="C32" s="11" t="s">
        <v>3655</v>
      </c>
      <c r="D32" s="11" t="s">
        <v>3616</v>
      </c>
      <c r="E32" s="11" t="s">
        <v>3590</v>
      </c>
      <c r="F32" s="11" t="s">
        <v>2062</v>
      </c>
      <c r="G32" s="11" t="s">
        <v>3656</v>
      </c>
    </row>
    <row r="33" spans="1:7" x14ac:dyDescent="0.25">
      <c r="A33" s="11">
        <v>30</v>
      </c>
      <c r="B33" s="11" t="s">
        <v>3610</v>
      </c>
      <c r="C33" s="11" t="s">
        <v>3657</v>
      </c>
      <c r="D33" s="11" t="s">
        <v>3616</v>
      </c>
      <c r="E33" s="11" t="s">
        <v>3590</v>
      </c>
      <c r="F33" s="11" t="s">
        <v>2002</v>
      </c>
      <c r="G33" s="11" t="s">
        <v>3658</v>
      </c>
    </row>
    <row r="34" spans="1:7" x14ac:dyDescent="0.25">
      <c r="A34" s="11">
        <v>31</v>
      </c>
      <c r="B34" s="11" t="s">
        <v>3610</v>
      </c>
      <c r="C34" s="11" t="s">
        <v>3659</v>
      </c>
      <c r="D34" s="11" t="s">
        <v>3612</v>
      </c>
      <c r="E34" s="11" t="s">
        <v>2839</v>
      </c>
      <c r="F34" s="11" t="s">
        <v>1905</v>
      </c>
      <c r="G34" s="11" t="s">
        <v>3660</v>
      </c>
    </row>
    <row r="35" spans="1:7" x14ac:dyDescent="0.25">
      <c r="A35" s="11">
        <v>32</v>
      </c>
      <c r="B35" s="11" t="s">
        <v>3610</v>
      </c>
      <c r="C35" s="11" t="s">
        <v>3661</v>
      </c>
      <c r="D35" s="11" t="s">
        <v>3612</v>
      </c>
      <c r="E35" s="11" t="s">
        <v>2839</v>
      </c>
      <c r="F35" s="11" t="s">
        <v>1905</v>
      </c>
      <c r="G35" s="11" t="s">
        <v>3662</v>
      </c>
    </row>
    <row r="36" spans="1:7" x14ac:dyDescent="0.25">
      <c r="A36" s="11">
        <v>33</v>
      </c>
      <c r="B36" s="11" t="s">
        <v>3610</v>
      </c>
      <c r="C36" s="11" t="s">
        <v>3663</v>
      </c>
      <c r="D36" s="11" t="s">
        <v>3627</v>
      </c>
      <c r="E36" s="11" t="s">
        <v>2839</v>
      </c>
      <c r="F36" s="11" t="s">
        <v>1905</v>
      </c>
      <c r="G36" s="11" t="s">
        <v>3664</v>
      </c>
    </row>
    <row r="37" spans="1:7" x14ac:dyDescent="0.25">
      <c r="A37" s="11">
        <v>34</v>
      </c>
      <c r="B37" s="11" t="s">
        <v>3610</v>
      </c>
      <c r="C37" s="11" t="s">
        <v>3665</v>
      </c>
      <c r="D37" s="11" t="s">
        <v>3612</v>
      </c>
      <c r="E37" s="11" t="s">
        <v>2839</v>
      </c>
      <c r="F37" s="11" t="s">
        <v>1905</v>
      </c>
      <c r="G37" s="11" t="s">
        <v>3666</v>
      </c>
    </row>
    <row r="38" spans="1:7" x14ac:dyDescent="0.25">
      <c r="A38" s="11">
        <v>35</v>
      </c>
      <c r="B38" s="11" t="s">
        <v>3610</v>
      </c>
      <c r="C38" s="11" t="s">
        <v>3667</v>
      </c>
      <c r="D38" s="11" t="s">
        <v>3612</v>
      </c>
      <c r="E38" s="11" t="s">
        <v>2839</v>
      </c>
      <c r="F38" s="11" t="s">
        <v>1934</v>
      </c>
      <c r="G38" s="11" t="s">
        <v>3668</v>
      </c>
    </row>
    <row r="39" spans="1:7" x14ac:dyDescent="0.25">
      <c r="A39" s="11">
        <v>36</v>
      </c>
      <c r="B39" s="11" t="s">
        <v>3610</v>
      </c>
      <c r="C39" s="11" t="s">
        <v>3669</v>
      </c>
      <c r="D39" s="11" t="s">
        <v>3612</v>
      </c>
      <c r="E39" s="11" t="s">
        <v>2839</v>
      </c>
      <c r="F39" s="11" t="s">
        <v>1934</v>
      </c>
      <c r="G39" s="11" t="s">
        <v>3670</v>
      </c>
    </row>
    <row r="40" spans="1:7" x14ac:dyDescent="0.25">
      <c r="A40" s="11">
        <v>37</v>
      </c>
      <c r="B40" s="11" t="s">
        <v>3610</v>
      </c>
      <c r="C40" s="11" t="s">
        <v>3671</v>
      </c>
      <c r="D40" s="11" t="s">
        <v>3616</v>
      </c>
      <c r="E40" s="11" t="s">
        <v>2839</v>
      </c>
      <c r="F40" s="11" t="s">
        <v>1934</v>
      </c>
      <c r="G40" s="11" t="s">
        <v>3672</v>
      </c>
    </row>
    <row r="41" spans="1:7" x14ac:dyDescent="0.25">
      <c r="A41" s="11">
        <v>38</v>
      </c>
      <c r="B41" s="11" t="s">
        <v>3610</v>
      </c>
      <c r="C41" s="11" t="s">
        <v>3673</v>
      </c>
      <c r="D41" s="11" t="s">
        <v>3624</v>
      </c>
      <c r="E41" s="11" t="s">
        <v>2839</v>
      </c>
      <c r="F41" s="11" t="s">
        <v>1917</v>
      </c>
      <c r="G41" s="11" t="s">
        <v>3674</v>
      </c>
    </row>
    <row r="42" spans="1:7" x14ac:dyDescent="0.25">
      <c r="A42" s="11">
        <v>39</v>
      </c>
      <c r="B42" s="11" t="s">
        <v>3610</v>
      </c>
      <c r="C42" s="11" t="s">
        <v>3675</v>
      </c>
      <c r="D42" s="11" t="s">
        <v>3624</v>
      </c>
      <c r="E42" s="11" t="s">
        <v>2839</v>
      </c>
      <c r="F42" s="11" t="s">
        <v>3619</v>
      </c>
      <c r="G42" s="11" t="s">
        <v>3676</v>
      </c>
    </row>
    <row r="43" spans="1:7" x14ac:dyDescent="0.25">
      <c r="A43" s="11">
        <v>40</v>
      </c>
      <c r="B43" s="11" t="s">
        <v>3610</v>
      </c>
      <c r="C43" s="11" t="s">
        <v>3677</v>
      </c>
      <c r="D43" s="11" t="s">
        <v>3624</v>
      </c>
      <c r="E43" s="11" t="s">
        <v>2839</v>
      </c>
      <c r="F43" s="11" t="s">
        <v>3619</v>
      </c>
      <c r="G43" s="11" t="s">
        <v>3678</v>
      </c>
    </row>
    <row r="44" spans="1:7" x14ac:dyDescent="0.25">
      <c r="A44" s="11">
        <v>41</v>
      </c>
      <c r="B44" s="11" t="s">
        <v>3610</v>
      </c>
      <c r="C44" s="11" t="s">
        <v>3679</v>
      </c>
      <c r="D44" s="11" t="s">
        <v>3616</v>
      </c>
      <c r="E44" s="11" t="s">
        <v>2839</v>
      </c>
      <c r="F44" s="11" t="s">
        <v>1946</v>
      </c>
      <c r="G44" s="11" t="s">
        <v>3680</v>
      </c>
    </row>
    <row r="45" spans="1:7" x14ac:dyDescent="0.25">
      <c r="A45" s="11">
        <v>42</v>
      </c>
      <c r="B45" s="11" t="s">
        <v>3610</v>
      </c>
      <c r="C45" s="11" t="s">
        <v>3681</v>
      </c>
      <c r="D45" s="11" t="s">
        <v>3624</v>
      </c>
      <c r="E45" s="11" t="s">
        <v>2839</v>
      </c>
      <c r="F45" s="11" t="s">
        <v>1911</v>
      </c>
      <c r="G45" s="11" t="s">
        <v>3682</v>
      </c>
    </row>
    <row r="46" spans="1:7" x14ac:dyDescent="0.25">
      <c r="A46" s="11">
        <v>43</v>
      </c>
      <c r="B46" s="11" t="s">
        <v>3610</v>
      </c>
      <c r="C46" s="11" t="s">
        <v>3683</v>
      </c>
      <c r="D46" s="11" t="s">
        <v>3644</v>
      </c>
      <c r="E46" s="11" t="s">
        <v>2839</v>
      </c>
      <c r="F46" s="11" t="s">
        <v>1946</v>
      </c>
      <c r="G46" s="11" t="s">
        <v>3684</v>
      </c>
    </row>
    <row r="47" spans="1:7" x14ac:dyDescent="0.25">
      <c r="A47" s="11">
        <v>44</v>
      </c>
      <c r="B47" s="11" t="s">
        <v>3610</v>
      </c>
      <c r="C47" s="11" t="s">
        <v>3685</v>
      </c>
      <c r="D47" s="11" t="s">
        <v>3616</v>
      </c>
      <c r="E47" s="11" t="s">
        <v>2839</v>
      </c>
      <c r="F47" s="11" t="s">
        <v>1946</v>
      </c>
      <c r="G47" s="11" t="s">
        <v>3686</v>
      </c>
    </row>
    <row r="48" spans="1:7" x14ac:dyDescent="0.25">
      <c r="A48" s="11">
        <v>45</v>
      </c>
      <c r="B48" s="11" t="s">
        <v>3610</v>
      </c>
      <c r="C48" s="11" t="s">
        <v>3687</v>
      </c>
      <c r="D48" s="11" t="s">
        <v>3644</v>
      </c>
      <c r="E48" s="11" t="s">
        <v>2839</v>
      </c>
      <c r="F48" s="11" t="s">
        <v>1923</v>
      </c>
      <c r="G48" s="11" t="s">
        <v>3688</v>
      </c>
    </row>
    <row r="49" spans="1:7" x14ac:dyDescent="0.25">
      <c r="A49" s="11">
        <v>46</v>
      </c>
      <c r="B49" s="11" t="s">
        <v>3610</v>
      </c>
      <c r="C49" s="11" t="s">
        <v>3689</v>
      </c>
      <c r="D49" s="11" t="s">
        <v>3616</v>
      </c>
      <c r="E49" s="11" t="s">
        <v>2839</v>
      </c>
      <c r="F49" s="11" t="s">
        <v>1923</v>
      </c>
      <c r="G49" s="11" t="s">
        <v>3690</v>
      </c>
    </row>
    <row r="50" spans="1:7" x14ac:dyDescent="0.25">
      <c r="A50" s="11">
        <v>47</v>
      </c>
      <c r="B50" s="11" t="s">
        <v>3610</v>
      </c>
      <c r="C50" s="11" t="s">
        <v>3691</v>
      </c>
      <c r="D50" s="11" t="s">
        <v>3624</v>
      </c>
      <c r="E50" s="11" t="s">
        <v>2839</v>
      </c>
      <c r="F50" s="11" t="s">
        <v>1888</v>
      </c>
      <c r="G50" s="11" t="s">
        <v>3692</v>
      </c>
    </row>
    <row r="51" spans="1:7" x14ac:dyDescent="0.25">
      <c r="A51" s="11">
        <v>48</v>
      </c>
      <c r="B51" s="11" t="s">
        <v>3610</v>
      </c>
      <c r="C51" s="11" t="s">
        <v>3693</v>
      </c>
      <c r="D51" s="11" t="s">
        <v>3616</v>
      </c>
      <c r="E51" s="11" t="s">
        <v>3694</v>
      </c>
      <c r="F51" s="11" t="s">
        <v>2009</v>
      </c>
      <c r="G51" s="11" t="s">
        <v>3695</v>
      </c>
    </row>
    <row r="52" spans="1:7" x14ac:dyDescent="0.25">
      <c r="A52" s="11">
        <v>49</v>
      </c>
      <c r="B52" s="11" t="s">
        <v>3610</v>
      </c>
      <c r="C52" s="11" t="s">
        <v>3696</v>
      </c>
      <c r="D52" s="11" t="s">
        <v>3644</v>
      </c>
      <c r="E52" s="11" t="s">
        <v>2441</v>
      </c>
      <c r="F52" s="11" t="s">
        <v>2075</v>
      </c>
      <c r="G52" s="11" t="s">
        <v>3697</v>
      </c>
    </row>
    <row r="53" spans="1:7" x14ac:dyDescent="0.25">
      <c r="A53" s="11">
        <v>50</v>
      </c>
      <c r="B53" s="11" t="s">
        <v>3610</v>
      </c>
      <c r="C53" s="11" t="s">
        <v>3698</v>
      </c>
      <c r="D53" s="11" t="s">
        <v>3616</v>
      </c>
      <c r="E53" s="11" t="s">
        <v>2441</v>
      </c>
      <c r="F53" s="11" t="s">
        <v>2075</v>
      </c>
      <c r="G53" s="11" t="s">
        <v>3699</v>
      </c>
    </row>
    <row r="54" spans="1:7" x14ac:dyDescent="0.25">
      <c r="A54" s="11">
        <v>51</v>
      </c>
      <c r="B54" s="11" t="s">
        <v>3610</v>
      </c>
      <c r="C54" s="11" t="s">
        <v>3700</v>
      </c>
      <c r="D54" s="11" t="s">
        <v>3612</v>
      </c>
      <c r="E54" s="11" t="s">
        <v>2441</v>
      </c>
      <c r="F54" s="11" t="s">
        <v>3701</v>
      </c>
      <c r="G54" s="11" t="s">
        <v>3702</v>
      </c>
    </row>
    <row r="55" spans="1:7" x14ac:dyDescent="0.25">
      <c r="A55" s="11">
        <v>52</v>
      </c>
      <c r="B55" s="11" t="s">
        <v>3610</v>
      </c>
      <c r="C55" s="11" t="s">
        <v>3703</v>
      </c>
      <c r="D55" s="11" t="s">
        <v>3612</v>
      </c>
      <c r="E55" s="11" t="s">
        <v>2441</v>
      </c>
      <c r="F55" s="11" t="s">
        <v>2174</v>
      </c>
      <c r="G55" s="11" t="s">
        <v>3704</v>
      </c>
    </row>
    <row r="56" spans="1:7" x14ac:dyDescent="0.25">
      <c r="A56" s="11">
        <v>53</v>
      </c>
      <c r="B56" s="11" t="s">
        <v>3610</v>
      </c>
      <c r="C56" s="11" t="s">
        <v>3705</v>
      </c>
      <c r="D56" s="11" t="s">
        <v>3612</v>
      </c>
      <c r="E56" s="11" t="s">
        <v>2441</v>
      </c>
      <c r="F56" s="11" t="s">
        <v>2062</v>
      </c>
      <c r="G56" s="11" t="s">
        <v>3706</v>
      </c>
    </row>
    <row r="57" spans="1:7" x14ac:dyDescent="0.25">
      <c r="A57" s="11">
        <v>54</v>
      </c>
      <c r="B57" s="11" t="s">
        <v>3610</v>
      </c>
      <c r="C57" s="11" t="s">
        <v>3707</v>
      </c>
      <c r="D57" s="11" t="s">
        <v>3612</v>
      </c>
      <c r="E57" s="11" t="s">
        <v>2441</v>
      </c>
      <c r="F57" s="11" t="s">
        <v>2174</v>
      </c>
      <c r="G57" s="11" t="s">
        <v>3708</v>
      </c>
    </row>
    <row r="58" spans="1:7" x14ac:dyDescent="0.25">
      <c r="A58" s="11">
        <v>55</v>
      </c>
      <c r="B58" s="11" t="s">
        <v>3610</v>
      </c>
      <c r="C58" s="11" t="s">
        <v>3709</v>
      </c>
      <c r="D58" s="11" t="s">
        <v>3612</v>
      </c>
      <c r="E58" s="11" t="s">
        <v>2441</v>
      </c>
      <c r="F58" s="11" t="s">
        <v>2139</v>
      </c>
      <c r="G58" s="11" t="s">
        <v>3710</v>
      </c>
    </row>
    <row r="59" spans="1:7" x14ac:dyDescent="0.25">
      <c r="A59" s="11">
        <v>56</v>
      </c>
      <c r="B59" s="11" t="s">
        <v>3610</v>
      </c>
      <c r="C59" s="11" t="s">
        <v>3711</v>
      </c>
      <c r="D59" s="11" t="s">
        <v>3612</v>
      </c>
      <c r="E59" s="11" t="s">
        <v>2441</v>
      </c>
      <c r="F59" s="11" t="s">
        <v>3712</v>
      </c>
      <c r="G59" s="11" t="s">
        <v>3713</v>
      </c>
    </row>
    <row r="60" spans="1:7" x14ac:dyDescent="0.25">
      <c r="A60" s="11">
        <v>57</v>
      </c>
      <c r="B60" s="11" t="s">
        <v>3610</v>
      </c>
      <c r="C60" s="11" t="s">
        <v>3714</v>
      </c>
      <c r="D60" s="11" t="s">
        <v>3612</v>
      </c>
      <c r="E60" s="11" t="s">
        <v>2441</v>
      </c>
      <c r="F60" s="11" t="s">
        <v>3712</v>
      </c>
      <c r="G60" s="11" t="s">
        <v>3715</v>
      </c>
    </row>
    <row r="61" spans="1:7" x14ac:dyDescent="0.25">
      <c r="A61" s="11">
        <v>58</v>
      </c>
      <c r="B61" s="11" t="s">
        <v>3610</v>
      </c>
      <c r="C61" s="11" t="s">
        <v>3716</v>
      </c>
      <c r="D61" s="11" t="s">
        <v>3612</v>
      </c>
      <c r="E61" s="11" t="s">
        <v>2441</v>
      </c>
      <c r="F61" s="11" t="s">
        <v>3712</v>
      </c>
      <c r="G61" s="11" t="s">
        <v>3717</v>
      </c>
    </row>
    <row r="62" spans="1:7" x14ac:dyDescent="0.25">
      <c r="A62" s="11">
        <v>59</v>
      </c>
      <c r="B62" s="11" t="s">
        <v>3610</v>
      </c>
      <c r="C62" s="11" t="s">
        <v>3718</v>
      </c>
      <c r="D62" s="11" t="s">
        <v>3612</v>
      </c>
      <c r="E62" s="11" t="s">
        <v>2441</v>
      </c>
      <c r="F62" s="11" t="s">
        <v>3712</v>
      </c>
      <c r="G62" s="11" t="s">
        <v>3719</v>
      </c>
    </row>
    <row r="63" spans="1:7" x14ac:dyDescent="0.25">
      <c r="A63" s="11">
        <v>60</v>
      </c>
      <c r="B63" s="11" t="s">
        <v>3610</v>
      </c>
      <c r="C63" s="11" t="s">
        <v>3720</v>
      </c>
      <c r="D63" s="11" t="s">
        <v>3612</v>
      </c>
      <c r="E63" s="11" t="s">
        <v>2441</v>
      </c>
      <c r="F63" s="11" t="s">
        <v>3712</v>
      </c>
      <c r="G63" s="11" t="s">
        <v>3721</v>
      </c>
    </row>
    <row r="64" spans="1:7" x14ac:dyDescent="0.25">
      <c r="A64" s="11">
        <v>61</v>
      </c>
      <c r="B64" s="11" t="s">
        <v>3610</v>
      </c>
      <c r="C64" s="11" t="s">
        <v>3722</v>
      </c>
      <c r="D64" s="11" t="s">
        <v>3624</v>
      </c>
      <c r="E64" s="11" t="s">
        <v>2441</v>
      </c>
      <c r="F64" s="11" t="s">
        <v>3712</v>
      </c>
      <c r="G64" s="11" t="s">
        <v>3723</v>
      </c>
    </row>
    <row r="65" spans="1:7" x14ac:dyDescent="0.25">
      <c r="A65" s="11">
        <v>62</v>
      </c>
      <c r="B65" s="11" t="s">
        <v>3610</v>
      </c>
      <c r="C65" s="11" t="s">
        <v>3724</v>
      </c>
      <c r="D65" s="11" t="s">
        <v>3612</v>
      </c>
      <c r="E65" s="11" t="s">
        <v>2441</v>
      </c>
      <c r="F65" s="11" t="s">
        <v>3712</v>
      </c>
      <c r="G65" s="11" t="s">
        <v>3725</v>
      </c>
    </row>
    <row r="66" spans="1:7" x14ac:dyDescent="0.25">
      <c r="A66" s="11">
        <v>63</v>
      </c>
      <c r="B66" s="11" t="s">
        <v>3610</v>
      </c>
      <c r="C66" s="11" t="s">
        <v>3726</v>
      </c>
      <c r="D66" s="11" t="s">
        <v>3624</v>
      </c>
      <c r="E66" s="11" t="s">
        <v>2441</v>
      </c>
      <c r="F66" s="11" t="s">
        <v>2062</v>
      </c>
      <c r="G66" s="11" t="s">
        <v>3727</v>
      </c>
    </row>
    <row r="67" spans="1:7" x14ac:dyDescent="0.25">
      <c r="A67" s="11">
        <v>64</v>
      </c>
      <c r="B67" s="11" t="s">
        <v>3610</v>
      </c>
      <c r="C67" s="11" t="s">
        <v>3728</v>
      </c>
      <c r="D67" s="11" t="s">
        <v>3612</v>
      </c>
      <c r="E67" s="11" t="s">
        <v>3694</v>
      </c>
      <c r="F67" s="11" t="s">
        <v>2002</v>
      </c>
      <c r="G67" s="11" t="s">
        <v>3729</v>
      </c>
    </row>
    <row r="68" spans="1:7" x14ac:dyDescent="0.25">
      <c r="A68" s="11">
        <v>65</v>
      </c>
      <c r="B68" s="11" t="s">
        <v>3610</v>
      </c>
      <c r="C68" s="11" t="s">
        <v>3730</v>
      </c>
      <c r="D68" s="11" t="s">
        <v>3612</v>
      </c>
      <c r="E68" s="11" t="s">
        <v>3694</v>
      </c>
      <c r="F68" s="11" t="s">
        <v>2002</v>
      </c>
      <c r="G68" s="11" t="s">
        <v>3731</v>
      </c>
    </row>
    <row r="69" spans="1:7" x14ac:dyDescent="0.25">
      <c r="A69" s="11">
        <v>66</v>
      </c>
      <c r="B69" s="11" t="s">
        <v>3610</v>
      </c>
      <c r="C69" s="11" t="s">
        <v>3732</v>
      </c>
      <c r="D69" s="11" t="s">
        <v>3624</v>
      </c>
      <c r="E69" s="11" t="s">
        <v>3694</v>
      </c>
      <c r="F69" s="11" t="s">
        <v>2002</v>
      </c>
      <c r="G69" s="11" t="s">
        <v>3733</v>
      </c>
    </row>
    <row r="70" spans="1:7" x14ac:dyDescent="0.25">
      <c r="A70" s="11">
        <v>67</v>
      </c>
      <c r="B70" s="11" t="s">
        <v>3610</v>
      </c>
      <c r="C70" s="11" t="s">
        <v>3734</v>
      </c>
      <c r="D70" s="11" t="s">
        <v>3616</v>
      </c>
      <c r="E70" s="11" t="s">
        <v>3694</v>
      </c>
      <c r="F70" s="11" t="s">
        <v>2002</v>
      </c>
      <c r="G70" s="11" t="s">
        <v>3735</v>
      </c>
    </row>
    <row r="71" spans="1:7" x14ac:dyDescent="0.25">
      <c r="A71" s="11">
        <v>68</v>
      </c>
      <c r="B71" s="11" t="s">
        <v>3587</v>
      </c>
      <c r="C71" s="11" t="s">
        <v>3736</v>
      </c>
      <c r="D71" s="11" t="s">
        <v>3589</v>
      </c>
      <c r="E71" s="11" t="s">
        <v>2839</v>
      </c>
      <c r="F71" s="11" t="s">
        <v>1888</v>
      </c>
      <c r="G71" s="11" t="s">
        <v>3737</v>
      </c>
    </row>
    <row r="72" spans="1:7" x14ac:dyDescent="0.25">
      <c r="A72" s="11">
        <v>69</v>
      </c>
      <c r="B72" s="11" t="s">
        <v>3587</v>
      </c>
      <c r="C72" s="11" t="s">
        <v>3738</v>
      </c>
      <c r="D72" s="11" t="s">
        <v>3589</v>
      </c>
      <c r="E72" s="11" t="s">
        <v>2839</v>
      </c>
      <c r="F72" s="11" t="s">
        <v>1888</v>
      </c>
      <c r="G72" s="11" t="s">
        <v>3739</v>
      </c>
    </row>
    <row r="73" spans="1:7" x14ac:dyDescent="0.25">
      <c r="A73" s="11">
        <v>70</v>
      </c>
      <c r="B73" s="11" t="s">
        <v>3587</v>
      </c>
      <c r="C73" s="11" t="s">
        <v>3740</v>
      </c>
      <c r="D73" s="11" t="s">
        <v>3589</v>
      </c>
      <c r="E73" s="11" t="s">
        <v>2441</v>
      </c>
      <c r="F73" s="11" t="s">
        <v>2062</v>
      </c>
      <c r="G73" s="11" t="s">
        <v>3741</v>
      </c>
    </row>
    <row r="74" spans="1:7" x14ac:dyDescent="0.25">
      <c r="A74" s="11">
        <v>71</v>
      </c>
      <c r="B74" s="11" t="s">
        <v>3587</v>
      </c>
      <c r="C74" s="11" t="s">
        <v>3742</v>
      </c>
      <c r="D74" s="11" t="s">
        <v>3589</v>
      </c>
      <c r="E74" s="11" t="s">
        <v>2441</v>
      </c>
      <c r="F74" s="11" t="s">
        <v>2002</v>
      </c>
      <c r="G74" s="11" t="s">
        <v>3743</v>
      </c>
    </row>
  </sheetData>
  <autoFilter ref="A3:G74"/>
  <pageMargins left="0.7" right="0.7" top="0.75" bottom="0.75" header="0.3" footer="0.3"/>
  <pageSetup orientation="portrait" horizontalDpi="4294967295" verticalDpi="4294967295" scale="100" fitToWidth="1" fitToHeight="1" firstPageNumber="1" useFirstPageNumber="1" copies="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cols>
    <col min="1" max="1" width="16" customWidth="1"/>
    <col min="2" max="2" width="14" customWidth="1"/>
    <col min="3" max="3" width="12" customWidth="1"/>
    <col min="4" max="4" width="120" customWidth="1"/>
  </cols>
  <sheetData>
    <row r="1" spans="1:1" x14ac:dyDescent="0.25">
      <c r="A1" s="1" t="s">
        <v>3744</v>
      </c>
    </row>
    <row r="2" spans="1:1" x14ac:dyDescent="0.25">
      <c r="A2" s="2" t="s">
        <v>3745</v>
      </c>
    </row>
    <row r="4" spans="1:1" x14ac:dyDescent="0.25">
      <c r="A4" s="3" t="s">
        <v>3746</v>
      </c>
    </row>
    <row r="5" spans="1:4" x14ac:dyDescent="0.25">
      <c r="A5" s="4" t="s">
        <v>3747</v>
      </c>
      <c r="B5" s="4" t="s">
        <v>3748</v>
      </c>
      <c r="C5" s="4" t="s">
        <v>3749</v>
      </c>
      <c r="D5" s="4" t="s">
        <v>3750</v>
      </c>
    </row>
    <row r="6" spans="1:4" x14ac:dyDescent="0.25">
      <c r="A6" s="11" t="s">
        <v>3751</v>
      </c>
      <c r="B6" s="11" t="s">
        <v>3752</v>
      </c>
      <c r="C6" s="11" t="s">
        <v>3753</v>
      </c>
      <c r="D6" s="11" t="s">
        <v>3754</v>
      </c>
    </row>
    <row r="7" spans="1:4" x14ac:dyDescent="0.25">
      <c r="A7" s="11" t="s">
        <v>3755</v>
      </c>
      <c r="B7" s="11" t="s">
        <v>1989</v>
      </c>
      <c r="C7" s="11" t="s">
        <v>3756</v>
      </c>
      <c r="D7" s="11" t="s">
        <v>3757</v>
      </c>
    </row>
    <row r="8" spans="1:4" x14ac:dyDescent="0.25">
      <c r="A8" s="11" t="s">
        <v>3758</v>
      </c>
      <c r="B8" s="11" t="s">
        <v>2207</v>
      </c>
      <c r="C8" s="11" t="s">
        <v>3759</v>
      </c>
      <c r="D8" s="11" t="s">
        <v>3760</v>
      </c>
    </row>
    <row r="9" spans="1:4" x14ac:dyDescent="0.25">
      <c r="A9" s="11" t="s">
        <v>3761</v>
      </c>
      <c r="B9" s="11" t="s">
        <v>1982</v>
      </c>
      <c r="C9" s="11" t="s">
        <v>3762</v>
      </c>
      <c r="D9" s="11" t="s">
        <v>3763</v>
      </c>
    </row>
    <row r="10" spans="1:4" x14ac:dyDescent="0.25">
      <c r="A10" s="11" t="s">
        <v>3764</v>
      </c>
      <c r="B10" s="11" t="s">
        <v>2042</v>
      </c>
      <c r="C10" s="11" t="s">
        <v>3765</v>
      </c>
      <c r="D10" s="11" t="s">
        <v>3766</v>
      </c>
    </row>
    <row r="11" spans="1:4" x14ac:dyDescent="0.25">
      <c r="A11" s="11" t="s">
        <v>3767</v>
      </c>
      <c r="B11" s="11" t="s">
        <v>1995</v>
      </c>
      <c r="C11" s="11" t="s">
        <v>3768</v>
      </c>
      <c r="D11" s="11" t="s">
        <v>3769</v>
      </c>
    </row>
    <row r="12" spans="1:4" x14ac:dyDescent="0.25">
      <c r="A12" s="11" t="s">
        <v>3770</v>
      </c>
      <c r="B12" s="11" t="s">
        <v>2150</v>
      </c>
      <c r="C12" s="11" t="s">
        <v>3771</v>
      </c>
      <c r="D12" s="11" t="s">
        <v>3772</v>
      </c>
    </row>
    <row r="13" spans="1:4" x14ac:dyDescent="0.25">
      <c r="A13" s="11" t="s">
        <v>3773</v>
      </c>
      <c r="B13" s="11" t="s">
        <v>3774</v>
      </c>
      <c r="C13" s="11" t="s">
        <v>3775</v>
      </c>
      <c r="D13" s="11" t="s">
        <v>3776</v>
      </c>
    </row>
    <row r="14" spans="1:4" x14ac:dyDescent="0.25">
      <c r="A14" s="11" t="s">
        <v>3777</v>
      </c>
      <c r="B14" s="11" t="s">
        <v>1894</v>
      </c>
      <c r="C14" s="11" t="s">
        <v>3778</v>
      </c>
      <c r="D14" s="11" t="s">
        <v>3779</v>
      </c>
    </row>
    <row r="15" spans="1:4" x14ac:dyDescent="0.25">
      <c r="A15" s="11" t="s">
        <v>3780</v>
      </c>
      <c r="B15" s="11" t="s">
        <v>1767</v>
      </c>
      <c r="C15" s="11" t="s">
        <v>3781</v>
      </c>
      <c r="D15" s="11" t="s">
        <v>3782</v>
      </c>
    </row>
    <row r="17" spans="1:1" x14ac:dyDescent="0.25">
      <c r="A17" s="3" t="s">
        <v>3783</v>
      </c>
    </row>
    <row r="18" spans="1:3" x14ac:dyDescent="0.25">
      <c r="A18" s="4" t="s">
        <v>3784</v>
      </c>
      <c r="B18" s="4" t="s">
        <v>3785</v>
      </c>
      <c r="C18" s="4" t="s">
        <v>3786</v>
      </c>
    </row>
    <row r="19" spans="1:3" x14ac:dyDescent="0.25">
      <c r="A19" s="11" t="s">
        <v>3787</v>
      </c>
      <c r="B19" s="11" t="s">
        <v>3788</v>
      </c>
      <c r="C19" s="11" t="s">
        <v>3789</v>
      </c>
    </row>
    <row r="21" spans="1:1" x14ac:dyDescent="0.25">
      <c r="A21" s="3" t="s">
        <v>3790</v>
      </c>
    </row>
    <row r="22" spans="1:4" x14ac:dyDescent="0.25">
      <c r="A22" s="4" t="s">
        <v>118</v>
      </c>
      <c r="B22" s="4" t="s">
        <v>3750</v>
      </c>
      <c r="C22" s="4" t="s">
        <v>3791</v>
      </c>
      <c r="D22" s="4" t="s">
        <v>3792</v>
      </c>
    </row>
    <row r="23" spans="1:4" x14ac:dyDescent="0.25">
      <c r="A23" s="11" t="s">
        <v>3793</v>
      </c>
      <c r="B23" s="11" t="s">
        <v>3794</v>
      </c>
      <c r="C23" s="11" t="s">
        <v>3795</v>
      </c>
      <c r="D23" s="11" t="s">
        <v>3796</v>
      </c>
    </row>
    <row r="24" spans="1:4" x14ac:dyDescent="0.25">
      <c r="A24" s="11" t="s">
        <v>3797</v>
      </c>
      <c r="B24" s="11" t="s">
        <v>3798</v>
      </c>
      <c r="C24" s="11" t="s">
        <v>142</v>
      </c>
      <c r="D24" s="11" t="s">
        <v>3799</v>
      </c>
    </row>
    <row r="25" spans="1:4" x14ac:dyDescent="0.25">
      <c r="A25" s="11" t="s">
        <v>3800</v>
      </c>
      <c r="B25" s="11" t="s">
        <v>3801</v>
      </c>
      <c r="C25" s="11" t="s">
        <v>142</v>
      </c>
      <c r="D25" s="11" t="s">
        <v>3802</v>
      </c>
    </row>
    <row r="26" spans="1:4" x14ac:dyDescent="0.25">
      <c r="A26" s="11" t="s">
        <v>3803</v>
      </c>
      <c r="B26" s="11" t="s">
        <v>3804</v>
      </c>
      <c r="C26" s="11" t="s">
        <v>3805</v>
      </c>
      <c r="D26" s="11" t="s">
        <v>3806</v>
      </c>
    </row>
    <row r="27" spans="1:4" x14ac:dyDescent="0.25">
      <c r="A27" s="11" t="s">
        <v>142</v>
      </c>
      <c r="B27" s="11" t="s">
        <v>3807</v>
      </c>
      <c r="C27" s="11" t="s">
        <v>3808</v>
      </c>
      <c r="D27" s="11" t="s">
        <v>3809</v>
      </c>
    </row>
    <row r="29" spans="1:1" x14ac:dyDescent="0.25">
      <c r="A29" s="3" t="s">
        <v>3810</v>
      </c>
    </row>
    <row r="30" spans="1:2" x14ac:dyDescent="0.25">
      <c r="A30" s="4" t="s">
        <v>3064</v>
      </c>
      <c r="B30" s="4" t="s">
        <v>3065</v>
      </c>
    </row>
    <row r="31" spans="1:2" x14ac:dyDescent="0.25">
      <c r="A31" s="11" t="s">
        <v>3067</v>
      </c>
      <c r="B31" s="11" t="s">
        <v>3811</v>
      </c>
    </row>
    <row r="32" spans="1:2" x14ac:dyDescent="0.25">
      <c r="A32" s="11" t="s">
        <v>3071</v>
      </c>
      <c r="B32" s="11" t="s">
        <v>3812</v>
      </c>
    </row>
    <row r="33" spans="1:2" x14ac:dyDescent="0.25">
      <c r="A33" s="11" t="s">
        <v>3074</v>
      </c>
      <c r="B33" s="11" t="s">
        <v>3813</v>
      </c>
    </row>
    <row r="34" spans="1:2" x14ac:dyDescent="0.25">
      <c r="A34" s="11" t="s">
        <v>3076</v>
      </c>
      <c r="B34" s="11" t="s">
        <v>3814</v>
      </c>
    </row>
    <row r="35" spans="1:2" x14ac:dyDescent="0.25">
      <c r="A35" s="11" t="s">
        <v>3078</v>
      </c>
      <c r="B35" s="11" t="s">
        <v>3815</v>
      </c>
    </row>
    <row r="37" spans="1:1" x14ac:dyDescent="0.25">
      <c r="A37" s="3" t="s">
        <v>3816</v>
      </c>
    </row>
    <row r="38" spans="1:2" x14ac:dyDescent="0.25">
      <c r="A38" s="4" t="s">
        <v>3817</v>
      </c>
      <c r="B38" s="4" t="s">
        <v>3818</v>
      </c>
    </row>
    <row r="39" spans="1:2" x14ac:dyDescent="0.25">
      <c r="A39" s="11" t="s">
        <v>3819</v>
      </c>
      <c r="B39" s="11" t="s">
        <v>3820</v>
      </c>
    </row>
    <row r="40" spans="1:2" x14ac:dyDescent="0.25">
      <c r="A40" s="11" t="s">
        <v>3821</v>
      </c>
      <c r="B40" s="11" t="s">
        <v>3822</v>
      </c>
    </row>
  </sheetData>
  <pageMargins left="0.7" right="0.7" top="0.75" bottom="0.75" header="0.3" footer="0.3"/>
  <pageSetup orientation="portrait" horizontalDpi="4294967295" verticalDpi="4294967295" scale="100" fitToWidth="1" fitToHeight="1" firstPageNumber="1" useFirstPageNumber="1" copies="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7"/>
  <sheetFormatPr defaultRowHeight="15" outlineLevelRow="0" outlineLevelCol="0" x14ac:dyDescent="55"/>
  <cols>
    <col min="1" max="1" width="34" customWidth="1"/>
    <col min="2" max="2" width="26" customWidth="1"/>
    <col min="3" max="3" width="24" customWidth="1"/>
    <col min="4" max="4" width="30" customWidth="1"/>
    <col min="5" max="5" width="34" customWidth="1"/>
  </cols>
  <sheetData>
    <row r="1" spans="1:1" x14ac:dyDescent="0.25">
      <c r="A1" s="1" t="s">
        <v>3823</v>
      </c>
    </row>
    <row r="3" spans="1:1" x14ac:dyDescent="0.25">
      <c r="A3" s="3" t="s">
        <v>3824</v>
      </c>
    </row>
    <row r="4" spans="1:5" x14ac:dyDescent="0.25">
      <c r="A4" s="4" t="s">
        <v>3587</v>
      </c>
      <c r="B4" s="4" t="s">
        <v>3825</v>
      </c>
      <c r="C4" s="4" t="s">
        <v>3826</v>
      </c>
      <c r="D4" s="4" t="s">
        <v>3827</v>
      </c>
      <c r="E4" s="4" t="s">
        <v>3828</v>
      </c>
    </row>
    <row r="5" spans="1:5" x14ac:dyDescent="0.25">
      <c r="A5" s="11" t="s">
        <v>3829</v>
      </c>
      <c r="B5" s="11" t="s">
        <v>3830</v>
      </c>
      <c r="C5" s="11" t="s">
        <v>3831</v>
      </c>
      <c r="D5" s="11" t="s">
        <v>3832</v>
      </c>
      <c r="E5" s="11" t="s">
        <v>3833</v>
      </c>
    </row>
    <row r="6" spans="1:5" x14ac:dyDescent="0.25">
      <c r="A6" s="11" t="s">
        <v>3834</v>
      </c>
      <c r="B6" s="11" t="s">
        <v>142</v>
      </c>
      <c r="C6" s="11" t="s">
        <v>3835</v>
      </c>
      <c r="D6" s="11" t="s">
        <v>3836</v>
      </c>
      <c r="E6" s="11" t="s">
        <v>3837</v>
      </c>
    </row>
    <row r="7" spans="1:5" x14ac:dyDescent="0.25">
      <c r="A7" s="11" t="s">
        <v>3838</v>
      </c>
      <c r="B7" s="11" t="s">
        <v>142</v>
      </c>
      <c r="C7" s="11" t="s">
        <v>3839</v>
      </c>
      <c r="D7" s="11" t="s">
        <v>3836</v>
      </c>
      <c r="E7" s="11" t="s">
        <v>3837</v>
      </c>
    </row>
    <row r="8" spans="1:5" x14ac:dyDescent="0.25">
      <c r="A8" s="11" t="s">
        <v>3840</v>
      </c>
      <c r="B8" s="11" t="s">
        <v>142</v>
      </c>
      <c r="C8" s="11" t="s">
        <v>3841</v>
      </c>
      <c r="D8" s="11" t="s">
        <v>142</v>
      </c>
      <c r="E8" s="11" t="s">
        <v>142</v>
      </c>
    </row>
    <row r="9" spans="1:5" x14ac:dyDescent="0.25">
      <c r="A9" s="11" t="s">
        <v>3842</v>
      </c>
      <c r="B9" s="11" t="s">
        <v>142</v>
      </c>
      <c r="C9" s="11" t="s">
        <v>3843</v>
      </c>
      <c r="D9" s="11" t="s">
        <v>142</v>
      </c>
      <c r="E9" s="11" t="s">
        <v>3844</v>
      </c>
    </row>
    <row r="10" spans="1:5" x14ac:dyDescent="0.25">
      <c r="A10" s="11" t="s">
        <v>3845</v>
      </c>
      <c r="B10" s="11" t="s">
        <v>3846</v>
      </c>
      <c r="C10" s="11" t="s">
        <v>3847</v>
      </c>
      <c r="D10" s="11" t="s">
        <v>3847</v>
      </c>
      <c r="E10" s="11" t="s">
        <v>3848</v>
      </c>
    </row>
    <row r="11" spans="1:5" x14ac:dyDescent="0.25">
      <c r="A11" s="11" t="s">
        <v>3849</v>
      </c>
      <c r="B11" s="11" t="s">
        <v>3850</v>
      </c>
      <c r="C11" s="11" t="s">
        <v>3851</v>
      </c>
      <c r="D11" s="11" t="s">
        <v>3852</v>
      </c>
      <c r="E11" s="11" t="s">
        <v>142</v>
      </c>
    </row>
    <row r="13" spans="1:1" x14ac:dyDescent="0.25">
      <c r="A13" s="3" t="s">
        <v>3853</v>
      </c>
    </row>
    <row r="14" spans="1:5" x14ac:dyDescent="0.25">
      <c r="A14" s="4" t="s">
        <v>118</v>
      </c>
      <c r="B14" s="4" t="s">
        <v>3854</v>
      </c>
      <c r="C14" s="4" t="s">
        <v>6</v>
      </c>
      <c r="D14" s="4" t="s">
        <v>119</v>
      </c>
      <c r="E14" s="4" t="s">
        <v>3855</v>
      </c>
    </row>
    <row r="15" spans="1:5" x14ac:dyDescent="0.25">
      <c r="A15" s="11" t="s">
        <v>3856</v>
      </c>
      <c r="B15" s="11" t="s">
        <v>3857</v>
      </c>
      <c r="C15" s="11" t="s">
        <v>11</v>
      </c>
      <c r="D15" s="11" t="s">
        <v>2202</v>
      </c>
      <c r="E15" s="11" t="s">
        <v>3858</v>
      </c>
    </row>
    <row r="16" spans="1:5" x14ac:dyDescent="0.25">
      <c r="A16" s="11" t="s">
        <v>3859</v>
      </c>
      <c r="B16" s="11" t="s">
        <v>3860</v>
      </c>
      <c r="C16" s="11" t="s">
        <v>13</v>
      </c>
      <c r="D16" s="11" t="s">
        <v>2210</v>
      </c>
      <c r="E16" s="11" t="s">
        <v>142</v>
      </c>
    </row>
    <row r="17" spans="1:5" x14ac:dyDescent="0.25">
      <c r="A17" s="11" t="s">
        <v>2227</v>
      </c>
      <c r="B17" s="11" t="s">
        <v>3861</v>
      </c>
      <c r="C17" s="11" t="s">
        <v>13</v>
      </c>
      <c r="D17" s="11" t="s">
        <v>2217</v>
      </c>
      <c r="E17" s="11" t="s">
        <v>3862</v>
      </c>
    </row>
    <row r="18" spans="1:5" x14ac:dyDescent="0.25">
      <c r="A18" s="11" t="s">
        <v>3863</v>
      </c>
      <c r="B18" s="11" t="s">
        <v>3864</v>
      </c>
      <c r="C18" s="11" t="s">
        <v>11</v>
      </c>
      <c r="D18" s="11" t="s">
        <v>2202</v>
      </c>
      <c r="E18" s="11" t="s">
        <v>3865</v>
      </c>
    </row>
    <row r="19" spans="1:5" x14ac:dyDescent="0.25">
      <c r="A19" s="11" t="s">
        <v>2962</v>
      </c>
      <c r="B19" s="11" t="s">
        <v>3866</v>
      </c>
      <c r="C19" s="11" t="s">
        <v>13</v>
      </c>
      <c r="D19" s="11" t="s">
        <v>2223</v>
      </c>
      <c r="E19" s="11" t="s">
        <v>3867</v>
      </c>
    </row>
    <row r="20" spans="1:5" x14ac:dyDescent="0.25">
      <c r="A20" s="11" t="s">
        <v>3868</v>
      </c>
      <c r="B20" s="11" t="s">
        <v>3869</v>
      </c>
      <c r="C20" s="11" t="s">
        <v>14</v>
      </c>
      <c r="D20" s="11" t="s">
        <v>2229</v>
      </c>
      <c r="E20" s="11" t="s">
        <v>3870</v>
      </c>
    </row>
    <row r="21" spans="1:5" x14ac:dyDescent="0.25">
      <c r="A21" s="11" t="s">
        <v>3871</v>
      </c>
      <c r="B21" s="11" t="s">
        <v>3872</v>
      </c>
      <c r="C21" s="11" t="s">
        <v>13</v>
      </c>
      <c r="D21" s="11" t="s">
        <v>2236</v>
      </c>
      <c r="E21" s="11" t="s">
        <v>142</v>
      </c>
    </row>
    <row r="22" spans="1:5" x14ac:dyDescent="0.25">
      <c r="A22" s="11" t="s">
        <v>3873</v>
      </c>
      <c r="B22" s="11" t="s">
        <v>3874</v>
      </c>
      <c r="C22" s="11" t="s">
        <v>14</v>
      </c>
      <c r="D22" s="11" t="s">
        <v>2241</v>
      </c>
      <c r="E22" s="11" t="s">
        <v>3875</v>
      </c>
    </row>
    <row r="23" spans="1:5" x14ac:dyDescent="0.25">
      <c r="A23" s="11" t="s">
        <v>3876</v>
      </c>
      <c r="B23" s="11" t="s">
        <v>3877</v>
      </c>
      <c r="C23" s="11" t="s">
        <v>11</v>
      </c>
      <c r="D23" s="11" t="s">
        <v>2128</v>
      </c>
      <c r="E23" s="11" t="s">
        <v>3878</v>
      </c>
    </row>
    <row r="24" spans="1:5" x14ac:dyDescent="0.25">
      <c r="A24" s="11" t="s">
        <v>3879</v>
      </c>
      <c r="B24" s="11" t="s">
        <v>3880</v>
      </c>
      <c r="C24" s="11" t="s">
        <v>11</v>
      </c>
      <c r="D24" s="11" t="s">
        <v>2119</v>
      </c>
      <c r="E24" s="11" t="s">
        <v>3881</v>
      </c>
    </row>
    <row r="26" spans="1:1" x14ac:dyDescent="0.25">
      <c r="A26" s="3" t="s">
        <v>3882</v>
      </c>
    </row>
    <row r="27" spans="1:6" x14ac:dyDescent="0.25">
      <c r="A27" s="4" t="s">
        <v>3883</v>
      </c>
      <c r="B27" s="4" t="s">
        <v>3884</v>
      </c>
      <c r="C27" s="4" t="s">
        <v>3885</v>
      </c>
      <c r="D27" s="4" t="s">
        <v>3886</v>
      </c>
      <c r="E27" s="4" t="s">
        <v>3887</v>
      </c>
      <c r="F27" s="4" t="s">
        <v>3888</v>
      </c>
    </row>
    <row r="28" spans="1:6" x14ac:dyDescent="0.25">
      <c r="A28" s="11" t="s">
        <v>3889</v>
      </c>
      <c r="B28" s="11" t="s">
        <v>3890</v>
      </c>
      <c r="C28" s="11" t="s">
        <v>3891</v>
      </c>
      <c r="D28" s="11" t="s">
        <v>3892</v>
      </c>
      <c r="E28" s="11" t="s">
        <v>3893</v>
      </c>
      <c r="F28" s="11" t="s">
        <v>3894</v>
      </c>
    </row>
    <row r="29" spans="1:6" x14ac:dyDescent="0.25">
      <c r="A29" s="11" t="s">
        <v>3895</v>
      </c>
      <c r="B29" s="11" t="s">
        <v>3896</v>
      </c>
      <c r="C29" s="11" t="s">
        <v>3897</v>
      </c>
      <c r="D29" s="11" t="s">
        <v>3898</v>
      </c>
      <c r="E29" s="11" t="s">
        <v>3899</v>
      </c>
      <c r="F29" s="11" t="s">
        <v>3900</v>
      </c>
    </row>
    <row r="31" spans="1:1" x14ac:dyDescent="0.25">
      <c r="A31" s="3" t="s">
        <v>3901</v>
      </c>
    </row>
    <row r="32" spans="1:4" x14ac:dyDescent="0.25">
      <c r="A32" s="4" t="s">
        <v>118</v>
      </c>
      <c r="B32" s="4" t="s">
        <v>3784</v>
      </c>
      <c r="C32" s="4" t="s">
        <v>3902</v>
      </c>
      <c r="D32" s="4" t="s">
        <v>3903</v>
      </c>
    </row>
    <row r="33" spans="1:4" x14ac:dyDescent="0.25">
      <c r="A33" s="11">
        <v>1</v>
      </c>
      <c r="B33" s="11" t="s">
        <v>3904</v>
      </c>
      <c r="C33" s="11" t="s">
        <v>2815</v>
      </c>
      <c r="D33" s="11" t="s">
        <v>1090</v>
      </c>
    </row>
    <row r="34" spans="1:4" x14ac:dyDescent="0.25">
      <c r="A34" s="11">
        <v>2</v>
      </c>
      <c r="B34" s="11" t="s">
        <v>3905</v>
      </c>
      <c r="C34" s="11" t="s">
        <v>3906</v>
      </c>
      <c r="D34" s="11" t="s">
        <v>3907</v>
      </c>
    </row>
    <row r="35" spans="1:4" x14ac:dyDescent="0.25">
      <c r="A35" s="11">
        <v>3</v>
      </c>
      <c r="B35" s="11" t="s">
        <v>3908</v>
      </c>
      <c r="C35" s="11" t="s">
        <v>3909</v>
      </c>
      <c r="D35" s="11" t="s">
        <v>3910</v>
      </c>
    </row>
    <row r="36" spans="1:4" x14ac:dyDescent="0.25">
      <c r="A36" s="11">
        <v>4</v>
      </c>
      <c r="B36" s="11" t="s">
        <v>3911</v>
      </c>
      <c r="C36" s="11" t="s">
        <v>3912</v>
      </c>
      <c r="D36" s="11" t="s">
        <v>3913</v>
      </c>
    </row>
    <row r="37" spans="1:4" x14ac:dyDescent="0.25">
      <c r="A37" s="11">
        <v>5</v>
      </c>
      <c r="B37" s="11" t="s">
        <v>3914</v>
      </c>
      <c r="C37" s="11" t="s">
        <v>2815</v>
      </c>
      <c r="D37" s="11" t="s">
        <v>1110</v>
      </c>
    </row>
  </sheetData>
  <conditionalFormatting sqref="C15:C24">
    <cfRule type="cellIs" dxfId="24" priority="2" operator="equal">
      <formula>"COMPLETED"</formula>
    </cfRule>
    <cfRule type="cellIs" dxfId="25" priority="3" operator="equal">
      <formula>"IN PROGRESS"</formula>
    </cfRule>
    <cfRule type="cellIs" dxfId="26" priority="4" operator="equal">
      <formula>"YET TO START"</formula>
    </cfRule>
    <cfRule type="cellIs" dxfId="27" priority="5" operator="equal">
      <formula>"BLOCKED"</formula>
    </cfRule>
  </conditionalFormatting>
  <pageMargins left="0.7" right="0.7" top="0.75" bottom="0.75" header="0.3" footer="0.3"/>
  <pageSetup orientation="portrait" horizontalDpi="4294967295" verticalDpi="4294967295" scale="100" fitToWidth="1" fitToHeight="1" firstPageNumber="1" useFirstPageNumber="1" copies="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FormatPr defaultRowHeight="15" outlineLevelRow="0" outlineLevelCol="0" x14ac:dyDescent="55"/>
  <cols>
    <col min="1" max="1" width="70" customWidth="1"/>
    <col min="2" max="2" width="110" customWidth="1"/>
  </cols>
  <sheetData>
    <row r="1" spans="1:1" x14ac:dyDescent="0.25">
      <c r="A1" s="1" t="s">
        <v>5466</v>
      </c>
    </row>
    <row r="3" spans="1:2" x14ac:dyDescent="0.25">
      <c r="A3" s="4" t="s">
        <v>3084</v>
      </c>
      <c r="B3" s="4" t="s">
        <v>5467</v>
      </c>
    </row>
    <row r="4" spans="1:2" x14ac:dyDescent="0.25">
      <c r="A4" s="11" t="s">
        <v>5468</v>
      </c>
      <c r="B4" s="11" t="s">
        <v>5469</v>
      </c>
    </row>
    <row r="5" spans="1:2" x14ac:dyDescent="0.25">
      <c r="A5" s="11" t="s">
        <v>5470</v>
      </c>
      <c r="B5" s="11" t="s">
        <v>5471</v>
      </c>
    </row>
    <row r="6" spans="1:2" x14ac:dyDescent="0.25">
      <c r="A6" s="11" t="s">
        <v>5472</v>
      </c>
      <c r="B6" s="11" t="s">
        <v>5473</v>
      </c>
    </row>
    <row r="7" spans="1:2" x14ac:dyDescent="0.25">
      <c r="A7" s="11" t="s">
        <v>5474</v>
      </c>
      <c r="B7" s="11" t="s">
        <v>5475</v>
      </c>
    </row>
    <row r="8" spans="1:2" x14ac:dyDescent="0.25">
      <c r="A8" s="11" t="s">
        <v>5476</v>
      </c>
      <c r="B8" s="11" t="s">
        <v>5477</v>
      </c>
    </row>
    <row r="9" spans="1:2" x14ac:dyDescent="0.25">
      <c r="A9" s="11" t="s">
        <v>5478</v>
      </c>
      <c r="B9" s="11" t="s">
        <v>5479</v>
      </c>
    </row>
    <row r="10" spans="1:2" x14ac:dyDescent="0.25">
      <c r="A10" s="11" t="s">
        <v>2127</v>
      </c>
      <c r="B10" s="11" t="s">
        <v>5480</v>
      </c>
    </row>
    <row r="11" spans="1:2" x14ac:dyDescent="0.25">
      <c r="A11" s="11" t="s">
        <v>5481</v>
      </c>
      <c r="B11" s="11" t="s">
        <v>5482</v>
      </c>
    </row>
    <row r="12" spans="1:2" x14ac:dyDescent="0.25">
      <c r="A12" s="11" t="s">
        <v>5483</v>
      </c>
      <c r="B12" s="11" t="s">
        <v>5484</v>
      </c>
    </row>
    <row r="13" spans="1:2" x14ac:dyDescent="0.25">
      <c r="A13" s="11" t="s">
        <v>5485</v>
      </c>
      <c r="B13" s="11" t="s">
        <v>5486</v>
      </c>
    </row>
  </sheetData>
  <pageMargins left="0.7" right="0.7" top="0.75" bottom="0.75" header="0.3" footer="0.3"/>
  <pageSetup orientation="portrait" horizontalDpi="4294967295" verticalDpi="4294967295" scale="100" fitToWidth="1" fitToHeight="1" firstPageNumber="1" useFirstPageNumber="1" copies="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53"/>
  <sheetFormatPr defaultRowHeight="15" outlineLevelRow="0" outlineLevelCol="0" x14ac:dyDescent="55"/>
  <cols>
    <col min="1" max="1" width="14" customWidth="1"/>
  </cols>
  <sheetData>
    <row r="1" spans="1:1" x14ac:dyDescent="0.25">
      <c r="A1" s="1" t="s">
        <v>113</v>
      </c>
    </row>
    <row r="2" spans="1:1" x14ac:dyDescent="0.25">
      <c r="A2" s="2" t="s">
        <v>114</v>
      </c>
    </row>
    <row r="4" spans="1:1" x14ac:dyDescent="0.25">
      <c r="A4" s="3" t="s">
        <v>115</v>
      </c>
    </row>
    <row r="29" spans="1:1" x14ac:dyDescent="0.25">
      <c r="A29" s="3" t="s">
        <v>116</v>
      </c>
    </row>
    <row r="53" spans="1:1" x14ac:dyDescent="0.25">
      <c r="A53" s="3" t="s">
        <v>117</v>
      </c>
    </row>
  </sheetData>
  <pageMargins left="0.7" right="0.7" top="0.75" bottom="0.75" header="0.3" footer="0.3"/>
  <pageSetup orientation="portrait" horizontalDpi="4294967295" verticalDpi="4294967295" scale="100"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Summary</vt:lpstr>
      <vt:lpstr>Flow Diagram</vt:lpstr>
      <vt:lpstr>Feature Register</vt:lpstr>
      <vt:lpstr>Process Flow Tree</vt:lpstr>
      <vt:lpstr>Dealer Programme</vt:lpstr>
      <vt:lpstr>New Functions</vt:lpstr>
      <vt:lpstr>New Routes &amp; Pages</vt:lpstr>
      <vt:lpstr>Pending for Production</vt:lpstr>
      <vt:lpstr>Performance &amp; DB</vt:lpstr>
      <vt:lpstr>Blockers &amp; Decisions</vt:lpstr>
      <vt:lpstr>PR Register</vt:lpstr>
      <vt:lpstr>Batch 2026-10</vt:lpstr>
      <vt:lpstr>Bulk Product Upload</vt:lpstr>
      <vt:lpstr>Inventory &amp; Accounting</vt:lpstr>
      <vt:lpstr>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language>en-US</dc:language>
  <cp:lastModifiedBy>Unknown</cp:lastModifiedBy>
  <dcterms:created xsi:type="dcterms:W3CDTF">2026-10-08T18:11:33Z</dcterms:created>
  <dcterms:modified xsi:type="dcterms:W3CDTF">2026-10-29T14:22:10Z</dcterms:modified>
</cp:coreProperties>
</file>