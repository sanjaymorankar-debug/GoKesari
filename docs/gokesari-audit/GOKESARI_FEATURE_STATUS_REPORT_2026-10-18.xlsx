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ummary" sheetId="1" state="visible" r:id="rId1"/>
    <sheet xmlns:r="http://schemas.openxmlformats.org/officeDocument/2006/relationships" name="Bulk Product Upload" sheetId="2" state="visible" r:id="rId2"/>
    <sheet xmlns:r="http://schemas.openxmlformats.org/officeDocument/2006/relationships" name="Inventory &amp; Accounting" sheetId="3" state="visible" r:id="rId3"/>
    <sheet xmlns:r="http://schemas.openxmlformats.org/officeDocument/2006/relationships" name="Feature Register" sheetId="4" state="visible" r:id="rId4"/>
    <sheet xmlns:r="http://schemas.openxmlformats.org/officeDocument/2006/relationships" name="Process Flow Tree" sheetId="5" state="visible" r:id="rId5"/>
    <sheet xmlns:r="http://schemas.openxmlformats.org/officeDocument/2006/relationships" name="PR Register" sheetId="6" state="visible" r:id="rId6"/>
    <sheet xmlns:r="http://schemas.openxmlformats.org/officeDocument/2006/relationships" name="Blockers &amp; Decisions" sheetId="7" state="visible" r:id="rId7"/>
  </sheets>
  <definedNames>
    <definedName name="_xlnm._FilterDatabase" localSheetId="3" hidden="1">'Feature Register'!$A$1:$R$268</definedName>
    <definedName name="_xlnm.Print_Titles" localSheetId="3">'Feature Register'!$1:$1</definedName>
    <definedName name="_xlnm._FilterDatabase" localSheetId="4" hidden="1">'Process Flow Tree'!$A$4:$I$217</definedName>
    <definedName name="_xlnm.Print_Titles" localSheetId="4">'Process Flow Tree'!$4:$4</definedName>
    <definedName name="_xlnm._FilterDatabase" localSheetId="5" hidden="1">'PR Register'!$A$1:$L$189</definedName>
    <definedName name="_xlnm.Print_Titles" localSheetId="5">'PR Register'!$1:$1</definedName>
    <definedName name="_xlnm._FilterDatabase" localSheetId="6" hidden="1">'Blockers &amp; Decisions'!$A$1:$H$57</definedName>
  </definedNames>
  <calcPr calcId="171027"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charset val="1"/>
      <family val="2"/>
      <color theme="1"/>
      <sz val="11"/>
    </font>
    <font>
      <name val="Arial"/>
      <charset val="1"/>
      <b val="1"/>
      <color rgb="FF9A3412"/>
      <sz val="14"/>
    </font>
    <font>
      <name val="Arial"/>
      <charset val="1"/>
      <i val="1"/>
      <color rgb="FF475569"/>
      <sz val="9"/>
    </font>
    <font>
      <name val="Arial"/>
      <charset val="1"/>
      <b val="1"/>
      <sz val="11"/>
    </font>
    <font>
      <name val="Arial"/>
      <charset val="1"/>
      <b val="1"/>
      <color rgb="FFFFFFFF"/>
      <sz val="10"/>
    </font>
    <font>
      <name val="Arial"/>
      <charset val="1"/>
      <b val="1"/>
      <sz val="9"/>
    </font>
    <font>
      <name val="Arial"/>
      <charset val="1"/>
      <sz val="9"/>
    </font>
    <font>
      <b val="1"/>
      <sz val="13"/>
    </font>
    <font>
      <b val="1"/>
      <color rgb="00FFFFFF"/>
    </font>
    <font>
      <b val="1"/>
    </font>
    <font>
      <name val="Arial"/>
      <charset val="1"/>
      <b val="1"/>
      <sz val="10"/>
    </font>
    <font>
      <name val="Arial"/>
      <charset val="1"/>
      <b val="1"/>
      <color rgb="FF1D4ED8"/>
      <sz val="9"/>
      <u val="single"/>
    </font>
  </fonts>
  <fills count="12">
    <fill>
      <patternFill/>
    </fill>
    <fill>
      <patternFill patternType="gray125"/>
    </fill>
    <fill>
      <patternFill/>
    </fill>
    <fill>
      <patternFill patternType="solid">
        <fgColor rgb="FFC9450C"/>
        <bgColor rgb="FFEA580C"/>
      </patternFill>
    </fill>
    <fill>
      <patternFill patternType="solid">
        <fgColor rgb="00C2410C"/>
      </patternFill>
    </fill>
    <fill>
      <patternFill patternType="solid">
        <fgColor rgb="00FEF3C7"/>
      </patternFill>
    </fill>
    <fill>
      <patternFill patternType="solid">
        <fgColor rgb="00FECACA"/>
      </patternFill>
    </fill>
    <fill>
      <patternFill patternType="solid">
        <fgColor rgb="FFDCFCE7"/>
      </patternFill>
    </fill>
    <fill>
      <patternFill patternType="solid">
        <fgColor rgb="FFFEE2E2"/>
      </patternFill>
    </fill>
    <fill>
      <patternFill patternType="solid">
        <fgColor rgb="FFFEF3C7"/>
      </patternFill>
    </fill>
    <fill>
      <patternFill patternType="solid">
        <fgColor rgb="FFFFEDD5"/>
        <bgColor rgb="FFFEF3C7"/>
      </patternFill>
    </fill>
    <fill>
      <patternFill patternType="solid">
        <fgColor rgb="FFFFF7ED"/>
        <bgColor rgb="FFFFFFFF"/>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s>
  <cellStyleXfs count="1">
    <xf numFmtId="0" fontId="0" fillId="2" borderId="0"/>
  </cellStyleXfs>
  <cellXfs count="37">
    <xf numFmtId="0" fontId="0" fillId="0" borderId="0" pivotButton="0" quotePrefix="0" xfId="0"/>
    <xf numFmtId="0" fontId="1" fillId="2" borderId="0" applyAlignment="1" pivotButton="0" quotePrefix="0" xfId="0">
      <alignment vertical="bottom"/>
    </xf>
    <xf numFmtId="0" fontId="1" fillId="2" borderId="0" pivotButton="0" quotePrefix="0" xfId="0"/>
    <xf numFmtId="0" fontId="2" fillId="2" borderId="0" applyAlignment="1" pivotButton="0" quotePrefix="0" xfId="0">
      <alignment vertical="bottom"/>
    </xf>
    <xf numFmtId="0" fontId="3" fillId="2" borderId="0" applyAlignment="1" pivotButton="0" quotePrefix="0" xfId="0">
      <alignment vertical="top" wrapText="1"/>
    </xf>
    <xf numFmtId="0" fontId="4" fillId="2" borderId="0" applyAlignment="1" pivotButton="0" quotePrefix="0" xfId="0">
      <alignment vertical="bottom"/>
    </xf>
    <xf numFmtId="0" fontId="5" fillId="3" borderId="1" applyAlignment="1" pivotButton="0" quotePrefix="0" xfId="0">
      <alignment horizontal="center" vertical="top" wrapText="1"/>
    </xf>
    <xf numFmtId="0" fontId="1" fillId="2" borderId="2" pivotButton="0" quotePrefix="0" xfId="0"/>
    <xf numFmtId="0" fontId="1" fillId="2" borderId="3" pivotButton="0" quotePrefix="0" xfId="0"/>
    <xf numFmtId="0" fontId="6" fillId="2" borderId="1" applyAlignment="1" pivotButton="0" quotePrefix="0" xfId="0">
      <alignment vertical="top" wrapText="1"/>
    </xf>
    <xf numFmtId="0" fontId="7" fillId="2" borderId="1" applyAlignment="1" pivotButton="0" quotePrefix="0" xfId="0">
      <alignment horizontal="center" vertical="top" wrapText="1"/>
    </xf>
    <xf numFmtId="164" fontId="7" fillId="2" borderId="1" applyAlignment="1" pivotButton="0" quotePrefix="0" xfId="0">
      <alignment horizontal="center" vertical="top" wrapText="1"/>
    </xf>
    <xf numFmtId="0" fontId="7" fillId="2" borderId="1" applyAlignment="1" pivotButton="0" quotePrefix="0" xfId="0">
      <alignment vertical="top" wrapText="1"/>
    </xf>
    <xf numFmtId="0" fontId="6" fillId="2" borderId="1" applyAlignment="1" pivotButton="0" quotePrefix="0" xfId="0">
      <alignment horizontal="center" vertical="top" wrapText="1"/>
    </xf>
    <xf numFmtId="164" fontId="6" fillId="2" borderId="1" applyAlignment="1" pivotButton="0" quotePrefix="0" xfId="0">
      <alignment horizontal="center" vertical="top" wrapText="1"/>
    </xf>
    <xf numFmtId="9" fontId="7" fillId="2" borderId="1" applyAlignment="1" pivotButton="0" quotePrefix="0" xfId="0">
      <alignment horizontal="center" vertical="top" wrapText="1"/>
    </xf>
    <xf numFmtId="9" fontId="6" fillId="2" borderId="1" applyAlignment="1" pivotButton="0" quotePrefix="0" xfId="0">
      <alignment horizontal="center" vertical="top" wrapText="1"/>
    </xf>
    <xf numFmtId="0" fontId="7" fillId="2" borderId="0" applyAlignment="1" pivotButton="0" quotePrefix="0" xfId="0">
      <alignment vertical="top" wrapText="1"/>
    </xf>
    <xf numFmtId="0" fontId="8" fillId="2" borderId="0" pivotButton="0" quotePrefix="0" xfId="0"/>
    <xf numFmtId="0" fontId="9" fillId="4" borderId="0" pivotButton="0" quotePrefix="0" xfId="0"/>
    <xf numFmtId="0" fontId="1" fillId="2"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10" fillId="0" borderId="0" pivotButton="0" quotePrefix="0" xfId="0"/>
    <xf numFmtId="0" fontId="11" fillId="10" borderId="1" applyAlignment="1" pivotButton="0" quotePrefix="0" xfId="0">
      <alignment vertical="top" wrapText="1"/>
    </xf>
    <xf numFmtId="0" fontId="11" fillId="10" borderId="1" applyAlignment="1" pivotButton="0" quotePrefix="0" xfId="0">
      <alignment horizontal="center" vertical="top" wrapText="1"/>
    </xf>
    <xf numFmtId="0" fontId="6" fillId="11" borderId="1" applyAlignment="1" pivotButton="0" quotePrefix="0" xfId="0">
      <alignment vertical="top" wrapText="1"/>
    </xf>
    <xf numFmtId="0" fontId="6" fillId="11" borderId="1" applyAlignment="1" pivotButton="0" quotePrefix="0" xfId="0">
      <alignment horizontal="center" vertical="top" wrapText="1"/>
    </xf>
    <xf numFmtId="0" fontId="6" fillId="11" borderId="1" applyAlignment="1" pivotButton="0" quotePrefix="0" xfId="0">
      <alignment vertical="top" wrapText="1" indent="2"/>
    </xf>
    <xf numFmtId="0" fontId="7" fillId="2" borderId="1" applyAlignment="1" pivotButton="0" quotePrefix="0" xfId="0">
      <alignment vertical="top" wrapText="1" indent="4"/>
    </xf>
    <xf numFmtId="0" fontId="12" fillId="2" borderId="1" applyAlignment="1" pivotButton="0" quotePrefix="0" xfId="0">
      <alignment horizontal="center" vertical="top" wrapText="1"/>
    </xf>
    <xf numFmtId="0" fontId="0" fillId="0" borderId="2" pivotButton="0" quotePrefix="0" xfId="0"/>
    <xf numFmtId="0" fontId="0" fillId="0" borderId="3" pivotButton="0" quotePrefix="0" xfId="0"/>
  </cellXfs>
  <cellStyles count="1">
    <cellStyle name="Normal" xfId="0" builtinId="0"/>
  </cellStyles>
  <dxfs count="29">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374151"/>
      </font>
      <fill>
        <patternFill patternType="solid">
          <fgColor rgb="FFE5E7EB"/>
          <bgColor rgb="FFE5E7EB"/>
        </patternFill>
      </fill>
    </dxf>
    <dxf>
      <font>
        <b val="1"/>
        <color rgb="FF92400E"/>
      </font>
      <fill>
        <patternFill patternType="solid">
          <fgColor rgb="FFFEF3C7"/>
          <bgColor rgb="FFFEF3C7"/>
        </patternFill>
      </fill>
    </dxf>
    <dxf>
      <font>
        <b val="1"/>
        <color rgb="FF991B1B"/>
      </font>
      <fill>
        <patternFill patternType="solid">
          <fgColor rgb="FFFEE2E2"/>
          <bgColor rgb="FFFEE2E2"/>
        </patternFill>
      </fill>
    </dxf>
    <dxf>
      <font>
        <b val="1"/>
        <color rgb="FF991B1B"/>
      </font>
      <fill>
        <patternFill patternType="solid">
          <fgColor rgb="FFFEE2E2"/>
          <bgColor rgb="FFFEE2E2"/>
        </patternFill>
      </fill>
    </dxf>
    <dxf>
      <font>
        <b val="1"/>
        <color rgb="FF92400E"/>
      </font>
      <fill>
        <patternFill patternType="solid">
          <fgColor rgb="FFFEF3C7"/>
          <bgColor rgb="FFFEF3C7"/>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065F46"/>
      </font>
      <fill>
        <patternFill patternType="solid">
          <fgColor rgb="FFD1FAE5"/>
          <bgColor rgb="FFD1FA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 Type="http://schemas.openxmlformats.org/officeDocument/2006/relationships/hyperlink" Target="https://github.com/sanjaymorankar-debug/GoKesari/pull/105" TargetMode="External" Id="rId105"/><Relationship Type="http://schemas.openxmlformats.org/officeDocument/2006/relationships/hyperlink" Target="https://github.com/sanjaymorankar-debug/GoKesari/pull/106" TargetMode="External" Id="rId106"/><Relationship Type="http://schemas.openxmlformats.org/officeDocument/2006/relationships/hyperlink" Target="https://github.com/sanjaymorankar-debug/GoKesari/pull/107" TargetMode="External" Id="rId107"/><Relationship Type="http://schemas.openxmlformats.org/officeDocument/2006/relationships/hyperlink" Target="https://github.com/sanjaymorankar-debug/GoKesari/pull/108" TargetMode="External" Id="rId108"/><Relationship Type="http://schemas.openxmlformats.org/officeDocument/2006/relationships/hyperlink" Target="https://github.com/sanjaymorankar-debug/GoKesari/pull/109" TargetMode="External" Id="rId109"/><Relationship Type="http://schemas.openxmlformats.org/officeDocument/2006/relationships/hyperlink" Target="https://github.com/sanjaymorankar-debug/GoKesari/pull/110" TargetMode="External" Id="rId110"/><Relationship Type="http://schemas.openxmlformats.org/officeDocument/2006/relationships/hyperlink" Target="https://github.com/sanjaymorankar-debug/GoKesari/pull/111" TargetMode="External" Id="rId111"/><Relationship Type="http://schemas.openxmlformats.org/officeDocument/2006/relationships/hyperlink" Target="https://github.com/sanjaymorankar-debug/GoKesari/pull/112" TargetMode="External" Id="rId112"/><Relationship Type="http://schemas.openxmlformats.org/officeDocument/2006/relationships/hyperlink" Target="https://github.com/sanjaymorankar-debug/GoKesari/pull/113" TargetMode="External" Id="rId113"/><Relationship Type="http://schemas.openxmlformats.org/officeDocument/2006/relationships/hyperlink" Target="https://github.com/sanjaymorankar-debug/GoKesari/pull/114" TargetMode="External" Id="rId114"/><Relationship Type="http://schemas.openxmlformats.org/officeDocument/2006/relationships/hyperlink" Target="https://github.com/sanjaymorankar-debug/GoKesari/pull/115" TargetMode="External" Id="rId115"/><Relationship Type="http://schemas.openxmlformats.org/officeDocument/2006/relationships/hyperlink" Target="https://github.com/sanjaymorankar-debug/GoKesari/pull/116" TargetMode="External" Id="rId116"/><Relationship Type="http://schemas.openxmlformats.org/officeDocument/2006/relationships/hyperlink" Target="https://github.com/sanjaymorankar-debug/GoKesari/pull/117" TargetMode="External" Id="rId117"/><Relationship Type="http://schemas.openxmlformats.org/officeDocument/2006/relationships/hyperlink" Target="https://github.com/sanjaymorankar-debug/GoKesari/pull/118" TargetMode="External" Id="rId118"/><Relationship Type="http://schemas.openxmlformats.org/officeDocument/2006/relationships/hyperlink" Target="https://github.com/sanjaymorankar-debug/GoKesari/pull/119" TargetMode="External" Id="rId119"/><Relationship Type="http://schemas.openxmlformats.org/officeDocument/2006/relationships/hyperlink" Target="https://github.com/sanjaymorankar-debug/GoKesari/pull/120" TargetMode="External" Id="rId120"/><Relationship Type="http://schemas.openxmlformats.org/officeDocument/2006/relationships/hyperlink" Target="https://github.com/sanjaymorankar-debug/GoKesari/pull/121" TargetMode="External" Id="rId121"/><Relationship Type="http://schemas.openxmlformats.org/officeDocument/2006/relationships/hyperlink" Target="https://github.com/sanjaymorankar-debug/GoKesari/pull/122" TargetMode="External" Id="rId122"/><Relationship Type="http://schemas.openxmlformats.org/officeDocument/2006/relationships/hyperlink" Target="https://github.com/sanjaymorankar-debug/GoKesari/pull/123" TargetMode="External" Id="rId123"/><Relationship Type="http://schemas.openxmlformats.org/officeDocument/2006/relationships/hyperlink" Target="https://github.com/sanjaymorankar-debug/GoKesari/pull/124" TargetMode="External" Id="rId124"/><Relationship Type="http://schemas.openxmlformats.org/officeDocument/2006/relationships/hyperlink" Target="https://github.com/sanjaymorankar-debug/GoKesari/pull/125" TargetMode="External" Id="rId125"/><Relationship Type="http://schemas.openxmlformats.org/officeDocument/2006/relationships/hyperlink" Target="https://github.com/sanjaymorankar-debug/GoKesari/pull/126" TargetMode="External" Id="rId126"/><Relationship Type="http://schemas.openxmlformats.org/officeDocument/2006/relationships/hyperlink" Target="https://github.com/sanjaymorankar-debug/GoKesari/pull/127" TargetMode="External" Id="rId127"/><Relationship Type="http://schemas.openxmlformats.org/officeDocument/2006/relationships/hyperlink" Target="https://github.com/sanjaymorankar-debug/GoKesari/pull/128" TargetMode="External" Id="rId128"/><Relationship Type="http://schemas.openxmlformats.org/officeDocument/2006/relationships/hyperlink" Target="https://github.com/sanjaymorankar-debug/GoKesari/pull/129" TargetMode="External" Id="rId129"/><Relationship Type="http://schemas.openxmlformats.org/officeDocument/2006/relationships/hyperlink" Target="https://github.com/sanjaymorankar-debug/GoKesari/pull/130" TargetMode="External" Id="rId130"/><Relationship Type="http://schemas.openxmlformats.org/officeDocument/2006/relationships/hyperlink" Target="https://github.com/sanjaymorankar-debug/GoKesari/pull/131" TargetMode="External" Id="rId131"/><Relationship Type="http://schemas.openxmlformats.org/officeDocument/2006/relationships/hyperlink" Target="https://github.com/sanjaymorankar-debug/GoKesari/pull/132" TargetMode="External" Id="rId132"/><Relationship Type="http://schemas.openxmlformats.org/officeDocument/2006/relationships/hyperlink" Target="https://github.com/sanjaymorankar-debug/GoKesari/pull/133" TargetMode="External" Id="rId133"/><Relationship Type="http://schemas.openxmlformats.org/officeDocument/2006/relationships/hyperlink" Target="https://github.com/sanjaymorankar-debug/GoKesari/pull/134" TargetMode="External" Id="rId134"/><Relationship Type="http://schemas.openxmlformats.org/officeDocument/2006/relationships/hyperlink" Target="https://github.com/sanjaymorankar-debug/GoKesari/pull/135" TargetMode="External" Id="rId135"/><Relationship Type="http://schemas.openxmlformats.org/officeDocument/2006/relationships/hyperlink" Target="https://github.com/sanjaymorankar-debug/GoKesari/pull/136" TargetMode="External" Id="rId136"/><Relationship Type="http://schemas.openxmlformats.org/officeDocument/2006/relationships/hyperlink" Target="https://github.com/sanjaymorankar-debug/GoKesari/pull/137" TargetMode="External" Id="rId137"/><Relationship Type="http://schemas.openxmlformats.org/officeDocument/2006/relationships/hyperlink" Target="https://github.com/sanjaymorankar-debug/GoKesari/pull/138" TargetMode="External" Id="rId138"/><Relationship Type="http://schemas.openxmlformats.org/officeDocument/2006/relationships/hyperlink" Target="https://github.com/sanjaymorankar-debug/GoKesari/pull/139" TargetMode="External" Id="rId139"/><Relationship Type="http://schemas.openxmlformats.org/officeDocument/2006/relationships/hyperlink" Target="https://github.com/sanjaymorankar-debug/GoKesari/pull/140" TargetMode="External" Id="rId140"/><Relationship Type="http://schemas.openxmlformats.org/officeDocument/2006/relationships/hyperlink" Target="https://github.com/sanjaymorankar-debug/GoKesari/pull/141" TargetMode="External" Id="rId141"/><Relationship Type="http://schemas.openxmlformats.org/officeDocument/2006/relationships/hyperlink" Target="https://github.com/sanjaymorankar-debug/GoKesari/pull/142" TargetMode="External" Id="rId142"/><Relationship Type="http://schemas.openxmlformats.org/officeDocument/2006/relationships/hyperlink" Target="https://github.com/sanjaymorankar-debug/GoKesari/pull/143" TargetMode="External" Id="rId143"/><Relationship Type="http://schemas.openxmlformats.org/officeDocument/2006/relationships/hyperlink" Target="https://github.com/sanjaymorankar-debug/GoKesari/pull/144" TargetMode="External" Id="rId144"/><Relationship Type="http://schemas.openxmlformats.org/officeDocument/2006/relationships/hyperlink" Target="https://github.com/sanjaymorankar-debug/GoKesari/pull/145" TargetMode="External" Id="rId145"/><Relationship Type="http://schemas.openxmlformats.org/officeDocument/2006/relationships/hyperlink" Target="https://github.com/sanjaymorankar-debug/GoKesari/pull/146" TargetMode="External" Id="rId146"/><Relationship Type="http://schemas.openxmlformats.org/officeDocument/2006/relationships/hyperlink" Target="https://github.com/sanjaymorankar-debug/GoKesari/pull/147" TargetMode="External" Id="rId147"/><Relationship Type="http://schemas.openxmlformats.org/officeDocument/2006/relationships/hyperlink" Target="https://github.com/sanjaymorankar-debug/GoKesari/pull/148" TargetMode="External" Id="rId148"/><Relationship Type="http://schemas.openxmlformats.org/officeDocument/2006/relationships/hyperlink" Target="https://github.com/sanjaymorankar-debug/GoKesari/pull/149" TargetMode="External" Id="rId149"/><Relationship Type="http://schemas.openxmlformats.org/officeDocument/2006/relationships/hyperlink" Target="https://github.com/sanjaymorankar-debug/GoKesari/pull/150" TargetMode="External" Id="rId150"/><Relationship Type="http://schemas.openxmlformats.org/officeDocument/2006/relationships/hyperlink" Target="https://github.com/sanjaymorankar-debug/GoKesari/pull/151" TargetMode="External" Id="rId151"/><Relationship Type="http://schemas.openxmlformats.org/officeDocument/2006/relationships/hyperlink" Target="https://github.com/sanjaymorankar-debug/GoKesari/pull/152" TargetMode="External" Id="rId152"/><Relationship Type="http://schemas.openxmlformats.org/officeDocument/2006/relationships/hyperlink" Target="https://github.com/sanjaymorankar-debug/GoKesari/pull/153" TargetMode="External" Id="rId153"/><Relationship Type="http://schemas.openxmlformats.org/officeDocument/2006/relationships/hyperlink" Target="https://github.com/sanjaymorankar-debug/GoKesari/pull/154" TargetMode="External" Id="rId154"/><Relationship Type="http://schemas.openxmlformats.org/officeDocument/2006/relationships/hyperlink" Target="https://github.com/sanjaymorankar-debug/GoKesari/pull/155" TargetMode="External" Id="rId155"/><Relationship Type="http://schemas.openxmlformats.org/officeDocument/2006/relationships/hyperlink" Target="https://github.com/sanjaymorankar-debug/GoKesari/pull/156" TargetMode="External" Id="rId156"/><Relationship Type="http://schemas.openxmlformats.org/officeDocument/2006/relationships/hyperlink" Target="https://github.com/sanjaymorankar-debug/GoKesari/pull/157" TargetMode="External" Id="rId157"/><Relationship Type="http://schemas.openxmlformats.org/officeDocument/2006/relationships/hyperlink" Target="https://github.com/sanjaymorankar-debug/GoKesari/pull/158" TargetMode="External" Id="rId158"/><Relationship Type="http://schemas.openxmlformats.org/officeDocument/2006/relationships/hyperlink" Target="https://github.com/sanjaymorankar-debug/GoKesari/pull/159" TargetMode="External" Id="rId159"/><Relationship Type="http://schemas.openxmlformats.org/officeDocument/2006/relationships/hyperlink" Target="https://github.com/sanjaymorankar-debug/GoKesari/pull/160" TargetMode="External" Id="rId160"/><Relationship Type="http://schemas.openxmlformats.org/officeDocument/2006/relationships/hyperlink" Target="https://github.com/sanjaymorankar-debug/GoKesari/pull/161" TargetMode="External" Id="rId161"/><Relationship Type="http://schemas.openxmlformats.org/officeDocument/2006/relationships/hyperlink" Target="https://github.com/sanjaymorankar-debug/GoKesari/pull/162" TargetMode="External" Id="rId162"/><Relationship Type="http://schemas.openxmlformats.org/officeDocument/2006/relationships/hyperlink" Target="https://github.com/sanjaymorankar-debug/GoKesari/pull/163" TargetMode="External" Id="rId163"/><Relationship Type="http://schemas.openxmlformats.org/officeDocument/2006/relationships/hyperlink" Target="https://github.com/sanjaymorankar-debug/GoKesari/pull/164" TargetMode="External" Id="rId164"/><Relationship Type="http://schemas.openxmlformats.org/officeDocument/2006/relationships/hyperlink" Target="https://github.com/sanjaymorankar-debug/GoKesari/pull/165" TargetMode="External" Id="rId165"/><Relationship Type="http://schemas.openxmlformats.org/officeDocument/2006/relationships/hyperlink" Target="https://github.com/sanjaymorankar-debug/GoKesari/pull/166" TargetMode="External" Id="rId166"/><Relationship Type="http://schemas.openxmlformats.org/officeDocument/2006/relationships/hyperlink" Target="https://github.com/sanjaymorankar-debug/GoKesari/pull/167" TargetMode="External" Id="rId167"/><Relationship Type="http://schemas.openxmlformats.org/officeDocument/2006/relationships/hyperlink" Target="https://github.com/sanjaymorankar-debug/GoKesari/pull/168" TargetMode="External" Id="rId168"/><Relationship Type="http://schemas.openxmlformats.org/officeDocument/2006/relationships/hyperlink" Target="https://github.com/sanjaymorankar-debug/GoKesari/pull/169" TargetMode="External" Id="rId169"/><Relationship Type="http://schemas.openxmlformats.org/officeDocument/2006/relationships/hyperlink" Target="https://github.com/sanjaymorankar-debug/GoKesari/pull/170" TargetMode="External" Id="rId170"/><Relationship Type="http://schemas.openxmlformats.org/officeDocument/2006/relationships/hyperlink" Target="https://github.com/sanjaymorankar-debug/GoKesari/pull/171" TargetMode="External" Id="rId171"/><Relationship Type="http://schemas.openxmlformats.org/officeDocument/2006/relationships/hyperlink" Target="https://github.com/sanjaymorankar-debug/GoKesari/pull/172" TargetMode="External" Id="rId172"/><Relationship Type="http://schemas.openxmlformats.org/officeDocument/2006/relationships/hyperlink" Target="https://github.com/sanjaymorankar-debug/GoKesari/pull/173" TargetMode="External" Id="rId173"/><Relationship Type="http://schemas.openxmlformats.org/officeDocument/2006/relationships/hyperlink" Target="https://github.com/sanjaymorankar-debug/GoKesari/pull/174" TargetMode="External" Id="rId174"/><Relationship Type="http://schemas.openxmlformats.org/officeDocument/2006/relationships/hyperlink" Target="https://github.com/sanjaymorankar-debug/GoKesari/pull/175" TargetMode="External" Id="rId175"/><Relationship Type="http://schemas.openxmlformats.org/officeDocument/2006/relationships/hyperlink" Target="https://github.com/sanjaymorankar-debug/GoKesari/pull/176" TargetMode="External" Id="rId176"/><Relationship Type="http://schemas.openxmlformats.org/officeDocument/2006/relationships/hyperlink" Target="https://github.com/sanjaymorankar-debug/GoKesari/pull/177" TargetMode="External" Id="rId177"/><Relationship Type="http://schemas.openxmlformats.org/officeDocument/2006/relationships/hyperlink" Target="https://github.com/sanjaymorankar-debug/GoKesari/pull/178" TargetMode="External" Id="rId178"/><Relationship Type="http://schemas.openxmlformats.org/officeDocument/2006/relationships/hyperlink" Target="https://github.com/sanjaymorankar-debug/GoKesari/pull/179" TargetMode="External" Id="rId179"/><Relationship Type="http://schemas.openxmlformats.org/officeDocument/2006/relationships/hyperlink" Target="https://github.com/sanjaymorankar-debug/GoKesari/pull/180" TargetMode="External" Id="rId180"/><Relationship Type="http://schemas.openxmlformats.org/officeDocument/2006/relationships/hyperlink" Target="https://github.com/sanjaymorankar-debug/GoKesari/pull/181" TargetMode="External" Id="rId181"/><Relationship Type="http://schemas.openxmlformats.org/officeDocument/2006/relationships/hyperlink" Target="https://github.com/sanjaymorankar-debug/GoKesari/pull/182" TargetMode="External" Id="rId182"/><Relationship Type="http://schemas.openxmlformats.org/officeDocument/2006/relationships/hyperlink" Target="https://github.com/sanjaymorankar-debug/GoKesari/pull/183" TargetMode="External" Id="rId183"/><Relationship Type="http://schemas.openxmlformats.org/officeDocument/2006/relationships/hyperlink" Target="https://github.com/sanjaymorankar-debug/GoKesari/pull/184" TargetMode="External" Id="rId184"/></Relationships>
</file>

<file path=xl/worksheets/sheet1.xml><?xml version="1.0" encoding="utf-8"?>
<worksheet xmlns="http://schemas.openxmlformats.org/spreadsheetml/2006/main">
  <sheetPr>
    <tabColor rgb="FF065F46"/>
    <outlinePr summaryBelow="1" summaryRight="1"/>
    <pageSetUpPr fitToPage="1"/>
  </sheetPr>
  <dimension ref="A1:G89"/>
  <sheetViews>
    <sheetView view="normal" zoomScale="90" zoomScaleNormal="90" workbookViewId="0">
      <pane ySplit="6" topLeftCell="A7" activePane="bottomLeft" state="frozen"/>
      <selection pane="bottomLeft" activeCell="A1" sqref="A1"/>
    </sheetView>
  </sheetViews>
  <sheetFormatPr baseColWidth="8" defaultColWidth="8.6796875" defaultRowHeight="15" outlineLevelRow="0"/>
  <cols>
    <col width="44" customWidth="1" style="1" min="1" max="1"/>
    <col width="15" customWidth="1" style="1" min="2" max="7"/>
  </cols>
  <sheetData>
    <row r="1" ht="17.35" customFormat="1" customHeight="1" s="2">
      <c r="A1" s="3" t="inlineStr">
        <is>
          <t>GoKesari (gokesari.com) - features, process flows and PR status</t>
        </is>
      </c>
    </row>
    <row r="2" ht="24" customFormat="1" customHeight="1" s="2">
      <c r="A2" s="4" t="inlineStr">
        <is>
          <t>As of 18 Oct 2026, 13:45 UTC. Production = main @c96cd04 (gokesari.com, migrations to 0078): release #185 (16 Oct 04:24 UTC) added the PMD loader fix (#184) and report docs (#181, #182) to the 15 Oct releases (#175, #177, #179). Test site = staging @3a701c9, same application code as main (#186, #187). Open PRs: #183 (status-report docs), #188 (competitive analysis deck, docs). Sub-feature sheets: 'Bulk Product Upload' and 'Inventory &amp; Accounting'.</t>
        </is>
      </c>
    </row>
    <row r="3" ht="24" customFormat="1" customHeight="1" s="2">
      <c r="A3" s="4" t="inlineStr">
        <is>
          <t>Baseline = the 16 Oct status report (267 features, PR #183), plus PRs #185-#188. 'Status 16 Oct' is that report's status for comparison.</t>
        </is>
      </c>
    </row>
    <row r="4" ht="24" customFormat="1" customHeight="1" s="2">
      <c r="A4" s="4" t="inlineStr">
        <is>
          <t>Status is development status read from code, PRs, docs, recorded test runs and live checks - not QA sign-off. 'Baseline' in a PR column = code that predates PR #1 in this repository (Aug-Sep 2026 history).</t>
        </is>
      </c>
    </row>
    <row r="5" ht="24" customFormat="1" customHeight="1" s="2">
      <c r="A5" s="4" t="inlineStr">
        <is>
          <t>To update: change Status in the Feature Register (column I) or a step in the Process Flow Tree (column G) with the dropdown - every count on this sheet is a formula. 'Status 16 Oct' is unchanged for comparison.</t>
        </is>
      </c>
    </row>
    <row r="6"/>
    <row r="7" ht="15" customFormat="1" customHeight="1" s="2">
      <c r="A7" s="5" t="inlineStr">
        <is>
          <t>1. Features by status</t>
        </is>
      </c>
    </row>
    <row r="8" ht="15" customFormat="1" customHeight="1" s="2">
      <c r="A8" s="6" t="inlineStr">
        <is>
          <t>Status</t>
        </is>
      </c>
      <c r="B8" s="6" t="inlineStr">
        <is>
          <t>Features</t>
        </is>
      </c>
      <c r="C8" s="6" t="inlineStr">
        <is>
          <t>% of total</t>
        </is>
      </c>
      <c r="D8" s="6" t="inlineStr">
        <is>
          <t>Status 16 Oct</t>
        </is>
      </c>
      <c r="E8" s="6" t="inlineStr">
        <is>
          <t>Meaning</t>
        </is>
      </c>
      <c r="F8" s="35" t="n"/>
      <c r="G8" s="36" t="n"/>
    </row>
    <row r="9" ht="24" customFormat="1" customHeight="1" s="2">
      <c r="A9" s="9" t="inlineStr">
        <is>
          <t>COMPLETED</t>
        </is>
      </c>
      <c r="B9" s="10">
        <f>COUNTIF('Feature Register'!$I$2:$I$268,A9)</f>
        <v/>
      </c>
      <c r="C9" s="11">
        <f>IF($B$13=0,0,B9/$B$13)</f>
        <v/>
      </c>
      <c r="D9" s="10">
        <f>COUNTIF('Feature Register'!$P$2:$P$268,A9)</f>
        <v/>
      </c>
      <c r="E9" s="12" t="inlineStr">
        <is>
          <t>Built, merged and live on gokesari.com (incl. built but switched off by default), or finished tooling / test runs</t>
        </is>
      </c>
      <c r="F9" s="35" t="n"/>
      <c r="G9" s="36" t="n"/>
    </row>
    <row r="10" ht="24" customFormat="1" customHeight="1" s="2">
      <c r="A10" s="9" t="inlineStr">
        <is>
          <t>IN PROGRESS</t>
        </is>
      </c>
      <c r="B10" s="10">
        <f>COUNTIF('Feature Register'!$I$2:$I$268,A10)</f>
        <v/>
      </c>
      <c r="C10" s="11">
        <f>IF($B$13=0,0,B10/$B$13)</f>
        <v/>
      </c>
      <c r="D10" s="10">
        <f>COUNTIF('Feature Register'!$P$2:$P$268,A10)</f>
        <v/>
      </c>
      <c r="E10" s="12" t="inlineStr">
        <is>
          <t>Started: partly working, being run, or built and on the test site but not yet released</t>
        </is>
      </c>
      <c r="F10" s="35" t="n"/>
      <c r="G10" s="36" t="n"/>
    </row>
    <row r="11" ht="24" customFormat="1" customHeight="1" s="2">
      <c r="A11" s="9" t="inlineStr">
        <is>
          <t>YET TO START</t>
        </is>
      </c>
      <c r="B11" s="10">
        <f>COUNTIF('Feature Register'!$I$2:$I$268,A11)</f>
        <v/>
      </c>
      <c r="C11" s="11">
        <f>IF($B$13=0,0,B11/$B$13)</f>
        <v/>
      </c>
      <c r="D11" s="10">
        <f>COUNTIF('Feature Register'!$P$2:$P$268,A11)</f>
        <v/>
      </c>
      <c r="E11" s="12" t="inlineStr">
        <is>
          <t>Not built yet (designed, planned or a known gap)</t>
        </is>
      </c>
      <c r="F11" s="35" t="n"/>
      <c r="G11" s="36" t="n"/>
    </row>
    <row r="12" ht="24" customFormat="1" customHeight="1" s="2">
      <c r="A12" s="9" t="inlineStr">
        <is>
          <t>BLOCKED</t>
        </is>
      </c>
      <c r="B12" s="10">
        <f>COUNTIF('Feature Register'!$I$2:$I$268,A12)</f>
        <v/>
      </c>
      <c r="C12" s="11">
        <f>IF($B$13=0,0,B12/$B$13)</f>
        <v/>
      </c>
      <c r="D12" s="10">
        <f>COUNTIF('Feature Register'!$P$2:$P$268,A12)</f>
        <v/>
      </c>
      <c r="E12" s="12" t="inlineStr">
        <is>
          <t>Cannot proceed until a decision, vendor, account, agreement or CA/legal check</t>
        </is>
      </c>
      <c r="F12" s="35" t="n"/>
      <c r="G12" s="36" t="n"/>
    </row>
    <row r="13" ht="22.35" customFormat="1" customHeight="1" s="2">
      <c r="A13" s="9" t="inlineStr">
        <is>
          <t>Total features tracked</t>
        </is>
      </c>
      <c r="B13" s="13">
        <f>SUM(B9:B12)</f>
        <v/>
      </c>
      <c r="C13" s="14">
        <f>SUM(C9:C12)</f>
        <v/>
      </c>
      <c r="D13" s="13">
        <f>SUM(D9:D12)</f>
        <v/>
      </c>
      <c r="E13" s="12" t="inlineStr">
        <is>
          <t>Status 16 Oct counts the 16 Oct report's status for every row (267).</t>
        </is>
      </c>
      <c r="F13" s="35" t="n"/>
      <c r="G13" s="36" t="n"/>
    </row>
    <row r="14"/>
    <row r="15" ht="15" customFormat="1" customHeight="1" s="2">
      <c r="A15" s="5" t="inlineStr">
        <is>
          <t>2. Features by section and status</t>
        </is>
      </c>
    </row>
    <row r="16" ht="15" customFormat="1" customHeight="1" s="2">
      <c r="A16" s="6" t="inlineStr">
        <is>
          <t>Section</t>
        </is>
      </c>
      <c r="B16" s="6" t="inlineStr">
        <is>
          <t>COMPLETED</t>
        </is>
      </c>
      <c r="C16" s="6" t="inlineStr">
        <is>
          <t>IN PROGRESS</t>
        </is>
      </c>
      <c r="D16" s="6" t="inlineStr">
        <is>
          <t>YET TO START</t>
        </is>
      </c>
      <c r="E16" s="6" t="inlineStr">
        <is>
          <t>BLOCKED</t>
        </is>
      </c>
      <c r="F16" s="6" t="inlineStr">
        <is>
          <t>Total</t>
        </is>
      </c>
      <c r="G16" s="6" t="inlineStr">
        <is>
          <t>% complete</t>
        </is>
      </c>
    </row>
    <row r="17" ht="15" customFormat="1" customHeight="1" s="2">
      <c r="A17" s="9" t="inlineStr">
        <is>
          <t>Feature Master</t>
        </is>
      </c>
      <c r="B17" s="10">
        <f>COUNTIFS('Feature Register'!$B$2:$B$268,$A17,'Feature Register'!$I$2:$I$268,B$16)</f>
        <v/>
      </c>
      <c r="C17" s="10">
        <f>COUNTIFS('Feature Register'!$B$2:$B$268,$A17,'Feature Register'!$I$2:$I$268,C$16)</f>
        <v/>
      </c>
      <c r="D17" s="10">
        <f>COUNTIFS('Feature Register'!$B$2:$B$268,$A17,'Feature Register'!$I$2:$I$268,D$16)</f>
        <v/>
      </c>
      <c r="E17" s="10">
        <f>COUNTIFS('Feature Register'!$B$2:$B$268,$A17,'Feature Register'!$I$2:$I$268,E$16)</f>
        <v/>
      </c>
      <c r="F17" s="10">
        <f>SUM(B17:E17)</f>
        <v/>
      </c>
      <c r="G17" s="15">
        <f>IF(F17=0,0,B17/F17)</f>
        <v/>
      </c>
    </row>
    <row r="18" ht="15" customFormat="1" customHeight="1" s="2">
      <c r="A18" s="9" t="inlineStr">
        <is>
          <t>Workflow Master</t>
        </is>
      </c>
      <c r="B18" s="10">
        <f>COUNTIFS('Feature Register'!$B$2:$B$268,$A18,'Feature Register'!$I$2:$I$268,B$16)</f>
        <v/>
      </c>
      <c r="C18" s="10">
        <f>COUNTIFS('Feature Register'!$B$2:$B$268,$A18,'Feature Register'!$I$2:$I$268,C$16)</f>
        <v/>
      </c>
      <c r="D18" s="10">
        <f>COUNTIFS('Feature Register'!$B$2:$B$268,$A18,'Feature Register'!$I$2:$I$268,D$16)</f>
        <v/>
      </c>
      <c r="E18" s="10">
        <f>COUNTIFS('Feature Register'!$B$2:$B$268,$A18,'Feature Register'!$I$2:$I$268,E$16)</f>
        <v/>
      </c>
      <c r="F18" s="10">
        <f>SUM(B18:E18)</f>
        <v/>
      </c>
      <c r="G18" s="15">
        <f>IF(F18=0,0,B18/F18)</f>
        <v/>
      </c>
    </row>
    <row r="19" ht="15" customFormat="1" customHeight="1" s="2">
      <c r="A19" s="9" t="inlineStr">
        <is>
          <t>RBAC Matrix</t>
        </is>
      </c>
      <c r="B19" s="10">
        <f>COUNTIFS('Feature Register'!$B$2:$B$268,$A19,'Feature Register'!$I$2:$I$268,B$16)</f>
        <v/>
      </c>
      <c r="C19" s="10">
        <f>COUNTIFS('Feature Register'!$B$2:$B$268,$A19,'Feature Register'!$I$2:$I$268,C$16)</f>
        <v/>
      </c>
      <c r="D19" s="10">
        <f>COUNTIFS('Feature Register'!$B$2:$B$268,$A19,'Feature Register'!$I$2:$I$268,D$16)</f>
        <v/>
      </c>
      <c r="E19" s="10">
        <f>COUNTIFS('Feature Register'!$B$2:$B$268,$A19,'Feature Register'!$I$2:$I$268,E$16)</f>
        <v/>
      </c>
      <c r="F19" s="10">
        <f>SUM(B19:E19)</f>
        <v/>
      </c>
      <c r="G19" s="15">
        <f>IF(F19=0,0,B19/F19)</f>
        <v/>
      </c>
    </row>
    <row r="20" ht="15" customFormat="1" customHeight="1" s="2">
      <c r="A20" s="9" t="inlineStr">
        <is>
          <t>State Machines</t>
        </is>
      </c>
      <c r="B20" s="10">
        <f>COUNTIFS('Feature Register'!$B$2:$B$268,$A20,'Feature Register'!$I$2:$I$268,B$16)</f>
        <v/>
      </c>
      <c r="C20" s="10">
        <f>COUNTIFS('Feature Register'!$B$2:$B$268,$A20,'Feature Register'!$I$2:$I$268,C$16)</f>
        <v/>
      </c>
      <c r="D20" s="10">
        <f>COUNTIFS('Feature Register'!$B$2:$B$268,$A20,'Feature Register'!$I$2:$I$268,D$16)</f>
        <v/>
      </c>
      <c r="E20" s="10">
        <f>COUNTIFS('Feature Register'!$B$2:$B$268,$A20,'Feature Register'!$I$2:$I$268,E$16)</f>
        <v/>
      </c>
      <c r="F20" s="10">
        <f>SUM(B20:E20)</f>
        <v/>
      </c>
      <c r="G20" s="15">
        <f>IF(F20=0,0,B20/F20)</f>
        <v/>
      </c>
    </row>
    <row r="21" ht="15" customFormat="1" customHeight="1" s="2">
      <c r="A21" s="9" t="inlineStr">
        <is>
          <t>Gig Assignment Rules</t>
        </is>
      </c>
      <c r="B21" s="10">
        <f>COUNTIFS('Feature Register'!$B$2:$B$268,$A21,'Feature Register'!$I$2:$I$268,B$16)</f>
        <v/>
      </c>
      <c r="C21" s="10">
        <f>COUNTIFS('Feature Register'!$B$2:$B$268,$A21,'Feature Register'!$I$2:$I$268,C$16)</f>
        <v/>
      </c>
      <c r="D21" s="10">
        <f>COUNTIFS('Feature Register'!$B$2:$B$268,$A21,'Feature Register'!$I$2:$I$268,D$16)</f>
        <v/>
      </c>
      <c r="E21" s="10">
        <f>COUNTIFS('Feature Register'!$B$2:$B$268,$A21,'Feature Register'!$I$2:$I$268,E$16)</f>
        <v/>
      </c>
      <c r="F21" s="10">
        <f>SUM(B21:E21)</f>
        <v/>
      </c>
      <c r="G21" s="15">
        <f>IF(F21=0,0,B21/F21)</f>
        <v/>
      </c>
    </row>
    <row r="22" ht="15" customFormat="1" customHeight="1" s="2">
      <c r="A22" s="9" t="inlineStr">
        <is>
          <t>Navigation</t>
        </is>
      </c>
      <c r="B22" s="10">
        <f>COUNTIFS('Feature Register'!$B$2:$B$268,$A22,'Feature Register'!$I$2:$I$268,B$16)</f>
        <v/>
      </c>
      <c r="C22" s="10">
        <f>COUNTIFS('Feature Register'!$B$2:$B$268,$A22,'Feature Register'!$I$2:$I$268,C$16)</f>
        <v/>
      </c>
      <c r="D22" s="10">
        <f>COUNTIFS('Feature Register'!$B$2:$B$268,$A22,'Feature Register'!$I$2:$I$268,D$16)</f>
        <v/>
      </c>
      <c r="E22" s="10">
        <f>COUNTIFS('Feature Register'!$B$2:$B$268,$A22,'Feature Register'!$I$2:$I$268,E$16)</f>
        <v/>
      </c>
      <c r="F22" s="10">
        <f>SUM(B22:E22)</f>
        <v/>
      </c>
      <c r="G22" s="15">
        <f>IF(F22=0,0,B22/F22)</f>
        <v/>
      </c>
    </row>
    <row r="23" ht="15" customFormat="1" customHeight="1" s="2">
      <c r="A23" s="9" t="inlineStr">
        <is>
          <t>KPIs</t>
        </is>
      </c>
      <c r="B23" s="10">
        <f>COUNTIFS('Feature Register'!$B$2:$B$268,$A23,'Feature Register'!$I$2:$I$268,B$16)</f>
        <v/>
      </c>
      <c r="C23" s="10">
        <f>COUNTIFS('Feature Register'!$B$2:$B$268,$A23,'Feature Register'!$I$2:$I$268,C$16)</f>
        <v/>
      </c>
      <c r="D23" s="10">
        <f>COUNTIFS('Feature Register'!$B$2:$B$268,$A23,'Feature Register'!$I$2:$I$268,D$16)</f>
        <v/>
      </c>
      <c r="E23" s="10">
        <f>COUNTIFS('Feature Register'!$B$2:$B$268,$A23,'Feature Register'!$I$2:$I$268,E$16)</f>
        <v/>
      </c>
      <c r="F23" s="10">
        <f>SUM(B23:E23)</f>
        <v/>
      </c>
      <c r="G23" s="15">
        <f>IF(F23=0,0,B23/F23)</f>
        <v/>
      </c>
    </row>
    <row r="24" ht="15" customFormat="1" customHeight="1" s="2">
      <c r="A24" s="9" t="inlineStr">
        <is>
          <t>Added features (to 6 Oct)</t>
        </is>
      </c>
      <c r="B24" s="10">
        <f>COUNTIFS('Feature Register'!$B$2:$B$268,$A24,'Feature Register'!$I$2:$I$268,B$16)</f>
        <v/>
      </c>
      <c r="C24" s="10">
        <f>COUNTIFS('Feature Register'!$B$2:$B$268,$A24,'Feature Register'!$I$2:$I$268,C$16)</f>
        <v/>
      </c>
      <c r="D24" s="10">
        <f>COUNTIFS('Feature Register'!$B$2:$B$268,$A24,'Feature Register'!$I$2:$I$268,D$16)</f>
        <v/>
      </c>
      <c r="E24" s="10">
        <f>COUNTIFS('Feature Register'!$B$2:$B$268,$A24,'Feature Register'!$I$2:$I$268,E$16)</f>
        <v/>
      </c>
      <c r="F24" s="10">
        <f>SUM(B24:E24)</f>
        <v/>
      </c>
      <c r="G24" s="15">
        <f>IF(F24=0,0,B24/F24)</f>
        <v/>
      </c>
    </row>
    <row r="25" ht="15" customFormat="1" customHeight="1" s="2">
      <c r="A25" s="9" t="inlineStr">
        <is>
          <t>Delivered or started since 6 Oct</t>
        </is>
      </c>
      <c r="B25" s="10">
        <f>COUNTIFS('Feature Register'!$B$2:$B$268,$A25,'Feature Register'!$I$2:$I$268,B$16)</f>
        <v/>
      </c>
      <c r="C25" s="10">
        <f>COUNTIFS('Feature Register'!$B$2:$B$268,$A25,'Feature Register'!$I$2:$I$268,C$16)</f>
        <v/>
      </c>
      <c r="D25" s="10">
        <f>COUNTIFS('Feature Register'!$B$2:$B$268,$A25,'Feature Register'!$I$2:$I$268,D$16)</f>
        <v/>
      </c>
      <c r="E25" s="10">
        <f>COUNTIFS('Feature Register'!$B$2:$B$268,$A25,'Feature Register'!$I$2:$I$268,E$16)</f>
        <v/>
      </c>
      <c r="F25" s="10">
        <f>SUM(B25:E25)</f>
        <v/>
      </c>
      <c r="G25" s="15">
        <f>IF(F25=0,0,B25/F25)</f>
        <v/>
      </c>
    </row>
    <row r="26" ht="15" customFormat="1" customHeight="1" s="2">
      <c r="A26" s="9" t="inlineStr">
        <is>
          <t>Delivered or started since 8 Oct</t>
        </is>
      </c>
      <c r="B26" s="10">
        <f>COUNTIFS('Feature Register'!$B$2:$B$268,$A26,'Feature Register'!$I$2:$I$268,B$16)</f>
        <v/>
      </c>
      <c r="C26" s="10">
        <f>COUNTIFS('Feature Register'!$B$2:$B$268,$A26,'Feature Register'!$I$2:$I$268,C$16)</f>
        <v/>
      </c>
      <c r="D26" s="10">
        <f>COUNTIFS('Feature Register'!$B$2:$B$268,$A26,'Feature Register'!$I$2:$I$268,D$16)</f>
        <v/>
      </c>
      <c r="E26" s="10">
        <f>COUNTIFS('Feature Register'!$B$2:$B$268,$A26,'Feature Register'!$I$2:$I$268,E$16)</f>
        <v/>
      </c>
      <c r="F26" s="10">
        <f>SUM(B26:E26)</f>
        <v/>
      </c>
      <c r="G26" s="15">
        <f>IF(F26=0,0,B26/F26)</f>
        <v/>
      </c>
    </row>
    <row r="27" ht="15" customFormat="1" customHeight="1" s="2">
      <c r="A27" s="9" t="inlineStr">
        <is>
          <t>Delivered or started since 9 Oct</t>
        </is>
      </c>
      <c r="B27" s="10">
        <f>COUNTIFS('Feature Register'!$B$2:$B$268,$A27,'Feature Register'!$I$2:$I$268,B$16)</f>
        <v/>
      </c>
      <c r="C27" s="10">
        <f>COUNTIFS('Feature Register'!$B$2:$B$268,$A27,'Feature Register'!$I$2:$I$268,C$16)</f>
        <v/>
      </c>
      <c r="D27" s="10">
        <f>COUNTIFS('Feature Register'!$B$2:$B$268,$A27,'Feature Register'!$I$2:$I$268,D$16)</f>
        <v/>
      </c>
      <c r="E27" s="10">
        <f>COUNTIFS('Feature Register'!$B$2:$B$268,$A27,'Feature Register'!$I$2:$I$268,E$16)</f>
        <v/>
      </c>
      <c r="F27" s="10">
        <f>SUM(B27:E27)</f>
        <v/>
      </c>
      <c r="G27" s="15">
        <f>IF(F27=0,0,B27/F27)</f>
        <v/>
      </c>
    </row>
    <row r="28" ht="15" customFormat="1" customHeight="1" s="2">
      <c r="A28" s="9" t="inlineStr">
        <is>
          <t>Delivered or started since 10 Oct</t>
        </is>
      </c>
      <c r="B28" s="10">
        <f>COUNTIFS('Feature Register'!$B$2:$B$268,$A28,'Feature Register'!$I$2:$I$268,B$16)</f>
        <v/>
      </c>
      <c r="C28" s="10">
        <f>COUNTIFS('Feature Register'!$B$2:$B$268,$A28,'Feature Register'!$I$2:$I$268,C$16)</f>
        <v/>
      </c>
      <c r="D28" s="10">
        <f>COUNTIFS('Feature Register'!$B$2:$B$268,$A28,'Feature Register'!$I$2:$I$268,D$16)</f>
        <v/>
      </c>
      <c r="E28" s="10">
        <f>COUNTIFS('Feature Register'!$B$2:$B$268,$A28,'Feature Register'!$I$2:$I$268,E$16)</f>
        <v/>
      </c>
      <c r="F28" s="10">
        <f>SUM(B28:E28)</f>
        <v/>
      </c>
      <c r="G28" s="15">
        <f>IF(F28=0,0,B28/F28)</f>
        <v/>
      </c>
    </row>
    <row r="29" ht="15" customFormat="1" customHeight="1" s="2">
      <c r="A29" s="9" t="inlineStr">
        <is>
          <t>Delivered or started since 14 Oct</t>
        </is>
      </c>
      <c r="B29" s="10">
        <f>COUNTIFS('Feature Register'!$B$2:$B$268,$A29,'Feature Register'!$I$2:$I$268,B$16)</f>
        <v/>
      </c>
      <c r="C29" s="10">
        <f>COUNTIFS('Feature Register'!$B$2:$B$268,$A29,'Feature Register'!$I$2:$I$268,C$16)</f>
        <v/>
      </c>
      <c r="D29" s="10">
        <f>COUNTIFS('Feature Register'!$B$2:$B$268,$A29,'Feature Register'!$I$2:$I$268,D$16)</f>
        <v/>
      </c>
      <c r="E29" s="10">
        <f>COUNTIFS('Feature Register'!$B$2:$B$268,$A29,'Feature Register'!$I$2:$I$268,E$16)</f>
        <v/>
      </c>
      <c r="F29" s="10">
        <f>SUM(B29:E29)</f>
        <v/>
      </c>
      <c r="G29" s="15">
        <f>IF(F29=0,0,B29/F29)</f>
        <v/>
      </c>
    </row>
    <row r="30" ht="15" customFormat="1" customHeight="1" s="2">
      <c r="A30" s="9" t="inlineStr">
        <is>
          <t>Product Master Data Platform</t>
        </is>
      </c>
      <c r="B30" s="10">
        <f>COUNTIFS('Feature Register'!$B$2:$B$268,$A30,'Feature Register'!$I$2:$I$268,B$16)</f>
        <v/>
      </c>
      <c r="C30" s="10">
        <f>COUNTIFS('Feature Register'!$B$2:$B$268,$A30,'Feature Register'!$I$2:$I$268,C$16)</f>
        <v/>
      </c>
      <c r="D30" s="10">
        <f>COUNTIFS('Feature Register'!$B$2:$B$268,$A30,'Feature Register'!$I$2:$I$268,D$16)</f>
        <v/>
      </c>
      <c r="E30" s="10">
        <f>COUNTIFS('Feature Register'!$B$2:$B$268,$A30,'Feature Register'!$I$2:$I$268,E$16)</f>
        <v/>
      </c>
      <c r="F30" s="10">
        <f>SUM(B30:E30)</f>
        <v/>
      </c>
      <c r="G30" s="15">
        <f>IF(F30=0,0,B30/F30)</f>
        <v/>
      </c>
    </row>
    <row r="31" ht="15" customFormat="1" customHeight="1" s="2">
      <c r="A31" s="9" t="inlineStr">
        <is>
          <t>Platform &amp; DevOps</t>
        </is>
      </c>
      <c r="B31" s="10">
        <f>COUNTIFS('Feature Register'!$B$2:$B$268,$A31,'Feature Register'!$I$2:$I$268,B$16)</f>
        <v/>
      </c>
      <c r="C31" s="10">
        <f>COUNTIFS('Feature Register'!$B$2:$B$268,$A31,'Feature Register'!$I$2:$I$268,C$16)</f>
        <v/>
      </c>
      <c r="D31" s="10">
        <f>COUNTIFS('Feature Register'!$B$2:$B$268,$A31,'Feature Register'!$I$2:$I$268,D$16)</f>
        <v/>
      </c>
      <c r="E31" s="10">
        <f>COUNTIFS('Feature Register'!$B$2:$B$268,$A31,'Feature Register'!$I$2:$I$268,E$16)</f>
        <v/>
      </c>
      <c r="F31" s="10">
        <f>SUM(B31:E31)</f>
        <v/>
      </c>
      <c r="G31" s="15">
        <f>IF(F31=0,0,B31/F31)</f>
        <v/>
      </c>
    </row>
    <row r="32" ht="15" customFormat="1" customHeight="1" s="2">
      <c r="A32" s="9" t="inlineStr">
        <is>
          <t>QA &amp; Testing</t>
        </is>
      </c>
      <c r="B32" s="10">
        <f>COUNTIFS('Feature Register'!$B$2:$B$268,$A32,'Feature Register'!$I$2:$I$268,B$16)</f>
        <v/>
      </c>
      <c r="C32" s="10">
        <f>COUNTIFS('Feature Register'!$B$2:$B$268,$A32,'Feature Register'!$I$2:$I$268,C$16)</f>
        <v/>
      </c>
      <c r="D32" s="10">
        <f>COUNTIFS('Feature Register'!$B$2:$B$268,$A32,'Feature Register'!$I$2:$I$268,D$16)</f>
        <v/>
      </c>
      <c r="E32" s="10">
        <f>COUNTIFS('Feature Register'!$B$2:$B$268,$A32,'Feature Register'!$I$2:$I$268,E$16)</f>
        <v/>
      </c>
      <c r="F32" s="10">
        <f>SUM(B32:E32)</f>
        <v/>
      </c>
      <c r="G32" s="15">
        <f>IF(F32=0,0,B32/F32)</f>
        <v/>
      </c>
    </row>
    <row r="33" ht="15" customFormat="1" customHeight="1" s="2">
      <c r="A33" s="9" t="inlineStr">
        <is>
          <t>Known gaps (not started)</t>
        </is>
      </c>
      <c r="B33" s="10">
        <f>COUNTIFS('Feature Register'!$B$2:$B$268,$A33,'Feature Register'!$I$2:$I$268,B$16)</f>
        <v/>
      </c>
      <c r="C33" s="10">
        <f>COUNTIFS('Feature Register'!$B$2:$B$268,$A33,'Feature Register'!$I$2:$I$268,C$16)</f>
        <v/>
      </c>
      <c r="D33" s="10">
        <f>COUNTIFS('Feature Register'!$B$2:$B$268,$A33,'Feature Register'!$I$2:$I$268,D$16)</f>
        <v/>
      </c>
      <c r="E33" s="10">
        <f>COUNTIFS('Feature Register'!$B$2:$B$268,$A33,'Feature Register'!$I$2:$I$268,E$16)</f>
        <v/>
      </c>
      <c r="F33" s="10">
        <f>SUM(B33:E33)</f>
        <v/>
      </c>
      <c r="G33" s="15">
        <f>IF(F33=0,0,B33/F33)</f>
        <v/>
      </c>
    </row>
    <row r="34" ht="15" customFormat="1" customHeight="1" s="2">
      <c r="A34" s="9" t="inlineStr">
        <is>
          <t>Total</t>
        </is>
      </c>
      <c r="B34" s="13">
        <f>SUM(B17:B33)</f>
        <v/>
      </c>
      <c r="C34" s="13">
        <f>SUM(C17:C33)</f>
        <v/>
      </c>
      <c r="D34" s="13">
        <f>SUM(D17:D33)</f>
        <v/>
      </c>
      <c r="E34" s="13">
        <f>SUM(E17:E33)</f>
        <v/>
      </c>
      <c r="F34" s="13">
        <f>SUM(F17:F33)</f>
        <v/>
      </c>
      <c r="G34" s="16">
        <f>IF(F34=0,0,B34/F34)</f>
        <v/>
      </c>
    </row>
    <row r="35" ht="15" customFormat="1" customHeight="1" s="2"/>
    <row r="36" ht="15" customFormat="1" customHeight="1" s="2">
      <c r="A36" s="5" t="inlineStr">
        <is>
          <t>3. Where features run</t>
        </is>
      </c>
    </row>
    <row r="37" ht="15" customFormat="1" customHeight="1" s="2">
      <c r="A37" s="6" t="inlineStr">
        <is>
          <t>Where it runs</t>
        </is>
      </c>
      <c r="B37" s="6" t="inlineStr">
        <is>
          <t>Features</t>
        </is>
      </c>
    </row>
    <row r="38" ht="15" customFormat="1" customHeight="1" s="2">
      <c r="A38" s="9" t="inlineStr">
        <is>
          <t>Production (gokesari.com)</t>
        </is>
      </c>
      <c r="B38" s="10">
        <f>COUNTIF('Feature Register'!$J$2:$J$268,A38)</f>
        <v/>
      </c>
    </row>
    <row r="39" ht="15" customFormat="1" customHeight="1" s="2">
      <c r="A39" s="9" t="inlineStr">
        <is>
          <t>Production - built, switched off by default</t>
        </is>
      </c>
      <c r="B39" s="10">
        <f>COUNTIF('Feature Register'!$J$2:$J$268,A39)</f>
        <v/>
      </c>
    </row>
    <row r="40" ht="15" customFormat="1" customHeight="1" s="2">
      <c r="A40" s="9" t="inlineStr">
        <is>
          <t>Production - partly live</t>
        </is>
      </c>
      <c r="B40" s="10">
        <f>COUNTIF('Feature Register'!$J$2:$J$268,A40)</f>
        <v/>
      </c>
    </row>
    <row r="41" ht="15" customFormat="1" customHeight="1" s="2">
      <c r="A41" s="9" t="inlineStr">
        <is>
          <t>Test site only (test.gokesari.com)</t>
        </is>
      </c>
      <c r="B41" s="10">
        <f>COUNTIF('Feature Register'!$J$2:$J$268,A41)</f>
        <v/>
      </c>
    </row>
    <row r="42" ht="15" customFormat="1" customHeight="1" s="2">
      <c r="A42" s="9" t="inlineStr">
        <is>
          <t>Test site only - production release reverted (#87)</t>
        </is>
      </c>
      <c r="B42" s="10">
        <f>COUNTIF('Feature Register'!$J$2:$J$268,A42)</f>
        <v/>
      </c>
    </row>
    <row r="43" ht="15" customFormat="1" customHeight="1" s="2">
      <c r="A43" s="9" t="inlineStr">
        <is>
          <t>Open PR - not merged</t>
        </is>
      </c>
      <c r="B43" s="10">
        <f>COUNTIF('Feature Register'!$J$2:$J$268,A43)</f>
        <v/>
      </c>
    </row>
    <row r="44" ht="15" customFormat="1" customHeight="1" s="2">
      <c r="A44" s="9" t="inlineStr">
        <is>
          <t>Mobile app - Android test builds only (not in stores)</t>
        </is>
      </c>
      <c r="B44" s="10">
        <f>COUNTIF('Feature Register'!$J$2:$J$268,A44)</f>
        <v/>
      </c>
    </row>
    <row r="45" ht="15" customFormat="1" customHeight="1" s="2">
      <c r="A45" s="9" t="inlineStr">
        <is>
          <t>GitHub Actions (runs from main)</t>
        </is>
      </c>
      <c r="B45" s="10">
        <f>COUNTIF('Feature Register'!$J$2:$J$268,A45)</f>
        <v/>
      </c>
    </row>
    <row r="46" ht="15" customFormat="1" customHeight="1" s="2">
      <c r="A46" s="9" t="inlineStr">
        <is>
          <t>GitHub Actions (runs from staging)</t>
        </is>
      </c>
      <c r="B46" s="10">
        <f>COUNTIF('Feature Register'!$J$2:$J$268,A46)</f>
        <v/>
      </c>
    </row>
    <row r="47" ht="15" customFormat="1" customHeight="1" s="2">
      <c r="A47" s="9" t="inlineStr">
        <is>
          <t>On staging only - not yet runnable</t>
        </is>
      </c>
      <c r="B47" s="10">
        <f>COUNTIF('Feature Register'!$J$2:$J$268,A47)</f>
        <v/>
      </c>
    </row>
    <row r="48" ht="15" customFormat="1" customHeight="1" s="2">
      <c r="A48" s="9" t="inlineStr">
        <is>
          <t>Not started</t>
        </is>
      </c>
      <c r="B48" s="10">
        <f>COUNTIF('Feature Register'!$J$2:$J$268,A48)</f>
        <v/>
      </c>
    </row>
    <row r="49" ht="15" customFormat="1" customHeight="1" s="2">
      <c r="A49" s="9" t="inlineStr">
        <is>
          <t>Total</t>
        </is>
      </c>
      <c r="B49" s="13">
        <f>SUM(B38:B48)</f>
        <v/>
      </c>
    </row>
    <row r="50" ht="15" customFormat="1" customHeight="1" s="2"/>
    <row r="51" ht="15" customFormat="1" customHeight="1" s="2">
      <c r="A51" s="5" t="inlineStr">
        <is>
          <t>4. Process flow steps by status</t>
        </is>
      </c>
    </row>
    <row r="52" ht="15" customFormat="1" customHeight="1" s="2">
      <c r="A52" s="6" t="inlineStr">
        <is>
          <t>Status</t>
        </is>
      </c>
      <c r="B52" s="6" t="inlineStr">
        <is>
          <t>Steps (level 3)</t>
        </is>
      </c>
      <c r="C52" s="6" t="inlineStr">
        <is>
          <t>Stages (level 2)</t>
        </is>
      </c>
      <c r="D52" s="6" t="inlineStr">
        <is>
          <t>Flows (level 1)</t>
        </is>
      </c>
    </row>
    <row r="53" ht="15" customFormat="1" customHeight="1" s="2">
      <c r="A53" s="9" t="inlineStr">
        <is>
          <t>COMPLETED</t>
        </is>
      </c>
      <c r="B53" s="10">
        <f>COUNTIFS('Process Flow Tree'!$B$5:$B$217,3,'Process Flow Tree'!$G$5:$G$217,$A53)</f>
        <v/>
      </c>
      <c r="C53" s="10">
        <f>COUNTIFS('Process Flow Tree'!$B$5:$B$217,2,'Process Flow Tree'!$G$5:$G$217,$A53)</f>
        <v/>
      </c>
      <c r="D53" s="10">
        <f>COUNTIFS('Process Flow Tree'!$B$5:$B$217,1,'Process Flow Tree'!$G$5:$G$217,$A53)</f>
        <v/>
      </c>
    </row>
    <row r="54" ht="15" customFormat="1" customHeight="1" s="2">
      <c r="A54" s="9" t="inlineStr">
        <is>
          <t>IN PROGRESS</t>
        </is>
      </c>
      <c r="B54" s="10">
        <f>COUNTIFS('Process Flow Tree'!$B$5:$B$217,3,'Process Flow Tree'!$G$5:$G$217,$A54)</f>
        <v/>
      </c>
      <c r="C54" s="10">
        <f>COUNTIFS('Process Flow Tree'!$B$5:$B$217,2,'Process Flow Tree'!$G$5:$G$217,$A54)</f>
        <v/>
      </c>
      <c r="D54" s="10">
        <f>COUNTIFS('Process Flow Tree'!$B$5:$B$217,1,'Process Flow Tree'!$G$5:$G$217,$A54)</f>
        <v/>
      </c>
    </row>
    <row r="55" ht="15" customFormat="1" customHeight="1" s="2">
      <c r="A55" s="9" t="inlineStr">
        <is>
          <t>YET TO START</t>
        </is>
      </c>
      <c r="B55" s="10">
        <f>COUNTIFS('Process Flow Tree'!$B$5:$B$217,3,'Process Flow Tree'!$G$5:$G$217,$A55)</f>
        <v/>
      </c>
      <c r="C55" s="10">
        <f>COUNTIFS('Process Flow Tree'!$B$5:$B$217,2,'Process Flow Tree'!$G$5:$G$217,$A55)</f>
        <v/>
      </c>
      <c r="D55" s="10">
        <f>COUNTIFS('Process Flow Tree'!$B$5:$B$217,1,'Process Flow Tree'!$G$5:$G$217,$A55)</f>
        <v/>
      </c>
    </row>
    <row r="56" ht="15" customFormat="1" customHeight="1" s="2">
      <c r="A56" s="9" t="inlineStr">
        <is>
          <t>BLOCKED</t>
        </is>
      </c>
      <c r="B56" s="10">
        <f>COUNTIFS('Process Flow Tree'!$B$5:$B$217,3,'Process Flow Tree'!$G$5:$G$217,$A56)</f>
        <v/>
      </c>
      <c r="C56" s="10">
        <f>COUNTIFS('Process Flow Tree'!$B$5:$B$217,2,'Process Flow Tree'!$G$5:$G$217,$A56)</f>
        <v/>
      </c>
      <c r="D56" s="10">
        <f>COUNTIFS('Process Flow Tree'!$B$5:$B$217,1,'Process Flow Tree'!$G$5:$G$217,$A56)</f>
        <v/>
      </c>
    </row>
    <row r="57" ht="15" customFormat="1" customHeight="1" s="2">
      <c r="A57" s="9" t="inlineStr">
        <is>
          <t>Total</t>
        </is>
      </c>
      <c r="B57" s="13">
        <f>SUM(B53:B56)</f>
        <v/>
      </c>
      <c r="C57" s="13">
        <f>SUM(C53:C56)</f>
        <v/>
      </c>
      <c r="D57" s="13">
        <f>SUM(D53:D56)</f>
        <v/>
      </c>
    </row>
    <row r="58" ht="15" customFormat="1" customHeight="1" s="2"/>
    <row r="59" ht="15" customFormat="1" customHeight="1" s="2">
      <c r="A59" s="5" t="inlineStr">
        <is>
          <t>5. Pull requests</t>
        </is>
      </c>
    </row>
    <row r="60" ht="15" customFormat="1" customHeight="1" s="2">
      <c r="A60" s="6" t="inlineStr">
        <is>
          <t>PR state</t>
        </is>
      </c>
      <c r="B60" s="6" t="inlineStr">
        <is>
          <t>PRs</t>
        </is>
      </c>
    </row>
    <row r="61" ht="15" customFormat="1" customHeight="1" s="2">
      <c r="A61" s="9" t="inlineStr">
        <is>
          <t>Merged</t>
        </is>
      </c>
      <c r="B61" s="10">
        <f>COUNTIF('PR Register'!$F$2:$F$189,A61)</f>
        <v/>
      </c>
    </row>
    <row r="62" ht="15" customFormat="1" customHeight="1" s="2">
      <c r="A62" s="9" t="inlineStr">
        <is>
          <t>Open</t>
        </is>
      </c>
      <c r="B62" s="10">
        <f>COUNTIF('PR Register'!$F$2:$F$189,A62)</f>
        <v/>
      </c>
    </row>
    <row r="63" ht="15" customFormat="1" customHeight="1" s="2">
      <c r="A63" s="9" t="inlineStr">
        <is>
          <t>Open (draft)</t>
        </is>
      </c>
      <c r="B63" s="10">
        <f>COUNTIF('PR Register'!$F$2:$F$189,A63)</f>
        <v/>
      </c>
    </row>
    <row r="64" ht="15" customFormat="1" customHeight="1" s="2">
      <c r="A64" s="9" t="inlineStr">
        <is>
          <t>Closed - not merged</t>
        </is>
      </c>
      <c r="B64" s="10">
        <f>COUNTIF('PR Register'!$F$2:$F$189,A64)</f>
        <v/>
      </c>
    </row>
    <row r="65" ht="15" customFormat="1" customHeight="1" s="2">
      <c r="A65" s="9" t="inlineStr">
        <is>
          <t>Total</t>
        </is>
      </c>
      <c r="B65" s="13">
        <f>SUM(B61:B64)</f>
        <v/>
      </c>
    </row>
    <row r="66" ht="15" customFormat="1" customHeight="1" s="2">
      <c r="A66" s="6" t="inlineStr">
        <is>
          <t>PR type</t>
        </is>
      </c>
      <c r="B66" s="6" t="inlineStr">
        <is>
          <t>PRs</t>
        </is>
      </c>
    </row>
    <row r="67" ht="15" customFormat="1" customHeight="1" s="2">
      <c r="A67" s="9" t="inlineStr">
        <is>
          <t>Branding</t>
        </is>
      </c>
      <c r="B67" s="10">
        <f>COUNTIF('PR Register'!$C$2:$C$189,A67)</f>
        <v/>
      </c>
    </row>
    <row r="68" ht="15" customFormat="1" customHeight="1" s="2">
      <c r="A68" s="9" t="inlineStr">
        <is>
          <t>DevOps / repo</t>
        </is>
      </c>
      <c r="B68" s="10">
        <f>COUNTIF('PR Register'!$C$2:$C$189,A68)</f>
        <v/>
      </c>
    </row>
    <row r="69" ht="15" customFormat="1" customHeight="1" s="2">
      <c r="A69" s="9" t="inlineStr">
        <is>
          <t>Docs / reports</t>
        </is>
      </c>
      <c r="B69" s="10">
        <f>COUNTIF('PR Register'!$C$2:$C$189,A69)</f>
        <v/>
      </c>
    </row>
    <row r="70" ht="15" customFormat="1" customHeight="1" s="2">
      <c r="A70" s="9" t="inlineStr">
        <is>
          <t>Feature</t>
        </is>
      </c>
      <c r="B70" s="10">
        <f>COUNTIF('PR Register'!$C$2:$C$189,A70)</f>
        <v/>
      </c>
    </row>
    <row r="71" ht="15" customFormat="1" customHeight="1" s="2">
      <c r="A71" s="9" t="inlineStr">
        <is>
          <t>Fix / hotfix</t>
        </is>
      </c>
      <c r="B71" s="10">
        <f>COUNTIF('PR Register'!$C$2:$C$189,A71)</f>
        <v/>
      </c>
    </row>
    <row r="72" ht="15" customFormat="1" customHeight="1" s="2">
      <c r="A72" s="9" t="inlineStr">
        <is>
          <t>Improvement</t>
        </is>
      </c>
      <c r="B72" s="10">
        <f>COUNTIF('PR Register'!$C$2:$C$189,A72)</f>
        <v/>
      </c>
    </row>
    <row r="73" ht="15" customFormat="1" customHeight="1" s="2">
      <c r="A73" s="9" t="inlineStr">
        <is>
          <t>Platform port</t>
        </is>
      </c>
      <c r="B73" s="10">
        <f>COUNTIF('PR Register'!$C$2:$C$189,A73)</f>
        <v/>
      </c>
    </row>
    <row r="74" ht="15" customFormat="1" customHeight="1" s="2">
      <c r="A74" s="9" t="inlineStr">
        <is>
          <t>QA / tests</t>
        </is>
      </c>
      <c r="B74" s="10">
        <f>COUNTIF('PR Register'!$C$2:$C$189,A74)</f>
        <v/>
      </c>
    </row>
    <row r="75" ht="15" customFormat="1" customHeight="1" s="2">
      <c r="A75" s="9" t="inlineStr">
        <is>
          <t>Release (staging -&gt; main)</t>
        </is>
      </c>
      <c r="B75" s="10">
        <f>COUNTIF('PR Register'!$C$2:$C$189,A75)</f>
        <v/>
      </c>
    </row>
    <row r="76" ht="15" customFormat="1" customHeight="1" s="2">
      <c r="A76" s="9" t="inlineStr">
        <is>
          <t>Release + direct commits (Phases A-J)</t>
        </is>
      </c>
      <c r="B76" s="10">
        <f>COUNTIF('PR Register'!$C$2:$C$189,A76)</f>
        <v/>
      </c>
    </row>
    <row r="77" ht="15" customFormat="1" customHeight="1" s="2">
      <c r="A77" s="9" t="inlineStr">
        <is>
          <t>Revert</t>
        </is>
      </c>
      <c r="B77" s="10">
        <f>COUNTIF('PR Register'!$C$2:$C$189,A77)</f>
        <v/>
      </c>
    </row>
    <row r="78" ht="15" customFormat="1" customHeight="1" s="2">
      <c r="A78" s="9" t="inlineStr">
        <is>
          <t>Security / dependencies</t>
        </is>
      </c>
      <c r="B78" s="10">
        <f>COUNTIF('PR Register'!$C$2:$C$189,A78)</f>
        <v/>
      </c>
    </row>
    <row r="79" ht="15" customFormat="1" customHeight="1" s="2">
      <c r="A79" s="9" t="inlineStr">
        <is>
          <t>Test data / settings</t>
        </is>
      </c>
      <c r="B79" s="10">
        <f>COUNTIF('PR Register'!$C$2:$C$189,A79)</f>
        <v/>
      </c>
    </row>
    <row r="80" ht="15" customFormat="1" customHeight="1" s="2">
      <c r="A80" s="9" t="inlineStr">
        <is>
          <t>Total</t>
        </is>
      </c>
      <c r="B80" s="13">
        <f>SUM(B67:B79)</f>
        <v/>
      </c>
    </row>
    <row r="81" ht="42" customFormat="1" customHeight="1" s="2"/>
    <row r="82" ht="36" customFormat="1" customHeight="1" s="2">
      <c r="A82" s="5" t="inlineStr">
        <is>
          <t>6. Headlines (18 Oct 2026)</t>
        </is>
      </c>
    </row>
    <row r="83" ht="36" customFormat="1" customHeight="1" s="2">
      <c r="A83" s="17" t="inlineStr">
        <is>
          <t>1. Release #185 (16 Oct 04:24 UTC, no migrations) put the PMD loader race fix (#184) on gokesari.com; staging is level with main (#187). No feature changed status since 16 Oct: 227 of 267 COMPLETED (85 %), 2 IN PROGRESS, 19 YET TO START, 19 BLOCKED. Live checks 18 Oct 13:45 UTC: gokesari.com, /shops and test.gokesari.com 200; /shop/accounts and /shop/product-import 307 (sign-in).</t>
        </is>
      </c>
    </row>
    <row r="84" ht="39" customFormat="1" customHeight="1" s="2">
      <c r="A84" s="17" t="inlineStr">
        <is>
          <t>2. Live on gokesari.com since 15 Oct: Inventory &amp; Accounting for shop owners (NEW-067: 49 of 56 sub-features Done, 6 Blocked on owner choices / accounts, 1 In progress) and bulk product upload (GS-013: 15 of 17 sub-features Done on Prod; Android store build in progress, iPhone build blocked on Apple / Expo accounts).</t>
        </is>
      </c>
    </row>
    <row r="85" ht="36" customFormat="1" customHeight="1" s="2">
      <c r="A85" s="17" t="inlineStr">
        <is>
          <t>3. Blockers #56 (flaky PMD parallel-loader test) is resolved on main. Correction: #178 (#169 test results) was merged on 15 Oct, not an open draft.</t>
        </is>
      </c>
    </row>
    <row r="86" ht="39" customFormat="1" customHeight="1" s="2">
      <c r="A86" s="17" t="inlineStr">
        <is>
          <t>4. Open PRs are docs only: #183 (15/16 Oct status workbooks - merge or close, this report supersedes it) and #188 (competitive analysis deck vs Amazon, Flipkart, Blinkit, Zepto, Instamart and others, 18 Oct).</t>
        </is>
      </c>
    </row>
    <row r="87" ht="36" customFormat="1" customHeight="1" s="2">
      <c r="A87" s="17" t="inlineStr">
        <is>
          <t>5. Biggest go-live gates unchanged: per-order online payment decision (GS-028 / NEW-007, Blockers #5), SMS / OTP vendor (D2, #6), 791-case browser QA plan not run (QA-003, #3), production cron jobs (#4), email sending capacity (#25), and the production lifecycle run with a real payment (QA-009, #44).</t>
        </is>
      </c>
    </row>
    <row r="88" ht="36" customFormat="1" customHeight="1" s="2">
      <c r="A88" s="17" t="inlineStr">
        <is>
          <t>6. Database split (PLT-015): production run 19 PASSED; the site still reads one database; phases 2-4 not started.</t>
        </is>
      </c>
    </row>
    <row r="89" ht="36" customFormat="1" customHeight="1" s="2">
      <c r="A89" s="17" t="inlineStr">
        <is>
          <t>7. Still open owner actions: reset the database password posted in chat (#33); delete the copy-shops SQL files (#39); PROD_DATABASE_URL for Actions (#32); Maps server key (#31); Apple / Expo secrets (#29); valid INTEGRATION_ENCRYPTION_KEY (#51); GSP choice (#52).</t>
        </is>
      </c>
    </row>
  </sheetData>
  <mergeCells count="17">
    <mergeCell ref="A84:G84"/>
    <mergeCell ref="E10:G10"/>
    <mergeCell ref="A89:G89"/>
    <mergeCell ref="A88:G88"/>
    <mergeCell ref="E13:G13"/>
    <mergeCell ref="E11:G11"/>
    <mergeCell ref="A3:G3"/>
    <mergeCell ref="A83:G83"/>
    <mergeCell ref="E8:G8"/>
    <mergeCell ref="A4:G4"/>
    <mergeCell ref="A87:G87"/>
    <mergeCell ref="A2:G2"/>
    <mergeCell ref="E9:G9"/>
    <mergeCell ref="E12:G12"/>
    <mergeCell ref="A86:G86"/>
    <mergeCell ref="A85:G85"/>
    <mergeCell ref="A5:G5"/>
  </mergeCells>
  <conditionalFormatting sqref="A9:A12">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conditionalFormatting sqref="A53:A56">
    <cfRule type="cellIs" priority="5" operator="equal" dxfId="0">
      <formula>"COMPLETED"</formula>
    </cfRule>
    <cfRule type="cellIs" priority="6" operator="equal" dxfId="1">
      <formula>"IN PROGRESS"</formula>
    </cfRule>
    <cfRule type="cellIs" priority="7" operator="equal" dxfId="2">
      <formula>"YET TO START"</formula>
    </cfRule>
    <cfRule type="cellIs" priority="8" operator="equal" dxfId="3">
      <formula>"BLOCKED"</formula>
    </cfRule>
  </conditionalFormatting>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F21"/>
  <sheetViews>
    <sheetView zoomScale="100" zoomScaleNormal="100" workbookViewId="0">
      <pane ySplit="4" topLeftCell="A5" activePane="bottomLeft" state="frozen"/>
      <selection pane="bottomLeft" activeCell="A1" sqref="A1"/>
    </sheetView>
  </sheetViews>
  <sheetFormatPr baseColWidth="8" defaultRowHeight="15" outlineLevelRow="0"/>
  <cols>
    <col width="9" customWidth="1" style="2" min="1" max="1"/>
    <col width="32" customWidth="1" style="2" min="2" max="2"/>
    <col width="14" customWidth="1" style="2" min="3" max="3"/>
    <col width="12" customWidth="1" style="2" min="4" max="4"/>
    <col width="110" customWidth="1" style="2" min="5" max="5"/>
    <col width="30" customWidth="1" style="2" min="6" max="6"/>
  </cols>
  <sheetData>
    <row r="1">
      <c r="A1" s="18" t="inlineStr">
        <is>
          <t>Bulk product upload (Excel/CSV) with shop inventory update - sub-feature status</t>
        </is>
      </c>
    </row>
    <row r="2">
      <c r="A2" s="1" t="inlineStr">
        <is>
          <t>Statuses: Not started / In progress / Done on Test / Done on Prod / Blocked. Design: docs/product-import-2026-10/README.md. Tests: docs/testing/bulk-product-upload-test-report.md.</t>
        </is>
      </c>
    </row>
    <row r="4">
      <c r="A4" s="19" t="inlineStr">
        <is>
          <t>ID</t>
        </is>
      </c>
      <c r="B4" s="19" t="inlineStr">
        <is>
          <t>Sub-feature</t>
        </is>
      </c>
      <c r="C4" s="19" t="inlineStr">
        <is>
          <t>Status</t>
        </is>
      </c>
      <c r="D4" s="19" t="inlineStr">
        <is>
          <t>Date</t>
        </is>
      </c>
      <c r="E4" s="19" t="inlineStr">
        <is>
          <t>Notes</t>
        </is>
      </c>
      <c r="F4" s="19" t="inlineStr">
        <is>
          <t>Branch / PR</t>
        </is>
      </c>
    </row>
    <row r="5">
      <c r="A5" s="20" t="inlineStr">
        <is>
          <t>BPU-01</t>
        </is>
      </c>
      <c r="B5" s="20" t="inlineStr">
        <is>
          <t>Parser (Amazon template)</t>
        </is>
      </c>
      <c r="C5" s="21" t="inlineStr">
        <is>
          <t>Done on Prod</t>
        </is>
      </c>
      <c r="D5" s="20" t="inlineStr">
        <is>
          <t>2026-10-15</t>
        </is>
      </c>
      <c r="E5" s="20" t="inlineStr">
        <is>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is>
      </c>
      <c r="F5" s="20" t="inlineStr">
        <is>
          <t>PR #173, #174, release #179</t>
        </is>
      </c>
    </row>
    <row r="6">
      <c r="A6" s="20" t="inlineStr">
        <is>
          <t>BPU-02</t>
        </is>
      </c>
      <c r="B6" s="20" t="inlineStr">
        <is>
          <t>Parser (GoKesari template + CSV)</t>
        </is>
      </c>
      <c r="C6" s="21" t="inlineStr">
        <is>
          <t>Done on Prod</t>
        </is>
      </c>
      <c r="D6" s="20" t="inlineStr">
        <is>
          <t>2026-10-15</t>
        </is>
      </c>
      <c r="E6" s="20" t="inlineStr">
        <is>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is>
      </c>
      <c r="F6" s="20" t="inlineStr">
        <is>
          <t>PR #173, #174, release #179</t>
        </is>
      </c>
    </row>
    <row r="7">
      <c r="A7" s="20" t="inlineStr">
        <is>
          <t>BPU-03</t>
        </is>
      </c>
      <c r="B7" s="20" t="inlineStr">
        <is>
          <t>Field mapping</t>
        </is>
      </c>
      <c r="C7" s="21" t="inlineStr">
        <is>
          <t>Done on Prod</t>
        </is>
      </c>
      <c r="D7" s="20" t="inlineStr">
        <is>
          <t>2026-10-15</t>
        </is>
      </c>
      <c r="E7" s="20" t="inlineStr">
        <is>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is>
      </c>
      <c r="F7" s="20" t="inlineStr">
        <is>
          <t>PR #173, #174, release #179</t>
        </is>
      </c>
    </row>
    <row r="8">
      <c r="A8" s="20" t="inlineStr">
        <is>
          <t>BPU-04</t>
        </is>
      </c>
      <c r="B8" s="20" t="inlineStr">
        <is>
          <t>Matching &amp; master catalogue</t>
        </is>
      </c>
      <c r="C8" s="21" t="inlineStr">
        <is>
          <t>Done on Prod</t>
        </is>
      </c>
      <c r="D8" s="20" t="inlineStr">
        <is>
          <t>2026-10-15</t>
        </is>
      </c>
      <c r="E8" s="20" t="inlineStr">
        <is>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is>
      </c>
      <c r="F8" s="20" t="inlineStr">
        <is>
          <t>PR #173, #174, release #179</t>
        </is>
      </c>
    </row>
    <row r="9">
      <c r="A9" s="20" t="inlineStr">
        <is>
          <t>BPU-05</t>
        </is>
      </c>
      <c r="B9" s="20" t="inlineStr">
        <is>
          <t>Inventory update + ledger</t>
        </is>
      </c>
      <c r="C9" s="21" t="inlineStr">
        <is>
          <t>Done on Prod</t>
        </is>
      </c>
      <c r="D9" s="20" t="inlineStr">
        <is>
          <t>2026-10-15</t>
        </is>
      </c>
      <c r="E9" s="20" t="inlineStr">
        <is>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is>
      </c>
      <c r="F9" s="20" t="inlineStr">
        <is>
          <t>PR #173, #174, release #179</t>
        </is>
      </c>
    </row>
    <row r="10">
      <c r="A10" s="20" t="inlineStr">
        <is>
          <t>BPU-06</t>
        </is>
      </c>
      <c r="B10" s="20" t="inlineStr">
        <is>
          <t>Image import</t>
        </is>
      </c>
      <c r="C10" s="21" t="inlineStr">
        <is>
          <t>Done on Prod</t>
        </is>
      </c>
      <c r="D10" s="20" t="inlineStr">
        <is>
          <t>2026-10-15</t>
        </is>
      </c>
      <c r="E10" s="20" t="inlineStr">
        <is>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is>
      </c>
      <c r="F10" s="20" t="inlineStr">
        <is>
          <t>PR #173, #174, release #179</t>
        </is>
      </c>
    </row>
    <row r="11">
      <c r="A11" s="20" t="inlineStr">
        <is>
          <t>BPU-07</t>
        </is>
      </c>
      <c r="B11" s="20" t="inlineStr">
        <is>
          <t>Web UI (shop owner)</t>
        </is>
      </c>
      <c r="C11" s="21" t="inlineStr">
        <is>
          <t>Done on Prod</t>
        </is>
      </c>
      <c r="D11" s="20" t="inlineStr">
        <is>
          <t>2026-10-15</t>
        </is>
      </c>
      <c r="E11" s="20" t="inlineStr">
        <is>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is>
      </c>
      <c r="F11" s="20" t="inlineStr">
        <is>
          <t>PR #173, #174, release #179</t>
        </is>
      </c>
    </row>
    <row r="12">
      <c r="A12" s="20" t="inlineStr">
        <is>
          <t>BPU-08</t>
        </is>
      </c>
      <c r="B12" s="20" t="inlineStr">
        <is>
          <t>Web UI (admin/operator)</t>
        </is>
      </c>
      <c r="C12" s="21" t="inlineStr">
        <is>
          <t>Done on Prod</t>
        </is>
      </c>
      <c r="D12" s="20" t="inlineStr">
        <is>
          <t>2026-10-15</t>
        </is>
      </c>
      <c r="E12" s="20" t="inlineStr">
        <is>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is>
      </c>
      <c r="F12" s="20" t="inlineStr">
        <is>
          <t>PR #173, #174, release #179</t>
        </is>
      </c>
    </row>
    <row r="13">
      <c r="A13" s="20" t="inlineStr">
        <is>
          <t>BPU-09</t>
        </is>
      </c>
      <c r="B13" s="20" t="inlineStr">
        <is>
          <t>API</t>
        </is>
      </c>
      <c r="C13" s="21" t="inlineStr">
        <is>
          <t>Done on Prod</t>
        </is>
      </c>
      <c r="D13" s="20" t="inlineStr">
        <is>
          <t>2026-10-15</t>
        </is>
      </c>
      <c r="E13" s="20" t="inlineStr">
        <is>
          <t>8 endpoints under /api/v1 (+ shop picker). Owner = own shops only; operator/admin any shop; audit-logged. Route tests pass. Live on test.gokesari.com 15 Oct: PI-08/PI-09/PI-15 and the staff runs use /api/v1. Released to gokesari.com 15 Oct 15:58 UTC (PR #179); signed-out prod checks pass.</t>
        </is>
      </c>
      <c r="F13" s="20" t="inlineStr">
        <is>
          <t>PR #173, #174, release #179</t>
        </is>
      </c>
    </row>
    <row r="14">
      <c r="A14" s="20" t="inlineStr">
        <is>
          <t>BPU-10</t>
        </is>
      </c>
      <c r="B14" s="20" t="inlineStr">
        <is>
          <t>Android app</t>
        </is>
      </c>
      <c r="C14" s="21" t="inlineStr">
        <is>
          <t>In progress</t>
        </is>
      </c>
      <c r="D14" s="20" t="inlineStr">
        <is>
          <t>2026-10-15</t>
        </is>
      </c>
      <c r="E14" s="20" t="inlineStr">
        <is>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is>
      </c>
      <c r="F14" s="20" t="inlineStr">
        <is>
          <t>PR #173, #174, release #179</t>
        </is>
      </c>
    </row>
    <row r="15">
      <c r="A15" s="20" t="inlineStr">
        <is>
          <t>BPU-11</t>
        </is>
      </c>
      <c r="B15" s="20" t="inlineStr">
        <is>
          <t>iOS app</t>
        </is>
      </c>
      <c r="C15" s="22" t="inlineStr">
        <is>
          <t>Blocked</t>
        </is>
      </c>
      <c r="D15" s="20" t="inlineStr">
        <is>
          <t>2026-10-15</t>
        </is>
      </c>
      <c r="E15" s="20" t="inlineStr">
        <is>
          <t>Code is shared with Android (version 1.1.0 / buildNumber 2; iPhone Files picker). iPhone build/TestFlight runs on EAS and needs EXPO_TOKEN + Apple Developer account - not available to this session.</t>
        </is>
      </c>
      <c r="F15" s="20" t="inlineStr">
        <is>
          <t>PR #173, #174, release #179</t>
        </is>
      </c>
    </row>
    <row r="16">
      <c r="A16" s="20" t="inlineStr">
        <is>
          <t>BPU-12</t>
        </is>
      </c>
      <c r="B16" s="20" t="inlineStr">
        <is>
          <t>Notifications</t>
        </is>
      </c>
      <c r="C16" s="21" t="inlineStr">
        <is>
          <t>Done on Prod</t>
        </is>
      </c>
      <c r="D16" s="20" t="inlineStr">
        <is>
          <t>2026-10-15</t>
        </is>
      </c>
      <c r="E16" s="20" t="inlineStr">
        <is>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is>
      </c>
      <c r="F16" s="20" t="inlineStr">
        <is>
          <t>PR #173, #174, release #179</t>
        </is>
      </c>
    </row>
    <row r="17">
      <c r="A17" s="20" t="inlineStr">
        <is>
          <t>BPU-13</t>
        </is>
      </c>
      <c r="B17" s="20" t="inlineStr">
        <is>
          <t>Import history &amp; reports</t>
        </is>
      </c>
      <c r="C17" s="21" t="inlineStr">
        <is>
          <t>Done on Prod</t>
        </is>
      </c>
      <c r="D17" s="20" t="inlineStr">
        <is>
          <t>2026-10-15</t>
        </is>
      </c>
      <c r="E17" s="20" t="inlineStr">
        <is>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is>
      </c>
      <c r="F17" s="20" t="inlineStr">
        <is>
          <t>PR #173, #174, release #179</t>
        </is>
      </c>
    </row>
    <row r="18">
      <c r="A18" s="20" t="inlineStr">
        <is>
          <t>BPU-14</t>
        </is>
      </c>
      <c r="B18" s="20" t="inlineStr">
        <is>
          <t>Automated tests</t>
        </is>
      </c>
      <c r="C18" s="21" t="inlineStr">
        <is>
          <t>Done on Prod</t>
        </is>
      </c>
      <c r="D18" s="20" t="inlineStr">
        <is>
          <t>2026-10-15</t>
        </is>
      </c>
      <c r="E18" s="20" t="inlineStr">
        <is>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is>
      </c>
      <c r="F18" s="20" t="inlineStr">
        <is>
          <t>PR #173, #174, release #179</t>
        </is>
      </c>
    </row>
    <row r="19">
      <c r="A19" s="20" t="inlineStr">
        <is>
          <t>BPU-15</t>
        </is>
      </c>
      <c r="B19" s="20" t="inlineStr">
        <is>
          <t>Test-server deployment</t>
        </is>
      </c>
      <c r="C19" s="22" t="inlineStr">
        <is>
          <t>Done on Prod</t>
        </is>
      </c>
      <c r="D19" s="20" t="inlineStr">
        <is>
          <t>2026-10-15</t>
        </is>
      </c>
      <c r="E19" s="20" t="inlineStr">
        <is>
          <t>PR #173 merged into staging (2886cf3); test.gokesari.com deployed; Test database run 31 confirms 0077 (80 migrations). Live run 23/23 pass. Released to gokesari.com 15 Oct 15:58 UTC (PR #179); signed-out prod checks pass.</t>
        </is>
      </c>
      <c r="F19" s="20" t="inlineStr">
        <is>
          <t>PR #173, #174, release #179</t>
        </is>
      </c>
    </row>
    <row r="20">
      <c r="A20" s="20" t="inlineStr">
        <is>
          <t>BPU-16</t>
        </is>
      </c>
      <c r="B20" s="20" t="inlineStr">
        <is>
          <t>Prod deployment</t>
        </is>
      </c>
      <c r="C20" s="22" t="inlineStr">
        <is>
          <t>Done on Prod</t>
        </is>
      </c>
      <c r="D20" s="20" t="inlineStr">
        <is>
          <t>2026-10-15</t>
        </is>
      </c>
      <c r="E20" s="20" t="inlineStr">
        <is>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t>
        </is>
      </c>
      <c r="F20" s="20" t="inlineStr">
        <is>
          <t>PR #173, #174, release #179</t>
        </is>
      </c>
    </row>
    <row r="21">
      <c r="A21" s="20" t="inlineStr">
        <is>
          <t>BPU-17</t>
        </is>
      </c>
      <c r="B21" s="20" t="inlineStr">
        <is>
          <t>Testing report</t>
        </is>
      </c>
      <c r="C21" s="21" t="inlineStr">
        <is>
          <t>Done on Prod</t>
        </is>
      </c>
      <c r="D21" s="20" t="inlineStr">
        <is>
          <t>2026-10-15</t>
        </is>
      </c>
      <c r="E21" s="20" t="inlineStr">
        <is>
          <t>Test report md + PDF: Test 23/23 (section 2.7), Prod signed-out 13/13 (section 2.8).</t>
        </is>
      </c>
      <c r="F21" s="20" t="inlineStr">
        <is>
          <t>PR #173, #174, release #179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pane ySplit="4" topLeftCell="A5" activePane="bottomLeft" state="frozen"/>
      <selection pane="bottomLeft" activeCell="A1" sqref="A1"/>
    </sheetView>
  </sheetViews>
  <sheetFormatPr baseColWidth="8" defaultRowHeight="15" outlineLevelRow="0"/>
  <cols>
    <col width="10" customWidth="1" min="1" max="1"/>
    <col width="16" customWidth="1" min="2" max="2"/>
    <col width="34" customWidth="1" min="3" max="3"/>
    <col width="60" customWidth="1" min="4" max="4"/>
    <col width="12" customWidth="1" min="5" max="5"/>
    <col width="24" customWidth="1" min="6" max="6"/>
    <col width="11" customWidth="1" min="7" max="7"/>
    <col width="70" customWidth="1" min="8" max="8"/>
    <col width="22" customWidth="1" min="9" max="9"/>
  </cols>
  <sheetData>
    <row r="1">
      <c r="A1" s="18" t="inlineStr">
        <is>
          <t>Inventory &amp; Accounting for shop owners (NEW-067) - feature and sub-feature status</t>
        </is>
      </c>
    </row>
    <row r="2">
      <c r="A2" s="1" t="inlineStr">
        <is>
          <t>Statuses: Not started / In progress / Done / Blocked (dropdown in column E). Done = built, tested and live on gokesari.com (released by #179). Design: docs/inventory-accounting-2026-10/README.md. Tests: docs/inventory-accounting-2026-10/TESTING_REPORT.md and INVENTORY_ACCOUNTING_TEST_REPORT_2026-10-15.xlsx.</t>
        </is>
      </c>
    </row>
    <row r="4">
      <c r="A4" s="19" t="inlineStr">
        <is>
          <t>ID</t>
        </is>
      </c>
      <c r="B4" s="19" t="inlineStr">
        <is>
          <t>Part</t>
        </is>
      </c>
      <c r="C4" s="19" t="inlineStr">
        <is>
          <t>Feature / sub-feature</t>
        </is>
      </c>
      <c r="D4" s="19" t="inlineStr">
        <is>
          <t>What it does</t>
        </is>
      </c>
      <c r="E4" s="19" t="inlineStr">
        <is>
          <t>Status</t>
        </is>
      </c>
      <c r="F4" s="19" t="inlineStr">
        <is>
          <t>Where it runs</t>
        </is>
      </c>
      <c r="G4" s="19" t="inlineStr">
        <is>
          <t>Date</t>
        </is>
      </c>
      <c r="H4" s="19" t="inlineStr">
        <is>
          <t>Notes / blocked on</t>
        </is>
      </c>
      <c r="I4" s="19" t="inlineStr">
        <is>
          <t>PR(s)</t>
        </is>
      </c>
    </row>
    <row r="5" customFormat="1" s="23">
      <c r="A5" s="23" t="inlineStr">
        <is>
          <t>IA-001</t>
        </is>
      </c>
      <c r="B5" s="23" t="inlineStr">
        <is>
          <t>1 Inventory</t>
        </is>
      </c>
      <c r="C5" s="23" t="inlineStr">
        <is>
          <t>Product master per shop</t>
        </is>
      </c>
      <c r="D5" s="23" t="inlineStr">
        <is>
          <t>Listings linked to the gokesari.com master product (MRP, HSN, GST rate, unit, barcode/GTIN); shop-level HSN/GST/price stay per shop</t>
        </is>
      </c>
      <c r="E5" s="24" t="inlineStr">
        <is>
          <t>Done</t>
        </is>
      </c>
      <c r="F5" s="23" t="inlineStr">
        <is>
          <t>Production (gokesari.com) and test</t>
        </is>
      </c>
      <c r="G5" s="23" t="inlineStr">
        <is>
          <t>2026-10-15</t>
        </is>
      </c>
      <c r="H5" s="23" t="inlineStr">
        <is>
          <t>-</t>
        </is>
      </c>
      <c r="I5" s="23" t="inlineStr">
        <is>
          <t>#171, released #179</t>
        </is>
      </c>
    </row>
    <row r="6" customFormat="1" s="23">
      <c r="A6" s="23" t="inlineStr">
        <is>
          <t>IA-002</t>
        </is>
      </c>
      <c r="B6" s="23" t="inlineStr">
        <is>
          <t>1 Inventory</t>
        </is>
      </c>
      <c r="C6" s="23" t="inlineStr">
        <is>
          <t>Stock ledger</t>
        </is>
      </c>
      <c r="D6" s="23" t="inlineStr">
        <is>
          <t>inv_stock_ledger: every movement (opening, purchase, sale, sale return, damage/expiry write-off, adjustment, reversal) with date, source document, qty, cost/rate, user; current stock = sum of the ledger</t>
        </is>
      </c>
      <c r="E6" s="24" t="inlineStr">
        <is>
          <t>Done</t>
        </is>
      </c>
      <c r="F6" s="23" t="inlineStr">
        <is>
          <t>Production (gokesari.com) and test</t>
        </is>
      </c>
      <c r="G6" s="23" t="inlineStr">
        <is>
          <t>2026-10-15</t>
        </is>
      </c>
      <c r="H6" s="23" t="inlineStr">
        <is>
          <t>-</t>
        </is>
      </c>
      <c r="I6" s="23" t="inlineStr">
        <is>
          <t>#171, released #179</t>
        </is>
      </c>
    </row>
    <row r="7" customFormat="1" s="23">
      <c r="A7" s="23" t="inlineStr">
        <is>
          <t>IA-003</t>
        </is>
      </c>
      <c r="B7" s="23" t="inlineStr">
        <is>
          <t>1 Inventory</t>
        </is>
      </c>
      <c r="C7" s="23" t="inlineStr">
        <is>
          <t>Online orders reduce stock in real time</t>
        </is>
      </c>
      <c r="D7" s="23" t="inlineStr">
        <is>
          <t>DB triggers on shop_products / inventory_movements write the ledger row in the checkout / cancellation / subscription / catalogue transaction (event-driven, no cron, existing code unchanged)</t>
        </is>
      </c>
      <c r="E7" s="24" t="inlineStr">
        <is>
          <t>Done</t>
        </is>
      </c>
      <c r="F7" s="23" t="inlineStr">
        <is>
          <t>Production (gokesari.com) and test</t>
        </is>
      </c>
      <c r="G7" s="23" t="inlineStr">
        <is>
          <t>2026-10-15</t>
        </is>
      </c>
      <c r="H7" s="23" t="inlineStr">
        <is>
          <t>Verified on test.gokesari.com with a real customer order (stock 199 → 198, SALE row with the order id) and its cancellation; a cancellation is labelled SALE_RETURN since migration 0078 (found in staging testing)</t>
        </is>
      </c>
      <c r="I7" s="23" t="inlineStr">
        <is>
          <t>#171, #172 (0078), released #179</t>
        </is>
      </c>
    </row>
    <row r="8" customFormat="1" s="23">
      <c r="A8" s="23" t="inlineStr">
        <is>
          <t>IA-004</t>
        </is>
      </c>
      <c r="B8" s="23" t="inlineStr">
        <is>
          <t>1 Inventory</t>
        </is>
      </c>
      <c r="C8" s="23" t="inlineStr">
        <is>
          <t>Opening balance backfill</t>
        </is>
      </c>
      <c r="D8" s="23" t="inlineStr">
        <is>
          <t>Migration 0076 writes today's stock of every listing as OPENING so ledger = stock from day one; drift check on the stock page</t>
        </is>
      </c>
      <c r="E8" s="24" t="inlineStr">
        <is>
          <t>Done</t>
        </is>
      </c>
      <c r="F8" s="23" t="inlineStr">
        <is>
          <t>Production (gokesari.com) and test</t>
        </is>
      </c>
      <c r="G8" s="23" t="inlineStr">
        <is>
          <t>2026-10-15</t>
        </is>
      </c>
      <c r="H8" s="23" t="inlineStr">
        <is>
          <t>-</t>
        </is>
      </c>
      <c r="I8" s="23" t="inlineStr">
        <is>
          <t>#171, released #179</t>
        </is>
      </c>
    </row>
    <row r="9" customFormat="1" s="23">
      <c r="A9" s="23" t="inlineStr">
        <is>
          <t>IA-005</t>
        </is>
      </c>
      <c r="B9" s="23" t="inlineStr">
        <is>
          <t>1 Inventory</t>
        </is>
      </c>
      <c r="C9" s="23" t="inlineStr">
        <is>
          <t>Batch &amp; expiry tracking</t>
        </is>
      </c>
      <c r="D9" s="23" t="inlineStr">
        <is>
          <t>Per listing (auto-on when a bill has batch numbers); FEFO batch balances; expiring-soon list with alert window setting</t>
        </is>
      </c>
      <c r="E9" s="24" t="inlineStr">
        <is>
          <t>Done</t>
        </is>
      </c>
      <c r="F9" s="23" t="inlineStr">
        <is>
          <t>Production (gokesari.com) and test</t>
        </is>
      </c>
      <c r="G9" s="23" t="inlineStr">
        <is>
          <t>2026-10-15</t>
        </is>
      </c>
      <c r="H9" s="23" t="inlineStr">
        <is>
          <t>-</t>
        </is>
      </c>
      <c r="I9" s="23" t="inlineStr">
        <is>
          <t>#171, released #179</t>
        </is>
      </c>
    </row>
    <row r="10" customFormat="1" s="23">
      <c r="A10" s="23" t="inlineStr">
        <is>
          <t>IA-006</t>
        </is>
      </c>
      <c r="B10" s="23" t="inlineStr">
        <is>
          <t>1 Inventory</t>
        </is>
      </c>
      <c r="C10" s="23" t="inlineStr">
        <is>
          <t>Low stock / reorder level</t>
        </is>
      </c>
      <c r="D10" s="23" t="inlineStr">
        <is>
          <t>Existing per-shop thresholds and stock alerts reused; purchases and write-offs re-evaluate alerts</t>
        </is>
      </c>
      <c r="E10" s="24" t="inlineStr">
        <is>
          <t>Done</t>
        </is>
      </c>
      <c r="F10" s="23" t="inlineStr">
        <is>
          <t>Production (gokesari.com) and test</t>
        </is>
      </c>
      <c r="G10" s="23" t="inlineStr">
        <is>
          <t>2026-10-15</t>
        </is>
      </c>
      <c r="H10" s="23" t="inlineStr">
        <is>
          <t>-</t>
        </is>
      </c>
      <c r="I10" s="23" t="inlineStr">
        <is>
          <t>#171, released #179</t>
        </is>
      </c>
    </row>
    <row r="11" customFormat="1" s="23">
      <c r="A11" s="23" t="inlineStr">
        <is>
          <t>IA-007</t>
        </is>
      </c>
      <c r="B11" s="23" t="inlineStr">
        <is>
          <t>1 Inventory</t>
        </is>
      </c>
      <c r="C11" s="23" t="inlineStr">
        <is>
          <t>Stock valuation FIFO / weighted average</t>
        </is>
      </c>
      <c r="D11" s="23" t="inlineStr">
        <is>
          <t>Selectable per shop; reversals take back exactly the reversed cost; uncosted opening stock valued at last purchase rate and reported</t>
        </is>
      </c>
      <c r="E11" s="24" t="inlineStr">
        <is>
          <t>Done</t>
        </is>
      </c>
      <c r="F11" s="23" t="inlineStr">
        <is>
          <t>Production (gokesari.com) and test</t>
        </is>
      </c>
      <c r="G11" s="23" t="inlineStr">
        <is>
          <t>2026-10-15</t>
        </is>
      </c>
      <c r="H11" s="23" t="inlineStr">
        <is>
          <t>-</t>
        </is>
      </c>
      <c r="I11" s="23" t="inlineStr">
        <is>
          <t>#171, released #179</t>
        </is>
      </c>
    </row>
    <row r="12" customFormat="1" s="23">
      <c r="A12" s="23" t="inlineStr">
        <is>
          <t>IA-008</t>
        </is>
      </c>
      <c r="B12" s="23" t="inlineStr">
        <is>
          <t>1 Inventory</t>
        </is>
      </c>
      <c r="C12" s="23" t="inlineStr">
        <is>
          <t>Loose goods &amp; unit conversions</t>
        </is>
      </c>
      <c r="D12" s="23" t="inlineStr">
        <is>
          <t>kg/g/L/ml/piece/dozen, UQC codes, Hindi/Marathi unit words; owner-saved conversions (1 case = 24); fractional quantities exact in the ledger</t>
        </is>
      </c>
      <c r="E12" s="24" t="inlineStr">
        <is>
          <t>Done</t>
        </is>
      </c>
      <c r="F12" s="23" t="inlineStr">
        <is>
          <t>Production (gokesari.com) and test</t>
        </is>
      </c>
      <c r="G12" s="23" t="inlineStr">
        <is>
          <t>2026-10-15</t>
        </is>
      </c>
      <c r="H12" s="23" t="inlineStr">
        <is>
          <t>-</t>
        </is>
      </c>
      <c r="I12" s="23" t="inlineStr">
        <is>
          <t>#171, released #179</t>
        </is>
      </c>
    </row>
    <row r="13" customFormat="1" s="23">
      <c r="A13" s="23" t="inlineStr">
        <is>
          <t>IA-009</t>
        </is>
      </c>
      <c r="B13" s="23" t="inlineStr">
        <is>
          <t>1 Inventory</t>
        </is>
      </c>
      <c r="C13" s="23" t="inlineStr">
        <is>
          <t>Write-off and physical count</t>
        </is>
      </c>
      <c r="D13" s="23" t="inlineStr">
        <is>
          <t>Damage / expiry write-off at cost (P&amp;L line); physical count posts the difference as an adjustment</t>
        </is>
      </c>
      <c r="E13" s="24" t="inlineStr">
        <is>
          <t>Done</t>
        </is>
      </c>
      <c r="F13" s="23" t="inlineStr">
        <is>
          <t>Production (gokesari.com) and test</t>
        </is>
      </c>
      <c r="G13" s="23" t="inlineStr">
        <is>
          <t>2026-10-15</t>
        </is>
      </c>
      <c r="H13" s="23" t="inlineStr">
        <is>
          <t>-</t>
        </is>
      </c>
      <c r="I13" s="23" t="inlineStr">
        <is>
          <t>#171, released #179</t>
        </is>
      </c>
    </row>
    <row r="14" customFormat="1" s="23">
      <c r="A14" s="23" t="inlineStr">
        <is>
          <t>IA-010</t>
        </is>
      </c>
      <c r="B14" s="23" t="inlineStr">
        <is>
          <t>2 Accounting</t>
        </is>
      </c>
      <c r="C14" s="23" t="inlineStr">
        <is>
          <t>Purchase register</t>
        </is>
      </c>
      <c r="D14" s="23" t="inlineStr">
        <is>
          <t>Confirmed bills, versions, cancellations; month filter</t>
        </is>
      </c>
      <c r="E14" s="24" t="inlineStr">
        <is>
          <t>Done</t>
        </is>
      </c>
      <c r="F14" s="23" t="inlineStr">
        <is>
          <t>Production (gokesari.com) and test</t>
        </is>
      </c>
      <c r="G14" s="23" t="inlineStr">
        <is>
          <t>2026-10-15</t>
        </is>
      </c>
      <c r="H14" s="23" t="inlineStr">
        <is>
          <t>-</t>
        </is>
      </c>
      <c r="I14" s="23" t="inlineStr">
        <is>
          <t>#171, released #179</t>
        </is>
      </c>
    </row>
    <row r="15" customFormat="1" s="23">
      <c r="A15" s="23" t="inlineStr">
        <is>
          <t>IA-011</t>
        </is>
      </c>
      <c r="B15" s="23" t="inlineStr">
        <is>
          <t>2 Accounting</t>
        </is>
      </c>
      <c r="C15" s="23" t="inlineStr">
        <is>
          <t>Sales register</t>
        </is>
      </c>
      <c r="D15" s="23" t="inlineStr">
        <is>
          <t>Own GST invoices plus GoKesari order tax invoices</t>
        </is>
      </c>
      <c r="E15" s="24" t="inlineStr">
        <is>
          <t>Done</t>
        </is>
      </c>
      <c r="F15" s="23" t="inlineStr">
        <is>
          <t>Production (gokesari.com) and test</t>
        </is>
      </c>
      <c r="G15" s="23" t="inlineStr">
        <is>
          <t>2026-10-15</t>
        </is>
      </c>
      <c r="H15" s="23" t="inlineStr">
        <is>
          <t>-</t>
        </is>
      </c>
      <c r="I15" s="23" t="inlineStr">
        <is>
          <t>#171, released #179</t>
        </is>
      </c>
    </row>
    <row r="16" customFormat="1" s="23">
      <c r="A16" s="23" t="inlineStr">
        <is>
          <t>IA-012</t>
        </is>
      </c>
      <c r="B16" s="23" t="inlineStr">
        <is>
          <t>2 Accounting</t>
        </is>
      </c>
      <c r="C16" s="23" t="inlineStr">
        <is>
          <t>Supplier &amp; customer ledgers</t>
        </is>
      </c>
      <c r="D16" s="23" t="inlineStr">
        <is>
          <t>Parties with GSTIN, credit days, opening balance; running-balance ledger from the books</t>
        </is>
      </c>
      <c r="E16" s="24" t="inlineStr">
        <is>
          <t>Done</t>
        </is>
      </c>
      <c r="F16" s="23" t="inlineStr">
        <is>
          <t>Production (gokesari.com) and test</t>
        </is>
      </c>
      <c r="G16" s="23" t="inlineStr">
        <is>
          <t>2026-10-15</t>
        </is>
      </c>
      <c r="H16" s="23" t="inlineStr">
        <is>
          <t>-</t>
        </is>
      </c>
      <c r="I16" s="23" t="inlineStr">
        <is>
          <t>#171, released #179</t>
        </is>
      </c>
    </row>
    <row r="17" customFormat="1" s="23">
      <c r="A17" s="23" t="inlineStr">
        <is>
          <t>IA-013</t>
        </is>
      </c>
      <c r="B17" s="23" t="inlineStr">
        <is>
          <t>2 Accounting</t>
        </is>
      </c>
      <c r="C17" s="23" t="inlineStr">
        <is>
          <t>Cash / bank book</t>
        </is>
      </c>
      <c r="D17" s="23" t="inlineStr">
        <is>
          <t>Opening, in, out, closing, running balance</t>
        </is>
      </c>
      <c r="E17" s="24" t="inlineStr">
        <is>
          <t>Done</t>
        </is>
      </c>
      <c r="F17" s="23" t="inlineStr">
        <is>
          <t>Production (gokesari.com) and test</t>
        </is>
      </c>
      <c r="G17" s="23" t="inlineStr">
        <is>
          <t>2026-10-15</t>
        </is>
      </c>
      <c r="H17" s="23" t="inlineStr">
        <is>
          <t>-</t>
        </is>
      </c>
      <c r="I17" s="23" t="inlineStr">
        <is>
          <t>#171, released #179</t>
        </is>
      </c>
    </row>
    <row r="18" customFormat="1" s="23">
      <c r="A18" s="23" t="inlineStr">
        <is>
          <t>IA-014</t>
        </is>
      </c>
      <c r="B18" s="23" t="inlineStr">
        <is>
          <t>2 Accounting</t>
        </is>
      </c>
      <c r="C18" s="23" t="inlineStr">
        <is>
          <t>Expenses</t>
        </is>
      </c>
      <c r="D18" s="23" t="inlineStr">
        <is>
          <t>Categories, claimable GST, cash/bank/credit, cancel with reason</t>
        </is>
      </c>
      <c r="E18" s="24" t="inlineStr">
        <is>
          <t>Done</t>
        </is>
      </c>
      <c r="F18" s="23" t="inlineStr">
        <is>
          <t>Production (gokesari.com) and test</t>
        </is>
      </c>
      <c r="G18" s="23" t="inlineStr">
        <is>
          <t>2026-10-15</t>
        </is>
      </c>
      <c r="H18" s="23" t="inlineStr">
        <is>
          <t>-</t>
        </is>
      </c>
      <c r="I18" s="23" t="inlineStr">
        <is>
          <t>#171, released #179</t>
        </is>
      </c>
    </row>
    <row r="19" customFormat="1" s="23">
      <c r="A19" s="23" t="inlineStr">
        <is>
          <t>IA-015</t>
        </is>
      </c>
      <c r="B19" s="23" t="inlineStr">
        <is>
          <t>2 Accounting</t>
        </is>
      </c>
      <c r="C19" s="23" t="inlineStr">
        <is>
          <t>Payables / receivables with ageing</t>
        </is>
      </c>
      <c r="D19" s="23" t="inlineStr">
        <is>
          <t>0-30 / 31-60 / 61-90 / 90+ by due date; payments applied to the named bill, then oldest first</t>
        </is>
      </c>
      <c r="E19" s="24" t="inlineStr">
        <is>
          <t>Done</t>
        </is>
      </c>
      <c r="F19" s="23" t="inlineStr">
        <is>
          <t>Production (gokesari.com) and test</t>
        </is>
      </c>
      <c r="G19" s="23" t="inlineStr">
        <is>
          <t>2026-10-15</t>
        </is>
      </c>
      <c r="H19" s="23" t="inlineStr">
        <is>
          <t>-</t>
        </is>
      </c>
      <c r="I19" s="23" t="inlineStr">
        <is>
          <t>#171, released #179</t>
        </is>
      </c>
    </row>
    <row r="20" customFormat="1" s="23">
      <c r="A20" s="23" t="inlineStr">
        <is>
          <t>IA-016</t>
        </is>
      </c>
      <c r="B20" s="23" t="inlineStr">
        <is>
          <t>2 Accounting</t>
        </is>
      </c>
      <c r="C20" s="23" t="inlineStr">
        <is>
          <t>Double-entry books</t>
        </is>
      </c>
      <c r="D20" s="23" t="inlineStr">
        <is>
          <t>Balanced vouchers, append-only, reversing vouchers for corrections and cancellations; trial balance</t>
        </is>
      </c>
      <c r="E20" s="24" t="inlineStr">
        <is>
          <t>Done</t>
        </is>
      </c>
      <c r="F20" s="23" t="inlineStr">
        <is>
          <t>Production (gokesari.com) and test</t>
        </is>
      </c>
      <c r="G20" s="23" t="inlineStr">
        <is>
          <t>2026-10-15</t>
        </is>
      </c>
      <c r="H20" s="23" t="inlineStr">
        <is>
          <t>-</t>
        </is>
      </c>
      <c r="I20" s="23" t="inlineStr">
        <is>
          <t>#171, released #179</t>
        </is>
      </c>
    </row>
    <row r="21" customFormat="1" s="23">
      <c r="A21" s="23" t="inlineStr">
        <is>
          <t>IA-017</t>
        </is>
      </c>
      <c r="B21" s="23" t="inlineStr">
        <is>
          <t>2 Accounting</t>
        </is>
      </c>
      <c r="C21" s="23" t="inlineStr">
        <is>
          <t>GST sales invoice (CGST/SGST/IGST by place of supply)</t>
        </is>
      </c>
      <c r="D21" s="23" t="inlineStr">
        <is>
          <t>Rule-46 fields, numbering per FY, GST-inclusive pricing option, PDF, cancel</t>
        </is>
      </c>
      <c r="E21" s="24" t="inlineStr">
        <is>
          <t>Done</t>
        </is>
      </c>
      <c r="F21" s="23" t="inlineStr">
        <is>
          <t>Production (gokesari.com) and test</t>
        </is>
      </c>
      <c r="G21" s="23" t="inlineStr">
        <is>
          <t>2026-10-15</t>
        </is>
      </c>
      <c r="H21" s="23" t="inlineStr">
        <is>
          <t>-</t>
        </is>
      </c>
      <c r="I21" s="23" t="inlineStr">
        <is>
          <t>#171, released #179</t>
        </is>
      </c>
    </row>
    <row r="22" customFormat="1" s="23">
      <c r="A22" s="23" t="inlineStr">
        <is>
          <t>IA-018</t>
        </is>
      </c>
      <c r="B22" s="23" t="inlineStr">
        <is>
          <t>2 Accounting</t>
        </is>
      </c>
      <c r="C22" s="23" t="inlineStr">
        <is>
          <t>Reports: P&amp;L, stock summary, day book, GST summary, registers</t>
        </is>
      </c>
      <c r="D22" s="23" t="inlineStr">
        <is>
          <t>Perpetual COGS, write-offs, expenses net of GST</t>
        </is>
      </c>
      <c r="E22" s="24" t="inlineStr">
        <is>
          <t>Done</t>
        </is>
      </c>
      <c r="F22" s="23" t="inlineStr">
        <is>
          <t>Production (gokesari.com) and test</t>
        </is>
      </c>
      <c r="G22" s="23" t="inlineStr">
        <is>
          <t>2026-10-15</t>
        </is>
      </c>
      <c r="H22" s="23" t="inlineStr">
        <is>
          <t>-</t>
        </is>
      </c>
      <c r="I22" s="23" t="inlineStr">
        <is>
          <t>#171, released #179</t>
        </is>
      </c>
    </row>
    <row r="23" customFormat="1" s="23">
      <c r="A23" s="23" t="inlineStr">
        <is>
          <t>IA-019</t>
        </is>
      </c>
      <c r="B23" s="23" t="inlineStr">
        <is>
          <t>2 Accounting</t>
        </is>
      </c>
      <c r="C23" s="23" t="inlineStr">
        <is>
          <t>Export Excel / PDF / Tally XML</t>
        </is>
      </c>
      <c r="D23" s="23" t="inlineStr">
        <is>
          <t>Every report as xlsx and PDF; Tally import XML with party masters (GSTIN) and vouchers</t>
        </is>
      </c>
      <c r="E23" s="24" t="inlineStr">
        <is>
          <t>Done</t>
        </is>
      </c>
      <c r="F23" s="23" t="inlineStr">
        <is>
          <t>Production (gokesari.com) and test</t>
        </is>
      </c>
      <c r="G23" s="23" t="inlineStr">
        <is>
          <t>2026-10-15</t>
        </is>
      </c>
      <c r="H23" s="23" t="inlineStr">
        <is>
          <t>Tally import to be confirmed on the shop's own TallyPrime</t>
        </is>
      </c>
      <c r="I23" s="23" t="inlineStr">
        <is>
          <t>#171, released #179</t>
        </is>
      </c>
    </row>
    <row r="24" customFormat="1" s="23">
      <c r="A24" s="23" t="inlineStr">
        <is>
          <t>IA-020</t>
        </is>
      </c>
      <c r="B24" s="23" t="inlineStr">
        <is>
          <t>3 GST portal</t>
        </is>
      </c>
      <c r="C24" s="23" t="inlineStr">
        <is>
          <t>Link GSTIN once (consent + OTP)</t>
        </is>
      </c>
      <c r="D24" s="23" t="inlineStr">
        <is>
          <t>Consent text recorded, portal username, OTP, token stored encrypted, unlink</t>
        </is>
      </c>
      <c r="E24" s="24" t="inlineStr">
        <is>
          <t>Done</t>
        </is>
      </c>
      <c r="F24" s="23" t="inlineStr">
        <is>
          <t>Production (gokesari.com) and test</t>
        </is>
      </c>
      <c r="G24" s="23" t="inlineStr">
        <is>
          <t>2026-10-15</t>
        </is>
      </c>
      <c r="H24" s="23" t="inlineStr">
        <is>
          <t>Consent + username + OTP through the GSP adapter; refused on production (no licensed GSP, IA-022). On test.gokesari.com blocked by the encryption key format (IA-056) — tokens are never stored unencrypted. Passes in the integration tests (mock GSP)</t>
        </is>
      </c>
      <c r="I24" s="23" t="inlineStr">
        <is>
          <t>#171, released #179</t>
        </is>
      </c>
    </row>
    <row r="25" customFormat="1" s="23">
      <c r="A25" s="23" t="inlineStr">
        <is>
          <t>IA-021</t>
        </is>
      </c>
      <c r="B25" s="23" t="inlineStr">
        <is>
          <t>3 GST portal</t>
        </is>
      </c>
      <c r="C25" s="23" t="inlineStr">
        <is>
          <t>Pluggable GSP adapter</t>
        </is>
      </c>
      <c r="D25" s="23" t="inlineStr">
        <is>
          <t>GST_RETURNS_PROVIDER: none / mock / GSP slots (masters_india, cleartax, iris, tally_gsp, vayana)</t>
        </is>
      </c>
      <c r="E25" s="24" t="inlineStr">
        <is>
          <t>Done</t>
        </is>
      </c>
      <c r="F25" s="23" t="inlineStr">
        <is>
          <t>Production (gokesari.com) and test</t>
        </is>
      </c>
      <c r="G25" s="23" t="inlineStr">
        <is>
          <t>2026-10-15</t>
        </is>
      </c>
      <c r="H25" s="23" t="inlineStr">
        <is>
          <t>-</t>
        </is>
      </c>
      <c r="I25" s="23" t="inlineStr">
        <is>
          <t>#171, released #179</t>
        </is>
      </c>
    </row>
    <row r="26" customFormat="1" s="23">
      <c r="A26" s="23" t="inlineStr">
        <is>
          <t>IA-022</t>
        </is>
      </c>
      <c r="B26" s="23" t="inlineStr">
        <is>
          <t>3 GST portal</t>
        </is>
      </c>
      <c r="C26" s="23" t="inlineStr">
        <is>
          <t>Licensed GSP live connection</t>
        </is>
      </c>
      <c r="D26" s="23" t="inlineStr">
        <is>
          <t>Real GSTR-2B/2A/1 pull from the GST system</t>
        </is>
      </c>
      <c r="E26" s="25" t="inlineStr">
        <is>
          <t>Blocked</t>
        </is>
      </c>
      <c r="F26" s="23" t="inlineStr">
        <is>
          <t>Code on production; waits on the item in Notes</t>
        </is>
      </c>
      <c r="G26" s="23" t="inlineStr">
        <is>
          <t>2026-10-15</t>
        </is>
      </c>
      <c r="H26" s="23" t="inlineStr">
        <is>
          <t>Needs a GSP contract and API credentials chosen by the owner; until then the manual upload works on gokesari.com</t>
        </is>
      </c>
      <c r="I26" s="23" t="inlineStr">
        <is>
          <t>#171, released #179</t>
        </is>
      </c>
    </row>
    <row r="27" customFormat="1" s="23">
      <c r="A27" s="23" t="inlineStr">
        <is>
          <t>IA-023</t>
        </is>
      </c>
      <c r="B27" s="23" t="inlineStr">
        <is>
          <t>3 GST portal</t>
        </is>
      </c>
      <c r="C27" s="23" t="inlineStr">
        <is>
          <t>Pull GSTR-2B / 2A / GSTR-1 (API)</t>
        </is>
      </c>
      <c r="D27" s="23" t="inlineStr">
        <is>
          <t>Through the configured adapter; mock on test.gokesari.com</t>
        </is>
      </c>
      <c r="E27" s="24" t="inlineStr">
        <is>
          <t>Done</t>
        </is>
      </c>
      <c r="F27" s="23" t="inlineStr">
        <is>
          <t>Production (gokesari.com) and test</t>
        </is>
      </c>
      <c r="G27" s="23" t="inlineStr">
        <is>
          <t>2026-10-15</t>
        </is>
      </c>
      <c r="H27" s="23" t="inlineStr">
        <is>
          <t>Live only with a GSP (IA-022); on test blocked by IA-056. Passes in the integration tests (mock GSP, OTP 575757)</t>
        </is>
      </c>
      <c r="I27" s="23" t="inlineStr">
        <is>
          <t>#171, released #179</t>
        </is>
      </c>
    </row>
    <row r="28" customFormat="1" s="23">
      <c r="A28" s="23" t="inlineStr">
        <is>
          <t>IA-024</t>
        </is>
      </c>
      <c r="B28" s="23" t="inlineStr">
        <is>
          <t>3 GST portal</t>
        </is>
      </c>
      <c r="C28" s="23" t="inlineStr">
        <is>
          <t>Manual fallback: upload GSTR-2B JSON / Excel</t>
        </is>
      </c>
      <c r="D28" s="23" t="inlineStr">
        <is>
          <t>GSTR-2B JSON (both shapes), GSTR-2A, GSTR-1 JSON, GSTR-2B Excel with merged headers</t>
        </is>
      </c>
      <c r="E28" s="24" t="inlineStr">
        <is>
          <t>Done</t>
        </is>
      </c>
      <c r="F28" s="23" t="inlineStr">
        <is>
          <t>Production (gokesari.com) and test</t>
        </is>
      </c>
      <c r="G28" s="23" t="inlineStr">
        <is>
          <t>2026-10-15</t>
        </is>
      </c>
      <c r="H28" s="23" t="inlineStr">
        <is>
          <t>-</t>
        </is>
      </c>
      <c r="I28" s="23" t="inlineStr">
        <is>
          <t>#171, released #179</t>
        </is>
      </c>
    </row>
    <row r="29" customFormat="1" s="23">
      <c r="A29" s="23" t="inlineStr">
        <is>
          <t>IA-025</t>
        </is>
      </c>
      <c r="B29" s="23" t="inlineStr">
        <is>
          <t>3 GST portal</t>
        </is>
      </c>
      <c r="C29" s="23" t="inlineStr">
        <is>
          <t>Reconciliation</t>
        </is>
      </c>
      <c r="D29" s="23" t="inlineStr">
        <is>
          <t>Supplier GSTIN + invoice no. + date + amount; matched, amount mismatch, missing in books, missing on portal; ITC status updated</t>
        </is>
      </c>
      <c r="E29" s="24" t="inlineStr">
        <is>
          <t>Done</t>
        </is>
      </c>
      <c r="F29" s="23" t="inlineStr">
        <is>
          <t>Production (gokesari.com) and test</t>
        </is>
      </c>
      <c r="G29" s="23" t="inlineStr">
        <is>
          <t>2026-10-15</t>
        </is>
      </c>
      <c r="H29" s="23" t="inlineStr">
        <is>
          <t>-</t>
        </is>
      </c>
      <c r="I29" s="23" t="inlineStr">
        <is>
          <t>#171, released #179</t>
        </is>
      </c>
    </row>
    <row r="30" customFormat="1" s="23">
      <c r="A30" s="23" t="inlineStr">
        <is>
          <t>IA-026</t>
        </is>
      </c>
      <c r="B30" s="23" t="inlineStr">
        <is>
          <t>3 GST portal</t>
        </is>
      </c>
      <c r="C30" s="23" t="inlineStr">
        <is>
          <t>GST liability dashboard (month / quarter)</t>
        </is>
      </c>
      <c r="D30" s="23" t="inlineStr">
        <is>
          <t>Output - reconciled ITC = net payable per CGST/SGST/IGST/cess with the legal set-off order and carry forward; pending ITC shown separately</t>
        </is>
      </c>
      <c r="E30" s="24" t="inlineStr">
        <is>
          <t>Done</t>
        </is>
      </c>
      <c r="F30" s="23" t="inlineStr">
        <is>
          <t>Production (gokesari.com) and test</t>
        </is>
      </c>
      <c r="G30" s="23" t="inlineStr">
        <is>
          <t>2026-10-15</t>
        </is>
      </c>
      <c r="H30" s="23" t="inlineStr">
        <is>
          <t>-</t>
        </is>
      </c>
      <c r="I30" s="23" t="inlineStr">
        <is>
          <t>#171, released #179</t>
        </is>
      </c>
    </row>
    <row r="31" customFormat="1" s="23">
      <c r="A31" s="23" t="inlineStr">
        <is>
          <t>IA-027</t>
        </is>
      </c>
      <c r="B31" s="23" t="inlineStr">
        <is>
          <t>3 GST portal</t>
        </is>
      </c>
      <c r="C31" s="23" t="inlineStr">
        <is>
          <t>Due dates and reminders</t>
        </is>
      </c>
      <c r="D31" s="23" t="inlineStr">
        <is>
          <t>Monthly / QRMP due dates (GSTR-1, GSTR-3B, PMT-06); daily reminder cron, one reminder per return and period</t>
        </is>
      </c>
      <c r="E31" s="24" t="inlineStr">
        <is>
          <t>Done</t>
        </is>
      </c>
      <c r="F31" s="23" t="inlineStr">
        <is>
          <t>Production (gokesari.com) and test</t>
        </is>
      </c>
      <c r="G31" s="23" t="inlineStr">
        <is>
          <t>2026-10-15</t>
        </is>
      </c>
      <c r="H31" s="23" t="inlineStr">
        <is>
          <t>Owner to schedule /api/cron/gst-reminders on the server (see README)</t>
        </is>
      </c>
      <c r="I31" s="23" t="inlineStr">
        <is>
          <t>#171, released #179</t>
        </is>
      </c>
    </row>
    <row r="32" customFormat="1" s="23">
      <c r="A32" s="23" t="inlineStr">
        <is>
          <t>IA-028</t>
        </is>
      </c>
      <c r="B32" s="23" t="inlineStr">
        <is>
          <t>3 GST portal</t>
        </is>
      </c>
      <c r="C32" s="23" t="inlineStr">
        <is>
          <t>Estimates only, no filing</t>
        </is>
      </c>
      <c r="D32" s="23" t="inlineStr">
        <is>
          <t>'Verify with your CA before filing' on every GST figure; nothing is filed</t>
        </is>
      </c>
      <c r="E32" s="24" t="inlineStr">
        <is>
          <t>Done</t>
        </is>
      </c>
      <c r="F32" s="23" t="inlineStr">
        <is>
          <t>Production (gokesari.com) and test</t>
        </is>
      </c>
      <c r="G32" s="23" t="inlineStr">
        <is>
          <t>2026-10-15</t>
        </is>
      </c>
      <c r="H32" s="23" t="inlineStr">
        <is>
          <t>-</t>
        </is>
      </c>
      <c r="I32" s="23" t="inlineStr">
        <is>
          <t>#171, released #179</t>
        </is>
      </c>
    </row>
    <row r="33" customFormat="1" s="23">
      <c r="A33" s="23" t="inlineStr">
        <is>
          <t>IA-029</t>
        </is>
      </c>
      <c r="B33" s="23" t="inlineStr">
        <is>
          <t>4 Soft copy</t>
        </is>
      </c>
      <c r="C33" s="23" t="inlineStr">
        <is>
          <t>Upload PDF / photo / Excel / e-invoice JSON</t>
        </is>
      </c>
      <c r="D33" s="23" t="inlineStr">
        <is>
          <t>Up to 10 files, sniffed types, progress bar for slow networks</t>
        </is>
      </c>
      <c r="E33" s="24" t="inlineStr">
        <is>
          <t>Done</t>
        </is>
      </c>
      <c r="F33" s="23" t="inlineStr">
        <is>
          <t>Production (gokesari.com) and test</t>
        </is>
      </c>
      <c r="G33" s="23" t="inlineStr">
        <is>
          <t>2026-10-15</t>
        </is>
      </c>
      <c r="H33" s="23" t="inlineStr">
        <is>
          <t>-</t>
        </is>
      </c>
      <c r="I33" s="23" t="inlineStr">
        <is>
          <t>#171, released #179</t>
        </is>
      </c>
    </row>
    <row r="34" customFormat="1" s="23">
      <c r="A34" s="23" t="inlineStr">
        <is>
          <t>IA-030</t>
        </is>
      </c>
      <c r="B34" s="23" t="inlineStr">
        <is>
          <t>4 Soft copy</t>
        </is>
      </c>
      <c r="C34" s="23" t="inlineStr">
        <is>
          <t>Share to app (WhatsApp / email / Files)</t>
        </is>
      </c>
      <c r="D34" s="23" t="inlineStr">
        <is>
          <t>PWA share target: installed site on Android receives shared bills</t>
        </is>
      </c>
      <c r="E34" s="24" t="inlineStr">
        <is>
          <t>Done</t>
        </is>
      </c>
      <c r="F34" s="23" t="inlineStr">
        <is>
          <t>Production (gokesari.com) and test</t>
        </is>
      </c>
      <c r="G34" s="23" t="inlineStr">
        <is>
          <t>2026-10-15</t>
        </is>
      </c>
      <c r="H34" s="23" t="inlineStr">
        <is>
          <t>-</t>
        </is>
      </c>
      <c r="I34" s="23" t="inlineStr">
        <is>
          <t>#171, released #179</t>
        </is>
      </c>
    </row>
    <row r="35" customFormat="1" s="23">
      <c r="A35" s="23" t="inlineStr">
        <is>
          <t>IA-031</t>
        </is>
      </c>
      <c r="B35" s="23" t="inlineStr">
        <is>
          <t>4 Soft copy</t>
        </is>
      </c>
      <c r="C35" s="23" t="inlineStr">
        <is>
          <t>Share straight into the native Android/iOS app</t>
        </is>
      </c>
      <c r="D35" s="23" t="inlineStr">
        <is>
          <t>Native share-intent module + new store build</t>
        </is>
      </c>
      <c r="E35" s="25" t="inlineStr">
        <is>
          <t>Blocked</t>
        </is>
      </c>
      <c r="F35" s="23" t="inlineStr">
        <is>
          <t>Code on production; waits on the item in Notes</t>
        </is>
      </c>
      <c r="G35" s="23" t="inlineStr">
        <is>
          <t>2026-10-15</t>
        </is>
      </c>
      <c r="H35" s="23" t="inlineStr">
        <is>
          <t>Needs a native share-intent module and an EAS store build tested on a device; share to the installed website or forward by email meanwhile</t>
        </is>
      </c>
      <c r="I35" s="23" t="inlineStr">
        <is>
          <t>#171, released #179</t>
        </is>
      </c>
    </row>
    <row r="36" customFormat="1" s="23">
      <c r="A36" s="23" t="inlineStr">
        <is>
          <t>IA-032</t>
        </is>
      </c>
      <c r="B36" s="23" t="inlineStr">
        <is>
          <t>4 Soft copy</t>
        </is>
      </c>
      <c r="C36" s="23" t="inlineStr">
        <is>
          <t>Forward by email</t>
        </is>
      </c>
      <c r="D36" s="23" t="inlineStr">
        <is>
          <t>Private per-shop address bills+&lt;id&gt;-&lt;sig&gt;@domain; inbound webhook /api/inbound/bill-email</t>
        </is>
      </c>
      <c r="E36" s="25" t="inlineStr">
        <is>
          <t>Blocked</t>
        </is>
      </c>
      <c r="F36" s="23" t="inlineStr">
        <is>
          <t>Code on production; waits on the item in Notes</t>
        </is>
      </c>
      <c r="G36" s="23" t="inlineStr">
        <is>
          <t>2026-10-15</t>
        </is>
      </c>
      <c r="H36" s="23" t="inlineStr">
        <is>
          <t>Code done and tested; needs an inbound mail provider + INBOUND_EMAIL_SECRET / INBOUND_EMAIL_DOMAIN on the server</t>
        </is>
      </c>
      <c r="I36" s="23" t="inlineStr">
        <is>
          <t>#171, released #179</t>
        </is>
      </c>
    </row>
    <row r="37" customFormat="1" s="23">
      <c r="A37" s="23" t="inlineStr">
        <is>
          <t>IA-033</t>
        </is>
      </c>
      <c r="B37" s="23" t="inlineStr">
        <is>
          <t>4 Soft copy</t>
        </is>
      </c>
      <c r="C37" s="23" t="inlineStr">
        <is>
          <t>E-invoice JSON / signed QR as trusted source</t>
        </is>
      </c>
      <c r="D37" s="23" t="inlineStr">
        <is>
          <t>IRP JSON (plain or signed), signed QR decoded from photos and PDFs; RS256 check when NIC key configured</t>
        </is>
      </c>
      <c r="E37" s="24" t="inlineStr">
        <is>
          <t>Done</t>
        </is>
      </c>
      <c r="F37" s="23" t="inlineStr">
        <is>
          <t>Production (gokesari.com) and test</t>
        </is>
      </c>
      <c r="G37" s="23" t="inlineStr">
        <is>
          <t>2026-10-15</t>
        </is>
      </c>
      <c r="H37" s="23" t="inlineStr">
        <is>
          <t>Signature check needs EINVOICE_QR_PUBLIC_KEY (NIC public key)</t>
        </is>
      </c>
      <c r="I37" s="23" t="inlineStr">
        <is>
          <t>#171, released #179</t>
        </is>
      </c>
    </row>
    <row r="38" customFormat="1" s="23">
      <c r="A38" s="23" t="inlineStr">
        <is>
          <t>IA-034</t>
        </is>
      </c>
      <c r="B38" s="23" t="inlineStr">
        <is>
          <t>4 Soft copy</t>
        </is>
      </c>
      <c r="C38" s="23" t="inlineStr">
        <is>
          <t>AI document parsing</t>
        </is>
      </c>
      <c r="D38" s="23" t="inlineStr">
        <is>
          <t>Claude reads supplier, GSTIN, number, date, lines, totals with per-field confidence</t>
        </is>
      </c>
      <c r="E38" s="25" t="inlineStr">
        <is>
          <t>Blocked</t>
        </is>
      </c>
      <c r="F38" s="23" t="inlineStr">
        <is>
          <t>Code on production; waits on the item in Notes</t>
        </is>
      </c>
      <c r="G38" s="23" t="inlineStr">
        <is>
          <t>2026-10-15</t>
        </is>
      </c>
      <c r="H38" s="23" t="inlineStr">
        <is>
          <t>Code done; needs ANTHROPIC_API_KEY + INVOICE_EXTRACTION_PROVIDER=claude on the servers (owner decision: bills are sent to Anthropic for reading)</t>
        </is>
      </c>
      <c r="I38" s="23" t="inlineStr">
        <is>
          <t>#171, released #179</t>
        </is>
      </c>
    </row>
    <row r="39" customFormat="1" s="23">
      <c r="A39" s="23" t="inlineStr">
        <is>
          <t>IA-035</t>
        </is>
      </c>
      <c r="B39" s="23" t="inlineStr">
        <is>
          <t>4 Soft copy</t>
        </is>
      </c>
      <c r="C39" s="23" t="inlineStr">
        <is>
          <t>Local extraction fallback</t>
        </is>
      </c>
      <c r="D39" s="23" t="inlineStr">
        <is>
          <t>Excel item tables, PDF text layer, OCR text with rules</t>
        </is>
      </c>
      <c r="E39" s="24" t="inlineStr">
        <is>
          <t>Done</t>
        </is>
      </c>
      <c r="F39" s="23" t="inlineStr">
        <is>
          <t>Production (gokesari.com) and test</t>
        </is>
      </c>
      <c r="G39" s="23" t="inlineStr">
        <is>
          <t>2026-10-15</t>
        </is>
      </c>
      <c r="H39" s="23" t="inlineStr">
        <is>
          <t>OCR worker does not start on Hostinger (same as the document reader, NEW-062): photos fall back to typing</t>
        </is>
      </c>
      <c r="I39" s="23" t="inlineStr">
        <is>
          <t>#171, released #179</t>
        </is>
      </c>
    </row>
    <row r="40" customFormat="1" s="23">
      <c r="A40" s="23" t="inlineStr">
        <is>
          <t>IA-036</t>
        </is>
      </c>
      <c r="B40" s="23" t="inlineStr">
        <is>
          <t>4 Soft copy</t>
        </is>
      </c>
      <c r="C40" s="23" t="inlineStr">
        <is>
          <t>Match lines to product master</t>
        </is>
      </c>
      <c r="D40" s="23" t="inlineStr">
        <is>
          <t>Remembered supplier mapping, barcode/GTIN, HSN + name, name; suggestions; create new product (reuses the master by barcode)</t>
        </is>
      </c>
      <c r="E40" s="24" t="inlineStr">
        <is>
          <t>Done</t>
        </is>
      </c>
      <c r="F40" s="23" t="inlineStr">
        <is>
          <t>Production (gokesari.com) and test</t>
        </is>
      </c>
      <c r="G40" s="23" t="inlineStr">
        <is>
          <t>2026-10-15</t>
        </is>
      </c>
      <c r="H40" s="23" t="inlineStr">
        <is>
          <t>-</t>
        </is>
      </c>
      <c r="I40" s="23" t="inlineStr">
        <is>
          <t>#171, released #179</t>
        </is>
      </c>
    </row>
    <row r="41" customFormat="1" s="23">
      <c r="A41" s="23" t="inlineStr">
        <is>
          <t>IA-037</t>
        </is>
      </c>
      <c r="B41" s="23" t="inlineStr">
        <is>
          <t>4 Soft copy</t>
        </is>
      </c>
      <c r="C41" s="23" t="inlineStr">
        <is>
          <t>Validation</t>
        </is>
      </c>
      <c r="D41" s="23" t="inlineStr">
        <is>
          <t>Line maths, GST maths, totals = invoice total, GSTIN format + check digit, duplicate (supplier + number), e-invoice QR agreement, place of supply</t>
        </is>
      </c>
      <c r="E41" s="24" t="inlineStr">
        <is>
          <t>Done</t>
        </is>
      </c>
      <c r="F41" s="23" t="inlineStr">
        <is>
          <t>Production (gokesari.com) and test</t>
        </is>
      </c>
      <c r="G41" s="23" t="inlineStr">
        <is>
          <t>2026-10-15</t>
        </is>
      </c>
      <c r="H41" s="23" t="inlineStr">
        <is>
          <t>-</t>
        </is>
      </c>
      <c r="I41" s="23" t="inlineStr">
        <is>
          <t>#171, released #179</t>
        </is>
      </c>
    </row>
    <row r="42" customFormat="1" s="23">
      <c r="A42" s="23" t="inlineStr">
        <is>
          <t>IA-038</t>
        </is>
      </c>
      <c r="B42" s="23" t="inlineStr">
        <is>
          <t>5 Hard copy</t>
        </is>
      </c>
      <c r="C42" s="23" t="inlineStr">
        <is>
          <t>Camera scan (web + app)</t>
        </is>
      </c>
      <c r="D42" s="23" t="inlineStr">
        <is>
          <t>Edge detection, crop, de-skew, enhance (colour / grey / B&amp;W), corner adjust, multi-page, blur warning, small JPEGs</t>
        </is>
      </c>
      <c r="E42" s="24" t="inlineStr">
        <is>
          <t>Done</t>
        </is>
      </c>
      <c r="F42" s="23" t="inlineStr">
        <is>
          <t>Production (gokesari.com) and test</t>
        </is>
      </c>
      <c r="G42" s="23" t="inlineStr">
        <is>
          <t>2026-10-15</t>
        </is>
      </c>
      <c r="H42" s="23" t="inlineStr">
        <is>
          <t>-</t>
        </is>
      </c>
      <c r="I42" s="23" t="inlineStr">
        <is>
          <t>#171, released #179</t>
        </is>
      </c>
    </row>
    <row r="43" customFormat="1" s="23">
      <c r="A43" s="23" t="inlineStr">
        <is>
          <t>IA-039</t>
        </is>
      </c>
      <c r="B43" s="23" t="inlineStr">
        <is>
          <t>5 Hard copy</t>
        </is>
      </c>
      <c r="C43" s="23" t="inlineStr">
        <is>
          <t>OCR + AI for printed and handwritten bills (English, Hindi, Marathi)</t>
        </is>
      </c>
      <c r="D43" s="23" t="inlineStr">
        <is>
          <t>AI reader handles handwriting and Hindi/Marathi; local OCR English only</t>
        </is>
      </c>
      <c r="E43" s="25" t="inlineStr">
        <is>
          <t>Blocked</t>
        </is>
      </c>
      <c r="F43" s="23" t="inlineStr">
        <is>
          <t>Code on production; waits on the item in Notes</t>
        </is>
      </c>
      <c r="G43" s="23" t="inlineStr">
        <is>
          <t>2026-10-15</t>
        </is>
      </c>
      <c r="H43" s="23" t="inlineStr">
        <is>
          <t>Hindi/Marathi and handwriting need the AI reader (IA-034)</t>
        </is>
      </c>
      <c r="I43" s="23" t="inlineStr">
        <is>
          <t>#171, released #179</t>
        </is>
      </c>
    </row>
    <row r="44" customFormat="1" s="23">
      <c r="A44" s="23" t="inlineStr">
        <is>
          <t>IA-040</t>
        </is>
      </c>
      <c r="B44" s="23" t="inlineStr">
        <is>
          <t>5 Hard copy</t>
        </is>
      </c>
      <c r="C44" s="23" t="inlineStr">
        <is>
          <t>Per-field confidence, low confidence highlighted</t>
        </is>
      </c>
      <c r="D44" s="23" t="inlineStr">
        <is>
          <t>Amber = not sure, red = must fix; confidence % next to the field</t>
        </is>
      </c>
      <c r="E44" s="24" t="inlineStr">
        <is>
          <t>Done</t>
        </is>
      </c>
      <c r="F44" s="23" t="inlineStr">
        <is>
          <t>Production (gokesari.com) and test</t>
        </is>
      </c>
      <c r="G44" s="23" t="inlineStr">
        <is>
          <t>2026-10-15</t>
        </is>
      </c>
      <c r="H44" s="23" t="inlineStr">
        <is>
          <t>-</t>
        </is>
      </c>
      <c r="I44" s="23" t="inlineStr">
        <is>
          <t>#171, released #179</t>
        </is>
      </c>
    </row>
    <row r="45" customFormat="1" s="23">
      <c r="A45" s="23" t="inlineStr">
        <is>
          <t>IA-041</t>
        </is>
      </c>
      <c r="B45" s="23" t="inlineStr">
        <is>
          <t>6 Review</t>
        </is>
      </c>
      <c r="C45" s="23" t="inlineStr">
        <is>
          <t>Side-by-side review &amp; correction screen</t>
        </is>
      </c>
      <c r="D45" s="23" t="inlineStr">
        <is>
          <t>Original bill + editable table (phone: switch); edit any field, add/remove lines, change mapping, auto-save</t>
        </is>
      </c>
      <c r="E45" s="24" t="inlineStr">
        <is>
          <t>Done</t>
        </is>
      </c>
      <c r="F45" s="23" t="inlineStr">
        <is>
          <t>Production (gokesari.com) and test</t>
        </is>
      </c>
      <c r="G45" s="23" t="inlineStr">
        <is>
          <t>2026-10-15</t>
        </is>
      </c>
      <c r="H45" s="23" t="inlineStr">
        <is>
          <t>-</t>
        </is>
      </c>
      <c r="I45" s="23" t="inlineStr">
        <is>
          <t>#171, released #179</t>
        </is>
      </c>
    </row>
    <row r="46" customFormat="1" s="23">
      <c r="A46" s="23" t="inlineStr">
        <is>
          <t>IA-042</t>
        </is>
      </c>
      <c r="B46" s="23" t="inlineStr">
        <is>
          <t>6 Review</t>
        </is>
      </c>
      <c r="C46" s="23" t="inlineStr">
        <is>
          <t>Nothing touches stock until Confirm</t>
        </is>
      </c>
      <c r="D46" s="23" t="inlineStr">
        <is>
          <t>Captures hold drafts only</t>
        </is>
      </c>
      <c r="E46" s="24" t="inlineStr">
        <is>
          <t>Done</t>
        </is>
      </c>
      <c r="F46" s="23" t="inlineStr">
        <is>
          <t>Production (gokesari.com) and test</t>
        </is>
      </c>
      <c r="G46" s="23" t="inlineStr">
        <is>
          <t>2026-10-15</t>
        </is>
      </c>
      <c r="H46" s="23" t="inlineStr">
        <is>
          <t>-</t>
        </is>
      </c>
      <c r="I46" s="23" t="inlineStr">
        <is>
          <t>#171, released #179</t>
        </is>
      </c>
    </row>
    <row r="47" customFormat="1" s="23">
      <c r="A47" s="23" t="inlineStr">
        <is>
          <t>IA-043</t>
        </is>
      </c>
      <c r="B47" s="23" t="inlineStr">
        <is>
          <t>6 Review</t>
        </is>
      </c>
      <c r="C47" s="23" t="inlineStr">
        <is>
          <t>Confirm in one DB transaction</t>
        </is>
      </c>
      <c r="D47" s="23" t="inlineStr">
        <is>
          <t>Stock + cost + batches, purchase, supplier ledger, ITC record, mappings, files</t>
        </is>
      </c>
      <c r="E47" s="24" t="inlineStr">
        <is>
          <t>Done</t>
        </is>
      </c>
      <c r="F47" s="23" t="inlineStr">
        <is>
          <t>Production (gokesari.com) and test</t>
        </is>
      </c>
      <c r="G47" s="23" t="inlineStr">
        <is>
          <t>2026-10-15</t>
        </is>
      </c>
      <c r="H47" s="23" t="inlineStr">
        <is>
          <t>-</t>
        </is>
      </c>
      <c r="I47" s="23" t="inlineStr">
        <is>
          <t>#171, released #179</t>
        </is>
      </c>
    </row>
    <row r="48" customFormat="1" s="23">
      <c r="A48" s="23" t="inlineStr">
        <is>
          <t>IA-044</t>
        </is>
      </c>
      <c r="B48" s="23" t="inlineStr">
        <is>
          <t>6 Review</t>
        </is>
      </c>
      <c r="C48" s="23" t="inlineStr">
        <is>
          <t>Post-confirmation correction</t>
        </is>
      </c>
      <c r="D48" s="23" t="inlineStr">
        <is>
          <t>Reopen -&gt; reversing + corrected entries in stock, books and ITC; never an overwrite</t>
        </is>
      </c>
      <c r="E48" s="24" t="inlineStr">
        <is>
          <t>Done</t>
        </is>
      </c>
      <c r="F48" s="23" t="inlineStr">
        <is>
          <t>Production (gokesari.com) and test</t>
        </is>
      </c>
      <c r="G48" s="23" t="inlineStr">
        <is>
          <t>2026-10-15</t>
        </is>
      </c>
      <c r="H48" s="23" t="inlineStr">
        <is>
          <t>-</t>
        </is>
      </c>
      <c r="I48" s="23" t="inlineStr">
        <is>
          <t>#171, released #179</t>
        </is>
      </c>
    </row>
    <row r="49" customFormat="1" s="23">
      <c r="A49" s="23" t="inlineStr">
        <is>
          <t>IA-045</t>
        </is>
      </c>
      <c r="B49" s="23" t="inlineStr">
        <is>
          <t>6 Review</t>
        </is>
      </c>
      <c r="C49" s="23" t="inlineStr">
        <is>
          <t>Audit trail</t>
        </is>
      </c>
      <c r="D49" s="23" t="inlineStr">
        <is>
          <t>acc_change_log: who, when, old value, new value, reason; shown on the bill</t>
        </is>
      </c>
      <c r="E49" s="24" t="inlineStr">
        <is>
          <t>Done</t>
        </is>
      </c>
      <c r="F49" s="23" t="inlineStr">
        <is>
          <t>Production (gokesari.com) and test</t>
        </is>
      </c>
      <c r="G49" s="23" t="inlineStr">
        <is>
          <t>2026-10-15</t>
        </is>
      </c>
      <c r="H49" s="23" t="inlineStr">
        <is>
          <t>-</t>
        </is>
      </c>
      <c r="I49" s="23" t="inlineStr">
        <is>
          <t>#171, released #179</t>
        </is>
      </c>
    </row>
    <row r="50" customFormat="1" s="23">
      <c r="A50" s="23" t="inlineStr">
        <is>
          <t>IA-046</t>
        </is>
      </c>
      <c r="B50" s="23" t="inlineStr">
        <is>
          <t>6 Review</t>
        </is>
      </c>
      <c r="C50" s="23" t="inlineStr">
        <is>
          <t>Corrections feed back into extraction</t>
        </is>
      </c>
      <c r="D50" s="23" t="inlineStr">
        <is>
          <t>Supplier-specific product + unit mappings used first on the next bill</t>
        </is>
      </c>
      <c r="E50" s="24" t="inlineStr">
        <is>
          <t>Done</t>
        </is>
      </c>
      <c r="F50" s="23" t="inlineStr">
        <is>
          <t>Production (gokesari.com) and test</t>
        </is>
      </c>
      <c r="G50" s="23" t="inlineStr">
        <is>
          <t>2026-10-15</t>
        </is>
      </c>
      <c r="H50" s="23" t="inlineStr">
        <is>
          <t>-</t>
        </is>
      </c>
      <c r="I50" s="23" t="inlineStr">
        <is>
          <t>#171, released #179</t>
        </is>
      </c>
    </row>
    <row r="51" customFormat="1" s="23">
      <c r="A51" s="23" t="inlineStr">
        <is>
          <t>IA-047</t>
        </is>
      </c>
      <c r="B51" s="23" t="inlineStr">
        <is>
          <t>7 Data &amp; security</t>
        </is>
      </c>
      <c r="C51" s="23" t="inlineStr">
        <is>
          <t>Seller DB tables scoped by shop_id</t>
        </is>
      </c>
      <c r="D51" s="23" t="inlineStr">
        <is>
          <t>24 tables, ownership map; every API checks the shop; isolation tested</t>
        </is>
      </c>
      <c r="E51" s="24" t="inlineStr">
        <is>
          <t>Done</t>
        </is>
      </c>
      <c r="F51" s="23" t="inlineStr">
        <is>
          <t>Production (gokesari.com) and test</t>
        </is>
      </c>
      <c r="G51" s="23" t="inlineStr">
        <is>
          <t>2026-10-15</t>
        </is>
      </c>
      <c r="H51" s="23" t="inlineStr">
        <is>
          <t>-</t>
        </is>
      </c>
      <c r="I51" s="23" t="inlineStr">
        <is>
          <t>#171, released #179</t>
        </is>
      </c>
    </row>
    <row r="52" customFormat="1" s="23">
      <c r="A52" s="23" t="inlineStr">
        <is>
          <t>IA-048</t>
        </is>
      </c>
      <c r="B52" s="23" t="inlineStr">
        <is>
          <t>7 Data &amp; security</t>
        </is>
      </c>
      <c r="C52" s="23" t="inlineStr">
        <is>
          <t>Encryption at rest</t>
        </is>
      </c>
      <c r="D52" s="23" t="inlineStr">
        <is>
          <t>GST tokens (AES-256-GCM); uploaded bills encrypted when INTEGRATION_ENCRYPTION_KEY is set</t>
        </is>
      </c>
      <c r="E52" s="24" t="inlineStr">
        <is>
          <t>Done</t>
        </is>
      </c>
      <c r="F52" s="23" t="inlineStr">
        <is>
          <t>Production (gokesari.com) and test</t>
        </is>
      </c>
      <c r="G52" s="23" t="inlineStr">
        <is>
          <t>2026-10-15</t>
        </is>
      </c>
      <c r="H52" s="23" t="inlineStr">
        <is>
          <t>GST portal tokens: always encrypted (refused without a valid key). Stored bills: encrypted when INTEGRATION_ENCRYPTION_KEY is valid (IA-056); always served only through the access-checked route</t>
        </is>
      </c>
      <c r="I52" s="23" t="inlineStr">
        <is>
          <t>#171, released #179</t>
        </is>
      </c>
    </row>
    <row r="53" customFormat="1" s="23">
      <c r="A53" s="23" t="inlineStr">
        <is>
          <t>IA-049</t>
        </is>
      </c>
      <c r="B53" s="23" t="inlineStr">
        <is>
          <t>7 Data &amp; security</t>
        </is>
      </c>
      <c r="C53" s="23" t="inlineStr">
        <is>
          <t>Object storage with per-shop access control</t>
        </is>
      </c>
      <c r="D53" s="23" t="inlineStr">
        <is>
          <t>S3-compatible bucket (ACCOUNTS_STORAGE=s3) or MEDIA_DIR / DB; served only via the access-checked route</t>
        </is>
      </c>
      <c r="E53" s="26" t="inlineStr">
        <is>
          <t>In progress</t>
        </is>
      </c>
      <c r="F53" s="23" t="inlineStr">
        <is>
          <t>Code on production; waits on the item in Notes</t>
        </is>
      </c>
      <c r="G53" s="23" t="inlineStr">
        <is>
          <t>2026-10-15</t>
        </is>
      </c>
      <c r="H53" s="23" t="inlineStr">
        <is>
          <t>Code done; bucket credentials not configured yet, so files are in the database / MEDIA_DIR</t>
        </is>
      </c>
      <c r="I53" s="23" t="inlineStr">
        <is>
          <t>#171, released #179</t>
        </is>
      </c>
    </row>
    <row r="54" customFormat="1" s="23">
      <c r="A54" s="23" t="inlineStr">
        <is>
          <t>IA-050</t>
        </is>
      </c>
      <c r="B54" s="23" t="inlineStr">
        <is>
          <t>7 Data &amp; security</t>
        </is>
      </c>
      <c r="C54" s="23" t="inlineStr">
        <is>
          <t>Background job queue + progress</t>
        </is>
      </c>
      <c r="D54" s="23" t="inlineStr">
        <is>
          <t>inv_bill_captures queue with progress %, SKIP LOCKED, retry; cron safety net</t>
        </is>
      </c>
      <c r="E54" s="24" t="inlineStr">
        <is>
          <t>Done</t>
        </is>
      </c>
      <c r="F54" s="23" t="inlineStr">
        <is>
          <t>Production (gokesari.com) and test</t>
        </is>
      </c>
      <c r="G54" s="23" t="inlineStr">
        <is>
          <t>2026-10-15</t>
        </is>
      </c>
      <c r="H54" s="23" t="inlineStr">
        <is>
          <t>Owner to schedule /api/cron/bill-captures (optional safety net)</t>
        </is>
      </c>
      <c r="I54" s="23" t="inlineStr">
        <is>
          <t>#171, released #179</t>
        </is>
      </c>
    </row>
    <row r="55" customFormat="1" s="23">
      <c r="A55" s="23" t="inlineStr">
        <is>
          <t>IA-051</t>
        </is>
      </c>
      <c r="B55" s="23" t="inlineStr">
        <is>
          <t>7 Data &amp; security</t>
        </is>
      </c>
      <c r="C55" s="23" t="inlineStr">
        <is>
          <t>Real-time notification when ready</t>
        </is>
      </c>
      <c r="D55" s="23" t="inlineStr">
        <is>
          <t>In-app (+ email) notification and live progress polling on the screen</t>
        </is>
      </c>
      <c r="E55" s="24" t="inlineStr">
        <is>
          <t>Done</t>
        </is>
      </c>
      <c r="F55" s="23" t="inlineStr">
        <is>
          <t>Production (gokesari.com) and test</t>
        </is>
      </c>
      <c r="G55" s="23" t="inlineStr">
        <is>
          <t>2026-10-15</t>
        </is>
      </c>
      <c r="H55" s="23" t="inlineStr">
        <is>
          <t>-</t>
        </is>
      </c>
      <c r="I55" s="23" t="inlineStr">
        <is>
          <t>#171, released #179</t>
        </is>
      </c>
    </row>
    <row r="56" customFormat="1" s="23">
      <c r="A56" s="23" t="inlineStr">
        <is>
          <t>IA-052</t>
        </is>
      </c>
      <c r="B56" s="23" t="inlineStr">
        <is>
          <t>7 Data &amp; security</t>
        </is>
      </c>
      <c r="C56" s="23" t="inlineStr">
        <is>
          <t>Slow networks / one screen</t>
        </is>
      </c>
      <c r="D56" s="23" t="inlineStr">
        <is>
          <t>Compressed scans, upload progress, Tile Board one-screen hub, phone layouts</t>
        </is>
      </c>
      <c r="E56" s="24" t="inlineStr">
        <is>
          <t>Done</t>
        </is>
      </c>
      <c r="F56" s="23" t="inlineStr">
        <is>
          <t>Production (gokesari.com) and test</t>
        </is>
      </c>
      <c r="G56" s="23" t="inlineStr">
        <is>
          <t>2026-10-15</t>
        </is>
      </c>
      <c r="H56" s="23" t="inlineStr">
        <is>
          <t>Board and GST page were ~40 s on test.gokesari.com (database far from the web server); fixed in #172 — every module page ~4 s on test (Seller Central /shop ~8 s there)</t>
        </is>
      </c>
      <c r="I56" s="23" t="inlineStr">
        <is>
          <t>#171, #172, released #179</t>
        </is>
      </c>
    </row>
    <row r="57" customFormat="1" s="23">
      <c r="A57" s="23" t="inlineStr">
        <is>
          <t>IA-053</t>
        </is>
      </c>
      <c r="B57" s="23" t="inlineStr">
        <is>
          <t>UI</t>
        </is>
      </c>
      <c r="C57" s="23" t="inlineStr">
        <is>
          <t>Theme 1 Tile Board hub (web + app)</t>
        </is>
      </c>
      <c r="D57" s="23" t="inlineStr">
        <is>
          <t>/shop/accounts with 12 tiles, live counts, 4 headline figures, EN/HI/MR; Inventory tile 'Bills &amp; GST' and Finance hub links</t>
        </is>
      </c>
      <c r="E57" s="24" t="inlineStr">
        <is>
          <t>Done</t>
        </is>
      </c>
      <c r="F57" s="23" t="inlineStr">
        <is>
          <t>Production (gokesari.com) and test</t>
        </is>
      </c>
      <c r="G57" s="23" t="inlineStr">
        <is>
          <t>2026-10-15</t>
        </is>
      </c>
      <c r="H57" s="23" t="inlineStr">
        <is>
          <t>-</t>
        </is>
      </c>
      <c r="I57" s="23" t="inlineStr">
        <is>
          <t>#171, released #179</t>
        </is>
      </c>
    </row>
    <row r="58" customFormat="1" s="23">
      <c r="A58" s="23" t="inlineStr">
        <is>
          <t>IA-054</t>
        </is>
      </c>
      <c r="B58" s="23" t="inlineStr">
        <is>
          <t>Mobile</t>
        </is>
      </c>
      <c r="C58" s="23" t="inlineStr">
        <is>
          <t>Android and iOS apps</t>
        </is>
      </c>
      <c r="D58" s="23" t="inlineStr">
        <is>
          <t>WebView apps show the module on deploy (no store update); camera via photo picker; downloads via bridge</t>
        </is>
      </c>
      <c r="E58" s="24" t="inlineStr">
        <is>
          <t>Done</t>
        </is>
      </c>
      <c r="F58" s="23" t="inlineStr">
        <is>
          <t>Production (gokesari.com) and test</t>
        </is>
      </c>
      <c r="G58" s="23" t="inlineStr">
        <is>
          <t>2026-10-15</t>
        </is>
      </c>
      <c r="H58" s="23" t="inlineStr">
        <is>
          <t>Native share-intent is IA-031</t>
        </is>
      </c>
      <c r="I58" s="23" t="inlineStr">
        <is>
          <t>#171, released #179</t>
        </is>
      </c>
    </row>
    <row r="59" customFormat="1" s="23">
      <c r="A59" s="23" t="inlineStr">
        <is>
          <t>IA-055</t>
        </is>
      </c>
      <c r="B59" s="23" t="inlineStr">
        <is>
          <t>QA</t>
        </is>
      </c>
      <c r="C59" s="23" t="inlineStr">
        <is>
          <t>Testing on test.gokesari.com and gokesari.com</t>
        </is>
      </c>
      <c r="D59" s="23" t="inlineStr">
        <is>
          <t>Unit, integration, E2E; staging functional run; production read-only checks</t>
        </is>
      </c>
      <c r="E59" s="24" t="inlineStr">
        <is>
          <t>Done</t>
        </is>
      </c>
      <c r="F59" s="23" t="inlineStr">
        <is>
          <t>Production (gokesari.com) and test</t>
        </is>
      </c>
      <c r="G59" s="23" t="inlineStr">
        <is>
          <t>2026-10-15</t>
        </is>
      </c>
      <c r="H59" s="23" t="inlineStr">
        <is>
          <t>Local: 149 module unit/integration + E2E 11/11; CI full suite 1,915 tests green on the release. test.gokesari.com: smoke 11/11, functional 26/27 + live order/cancel PASS (GST link blocked by IA-056). gokesari.com: read-only smoke 11/11 after release #179. See TESTING_REPORT.md</t>
        </is>
      </c>
      <c r="I59" s="23" t="inlineStr">
        <is>
          <t>#171, released #179</t>
        </is>
      </c>
    </row>
    <row r="60" customFormat="1" s="23">
      <c r="A60" s="23" t="inlineStr">
        <is>
          <t>IA-056</t>
        </is>
      </c>
      <c r="B60" s="23" t="inlineStr">
        <is>
          <t>7 Data &amp; security</t>
        </is>
      </c>
      <c r="C60" s="23" t="inlineStr">
        <is>
          <t>Encryption key on the servers</t>
        </is>
      </c>
      <c r="D60" s="23" t="inlineStr">
        <is>
          <t>INTEGRATION_ENCRYPTION_KEY (base64, 32 bytes) set on test.gokesari.com and gokesari.com — needed for GST portal linking and for encrypting stored bills</t>
        </is>
      </c>
      <c r="E60" s="25" t="inlineStr">
        <is>
          <t>Blocked</t>
        </is>
      </c>
      <c r="F60" s="23" t="inlineStr">
        <is>
          <t>Server settings (test and production)</t>
        </is>
      </c>
      <c r="G60" s="23" t="inlineStr">
        <is>
          <t>2026-10-15</t>
        </is>
      </c>
      <c r="H60" s="23" t="inlineStr">
        <is>
          <t>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is>
      </c>
      <c r="I60" s="23" t="inlineStr">
        <is>
          <t>#171, released #179</t>
        </is>
      </c>
    </row>
    <row r="62">
      <c r="A62" s="27" t="inlineStr">
        <is>
          <t>Count</t>
        </is>
      </c>
      <c r="B62" t="inlineStr">
        <is>
          <t>Done</t>
        </is>
      </c>
      <c r="C62">
        <f>COUNTIF($E$5:$E$60,B62)</f>
        <v/>
      </c>
    </row>
    <row r="63">
      <c r="B63" t="inlineStr">
        <is>
          <t>In progress</t>
        </is>
      </c>
      <c r="C63">
        <f>COUNTIF($E$5:$E$60,B63)</f>
        <v/>
      </c>
    </row>
    <row r="64">
      <c r="B64" t="inlineStr">
        <is>
          <t>Not started</t>
        </is>
      </c>
      <c r="C64">
        <f>COUNTIF($E$5:$E$60,B64)</f>
        <v/>
      </c>
    </row>
    <row r="65">
      <c r="B65" t="inlineStr">
        <is>
          <t>Blocked</t>
        </is>
      </c>
      <c r="C65">
        <f>COUNTIF($E$5:$E$60,B65)</f>
        <v/>
      </c>
    </row>
    <row r="66">
      <c r="B66" t="inlineStr">
        <is>
          <t>Total</t>
        </is>
      </c>
      <c r="C66">
        <f>SUM(C62:C65)</f>
        <v/>
      </c>
    </row>
  </sheetData>
  <dataValidations count="2">
    <dataValidation sqref="E10:E60" showDropDown="0" showInputMessage="0" showErrorMessage="0" allowBlank="0" type="list">
      <formula1>"Not started,In progress,Done,Blocked"</formula1>
    </dataValidation>
    <dataValidation sqref="E5:E60" showDropDown="0" showInputMessage="0" showErrorMessage="0" allowBlank="0" type="list">
      <formula1>"Not started,In progress,Done,Blocked"</formula1>
    </dataValidation>
  </dataValidation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tabColor rgb="FFC9450C"/>
    <outlinePr summaryBelow="1" summaryRight="1"/>
    <pageSetUpPr fitToPage="1"/>
  </sheetPr>
  <dimension ref="A1:R268"/>
  <sheetViews>
    <sheetView view="normal" zoomScale="90" zoomScaleNormal="90" workbookViewId="0">
      <pane xSplit="5" ySplit="1" topLeftCell="F2" activePane="bottomRight" state="frozen"/>
      <selection pane="bottomRight" activeCell="A1" sqref="A1"/>
    </sheetView>
  </sheetViews>
  <sheetFormatPr baseColWidth="8" defaultColWidth="8.6796875" defaultRowHeight="15" outlineLevelRow="0"/>
  <cols>
    <col width="5" customWidth="1" style="1" min="1" max="1"/>
    <col width="16" customWidth="1" style="1" min="2" max="2"/>
    <col width="10" customWidth="1" style="1" min="3" max="3"/>
    <col width="14" customWidth="1" style="1" min="4" max="4"/>
    <col width="30" customWidth="1" style="1" min="5" max="5"/>
    <col width="60" customWidth="1" style="1" min="6" max="6"/>
    <col width="13" customWidth="1" style="1" min="7" max="7"/>
    <col width="8" customWidth="1" style="1" min="8" max="8"/>
    <col width="14" customWidth="1" style="1" min="9" max="9"/>
    <col width="22" customWidth="1" style="1" min="10" max="10"/>
    <col width="24" customWidth="1" style="1" min="11" max="11"/>
    <col width="30" customWidth="1" style="1" min="12" max="12"/>
    <col width="22" customWidth="1" style="1" min="13" max="13"/>
    <col width="34" customWidth="1" style="1" min="14" max="15"/>
    <col width="12" customWidth="1" style="1" min="16" max="16"/>
    <col width="40" customWidth="1" style="1" min="17" max="17"/>
    <col width="34" customWidth="1" style="1" min="18" max="18"/>
  </cols>
  <sheetData>
    <row r="1" ht="30" customFormat="1" customHeight="1" s="2">
      <c r="A1" s="6" t="inlineStr">
        <is>
          <t>#</t>
        </is>
      </c>
      <c r="B1" s="6" t="inlineStr">
        <is>
          <t>Section</t>
        </is>
      </c>
      <c r="C1" s="6" t="inlineStr">
        <is>
          <t>Feature ID</t>
        </is>
      </c>
      <c r="D1" s="6" t="inlineStr">
        <is>
          <t>Module / area</t>
        </is>
      </c>
      <c r="E1" s="6" t="inlineStr">
        <is>
          <t>Feature</t>
        </is>
      </c>
      <c r="F1" s="6" t="inlineStr">
        <is>
          <t>Functionality (what it does today)</t>
        </is>
      </c>
      <c r="G1" s="6" t="inlineStr">
        <is>
          <t>Process flow step(s)</t>
        </is>
      </c>
      <c r="H1" s="6" t="inlineStr">
        <is>
          <t>Priority</t>
        </is>
      </c>
      <c r="I1" s="6" t="inlineStr">
        <is>
          <t>Status (18 Oct 2026)</t>
        </is>
      </c>
      <c r="J1" s="6" t="inlineStr">
        <is>
          <t>Where it runs</t>
        </is>
      </c>
      <c r="K1" s="6" t="inlineStr">
        <is>
          <t>Switched on?</t>
        </is>
      </c>
      <c r="L1" s="6" t="inlineStr">
        <is>
          <t>Built in PR(s)</t>
        </is>
      </c>
      <c r="M1" s="6" t="inlineStr">
        <is>
          <t>Released to production in PR(s)</t>
        </is>
      </c>
      <c r="N1" s="6" t="inlineStr">
        <is>
          <t>Remaining scope / gap</t>
        </is>
      </c>
      <c r="O1" s="6" t="inlineStr">
        <is>
          <t>Blocked on / next step</t>
        </is>
      </c>
      <c r="P1" s="6" t="inlineStr">
        <is>
          <t>Status 16 Oct</t>
        </is>
      </c>
      <c r="Q1" s="6" t="inlineStr">
        <is>
          <t>Change since 16 Oct (PRs #185-#188)</t>
        </is>
      </c>
      <c r="R1" s="6" t="inlineStr">
        <is>
          <t>Evidence (code / docs)</t>
        </is>
      </c>
    </row>
    <row r="2" ht="51" customFormat="1" customHeight="1" s="2">
      <c r="A2" s="10" t="n">
        <v>1</v>
      </c>
      <c r="B2" s="12" t="inlineStr">
        <is>
          <t>Feature Master</t>
        </is>
      </c>
      <c r="C2" s="9" t="inlineStr">
        <is>
          <t>GS-001</t>
        </is>
      </c>
      <c r="D2" s="12" t="inlineStr">
        <is>
          <t>Identity &amp; Access</t>
        </is>
      </c>
      <c r="E2" s="12" t="inlineStr">
        <is>
          <t>Mobile/email/Gmail login</t>
        </is>
      </c>
      <c r="F2" s="12" t="inlineStr">
        <is>
          <t>Google, email magic link and a single mobile-or-email form; first-time /onboarding profile; My Profile with verified email change; checkout requires a mobile; admin can release a wrongly claimed number. Login rebuild now on main (was staging-only on 3 Oct).</t>
        </is>
      </c>
      <c r="G2" s="12" t="inlineStr">
        <is>
          <t>F1.1.1, F1.1.2, F1.1.3</t>
        </is>
      </c>
      <c r="H2" s="12" t="inlineStr">
        <is>
          <t>P0</t>
        </is>
      </c>
      <c r="I2" s="10" t="inlineStr">
        <is>
          <t>BLOCKED</t>
        </is>
      </c>
      <c r="J2" s="12" t="inlineStr">
        <is>
          <t>Production - partly live</t>
        </is>
      </c>
      <c r="K2" s="12" t="inlineStr">
        <is>
          <t>Live (email OTP); SMS OTP not available</t>
        </is>
      </c>
      <c r="L2" s="12" t="inlineStr">
        <is>
          <t>#10 (magic link); #23 (Phase A mobile OTP); #31 (login rebuild, onboarding, My Profile); #80 (same OTP reply); #121 (one consent box)</t>
        </is>
      </c>
      <c r="M2" s="12" t="inlineStr">
        <is>
          <t>#14; #23; #43; #81; #123</t>
        </is>
      </c>
      <c r="N2" s="12" t="inlineStr">
        <is>
          <t>SMS delivery of the OTP so a mobile number is proven (OTP provider seam ready).</t>
        </is>
      </c>
      <c r="O2" s="12" t="inlineStr">
        <is>
          <t>D2 - SMS/OTP vendor with DLT registration</t>
        </is>
      </c>
      <c r="P2" s="12" t="inlineStr">
        <is>
          <t>BLOCKED</t>
        </is>
      </c>
      <c r="Q2" s="12" t="inlineStr">
        <is>
          <t>No change</t>
        </is>
      </c>
      <c r="R2" s="12" t="inlineStr">
        <is>
          <t>src/server/otp/providers.ts; src/app/onboarding; src/app/profile; drizzle/0038_login_profile.sql</t>
        </is>
      </c>
    </row>
    <row r="3" ht="27" customFormat="1" customHeight="1" s="2">
      <c r="A3" s="10" t="n">
        <v>2</v>
      </c>
      <c r="B3" s="12" t="inlineStr">
        <is>
          <t>Feature Master</t>
        </is>
      </c>
      <c r="C3" s="9" t="inlineStr">
        <is>
          <t>GS-002</t>
        </is>
      </c>
      <c r="D3" s="12" t="inlineStr">
        <is>
          <t>Identity &amp; Access</t>
        </is>
      </c>
      <c r="E3" s="12" t="inlineStr">
        <is>
          <t>Role-based access control</t>
        </is>
      </c>
      <c r="F3" s="12" t="inlineStr">
        <is>
          <t>SOCIETY_ADMIN role; society roles scoped per membership (ADMIN/OPERATOR/RESIDENT)</t>
        </is>
      </c>
      <c r="G3" s="12" t="inlineStr">
        <is>
          <t>F5.1.2, F12.2.1</t>
        </is>
      </c>
      <c r="H3" s="12" t="inlineStr">
        <is>
          <t>P0</t>
        </is>
      </c>
      <c r="I3" s="10" t="inlineStr">
        <is>
          <t>COMPLETED</t>
        </is>
      </c>
      <c r="J3" s="12" t="inlineStr">
        <is>
          <t>Production (gokesari.com)</t>
        </is>
      </c>
      <c r="K3" s="12" t="inlineStr">
        <is>
          <t>Live</t>
        </is>
      </c>
      <c r="L3" s="12" t="inlineStr">
        <is>
          <t>Baseline; #10 (SOCIETY_ADMIN); #11 (society roles)</t>
        </is>
      </c>
      <c r="M3" s="12" t="inlineStr">
        <is>
          <t>Baseline; #14; #19</t>
        </is>
      </c>
      <c r="N3" s="12" t="inlineStr">
        <is>
          <t>-</t>
        </is>
      </c>
      <c r="O3" s="12" t="inlineStr">
        <is>
          <t>-</t>
        </is>
      </c>
      <c r="P3" s="12" t="inlineStr">
        <is>
          <t>COMPLETED</t>
        </is>
      </c>
      <c r="Q3" s="12" t="inlineStr">
        <is>
          <t>No change</t>
        </is>
      </c>
      <c r="R3" s="12" t="inlineStr">
        <is>
          <t>src/server/authz/permissions.ts; src/server/db/schema.ts (userRoleEnum)</t>
        </is>
      </c>
    </row>
    <row r="4" ht="27" customFormat="1" customHeight="1" s="2">
      <c r="A4" s="10" t="n">
        <v>3</v>
      </c>
      <c r="B4" s="12" t="inlineStr">
        <is>
          <t>Feature Master</t>
        </is>
      </c>
      <c r="C4" s="9" t="inlineStr">
        <is>
          <t>GS-003</t>
        </is>
      </c>
      <c r="D4" s="12" t="inlineStr">
        <is>
          <t>Identity &amp; Access</t>
        </is>
      </c>
      <c r="E4" s="12" t="inlineStr">
        <is>
          <t>Multi-role user account</t>
        </is>
      </c>
      <c r="F4" s="12" t="inlineStr">
        <is>
          <t>user_role_grants; active role switcher in the header; /api/me/roles; admin revoke; shop/rider/society flows grant roles; staff roles exclusive</t>
        </is>
      </c>
      <c r="G4" s="12" t="inlineStr">
        <is>
          <t>F12.2.1</t>
        </is>
      </c>
      <c r="H4" s="12" t="inlineStr">
        <is>
          <t>P1</t>
        </is>
      </c>
      <c r="I4" s="10" t="inlineStr">
        <is>
          <t>COMPLETED</t>
        </is>
      </c>
      <c r="J4" s="12" t="inlineStr">
        <is>
          <t>Production (gokesari.com)</t>
        </is>
      </c>
      <c r="K4" s="12" t="inlineStr">
        <is>
          <t>Live</t>
        </is>
      </c>
      <c r="L4" s="12" t="inlineStr">
        <is>
          <t>#18</t>
        </is>
      </c>
      <c r="M4" s="12" t="inlineStr">
        <is>
          <t>#19</t>
        </is>
      </c>
      <c r="N4" s="12" t="inlineStr">
        <is>
          <t>-</t>
        </is>
      </c>
      <c r="O4" s="12" t="inlineStr">
        <is>
          <t>-</t>
        </is>
      </c>
      <c r="P4" s="12" t="inlineStr">
        <is>
          <t>COMPLETED</t>
        </is>
      </c>
      <c r="Q4" s="12" t="inlineStr">
        <is>
          <t>No change</t>
        </is>
      </c>
      <c r="R4" s="12" t="inlineStr">
        <is>
          <t>src/server/services/roles.ts; src/app/api/me/roles/route.ts</t>
        </is>
      </c>
    </row>
    <row r="5" ht="51" customFormat="1" customHeight="1" s="2">
      <c r="A5" s="10" t="n">
        <v>4</v>
      </c>
      <c r="B5" s="12" t="inlineStr">
        <is>
          <t>Feature Master</t>
        </is>
      </c>
      <c r="C5" s="9" t="inlineStr">
        <is>
          <t>GS-004</t>
        </is>
      </c>
      <c r="D5" s="12" t="inlineStr">
        <is>
          <t>Location</t>
        </is>
      </c>
      <c r="E5" s="12" t="inlineStr">
        <is>
          <t>PIN / address selection</t>
        </is>
      </c>
      <c r="F5" s="12" t="inlineStr">
        <is>
          <t>'Deliver to' location: saved address, device position or PIN, remembered in a cookie. Phase B added Maps Places address search, a 'save this place' path, and recipient name / recipient mobile / Home-Work-Other on addresses</t>
        </is>
      </c>
      <c r="G5" s="12" t="inlineStr">
        <is>
          <t>F1.2.1</t>
        </is>
      </c>
      <c r="H5" s="12" t="inlineStr">
        <is>
          <t>P0</t>
        </is>
      </c>
      <c r="I5" s="10" t="inlineStr">
        <is>
          <t>COMPLETED</t>
        </is>
      </c>
      <c r="J5" s="12" t="inlineStr">
        <is>
          <t>Production (gokesari.com)</t>
        </is>
      </c>
      <c r="K5" s="12" t="inlineStr">
        <is>
          <t>Live</t>
        </is>
      </c>
      <c r="L5" s="12" t="inlineStr">
        <is>
          <t>Baseline (location capture); #10 (customer location); #23 (Phase B); #83 (Deliver-to pill)</t>
        </is>
      </c>
      <c r="M5" s="12" t="inlineStr">
        <is>
          <t>Baseline; #14; #23; #84</t>
        </is>
      </c>
      <c r="N5" s="12" t="inlineStr">
        <is>
          <t>-</t>
        </is>
      </c>
      <c r="O5" s="12" t="inlineStr">
        <is>
          <t>-</t>
        </is>
      </c>
      <c r="P5" s="12" t="inlineStr">
        <is>
          <t>COMPLETED</t>
        </is>
      </c>
      <c r="Q5" s="12" t="inlineStr">
        <is>
          <t>No change</t>
        </is>
      </c>
      <c r="R5" s="12" t="inlineStr">
        <is>
          <t>src/lib/geo/provider.ts; src/components/location-bar.tsx; drizzle/0026</t>
        </is>
      </c>
    </row>
    <row r="6" ht="15" customFormat="1" customHeight="1" s="2">
      <c r="A6" s="10" t="n">
        <v>5</v>
      </c>
      <c r="B6" s="12" t="inlineStr">
        <is>
          <t>Feature Master</t>
        </is>
      </c>
      <c r="C6" s="9" t="inlineStr">
        <is>
          <t>GS-005</t>
        </is>
      </c>
      <c r="D6" s="12" t="inlineStr">
        <is>
          <t>Location</t>
        </is>
      </c>
      <c r="E6" s="12" t="inlineStr">
        <is>
          <t>Society identification</t>
        </is>
      </c>
      <c r="F6" s="12" t="inlineStr">
        <is>
          <t>Society membership; address &lt;-&gt; society link; orders.society_id</t>
        </is>
      </c>
      <c r="G6" s="12" t="inlineStr">
        <is>
          <t>F1.2.2, F5.1.2</t>
        </is>
      </c>
      <c r="H6" s="12" t="inlineStr">
        <is>
          <t>P0</t>
        </is>
      </c>
      <c r="I6" s="10" t="inlineStr">
        <is>
          <t>COMPLETED</t>
        </is>
      </c>
      <c r="J6" s="12" t="inlineStr">
        <is>
          <t>Production (gokesari.com)</t>
        </is>
      </c>
      <c r="K6" s="12" t="inlineStr">
        <is>
          <t>Live</t>
        </is>
      </c>
      <c r="L6" s="12" t="inlineStr">
        <is>
          <t>#11</t>
        </is>
      </c>
      <c r="M6" s="12" t="inlineStr">
        <is>
          <t>#19</t>
        </is>
      </c>
      <c r="N6" s="12" t="inlineStr">
        <is>
          <t>-</t>
        </is>
      </c>
      <c r="O6" s="12" t="inlineStr">
        <is>
          <t>-</t>
        </is>
      </c>
      <c r="P6" s="12" t="inlineStr">
        <is>
          <t>COMPLETED</t>
        </is>
      </c>
      <c r="Q6" s="12" t="inlineStr">
        <is>
          <t>No change</t>
        </is>
      </c>
      <c r="R6" s="12" t="inlineStr">
        <is>
          <t>src/server/services/societies.ts</t>
        </is>
      </c>
    </row>
    <row r="7" ht="51" customFormat="1" customHeight="1" s="2">
      <c r="A7" s="10" t="n">
        <v>6</v>
      </c>
      <c r="B7" s="12" t="inlineStr">
        <is>
          <t>Feature Master</t>
        </is>
      </c>
      <c r="C7" s="9" t="inlineStr">
        <is>
          <t>GS-006</t>
        </is>
      </c>
      <c r="D7" s="12" t="inlineStr">
        <is>
          <t>Shop Onboarding</t>
        </is>
      </c>
      <c r="E7" s="12" t="inlineStr">
        <is>
          <t>Shop registration</t>
        </is>
      </c>
      <c r="F7" s="12" t="inlineStr">
        <is>
          <t>Shop owner registers a shop (/shop/register): name, owner, address with map location, shop type and categories, at least one of PAN / Udyam / GST / Shop Act; duplicate-registration guard; resubmission after rejection; operations approve or reject.</t>
        </is>
      </c>
      <c r="G7" s="12" t="inlineStr">
        <is>
          <t>F8.1.1</t>
        </is>
      </c>
      <c r="H7" s="12" t="inlineStr">
        <is>
          <t>P0</t>
        </is>
      </c>
      <c r="I7" s="10" t="inlineStr">
        <is>
          <t>COMPLETED</t>
        </is>
      </c>
      <c r="J7" s="12" t="inlineStr">
        <is>
          <t>Production (gokesari.com)</t>
        </is>
      </c>
      <c r="K7" s="12" t="inlineStr">
        <is>
          <t>Live</t>
        </is>
      </c>
      <c r="L7" s="12" t="inlineStr">
        <is>
          <t>Baseline; #22 (duplicate guard); #45 (validation, GST field); #53 (documents)</t>
        </is>
      </c>
      <c r="M7" s="12" t="inlineStr">
        <is>
          <t>Baseline; #19; #47; #54</t>
        </is>
      </c>
      <c r="N7" s="12" t="inlineStr">
        <is>
          <t>6 Oct: GST field added at registration; at least one of PAN / Udyam / GST / Shop Act required (135f29a).</t>
        </is>
      </c>
      <c r="O7" s="12" t="inlineStr">
        <is>
          <t>-</t>
        </is>
      </c>
      <c r="P7" s="12" t="inlineStr">
        <is>
          <t>COMPLETED</t>
        </is>
      </c>
      <c r="Q7" s="12" t="inlineStr">
        <is>
          <t>No change</t>
        </is>
      </c>
      <c r="R7" s="12" t="inlineStr">
        <is>
          <t>-</t>
        </is>
      </c>
    </row>
    <row r="8" ht="75" customFormat="1" customHeight="1" s="2">
      <c r="A8" s="10" t="n">
        <v>7</v>
      </c>
      <c r="B8" s="12" t="inlineStr">
        <is>
          <t>Feature Master</t>
        </is>
      </c>
      <c r="C8" s="9" t="inlineStr">
        <is>
          <t>GS-007</t>
        </is>
      </c>
      <c r="D8" s="12" t="inlineStr">
        <is>
          <t>Shop Onboarding</t>
        </is>
      </c>
      <c r="E8" s="12" t="inlineStr">
        <is>
          <t>Business KYC</t>
        </is>
      </c>
      <c r="F8" s="12"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12" t="inlineStr">
        <is>
          <t>F8.2.1</t>
        </is>
      </c>
      <c r="H8" s="12" t="inlineStr">
        <is>
          <t>P0</t>
        </is>
      </c>
      <c r="I8" s="10" t="inlineStr">
        <is>
          <t>COMPLETED</t>
        </is>
      </c>
      <c r="J8" s="12" t="inlineStr">
        <is>
          <t>Production (gokesari.com)</t>
        </is>
      </c>
      <c r="K8" s="12" t="inlineStr">
        <is>
          <t>Live; vendor checks run on the MOCK vendor until Gridlines keys are set (KYC_PROVIDER)</t>
        </is>
      </c>
      <c r="L8" s="12" t="inlineStr">
        <is>
          <t>Baseline (GST/PAN self-service); #53 (seller verification)</t>
        </is>
      </c>
      <c r="M8" s="12" t="inlineStr">
        <is>
          <t>Baseline; #54</t>
        </is>
      </c>
      <c r="N8" s="12" t="inlineStr">
        <is>
          <t>Real vendor: Gridlines sandbox then live keys and written confirmation of response fields, Shop Act coverage, prices, DPA. Since SM-002 (PR #58) an admin can approve a shop only once every mandatory document is verified (VERIFIED stage).</t>
        </is>
      </c>
      <c r="O8" s="12" t="inlineStr">
        <is>
          <t>-</t>
        </is>
      </c>
      <c r="P8" s="12" t="inlineStr">
        <is>
          <t>COMPLETED</t>
        </is>
      </c>
      <c r="Q8" s="12" t="inlineStr">
        <is>
          <t>No change</t>
        </is>
      </c>
      <c r="R8" s="12" t="inlineStr">
        <is>
          <t>src/server/services/seller-verification*.ts; src/server/kyc/; /shop/verification; /admin/seller-verification; drizzle/0040, 0041; docs/seller-verification/</t>
        </is>
      </c>
    </row>
    <row r="9" ht="63" customFormat="1" customHeight="1" s="2">
      <c r="A9" s="10" t="n">
        <v>8</v>
      </c>
      <c r="B9" s="12" t="inlineStr">
        <is>
          <t>Feature Master</t>
        </is>
      </c>
      <c r="C9" s="9" t="inlineStr">
        <is>
          <t>GS-008</t>
        </is>
      </c>
      <c r="D9" s="12" t="inlineStr">
        <is>
          <t>Shop Onboarding</t>
        </is>
      </c>
      <c r="E9" s="12" t="inlineStr">
        <is>
          <t>Payment reference verification</t>
        </is>
      </c>
      <c r="F9" s="12"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12" t="inlineStr">
        <is>
          <t>F8.2.3</t>
        </is>
      </c>
      <c r="H9" s="12" t="inlineStr">
        <is>
          <t>P0</t>
        </is>
      </c>
      <c r="I9" s="10" t="inlineStr">
        <is>
          <t>COMPLETED</t>
        </is>
      </c>
      <c r="J9" s="12" t="inlineStr">
        <is>
          <t>Production (gokesari.com)</t>
        </is>
      </c>
      <c r="K9" s="12" t="inlineStr">
        <is>
          <t>Live</t>
        </is>
      </c>
      <c r="L9" s="12" t="inlineStr">
        <is>
          <t>Baseline (registration fees); #29 (fee gate on approval)</t>
        </is>
      </c>
      <c r="M9" s="12" t="inlineStr">
        <is>
          <t>Baseline; #29</t>
        </is>
      </c>
      <c r="N9" s="12" t="inlineStr">
        <is>
          <t>-</t>
        </is>
      </c>
      <c r="O9" s="12" t="inlineStr">
        <is>
          <t>-</t>
        </is>
      </c>
      <c r="P9" s="12" t="inlineStr">
        <is>
          <t>COMPLETED</t>
        </is>
      </c>
      <c r="Q9" s="12" t="inlineStr">
        <is>
          <t>No change</t>
        </is>
      </c>
      <c r="R9" s="12" t="inlineStr">
        <is>
          <t>src/server/services/shops.ts (approveShop); src/components/shop-approval-panel.tsx; tests/integration/registration-fees.test.ts</t>
        </is>
      </c>
    </row>
    <row r="10" ht="63" customFormat="1" customHeight="1" s="2">
      <c r="A10" s="10" t="n">
        <v>9</v>
      </c>
      <c r="B10" s="12" t="inlineStr">
        <is>
          <t>Feature Master</t>
        </is>
      </c>
      <c r="C10" s="9" t="inlineStr">
        <is>
          <t>GS-009</t>
        </is>
      </c>
      <c r="D10" s="12" t="inlineStr">
        <is>
          <t>Shop Onboarding</t>
        </is>
      </c>
      <c r="E10" s="12" t="inlineStr">
        <is>
          <t>Shop categories</t>
        </is>
      </c>
      <c r="F10" s="12"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12" t="inlineStr">
        <is>
          <t>F8.3.2</t>
        </is>
      </c>
      <c r="H10" s="12" t="inlineStr">
        <is>
          <t>P0</t>
        </is>
      </c>
      <c r="I10" s="10" t="inlineStr">
        <is>
          <t>COMPLETED</t>
        </is>
      </c>
      <c r="J10" s="12" t="inlineStr">
        <is>
          <t>Production (gokesari.com)</t>
        </is>
      </c>
      <c r="K10" s="12" t="inlineStr">
        <is>
          <t>Live</t>
        </is>
      </c>
      <c r="L10" s="12" t="inlineStr">
        <is>
          <t>#23 (shop categories); #30 (explicit Save)</t>
        </is>
      </c>
      <c r="M10" s="12" t="inlineStr">
        <is>
          <t>#23; #32</t>
        </is>
      </c>
      <c r="N10" s="12" t="inlineStr">
        <is>
          <t>-</t>
        </is>
      </c>
      <c r="O10" s="12" t="inlineStr">
        <is>
          <t>-</t>
        </is>
      </c>
      <c r="P10" s="12" t="inlineStr">
        <is>
          <t>COMPLETED</t>
        </is>
      </c>
      <c r="Q10" s="12" t="inlineStr">
        <is>
          <t>No change</t>
        </is>
      </c>
      <c r="R10" s="12" t="inlineStr">
        <is>
          <t>src/server/services/shop-categories.ts; src/app/admin/shop-categories/page.tsx; drizzle/0035</t>
        </is>
      </c>
    </row>
    <row r="11" ht="39" customFormat="1" customHeight="1" s="2">
      <c r="A11" s="10" t="n">
        <v>10</v>
      </c>
      <c r="B11" s="12" t="inlineStr">
        <is>
          <t>Feature Master</t>
        </is>
      </c>
      <c r="C11" s="9" t="inlineStr">
        <is>
          <t>GS-010</t>
        </is>
      </c>
      <c r="D11" s="12" t="inlineStr">
        <is>
          <t>Shop Onboarding</t>
        </is>
      </c>
      <c r="E11" s="12" t="inlineStr">
        <is>
          <t>Service radius / delivery zone</t>
        </is>
      </c>
      <c r="F11" s="12" t="inlineStr">
        <is>
          <t>shops.service_radius_km (1-50 km) editable by the shop; Phase B added extra delivery zones by PIN code (shops.delivery_pincodes), honoured by serviceability, checkout and discovery</t>
        </is>
      </c>
      <c r="G11" s="12" t="inlineStr">
        <is>
          <t>F8.3.3</t>
        </is>
      </c>
      <c r="H11" s="12" t="inlineStr">
        <is>
          <t>P0</t>
        </is>
      </c>
      <c r="I11" s="10" t="inlineStr">
        <is>
          <t>COMPLETED</t>
        </is>
      </c>
      <c r="J11" s="12" t="inlineStr">
        <is>
          <t>Production (gokesari.com)</t>
        </is>
      </c>
      <c r="K11" s="12" t="inlineStr">
        <is>
          <t>Live</t>
        </is>
      </c>
      <c r="L11" s="12" t="inlineStr">
        <is>
          <t>Baseline; #10 (delivery radius); #23 (Phase B PIN zones)</t>
        </is>
      </c>
      <c r="M11" s="12" t="inlineStr">
        <is>
          <t>Baseline; #14; #23</t>
        </is>
      </c>
      <c r="N11" s="12" t="inlineStr">
        <is>
          <t>-</t>
        </is>
      </c>
      <c r="O11" s="12" t="inlineStr">
        <is>
          <t>-</t>
        </is>
      </c>
      <c r="P11" s="12" t="inlineStr">
        <is>
          <t>COMPLETED</t>
        </is>
      </c>
      <c r="Q11" s="12" t="inlineStr">
        <is>
          <t>No change</t>
        </is>
      </c>
      <c r="R11" s="12" t="inlineStr">
        <is>
          <t>src/server/services/serviceability.ts; src/server/db/schema.ts:691; drizzle/0019, 0026</t>
        </is>
      </c>
    </row>
    <row r="12" ht="39" customFormat="1" customHeight="1" s="2">
      <c r="A12" s="10" t="n">
        <v>11</v>
      </c>
      <c r="B12" s="12" t="inlineStr">
        <is>
          <t>Feature Master</t>
        </is>
      </c>
      <c r="C12" s="9" t="inlineStr">
        <is>
          <t>GS-011</t>
        </is>
      </c>
      <c r="D12" s="12" t="inlineStr">
        <is>
          <t>Catalog</t>
        </is>
      </c>
      <c r="E12" s="12" t="inlineStr">
        <is>
          <t>Product master</t>
        </is>
      </c>
      <c r="F12" s="12" t="inlineStr">
        <is>
          <t>Central product catalogue (products) with brand, pack size, GTIN, HSN, GST rate and MRP; fed by the Product Master Data Platform (PMD) and the category master; shop-created products go through an approval queue.</t>
        </is>
      </c>
      <c r="G12" s="12" t="inlineStr">
        <is>
          <t>-</t>
        </is>
      </c>
      <c r="H12" s="12" t="inlineStr">
        <is>
          <t>P0</t>
        </is>
      </c>
      <c r="I12" s="10" t="inlineStr">
        <is>
          <t>COMPLETED</t>
        </is>
      </c>
      <c r="J12" s="12" t="inlineStr">
        <is>
          <t>Production (gokesari.com)</t>
        </is>
      </c>
      <c r="K12" s="12" t="inlineStr">
        <is>
          <t>Live</t>
        </is>
      </c>
      <c r="L12" s="12" t="inlineStr">
        <is>
          <t>Baseline (product identity/MRP); #4 (Product Master platform); #38 (category master)</t>
        </is>
      </c>
      <c r="M12" s="12" t="inlineStr">
        <is>
          <t>Baseline; #8; #43</t>
        </is>
      </c>
      <c r="N12" s="12" t="inlineStr">
        <is>
          <t>-</t>
        </is>
      </c>
      <c r="O12" s="12" t="inlineStr">
        <is>
          <t>-</t>
        </is>
      </c>
      <c r="P12" s="12" t="inlineStr">
        <is>
          <t>COMPLETED</t>
        </is>
      </c>
      <c r="Q12" s="12" t="inlineStr">
        <is>
          <t>No change</t>
        </is>
      </c>
      <c r="R12" s="12" t="inlineStr">
        <is>
          <t>-</t>
        </is>
      </c>
    </row>
    <row r="13" ht="39" customFormat="1" customHeight="1" s="2">
      <c r="A13" s="10" t="n">
        <v>12</v>
      </c>
      <c r="B13" s="12" t="inlineStr">
        <is>
          <t>Feature Master</t>
        </is>
      </c>
      <c r="C13" s="9" t="inlineStr">
        <is>
          <t>GS-012</t>
        </is>
      </c>
      <c r="D13" s="12" t="inlineStr">
        <is>
          <t>Catalog</t>
        </is>
      </c>
      <c r="E13" s="12" t="inlineStr">
        <is>
          <t>Shop catalog mapping</t>
        </is>
      </c>
      <c r="F13" s="12" t="inlineStr">
        <is>
          <t>Each shop lists master products as its own listings (shop_products) with its own online and in-shop price, stock and availability; listings follow the shop's product categories.</t>
        </is>
      </c>
      <c r="G13" s="12" t="inlineStr">
        <is>
          <t>F9.2.2</t>
        </is>
      </c>
      <c r="H13" s="12" t="inlineStr">
        <is>
          <t>P0</t>
        </is>
      </c>
      <c r="I13" s="10" t="inlineStr">
        <is>
          <t>COMPLETED</t>
        </is>
      </c>
      <c r="J13" s="12" t="inlineStr">
        <is>
          <t>Production (gokesari.com)</t>
        </is>
      </c>
      <c r="K13" s="12" t="inlineStr">
        <is>
          <t>Live</t>
        </is>
      </c>
      <c r="L13" s="12" t="inlineStr">
        <is>
          <t>Baseline (shop-created products); #38 (category visibility); #45 (inventory fill)</t>
        </is>
      </c>
      <c r="M13" s="12" t="inlineStr">
        <is>
          <t>Baseline; #43; #47</t>
        </is>
      </c>
      <c r="N13" s="12" t="inlineStr">
        <is>
          <t>-</t>
        </is>
      </c>
      <c r="O13" s="12" t="inlineStr">
        <is>
          <t>-</t>
        </is>
      </c>
      <c r="P13" s="12" t="inlineStr">
        <is>
          <t>COMPLETED</t>
        </is>
      </c>
      <c r="Q13" s="12" t="inlineStr">
        <is>
          <t>No change</t>
        </is>
      </c>
      <c r="R13" s="12" t="inlineStr">
        <is>
          <t>-</t>
        </is>
      </c>
    </row>
    <row r="14" ht="39" customFormat="1" customHeight="1" s="2">
      <c r="A14" s="10" t="n">
        <v>13</v>
      </c>
      <c r="B14" s="12" t="inlineStr">
        <is>
          <t>Feature Master</t>
        </is>
      </c>
      <c r="C14" s="9" t="inlineStr">
        <is>
          <t>GS-013</t>
        </is>
      </c>
      <c r="D14" s="12" t="inlineStr">
        <is>
          <t>Catalog</t>
        </is>
      </c>
      <c r="E14" s="12" t="inlineStr">
        <is>
          <t>Bulk product upload</t>
        </is>
      </c>
      <c r="F14" s="12" t="inlineStr">
        <is>
          <t>Excel goods/price upload in two phases: validate every row and show a preview (nothing written), then apply valid rows through the normal price-approval workflow.</t>
        </is>
      </c>
      <c r="G14" s="12" t="inlineStr">
        <is>
          <t>F9.2.2</t>
        </is>
      </c>
      <c r="H14" s="12" t="inlineStr">
        <is>
          <t>P0</t>
        </is>
      </c>
      <c r="I14" s="10" t="inlineStr">
        <is>
          <t>COMPLETED</t>
        </is>
      </c>
      <c r="J14" s="12" t="inlineStr">
        <is>
          <t>Production (gokesari.com)</t>
        </is>
      </c>
      <c r="K14" s="12" t="inlineStr">
        <is>
          <t>Live</t>
        </is>
      </c>
      <c r="L14" s="12" t="inlineStr">
        <is>
          <t>Baseline (Excel upload); #38 (category by name in Excel)</t>
        </is>
      </c>
      <c r="M14" s="12" t="inlineStr">
        <is>
          <t>Baseline; #43</t>
        </is>
      </c>
      <c r="N14" s="12" t="inlineStr">
        <is>
          <t>-</t>
        </is>
      </c>
      <c r="O14" s="12" t="inlineStr">
        <is>
          <t>-</t>
        </is>
      </c>
      <c r="P14" s="12" t="inlineStr">
        <is>
          <t>COMPLETED</t>
        </is>
      </c>
      <c r="Q14" s="12" t="inlineStr">
        <is>
          <t>No change</t>
        </is>
      </c>
      <c r="R14" s="12" t="inlineStr">
        <is>
          <t>-</t>
        </is>
      </c>
    </row>
    <row r="15" ht="39" customFormat="1" customHeight="1" s="2">
      <c r="A15" s="10" t="n">
        <v>14</v>
      </c>
      <c r="B15" s="12" t="inlineStr">
        <is>
          <t>Feature Master</t>
        </is>
      </c>
      <c r="C15" s="9" t="inlineStr">
        <is>
          <t>GS-014</t>
        </is>
      </c>
      <c r="D15" s="12" t="inlineStr">
        <is>
          <t>Catalog</t>
        </is>
      </c>
      <c r="E15" s="12" t="inlineStr">
        <is>
          <t>Product images/specifications</t>
        </is>
      </c>
      <c r="F15" s="12" t="inlineStr">
        <is>
          <t>Image store with several images per product/listing, primary, reorder, alt text; F10 moderation queue (pending -&gt; approve / reject with reason) at /admin/image-moderation; existing photos stay live.</t>
        </is>
      </c>
      <c r="G15" s="12" t="inlineStr">
        <is>
          <t>F9.2.4</t>
        </is>
      </c>
      <c r="H15" s="12" t="inlineStr">
        <is>
          <t>P1</t>
        </is>
      </c>
      <c r="I15" s="10" t="inlineStr">
        <is>
          <t>COMPLETED</t>
        </is>
      </c>
      <c r="J15" s="12" t="inlineStr">
        <is>
          <t>Production - built, switched off by default</t>
        </is>
      </c>
      <c r="K15" s="12" t="inlineStr">
        <is>
          <t>Off by default - switch on in Admin &gt; Business rules (rule: imageModeration.enabled)</t>
        </is>
      </c>
      <c r="L15" s="12" t="inlineStr">
        <is>
          <t>#23 (Phase E image store, Phase I image mgmt); #55 (F10 moderation); #79 (photo catalogue)</t>
        </is>
      </c>
      <c r="M15" s="12" t="inlineStr">
        <is>
          <t>#23; #57; #82</t>
        </is>
      </c>
      <c r="N15" s="12" t="inlineStr">
        <is>
          <t>-</t>
        </is>
      </c>
      <c r="O15" s="12" t="inlineStr">
        <is>
          <t>-</t>
        </is>
      </c>
      <c r="P15" s="12" t="inlineStr">
        <is>
          <t>COMPLETED</t>
        </is>
      </c>
      <c r="Q15" s="12" t="inlineStr">
        <is>
          <t>No change</t>
        </is>
      </c>
      <c r="R15" s="12" t="inlineStr">
        <is>
          <t>src/server/services/product-images.ts; drizzle/0049_image_moderation.sql; tests/integration/image-moderation.test.ts</t>
        </is>
      </c>
    </row>
    <row r="16" ht="63" customFormat="1" customHeight="1" s="2">
      <c r="A16" s="10" t="n">
        <v>15</v>
      </c>
      <c r="B16" s="12" t="inlineStr">
        <is>
          <t>Feature Master</t>
        </is>
      </c>
      <c r="C16" s="9" t="inlineStr">
        <is>
          <t>GS-015</t>
        </is>
      </c>
      <c r="D16" s="12" t="inlineStr">
        <is>
          <t>Catalog</t>
        </is>
      </c>
      <c r="E16" s="12" t="inlineStr">
        <is>
          <t>MRP / selling price / discount</t>
        </is>
      </c>
      <c r="F16" s="12"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12" t="inlineStr">
        <is>
          <t>F9.2.3</t>
        </is>
      </c>
      <c r="H16" s="12" t="inlineStr">
        <is>
          <t>P0</t>
        </is>
      </c>
      <c r="I16" s="10" t="inlineStr">
        <is>
          <t>COMPLETED</t>
        </is>
      </c>
      <c r="J16" s="12" t="inlineStr">
        <is>
          <t>Production (gokesari.com)</t>
        </is>
      </c>
      <c r="K16" s="12" t="inlineStr">
        <is>
          <t>Live</t>
        </is>
      </c>
      <c r="L16" s="12" t="inlineStr">
        <is>
          <t>Baseline (MRP); #23 (Phase I MRP governance); #45 (per-shop prices)</t>
        </is>
      </c>
      <c r="M16" s="12" t="inlineStr">
        <is>
          <t>Baseline; #23; #47</t>
        </is>
      </c>
      <c r="N16" s="12" t="inlineStr">
        <is>
          <t>-</t>
        </is>
      </c>
      <c r="O16" s="12" t="inlineStr">
        <is>
          <t>-</t>
        </is>
      </c>
      <c r="P16" s="12" t="inlineStr">
        <is>
          <t>COMPLETED</t>
        </is>
      </c>
      <c r="Q16" s="12" t="inlineStr">
        <is>
          <t>No change</t>
        </is>
      </c>
      <c r="R16" s="12" t="inlineStr">
        <is>
          <t>src/server/services/mrp-governance.ts; src/server/services/catalogue.ts:617,710; src/app/admin/mrp/page.tsx; drizzle/0032</t>
        </is>
      </c>
    </row>
    <row r="17" ht="63" customFormat="1" customHeight="1" s="2">
      <c r="A17" s="10" t="n">
        <v>16</v>
      </c>
      <c r="B17" s="12" t="inlineStr">
        <is>
          <t>Feature Master</t>
        </is>
      </c>
      <c r="C17" s="9" t="inlineStr">
        <is>
          <t>GS-016</t>
        </is>
      </c>
      <c r="D17" s="12" t="inlineStr">
        <is>
          <t>Inventory</t>
        </is>
      </c>
      <c r="E17" s="12" t="inlineStr">
        <is>
          <t>Stock quantity</t>
        </is>
      </c>
      <c r="F17" s="12" t="inlineStr">
        <is>
          <t>Shop owners keep online and in-shop stock per listing on the inventory page; checkout refuses out-of-stock lines and restocks on cancellation.</t>
        </is>
      </c>
      <c r="G17" s="12" t="inlineStr">
        <is>
          <t>F1.8.1, F9.2.3</t>
        </is>
      </c>
      <c r="H17" s="12" t="inlineStr">
        <is>
          <t>P0</t>
        </is>
      </c>
      <c r="I17" s="10" t="inlineStr">
        <is>
          <t>COMPLETED</t>
        </is>
      </c>
      <c r="J17" s="12" t="inlineStr">
        <is>
          <t>Production (gokesari.com)</t>
        </is>
      </c>
      <c r="K17" s="12" t="inlineStr">
        <is>
          <t>Live</t>
        </is>
      </c>
      <c r="L17" s="12" t="inlineStr">
        <is>
          <t>Baseline</t>
        </is>
      </c>
      <c r="M17" s="12" t="inlineStr">
        <is>
          <t>Baseline</t>
        </is>
      </c>
      <c r="N17" s="12" t="inlineStr">
        <is>
          <t>-</t>
        </is>
      </c>
      <c r="O17" s="12" t="inlineStr">
        <is>
          <t>-</t>
        </is>
      </c>
      <c r="P17" s="12" t="inlineStr">
        <is>
          <t>COMPLETED</t>
        </is>
      </c>
      <c r="Q17" s="12" t="inlineStr">
        <is>
          <t>No change</t>
        </is>
      </c>
      <c r="R17" s="12" t="inlineStr">
        <is>
          <t>-</t>
        </is>
      </c>
    </row>
    <row r="18" ht="27" customFormat="1" customHeight="1" s="2">
      <c r="A18" s="10" t="n">
        <v>17</v>
      </c>
      <c r="B18" s="12" t="inlineStr">
        <is>
          <t>Feature Master</t>
        </is>
      </c>
      <c r="C18" s="9" t="inlineStr">
        <is>
          <t>GS-017</t>
        </is>
      </c>
      <c r="D18" s="12" t="inlineStr">
        <is>
          <t>Inventory</t>
        </is>
      </c>
      <c r="E18" s="12" t="inlineStr">
        <is>
          <t>Low-stock threshold</t>
        </is>
      </c>
      <c r="F18" s="12" t="inlineStr">
        <is>
          <t>Extended by GS-018 (three-level thresholds, Phase I)</t>
        </is>
      </c>
      <c r="G18" s="12" t="inlineStr">
        <is>
          <t>F9.2.3</t>
        </is>
      </c>
      <c r="H18" s="12" t="inlineStr">
        <is>
          <t>P1</t>
        </is>
      </c>
      <c r="I18" s="10" t="inlineStr">
        <is>
          <t>COMPLETED</t>
        </is>
      </c>
      <c r="J18" s="12" t="inlineStr">
        <is>
          <t>Production (gokesari.com)</t>
        </is>
      </c>
      <c r="K18" s="12" t="inlineStr">
        <is>
          <t>Live</t>
        </is>
      </c>
      <c r="L18" s="12" t="inlineStr">
        <is>
          <t>Baseline (thresholds + alerts); #23 (Phase I)</t>
        </is>
      </c>
      <c r="M18" s="12" t="inlineStr">
        <is>
          <t>Baseline; #23</t>
        </is>
      </c>
      <c r="N18" s="12" t="inlineStr">
        <is>
          <t>-</t>
        </is>
      </c>
      <c r="O18" s="12" t="inlineStr">
        <is>
          <t>-</t>
        </is>
      </c>
      <c r="P18" s="12" t="inlineStr">
        <is>
          <t>COMPLETED</t>
        </is>
      </c>
      <c r="Q18" s="12" t="inlineStr">
        <is>
          <t>No change</t>
        </is>
      </c>
      <c r="R18" s="12" t="inlineStr">
        <is>
          <t>-</t>
        </is>
      </c>
    </row>
    <row r="19" ht="51" customFormat="1" customHeight="1" s="2">
      <c r="A19" s="10" t="n">
        <v>18</v>
      </c>
      <c r="B19" s="12" t="inlineStr">
        <is>
          <t>Feature Master</t>
        </is>
      </c>
      <c r="C19" s="9" t="inlineStr">
        <is>
          <t>GS-018</t>
        </is>
      </c>
      <c r="D19" s="12" t="inlineStr">
        <is>
          <t>Inventory</t>
        </is>
      </c>
      <c r="E19" s="12" t="inlineStr">
        <is>
          <t>Reorder level / quantity</t>
        </is>
      </c>
      <c r="F19" s="12"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12" t="inlineStr">
        <is>
          <t>F9.2.3</t>
        </is>
      </c>
      <c r="H19" s="12" t="inlineStr">
        <is>
          <t>P1</t>
        </is>
      </c>
      <c r="I19" s="10" t="inlineStr">
        <is>
          <t>COMPLETED</t>
        </is>
      </c>
      <c r="J19" s="12" t="inlineStr">
        <is>
          <t>Production (gokesari.com)</t>
        </is>
      </c>
      <c r="K19" s="12" t="inlineStr">
        <is>
          <t>Live</t>
        </is>
      </c>
      <c r="L19" s="12" t="inlineStr">
        <is>
          <t>Baseline; #23 (Phase I)</t>
        </is>
      </c>
      <c r="M19" s="12" t="inlineStr">
        <is>
          <t>Baseline; #23</t>
        </is>
      </c>
      <c r="N19" s="12" t="inlineStr">
        <is>
          <t>Analytics-driven replenishment suggestions (enhancement)</t>
        </is>
      </c>
      <c r="O19" s="12" t="inlineStr">
        <is>
          <t>-</t>
        </is>
      </c>
      <c r="P19" s="12" t="inlineStr">
        <is>
          <t>COMPLETED</t>
        </is>
      </c>
      <c r="Q19" s="12" t="inlineStr">
        <is>
          <t>No change</t>
        </is>
      </c>
      <c r="R19" s="12" t="inlineStr">
        <is>
          <t>src/server/services/inventory-alerts.ts; src/app/shop/inventory/page.tsx; drizzle/0033</t>
        </is>
      </c>
    </row>
    <row r="20" ht="27" customFormat="1" customHeight="1" s="2">
      <c r="A20" s="10" t="n">
        <v>19</v>
      </c>
      <c r="B20" s="12" t="inlineStr">
        <is>
          <t>Feature Master</t>
        </is>
      </c>
      <c r="C20" s="9" t="inlineStr">
        <is>
          <t>GS-019</t>
        </is>
      </c>
      <c r="D20" s="12" t="inlineStr">
        <is>
          <t>Search</t>
        </is>
      </c>
      <c r="E20" s="12" t="inlineStr">
        <is>
          <t>Shop search</t>
        </is>
      </c>
      <c r="F20" s="12" t="inlineStr">
        <is>
          <t>Shops that deliver to the location, nearest first, with distance</t>
        </is>
      </c>
      <c r="G20" s="12" t="inlineStr">
        <is>
          <t>F1.3.1</t>
        </is>
      </c>
      <c r="H20" s="12" t="inlineStr">
        <is>
          <t>P0</t>
        </is>
      </c>
      <c r="I20" s="10" t="inlineStr">
        <is>
          <t>COMPLETED</t>
        </is>
      </c>
      <c r="J20" s="12" t="inlineStr">
        <is>
          <t>Production (gokesari.com)</t>
        </is>
      </c>
      <c r="K20" s="12" t="inlineStr">
        <is>
          <t>Live</t>
        </is>
      </c>
      <c r="L20" s="12" t="inlineStr">
        <is>
          <t>#10 (serviceable discovery); #83 (Shops filter/sort)</t>
        </is>
      </c>
      <c r="M20" s="12" t="inlineStr">
        <is>
          <t>#14; #84</t>
        </is>
      </c>
      <c r="N20" s="12" t="inlineStr">
        <is>
          <t>-</t>
        </is>
      </c>
      <c r="O20" s="12" t="inlineStr">
        <is>
          <t>-</t>
        </is>
      </c>
      <c r="P20" s="12" t="inlineStr">
        <is>
          <t>COMPLETED</t>
        </is>
      </c>
      <c r="Q20" s="12" t="inlineStr">
        <is>
          <t>No change</t>
        </is>
      </c>
      <c r="R20" s="12" t="inlineStr">
        <is>
          <t>src/server/services/serviceability.ts</t>
        </is>
      </c>
    </row>
    <row r="21" ht="27" customFormat="1" customHeight="1" s="2">
      <c r="A21" s="10" t="n">
        <v>20</v>
      </c>
      <c r="B21" s="12" t="inlineStr">
        <is>
          <t>Feature Master</t>
        </is>
      </c>
      <c r="C21" s="9" t="inlineStr">
        <is>
          <t>GS-020</t>
        </is>
      </c>
      <c r="D21" s="12" t="inlineStr">
        <is>
          <t>Search</t>
        </is>
      </c>
      <c r="E21" s="12" t="inlineStr">
        <is>
          <t>Product search</t>
        </is>
      </c>
      <c r="F21" s="12" t="inlineStr">
        <is>
          <t>Product search limited to serviceable shops, nearest first</t>
        </is>
      </c>
      <c r="G21" s="12" t="inlineStr">
        <is>
          <t>F1.3.2</t>
        </is>
      </c>
      <c r="H21" s="12" t="inlineStr">
        <is>
          <t>P0</t>
        </is>
      </c>
      <c r="I21" s="10" t="inlineStr">
        <is>
          <t>COMPLETED</t>
        </is>
      </c>
      <c r="J21" s="12" t="inlineStr">
        <is>
          <t>Production (gokesari.com)</t>
        </is>
      </c>
      <c r="K21" s="12" t="inlineStr">
        <is>
          <t>Live</t>
        </is>
      </c>
      <c r="L21" s="12" t="inlineStr">
        <is>
          <t>Baseline; #10; #48 (search bar row); #83 (search in header)</t>
        </is>
      </c>
      <c r="M21" s="12" t="inlineStr">
        <is>
          <t>Baseline; #14; #71; #84</t>
        </is>
      </c>
      <c r="N21" s="12" t="inlineStr">
        <is>
          <t>-</t>
        </is>
      </c>
      <c r="O21" s="12" t="inlineStr">
        <is>
          <t>-</t>
        </is>
      </c>
      <c r="P21" s="12" t="inlineStr">
        <is>
          <t>COMPLETED</t>
        </is>
      </c>
      <c r="Q21" s="12" t="inlineStr">
        <is>
          <t>No change</t>
        </is>
      </c>
      <c r="R21" s="12" t="inlineStr">
        <is>
          <t>src/app/search/page.tsx; src/server/services/catalogue.ts</t>
        </is>
      </c>
    </row>
    <row r="22" ht="15" customFormat="1" customHeight="1" s="2">
      <c r="A22" s="10" t="n">
        <v>21</v>
      </c>
      <c r="B22" s="12" t="inlineStr">
        <is>
          <t>Feature Master</t>
        </is>
      </c>
      <c r="C22" s="9" t="inlineStr">
        <is>
          <t>GS-021</t>
        </is>
      </c>
      <c r="D22" s="12" t="inlineStr">
        <is>
          <t>Search</t>
        </is>
      </c>
      <c r="E22" s="12" t="inlineStr">
        <is>
          <t>All shops selling product</t>
        </is>
      </c>
      <c r="F22" s="12" t="inlineStr">
        <is>
          <t>/products/{id}: every shop selling the product</t>
        </is>
      </c>
      <c r="G22" s="12" t="inlineStr">
        <is>
          <t>F1.3.3</t>
        </is>
      </c>
      <c r="H22" s="12" t="inlineStr">
        <is>
          <t>P0</t>
        </is>
      </c>
      <c r="I22" s="10" t="inlineStr">
        <is>
          <t>COMPLETED</t>
        </is>
      </c>
      <c r="J22" s="12" t="inlineStr">
        <is>
          <t>Production (gokesari.com)</t>
        </is>
      </c>
      <c r="K22" s="12" t="inlineStr">
        <is>
          <t>Live</t>
        </is>
      </c>
      <c r="L22" s="12" t="inlineStr">
        <is>
          <t>#10</t>
        </is>
      </c>
      <c r="M22" s="12" t="inlineStr">
        <is>
          <t>#14</t>
        </is>
      </c>
      <c r="N22" s="12" t="inlineStr">
        <is>
          <t>-</t>
        </is>
      </c>
      <c r="O22" s="12" t="inlineStr">
        <is>
          <t>-</t>
        </is>
      </c>
      <c r="P22" s="12" t="inlineStr">
        <is>
          <t>COMPLETED</t>
        </is>
      </c>
      <c r="Q22" s="12" t="inlineStr">
        <is>
          <t>No change</t>
        </is>
      </c>
      <c r="R22" s="12" t="inlineStr">
        <is>
          <t>src/app/products/[id]/page.tsx</t>
        </is>
      </c>
    </row>
    <row r="23" ht="27" customFormat="1" customHeight="1" s="2">
      <c r="A23" s="10" t="n">
        <v>22</v>
      </c>
      <c r="B23" s="12" t="inlineStr">
        <is>
          <t>Feature Master</t>
        </is>
      </c>
      <c r="C23" s="9" t="inlineStr">
        <is>
          <t>GS-022</t>
        </is>
      </c>
      <c r="D23" s="12" t="inlineStr">
        <is>
          <t>Comparison</t>
        </is>
      </c>
      <c r="E23" s="12" t="inlineStr">
        <is>
          <t>Local price comparison</t>
        </is>
      </c>
      <c r="F23" s="12" t="inlineStr">
        <is>
          <t>Per-unit / per-pack comparison, 'Lowest price', delivers-to-you</t>
        </is>
      </c>
      <c r="G23" s="12" t="inlineStr">
        <is>
          <t>F1.4.1</t>
        </is>
      </c>
      <c r="H23" s="12" t="inlineStr">
        <is>
          <t>P0</t>
        </is>
      </c>
      <c r="I23" s="10" t="inlineStr">
        <is>
          <t>COMPLETED</t>
        </is>
      </c>
      <c r="J23" s="12" t="inlineStr">
        <is>
          <t>Production (gokesari.com)</t>
        </is>
      </c>
      <c r="K23" s="12" t="inlineStr">
        <is>
          <t>Live</t>
        </is>
      </c>
      <c r="L23" s="12" t="inlineStr">
        <is>
          <t>#10; #55 (F9 home comparison); #72 (faster query)</t>
        </is>
      </c>
      <c r="M23" s="12" t="inlineStr">
        <is>
          <t>#14; #57; #73</t>
        </is>
      </c>
      <c r="N23" s="12" t="inlineStr">
        <is>
          <t>-</t>
        </is>
      </c>
      <c r="O23" s="12" t="inlineStr">
        <is>
          <t>-</t>
        </is>
      </c>
      <c r="P23" s="12" t="inlineStr">
        <is>
          <t>COMPLETED</t>
        </is>
      </c>
      <c r="Q23" s="12" t="inlineStr">
        <is>
          <t>No change</t>
        </is>
      </c>
      <c r="R23" s="12" t="inlineStr">
        <is>
          <t>src/app/products/[id]/page.tsx</t>
        </is>
      </c>
    </row>
    <row r="24" ht="39" customFormat="1" customHeight="1" s="2">
      <c r="A24" s="10" t="n">
        <v>23</v>
      </c>
      <c r="B24" s="12" t="inlineStr">
        <is>
          <t>Feature Master</t>
        </is>
      </c>
      <c r="C24" s="9" t="inlineStr">
        <is>
          <t>GS-023</t>
        </is>
      </c>
      <c r="D24" s="12" t="inlineStr">
        <is>
          <t>Comparison</t>
        </is>
      </c>
      <c r="E24" s="12" t="inlineStr">
        <is>
          <t>E-commerce price benchmark</t>
        </is>
      </c>
      <c r="F24" s="12" t="inlineStr">
        <is>
          <t>External reference prices with source, time, location, URL, verification and audit history; shops and operations see them.</t>
        </is>
      </c>
      <c r="G24" s="12" t="inlineStr">
        <is>
          <t>F1.4.3</t>
        </is>
      </c>
      <c r="H24" s="12" t="inlineStr">
        <is>
          <t>P1</t>
        </is>
      </c>
      <c r="I24" s="10" t="inlineStr">
        <is>
          <t>BLOCKED</t>
        </is>
      </c>
      <c r="J24" s="12" t="inlineStr">
        <is>
          <t>Production - partly live</t>
        </is>
      </c>
      <c r="K24" s="12" t="inlineStr">
        <is>
          <t>Hidden from customers (externalPrices.showToCustomers = false)</t>
        </is>
      </c>
      <c r="L24" s="12" t="inlineStr">
        <is>
          <t>#23 (Phase I external price references)</t>
        </is>
      </c>
      <c r="M24" s="12" t="inlineStr">
        <is>
          <t>#23</t>
        </is>
      </c>
      <c r="N24" s="12" t="inlineStr">
        <is>
          <t>Turn on the customer display - one rule flip, no code.</t>
        </is>
      </c>
      <c r="O24" s="12" t="inlineStr">
        <is>
          <t>D7 - lawful / licensed price source</t>
        </is>
      </c>
      <c r="P24" s="12" t="inlineStr">
        <is>
          <t>BLOCKED</t>
        </is>
      </c>
      <c r="Q24" s="12" t="inlineStr">
        <is>
          <t>No change</t>
        </is>
      </c>
      <c r="R24" s="12" t="inlineStr">
        <is>
          <t>src/server/config/rules.ts (externalPrices)</t>
        </is>
      </c>
    </row>
    <row r="25" ht="27" customFormat="1" customHeight="1" s="2">
      <c r="A25" s="10" t="n">
        <v>24</v>
      </c>
      <c r="B25" s="12" t="inlineStr">
        <is>
          <t>Feature Master</t>
        </is>
      </c>
      <c r="C25" s="9" t="inlineStr">
        <is>
          <t>GS-024</t>
        </is>
      </c>
      <c r="D25" s="12" t="inlineStr">
        <is>
          <t>Cart</t>
        </is>
      </c>
      <c r="E25" s="12" t="inlineStr">
        <is>
          <t>Single-shop cart</t>
        </is>
      </c>
      <c r="F25" s="12" t="inlineStr">
        <is>
          <t>Cart built from one shop's listings with quantity changes and live totals; card-level add / - / + / Remove controls.</t>
        </is>
      </c>
      <c r="G25" s="12" t="inlineStr">
        <is>
          <t>F1.5.1</t>
        </is>
      </c>
      <c r="H25" s="12" t="inlineStr">
        <is>
          <t>P0</t>
        </is>
      </c>
      <c r="I25" s="10" t="inlineStr">
        <is>
          <t>COMPLETED</t>
        </is>
      </c>
      <c r="J25" s="12" t="inlineStr">
        <is>
          <t>Production (gokesari.com)</t>
        </is>
      </c>
      <c r="K25" s="12" t="inlineStr">
        <is>
          <t>Live</t>
        </is>
      </c>
      <c r="L25" s="12" t="inlineStr">
        <is>
          <t>Baseline; #48 (card quantity controls); #72 (cart state after reload)</t>
        </is>
      </c>
      <c r="M25" s="12" t="inlineStr">
        <is>
          <t>Baseline; #71; #73</t>
        </is>
      </c>
      <c r="N25" s="12" t="inlineStr">
        <is>
          <t>-</t>
        </is>
      </c>
      <c r="O25" s="12" t="inlineStr">
        <is>
          <t>-</t>
        </is>
      </c>
      <c r="P25" s="12" t="inlineStr">
        <is>
          <t>COMPLETED</t>
        </is>
      </c>
      <c r="Q25" s="12" t="inlineStr">
        <is>
          <t>No change</t>
        </is>
      </c>
      <c r="R25" s="12" t="inlineStr">
        <is>
          <t>-</t>
        </is>
      </c>
    </row>
    <row r="26" ht="27" customFormat="1" customHeight="1" s="2">
      <c r="A26" s="10" t="n">
        <v>25</v>
      </c>
      <c r="B26" s="12" t="inlineStr">
        <is>
          <t>Feature Master</t>
        </is>
      </c>
      <c r="C26" s="9" t="inlineStr">
        <is>
          <t>GS-025</t>
        </is>
      </c>
      <c r="D26" s="12" t="inlineStr">
        <is>
          <t>Cart</t>
        </is>
      </c>
      <c r="E26" s="12" t="inlineStr">
        <is>
          <t>Multi-shop cart</t>
        </is>
      </c>
      <c r="F26" s="12" t="inlineStr">
        <is>
          <t>One cart can hold items from several shops; checkout creates one order per shop with per-shop validation and delivery charges.</t>
        </is>
      </c>
      <c r="G26" s="12" t="inlineStr">
        <is>
          <t>F1.5.2</t>
        </is>
      </c>
      <c r="H26" s="12" t="inlineStr">
        <is>
          <t>P1</t>
        </is>
      </c>
      <c r="I26" s="10" t="inlineStr">
        <is>
          <t>COMPLETED</t>
        </is>
      </c>
      <c r="J26" s="12" t="inlineStr">
        <is>
          <t>Production (gokesari.com)</t>
        </is>
      </c>
      <c r="K26" s="12" t="inlineStr">
        <is>
          <t>Live</t>
        </is>
      </c>
      <c r="L26" s="12" t="inlineStr">
        <is>
          <t>Baseline; #10</t>
        </is>
      </c>
      <c r="M26" s="12" t="inlineStr">
        <is>
          <t>Baseline; #14</t>
        </is>
      </c>
      <c r="N26" s="12" t="inlineStr">
        <is>
          <t>-</t>
        </is>
      </c>
      <c r="O26" s="12" t="inlineStr">
        <is>
          <t>-</t>
        </is>
      </c>
      <c r="P26" s="12" t="inlineStr">
        <is>
          <t>COMPLETED</t>
        </is>
      </c>
      <c r="Q26" s="12" t="inlineStr">
        <is>
          <t>No change</t>
        </is>
      </c>
      <c r="R26" s="12" t="inlineStr">
        <is>
          <t>-</t>
        </is>
      </c>
    </row>
    <row r="27" ht="63" customFormat="1" customHeight="1" s="2">
      <c r="A27" s="10" t="n">
        <v>26</v>
      </c>
      <c r="B27" s="12" t="inlineStr">
        <is>
          <t>Feature Master</t>
        </is>
      </c>
      <c r="C27" s="9" t="inlineStr">
        <is>
          <t>GS-026</t>
        </is>
      </c>
      <c r="D27" s="12" t="inlineStr">
        <is>
          <t>Checkout</t>
        </is>
      </c>
      <c r="E27" s="12" t="inlineStr">
        <is>
          <t>Address validation</t>
        </is>
      </c>
      <c r="F27" s="12"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12" t="inlineStr">
        <is>
          <t>F1.5.3, F1.6.1, F1.8.1</t>
        </is>
      </c>
      <c r="H27" s="12" t="inlineStr">
        <is>
          <t>P0</t>
        </is>
      </c>
      <c r="I27" s="10" t="inlineStr">
        <is>
          <t>COMPLETED</t>
        </is>
      </c>
      <c r="J27" s="12" t="inlineStr">
        <is>
          <t>Production (gokesari.com)</t>
        </is>
      </c>
      <c r="K27" s="12" t="inlineStr">
        <is>
          <t>Live</t>
        </is>
      </c>
      <c r="L27" s="12" t="inlineStr">
        <is>
          <t>#11 (serviceability block); #23 (Phase B revalidation); #31 (address required)</t>
        </is>
      </c>
      <c r="M27" s="12" t="inlineStr">
        <is>
          <t>#19; #23; #43</t>
        </is>
      </c>
      <c r="N27" s="12" t="inlineStr">
        <is>
          <t>-</t>
        </is>
      </c>
      <c r="O27" s="12" t="inlineStr">
        <is>
          <t>-</t>
        </is>
      </c>
      <c r="P27" s="12" t="inlineStr">
        <is>
          <t>COMPLETED</t>
        </is>
      </c>
      <c r="Q27" s="12" t="inlineStr">
        <is>
          <t>No change</t>
        </is>
      </c>
      <c r="R27" s="12" t="inlineStr">
        <is>
          <t>src/server/services/cart-validation.ts; src/app/api/cart/validate/route.ts</t>
        </is>
      </c>
    </row>
    <row r="28" ht="87" customFormat="1" customHeight="1" s="2">
      <c r="A28" s="10" t="n">
        <v>27</v>
      </c>
      <c r="B28" s="12" t="inlineStr">
        <is>
          <t>Feature Master</t>
        </is>
      </c>
      <c r="C28" s="9" t="inlineStr">
        <is>
          <t>GS-027</t>
        </is>
      </c>
      <c r="D28" s="12" t="inlineStr">
        <is>
          <t>Checkout</t>
        </is>
      </c>
      <c r="E28" s="12" t="inlineStr">
        <is>
          <t>Delivery slot</t>
        </is>
      </c>
      <c r="F28" s="12"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12" t="inlineStr">
        <is>
          <t>F1.6.2</t>
        </is>
      </c>
      <c r="H28" s="12" t="inlineStr">
        <is>
          <t>P0</t>
        </is>
      </c>
      <c r="I28" s="10" t="inlineStr">
        <is>
          <t>COMPLETED</t>
        </is>
      </c>
      <c r="J28" s="12" t="inlineStr">
        <is>
          <t>Production - built, switched off by default</t>
        </is>
      </c>
      <c r="K28" s="12" t="inlineStr">
        <is>
          <t>Off by default - switch on in Admin &gt; Business rules (rules: scheduledSlots.enabled, deliverySlots.enabled)</t>
        </is>
      </c>
      <c r="L28" s="12" t="inlineStr">
        <is>
          <t>Baseline (delivery windows); #55 (F5 slot capacity); #58 (chosen time slot)</t>
        </is>
      </c>
      <c r="M28" s="12" t="inlineStr">
        <is>
          <t>Baseline; #57; #65</t>
        </is>
      </c>
      <c r="N28" s="12" t="inlineStr">
        <is>
          <t>-</t>
        </is>
      </c>
      <c r="O28" s="12" t="inlineStr">
        <is>
          <t>-</t>
        </is>
      </c>
      <c r="P28" s="12" t="inlineStr">
        <is>
          <t>COMPLETED</t>
        </is>
      </c>
      <c r="Q28" s="12" t="inlineStr">
        <is>
          <t>No change</t>
        </is>
      </c>
      <c r="R28" s="12" t="inlineStr">
        <is>
          <t>src/server/services/scheduled-slots.ts; drizzle/0053_scheduled_slots.sql; tests/integration/scheduled-slots.test.ts</t>
        </is>
      </c>
    </row>
    <row r="29" ht="63" customFormat="1" customHeight="1" s="2">
      <c r="A29" s="10" t="n">
        <v>28</v>
      </c>
      <c r="B29" s="12" t="inlineStr">
        <is>
          <t>Feature Master</t>
        </is>
      </c>
      <c r="C29" s="9" t="inlineStr">
        <is>
          <t>GS-028</t>
        </is>
      </c>
      <c r="D29" s="12" t="inlineStr">
        <is>
          <t>Payments</t>
        </is>
      </c>
      <c r="E29" s="12" t="inlineStr">
        <is>
          <t>UPI/card/netbanking gateway</t>
        </is>
      </c>
      <c r="F29" s="12" t="inlineStr">
        <is>
          <t>Cashfree live for wallet top-up only (create order, server verify, HMAC webhook, mock mode). Orders are paid by WALLET or COD; payment_method enum is still WALLET | COD.</t>
        </is>
      </c>
      <c r="G29" s="12" t="inlineStr">
        <is>
          <t>F1.7.1, F1.7.3</t>
        </is>
      </c>
      <c r="H29" s="12" t="inlineStr">
        <is>
          <t>P0</t>
        </is>
      </c>
      <c r="I29" s="10" t="inlineStr">
        <is>
          <t>BLOCKED</t>
        </is>
      </c>
      <c r="J29" s="12" t="inlineStr">
        <is>
          <t>Production - partly live</t>
        </is>
      </c>
      <c r="K29" s="12" t="inlineStr">
        <is>
          <t>Live</t>
        </is>
      </c>
      <c r="L29" s="12" t="inlineStr">
        <is>
          <t>Baseline (Cashfree wallet top-up)</t>
        </is>
      </c>
      <c r="M29" s="12" t="inlineStr">
        <is>
          <t>Baseline</t>
        </is>
      </c>
      <c r="N29" s="12" t="inlineStr">
        <is>
          <t>Per-order ONLINE payment via Cashfree hosted checkout (design signed off 1 Oct).</t>
        </is>
      </c>
      <c r="O29" s="12" t="inlineStr">
        <is>
          <t>Go-ahead to build per-order payment, or a decision to launch wallet + COD only</t>
        </is>
      </c>
      <c r="P29" s="12" t="inlineStr">
        <is>
          <t>BLOCKED</t>
        </is>
      </c>
      <c r="Q29" s="12" t="inlineStr">
        <is>
          <t>No change</t>
        </is>
      </c>
      <c r="R29" s="12" t="inlineStr">
        <is>
          <t>src/server/db/schema.ts:197 (paymentMethodEnum); src/server/services/payments.ts</t>
        </is>
      </c>
    </row>
    <row r="30" ht="39" customFormat="1" customHeight="1" s="2">
      <c r="A30" s="10" t="n">
        <v>29</v>
      </c>
      <c r="B30" s="12" t="inlineStr">
        <is>
          <t>Feature Master</t>
        </is>
      </c>
      <c r="C30" s="9" t="inlineStr">
        <is>
          <t>GS-029</t>
        </is>
      </c>
      <c r="D30" s="12" t="inlineStr">
        <is>
          <t>Payments</t>
        </is>
      </c>
      <c r="E30" s="12" t="inlineStr">
        <is>
          <t>Wallet</t>
        </is>
      </c>
      <c r="F30" s="12" t="inlineStr">
        <is>
          <t>Customer wallet with Cashfree top-up (UPI / card / netbanking), row-locked idempotent ledger, balance never negative; used to pay orders and subscriptions and to receive refunds.</t>
        </is>
      </c>
      <c r="G30" s="12" t="inlineStr">
        <is>
          <t>F1.7.1</t>
        </is>
      </c>
      <c r="H30" s="12" t="inlineStr">
        <is>
          <t>P1</t>
        </is>
      </c>
      <c r="I30" s="10" t="inlineStr">
        <is>
          <t>COMPLETED</t>
        </is>
      </c>
      <c r="J30" s="12" t="inlineStr">
        <is>
          <t>Production (gokesari.com)</t>
        </is>
      </c>
      <c r="K30" s="12" t="inlineStr">
        <is>
          <t>Live</t>
        </is>
      </c>
      <c r="L30" s="12" t="inlineStr">
        <is>
          <t>Baseline</t>
        </is>
      </c>
      <c r="M30" s="12" t="inlineStr">
        <is>
          <t>Baseline</t>
        </is>
      </c>
      <c r="N30" s="12" t="inlineStr">
        <is>
          <t>-</t>
        </is>
      </c>
      <c r="O30" s="12" t="inlineStr">
        <is>
          <t>-</t>
        </is>
      </c>
      <c r="P30" s="12" t="inlineStr">
        <is>
          <t>COMPLETED</t>
        </is>
      </c>
      <c r="Q30" s="12" t="inlineStr">
        <is>
          <t>No change</t>
        </is>
      </c>
      <c r="R30" s="12" t="inlineStr">
        <is>
          <t>-</t>
        </is>
      </c>
    </row>
    <row r="31" ht="39" customFormat="1" customHeight="1" s="2">
      <c r="A31" s="10" t="n">
        <v>30</v>
      </c>
      <c r="B31" s="12" t="inlineStr">
        <is>
          <t>Feature Master</t>
        </is>
      </c>
      <c r="C31" s="9" t="inlineStr">
        <is>
          <t>GS-030</t>
        </is>
      </c>
      <c r="D31" s="12" t="inlineStr">
        <is>
          <t>Payments</t>
        </is>
      </c>
      <c r="E31" s="12" t="inlineStr">
        <is>
          <t>COD</t>
        </is>
      </c>
      <c r="F31" s="12" t="inlineStr">
        <is>
          <t>COD at checkout with risk limits; shop opt-in; rider/operator cash confirmation; collection nets into finance batches; deposits at /admin/cod; COD refunds as wallet credit</t>
        </is>
      </c>
      <c r="G31" s="12" t="inlineStr">
        <is>
          <t>F1.7.2</t>
        </is>
      </c>
      <c r="H31" s="12" t="inlineStr">
        <is>
          <t>P1</t>
        </is>
      </c>
      <c r="I31" s="10" t="inlineStr">
        <is>
          <t>COMPLETED</t>
        </is>
      </c>
      <c r="J31" s="12" t="inlineStr">
        <is>
          <t>Production (gokesari.com)</t>
        </is>
      </c>
      <c r="K31" s="12" t="inlineStr">
        <is>
          <t>Live</t>
        </is>
      </c>
      <c r="L31" s="12" t="inlineStr">
        <is>
          <t>#18</t>
        </is>
      </c>
      <c r="M31" s="12" t="inlineStr">
        <is>
          <t>#19</t>
        </is>
      </c>
      <c r="N31" s="12" t="inlineStr">
        <is>
          <t>-</t>
        </is>
      </c>
      <c r="O31" s="12" t="inlineStr">
        <is>
          <t>-</t>
        </is>
      </c>
      <c r="P31" s="12" t="inlineStr">
        <is>
          <t>COMPLETED</t>
        </is>
      </c>
      <c r="Q31" s="12" t="inlineStr">
        <is>
          <t>No change</t>
        </is>
      </c>
      <c r="R31" s="12" t="inlineStr">
        <is>
          <t>src/server/services/cod.ts; src/app/admin/cod/page.tsx</t>
        </is>
      </c>
    </row>
    <row r="32" ht="27" customFormat="1" customHeight="1" s="2">
      <c r="A32" s="10" t="n">
        <v>31</v>
      </c>
      <c r="B32" s="12" t="inlineStr">
        <is>
          <t>Feature Master</t>
        </is>
      </c>
      <c r="C32" s="9" t="inlineStr">
        <is>
          <t>GS-031</t>
        </is>
      </c>
      <c r="D32" s="12" t="inlineStr">
        <is>
          <t>Payments</t>
        </is>
      </c>
      <c r="E32" s="12" t="inlineStr">
        <is>
          <t>Payment reconciliation</t>
        </is>
      </c>
      <c r="F32" s="12" t="inlineStr">
        <is>
          <t>Reconciliation records + exception queue (order/payment/rider/settlement/payout)</t>
        </is>
      </c>
      <c r="G32" s="12" t="inlineStr">
        <is>
          <t>F10.2.2</t>
        </is>
      </c>
      <c r="H32" s="12" t="inlineStr">
        <is>
          <t>P0</t>
        </is>
      </c>
      <c r="I32" s="10" t="inlineStr">
        <is>
          <t>COMPLETED</t>
        </is>
      </c>
      <c r="J32" s="12" t="inlineStr">
        <is>
          <t>Production (gokesari.com)</t>
        </is>
      </c>
      <c r="K32" s="12" t="inlineStr">
        <is>
          <t>Live</t>
        </is>
      </c>
      <c r="L32" s="12" t="inlineStr">
        <is>
          <t>#10</t>
        </is>
      </c>
      <c r="M32" s="12" t="inlineStr">
        <is>
          <t>#14</t>
        </is>
      </c>
      <c r="N32" s="12" t="inlineStr">
        <is>
          <t>Reconciles the gateway transactions that exist today (wallet top-ups).</t>
        </is>
      </c>
      <c r="O32" s="12" t="inlineStr">
        <is>
          <t>-</t>
        </is>
      </c>
      <c r="P32" s="12" t="inlineStr">
        <is>
          <t>COMPLETED</t>
        </is>
      </c>
      <c r="Q32" s="12" t="inlineStr">
        <is>
          <t>No change</t>
        </is>
      </c>
      <c r="R32" s="12" t="inlineStr">
        <is>
          <t>src/app/api/finance/reconciliation/route.ts; src/server/services/finance.ts</t>
        </is>
      </c>
    </row>
    <row r="33" ht="27" customFormat="1" customHeight="1" s="2">
      <c r="A33" s="10" t="n">
        <v>32</v>
      </c>
      <c r="B33" s="12" t="inlineStr">
        <is>
          <t>Feature Master</t>
        </is>
      </c>
      <c r="C33" s="9" t="inlineStr">
        <is>
          <t>GS-032</t>
        </is>
      </c>
      <c r="D33" s="12" t="inlineStr">
        <is>
          <t>Orders</t>
        </is>
      </c>
      <c r="E33" s="12" t="inlineStr">
        <is>
          <t>Order creation</t>
        </is>
      </c>
      <c r="F33" s="12" t="inlineStr">
        <is>
          <t>Checkout creates the order(s) in one transaction (personal or B2B), pays from wallet or COD, records history and notifies the shop.</t>
        </is>
      </c>
      <c r="G33" s="12" t="inlineStr">
        <is>
          <t>F1.8.3, F1.8.5</t>
        </is>
      </c>
      <c r="H33" s="12" t="inlineStr">
        <is>
          <t>P0</t>
        </is>
      </c>
      <c r="I33" s="10" t="inlineStr">
        <is>
          <t>COMPLETED</t>
        </is>
      </c>
      <c r="J33" s="12" t="inlineStr">
        <is>
          <t>Production (gokesari.com)</t>
        </is>
      </c>
      <c r="K33" s="12" t="inlineStr">
        <is>
          <t>Live</t>
        </is>
      </c>
      <c r="L33" s="12" t="inlineStr">
        <is>
          <t>Baseline; #10 (personal vs B2B)</t>
        </is>
      </c>
      <c r="M33" s="12" t="inlineStr">
        <is>
          <t>Baseline; #14</t>
        </is>
      </c>
      <c r="N33" s="12" t="inlineStr">
        <is>
          <t>-</t>
        </is>
      </c>
      <c r="O33" s="12" t="inlineStr">
        <is>
          <t>-</t>
        </is>
      </c>
      <c r="P33" s="12" t="inlineStr">
        <is>
          <t>COMPLETED</t>
        </is>
      </c>
      <c r="Q33" s="12" t="inlineStr">
        <is>
          <t>No change</t>
        </is>
      </c>
      <c r="R33" s="12" t="inlineStr">
        <is>
          <t>-</t>
        </is>
      </c>
    </row>
    <row r="34" ht="39" customFormat="1" customHeight="1" s="2">
      <c r="A34" s="10" t="n">
        <v>33</v>
      </c>
      <c r="B34" s="12" t="inlineStr">
        <is>
          <t>Feature Master</t>
        </is>
      </c>
      <c r="C34" s="9" t="inlineStr">
        <is>
          <t>GS-033</t>
        </is>
      </c>
      <c r="D34" s="12" t="inlineStr">
        <is>
          <t>Orders</t>
        </is>
      </c>
      <c r="E34" s="12" t="inlineStr">
        <is>
          <t>Shop order split</t>
        </is>
      </c>
      <c r="F34" s="12" t="inlineStr">
        <is>
          <t>One order per shop from a multi-shop cart, plus F6 parent reference (GK-...) linking them; customer page /orders/group/[reference].</t>
        </is>
      </c>
      <c r="G34" s="12" t="inlineStr">
        <is>
          <t>F1.8.2</t>
        </is>
      </c>
      <c r="H34" s="12" t="inlineStr">
        <is>
          <t>P0</t>
        </is>
      </c>
      <c r="I34" s="10" t="inlineStr">
        <is>
          <t>COMPLETED</t>
        </is>
      </c>
      <c r="J34" s="12" t="inlineStr">
        <is>
          <t>Production - built, switched off by default</t>
        </is>
      </c>
      <c r="K34" s="12" t="inlineStr">
        <is>
          <t>Off by default - switch on in Admin &gt; Business rules (rule: parentOrders.enabled)</t>
        </is>
      </c>
      <c r="L34" s="12" t="inlineStr">
        <is>
          <t>Baseline (order per shop); #55 (F6 parent order)</t>
        </is>
      </c>
      <c r="M34" s="12" t="inlineStr">
        <is>
          <t>Baseline; #57</t>
        </is>
      </c>
      <c r="N34" s="12" t="inlineStr">
        <is>
          <t>-</t>
        </is>
      </c>
      <c r="O34" s="12" t="inlineStr">
        <is>
          <t>-</t>
        </is>
      </c>
      <c r="P34" s="12" t="inlineStr">
        <is>
          <t>COMPLETED</t>
        </is>
      </c>
      <c r="Q34" s="12" t="inlineStr">
        <is>
          <t>No change</t>
        </is>
      </c>
      <c r="R34" s="12" t="inlineStr">
        <is>
          <t>src/server/services/order-groups.ts; drizzle/0046_order_groups.sql; tests/integration/order-groups.test.ts</t>
        </is>
      </c>
    </row>
    <row r="35" ht="63" customFormat="1" customHeight="1" s="2">
      <c r="A35" s="10" t="n">
        <v>34</v>
      </c>
      <c r="B35" s="12" t="inlineStr">
        <is>
          <t>Feature Master</t>
        </is>
      </c>
      <c r="C35" s="9" t="inlineStr">
        <is>
          <t>GS-034</t>
        </is>
      </c>
      <c r="D35" s="12" t="inlineStr">
        <is>
          <t>Orders</t>
        </is>
      </c>
      <c r="E35" s="12" t="inlineStr">
        <is>
          <t>Shop accept/reject</t>
        </is>
      </c>
      <c r="F35" s="12" t="inlineStr">
        <is>
          <t>Shop accept / reject (reject = full refund + restock); ops exceptions flag 'Shop not accepting' and 'Shop slow to prepare'</t>
        </is>
      </c>
      <c r="G35" s="12" t="inlineStr">
        <is>
          <t>F2.1.2</t>
        </is>
      </c>
      <c r="H35" s="12" t="inlineStr">
        <is>
          <t>P0</t>
        </is>
      </c>
      <c r="I35" s="10" t="inlineStr">
        <is>
          <t>COMPLETED</t>
        </is>
      </c>
      <c r="J35" s="12" t="inlineStr">
        <is>
          <t>Production (gokesari.com)</t>
        </is>
      </c>
      <c r="K35" s="12" t="inlineStr">
        <is>
          <t>Live</t>
        </is>
      </c>
      <c r="L35" s="12" t="inlineStr">
        <is>
          <t>#10; #21 (late-acceptance exception); #58 (accept timeout)</t>
        </is>
      </c>
      <c r="M35" s="12" t="inlineStr">
        <is>
          <t>#14; #19; #65</t>
        </is>
      </c>
      <c r="N35" s="12" t="inlineStr">
        <is>
          <t>Accept-timeout auto-cancel (designed 1 Oct, not built) Auto-cancel on accept timeout built (NEW-007, rule shopAcceptance, off by default); late acceptance is also flagged in the ops exceptions queue.</t>
        </is>
      </c>
      <c r="O35" s="12" t="inlineStr">
        <is>
          <t>-</t>
        </is>
      </c>
      <c r="P35" s="12" t="inlineStr">
        <is>
          <t>COMPLETED</t>
        </is>
      </c>
      <c r="Q35" s="12" t="inlineStr">
        <is>
          <t>No change</t>
        </is>
      </c>
      <c r="R35" s="12" t="inlineStr">
        <is>
          <t>src/server/services/fulfilment.ts; src/server/services/ops-exceptions.ts</t>
        </is>
      </c>
    </row>
    <row r="36" ht="27" customFormat="1" customHeight="1" s="2">
      <c r="A36" s="10" t="n">
        <v>35</v>
      </c>
      <c r="B36" s="12" t="inlineStr">
        <is>
          <t>Feature Master</t>
        </is>
      </c>
      <c r="C36" s="9" t="inlineStr">
        <is>
          <t>GS-035</t>
        </is>
      </c>
      <c r="D36" s="12" t="inlineStr">
        <is>
          <t>Orders</t>
        </is>
      </c>
      <c r="E36" s="12" t="inlineStr">
        <is>
          <t>Substitution approval</t>
        </is>
      </c>
      <c r="F36" s="12" t="inlineStr">
        <is>
          <t>Shop proposes a substitute; customer approves/rejects; price difference refunded</t>
        </is>
      </c>
      <c r="G36" s="12" t="inlineStr">
        <is>
          <t>F2.2.1</t>
        </is>
      </c>
      <c r="H36" s="12" t="inlineStr">
        <is>
          <t>P1</t>
        </is>
      </c>
      <c r="I36" s="10" t="inlineStr">
        <is>
          <t>COMPLETED</t>
        </is>
      </c>
      <c r="J36" s="12" t="inlineStr">
        <is>
          <t>Production (gokesari.com)</t>
        </is>
      </c>
      <c r="K36" s="12" t="inlineStr">
        <is>
          <t>Live</t>
        </is>
      </c>
      <c r="L36" s="12" t="inlineStr">
        <is>
          <t>#10</t>
        </is>
      </c>
      <c r="M36" s="12" t="inlineStr">
        <is>
          <t>#14</t>
        </is>
      </c>
      <c r="N36" s="12" t="inlineStr">
        <is>
          <t>-</t>
        </is>
      </c>
      <c r="O36" s="12" t="inlineStr">
        <is>
          <t>-</t>
        </is>
      </c>
      <c r="P36" s="12" t="inlineStr">
        <is>
          <t>COMPLETED</t>
        </is>
      </c>
      <c r="Q36" s="12" t="inlineStr">
        <is>
          <t>No change</t>
        </is>
      </c>
      <c r="R36" s="12" t="inlineStr">
        <is>
          <t>src/app/api/orders/[id]/items/[itemId]/substitution/route.ts</t>
        </is>
      </c>
    </row>
    <row r="37" ht="51" customFormat="1" customHeight="1" s="2">
      <c r="A37" s="10" t="n">
        <v>36</v>
      </c>
      <c r="B37" s="12" t="inlineStr">
        <is>
          <t>Feature Master</t>
        </is>
      </c>
      <c r="C37" s="9" t="inlineStr">
        <is>
          <t>GS-036</t>
        </is>
      </c>
      <c r="D37" s="12" t="inlineStr">
        <is>
          <t>Orders</t>
        </is>
      </c>
      <c r="E37" s="12" t="inlineStr">
        <is>
          <t>Pick and pack</t>
        </is>
      </c>
      <c r="F37" s="12" t="inlineStr">
        <is>
          <t>Per-line picking, pack -&gt; READY</t>
        </is>
      </c>
      <c r="G37" s="12" t="inlineStr">
        <is>
          <t>F2.2.2</t>
        </is>
      </c>
      <c r="H37" s="12" t="inlineStr">
        <is>
          <t>P0</t>
        </is>
      </c>
      <c r="I37" s="10" t="inlineStr">
        <is>
          <t>COMPLETED</t>
        </is>
      </c>
      <c r="J37" s="12" t="inlineStr">
        <is>
          <t>Production (gokesari.com)</t>
        </is>
      </c>
      <c r="K37" s="12" t="inlineStr">
        <is>
          <t>Live</t>
        </is>
      </c>
      <c r="L37" s="12" t="inlineStr">
        <is>
          <t>#10</t>
        </is>
      </c>
      <c r="M37" s="12" t="inlineStr">
        <is>
          <t>#14</t>
        </is>
      </c>
      <c r="N37" s="12" t="inlineStr">
        <is>
          <t>SLA reporting SLA measured by the pick-pack KPI; missed acceptances per shop (30 days) shown on the shop dashboard (NEW-007).</t>
        </is>
      </c>
      <c r="O37" s="12" t="inlineStr">
        <is>
          <t>-</t>
        </is>
      </c>
      <c r="P37" s="12" t="inlineStr">
        <is>
          <t>COMPLETED</t>
        </is>
      </c>
      <c r="Q37" s="12" t="inlineStr">
        <is>
          <t>No change</t>
        </is>
      </c>
      <c r="R37" s="12" t="inlineStr">
        <is>
          <t>src/server/services/fulfilment.ts</t>
        </is>
      </c>
    </row>
    <row r="38" ht="39" customFormat="1" customHeight="1" s="2">
      <c r="A38" s="10" t="n">
        <v>37</v>
      </c>
      <c r="B38" s="12" t="inlineStr">
        <is>
          <t>Feature Master</t>
        </is>
      </c>
      <c r="C38" s="9" t="inlineStr">
        <is>
          <t>GS-037</t>
        </is>
      </c>
      <c r="D38" s="12" t="inlineStr">
        <is>
          <t>Delivery</t>
        </is>
      </c>
      <c r="E38" s="12" t="inlineStr">
        <is>
          <t>Gig worker onboarding</t>
        </is>
      </c>
      <c r="F38" s="12" t="inlineStr">
        <is>
          <t>Rider applies at /delivery-partner/register with vehicle, identity and bank details (stored encrypted); operations move the application REGISTERED -&gt; UNDER_REVIEW -&gt; APPROVED / REJECTED; every step audited.</t>
        </is>
      </c>
      <c r="G38" s="12" t="inlineStr">
        <is>
          <t>-</t>
        </is>
      </c>
      <c r="H38" s="12" t="inlineStr">
        <is>
          <t>P0</t>
        </is>
      </c>
      <c r="I38" s="10" t="inlineStr">
        <is>
          <t>COMPLETED</t>
        </is>
      </c>
      <c r="J38" s="12" t="inlineStr">
        <is>
          <t>Production (gokesari.com)</t>
        </is>
      </c>
      <c r="K38" s="12" t="inlineStr">
        <is>
          <t>Live</t>
        </is>
      </c>
      <c r="L38" s="12" t="inlineStr">
        <is>
          <t>Baseline</t>
        </is>
      </c>
      <c r="M38" s="12" t="inlineStr">
        <is>
          <t>Baseline</t>
        </is>
      </c>
      <c r="N38" s="12" t="inlineStr">
        <is>
          <t>-</t>
        </is>
      </c>
      <c r="O38" s="12" t="inlineStr">
        <is>
          <t>-</t>
        </is>
      </c>
      <c r="P38" s="12" t="inlineStr">
        <is>
          <t>COMPLETED</t>
        </is>
      </c>
      <c r="Q38" s="12" t="inlineStr">
        <is>
          <t>No change</t>
        </is>
      </c>
      <c r="R38" s="12" t="inlineStr">
        <is>
          <t>-</t>
        </is>
      </c>
    </row>
    <row r="39" ht="39" customFormat="1" customHeight="1" s="2">
      <c r="A39" s="10" t="n">
        <v>38</v>
      </c>
      <c r="B39" s="12" t="inlineStr">
        <is>
          <t>Feature Master</t>
        </is>
      </c>
      <c r="C39" s="9" t="inlineStr">
        <is>
          <t>GS-038</t>
        </is>
      </c>
      <c r="D39" s="12" t="inlineStr">
        <is>
          <t>Delivery</t>
        </is>
      </c>
      <c r="E39" s="12" t="inlineStr">
        <is>
          <t>Online/offline status</t>
        </is>
      </c>
      <c r="F39" s="12" t="inlineStr">
        <is>
          <t>Approved riders go online / offline from their dashboard; a location heartbeat keeps the status and online hours accurate; only online riders get offers.</t>
        </is>
      </c>
      <c r="G39" s="12" t="inlineStr">
        <is>
          <t>F3.1.2</t>
        </is>
      </c>
      <c r="H39" s="12" t="inlineStr">
        <is>
          <t>P0</t>
        </is>
      </c>
      <c r="I39" s="10" t="inlineStr">
        <is>
          <t>COMPLETED</t>
        </is>
      </c>
      <c r="J39" s="12" t="inlineStr">
        <is>
          <t>Production (gokesari.com)</t>
        </is>
      </c>
      <c r="K39" s="12" t="inlineStr">
        <is>
          <t>Live</t>
        </is>
      </c>
      <c r="L39" s="12" t="inlineStr">
        <is>
          <t>Baseline; #21 (heartbeat fix)</t>
        </is>
      </c>
      <c r="M39" s="12" t="inlineStr">
        <is>
          <t>Baseline; #19</t>
        </is>
      </c>
      <c r="N39" s="12" t="inlineStr">
        <is>
          <t>-</t>
        </is>
      </c>
      <c r="O39" s="12" t="inlineStr">
        <is>
          <t>-</t>
        </is>
      </c>
      <c r="P39" s="12" t="inlineStr">
        <is>
          <t>COMPLETED</t>
        </is>
      </c>
      <c r="Q39" s="12" t="inlineStr">
        <is>
          <t>No change</t>
        </is>
      </c>
      <c r="R39" s="12" t="inlineStr">
        <is>
          <t>-</t>
        </is>
      </c>
    </row>
    <row r="40" ht="39" customFormat="1" customHeight="1" s="2">
      <c r="A40" s="10" t="n">
        <v>39</v>
      </c>
      <c r="B40" s="12" t="inlineStr">
        <is>
          <t>Feature Master</t>
        </is>
      </c>
      <c r="C40" s="9" t="inlineStr">
        <is>
          <t>GS-039</t>
        </is>
      </c>
      <c r="D40" s="12" t="inlineStr">
        <is>
          <t>Delivery</t>
        </is>
      </c>
      <c r="E40" s="12" t="inlineStr">
        <is>
          <t>Job assignment</t>
        </is>
      </c>
      <c r="F40" s="12" t="inlineStr">
        <is>
          <t>Auto-trigger on READY; cron retry; no re-offer to decliners; Phase C made the whole search bounded and logged (rider_searches, dispatch_attempts) with admin-tunable retry interval, attempt cap and time limit</t>
        </is>
      </c>
      <c r="G40" s="12" t="inlineStr">
        <is>
          <t>F3.3.1</t>
        </is>
      </c>
      <c r="H40" s="12" t="inlineStr">
        <is>
          <t>P0</t>
        </is>
      </c>
      <c r="I40" s="10" t="inlineStr">
        <is>
          <t>COMPLETED</t>
        </is>
      </c>
      <c r="J40" s="12" t="inlineStr">
        <is>
          <t>Production (gokesari.com)</t>
        </is>
      </c>
      <c r="K40" s="12" t="inlineStr">
        <is>
          <t>Live</t>
        </is>
      </c>
      <c r="L40" s="12" t="inlineStr">
        <is>
          <t>Baseline; #10 (auto dispatch); #23 (Phase C Find Rider Now)</t>
        </is>
      </c>
      <c r="M40" s="12" t="inlineStr">
        <is>
          <t>Baseline; #14; #23</t>
        </is>
      </c>
      <c r="N40" s="12" t="inlineStr">
        <is>
          <t>-</t>
        </is>
      </c>
      <c r="O40" s="12" t="inlineStr">
        <is>
          <t>-</t>
        </is>
      </c>
      <c r="P40" s="12" t="inlineStr">
        <is>
          <t>COMPLETED</t>
        </is>
      </c>
      <c r="Q40" s="12" t="inlineStr">
        <is>
          <t>No change</t>
        </is>
      </c>
      <c r="R40" s="12" t="inlineStr">
        <is>
          <t>src/server/services/delivery-assignment.ts; drizzle/0027</t>
        </is>
      </c>
    </row>
    <row r="41" ht="27" customFormat="1" customHeight="1" s="2">
      <c r="A41" s="10" t="n">
        <v>40</v>
      </c>
      <c r="B41" s="12" t="inlineStr">
        <is>
          <t>Feature Master</t>
        </is>
      </c>
      <c r="C41" s="9" t="inlineStr">
        <is>
          <t>GS-040</t>
        </is>
      </c>
      <c r="D41" s="12" t="inlineStr">
        <is>
          <t>Delivery</t>
        </is>
      </c>
      <c r="E41" s="12" t="inlineStr">
        <is>
          <t>Society priority assignment</t>
        </is>
      </c>
      <c r="F41" s="12" t="inlineStr">
        <is>
          <t>Society preference in dispatch ranking</t>
        </is>
      </c>
      <c r="G41" s="12" t="inlineStr">
        <is>
          <t>F3.2.1</t>
        </is>
      </c>
      <c r="H41" s="12" t="inlineStr">
        <is>
          <t>P0</t>
        </is>
      </c>
      <c r="I41" s="10" t="inlineStr">
        <is>
          <t>COMPLETED</t>
        </is>
      </c>
      <c r="J41" s="12" t="inlineStr">
        <is>
          <t>Production (gokesari.com)</t>
        </is>
      </c>
      <c r="K41" s="12" t="inlineStr">
        <is>
          <t>Live</t>
        </is>
      </c>
      <c r="L41" s="12" t="inlineStr">
        <is>
          <t>#11</t>
        </is>
      </c>
      <c r="M41" s="12" t="inlineStr">
        <is>
          <t>#19</t>
        </is>
      </c>
      <c r="N41" s="12" t="inlineStr">
        <is>
          <t>-</t>
        </is>
      </c>
      <c r="O41" s="12" t="inlineStr">
        <is>
          <t>-</t>
        </is>
      </c>
      <c r="P41" s="12" t="inlineStr">
        <is>
          <t>COMPLETED</t>
        </is>
      </c>
      <c r="Q41" s="12" t="inlineStr">
        <is>
          <t>No change</t>
        </is>
      </c>
      <c r="R41" s="12" t="inlineStr">
        <is>
          <t>src/server/services/delivery-assignment.ts:123</t>
        </is>
      </c>
    </row>
    <row r="42" ht="27" customFormat="1" customHeight="1" s="2">
      <c r="A42" s="10" t="n">
        <v>41</v>
      </c>
      <c r="B42" s="12" t="inlineStr">
        <is>
          <t>Feature Master</t>
        </is>
      </c>
      <c r="C42" s="9" t="inlineStr">
        <is>
          <t>GS-041</t>
        </is>
      </c>
      <c r="D42" s="12" t="inlineStr">
        <is>
          <t>Delivery</t>
        </is>
      </c>
      <c r="E42" s="12" t="inlineStr">
        <is>
          <t>Pickup OTP/QR</t>
        </is>
      </c>
      <c r="F42" s="12" t="inlineStr">
        <is>
          <t>Pickup code issued on accept; rider must enter it</t>
        </is>
      </c>
      <c r="G42" s="12" t="inlineStr">
        <is>
          <t>F4.1.2</t>
        </is>
      </c>
      <c r="H42" s="12" t="inlineStr">
        <is>
          <t>P0</t>
        </is>
      </c>
      <c r="I42" s="10" t="inlineStr">
        <is>
          <t>COMPLETED</t>
        </is>
      </c>
      <c r="J42" s="12" t="inlineStr">
        <is>
          <t>Production (gokesari.com)</t>
        </is>
      </c>
      <c r="K42" s="12" t="inlineStr">
        <is>
          <t>Live</t>
        </is>
      </c>
      <c r="L42" s="12" t="inlineStr">
        <is>
          <t>#10</t>
        </is>
      </c>
      <c r="M42" s="12" t="inlineStr">
        <is>
          <t>#14</t>
        </is>
      </c>
      <c r="N42" s="12" t="inlineStr">
        <is>
          <t>QR variant Pickup code only - no QR.</t>
        </is>
      </c>
      <c r="O42" s="12" t="inlineStr">
        <is>
          <t>-</t>
        </is>
      </c>
      <c r="P42" s="12" t="inlineStr">
        <is>
          <t>COMPLETED</t>
        </is>
      </c>
      <c r="Q42" s="12" t="inlineStr">
        <is>
          <t>No change</t>
        </is>
      </c>
      <c r="R42" s="12" t="inlineStr">
        <is>
          <t>src/server/services/delivery-assignment.ts</t>
        </is>
      </c>
    </row>
    <row r="43" ht="63" customFormat="1" customHeight="1" s="2">
      <c r="A43" s="10" t="n">
        <v>42</v>
      </c>
      <c r="B43" s="12" t="inlineStr">
        <is>
          <t>Feature Master</t>
        </is>
      </c>
      <c r="C43" s="9" t="inlineStr">
        <is>
          <t>GS-042</t>
        </is>
      </c>
      <c r="D43" s="12" t="inlineStr">
        <is>
          <t>Delivery</t>
        </is>
      </c>
      <c r="E43" s="12" t="inlineStr">
        <is>
          <t>Live tracking</t>
        </is>
      </c>
      <c r="F43" s="12"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12" t="inlineStr">
        <is>
          <t>F1.9.1</t>
        </is>
      </c>
      <c r="H43" s="12" t="inlineStr">
        <is>
          <t>P0</t>
        </is>
      </c>
      <c r="I43" s="10" t="inlineStr">
        <is>
          <t>COMPLETED</t>
        </is>
      </c>
      <c r="J43" s="12" t="inlineStr">
        <is>
          <t>Production (gokesari.com)</t>
        </is>
      </c>
      <c r="K43" s="12" t="inlineStr">
        <is>
          <t>Live</t>
        </is>
      </c>
      <c r="L43" s="12" t="inlineStr">
        <is>
          <t>Baseline; #21 (tracking hardening); #29 (tracking screen mounted)</t>
        </is>
      </c>
      <c r="M43" s="12" t="inlineStr">
        <is>
          <t>Baseline; #19; #29</t>
        </is>
      </c>
      <c r="N43" s="12" t="inlineStr">
        <is>
          <t>-</t>
        </is>
      </c>
      <c r="O43" s="12" t="inlineStr">
        <is>
          <t>-</t>
        </is>
      </c>
      <c r="P43" s="12" t="inlineStr">
        <is>
          <t>COMPLETED</t>
        </is>
      </c>
      <c r="Q43" s="12" t="inlineStr">
        <is>
          <t>No change</t>
        </is>
      </c>
      <c r="R43" s="12" t="inlineStr">
        <is>
          <t>src/app/orders/page.tsx:199; src/components/order-monitoring-table.tsx:171; src/lib/tracking.ts; tests/unit/tracking.test.ts</t>
        </is>
      </c>
    </row>
    <row r="44" ht="63" customFormat="1" customHeight="1" s="2">
      <c r="A44" s="10" t="n">
        <v>43</v>
      </c>
      <c r="B44" s="12" t="inlineStr">
        <is>
          <t>Feature Master</t>
        </is>
      </c>
      <c r="C44" s="9" t="inlineStr">
        <is>
          <t>GS-043</t>
        </is>
      </c>
      <c r="D44" s="12" t="inlineStr">
        <is>
          <t>Delivery</t>
        </is>
      </c>
      <c r="E44" s="12" t="inlineStr">
        <is>
          <t>Delivery OTP/POD</t>
        </is>
      </c>
      <c r="F44" s="12" t="inlineStr">
        <is>
          <t>Customer delivery OTP (5 attempts); operations override with a proof note; 'Delivery code locked' is an ops exception</t>
        </is>
      </c>
      <c r="G44" s="12" t="inlineStr">
        <is>
          <t>F1.9.3, F4.2.4</t>
        </is>
      </c>
      <c r="H44" s="12" t="inlineStr">
        <is>
          <t>P0</t>
        </is>
      </c>
      <c r="I44" s="10" t="inlineStr">
        <is>
          <t>COMPLETED</t>
        </is>
      </c>
      <c r="J44" s="12" t="inlineStr">
        <is>
          <t>Production (gokesari.com)</t>
        </is>
      </c>
      <c r="K44" s="12" t="inlineStr">
        <is>
          <t>Live</t>
        </is>
      </c>
      <c r="L44" s="12" t="inlineStr">
        <is>
          <t>#10; #23 (Phase C checkpoints); #58 (photo POD)</t>
        </is>
      </c>
      <c r="M44" s="12" t="inlineStr">
        <is>
          <t>#14; #23; #65</t>
        </is>
      </c>
      <c r="N44" s="12" t="inlineStr">
        <is>
          <t>Photo / signature proof of delivery (designed 1 Oct, not built) Delivery OTP with ops override; photo POD built (NEW-007, rule deliveryProof.photoRequired, off by default).</t>
        </is>
      </c>
      <c r="O44" s="12" t="inlineStr">
        <is>
          <t>-</t>
        </is>
      </c>
      <c r="P44" s="12" t="inlineStr">
        <is>
          <t>COMPLETED</t>
        </is>
      </c>
      <c r="Q44" s="12" t="inlineStr">
        <is>
          <t>No change</t>
        </is>
      </c>
      <c r="R44" s="12" t="inlineStr">
        <is>
          <t>src/server/services/delivery-assignment.ts; docs/gokesari-audit/DESIGN_PAYMENTS_INVOICING_POD_SLA.md</t>
        </is>
      </c>
    </row>
    <row r="45" ht="27" customFormat="1" customHeight="1" s="2">
      <c r="A45" s="10" t="n">
        <v>44</v>
      </c>
      <c r="B45" s="12" t="inlineStr">
        <is>
          <t>Feature Master</t>
        </is>
      </c>
      <c r="C45" s="9" t="inlineStr">
        <is>
          <t>GS-044</t>
        </is>
      </c>
      <c r="D45" s="12" t="inlineStr">
        <is>
          <t>Society</t>
        </is>
      </c>
      <c r="E45" s="12" t="inlineStr">
        <is>
          <t>Society registration</t>
        </is>
      </c>
      <c r="F45" s="12" t="inlineStr">
        <is>
          <t>Registration -&gt; operator verify/reject/suspend/reinstate</t>
        </is>
      </c>
      <c r="G45" s="12" t="inlineStr">
        <is>
          <t>F5.1.1</t>
        </is>
      </c>
      <c r="H45" s="12" t="inlineStr">
        <is>
          <t>P1</t>
        </is>
      </c>
      <c r="I45" s="10" t="inlineStr">
        <is>
          <t>COMPLETED</t>
        </is>
      </c>
      <c r="J45" s="12" t="inlineStr">
        <is>
          <t>Production (gokesari.com)</t>
        </is>
      </c>
      <c r="K45" s="12" t="inlineStr">
        <is>
          <t>Live</t>
        </is>
      </c>
      <c r="L45" s="12" t="inlineStr">
        <is>
          <t>#11</t>
        </is>
      </c>
      <c r="M45" s="12" t="inlineStr">
        <is>
          <t>#19</t>
        </is>
      </c>
      <c r="N45" s="12" t="inlineStr">
        <is>
          <t>Map pin picker on the society form</t>
        </is>
      </c>
      <c r="O45" s="12" t="inlineStr">
        <is>
          <t>-</t>
        </is>
      </c>
      <c r="P45" s="12" t="inlineStr">
        <is>
          <t>COMPLETED</t>
        </is>
      </c>
      <c r="Q45" s="12" t="inlineStr">
        <is>
          <t>No change</t>
        </is>
      </c>
      <c r="R45" s="12" t="inlineStr">
        <is>
          <t>src/app/api/societies/[id]/decision/route.ts</t>
        </is>
      </c>
    </row>
    <row r="46" ht="27" customFormat="1" customHeight="1" s="2">
      <c r="A46" s="10" t="n">
        <v>45</v>
      </c>
      <c r="B46" s="12" t="inlineStr">
        <is>
          <t>Feature Master</t>
        </is>
      </c>
      <c r="C46" s="9" t="inlineStr">
        <is>
          <t>GS-045</t>
        </is>
      </c>
      <c r="D46" s="12" t="inlineStr">
        <is>
          <t>Society</t>
        </is>
      </c>
      <c r="E46" s="12" t="inlineStr">
        <is>
          <t>Authorized Gig worker whitelist</t>
        </is>
      </c>
      <c r="F46" s="12" t="inlineStr">
        <is>
          <t>Authorised rider list by mobile; add / revoke / preferred; audited</t>
        </is>
      </c>
      <c r="G46" s="12" t="inlineStr">
        <is>
          <t>F3.1.1, F5.2.1</t>
        </is>
      </c>
      <c r="H46" s="12" t="inlineStr">
        <is>
          <t>P0</t>
        </is>
      </c>
      <c r="I46" s="10" t="inlineStr">
        <is>
          <t>COMPLETED</t>
        </is>
      </c>
      <c r="J46" s="12" t="inlineStr">
        <is>
          <t>Production (gokesari.com)</t>
        </is>
      </c>
      <c r="K46" s="12" t="inlineStr">
        <is>
          <t>Live</t>
        </is>
      </c>
      <c r="L46" s="12" t="inlineStr">
        <is>
          <t>#11</t>
        </is>
      </c>
      <c r="M46" s="12" t="inlineStr">
        <is>
          <t>#19</t>
        </is>
      </c>
      <c r="N46" s="12" t="inlineStr">
        <is>
          <t>-</t>
        </is>
      </c>
      <c r="O46" s="12" t="inlineStr">
        <is>
          <t>-</t>
        </is>
      </c>
      <c r="P46" s="12" t="inlineStr">
        <is>
          <t>COMPLETED</t>
        </is>
      </c>
      <c r="Q46" s="12" t="inlineStr">
        <is>
          <t>No change</t>
        </is>
      </c>
      <c r="R46" s="12" t="inlineStr">
        <is>
          <t>src/app/api/societies/[id]/riders/route.ts</t>
        </is>
      </c>
    </row>
    <row r="47" ht="15" customFormat="1" customHeight="1" s="2">
      <c r="A47" s="10" t="n">
        <v>46</v>
      </c>
      <c r="B47" s="12" t="inlineStr">
        <is>
          <t>Feature Master</t>
        </is>
      </c>
      <c r="C47" s="9" t="inlineStr">
        <is>
          <t>GS-046</t>
        </is>
      </c>
      <c r="D47" s="12" t="inlineStr">
        <is>
          <t>Society</t>
        </is>
      </c>
      <c r="E47" s="12" t="inlineStr">
        <is>
          <t>Security notification</t>
        </is>
      </c>
      <c r="F47" s="12" t="inlineStr">
        <is>
          <t>Society security alert on rider acceptance (opt-in)</t>
        </is>
      </c>
      <c r="G47" s="12" t="inlineStr">
        <is>
          <t>F5.3.2</t>
        </is>
      </c>
      <c r="H47" s="12" t="inlineStr">
        <is>
          <t>P1</t>
        </is>
      </c>
      <c r="I47" s="10" t="inlineStr">
        <is>
          <t>COMPLETED</t>
        </is>
      </c>
      <c r="J47" s="12" t="inlineStr">
        <is>
          <t>Production (gokesari.com)</t>
        </is>
      </c>
      <c r="K47" s="12" t="inlineStr">
        <is>
          <t>Live</t>
        </is>
      </c>
      <c r="L47" s="12" t="inlineStr">
        <is>
          <t>#11</t>
        </is>
      </c>
      <c r="M47" s="12" t="inlineStr">
        <is>
          <t>#19</t>
        </is>
      </c>
      <c r="N47" s="12" t="inlineStr">
        <is>
          <t>-</t>
        </is>
      </c>
      <c r="O47" s="12" t="inlineStr">
        <is>
          <t>-</t>
        </is>
      </c>
      <c r="P47" s="12" t="inlineStr">
        <is>
          <t>COMPLETED</t>
        </is>
      </c>
      <c r="Q47" s="12" t="inlineStr">
        <is>
          <t>No change</t>
        </is>
      </c>
      <c r="R47" s="12" t="inlineStr">
        <is>
          <t>src/server/services/societies.ts</t>
        </is>
      </c>
    </row>
    <row r="48" ht="51" customFormat="1" customHeight="1" s="2">
      <c r="A48" s="10" t="n">
        <v>47</v>
      </c>
      <c r="B48" s="12" t="inlineStr">
        <is>
          <t>Feature Master</t>
        </is>
      </c>
      <c r="C48" s="9" t="inlineStr">
        <is>
          <t>GS-047</t>
        </is>
      </c>
      <c r="D48" s="12" t="inlineStr">
        <is>
          <t>Society</t>
        </is>
      </c>
      <c r="E48" s="12" t="inlineStr">
        <is>
          <t>Delivery instructions</t>
        </is>
      </c>
      <c r="F48" s="12" t="inlineStr">
        <is>
          <t>Society gate notes + customer landmark/instructions on the rider job; Phase C added a gate entry mode, an optional security-desk contact shared with the rider only if the society enables it, and a customer-at-gate notice</t>
        </is>
      </c>
      <c r="G48" s="12" t="inlineStr">
        <is>
          <t>F4.2.3, F5.3.1</t>
        </is>
      </c>
      <c r="H48" s="12" t="inlineStr">
        <is>
          <t>P1</t>
        </is>
      </c>
      <c r="I48" s="10" t="inlineStr">
        <is>
          <t>COMPLETED</t>
        </is>
      </c>
      <c r="J48" s="12" t="inlineStr">
        <is>
          <t>Production (gokesari.com)</t>
        </is>
      </c>
      <c r="K48" s="12" t="inlineStr">
        <is>
          <t>Live</t>
        </is>
      </c>
      <c r="L48" s="12" t="inlineStr">
        <is>
          <t>#11; #23 (Phase C gate access)</t>
        </is>
      </c>
      <c r="M48" s="12" t="inlineStr">
        <is>
          <t>#19; #23</t>
        </is>
      </c>
      <c r="N48" s="12" t="inlineStr">
        <is>
          <t>-</t>
        </is>
      </c>
      <c r="O48" s="12" t="inlineStr">
        <is>
          <t>-</t>
        </is>
      </c>
      <c r="P48" s="12" t="inlineStr">
        <is>
          <t>COMPLETED</t>
        </is>
      </c>
      <c r="Q48" s="12" t="inlineStr">
        <is>
          <t>No change</t>
        </is>
      </c>
      <c r="R48" s="12" t="inlineStr">
        <is>
          <t>drizzle/0027; src/server/services/societies.ts</t>
        </is>
      </c>
    </row>
    <row r="49" ht="27" customFormat="1" customHeight="1" s="2">
      <c r="A49" s="10" t="n">
        <v>48</v>
      </c>
      <c r="B49" s="12" t="inlineStr">
        <is>
          <t>Feature Master</t>
        </is>
      </c>
      <c r="C49" s="9" t="inlineStr">
        <is>
          <t>GS-048</t>
        </is>
      </c>
      <c r="D49" s="12" t="inlineStr">
        <is>
          <t>Subscription</t>
        </is>
      </c>
      <c r="E49" s="12" t="inlineStr">
        <is>
          <t>Daily milk subscription</t>
        </is>
      </c>
      <c r="F49" s="12" t="inlineStr">
        <is>
          <t>Customer subscribes to a shop product (e.g. 2 L milk daily) with start / end dates and per-date quantity overrides; orders are generated daily.</t>
        </is>
      </c>
      <c r="G49" s="12" t="inlineStr">
        <is>
          <t>F7.1.1</t>
        </is>
      </c>
      <c r="H49" s="12" t="inlineStr">
        <is>
          <t>P0</t>
        </is>
      </c>
      <c r="I49" s="10" t="inlineStr">
        <is>
          <t>COMPLETED</t>
        </is>
      </c>
      <c r="J49" s="12" t="inlineStr">
        <is>
          <t>Production (gokesari.com)</t>
        </is>
      </c>
      <c r="K49" s="12" t="inlineStr">
        <is>
          <t>Live</t>
        </is>
      </c>
      <c r="L49" s="12" t="inlineStr">
        <is>
          <t>Baseline</t>
        </is>
      </c>
      <c r="M49" s="12" t="inlineStr">
        <is>
          <t>Baseline</t>
        </is>
      </c>
      <c r="N49" s="12" t="inlineStr">
        <is>
          <t>-</t>
        </is>
      </c>
      <c r="O49" s="12" t="inlineStr">
        <is>
          <t>-</t>
        </is>
      </c>
      <c r="P49" s="12" t="inlineStr">
        <is>
          <t>COMPLETED</t>
        </is>
      </c>
      <c r="Q49" s="12" t="inlineStr">
        <is>
          <t>No change</t>
        </is>
      </c>
      <c r="R49" s="12" t="inlineStr">
        <is>
          <t>-</t>
        </is>
      </c>
    </row>
    <row r="50" ht="15" customFormat="1" customHeight="1" s="2">
      <c r="A50" s="10" t="n">
        <v>49</v>
      </c>
      <c r="B50" s="12" t="inlineStr">
        <is>
          <t>Feature Master</t>
        </is>
      </c>
      <c r="C50" s="9" t="inlineStr">
        <is>
          <t>GS-049</t>
        </is>
      </c>
      <c r="D50" s="12" t="inlineStr">
        <is>
          <t>Subscription</t>
        </is>
      </c>
      <c r="E50" s="12" t="inlineStr">
        <is>
          <t>Recurring vegetables/daily goods</t>
        </is>
      </c>
      <c r="F50" s="12" t="inlineStr">
        <is>
          <t>Weekday schedules; generated orders carry address/society</t>
        </is>
      </c>
      <c r="G50" s="12" t="inlineStr">
        <is>
          <t>F7.1.1</t>
        </is>
      </c>
      <c r="H50" s="12" t="inlineStr">
        <is>
          <t>P1</t>
        </is>
      </c>
      <c r="I50" s="10" t="inlineStr">
        <is>
          <t>COMPLETED</t>
        </is>
      </c>
      <c r="J50" s="12" t="inlineStr">
        <is>
          <t>Production (gokesari.com)</t>
        </is>
      </c>
      <c r="K50" s="12" t="inlineStr">
        <is>
          <t>Live</t>
        </is>
      </c>
      <c r="L50" s="12" t="inlineStr">
        <is>
          <t>Baseline; #11</t>
        </is>
      </c>
      <c r="M50" s="12" t="inlineStr">
        <is>
          <t>Baseline; #19</t>
        </is>
      </c>
      <c r="N50" s="12" t="inlineStr">
        <is>
          <t>-</t>
        </is>
      </c>
      <c r="O50" s="12" t="inlineStr">
        <is>
          <t>-</t>
        </is>
      </c>
      <c r="P50" s="12" t="inlineStr">
        <is>
          <t>COMPLETED</t>
        </is>
      </c>
      <c r="Q50" s="12" t="inlineStr">
        <is>
          <t>No change</t>
        </is>
      </c>
      <c r="R50" s="12" t="inlineStr">
        <is>
          <t>src/server/services/subscriptions.ts</t>
        </is>
      </c>
    </row>
    <row r="51" ht="27" customFormat="1" customHeight="1" s="2">
      <c r="A51" s="10" t="n">
        <v>50</v>
      </c>
      <c r="B51" s="12" t="inlineStr">
        <is>
          <t>Feature Master</t>
        </is>
      </c>
      <c r="C51" s="9" t="inlineStr">
        <is>
          <t>GS-050</t>
        </is>
      </c>
      <c r="D51" s="12" t="inlineStr">
        <is>
          <t>Subscription</t>
        </is>
      </c>
      <c r="E51" s="12" t="inlineStr">
        <is>
          <t>Subscription payment</t>
        </is>
      </c>
      <c r="F51" s="12" t="inlineStr">
        <is>
          <t>Each generated subscription delivery is charged from the wallet; a short balance puts the subscription in PAYMENT_PENDING until topped up.</t>
        </is>
      </c>
      <c r="G51" s="12" t="inlineStr">
        <is>
          <t>F7.3.2</t>
        </is>
      </c>
      <c r="H51" s="12" t="inlineStr">
        <is>
          <t>P0</t>
        </is>
      </c>
      <c r="I51" s="10" t="inlineStr">
        <is>
          <t>COMPLETED</t>
        </is>
      </c>
      <c r="J51" s="12" t="inlineStr">
        <is>
          <t>Production (gokesari.com)</t>
        </is>
      </c>
      <c r="K51" s="12" t="inlineStr">
        <is>
          <t>Live</t>
        </is>
      </c>
      <c r="L51" s="12" t="inlineStr">
        <is>
          <t>Baseline</t>
        </is>
      </c>
      <c r="M51" s="12" t="inlineStr">
        <is>
          <t>Baseline</t>
        </is>
      </c>
      <c r="N51" s="12" t="inlineStr">
        <is>
          <t>-</t>
        </is>
      </c>
      <c r="O51" s="12" t="inlineStr">
        <is>
          <t>-</t>
        </is>
      </c>
      <c r="P51" s="12" t="inlineStr">
        <is>
          <t>COMPLETED</t>
        </is>
      </c>
      <c r="Q51" s="12" t="inlineStr">
        <is>
          <t>No change</t>
        </is>
      </c>
      <c r="R51" s="12" t="inlineStr">
        <is>
          <t>-</t>
        </is>
      </c>
    </row>
    <row r="52" ht="39" customFormat="1" customHeight="1" s="2">
      <c r="A52" s="10" t="n">
        <v>51</v>
      </c>
      <c r="B52" s="12" t="inlineStr">
        <is>
          <t>Feature Master</t>
        </is>
      </c>
      <c r="C52" s="9" t="inlineStr">
        <is>
          <t>GS-051</t>
        </is>
      </c>
      <c r="D52" s="12" t="inlineStr">
        <is>
          <t>Subscription</t>
        </is>
      </c>
      <c r="E52" s="12" t="inlineStr">
        <is>
          <t>Skip/pause/resume/cancel</t>
        </is>
      </c>
      <c r="F52" s="12" t="inlineStr">
        <is>
          <t>Skip a date, pause for a range, resume or cancel, with an evening cut-off; history of every change; customer notified.</t>
        </is>
      </c>
      <c r="G52" s="12" t="inlineStr">
        <is>
          <t>F7.2.1</t>
        </is>
      </c>
      <c r="H52" s="12" t="inlineStr">
        <is>
          <t>P0</t>
        </is>
      </c>
      <c r="I52" s="10" t="inlineStr">
        <is>
          <t>COMPLETED</t>
        </is>
      </c>
      <c r="J52" s="12" t="inlineStr">
        <is>
          <t>Production (gokesari.com)</t>
        </is>
      </c>
      <c r="K52" s="12" t="inlineStr">
        <is>
          <t>Live</t>
        </is>
      </c>
      <c r="L52" s="12" t="inlineStr">
        <is>
          <t>Baseline; #11 (guards, history); #58 (SM-004 states); #83 (Tomorrow's delivery card)</t>
        </is>
      </c>
      <c r="M52" s="12" t="inlineStr">
        <is>
          <t>Baseline; #19; #65; #84</t>
        </is>
      </c>
      <c r="N52" s="12" t="inlineStr">
        <is>
          <t>-</t>
        </is>
      </c>
      <c r="O52" s="12" t="inlineStr">
        <is>
          <t>-</t>
        </is>
      </c>
      <c r="P52" s="12" t="inlineStr">
        <is>
          <t>COMPLETED</t>
        </is>
      </c>
      <c r="Q52" s="12" t="inlineStr">
        <is>
          <t>No change</t>
        </is>
      </c>
      <c r="R52" s="12" t="inlineStr">
        <is>
          <t>-</t>
        </is>
      </c>
    </row>
    <row r="53" ht="27" customFormat="1" customHeight="1" s="2">
      <c r="A53" s="10" t="n">
        <v>52</v>
      </c>
      <c r="B53" s="12" t="inlineStr">
        <is>
          <t>Feature Master</t>
        </is>
      </c>
      <c r="C53" s="9" t="inlineStr">
        <is>
          <t>GS-052</t>
        </is>
      </c>
      <c r="D53" s="12" t="inlineStr">
        <is>
          <t>Marketing</t>
        </is>
      </c>
      <c r="E53" s="12" t="inlineStr">
        <is>
          <t>Customer segmentation</t>
        </is>
      </c>
      <c r="F53" s="12" t="inlineStr">
        <is>
          <t>Segments by PIN, society, delivered orders, recency, lapse, spend; consent required; counts only</t>
        </is>
      </c>
      <c r="G53" s="12" t="inlineStr">
        <is>
          <t>F11.1.1</t>
        </is>
      </c>
      <c r="H53" s="12" t="inlineStr">
        <is>
          <t>P1</t>
        </is>
      </c>
      <c r="I53" s="10" t="inlineStr">
        <is>
          <t>COMPLETED</t>
        </is>
      </c>
      <c r="J53" s="12" t="inlineStr">
        <is>
          <t>Production (gokesari.com)</t>
        </is>
      </c>
      <c r="K53" s="12" t="inlineStr">
        <is>
          <t>Live</t>
        </is>
      </c>
      <c r="L53" s="12" t="inlineStr">
        <is>
          <t>#18</t>
        </is>
      </c>
      <c r="M53" s="12" t="inlineStr">
        <is>
          <t>#19</t>
        </is>
      </c>
      <c r="N53" s="12" t="inlineStr">
        <is>
          <t>-</t>
        </is>
      </c>
      <c r="O53" s="12" t="inlineStr">
        <is>
          <t>-</t>
        </is>
      </c>
      <c r="P53" s="12" t="inlineStr">
        <is>
          <t>COMPLETED</t>
        </is>
      </c>
      <c r="Q53" s="12" t="inlineStr">
        <is>
          <t>No change</t>
        </is>
      </c>
      <c r="R53" s="12" t="inlineStr">
        <is>
          <t>src/server/services/marketing.ts:89</t>
        </is>
      </c>
    </row>
    <row r="54" ht="15" customFormat="1" customHeight="1" s="2">
      <c r="A54" s="10" t="n">
        <v>53</v>
      </c>
      <c r="B54" s="12" t="inlineStr">
        <is>
          <t>Feature Master</t>
        </is>
      </c>
      <c r="C54" s="9" t="inlineStr">
        <is>
          <t>GS-053</t>
        </is>
      </c>
      <c r="D54" s="12" t="inlineStr">
        <is>
          <t>Marketing</t>
        </is>
      </c>
      <c r="E54" s="12" t="inlineStr">
        <is>
          <t>Shop promotional campaigns</t>
        </is>
      </c>
      <c r="F54" s="12" t="inlineStr">
        <is>
          <t>Shop campaigns with budget, shop rate limit and customer frequency caps</t>
        </is>
      </c>
      <c r="G54" s="12" t="inlineStr">
        <is>
          <t>F11.1.2</t>
        </is>
      </c>
      <c r="H54" s="12" t="inlineStr">
        <is>
          <t>P1</t>
        </is>
      </c>
      <c r="I54" s="10" t="inlineStr">
        <is>
          <t>COMPLETED</t>
        </is>
      </c>
      <c r="J54" s="12" t="inlineStr">
        <is>
          <t>Production (gokesari.com)</t>
        </is>
      </c>
      <c r="K54" s="12" t="inlineStr">
        <is>
          <t>Live</t>
        </is>
      </c>
      <c r="L54" s="12" t="inlineStr">
        <is>
          <t>#18</t>
        </is>
      </c>
      <c r="M54" s="12" t="inlineStr">
        <is>
          <t>#19</t>
        </is>
      </c>
      <c r="N54" s="12" t="inlineStr">
        <is>
          <t>-</t>
        </is>
      </c>
      <c r="O54" s="12" t="inlineStr">
        <is>
          <t>-</t>
        </is>
      </c>
      <c r="P54" s="12" t="inlineStr">
        <is>
          <t>COMPLETED</t>
        </is>
      </c>
      <c r="Q54" s="12" t="inlineStr">
        <is>
          <t>No change</t>
        </is>
      </c>
      <c r="R54" s="12" t="inlineStr">
        <is>
          <t>src/server/services/marketing.ts</t>
        </is>
      </c>
    </row>
    <row r="55" ht="51" customFormat="1" customHeight="1" s="2">
      <c r="A55" s="10" t="n">
        <v>54</v>
      </c>
      <c r="B55" s="12" t="inlineStr">
        <is>
          <t>Feature Master</t>
        </is>
      </c>
      <c r="C55" s="9" t="inlineStr">
        <is>
          <t>GS-054</t>
        </is>
      </c>
      <c r="D55" s="12" t="inlineStr">
        <is>
          <t>Marketing</t>
        </is>
      </c>
      <c r="E55" s="12" t="inlineStr">
        <is>
          <t>Referral program</t>
        </is>
      </c>
      <c r="F55" s="12" t="inlineStr">
        <is>
          <t>Shop referral attribution, plus F11 customer referral code and link (/refer, /r/CODE): both rewarded on the friend's first delivered order; self-referral, duplicate-account and per-referrer cap guards; /admin/customer-referrals.</t>
        </is>
      </c>
      <c r="G55" s="12" t="inlineStr">
        <is>
          <t>F11.2.2</t>
        </is>
      </c>
      <c r="H55" s="12" t="inlineStr">
        <is>
          <t>P1</t>
        </is>
      </c>
      <c r="I55" s="10" t="inlineStr">
        <is>
          <t>COMPLETED</t>
        </is>
      </c>
      <c r="J55" s="12" t="inlineStr">
        <is>
          <t>Production - built, switched off by default</t>
        </is>
      </c>
      <c r="K55" s="12" t="inlineStr">
        <is>
          <t>Off by default - switch on in Admin &gt; Business rules (rule: customerReferrals.enabled; rewards Rs 50 / Rs 50)</t>
        </is>
      </c>
      <c r="L55" s="12" t="inlineStr">
        <is>
          <t>Baseline (shop referral codes); #55 (F11 customer referrals); #56 (link fix)</t>
        </is>
      </c>
      <c r="M55" s="12" t="inlineStr">
        <is>
          <t>Baseline; #57</t>
        </is>
      </c>
      <c r="N55" s="12" t="inlineStr">
        <is>
          <t>-</t>
        </is>
      </c>
      <c r="O55" s="12" t="inlineStr">
        <is>
          <t>-</t>
        </is>
      </c>
      <c r="P55" s="12" t="inlineStr">
        <is>
          <t>COMPLETED</t>
        </is>
      </c>
      <c r="Q55" s="12" t="inlineStr">
        <is>
          <t>No change</t>
        </is>
      </c>
      <c r="R55" s="12" t="inlineStr">
        <is>
          <t>src/server/services/customer-referrals.ts; drizzle/0050_customer_referrals.sql; tests/integration/customer-referrals.test.ts</t>
        </is>
      </c>
    </row>
    <row r="56" ht="63" customFormat="1" customHeight="1" s="2">
      <c r="A56" s="10" t="n">
        <v>55</v>
      </c>
      <c r="B56" s="12" t="inlineStr">
        <is>
          <t>Feature Master</t>
        </is>
      </c>
      <c r="C56" s="9" t="inlineStr">
        <is>
          <t>GS-055</t>
        </is>
      </c>
      <c r="D56" s="12" t="inlineStr">
        <is>
          <t>Notifications</t>
        </is>
      </c>
      <c r="E56" s="12" t="inlineStr">
        <is>
          <t>Order notifications</t>
        </is>
      </c>
      <c r="F56" s="12"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12" t="inlineStr">
        <is>
          <t>F1.8.5, F2.1.1, F13.1.1</t>
        </is>
      </c>
      <c r="H56" s="12" t="inlineStr">
        <is>
          <t>P0</t>
        </is>
      </c>
      <c r="I56" s="10" t="inlineStr">
        <is>
          <t>COMPLETED</t>
        </is>
      </c>
      <c r="J56" s="12" t="inlineStr">
        <is>
          <t>Production (gokesari.com)</t>
        </is>
      </c>
      <c r="K56" s="12" t="inlineStr">
        <is>
          <t>Live</t>
        </is>
      </c>
      <c r="L56" s="12" t="inlineStr">
        <is>
          <t>Baseline; #10; #23 (Phase F framework)</t>
        </is>
      </c>
      <c r="M56" s="12" t="inlineStr">
        <is>
          <t>Baseline; #14; #23</t>
        </is>
      </c>
      <c r="N56" s="12" t="inlineStr">
        <is>
          <t>Email + in-app; SMS / WhatsApp / push wait on GS-074 (blocked).</t>
        </is>
      </c>
      <c r="O56" s="12" t="inlineStr">
        <is>
          <t>-</t>
        </is>
      </c>
      <c r="P56" s="12" t="inlineStr">
        <is>
          <t>COMPLETED</t>
        </is>
      </c>
      <c r="Q56" s="12" t="inlineStr">
        <is>
          <t>No change</t>
        </is>
      </c>
      <c r="R56" s="12" t="inlineStr">
        <is>
          <t>src/server/notifications/{channels,templates,types}.ts; src/server/services/notifications.ts; src/app/api/cron/notifications/route.ts; drizzle/0030</t>
        </is>
      </c>
    </row>
    <row r="57" ht="15" customFormat="1" customHeight="1" s="2">
      <c r="A57" s="10" t="n">
        <v>56</v>
      </c>
      <c r="B57" s="12" t="inlineStr">
        <is>
          <t>Feature Master</t>
        </is>
      </c>
      <c r="C57" s="9" t="inlineStr">
        <is>
          <t>GS-056</t>
        </is>
      </c>
      <c r="D57" s="12" t="inlineStr">
        <is>
          <t>Support</t>
        </is>
      </c>
      <c r="E57" s="12" t="inlineStr">
        <is>
          <t>Report an issue</t>
        </is>
      </c>
      <c r="F57" s="12" t="inlineStr">
        <is>
          <t>'Report a problem' on an order -&gt; linked ticket</t>
        </is>
      </c>
      <c r="G57" s="12" t="inlineStr">
        <is>
          <t>F6.2.1</t>
        </is>
      </c>
      <c r="H57" s="12" t="inlineStr">
        <is>
          <t>P0</t>
        </is>
      </c>
      <c r="I57" s="10" t="inlineStr">
        <is>
          <t>COMPLETED</t>
        </is>
      </c>
      <c r="J57" s="12" t="inlineStr">
        <is>
          <t>Production (gokesari.com)</t>
        </is>
      </c>
      <c r="K57" s="12" t="inlineStr">
        <is>
          <t>Live</t>
        </is>
      </c>
      <c r="L57" s="12" t="inlineStr">
        <is>
          <t>#11</t>
        </is>
      </c>
      <c r="M57" s="12" t="inlineStr">
        <is>
          <t>#19</t>
        </is>
      </c>
      <c r="N57" s="12" t="inlineStr">
        <is>
          <t>-</t>
        </is>
      </c>
      <c r="O57" s="12" t="inlineStr">
        <is>
          <t>-</t>
        </is>
      </c>
      <c r="P57" s="12" t="inlineStr">
        <is>
          <t>COMPLETED</t>
        </is>
      </c>
      <c r="Q57" s="12" t="inlineStr">
        <is>
          <t>No change</t>
        </is>
      </c>
      <c r="R57" s="12" t="inlineStr">
        <is>
          <t>src/app/api/orders/[id]/issue/route.ts</t>
        </is>
      </c>
    </row>
    <row r="58" ht="99" customFormat="1" customHeight="1" s="2">
      <c r="A58" s="10" t="n">
        <v>57</v>
      </c>
      <c r="B58" s="12" t="inlineStr">
        <is>
          <t>Feature Master</t>
        </is>
      </c>
      <c r="C58" s="9" t="inlineStr">
        <is>
          <t>GS-057</t>
        </is>
      </c>
      <c r="D58" s="12" t="inlineStr">
        <is>
          <t>Support</t>
        </is>
      </c>
      <c r="E58" s="12" t="inlineStr">
        <is>
          <t>Returns/refunds</t>
        </is>
      </c>
      <c r="F58" s="12"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12" t="inlineStr">
        <is>
          <t>F6.2.2</t>
        </is>
      </c>
      <c r="H58" s="12" t="inlineStr">
        <is>
          <t>P0</t>
        </is>
      </c>
      <c r="I58" s="10" t="inlineStr">
        <is>
          <t>COMPLETED</t>
        </is>
      </c>
      <c r="J58" s="12" t="inlineStr">
        <is>
          <t>Production (gokesari.com)</t>
        </is>
      </c>
      <c r="K58" s="12" t="inlineStr">
        <is>
          <t>Live</t>
        </is>
      </c>
      <c r="L58" s="12" t="inlineStr">
        <is>
          <t>#10 (refunds); #23 (Phase E returns + pickups)</t>
        </is>
      </c>
      <c r="M58" s="12" t="inlineStr">
        <is>
          <t>#14; #23</t>
        </is>
      </c>
      <c r="N58" s="12" t="inlineStr">
        <is>
          <t>Gateway refund (money back to card/UPI rather than wallet) Refunds go to the wallet; refunds to card / UPI wait on GS-073 (blocked).</t>
        </is>
      </c>
      <c r="O58" s="12" t="inlineStr">
        <is>
          <t>-</t>
        </is>
      </c>
      <c r="P58" s="12" t="inlineStr">
        <is>
          <t>COMPLETED</t>
        </is>
      </c>
      <c r="Q58" s="12" t="inlineStr">
        <is>
          <t>No change</t>
        </is>
      </c>
      <c r="R58" s="12" t="inlineStr">
        <is>
          <t>src/server/services/returns.ts; src/server/services/return-pickups.ts; src/app/returns, /shop/returns, /admin/returns; drizzle/0029</t>
        </is>
      </c>
    </row>
    <row r="59" ht="87" customFormat="1" customHeight="1" s="2">
      <c r="A59" s="10" t="n">
        <v>58</v>
      </c>
      <c r="B59" s="12" t="inlineStr">
        <is>
          <t>Feature Master</t>
        </is>
      </c>
      <c r="C59" s="9" t="inlineStr">
        <is>
          <t>GS-058</t>
        </is>
      </c>
      <c r="D59" s="12" t="inlineStr">
        <is>
          <t>Support</t>
        </is>
      </c>
      <c r="E59" s="12" t="inlineStr">
        <is>
          <t>Dispute management</t>
        </is>
      </c>
      <c r="F59" s="12"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12" t="inlineStr">
        <is>
          <t>F6.3.1</t>
        </is>
      </c>
      <c r="H59" s="12" t="inlineStr">
        <is>
          <t>P0</t>
        </is>
      </c>
      <c r="I59" s="10" t="inlineStr">
        <is>
          <t>COMPLETED</t>
        </is>
      </c>
      <c r="J59" s="12" t="inlineStr">
        <is>
          <t>Production (gokesari.com)</t>
        </is>
      </c>
      <c r="K59" s="12" t="inlineStr">
        <is>
          <t>Live</t>
        </is>
      </c>
      <c r="L59" s="12" t="inlineStr">
        <is>
          <t>#40</t>
        </is>
      </c>
      <c r="M59" s="12" t="inlineStr">
        <is>
          <t>#40</t>
        </is>
      </c>
      <c r="N59" s="12" t="inlineStr">
        <is>
          <t>Refund to card/UPI (today refunds are wallet credit) - depends on GS-028/GS-073</t>
        </is>
      </c>
      <c r="O59" s="12" t="inlineStr">
        <is>
          <t>-</t>
        </is>
      </c>
      <c r="P59" s="12" t="inlineStr">
        <is>
          <t>COMPLETED</t>
        </is>
      </c>
      <c r="Q59" s="12" t="inlineStr">
        <is>
          <t>No change</t>
        </is>
      </c>
      <c r="R59" s="12" t="inlineStr">
        <is>
          <t>src/lib/dispute-states.ts; src/server/services/disputes.ts; src/app/admin/disputes/page.tsx; src/app/api/cron/dispute-escalation/route.ts; drizzle/0037_dispute_cases.sql; tests/integration/disputes.test.ts</t>
        </is>
      </c>
    </row>
    <row r="60" ht="15" customFormat="1" customHeight="1" s="2">
      <c r="A60" s="10" t="n">
        <v>59</v>
      </c>
      <c r="B60" s="12" t="inlineStr">
        <is>
          <t>Feature Master</t>
        </is>
      </c>
      <c r="C60" s="9" t="inlineStr">
        <is>
          <t>GS-059</t>
        </is>
      </c>
      <c r="D60" s="12" t="inlineStr">
        <is>
          <t>Ratings</t>
        </is>
      </c>
      <c r="E60" s="12" t="inlineStr">
        <is>
          <t>Shop rating</t>
        </is>
      </c>
      <c r="F60" s="12" t="inlineStr">
        <is>
          <t>Eligibility, one per order, average, anonymous reviews, moderation</t>
        </is>
      </c>
      <c r="G60" s="12" t="inlineStr">
        <is>
          <t>F6.4.1</t>
        </is>
      </c>
      <c r="H60" s="12" t="inlineStr">
        <is>
          <t>P1</t>
        </is>
      </c>
      <c r="I60" s="10" t="inlineStr">
        <is>
          <t>COMPLETED</t>
        </is>
      </c>
      <c r="J60" s="12" t="inlineStr">
        <is>
          <t>Production (gokesari.com)</t>
        </is>
      </c>
      <c r="K60" s="12" t="inlineStr">
        <is>
          <t>Live</t>
        </is>
      </c>
      <c r="L60" s="12" t="inlineStr">
        <is>
          <t>#11</t>
        </is>
      </c>
      <c r="M60" s="12" t="inlineStr">
        <is>
          <t>#19</t>
        </is>
      </c>
      <c r="N60" s="12" t="inlineStr">
        <is>
          <t>-</t>
        </is>
      </c>
      <c r="O60" s="12" t="inlineStr">
        <is>
          <t>-</t>
        </is>
      </c>
      <c r="P60" s="12" t="inlineStr">
        <is>
          <t>COMPLETED</t>
        </is>
      </c>
      <c r="Q60" s="12" t="inlineStr">
        <is>
          <t>No change</t>
        </is>
      </c>
      <c r="R60" s="12" t="inlineStr">
        <is>
          <t>src/server/services/ratings.ts</t>
        </is>
      </c>
    </row>
    <row r="61" ht="15" customFormat="1" customHeight="1" s="2">
      <c r="A61" s="10" t="n">
        <v>60</v>
      </c>
      <c r="B61" s="12" t="inlineStr">
        <is>
          <t>Feature Master</t>
        </is>
      </c>
      <c r="C61" s="9" t="inlineStr">
        <is>
          <t>GS-060</t>
        </is>
      </c>
      <c r="D61" s="12" t="inlineStr">
        <is>
          <t>Ratings</t>
        </is>
      </c>
      <c r="E61" s="12" t="inlineStr">
        <is>
          <t>Gig rating</t>
        </is>
      </c>
      <c r="F61" s="12" t="inlineStr">
        <is>
          <t>Rider rating: average visible to rider and operations</t>
        </is>
      </c>
      <c r="G61" s="12" t="inlineStr">
        <is>
          <t>F6.4.1</t>
        </is>
      </c>
      <c r="H61" s="12" t="inlineStr">
        <is>
          <t>P1</t>
        </is>
      </c>
      <c r="I61" s="10" t="inlineStr">
        <is>
          <t>COMPLETED</t>
        </is>
      </c>
      <c r="J61" s="12" t="inlineStr">
        <is>
          <t>Production (gokesari.com)</t>
        </is>
      </c>
      <c r="K61" s="12" t="inlineStr">
        <is>
          <t>Live</t>
        </is>
      </c>
      <c r="L61" s="12" t="inlineStr">
        <is>
          <t>#11</t>
        </is>
      </c>
      <c r="M61" s="12" t="inlineStr">
        <is>
          <t>#19</t>
        </is>
      </c>
      <c r="N61" s="12" t="inlineStr">
        <is>
          <t>-</t>
        </is>
      </c>
      <c r="O61" s="12" t="inlineStr">
        <is>
          <t>-</t>
        </is>
      </c>
      <c r="P61" s="12" t="inlineStr">
        <is>
          <t>COMPLETED</t>
        </is>
      </c>
      <c r="Q61" s="12" t="inlineStr">
        <is>
          <t>No change</t>
        </is>
      </c>
      <c r="R61" s="12" t="inlineStr">
        <is>
          <t>src/server/services/ratings.ts</t>
        </is>
      </c>
    </row>
    <row r="62" ht="15" customFormat="1" customHeight="1" s="2">
      <c r="A62" s="10" t="n">
        <v>61</v>
      </c>
      <c r="B62" s="12" t="inlineStr">
        <is>
          <t>Feature Master</t>
        </is>
      </c>
      <c r="C62" s="9" t="inlineStr">
        <is>
          <t>GS-061</t>
        </is>
      </c>
      <c r="D62" s="12" t="inlineStr">
        <is>
          <t>Finance</t>
        </is>
      </c>
      <c r="E62" s="12" t="inlineStr">
        <is>
          <t>Shop commission</t>
        </is>
      </c>
      <c r="F62" s="12" t="inlineStr">
        <is>
          <t>Commission by default / shop type / shop, snapshotted per order</t>
        </is>
      </c>
      <c r="G62" s="12" t="inlineStr">
        <is>
          <t>F10.1.1</t>
        </is>
      </c>
      <c r="H62" s="12" t="inlineStr">
        <is>
          <t>P0</t>
        </is>
      </c>
      <c r="I62" s="10" t="inlineStr">
        <is>
          <t>COMPLETED</t>
        </is>
      </c>
      <c r="J62" s="12" t="inlineStr">
        <is>
          <t>Production (gokesari.com)</t>
        </is>
      </c>
      <c r="K62" s="12" t="inlineStr">
        <is>
          <t>Live</t>
        </is>
      </c>
      <c r="L62" s="12" t="inlineStr">
        <is>
          <t>#10</t>
        </is>
      </c>
      <c r="M62" s="12" t="inlineStr">
        <is>
          <t>#14</t>
        </is>
      </c>
      <c r="N62" s="12" t="inlineStr">
        <is>
          <t>-</t>
        </is>
      </c>
      <c r="O62" s="12" t="inlineStr">
        <is>
          <t>-</t>
        </is>
      </c>
      <c r="P62" s="12" t="inlineStr">
        <is>
          <t>COMPLETED</t>
        </is>
      </c>
      <c r="Q62" s="12" t="inlineStr">
        <is>
          <t>No change</t>
        </is>
      </c>
      <c r="R62" s="12" t="inlineStr">
        <is>
          <t>src/server/services/finance.ts:216</t>
        </is>
      </c>
    </row>
    <row r="63" ht="15" customFormat="1" customHeight="1" s="2">
      <c r="A63" s="10" t="n">
        <v>62</v>
      </c>
      <c r="B63" s="12" t="inlineStr">
        <is>
          <t>Feature Master</t>
        </is>
      </c>
      <c r="C63" s="9" t="inlineStr">
        <is>
          <t>GS-062</t>
        </is>
      </c>
      <c r="D63" s="12" t="inlineStr">
        <is>
          <t>Finance</t>
        </is>
      </c>
      <c r="E63" s="12" t="inlineStr">
        <is>
          <t>Shop settlement</t>
        </is>
      </c>
      <c r="F63" s="12" t="inlineStr">
        <is>
          <t>Weekly shop settlements DRAFT -&gt; APPROVED -&gt; PAID, full lifecycle</t>
        </is>
      </c>
      <c r="G63" s="12" t="inlineStr">
        <is>
          <t>F10.2.1</t>
        </is>
      </c>
      <c r="H63" s="12" t="inlineStr">
        <is>
          <t>P0</t>
        </is>
      </c>
      <c r="I63" s="10" t="inlineStr">
        <is>
          <t>COMPLETED</t>
        </is>
      </c>
      <c r="J63" s="12" t="inlineStr">
        <is>
          <t>Production (gokesari.com)</t>
        </is>
      </c>
      <c r="K63" s="12" t="inlineStr">
        <is>
          <t>Live</t>
        </is>
      </c>
      <c r="L63" s="12" t="inlineStr">
        <is>
          <t>#10</t>
        </is>
      </c>
      <c r="M63" s="12" t="inlineStr">
        <is>
          <t>#14</t>
        </is>
      </c>
      <c r="N63" s="12" t="inlineStr">
        <is>
          <t>-</t>
        </is>
      </c>
      <c r="O63" s="12" t="inlineStr">
        <is>
          <t>-</t>
        </is>
      </c>
      <c r="P63" s="12" t="inlineStr">
        <is>
          <t>COMPLETED</t>
        </is>
      </c>
      <c r="Q63" s="12" t="inlineStr">
        <is>
          <t>No change</t>
        </is>
      </c>
      <c r="R63" s="12" t="inlineStr">
        <is>
          <t>src/app/api/finance/settlements/route.ts</t>
        </is>
      </c>
    </row>
    <row r="64" ht="87" customFormat="1" customHeight="1" s="2">
      <c r="A64" s="10" t="n">
        <v>63</v>
      </c>
      <c r="B64" s="12" t="inlineStr">
        <is>
          <t>Feature Master</t>
        </is>
      </c>
      <c r="C64" s="9" t="inlineStr">
        <is>
          <t>GS-063</t>
        </is>
      </c>
      <c r="D64" s="12" t="inlineStr">
        <is>
          <t>Finance</t>
        </is>
      </c>
      <c r="E64" s="12" t="inlineStr">
        <is>
          <t>Gig earnings</t>
        </is>
      </c>
      <c r="F64" s="12"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12" t="inlineStr">
        <is>
          <t>F10.2.3</t>
        </is>
      </c>
      <c r="H64" s="12" t="inlineStr">
        <is>
          <t>P0</t>
        </is>
      </c>
      <c r="I64" s="10" t="inlineStr">
        <is>
          <t>COMPLETED</t>
        </is>
      </c>
      <c r="J64" s="12" t="inlineStr">
        <is>
          <t>Production (gokesari.com)</t>
        </is>
      </c>
      <c r="K64" s="12" t="inlineStr">
        <is>
          <t>Live</t>
        </is>
      </c>
      <c r="L64" s="12" t="inlineStr">
        <is>
          <t>Baseline; #23 (Phase D earnings rules)</t>
        </is>
      </c>
      <c r="M64" s="12" t="inlineStr">
        <is>
          <t>Baseline; #23</t>
        </is>
      </c>
      <c r="N64" s="12" t="inlineStr">
        <is>
          <t>-</t>
        </is>
      </c>
      <c r="O64" s="12" t="inlineStr">
        <is>
          <t>-</t>
        </is>
      </c>
      <c r="P64" s="12" t="inlineStr">
        <is>
          <t>COMPLETED</t>
        </is>
      </c>
      <c r="Q64" s="12" t="inlineStr">
        <is>
          <t>No change</t>
        </is>
      </c>
      <c r="R64" s="12" t="inlineStr">
        <is>
          <t>src/server/services/delivery-earnings.ts; src/app/admin/rider-earnings/page.tsx; drizzle/0028; tests/unit/earnings-calc.test.ts</t>
        </is>
      </c>
    </row>
    <row r="65" ht="27" customFormat="1" customHeight="1" s="2">
      <c r="A65" s="10" t="n">
        <v>64</v>
      </c>
      <c r="B65" s="12" t="inlineStr">
        <is>
          <t>Feature Master</t>
        </is>
      </c>
      <c r="C65" s="9" t="inlineStr">
        <is>
          <t>GS-064</t>
        </is>
      </c>
      <c r="D65" s="12" t="inlineStr">
        <is>
          <t>Finance</t>
        </is>
      </c>
      <c r="E65" s="12" t="inlineStr">
        <is>
          <t>Gig payout</t>
        </is>
      </c>
      <c r="F65" s="12" t="inlineStr">
        <is>
          <t>Weekly rider payouts, full lifecycle</t>
        </is>
      </c>
      <c r="G65" s="12" t="inlineStr">
        <is>
          <t>F10.2.1</t>
        </is>
      </c>
      <c r="H65" s="12" t="inlineStr">
        <is>
          <t>P0</t>
        </is>
      </c>
      <c r="I65" s="10" t="inlineStr">
        <is>
          <t>COMPLETED</t>
        </is>
      </c>
      <c r="J65" s="12" t="inlineStr">
        <is>
          <t>Production (gokesari.com)</t>
        </is>
      </c>
      <c r="K65" s="12" t="inlineStr">
        <is>
          <t>Live</t>
        </is>
      </c>
      <c r="L65" s="12" t="inlineStr">
        <is>
          <t>#10</t>
        </is>
      </c>
      <c r="M65" s="12" t="inlineStr">
        <is>
          <t>#14</t>
        </is>
      </c>
      <c r="N65" s="12" t="inlineStr">
        <is>
          <t>Payouts are recorded and reconciled; the bank transfer itself is manual.</t>
        </is>
      </c>
      <c r="O65" s="12" t="inlineStr">
        <is>
          <t>-</t>
        </is>
      </c>
      <c r="P65" s="12" t="inlineStr">
        <is>
          <t>COMPLETED</t>
        </is>
      </c>
      <c r="Q65" s="12" t="inlineStr">
        <is>
          <t>No change</t>
        </is>
      </c>
      <c r="R65" s="12" t="inlineStr">
        <is>
          <t>src/app/api/finance/rider-payouts/route.ts</t>
        </is>
      </c>
    </row>
    <row r="66" ht="39" customFormat="1" customHeight="1" s="2">
      <c r="A66" s="10" t="n">
        <v>65</v>
      </c>
      <c r="B66" s="12" t="inlineStr">
        <is>
          <t>Feature Master</t>
        </is>
      </c>
      <c r="C66" s="9" t="inlineStr">
        <is>
          <t>GS-065</t>
        </is>
      </c>
      <c r="D66" s="12" t="inlineStr">
        <is>
          <t>Admin</t>
        </is>
      </c>
      <c r="E66" s="12" t="inlineStr">
        <is>
          <t>Global dashboard</t>
        </is>
      </c>
      <c r="F66" s="12" t="inlineStr">
        <is>
          <t>getAdminDashboard() + /admin/dashboard: the marketplace's operational picture from live queries - in-flight orders by status, today's money, KPI cards, open risk flags, shops by status. No sample numbers</t>
        </is>
      </c>
      <c r="G66" s="12" t="inlineStr">
        <is>
          <t>F12.1.1</t>
        </is>
      </c>
      <c r="H66" s="12" t="inlineStr">
        <is>
          <t>P0</t>
        </is>
      </c>
      <c r="I66" s="10" t="inlineStr">
        <is>
          <t>COMPLETED</t>
        </is>
      </c>
      <c r="J66" s="12" t="inlineStr">
        <is>
          <t>Production (gokesari.com)</t>
        </is>
      </c>
      <c r="K66" s="12" t="inlineStr">
        <is>
          <t>Live</t>
        </is>
      </c>
      <c r="L66" s="12" t="inlineStr">
        <is>
          <t>#21; #23 (Phase J)</t>
        </is>
      </c>
      <c r="M66" s="12" t="inlineStr">
        <is>
          <t>#19; #23</t>
        </is>
      </c>
      <c r="N66" s="12" t="inlineStr">
        <is>
          <t>-</t>
        </is>
      </c>
      <c r="O66" s="12" t="inlineStr">
        <is>
          <t>-</t>
        </is>
      </c>
      <c r="P66" s="12" t="inlineStr">
        <is>
          <t>COMPLETED</t>
        </is>
      </c>
      <c r="Q66" s="12" t="inlineStr">
        <is>
          <t>No change</t>
        </is>
      </c>
      <c r="R66" s="12" t="inlineStr">
        <is>
          <t>src/server/services/dashboards.ts:207; src/app/admin/dashboard/page.tsx</t>
        </is>
      </c>
    </row>
    <row r="67" ht="75" customFormat="1" customHeight="1" s="2">
      <c r="A67" s="10" t="n">
        <v>66</v>
      </c>
      <c r="B67" s="12" t="inlineStr">
        <is>
          <t>Feature Master</t>
        </is>
      </c>
      <c r="C67" s="9" t="inlineStr">
        <is>
          <t>GS-066</t>
        </is>
      </c>
      <c r="D67" s="12" t="inlineStr">
        <is>
          <t>Admin</t>
        </is>
      </c>
      <c r="E67" s="12" t="inlineStr">
        <is>
          <t>Operator console</t>
        </is>
      </c>
      <c r="F67" s="12"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12" t="inlineStr">
        <is>
          <t>F12.1.2</t>
        </is>
      </c>
      <c r="H67" s="12" t="inlineStr">
        <is>
          <t>P0</t>
        </is>
      </c>
      <c r="I67" s="10" t="inlineStr">
        <is>
          <t>COMPLETED</t>
        </is>
      </c>
      <c r="J67" s="12" t="inlineStr">
        <is>
          <t>Production (gokesari.com)</t>
        </is>
      </c>
      <c r="K67" s="12" t="inlineStr">
        <is>
          <t>Live</t>
        </is>
      </c>
      <c r="L67" s="12" t="inlineStr">
        <is>
          <t>#21</t>
        </is>
      </c>
      <c r="M67" s="12" t="inlineStr">
        <is>
          <t>#19</t>
        </is>
      </c>
      <c r="N67" s="12" t="inlineStr">
        <is>
          <t>-</t>
        </is>
      </c>
      <c r="O67" s="12" t="inlineStr">
        <is>
          <t>-</t>
        </is>
      </c>
      <c r="P67" s="12" t="inlineStr">
        <is>
          <t>COMPLETED</t>
        </is>
      </c>
      <c r="Q67" s="12" t="inlineStr">
        <is>
          <t>No change</t>
        </is>
      </c>
      <c r="R67" s="12" t="inlineStr">
        <is>
          <t>src/server/services/ops-exceptions.ts; src/app/admin/exceptions/page.tsx</t>
        </is>
      </c>
    </row>
    <row r="68" ht="27" customFormat="1" customHeight="1" s="2">
      <c r="A68" s="10" t="n">
        <v>67</v>
      </c>
      <c r="B68" s="12" t="inlineStr">
        <is>
          <t>Feature Master</t>
        </is>
      </c>
      <c r="C68" s="9" t="inlineStr">
        <is>
          <t>GS-067</t>
        </is>
      </c>
      <c r="D68" s="12" t="inlineStr">
        <is>
          <t>Admin</t>
        </is>
      </c>
      <c r="E68" s="12" t="inlineStr">
        <is>
          <t>Audit logs</t>
        </is>
      </c>
      <c r="F68" s="12" t="inlineStr">
        <is>
          <t>audit_logs append-only, enforced by DB trigger</t>
        </is>
      </c>
      <c r="G68" s="12" t="inlineStr">
        <is>
          <t>F12.2.1</t>
        </is>
      </c>
      <c r="H68" s="12" t="inlineStr">
        <is>
          <t>P0</t>
        </is>
      </c>
      <c r="I68" s="10" t="inlineStr">
        <is>
          <t>COMPLETED</t>
        </is>
      </c>
      <c r="J68" s="12" t="inlineStr">
        <is>
          <t>Production (gokesari.com)</t>
        </is>
      </c>
      <c r="K68" s="12" t="inlineStr">
        <is>
          <t>Live</t>
        </is>
      </c>
      <c r="L68" s="12" t="inlineStr">
        <is>
          <t>Baseline; #10 (append-only)</t>
        </is>
      </c>
      <c r="M68" s="12" t="inlineStr">
        <is>
          <t>Baseline; #14</t>
        </is>
      </c>
      <c r="N68" s="12" t="inlineStr">
        <is>
          <t>Dedicated Auditor role (optional)</t>
        </is>
      </c>
      <c r="O68" s="12" t="inlineStr">
        <is>
          <t>-</t>
        </is>
      </c>
      <c r="P68" s="12" t="inlineStr">
        <is>
          <t>COMPLETED</t>
        </is>
      </c>
      <c r="Q68" s="12" t="inlineStr">
        <is>
          <t>No change</t>
        </is>
      </c>
      <c r="R68" s="12" t="inlineStr">
        <is>
          <t>drizzle/0018_audit_logs_append_only.sql; src/server/services/audit.ts</t>
        </is>
      </c>
    </row>
    <row r="69" ht="27" customFormat="1" customHeight="1" s="2">
      <c r="A69" s="10" t="n">
        <v>68</v>
      </c>
      <c r="B69" s="12" t="inlineStr">
        <is>
          <t>Feature Master</t>
        </is>
      </c>
      <c r="C69" s="9" t="inlineStr">
        <is>
          <t>GS-068</t>
        </is>
      </c>
      <c r="D69" s="12" t="inlineStr">
        <is>
          <t>Admin</t>
        </is>
      </c>
      <c r="E69" s="12" t="inlineStr">
        <is>
          <t>Fraud/risk rules</t>
        </is>
      </c>
      <c r="F69" s="12" t="inlineStr">
        <is>
          <t>11 risk rules (customer, rider, shop), hourly cron, review queue /admin/risk; a HIGH customer flag pauses COD</t>
        </is>
      </c>
      <c r="G69" s="12" t="inlineStr">
        <is>
          <t>F12.1.3</t>
        </is>
      </c>
      <c r="H69" s="12" t="inlineStr">
        <is>
          <t>P1</t>
        </is>
      </c>
      <c r="I69" s="10" t="inlineStr">
        <is>
          <t>COMPLETED</t>
        </is>
      </c>
      <c r="J69" s="12" t="inlineStr">
        <is>
          <t>Production (gokesari.com)</t>
        </is>
      </c>
      <c r="K69" s="12" t="inlineStr">
        <is>
          <t>Live</t>
        </is>
      </c>
      <c r="L69" s="12" t="inlineStr">
        <is>
          <t>#18; #21 (high-value outlier)</t>
        </is>
      </c>
      <c r="M69" s="12" t="inlineStr">
        <is>
          <t>#19</t>
        </is>
      </c>
      <c r="N69" s="12" t="inlineStr">
        <is>
          <t>-</t>
        </is>
      </c>
      <c r="O69" s="12" t="inlineStr">
        <is>
          <t>-</t>
        </is>
      </c>
      <c r="P69" s="12" t="inlineStr">
        <is>
          <t>COMPLETED</t>
        </is>
      </c>
      <c r="Q69" s="12" t="inlineStr">
        <is>
          <t>No change</t>
        </is>
      </c>
      <c r="R69" s="12" t="inlineStr">
        <is>
          <t>src/server/services/risk.ts; src/app/admin/risk/page.tsx</t>
        </is>
      </c>
    </row>
    <row r="70" ht="39" customFormat="1" customHeight="1" s="2">
      <c r="A70" s="10" t="n">
        <v>69</v>
      </c>
      <c r="B70" s="12" t="inlineStr">
        <is>
          <t>Feature Master</t>
        </is>
      </c>
      <c r="C70" s="9" t="inlineStr">
        <is>
          <t>GS-069</t>
        </is>
      </c>
      <c r="D70" s="12" t="inlineStr">
        <is>
          <t>Analytics</t>
        </is>
      </c>
      <c r="E70" s="12" t="inlineStr">
        <is>
          <t>Marketplace KPI dashboard</t>
        </is>
      </c>
      <c r="F70" s="12" t="inlineStr">
        <is>
          <t>/admin/analytics (marketplace) and /shop/analytics (own shop)</t>
        </is>
      </c>
      <c r="G70" s="12" t="inlineStr">
        <is>
          <t>F12.1.1</t>
        </is>
      </c>
      <c r="H70" s="12" t="inlineStr">
        <is>
          <t>P0</t>
        </is>
      </c>
      <c r="I70" s="10" t="inlineStr">
        <is>
          <t>COMPLETED</t>
        </is>
      </c>
      <c r="J70" s="12" t="inlineStr">
        <is>
          <t>Production (gokesari.com)</t>
        </is>
      </c>
      <c r="K70" s="12" t="inlineStr">
        <is>
          <t>Live</t>
        </is>
      </c>
      <c r="L70" s="12" t="inlineStr">
        <is>
          <t>#18</t>
        </is>
      </c>
      <c r="M70" s="12" t="inlineStr">
        <is>
          <t>#19</t>
        </is>
      </c>
      <c r="N70" s="12" t="inlineStr">
        <is>
          <t>-</t>
        </is>
      </c>
      <c r="O70" s="12" t="inlineStr">
        <is>
          <t>-</t>
        </is>
      </c>
      <c r="P70" s="12" t="inlineStr">
        <is>
          <t>COMPLETED</t>
        </is>
      </c>
      <c r="Q70" s="12" t="inlineStr">
        <is>
          <t>No change</t>
        </is>
      </c>
      <c r="R70" s="12" t="inlineStr">
        <is>
          <t>src/server/services/analytics.ts; src/app/admin/analytics/page.tsx; src/app/api/analytics/kpis/route.ts</t>
        </is>
      </c>
    </row>
    <row r="71" ht="39" customFormat="1" customHeight="1" s="2">
      <c r="A71" s="10" t="n">
        <v>70</v>
      </c>
      <c r="B71" s="12" t="inlineStr">
        <is>
          <t>Feature Master</t>
        </is>
      </c>
      <c r="C71" s="9" t="inlineStr">
        <is>
          <t>GS-070</t>
        </is>
      </c>
      <c r="D71" s="12" t="inlineStr">
        <is>
          <t>Security</t>
        </is>
      </c>
      <c r="E71" s="12" t="inlineStr">
        <is>
          <t>Privacy/consent management</t>
        </is>
      </c>
      <c r="F71" s="12" t="inlineStr">
        <is>
          <t>Marketing consent grant/withdraw with history; profile toggle; /api/consents/marketing</t>
        </is>
      </c>
      <c r="G71" s="12" t="inlineStr">
        <is>
          <t>F11.2.3</t>
        </is>
      </c>
      <c r="H71" s="12" t="inlineStr">
        <is>
          <t>P0</t>
        </is>
      </c>
      <c r="I71" s="10" t="inlineStr">
        <is>
          <t>COMPLETED</t>
        </is>
      </c>
      <c r="J71" s="12" t="inlineStr">
        <is>
          <t>Production (gokesari.com)</t>
        </is>
      </c>
      <c r="K71" s="12" t="inlineStr">
        <is>
          <t>Live</t>
        </is>
      </c>
      <c r="L71" s="12" t="inlineStr">
        <is>
          <t>Baseline; #10 (marketing consent); #34 (consent view); #77 (On/Off switch)</t>
        </is>
      </c>
      <c r="M71" s="12" t="inlineStr">
        <is>
          <t>Baseline; #14; #34; #78</t>
        </is>
      </c>
      <c r="N71" s="12" t="inlineStr">
        <is>
          <t>-</t>
        </is>
      </c>
      <c r="O71" s="12" t="inlineStr">
        <is>
          <t>-</t>
        </is>
      </c>
      <c r="P71" s="12" t="inlineStr">
        <is>
          <t>COMPLETED</t>
        </is>
      </c>
      <c r="Q71" s="12" t="inlineStr">
        <is>
          <t>No change</t>
        </is>
      </c>
      <c r="R71" s="12" t="inlineStr">
        <is>
          <t>src/server/services/consents.ts; src/components/marketing-consent-toggle.tsx</t>
        </is>
      </c>
    </row>
    <row r="72" ht="39" customFormat="1" customHeight="1" s="2">
      <c r="A72" s="10" t="n">
        <v>71</v>
      </c>
      <c r="B72" s="12" t="inlineStr">
        <is>
          <t>Feature Master</t>
        </is>
      </c>
      <c r="C72" s="9" t="inlineStr">
        <is>
          <t>GS-071</t>
        </is>
      </c>
      <c r="D72" s="12" t="inlineStr">
        <is>
          <t>Security</t>
        </is>
      </c>
      <c r="E72" s="12" t="inlineStr">
        <is>
          <t>Data access controls</t>
        </is>
      </c>
      <c r="F72" s="12" t="inlineStr">
        <is>
          <t>Permission checks on every route and service; PAN and KYC data encrypted with blind indexes; append-only audit log; screens and APIs send only the fields a viewer may see.</t>
        </is>
      </c>
      <c r="G72" s="12" t="inlineStr">
        <is>
          <t>-</t>
        </is>
      </c>
      <c r="H72" s="12" t="inlineStr">
        <is>
          <t>P0</t>
        </is>
      </c>
      <c r="I72" s="10" t="inlineStr">
        <is>
          <t>COMPLETED</t>
        </is>
      </c>
      <c r="J72" s="12" t="inlineStr">
        <is>
          <t>Production (gokesari.com)</t>
        </is>
      </c>
      <c r="K72" s="12" t="inlineStr">
        <is>
          <t>Live</t>
        </is>
      </c>
      <c r="L72" s="12" t="inlineStr">
        <is>
          <t>Baseline; #10 (KYC encryption); #72 (data exposure)</t>
        </is>
      </c>
      <c r="M72" s="12" t="inlineStr">
        <is>
          <t>Baseline; #14; #73</t>
        </is>
      </c>
      <c r="N72" s="12" t="inlineStr">
        <is>
          <t>-</t>
        </is>
      </c>
      <c r="O72" s="12" t="inlineStr">
        <is>
          <t>-</t>
        </is>
      </c>
      <c r="P72" s="12" t="inlineStr">
        <is>
          <t>COMPLETED</t>
        </is>
      </c>
      <c r="Q72" s="12" t="inlineStr">
        <is>
          <t>No change</t>
        </is>
      </c>
      <c r="R72" s="12" t="inlineStr">
        <is>
          <t>-</t>
        </is>
      </c>
    </row>
    <row r="73" ht="51" customFormat="1" customHeight="1" s="2">
      <c r="A73" s="10" t="n">
        <v>72</v>
      </c>
      <c r="B73" s="12" t="inlineStr">
        <is>
          <t>Feature Master</t>
        </is>
      </c>
      <c r="C73" s="9" t="inlineStr">
        <is>
          <t>GS-072</t>
        </is>
      </c>
      <c r="D73" s="12" t="inlineStr">
        <is>
          <t>Integration</t>
        </is>
      </c>
      <c r="E73" s="12" t="inlineStr">
        <is>
          <t>Maps/navigation</t>
        </is>
      </c>
      <c r="F73" s="12"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12" t="inlineStr">
        <is>
          <t>F3.2.3, F4.2.1</t>
        </is>
      </c>
      <c r="H73" s="12" t="inlineStr">
        <is>
          <t>P0</t>
        </is>
      </c>
      <c r="I73" s="10" t="inlineStr">
        <is>
          <t>COMPLETED</t>
        </is>
      </c>
      <c r="J73" s="12" t="inlineStr">
        <is>
          <t>Production - built, switched off by default</t>
        </is>
      </c>
      <c r="K73" s="12" t="inlineStr">
        <is>
          <t>Off by default - switch on in Admin &gt; Business rules (rule: routing.enabled)</t>
        </is>
      </c>
      <c r="L73" s="12" t="inlineStr">
        <is>
          <t>Baseline (geocoding); #23 (Phase C rider navigation); #55 (F4 road routing)</t>
        </is>
      </c>
      <c r="M73" s="12" t="inlineStr">
        <is>
          <t>Baseline; #23; #57</t>
        </is>
      </c>
      <c r="N73" s="12" t="inlineStr">
        <is>
          <t>In-app turn-by-turn navigation not built (Google Maps deep link used instead).</t>
        </is>
      </c>
      <c r="O73" s="12" t="inlineStr">
        <is>
          <t>-</t>
        </is>
      </c>
      <c r="P73" s="12" t="inlineStr">
        <is>
          <t>COMPLETED</t>
        </is>
      </c>
      <c r="Q73" s="12" t="inlineStr">
        <is>
          <t>No change</t>
        </is>
      </c>
      <c r="R73" s="12" t="inlineStr">
        <is>
          <t>src/server/services/routing.ts; drizzle/0044_delivery_routes.sql; tests/integration/routing.test.ts</t>
        </is>
      </c>
    </row>
    <row r="74" ht="27" customFormat="1" customHeight="1" s="2">
      <c r="A74" s="10" t="n">
        <v>73</v>
      </c>
      <c r="B74" s="12" t="inlineStr">
        <is>
          <t>Feature Master</t>
        </is>
      </c>
      <c r="C74" s="9" t="inlineStr">
        <is>
          <t>GS-073</t>
        </is>
      </c>
      <c r="D74" s="12" t="inlineStr">
        <is>
          <t>Integration</t>
        </is>
      </c>
      <c r="E74" s="12" t="inlineStr">
        <is>
          <t>Payment gateway</t>
        </is>
      </c>
      <c r="F74" s="12" t="inlineStr">
        <is>
          <t>Gateway plumbing reusable; refunds are wallet credits (journaled, idempotent).</t>
        </is>
      </c>
      <c r="G74" s="12" t="inlineStr">
        <is>
          <t>F1.8.4, F6.2.3</t>
        </is>
      </c>
      <c r="H74" s="12" t="inlineStr">
        <is>
          <t>P0</t>
        </is>
      </c>
      <c r="I74" s="10" t="inlineStr">
        <is>
          <t>BLOCKED</t>
        </is>
      </c>
      <c r="J74" s="12" t="inlineStr">
        <is>
          <t>Production - partly live</t>
        </is>
      </c>
      <c r="K74" s="12" t="inlineStr">
        <is>
          <t>Live</t>
        </is>
      </c>
      <c r="L74" s="12" t="inlineStr">
        <is>
          <t>Baseline (Cashfree)</t>
        </is>
      </c>
      <c r="M74" s="12" t="inlineStr">
        <is>
          <t>Baseline</t>
        </is>
      </c>
      <c r="N74" s="12" t="inlineStr">
        <is>
          <t>Order payment intents, callbacks and gateway refunds.</t>
        </is>
      </c>
      <c r="O74" s="12" t="inlineStr">
        <is>
          <t>Needs GS-028</t>
        </is>
      </c>
      <c r="P74" s="12" t="inlineStr">
        <is>
          <t>BLOCKED</t>
        </is>
      </c>
      <c r="Q74" s="12" t="inlineStr">
        <is>
          <t>No change</t>
        </is>
      </c>
      <c r="R74" s="12" t="inlineStr">
        <is>
          <t>src/server/services/payments.ts</t>
        </is>
      </c>
    </row>
    <row r="75" ht="39" customFormat="1" customHeight="1" s="2">
      <c r="A75" s="10" t="n">
        <v>74</v>
      </c>
      <c r="B75" s="12" t="inlineStr">
        <is>
          <t>Feature Master</t>
        </is>
      </c>
      <c r="C75" s="9" t="inlineStr">
        <is>
          <t>GS-074</t>
        </is>
      </c>
      <c r="D75" s="12" t="inlineStr">
        <is>
          <t>Integration</t>
        </is>
      </c>
      <c r="E75" s="12" t="inlineStr">
        <is>
          <t>SMS/WhatsApp/email/push</t>
        </is>
      </c>
      <c r="F75" s="12" t="inlineStr">
        <is>
          <t>Email and in-app notifications live; SMS, PUSH and WHATSAPP channels have a provider seam with no vendor.</t>
        </is>
      </c>
      <c r="G75" s="12" t="inlineStr">
        <is>
          <t>F1.1.2, F13.1.2</t>
        </is>
      </c>
      <c r="H75" s="12" t="inlineStr">
        <is>
          <t>P1</t>
        </is>
      </c>
      <c r="I75" s="10" t="inlineStr">
        <is>
          <t>BLOCKED</t>
        </is>
      </c>
      <c r="J75" s="12" t="inlineStr">
        <is>
          <t>Production - partly live</t>
        </is>
      </c>
      <c r="K75" s="12" t="inlineStr">
        <is>
          <t>Email + in-app live (email needs SMTP)</t>
        </is>
      </c>
      <c r="L75" s="12" t="inlineStr">
        <is>
          <t>#23 (Phase F channels)</t>
        </is>
      </c>
      <c r="M75" s="12" t="inlineStr">
        <is>
          <t>#23</t>
        </is>
      </c>
      <c r="N75" s="12" t="inlineStr">
        <is>
          <t>Real SMS / push / WhatsApp providers.</t>
        </is>
      </c>
      <c r="O75" s="12" t="inlineStr">
        <is>
          <t>D2 - vendor choice (DLT registration)</t>
        </is>
      </c>
      <c r="P75" s="12" t="inlineStr">
        <is>
          <t>BLOCKED</t>
        </is>
      </c>
      <c r="Q75" s="12" t="inlineStr">
        <is>
          <t>No change</t>
        </is>
      </c>
      <c r="R75" s="12" t="inlineStr">
        <is>
          <t>src/server/notifications/channels.ts</t>
        </is>
      </c>
    </row>
    <row r="76" ht="39" customFormat="1" customHeight="1" s="2">
      <c r="A76" s="10" t="n">
        <v>75</v>
      </c>
      <c r="B76" s="12" t="inlineStr">
        <is>
          <t>Workflow Master</t>
        </is>
      </c>
      <c r="C76" s="9" t="inlineStr">
        <is>
          <t>WF-001</t>
        </is>
      </c>
      <c r="D76" s="12" t="inlineStr">
        <is>
          <t>Customer</t>
        </is>
      </c>
      <c r="E76" s="12" t="inlineStr">
        <is>
          <t>Customer product purchase</t>
        </is>
      </c>
      <c r="F76" s="12" t="inlineStr">
        <is>
          <t>Every step works: location, search, eligible shops, comparison, cart, address, slot, payment by wallet or COD, order created; out-of-stock substitution; closed-shop confirmation.</t>
        </is>
      </c>
      <c r="G76" s="12" t="inlineStr">
        <is>
          <t>-</t>
        </is>
      </c>
      <c r="H76" s="12" t="inlineStr">
        <is>
          <t>-</t>
        </is>
      </c>
      <c r="I76" s="10" t="inlineStr">
        <is>
          <t>BLOCKED</t>
        </is>
      </c>
      <c r="J76" s="12" t="inlineStr">
        <is>
          <t>Production - partly live</t>
        </is>
      </c>
      <c r="K76" s="12" t="inlineStr">
        <is>
          <t>Live</t>
        </is>
      </c>
      <c r="L76" s="12" t="inlineStr">
        <is>
          <t>Baseline; #10; #11; #23; #24; #31; #55</t>
        </is>
      </c>
      <c r="M76" s="12" t="inlineStr">
        <is>
          <t>Baseline; #14; #19; #23; #24; #43; #57</t>
        </is>
      </c>
      <c r="N76" s="12" t="inlineStr">
        <is>
          <t>Direct online payment for the order.</t>
        </is>
      </c>
      <c r="O76" s="12" t="inlineStr">
        <is>
          <t>Needs GS-028</t>
        </is>
      </c>
      <c r="P76" s="12" t="inlineStr">
        <is>
          <t>BLOCKED</t>
        </is>
      </c>
      <c r="Q76" s="12" t="inlineStr">
        <is>
          <t>No change</t>
        </is>
      </c>
      <c r="R76" s="12" t="inlineStr">
        <is>
          <t>src/server/services/orders.ts#checkout</t>
        </is>
      </c>
    </row>
    <row r="77" ht="27" customFormat="1" customHeight="1" s="2">
      <c r="A77" s="10" t="n">
        <v>76</v>
      </c>
      <c r="B77" s="12" t="inlineStr">
        <is>
          <t>Workflow Master</t>
        </is>
      </c>
      <c r="C77" s="9" t="inlineStr">
        <is>
          <t>WF-002</t>
        </is>
      </c>
      <c r="D77" s="12" t="inlineStr">
        <is>
          <t>Shop</t>
        </is>
      </c>
      <c r="E77" s="12" t="inlineStr">
        <is>
          <t>Shop fulfillment</t>
        </is>
      </c>
      <c r="F77" s="12" t="inlineStr">
        <is>
          <t>Notify -&gt; accept -&gt; stock check -&gt; substitute/remove -&gt; pick -&gt; pack -&gt; READY</t>
        </is>
      </c>
      <c r="G77" s="12" t="inlineStr">
        <is>
          <t>-</t>
        </is>
      </c>
      <c r="H77" s="12" t="inlineStr">
        <is>
          <t>-</t>
        </is>
      </c>
      <c r="I77" s="10" t="inlineStr">
        <is>
          <t>COMPLETED</t>
        </is>
      </c>
      <c r="J77" s="12" t="inlineStr">
        <is>
          <t>Production (gokesari.com)</t>
        </is>
      </c>
      <c r="K77" s="12" t="inlineStr">
        <is>
          <t>Live</t>
        </is>
      </c>
      <c r="L77" s="12" t="inlineStr">
        <is>
          <t>#10; #24 (closed shop); #58 (accept timeout)</t>
        </is>
      </c>
      <c r="M77" s="12" t="inlineStr">
        <is>
          <t>#14; #24; #65</t>
        </is>
      </c>
      <c r="N77" s="12" t="inlineStr">
        <is>
          <t>-</t>
        </is>
      </c>
      <c r="O77" s="12" t="inlineStr">
        <is>
          <t>-</t>
        </is>
      </c>
      <c r="P77" s="12" t="inlineStr">
        <is>
          <t>COMPLETED</t>
        </is>
      </c>
      <c r="Q77" s="12" t="inlineStr">
        <is>
          <t>No change</t>
        </is>
      </c>
      <c r="R77" s="12" t="inlineStr">
        <is>
          <t>src/server/services/fulfilment.ts</t>
        </is>
      </c>
    </row>
    <row r="78" ht="39" customFormat="1" customHeight="1" s="2">
      <c r="A78" s="10" t="n">
        <v>77</v>
      </c>
      <c r="B78" s="12" t="inlineStr">
        <is>
          <t>Workflow Master</t>
        </is>
      </c>
      <c r="C78" s="9" t="inlineStr">
        <is>
          <t>WF-003</t>
        </is>
      </c>
      <c r="D78" s="12" t="inlineStr">
        <is>
          <t>System</t>
        </is>
      </c>
      <c r="E78" s="12" t="inlineStr">
        <is>
          <t>Gig assignment</t>
        </is>
      </c>
      <c r="F78" s="12" t="inlineStr">
        <is>
          <t>Auto-trigger, whitelist filter, priority, reliability, fairness, escalation, bounded retry with a full attempt log</t>
        </is>
      </c>
      <c r="G78" s="12" t="inlineStr">
        <is>
          <t>-</t>
        </is>
      </c>
      <c r="H78" s="12" t="inlineStr">
        <is>
          <t>-</t>
        </is>
      </c>
      <c r="I78" s="10" t="inlineStr">
        <is>
          <t>COMPLETED</t>
        </is>
      </c>
      <c r="J78" s="12" t="inlineStr">
        <is>
          <t>Production (gokesari.com)</t>
        </is>
      </c>
      <c r="K78" s="12" t="inlineStr">
        <is>
          <t>Live</t>
        </is>
      </c>
      <c r="L78" s="12" t="inlineStr">
        <is>
          <t>Baseline; #10; #11; #23 (Phase C); #55 (F3); #58 (batching)</t>
        </is>
      </c>
      <c r="M78" s="12" t="inlineStr">
        <is>
          <t>Baseline; #14; #19; #23; #57; #65</t>
        </is>
      </c>
      <c r="N78" s="12" t="inlineStr">
        <is>
          <t>Load batching tracked under GA-005 Offers go to one rider at a time (2-min expiry); no radius widening.</t>
        </is>
      </c>
      <c r="O78" s="12" t="inlineStr">
        <is>
          <t>-</t>
        </is>
      </c>
      <c r="P78" s="12" t="inlineStr">
        <is>
          <t>COMPLETED</t>
        </is>
      </c>
      <c r="Q78" s="12" t="inlineStr">
        <is>
          <t>No change</t>
        </is>
      </c>
      <c r="R78" s="12" t="inlineStr">
        <is>
          <t>src/server/services/delivery-assignment.ts</t>
        </is>
      </c>
    </row>
    <row r="79" ht="27" customFormat="1" customHeight="1" s="2">
      <c r="A79" s="10" t="n">
        <v>78</v>
      </c>
      <c r="B79" s="12" t="inlineStr">
        <is>
          <t>Workflow Master</t>
        </is>
      </c>
      <c r="C79" s="9" t="inlineStr">
        <is>
          <t>WF-004</t>
        </is>
      </c>
      <c r="D79" s="12" t="inlineStr">
        <is>
          <t>System/Society</t>
        </is>
      </c>
      <c r="E79" s="12" t="inlineStr">
        <is>
          <t>Society authorized delivery</t>
        </is>
      </c>
      <c r="F79" s="12" t="inlineStr">
        <is>
          <t>Identify society -&gt; rider list -&gt; filter/priority -&gt; security alert; Phase C added gate entry mode and the security-desk contact</t>
        </is>
      </c>
      <c r="G79" s="12" t="inlineStr">
        <is>
          <t>-</t>
        </is>
      </c>
      <c r="H79" s="12" t="inlineStr">
        <is>
          <t>-</t>
        </is>
      </c>
      <c r="I79" s="10" t="inlineStr">
        <is>
          <t>COMPLETED</t>
        </is>
      </c>
      <c r="J79" s="12" t="inlineStr">
        <is>
          <t>Production (gokesari.com)</t>
        </is>
      </c>
      <c r="K79" s="12" t="inlineStr">
        <is>
          <t>Live</t>
        </is>
      </c>
      <c r="L79" s="12" t="inlineStr">
        <is>
          <t>#11</t>
        </is>
      </c>
      <c r="M79" s="12" t="inlineStr">
        <is>
          <t>#19</t>
        </is>
      </c>
      <c r="N79" s="12" t="inlineStr">
        <is>
          <t>-</t>
        </is>
      </c>
      <c r="O79" s="12" t="inlineStr">
        <is>
          <t>-</t>
        </is>
      </c>
      <c r="P79" s="12" t="inlineStr">
        <is>
          <t>COMPLETED</t>
        </is>
      </c>
      <c r="Q79" s="12" t="inlineStr">
        <is>
          <t>No change</t>
        </is>
      </c>
      <c r="R79" s="12" t="inlineStr">
        <is>
          <t>src/server/services/delivery-assignment.ts; src/server/services/societies.ts</t>
        </is>
      </c>
    </row>
    <row r="80" ht="39" customFormat="1" customHeight="1" s="2">
      <c r="A80" s="10" t="n">
        <v>79</v>
      </c>
      <c r="B80" s="12" t="inlineStr">
        <is>
          <t>Workflow Master</t>
        </is>
      </c>
      <c r="C80" s="9" t="inlineStr">
        <is>
          <t>WF-005</t>
        </is>
      </c>
      <c r="D80" s="12" t="inlineStr">
        <is>
          <t>Gig</t>
        </is>
      </c>
      <c r="E80" s="12" t="inlineStr">
        <is>
          <t>Delivery</t>
        </is>
      </c>
      <c r="F80" s="12" t="inlineStr">
        <is>
          <t>Pickup code -&gt; OTP -&gt; delivered; failed -&gt; returned; society access notes; Phase C added 'arrived at shop' / 'arrived at customer' checkpoints with notifications, navigation deep links and rider-side privacy</t>
        </is>
      </c>
      <c r="G80" s="12" t="inlineStr">
        <is>
          <t>F4.2.7</t>
        </is>
      </c>
      <c r="H80" s="12" t="inlineStr">
        <is>
          <t>-</t>
        </is>
      </c>
      <c r="I80" s="10" t="inlineStr">
        <is>
          <t>COMPLETED</t>
        </is>
      </c>
      <c r="J80" s="12" t="inlineStr">
        <is>
          <t>Production (gokesari.com)</t>
        </is>
      </c>
      <c r="K80" s="12" t="inlineStr">
        <is>
          <t>Live</t>
        </is>
      </c>
      <c r="L80" s="12" t="inlineStr">
        <is>
          <t>Baseline; #10; #23 (Phase C); #29</t>
        </is>
      </c>
      <c r="M80" s="12" t="inlineStr">
        <is>
          <t>Baseline; #14; #23; #29</t>
        </is>
      </c>
      <c r="N80" s="12" t="inlineStr">
        <is>
          <t>In-app turn-by-turn navigation (deep link to Google Maps instead)</t>
        </is>
      </c>
      <c r="O80" s="12" t="inlineStr">
        <is>
          <t>-</t>
        </is>
      </c>
      <c r="P80" s="12" t="inlineStr">
        <is>
          <t>COMPLETED</t>
        </is>
      </c>
      <c r="Q80" s="12" t="inlineStr">
        <is>
          <t>No change</t>
        </is>
      </c>
      <c r="R80" s="12" t="inlineStr">
        <is>
          <t>src/server/services/delivery-assignment.ts:599; src/components/delivery-partner-dashboard.tsx:634-667</t>
        </is>
      </c>
    </row>
    <row r="81" ht="27" customFormat="1" customHeight="1" s="2">
      <c r="A81" s="10" t="n">
        <v>80</v>
      </c>
      <c r="B81" s="12" t="inlineStr">
        <is>
          <t>Workflow Master</t>
        </is>
      </c>
      <c r="C81" s="9" t="inlineStr">
        <is>
          <t>WF-006</t>
        </is>
      </c>
      <c r="D81" s="12" t="inlineStr">
        <is>
          <t>Customer/System</t>
        </is>
      </c>
      <c r="E81" s="12" t="inlineStr">
        <is>
          <t>Subscription</t>
        </is>
      </c>
      <c r="F81" s="12" t="inlineStr">
        <is>
          <t>Subscription orders carry address/society -&gt; fulfilment -&gt; dispatch -&gt; settlement</t>
        </is>
      </c>
      <c r="G81" s="12" t="inlineStr">
        <is>
          <t>F7.3.1, F7.3.3</t>
        </is>
      </c>
      <c r="H81" s="12" t="inlineStr">
        <is>
          <t>-</t>
        </is>
      </c>
      <c r="I81" s="10" t="inlineStr">
        <is>
          <t>COMPLETED</t>
        </is>
      </c>
      <c r="J81" s="12" t="inlineStr">
        <is>
          <t>Production (gokesari.com)</t>
        </is>
      </c>
      <c r="K81" s="12" t="inlineStr">
        <is>
          <t>Live</t>
        </is>
      </c>
      <c r="L81" s="12" t="inlineStr">
        <is>
          <t>Baseline; #11; #58</t>
        </is>
      </c>
      <c r="M81" s="12" t="inlineStr">
        <is>
          <t>Baseline; #19; #65</t>
        </is>
      </c>
      <c r="N81" s="12" t="inlineStr">
        <is>
          <t>-</t>
        </is>
      </c>
      <c r="O81" s="12" t="inlineStr">
        <is>
          <t>-</t>
        </is>
      </c>
      <c r="P81" s="12" t="inlineStr">
        <is>
          <t>COMPLETED</t>
        </is>
      </c>
      <c r="Q81" s="12" t="inlineStr">
        <is>
          <t>No change</t>
        </is>
      </c>
      <c r="R81" s="12" t="inlineStr">
        <is>
          <t>src/server/services/subscriptions.ts</t>
        </is>
      </c>
    </row>
    <row r="82" ht="39" customFormat="1" customHeight="1" s="2">
      <c r="A82" s="10" t="n">
        <v>81</v>
      </c>
      <c r="B82" s="12" t="inlineStr">
        <is>
          <t>Workflow Master</t>
        </is>
      </c>
      <c r="C82" s="9" t="inlineStr">
        <is>
          <t>WF-007</t>
        </is>
      </c>
      <c r="D82" s="12" t="inlineStr">
        <is>
          <t>Customer/Operator</t>
        </is>
      </c>
      <c r="E82" s="12" t="inlineStr">
        <is>
          <t>Return/refund</t>
        </is>
      </c>
      <c r="F82" s="12" t="inlineStr">
        <is>
          <t>Report -&gt; return request -&gt; validation -&gt; approval -&gt; rider pickup -&gt; inspection -&gt; refund, end to end, with who bears the cost configurable per reason</t>
        </is>
      </c>
      <c r="G82" s="12" t="inlineStr">
        <is>
          <t>F6.2.2</t>
        </is>
      </c>
      <c r="H82" s="12" t="inlineStr">
        <is>
          <t>-</t>
        </is>
      </c>
      <c r="I82" s="10" t="inlineStr">
        <is>
          <t>COMPLETED</t>
        </is>
      </c>
      <c r="J82" s="12" t="inlineStr">
        <is>
          <t>Production (gokesari.com)</t>
        </is>
      </c>
      <c r="K82" s="12" t="inlineStr">
        <is>
          <t>Live</t>
        </is>
      </c>
      <c r="L82" s="12" t="inlineStr">
        <is>
          <t>#10; #23 (Phase E)</t>
        </is>
      </c>
      <c r="M82" s="12" t="inlineStr">
        <is>
          <t>#14; #23</t>
        </is>
      </c>
      <c r="N82" s="12" t="inlineStr">
        <is>
          <t>Replacement instead of refund</t>
        </is>
      </c>
      <c r="O82" s="12" t="inlineStr">
        <is>
          <t>-</t>
        </is>
      </c>
      <c r="P82" s="12" t="inlineStr">
        <is>
          <t>COMPLETED</t>
        </is>
      </c>
      <c r="Q82" s="12" t="inlineStr">
        <is>
          <t>No change</t>
        </is>
      </c>
      <c r="R82" s="12" t="inlineStr">
        <is>
          <t>src/server/services/returns.ts; src/server/services/return-pickups.ts</t>
        </is>
      </c>
    </row>
    <row r="83" ht="75" customFormat="1" customHeight="1" s="2">
      <c r="A83" s="10" t="n">
        <v>82</v>
      </c>
      <c r="B83" s="12" t="inlineStr">
        <is>
          <t>Workflow Master</t>
        </is>
      </c>
      <c r="C83" s="9" t="inlineStr">
        <is>
          <t>WF-008</t>
        </is>
      </c>
      <c r="D83" s="12" t="inlineStr">
        <is>
          <t>Shop/Operator</t>
        </is>
      </c>
      <c r="E83" s="12" t="inlineStr">
        <is>
          <t>Shop onboarding</t>
        </is>
      </c>
      <c r="F83" s="12"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12" t="inlineStr">
        <is>
          <t>F8.3.1</t>
        </is>
      </c>
      <c r="H83" s="12" t="inlineStr">
        <is>
          <t>-</t>
        </is>
      </c>
      <c r="I83" s="10" t="inlineStr">
        <is>
          <t>COMPLETED</t>
        </is>
      </c>
      <c r="J83" s="12" t="inlineStr">
        <is>
          <t>Production (gokesari.com)</t>
        </is>
      </c>
      <c r="K83" s="12" t="inlineStr">
        <is>
          <t>Live</t>
        </is>
      </c>
      <c r="L83" s="12" t="inlineStr">
        <is>
          <t>Baseline; #22; #29; #45; #53; #58 (SM-002)</t>
        </is>
      </c>
      <c r="M83" s="12" t="inlineStr">
        <is>
          <t>Baseline; #19; #29; #47; #54; #65</t>
        </is>
      </c>
      <c r="N83" s="12" t="inlineStr">
        <is>
          <t>-</t>
        </is>
      </c>
      <c r="O83" s="12" t="inlineStr">
        <is>
          <t>-</t>
        </is>
      </c>
      <c r="P83" s="12" t="inlineStr">
        <is>
          <t>COMPLETED</t>
        </is>
      </c>
      <c r="Q83" s="12" t="inlineStr">
        <is>
          <t>No change</t>
        </is>
      </c>
      <c r="R83" s="12" t="inlineStr">
        <is>
          <t>src/server/services/shops.ts; src/server/services/seller-verification.ts; docs/seller-verification/README.md</t>
        </is>
      </c>
    </row>
    <row r="84" ht="27" customFormat="1" customHeight="1" s="2">
      <c r="A84" s="10" t="n">
        <v>83</v>
      </c>
      <c r="B84" s="12" t="inlineStr">
        <is>
          <t>Workflow Master</t>
        </is>
      </c>
      <c r="C84" s="9" t="inlineStr">
        <is>
          <t>WF-009</t>
        </is>
      </c>
      <c r="D84" s="12" t="inlineStr">
        <is>
          <t>Shop</t>
        </is>
      </c>
      <c r="E84" s="12" t="inlineStr">
        <is>
          <t>Marketing campaign</t>
        </is>
      </c>
      <c r="F84" s="12" t="inlineStr">
        <is>
          <t>Audience -&gt; consent -&gt; budget -&gt; operations approval -&gt; send -&gt; tracking (opened, converted, revenue)</t>
        </is>
      </c>
      <c r="G84" s="12" t="inlineStr">
        <is>
          <t>F11.1.2</t>
        </is>
      </c>
      <c r="H84" s="12" t="inlineStr">
        <is>
          <t>-</t>
        </is>
      </c>
      <c r="I84" s="10" t="inlineStr">
        <is>
          <t>COMPLETED</t>
        </is>
      </c>
      <c r="J84" s="12" t="inlineStr">
        <is>
          <t>Production (gokesari.com)</t>
        </is>
      </c>
      <c r="K84" s="12" t="inlineStr">
        <is>
          <t>Live</t>
        </is>
      </c>
      <c r="L84" s="12" t="inlineStr">
        <is>
          <t>#18</t>
        </is>
      </c>
      <c r="M84" s="12" t="inlineStr">
        <is>
          <t>#19</t>
        </is>
      </c>
      <c r="N84" s="12" t="inlineStr">
        <is>
          <t>-</t>
        </is>
      </c>
      <c r="O84" s="12" t="inlineStr">
        <is>
          <t>-</t>
        </is>
      </c>
      <c r="P84" s="12" t="inlineStr">
        <is>
          <t>COMPLETED</t>
        </is>
      </c>
      <c r="Q84" s="12" t="inlineStr">
        <is>
          <t>No change</t>
        </is>
      </c>
      <c r="R84" s="12" t="inlineStr">
        <is>
          <t>src/app/api/admin/campaigns/route.ts</t>
        </is>
      </c>
    </row>
    <row r="85" ht="27" customFormat="1" customHeight="1" s="2">
      <c r="A85" s="10" t="n">
        <v>84</v>
      </c>
      <c r="B85" s="12" t="inlineStr">
        <is>
          <t>Workflow Master</t>
        </is>
      </c>
      <c r="C85" s="9" t="inlineStr">
        <is>
          <t>WF-010</t>
        </is>
      </c>
      <c r="D85" s="12" t="inlineStr">
        <is>
          <t>System/Finance</t>
        </is>
      </c>
      <c r="E85" s="12" t="inlineStr">
        <is>
          <t>Settlement</t>
        </is>
      </c>
      <c r="F85" s="12" t="inlineStr">
        <is>
          <t>GMV -&gt; commission -&gt; refunds -&gt; adjustments -&gt; settlement -&gt; payout -&gt; reconciliation</t>
        </is>
      </c>
      <c r="G85" s="12" t="inlineStr">
        <is>
          <t>F10.2.1</t>
        </is>
      </c>
      <c r="H85" s="12" t="inlineStr">
        <is>
          <t>-</t>
        </is>
      </c>
      <c r="I85" s="10" t="inlineStr">
        <is>
          <t>COMPLETED</t>
        </is>
      </c>
      <c r="J85" s="12" t="inlineStr">
        <is>
          <t>Production (gokesari.com)</t>
        </is>
      </c>
      <c r="K85" s="12" t="inlineStr">
        <is>
          <t>Live</t>
        </is>
      </c>
      <c r="L85" s="12" t="inlineStr">
        <is>
          <t>#10</t>
        </is>
      </c>
      <c r="M85" s="12" t="inlineStr">
        <is>
          <t>#14</t>
        </is>
      </c>
      <c r="N85" s="12" t="inlineStr">
        <is>
          <t>-</t>
        </is>
      </c>
      <c r="O85" s="12" t="inlineStr">
        <is>
          <t>-</t>
        </is>
      </c>
      <c r="P85" s="12" t="inlineStr">
        <is>
          <t>COMPLETED</t>
        </is>
      </c>
      <c r="Q85" s="12" t="inlineStr">
        <is>
          <t>No change</t>
        </is>
      </c>
      <c r="R85" s="12" t="inlineStr">
        <is>
          <t>src/server/services/finance.ts</t>
        </is>
      </c>
    </row>
    <row r="86" ht="27" customFormat="1" customHeight="1" s="2">
      <c r="A86" s="10" t="n">
        <v>85</v>
      </c>
      <c r="B86" s="12" t="inlineStr">
        <is>
          <t>RBAC Matrix</t>
        </is>
      </c>
      <c r="C86" s="9" t="inlineStr">
        <is>
          <t>RBAC-001</t>
        </is>
      </c>
      <c r="D86" s="12" t="inlineStr">
        <is>
          <t>Security</t>
        </is>
      </c>
      <c r="E86" s="12" t="inlineStr">
        <is>
          <t>Browse/search</t>
        </is>
      </c>
      <c r="F86" s="12" t="inlineStr">
        <is>
          <t>Browsing and search are open to every role, including signed-out visitors.</t>
        </is>
      </c>
      <c r="G86" s="12" t="inlineStr">
        <is>
          <t>-</t>
        </is>
      </c>
      <c r="H86" s="12" t="inlineStr">
        <is>
          <t>-</t>
        </is>
      </c>
      <c r="I86" s="10" t="inlineStr">
        <is>
          <t>COMPLETED</t>
        </is>
      </c>
      <c r="J86" s="12" t="inlineStr">
        <is>
          <t>Production (gokesari.com)</t>
        </is>
      </c>
      <c r="K86" s="12" t="inlineStr">
        <is>
          <t>Live</t>
        </is>
      </c>
      <c r="L86" s="12" t="inlineStr">
        <is>
          <t>Baseline</t>
        </is>
      </c>
      <c r="M86" s="12" t="inlineStr">
        <is>
          <t>Baseline</t>
        </is>
      </c>
      <c r="N86" s="12" t="inlineStr">
        <is>
          <t>-</t>
        </is>
      </c>
      <c r="O86" s="12" t="inlineStr">
        <is>
          <t>-</t>
        </is>
      </c>
      <c r="P86" s="12" t="inlineStr">
        <is>
          <t>COMPLETED</t>
        </is>
      </c>
      <c r="Q86" s="12" t="inlineStr">
        <is>
          <t>No change</t>
        </is>
      </c>
      <c r="R86" s="12" t="inlineStr">
        <is>
          <t>-</t>
        </is>
      </c>
    </row>
    <row r="87" ht="27" customFormat="1" customHeight="1" s="2">
      <c r="A87" s="10" t="n">
        <v>86</v>
      </c>
      <c r="B87" s="12" t="inlineStr">
        <is>
          <t>RBAC Matrix</t>
        </is>
      </c>
      <c r="C87" s="9" t="inlineStr">
        <is>
          <t>RBAC-002</t>
        </is>
      </c>
      <c r="D87" s="12" t="inlineStr">
        <is>
          <t>Security</t>
        </is>
      </c>
      <c r="E87" s="12" t="inlineStr">
        <is>
          <t>Place order</t>
        </is>
      </c>
      <c r="F87" s="12" t="inlineStr">
        <is>
          <t>Personal orders for every role; B2B a separate flow (order_type PERSONAL/B2B, buyer_shop_id, ORDER_PLACE_B2B)</t>
        </is>
      </c>
      <c r="G87" s="12" t="inlineStr">
        <is>
          <t>-</t>
        </is>
      </c>
      <c r="H87" s="12" t="inlineStr">
        <is>
          <t>-</t>
        </is>
      </c>
      <c r="I87" s="10" t="inlineStr">
        <is>
          <t>COMPLETED</t>
        </is>
      </c>
      <c r="J87" s="12" t="inlineStr">
        <is>
          <t>Production (gokesari.com)</t>
        </is>
      </c>
      <c r="K87" s="12" t="inlineStr">
        <is>
          <t>Live</t>
        </is>
      </c>
      <c r="L87" s="12" t="inlineStr">
        <is>
          <t>Baseline; #10 (personal vs B2B)</t>
        </is>
      </c>
      <c r="M87" s="12" t="inlineStr">
        <is>
          <t>Baseline; #14</t>
        </is>
      </c>
      <c r="N87" s="12" t="inlineStr">
        <is>
          <t>-</t>
        </is>
      </c>
      <c r="O87" s="12" t="inlineStr">
        <is>
          <t>-</t>
        </is>
      </c>
      <c r="P87" s="12" t="inlineStr">
        <is>
          <t>COMPLETED</t>
        </is>
      </c>
      <c r="Q87" s="12" t="inlineStr">
        <is>
          <t>No change</t>
        </is>
      </c>
      <c r="R87" s="12" t="inlineStr">
        <is>
          <t>src/server/db/schema.ts (orderTypeEnum); src/server/authz/permissions.ts</t>
        </is>
      </c>
    </row>
    <row r="88" ht="27" customFormat="1" customHeight="1" s="2">
      <c r="A88" s="10" t="n">
        <v>87</v>
      </c>
      <c r="B88" s="12" t="inlineStr">
        <is>
          <t>RBAC Matrix</t>
        </is>
      </c>
      <c r="C88" s="9" t="inlineStr">
        <is>
          <t>RBAC-003</t>
        </is>
      </c>
      <c r="D88" s="12" t="inlineStr">
        <is>
          <t>Security</t>
        </is>
      </c>
      <c r="E88" s="12" t="inlineStr">
        <is>
          <t>Manage own shop</t>
        </is>
      </c>
      <c r="F88" s="12" t="inlineStr">
        <is>
          <t>Shop owners manage their own shop; admins full. No 'Limited' operator scope for shop management.</t>
        </is>
      </c>
      <c r="G88" s="12" t="inlineStr">
        <is>
          <t>F8.4.2</t>
        </is>
      </c>
      <c r="H88" s="12" t="inlineStr">
        <is>
          <t>-</t>
        </is>
      </c>
      <c r="I88" s="10" t="inlineStr">
        <is>
          <t>BLOCKED</t>
        </is>
      </c>
      <c r="J88" s="12" t="inlineStr">
        <is>
          <t>Production - partly live</t>
        </is>
      </c>
      <c r="K88" s="12" t="inlineStr">
        <is>
          <t>Live</t>
        </is>
      </c>
      <c r="L88" s="12" t="inlineStr">
        <is>
          <t>Baseline</t>
        </is>
      </c>
      <c r="M88" s="12" t="inlineStr">
        <is>
          <t>Baseline</t>
        </is>
      </c>
      <c r="N88" s="12" t="inlineStr">
        <is>
          <t>Define what an operator may change on a shop, then implement.</t>
        </is>
      </c>
      <c r="O88" s="12" t="inlineStr">
        <is>
          <t>Decision: what 'Limited' means</t>
        </is>
      </c>
      <c r="P88" s="12" t="inlineStr">
        <is>
          <t>BLOCKED</t>
        </is>
      </c>
      <c r="Q88" s="12" t="inlineStr">
        <is>
          <t>No change</t>
        </is>
      </c>
      <c r="R88" s="12" t="inlineStr">
        <is>
          <t>src/server/authz/permissions.ts</t>
        </is>
      </c>
    </row>
    <row r="89" ht="27" customFormat="1" customHeight="1" s="2">
      <c r="A89" s="10" t="n">
        <v>88</v>
      </c>
      <c r="B89" s="12" t="inlineStr">
        <is>
          <t>RBAC Matrix</t>
        </is>
      </c>
      <c r="C89" s="9" t="inlineStr">
        <is>
          <t>RBAC-004</t>
        </is>
      </c>
      <c r="D89" s="12" t="inlineStr">
        <is>
          <t>Security</t>
        </is>
      </c>
      <c r="E89" s="12" t="inlineStr">
        <is>
          <t>Manage catalog</t>
        </is>
      </c>
      <c r="F89" s="12" t="inlineStr">
        <is>
          <t>Shop owners manage their own listings, prices and stock; operators and admins manage any shop's catalogue (permission-gated).</t>
        </is>
      </c>
      <c r="G89" s="12" t="inlineStr">
        <is>
          <t>-</t>
        </is>
      </c>
      <c r="H89" s="12" t="inlineStr">
        <is>
          <t>-</t>
        </is>
      </c>
      <c r="I89" s="10" t="inlineStr">
        <is>
          <t>COMPLETED</t>
        </is>
      </c>
      <c r="J89" s="12" t="inlineStr">
        <is>
          <t>Production (gokesari.com)</t>
        </is>
      </c>
      <c r="K89" s="12" t="inlineStr">
        <is>
          <t>Live</t>
        </is>
      </c>
      <c r="L89" s="12" t="inlineStr">
        <is>
          <t>Baseline; #38</t>
        </is>
      </c>
      <c r="M89" s="12" t="inlineStr">
        <is>
          <t>Baseline; #43</t>
        </is>
      </c>
      <c r="N89" s="12" t="inlineStr">
        <is>
          <t>-</t>
        </is>
      </c>
      <c r="O89" s="12" t="inlineStr">
        <is>
          <t>-</t>
        </is>
      </c>
      <c r="P89" s="12" t="inlineStr">
        <is>
          <t>COMPLETED</t>
        </is>
      </c>
      <c r="Q89" s="12" t="inlineStr">
        <is>
          <t>No change</t>
        </is>
      </c>
      <c r="R89" s="12" t="inlineStr">
        <is>
          <t>-</t>
        </is>
      </c>
    </row>
    <row r="90" ht="27" customFormat="1" customHeight="1" s="2">
      <c r="A90" s="10" t="n">
        <v>89</v>
      </c>
      <c r="B90" s="12" t="inlineStr">
        <is>
          <t>RBAC Matrix</t>
        </is>
      </c>
      <c r="C90" s="9" t="inlineStr">
        <is>
          <t>RBAC-005</t>
        </is>
      </c>
      <c r="D90" s="12" t="inlineStr">
        <is>
          <t>Security</t>
        </is>
      </c>
      <c r="E90" s="12" t="inlineStr">
        <is>
          <t>Upload product lists</t>
        </is>
      </c>
      <c r="F90" s="12" t="inlineStr">
        <is>
          <t>Shop owners upload Excel product / price lists for their own shop; operators and admins for any shop.</t>
        </is>
      </c>
      <c r="G90" s="12" t="inlineStr">
        <is>
          <t>F9.2.2</t>
        </is>
      </c>
      <c r="H90" s="12" t="inlineStr">
        <is>
          <t>-</t>
        </is>
      </c>
      <c r="I90" s="10" t="inlineStr">
        <is>
          <t>COMPLETED</t>
        </is>
      </c>
      <c r="J90" s="12" t="inlineStr">
        <is>
          <t>Production (gokesari.com)</t>
        </is>
      </c>
      <c r="K90" s="12" t="inlineStr">
        <is>
          <t>Live</t>
        </is>
      </c>
      <c r="L90" s="12" t="inlineStr">
        <is>
          <t>Baseline</t>
        </is>
      </c>
      <c r="M90" s="12" t="inlineStr">
        <is>
          <t>Baseline</t>
        </is>
      </c>
      <c r="N90" s="12" t="inlineStr">
        <is>
          <t>-</t>
        </is>
      </c>
      <c r="O90" s="12" t="inlineStr">
        <is>
          <t>-</t>
        </is>
      </c>
      <c r="P90" s="12" t="inlineStr">
        <is>
          <t>COMPLETED</t>
        </is>
      </c>
      <c r="Q90" s="12" t="inlineStr">
        <is>
          <t>No change</t>
        </is>
      </c>
      <c r="R90" s="12" t="inlineStr">
        <is>
          <t>-</t>
        </is>
      </c>
    </row>
    <row r="91" ht="15" customFormat="1" customHeight="1" s="2">
      <c r="A91" s="10" t="n">
        <v>90</v>
      </c>
      <c r="B91" s="12" t="inlineStr">
        <is>
          <t>RBAC Matrix</t>
        </is>
      </c>
      <c r="C91" s="9" t="inlineStr">
        <is>
          <t>RBAC-006</t>
        </is>
      </c>
      <c r="D91" s="12" t="inlineStr">
        <is>
          <t>Security</t>
        </is>
      </c>
      <c r="E91" s="12" t="inlineStr">
        <is>
          <t>Verify shop</t>
        </is>
      </c>
      <c r="F91" s="12" t="inlineStr">
        <is>
          <t>Only operators and admins can approve, reject or suspend shops.</t>
        </is>
      </c>
      <c r="G91" s="12" t="inlineStr">
        <is>
          <t>F8.3.1</t>
        </is>
      </c>
      <c r="H91" s="12" t="inlineStr">
        <is>
          <t>-</t>
        </is>
      </c>
      <c r="I91" s="10" t="inlineStr">
        <is>
          <t>COMPLETED</t>
        </is>
      </c>
      <c r="J91" s="12" t="inlineStr">
        <is>
          <t>Production (gokesari.com)</t>
        </is>
      </c>
      <c r="K91" s="12" t="inlineStr">
        <is>
          <t>Live</t>
        </is>
      </c>
      <c r="L91" s="12" t="inlineStr">
        <is>
          <t>Baseline</t>
        </is>
      </c>
      <c r="M91" s="12" t="inlineStr">
        <is>
          <t>Baseline</t>
        </is>
      </c>
      <c r="N91" s="12" t="inlineStr">
        <is>
          <t>-</t>
        </is>
      </c>
      <c r="O91" s="12" t="inlineStr">
        <is>
          <t>-</t>
        </is>
      </c>
      <c r="P91" s="12" t="inlineStr">
        <is>
          <t>COMPLETED</t>
        </is>
      </c>
      <c r="Q91" s="12" t="inlineStr">
        <is>
          <t>No change</t>
        </is>
      </c>
      <c r="R91" s="12" t="inlineStr">
        <is>
          <t>-</t>
        </is>
      </c>
    </row>
    <row r="92" ht="63" customFormat="1" customHeight="1" s="2">
      <c r="A92" s="10" t="n">
        <v>91</v>
      </c>
      <c r="B92" s="12" t="inlineStr">
        <is>
          <t>RBAC Matrix</t>
        </is>
      </c>
      <c r="C92" s="9" t="inlineStr">
        <is>
          <t>RBAC-007</t>
        </is>
      </c>
      <c r="D92" s="12" t="inlineStr">
        <is>
          <t>Security</t>
        </is>
      </c>
      <c r="E92" s="12" t="inlineStr">
        <is>
          <t>Assign delivery</t>
        </is>
      </c>
      <c r="F92" s="12"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12" t="inlineStr">
        <is>
          <t>F3.3.1</t>
        </is>
      </c>
      <c r="H92" s="12" t="inlineStr">
        <is>
          <t>-</t>
        </is>
      </c>
      <c r="I92" s="10" t="inlineStr">
        <is>
          <t>COMPLETED</t>
        </is>
      </c>
      <c r="J92" s="12" t="inlineStr">
        <is>
          <t>Production (gokesari.com)</t>
        </is>
      </c>
      <c r="K92" s="12" t="inlineStr">
        <is>
          <t>Live</t>
        </is>
      </c>
      <c r="L92" s="12" t="inlineStr">
        <is>
          <t>Baseline; #10; #23 (Phase C)</t>
        </is>
      </c>
      <c r="M92" s="12" t="inlineStr">
        <is>
          <t>Baseline; #14; #23</t>
        </is>
      </c>
      <c r="N92" s="12" t="inlineStr">
        <is>
          <t>-</t>
        </is>
      </c>
      <c r="O92" s="12" t="inlineStr">
        <is>
          <t>-</t>
        </is>
      </c>
      <c r="P92" s="12" t="inlineStr">
        <is>
          <t>COMPLETED</t>
        </is>
      </c>
      <c r="Q92" s="12" t="inlineStr">
        <is>
          <t>No change</t>
        </is>
      </c>
      <c r="R92" s="12" t="inlineStr">
        <is>
          <t>src/server/services/delivery-assignment.ts; src/app/api/orders/[id]/assign/route.ts; drizzle/0027</t>
        </is>
      </c>
    </row>
    <row r="93" ht="27" customFormat="1" customHeight="1" s="2">
      <c r="A93" s="10" t="n">
        <v>92</v>
      </c>
      <c r="B93" s="12" t="inlineStr">
        <is>
          <t>RBAC Matrix</t>
        </is>
      </c>
      <c r="C93" s="9" t="inlineStr">
        <is>
          <t>RBAC-008</t>
        </is>
      </c>
      <c r="D93" s="12" t="inlineStr">
        <is>
          <t>Security</t>
        </is>
      </c>
      <c r="E93" s="12" t="inlineStr">
        <is>
          <t>Manage own availability</t>
        </is>
      </c>
      <c r="F93" s="12" t="inlineStr">
        <is>
          <t>Riders set their own online / offline status; admins can also take a rider offline.</t>
        </is>
      </c>
      <c r="G93" s="12" t="inlineStr">
        <is>
          <t>-</t>
        </is>
      </c>
      <c r="H93" s="12" t="inlineStr">
        <is>
          <t>-</t>
        </is>
      </c>
      <c r="I93" s="10" t="inlineStr">
        <is>
          <t>COMPLETED</t>
        </is>
      </c>
      <c r="J93" s="12" t="inlineStr">
        <is>
          <t>Production (gokesari.com)</t>
        </is>
      </c>
      <c r="K93" s="12" t="inlineStr">
        <is>
          <t>Live</t>
        </is>
      </c>
      <c r="L93" s="12" t="inlineStr">
        <is>
          <t>Baseline</t>
        </is>
      </c>
      <c r="M93" s="12" t="inlineStr">
        <is>
          <t>Baseline</t>
        </is>
      </c>
      <c r="N93" s="12" t="inlineStr">
        <is>
          <t>-</t>
        </is>
      </c>
      <c r="O93" s="12" t="inlineStr">
        <is>
          <t>-</t>
        </is>
      </c>
      <c r="P93" s="12" t="inlineStr">
        <is>
          <t>COMPLETED</t>
        </is>
      </c>
      <c r="Q93" s="12" t="inlineStr">
        <is>
          <t>No change</t>
        </is>
      </c>
      <c r="R93" s="12" t="inlineStr">
        <is>
          <t>-</t>
        </is>
      </c>
    </row>
    <row r="94" ht="15" customFormat="1" customHeight="1" s="2">
      <c r="A94" s="10" t="n">
        <v>93</v>
      </c>
      <c r="B94" s="12" t="inlineStr">
        <is>
          <t>RBAC Matrix</t>
        </is>
      </c>
      <c r="C94" s="9" t="inlineStr">
        <is>
          <t>RBAC-009</t>
        </is>
      </c>
      <c r="D94" s="12" t="inlineStr">
        <is>
          <t>Security</t>
        </is>
      </c>
      <c r="E94" s="12" t="inlineStr">
        <is>
          <t>Whitelist Gig workers</t>
        </is>
      </c>
      <c r="F94" s="12" t="inlineStr">
        <is>
          <t>Society-scoped roles; SOCIETY_MANAGE_ANY for platform staff</t>
        </is>
      </c>
      <c r="G94" s="12" t="inlineStr">
        <is>
          <t>F5.2.1</t>
        </is>
      </c>
      <c r="H94" s="12" t="inlineStr">
        <is>
          <t>-</t>
        </is>
      </c>
      <c r="I94" s="10" t="inlineStr">
        <is>
          <t>COMPLETED</t>
        </is>
      </c>
      <c r="J94" s="12" t="inlineStr">
        <is>
          <t>Production (gokesari.com)</t>
        </is>
      </c>
      <c r="K94" s="12" t="inlineStr">
        <is>
          <t>Live</t>
        </is>
      </c>
      <c r="L94" s="12" t="inlineStr">
        <is>
          <t>#11</t>
        </is>
      </c>
      <c r="M94" s="12" t="inlineStr">
        <is>
          <t>#19</t>
        </is>
      </c>
      <c r="N94" s="12" t="inlineStr">
        <is>
          <t>-</t>
        </is>
      </c>
      <c r="O94" s="12" t="inlineStr">
        <is>
          <t>-</t>
        </is>
      </c>
      <c r="P94" s="12" t="inlineStr">
        <is>
          <t>COMPLETED</t>
        </is>
      </c>
      <c r="Q94" s="12" t="inlineStr">
        <is>
          <t>No change</t>
        </is>
      </c>
      <c r="R94" s="12" t="inlineStr">
        <is>
          <t>src/server/authz/permissions.ts</t>
        </is>
      </c>
    </row>
    <row r="95" ht="39" customFormat="1" customHeight="1" s="2">
      <c r="A95" s="10" t="n">
        <v>94</v>
      </c>
      <c r="B95" s="12" t="inlineStr">
        <is>
          <t>RBAC Matrix</t>
        </is>
      </c>
      <c r="C95" s="9" t="inlineStr">
        <is>
          <t>RBAC-010</t>
        </is>
      </c>
      <c r="D95" s="12" t="inlineStr">
        <is>
          <t>Security</t>
        </is>
      </c>
      <c r="E95" s="12" t="inlineStr">
        <is>
          <t>View all orders</t>
        </is>
      </c>
      <c r="F95" s="12" t="inlineStr">
        <is>
          <t>ORDER_VIEW_OWN / _SHOP / _ANY; society dashboard shows society deliveries without customer PII; operator holds ORDER_VIEW_ANY and now has its own order-monitoring screen with status/shop/date filters</t>
        </is>
      </c>
      <c r="G95" s="12" t="inlineStr">
        <is>
          <t>-</t>
        </is>
      </c>
      <c r="H95" s="12" t="inlineStr">
        <is>
          <t>-</t>
        </is>
      </c>
      <c r="I95" s="10" t="inlineStr">
        <is>
          <t>COMPLETED</t>
        </is>
      </c>
      <c r="J95" s="12" t="inlineStr">
        <is>
          <t>Production (gokesari.com)</t>
        </is>
      </c>
      <c r="K95" s="12" t="inlineStr">
        <is>
          <t>Live</t>
        </is>
      </c>
      <c r="L95" s="12" t="inlineStr">
        <is>
          <t>Baseline; #21 (order monitoring)</t>
        </is>
      </c>
      <c r="M95" s="12" t="inlineStr">
        <is>
          <t>Baseline; #19</t>
        </is>
      </c>
      <c r="N95" s="12" t="inlineStr">
        <is>
          <t>-</t>
        </is>
      </c>
      <c r="O95" s="12" t="inlineStr">
        <is>
          <t>-</t>
        </is>
      </c>
      <c r="P95" s="12" t="inlineStr">
        <is>
          <t>COMPLETED</t>
        </is>
      </c>
      <c r="Q95" s="12" t="inlineStr">
        <is>
          <t>No change</t>
        </is>
      </c>
      <c r="R95" s="12" t="inlineStr">
        <is>
          <t>src/server/authz/permissions.ts:284-306; src/app/admin/orders/page.tsx; src/components/order-monitoring-table.tsx</t>
        </is>
      </c>
    </row>
    <row r="96" ht="15" customFormat="1" customHeight="1" s="2">
      <c r="A96" s="10" t="n">
        <v>95</v>
      </c>
      <c r="B96" s="12" t="inlineStr">
        <is>
          <t>RBAC Matrix</t>
        </is>
      </c>
      <c r="C96" s="9" t="inlineStr">
        <is>
          <t>RBAC-011</t>
        </is>
      </c>
      <c r="D96" s="12" t="inlineStr">
        <is>
          <t>Security</t>
        </is>
      </c>
      <c r="E96" s="12" t="inlineStr">
        <is>
          <t>Refund approval</t>
        </is>
      </c>
      <c r="F96" s="12" t="inlineStr">
        <is>
          <t>ORDER_REFUND for operator/admin</t>
        </is>
      </c>
      <c r="G96" s="12" t="inlineStr">
        <is>
          <t>-</t>
        </is>
      </c>
      <c r="H96" s="12" t="inlineStr">
        <is>
          <t>-</t>
        </is>
      </c>
      <c r="I96" s="10" t="inlineStr">
        <is>
          <t>COMPLETED</t>
        </is>
      </c>
      <c r="J96" s="12" t="inlineStr">
        <is>
          <t>Production (gokesari.com)</t>
        </is>
      </c>
      <c r="K96" s="12" t="inlineStr">
        <is>
          <t>Live</t>
        </is>
      </c>
      <c r="L96" s="12" t="inlineStr">
        <is>
          <t>#10</t>
        </is>
      </c>
      <c r="M96" s="12" t="inlineStr">
        <is>
          <t>#14</t>
        </is>
      </c>
      <c r="N96" s="12" t="inlineStr">
        <is>
          <t>-</t>
        </is>
      </c>
      <c r="O96" s="12" t="inlineStr">
        <is>
          <t>-</t>
        </is>
      </c>
      <c r="P96" s="12" t="inlineStr">
        <is>
          <t>COMPLETED</t>
        </is>
      </c>
      <c r="Q96" s="12" t="inlineStr">
        <is>
          <t>No change</t>
        </is>
      </c>
      <c r="R96" s="12" t="inlineStr">
        <is>
          <t>src/server/authz/permissions.ts</t>
        </is>
      </c>
    </row>
    <row r="97" ht="15" customFormat="1" customHeight="1" s="2">
      <c r="A97" s="10" t="n">
        <v>96</v>
      </c>
      <c r="B97" s="12" t="inlineStr">
        <is>
          <t>RBAC Matrix</t>
        </is>
      </c>
      <c r="C97" s="9" t="inlineStr">
        <is>
          <t>RBAC-012</t>
        </is>
      </c>
      <c r="D97" s="12" t="inlineStr">
        <is>
          <t>Security</t>
        </is>
      </c>
      <c r="E97" s="12" t="inlineStr">
        <is>
          <t>Settlement</t>
        </is>
      </c>
      <c r="F97" s="12" t="inlineStr">
        <is>
          <t>Settlement visibility per role; operator exceptions-only view</t>
        </is>
      </c>
      <c r="G97" s="12" t="inlineStr">
        <is>
          <t>-</t>
        </is>
      </c>
      <c r="H97" s="12" t="inlineStr">
        <is>
          <t>-</t>
        </is>
      </c>
      <c r="I97" s="10" t="inlineStr">
        <is>
          <t>COMPLETED</t>
        </is>
      </c>
      <c r="J97" s="12" t="inlineStr">
        <is>
          <t>Production (gokesari.com)</t>
        </is>
      </c>
      <c r="K97" s="12" t="inlineStr">
        <is>
          <t>Live</t>
        </is>
      </c>
      <c r="L97" s="12" t="inlineStr">
        <is>
          <t>#10</t>
        </is>
      </c>
      <c r="M97" s="12" t="inlineStr">
        <is>
          <t>#14</t>
        </is>
      </c>
      <c r="N97" s="12" t="inlineStr">
        <is>
          <t>-</t>
        </is>
      </c>
      <c r="O97" s="12" t="inlineStr">
        <is>
          <t>-</t>
        </is>
      </c>
      <c r="P97" s="12" t="inlineStr">
        <is>
          <t>COMPLETED</t>
        </is>
      </c>
      <c r="Q97" s="12" t="inlineStr">
        <is>
          <t>No change</t>
        </is>
      </c>
      <c r="R97" s="12" t="inlineStr">
        <is>
          <t>src/server/authz/permissions.ts</t>
        </is>
      </c>
    </row>
    <row r="98" ht="27" customFormat="1" customHeight="1" s="2">
      <c r="A98" s="10" t="n">
        <v>97</v>
      </c>
      <c r="B98" s="12" t="inlineStr">
        <is>
          <t>RBAC Matrix</t>
        </is>
      </c>
      <c r="C98" s="9" t="inlineStr">
        <is>
          <t>RBAC-013</t>
        </is>
      </c>
      <c r="D98" s="12" t="inlineStr">
        <is>
          <t>Security</t>
        </is>
      </c>
      <c r="E98" s="12" t="inlineStr">
        <is>
          <t>Manage users/roles</t>
        </is>
      </c>
      <c r="F98" s="12" t="inlineStr">
        <is>
          <t>Admins assign roles, grant multiple roles and edit privileges (explicit Save, last-admin guard); operators view users but cannot change roles.</t>
        </is>
      </c>
      <c r="G98" s="12" t="inlineStr">
        <is>
          <t>-</t>
        </is>
      </c>
      <c r="H98" s="12" t="inlineStr">
        <is>
          <t>-</t>
        </is>
      </c>
      <c r="I98" s="10" t="inlineStr">
        <is>
          <t>COMPLETED</t>
        </is>
      </c>
      <c r="J98" s="12" t="inlineStr">
        <is>
          <t>Production (gokesari.com)</t>
        </is>
      </c>
      <c r="K98" s="12" t="inlineStr">
        <is>
          <t>Live</t>
        </is>
      </c>
      <c r="L98" s="12" t="inlineStr">
        <is>
          <t>Baseline (role assignment); #18 (multi-role); #30 (privileges screen)</t>
        </is>
      </c>
      <c r="M98" s="12" t="inlineStr">
        <is>
          <t>Baseline; #19; #32</t>
        </is>
      </c>
      <c r="N98" s="12" t="inlineStr">
        <is>
          <t>-</t>
        </is>
      </c>
      <c r="O98" s="12" t="inlineStr">
        <is>
          <t>-</t>
        </is>
      </c>
      <c r="P98" s="12" t="inlineStr">
        <is>
          <t>COMPLETED</t>
        </is>
      </c>
      <c r="Q98" s="12" t="inlineStr">
        <is>
          <t>No change</t>
        </is>
      </c>
      <c r="R98" s="12" t="inlineStr">
        <is>
          <t>-</t>
        </is>
      </c>
    </row>
    <row r="99" ht="15" customFormat="1" customHeight="1" s="2">
      <c r="A99" s="10" t="n">
        <v>98</v>
      </c>
      <c r="B99" s="12" t="inlineStr">
        <is>
          <t>RBAC Matrix</t>
        </is>
      </c>
      <c r="C99" s="9" t="inlineStr">
        <is>
          <t>RBAC-014</t>
        </is>
      </c>
      <c r="D99" s="12" t="inlineStr">
        <is>
          <t>Security</t>
        </is>
      </c>
      <c r="E99" s="12" t="inlineStr">
        <is>
          <t>System configuration</t>
        </is>
      </c>
      <c r="F99" s="12" t="inlineStr">
        <is>
          <t>Extended by NEW-001 (business-rules console, Phase A-J)</t>
        </is>
      </c>
      <c r="G99" s="12" t="inlineStr">
        <is>
          <t>-</t>
        </is>
      </c>
      <c r="H99" s="12" t="inlineStr">
        <is>
          <t>-</t>
        </is>
      </c>
      <c r="I99" s="10" t="inlineStr">
        <is>
          <t>COMPLETED</t>
        </is>
      </c>
      <c r="J99" s="12" t="inlineStr">
        <is>
          <t>Production (gokesari.com)</t>
        </is>
      </c>
      <c r="K99" s="12" t="inlineStr">
        <is>
          <t>Live</t>
        </is>
      </c>
      <c r="L99" s="12" t="inlineStr">
        <is>
          <t>#23 (settings screen)</t>
        </is>
      </c>
      <c r="M99" s="12" t="inlineStr">
        <is>
          <t>#23</t>
        </is>
      </c>
      <c r="N99" s="12" t="inlineStr">
        <is>
          <t>-</t>
        </is>
      </c>
      <c r="O99" s="12" t="inlineStr">
        <is>
          <t>-</t>
        </is>
      </c>
      <c r="P99" s="12" t="inlineStr">
        <is>
          <t>COMPLETED</t>
        </is>
      </c>
      <c r="Q99" s="12" t="inlineStr">
        <is>
          <t>No change</t>
        </is>
      </c>
      <c r="R99" s="12" t="inlineStr">
        <is>
          <t>-</t>
        </is>
      </c>
    </row>
    <row r="100" ht="15" customFormat="1" customHeight="1" s="2">
      <c r="A100" s="10" t="n">
        <v>99</v>
      </c>
      <c r="B100" s="12" t="inlineStr">
        <is>
          <t>RBAC Matrix</t>
        </is>
      </c>
      <c r="C100" s="9" t="inlineStr">
        <is>
          <t>RBAC-015</t>
        </is>
      </c>
      <c r="D100" s="12" t="inlineStr">
        <is>
          <t>Security</t>
        </is>
      </c>
      <c r="E100" s="12" t="inlineStr">
        <is>
          <t>Audit logs</t>
        </is>
      </c>
      <c r="F100" s="12" t="inlineStr">
        <is>
          <t>Admins read the full audit log; operators get a limited audit view.</t>
        </is>
      </c>
      <c r="G100" s="12" t="inlineStr">
        <is>
          <t>-</t>
        </is>
      </c>
      <c r="H100" s="12" t="inlineStr">
        <is>
          <t>-</t>
        </is>
      </c>
      <c r="I100" s="10" t="inlineStr">
        <is>
          <t>COMPLETED</t>
        </is>
      </c>
      <c r="J100" s="12" t="inlineStr">
        <is>
          <t>Production (gokesari.com)</t>
        </is>
      </c>
      <c r="K100" s="12" t="inlineStr">
        <is>
          <t>Live</t>
        </is>
      </c>
      <c r="L100" s="12" t="inlineStr">
        <is>
          <t>#10</t>
        </is>
      </c>
      <c r="M100" s="12" t="inlineStr">
        <is>
          <t>#14</t>
        </is>
      </c>
      <c r="N100" s="12" t="inlineStr">
        <is>
          <t>-</t>
        </is>
      </c>
      <c r="O100" s="12" t="inlineStr">
        <is>
          <t>-</t>
        </is>
      </c>
      <c r="P100" s="12" t="inlineStr">
        <is>
          <t>COMPLETED</t>
        </is>
      </c>
      <c r="Q100" s="12" t="inlineStr">
        <is>
          <t>No change</t>
        </is>
      </c>
      <c r="R100" s="12" t="inlineStr">
        <is>
          <t>-</t>
        </is>
      </c>
    </row>
    <row r="101" ht="27" customFormat="1" customHeight="1" s="2">
      <c r="A101" s="10" t="n">
        <v>100</v>
      </c>
      <c r="B101" s="12" t="inlineStr">
        <is>
          <t>State Machines</t>
        </is>
      </c>
      <c r="C101" s="9" t="inlineStr">
        <is>
          <t>SM-001</t>
        </is>
      </c>
      <c r="D101" s="12" t="inlineStr">
        <is>
          <t>Order</t>
        </is>
      </c>
      <c r="E101" s="12" t="inlineStr">
        <is>
          <t>Order state machine</t>
        </is>
      </c>
      <c r="F101" s="12" t="inlineStr">
        <is>
          <t>ACCEPTED, ASSIGNED, PICKED_UP, FAILED, RETURNED, DISPUTED added; full transition table + history + audit</t>
        </is>
      </c>
      <c r="G101" s="12" t="inlineStr">
        <is>
          <t>F4.2.7</t>
        </is>
      </c>
      <c r="H101" s="12" t="inlineStr">
        <is>
          <t>-</t>
        </is>
      </c>
      <c r="I101" s="10" t="inlineStr">
        <is>
          <t>COMPLETED</t>
        </is>
      </c>
      <c r="J101" s="12" t="inlineStr">
        <is>
          <t>Production (gokesari.com)</t>
        </is>
      </c>
      <c r="K101" s="12" t="inlineStr">
        <is>
          <t>Live</t>
        </is>
      </c>
      <c r="L101" s="12" t="inlineStr">
        <is>
          <t>Baseline; #10</t>
        </is>
      </c>
      <c r="M101" s="12" t="inlineStr">
        <is>
          <t>Baseline; #14</t>
        </is>
      </c>
      <c r="N101" s="12" t="inlineStr">
        <is>
          <t>-</t>
        </is>
      </c>
      <c r="O101" s="12" t="inlineStr">
        <is>
          <t>-</t>
        </is>
      </c>
      <c r="P101" s="12" t="inlineStr">
        <is>
          <t>COMPLETED</t>
        </is>
      </c>
      <c r="Q101" s="12" t="inlineStr">
        <is>
          <t>No change</t>
        </is>
      </c>
      <c r="R101" s="12" t="inlineStr">
        <is>
          <t>src/server/db/schema.ts:123 (orderStatusEnum)</t>
        </is>
      </c>
    </row>
    <row r="102" ht="87" customFormat="1" customHeight="1" s="2">
      <c r="A102" s="10" t="n">
        <v>101</v>
      </c>
      <c r="B102" s="12" t="inlineStr">
        <is>
          <t>State Machines</t>
        </is>
      </c>
      <c r="C102" s="9" t="inlineStr">
        <is>
          <t>SM-002</t>
        </is>
      </c>
      <c r="D102" s="12" t="inlineStr">
        <is>
          <t>Shop</t>
        </is>
      </c>
      <c r="E102" s="12" t="inlineStr">
        <is>
          <t>Shop state machine</t>
        </is>
      </c>
      <c r="F102" s="12"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12" t="inlineStr">
        <is>
          <t>F8.2.4</t>
        </is>
      </c>
      <c r="H102" s="12" t="inlineStr">
        <is>
          <t>-</t>
        </is>
      </c>
      <c r="I102" s="10" t="inlineStr">
        <is>
          <t>COMPLETED</t>
        </is>
      </c>
      <c r="J102" s="12" t="inlineStr">
        <is>
          <t>Production (gokesari.com)</t>
        </is>
      </c>
      <c r="K102" s="12" t="inlineStr">
        <is>
          <t>Live since release #65 (migration 0051); the approval gate follows statusModels.enforceTransitions (true)</t>
        </is>
      </c>
      <c r="L102" s="12" t="inlineStr">
        <is>
          <t>#23 (Phase G suspension); #55 (F1); #58</t>
        </is>
      </c>
      <c r="M102" s="12" t="inlineStr">
        <is>
          <t>#23; #57; #65</t>
        </is>
      </c>
      <c r="N102" s="12" t="inlineStr">
        <is>
          <t>APPLIED is not a separate stage (a registered shop starts in KYC_PENDING).</t>
        </is>
      </c>
      <c r="O102" s="12" t="inlineStr">
        <is>
          <t>-</t>
        </is>
      </c>
      <c r="P102" s="12" t="inlineStr">
        <is>
          <t>COMPLETED</t>
        </is>
      </c>
      <c r="Q102" s="12" t="inlineStr">
        <is>
          <t>No change</t>
        </is>
      </c>
      <c r="R102" s="12" t="inlineStr">
        <is>
          <t>drizzle/0051_shop_onboarding_states.sql; src/lib/shop-onboarding.ts; src/server/services/shop-onboarding.ts; tests/integration/shop-onboarding-states.test.ts</t>
        </is>
      </c>
    </row>
    <row r="103" ht="63" customFormat="1" customHeight="1" s="2">
      <c r="A103" s="10" t="n">
        <v>102</v>
      </c>
      <c r="B103" s="12" t="inlineStr">
        <is>
          <t>State Machines</t>
        </is>
      </c>
      <c r="C103" s="9" t="inlineStr">
        <is>
          <t>SM-003</t>
        </is>
      </c>
      <c r="D103" s="12" t="inlineStr">
        <is>
          <t>Gig</t>
        </is>
      </c>
      <c r="E103" s="12" t="inlineStr">
        <is>
          <t>Gig state machine</t>
        </is>
      </c>
      <c r="F103" s="12"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12" t="inlineStr">
        <is>
          <t>-</t>
        </is>
      </c>
      <c r="H103" s="12" t="inlineStr">
        <is>
          <t>-</t>
        </is>
      </c>
      <c r="I103" s="10" t="inlineStr">
        <is>
          <t>COMPLETED</t>
        </is>
      </c>
      <c r="J103" s="12" t="inlineStr">
        <is>
          <t>Production (gokesari.com)</t>
        </is>
      </c>
      <c r="K103" s="12" t="inlineStr">
        <is>
          <t>Live since release #57 (migration 0042) (statusModels.enforceTransitions = true)</t>
        </is>
      </c>
      <c r="L103" s="12" t="inlineStr">
        <is>
          <t>#23 (Phase C checkpoints); #55 (F1)</t>
        </is>
      </c>
      <c r="M103" s="12" t="inlineStr">
        <is>
          <t>#23; #57</t>
        </is>
      </c>
      <c r="N103" s="12" t="inlineStr">
        <is>
          <t>Mapping, not new enum values: APPLIED + KYC_PENDING = ONBOARDING (detail kept in REGISTERED / UNDER_REVIEW), ONLINE = AVAILABLE, ASSIGNED = BUSY, PICKED_UP / DELIVERING = ON_DELIVERY, BLOCKED = SUSPENDED.</t>
        </is>
      </c>
      <c r="O103" s="12" t="inlineStr">
        <is>
          <t>-</t>
        </is>
      </c>
      <c r="P103" s="12" t="inlineStr">
        <is>
          <t>COMPLETED</t>
        </is>
      </c>
      <c r="Q103" s="12" t="inlineStr">
        <is>
          <t>No change</t>
        </is>
      </c>
      <c r="R103" s="12" t="inlineStr">
        <is>
          <t>src/lib/status-models.ts; drizzle/0042_status_models.sql; tests/integration/status-models.test.ts</t>
        </is>
      </c>
    </row>
    <row r="104" ht="87" customFormat="1" customHeight="1" s="2">
      <c r="A104" s="10" t="n">
        <v>103</v>
      </c>
      <c r="B104" s="12" t="inlineStr">
        <is>
          <t>State Machines</t>
        </is>
      </c>
      <c r="C104" s="9" t="inlineStr">
        <is>
          <t>SM-004</t>
        </is>
      </c>
      <c r="D104" s="12" t="inlineStr">
        <is>
          <t>Subscription</t>
        </is>
      </c>
      <c r="E104" s="12" t="inlineStr">
        <is>
          <t>Subscription state machine</t>
        </is>
      </c>
      <c r="F104" s="12"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12" t="inlineStr">
        <is>
          <t>F7.1.1, F7.3.2</t>
        </is>
      </c>
      <c r="H104" s="12" t="inlineStr">
        <is>
          <t>-</t>
        </is>
      </c>
      <c r="I104" s="10" t="inlineStr">
        <is>
          <t>COMPLETED</t>
        </is>
      </c>
      <c r="J104" s="12" t="inlineStr">
        <is>
          <t>Production (gokesari.com)</t>
        </is>
      </c>
      <c r="K104" s="12" t="inlineStr">
        <is>
          <t>Live since release #65 (migration 0052) (renewal rule subscriptionRenewal on: 3 days' notice before the end date, 1 day of payment cover)</t>
        </is>
      </c>
      <c r="L104" s="12" t="inlineStr">
        <is>
          <t>#11; #55 (F1); #58</t>
        </is>
      </c>
      <c r="M104" s="12" t="inlineStr">
        <is>
          <t>#19; #57; #65</t>
        </is>
      </c>
      <c r="N104" s="12" t="inlineStr">
        <is>
          <t>-</t>
        </is>
      </c>
      <c r="O104" s="12" t="inlineStr">
        <is>
          <t>-</t>
        </is>
      </c>
      <c r="P104" s="12" t="inlineStr">
        <is>
          <t>COMPLETED</t>
        </is>
      </c>
      <c r="Q104" s="12" t="inlineStr">
        <is>
          <t>No change</t>
        </is>
      </c>
      <c r="R104" s="12" t="inlineStr">
        <is>
          <t>drizzle/0052_subscription_states.sql; src/server/services/subscription-schedule.ts; src/server/services/subscription-renewal.ts; tests/integration/subscription-states.test.ts</t>
        </is>
      </c>
    </row>
    <row r="105" ht="51" customFormat="1" customHeight="1" s="2">
      <c r="A105" s="10" t="n">
        <v>104</v>
      </c>
      <c r="B105" s="12" t="inlineStr">
        <is>
          <t>State Machines</t>
        </is>
      </c>
      <c r="C105" s="9" t="inlineStr">
        <is>
          <t>SM-005</t>
        </is>
      </c>
      <c r="D105" s="12" t="inlineStr">
        <is>
          <t>Payment</t>
        </is>
      </c>
      <c r="E105" s="12" t="inlineStr">
        <is>
          <t>Payment state machine</t>
        </is>
      </c>
      <c r="F105" s="12" t="inlineStr">
        <is>
          <t>Unchanged: payment_status CREATED / PENDING / SUCCESS / FAILED / REFUNDED (wallet top-ups only).</t>
        </is>
      </c>
      <c r="G105" s="12" t="inlineStr">
        <is>
          <t>F1.8.4</t>
        </is>
      </c>
      <c r="H105" s="12" t="inlineStr">
        <is>
          <t>-</t>
        </is>
      </c>
      <c r="I105" s="10" t="inlineStr">
        <is>
          <t>BLOCKED</t>
        </is>
      </c>
      <c r="J105" s="12" t="inlineStr">
        <is>
          <t>Production - partly live</t>
        </is>
      </c>
      <c r="K105" s="12" t="inlineStr">
        <is>
          <t>Live</t>
        </is>
      </c>
      <c r="L105" s="12" t="inlineStr">
        <is>
          <t>Baseline</t>
        </is>
      </c>
      <c r="M105" s="12" t="inlineStr">
        <is>
          <t>Baseline</t>
        </is>
      </c>
      <c r="N105" s="12" t="inlineStr">
        <is>
          <t>INITIATED -&gt; AUTHORIZED -&gt; CAPTURED -&gt; RECONCILED; CHARGEBACK.</t>
        </is>
      </c>
      <c r="O105" s="12" t="inlineStr">
        <is>
          <t>Per-order online payment go-ahead (GS-028 / NEW-007)</t>
        </is>
      </c>
      <c r="P105" s="12" t="inlineStr">
        <is>
          <t>BLOCKED</t>
        </is>
      </c>
      <c r="Q105" s="12" t="inlineStr">
        <is>
          <t>No change</t>
        </is>
      </c>
      <c r="R105" s="12" t="inlineStr">
        <is>
          <t>src/server/db/schema.ts (paymentStatusEnum)</t>
        </is>
      </c>
    </row>
    <row r="106" ht="51" customFormat="1" customHeight="1" s="2">
      <c r="A106" s="10" t="n">
        <v>105</v>
      </c>
      <c r="B106" s="12" t="inlineStr">
        <is>
          <t>State Machines</t>
        </is>
      </c>
      <c r="C106" s="9" t="inlineStr">
        <is>
          <t>SM-006</t>
        </is>
      </c>
      <c r="D106" s="12" t="inlineStr">
        <is>
          <t>Issue</t>
        </is>
      </c>
      <c r="E106" s="12" t="inlineStr">
        <is>
          <t>Issue state machine</t>
        </is>
      </c>
      <c r="F106" s="12" t="inlineStr">
        <is>
          <t>Tickets linked to orders; returns 13-status machine; dispute cases have OPEN / TRIAGED / INVESTIGATING / RESOLUTION_PROPOSED / ESCALATED / RESOLVED; grievances still OPEN / IN_PROGRESS / RESOLVED / CLOSED.</t>
        </is>
      </c>
      <c r="G106" s="12" t="inlineStr">
        <is>
          <t>F6.3.3</t>
        </is>
      </c>
      <c r="H106" s="12" t="inlineStr">
        <is>
          <t>-</t>
        </is>
      </c>
      <c r="I106" s="10" t="inlineStr">
        <is>
          <t>BLOCKED</t>
        </is>
      </c>
      <c r="J106" s="12" t="inlineStr">
        <is>
          <t>Production - partly live</t>
        </is>
      </c>
      <c r="K106" s="12" t="inlineStr">
        <is>
          <t>Live</t>
        </is>
      </c>
      <c r="L106" s="12" t="inlineStr">
        <is>
          <t>#11 (grievances); #40 (dispute states)</t>
        </is>
      </c>
      <c r="M106" s="12" t="inlineStr">
        <is>
          <t>#19; #40</t>
        </is>
      </c>
      <c r="N106" s="12" t="inlineStr">
        <is>
          <t>Either add the four states to grievances or accept the dispute lifecycle as the issue state machine.</t>
        </is>
      </c>
      <c r="O106" s="12" t="inlineStr">
        <is>
          <t>Decision: does the dispute lifecycle satisfy SM-006?</t>
        </is>
      </c>
      <c r="P106" s="12" t="inlineStr">
        <is>
          <t>BLOCKED</t>
        </is>
      </c>
      <c r="Q106" s="12" t="inlineStr">
        <is>
          <t>No change</t>
        </is>
      </c>
      <c r="R106" s="12" t="inlineStr">
        <is>
          <t>src/server/db/schema.ts (grievanceStatusEnum); src/lib/dispute-states.ts</t>
        </is>
      </c>
    </row>
    <row r="107" ht="27" customFormat="1" customHeight="1" s="2">
      <c r="A107" s="10" t="n">
        <v>106</v>
      </c>
      <c r="B107" s="12" t="inlineStr">
        <is>
          <t>Gig Assignment Rules</t>
        </is>
      </c>
      <c r="C107" s="9" t="inlineStr">
        <is>
          <t>GA-001</t>
        </is>
      </c>
      <c r="D107" s="12" t="inlineStr">
        <is>
          <t>Delivery</t>
        </is>
      </c>
      <c r="E107" s="12" t="inlineStr">
        <is>
          <t>Society authorization</t>
        </is>
      </c>
      <c r="F107" s="12" t="inlineStr">
        <is>
          <t>Exclusive society -&gt; only listed riders offered</t>
        </is>
      </c>
      <c r="G107" s="12" t="inlineStr">
        <is>
          <t>F3.1.1</t>
        </is>
      </c>
      <c r="H107" s="12" t="inlineStr">
        <is>
          <t>P0</t>
        </is>
      </c>
      <c r="I107" s="10" t="inlineStr">
        <is>
          <t>COMPLETED</t>
        </is>
      </c>
      <c r="J107" s="12" t="inlineStr">
        <is>
          <t>Production (gokesari.com)</t>
        </is>
      </c>
      <c r="K107" s="12" t="inlineStr">
        <is>
          <t>Live</t>
        </is>
      </c>
      <c r="L107" s="12" t="inlineStr">
        <is>
          <t>#11</t>
        </is>
      </c>
      <c r="M107" s="12" t="inlineStr">
        <is>
          <t>#19</t>
        </is>
      </c>
      <c r="N107" s="12" t="inlineStr">
        <is>
          <t>-</t>
        </is>
      </c>
      <c r="O107" s="12" t="inlineStr">
        <is>
          <t>-</t>
        </is>
      </c>
      <c r="P107" s="12" t="inlineStr">
        <is>
          <t>COMPLETED</t>
        </is>
      </c>
      <c r="Q107" s="12" t="inlineStr">
        <is>
          <t>No change</t>
        </is>
      </c>
      <c r="R107" s="12" t="inlineStr">
        <is>
          <t>src/server/services/delivery-assignment.ts:97</t>
        </is>
      </c>
    </row>
    <row r="108" ht="27" customFormat="1" customHeight="1" s="2">
      <c r="A108" s="10" t="n">
        <v>107</v>
      </c>
      <c r="B108" s="12" t="inlineStr">
        <is>
          <t>Gig Assignment Rules</t>
        </is>
      </c>
      <c r="C108" s="9" t="inlineStr">
        <is>
          <t>GA-002</t>
        </is>
      </c>
      <c r="D108" s="12" t="inlineStr">
        <is>
          <t>Delivery</t>
        </is>
      </c>
      <c r="E108" s="12" t="inlineStr">
        <is>
          <t>Society preferred partner</t>
        </is>
      </c>
      <c r="F108" s="12" t="inlineStr">
        <is>
          <t>Listed / preferred riders ranked first</t>
        </is>
      </c>
      <c r="G108" s="12" t="inlineStr">
        <is>
          <t>F3.2.1</t>
        </is>
      </c>
      <c r="H108" s="12" t="inlineStr">
        <is>
          <t>P0</t>
        </is>
      </c>
      <c r="I108" s="10" t="inlineStr">
        <is>
          <t>COMPLETED</t>
        </is>
      </c>
      <c r="J108" s="12" t="inlineStr">
        <is>
          <t>Production (gokesari.com)</t>
        </is>
      </c>
      <c r="K108" s="12" t="inlineStr">
        <is>
          <t>Live</t>
        </is>
      </c>
      <c r="L108" s="12" t="inlineStr">
        <is>
          <t>#11</t>
        </is>
      </c>
      <c r="M108" s="12" t="inlineStr">
        <is>
          <t>#19</t>
        </is>
      </c>
      <c r="N108" s="12" t="inlineStr">
        <is>
          <t>-</t>
        </is>
      </c>
      <c r="O108" s="12" t="inlineStr">
        <is>
          <t>-</t>
        </is>
      </c>
      <c r="P108" s="12" t="inlineStr">
        <is>
          <t>COMPLETED</t>
        </is>
      </c>
      <c r="Q108" s="12" t="inlineStr">
        <is>
          <t>No change</t>
        </is>
      </c>
      <c r="R108" s="12" t="inlineStr">
        <is>
          <t>src/server/services/delivery-assignment.ts:97-137</t>
        </is>
      </c>
    </row>
    <row r="109" ht="27" customFormat="1" customHeight="1" s="2">
      <c r="A109" s="10" t="n">
        <v>108</v>
      </c>
      <c r="B109" s="12" t="inlineStr">
        <is>
          <t>Gig Assignment Rules</t>
        </is>
      </c>
      <c r="C109" s="9" t="inlineStr">
        <is>
          <t>GA-003</t>
        </is>
      </c>
      <c r="D109" s="12" t="inlineStr">
        <is>
          <t>Delivery</t>
        </is>
      </c>
      <c r="E109" s="12" t="inlineStr">
        <is>
          <t>Distance</t>
        </is>
      </c>
      <c r="F109" s="12" t="inlineStr">
        <is>
          <t>Riders closer to the shop score higher in the ranking (straight-line distance; road distance when routing is switched on).</t>
        </is>
      </c>
      <c r="G109" s="12" t="inlineStr">
        <is>
          <t>F3.2.2</t>
        </is>
      </c>
      <c r="H109" s="12" t="inlineStr">
        <is>
          <t>P0</t>
        </is>
      </c>
      <c r="I109" s="10" t="inlineStr">
        <is>
          <t>COMPLETED</t>
        </is>
      </c>
      <c r="J109" s="12" t="inlineStr">
        <is>
          <t>Production (gokesari.com)</t>
        </is>
      </c>
      <c r="K109" s="12" t="inlineStr">
        <is>
          <t>Live</t>
        </is>
      </c>
      <c r="L109" s="12" t="inlineStr">
        <is>
          <t>Baseline</t>
        </is>
      </c>
      <c r="M109" s="12" t="inlineStr">
        <is>
          <t>Baseline</t>
        </is>
      </c>
      <c r="N109" s="12" t="inlineStr">
        <is>
          <t>-</t>
        </is>
      </c>
      <c r="O109" s="12" t="inlineStr">
        <is>
          <t>-</t>
        </is>
      </c>
      <c r="P109" s="12" t="inlineStr">
        <is>
          <t>COMPLETED</t>
        </is>
      </c>
      <c r="Q109" s="12" t="inlineStr">
        <is>
          <t>No change</t>
        </is>
      </c>
      <c r="R109" s="12" t="inlineStr">
        <is>
          <t>-</t>
        </is>
      </c>
    </row>
    <row r="110" ht="27" customFormat="1" customHeight="1" s="2">
      <c r="A110" s="10" t="n">
        <v>109</v>
      </c>
      <c r="B110" s="12" t="inlineStr">
        <is>
          <t>Gig Assignment Rules</t>
        </is>
      </c>
      <c r="C110" s="9" t="inlineStr">
        <is>
          <t>GA-004</t>
        </is>
      </c>
      <c r="D110" s="12" t="inlineStr">
        <is>
          <t>Delivery</t>
        </is>
      </c>
      <c r="E110" s="12" t="inlineStr">
        <is>
          <t>Availability</t>
        </is>
      </c>
      <c r="F110" s="12" t="inlineStr">
        <is>
          <t>Only APPROVED riders who are online and not suspended are considered for an offer.</t>
        </is>
      </c>
      <c r="G110" s="12" t="inlineStr">
        <is>
          <t>F3.1.2</t>
        </is>
      </c>
      <c r="H110" s="12" t="inlineStr">
        <is>
          <t>P0</t>
        </is>
      </c>
      <c r="I110" s="10" t="inlineStr">
        <is>
          <t>COMPLETED</t>
        </is>
      </c>
      <c r="J110" s="12" t="inlineStr">
        <is>
          <t>Production (gokesari.com)</t>
        </is>
      </c>
      <c r="K110" s="12" t="inlineStr">
        <is>
          <t>Live</t>
        </is>
      </c>
      <c r="L110" s="12" t="inlineStr">
        <is>
          <t>Baseline</t>
        </is>
      </c>
      <c r="M110" s="12" t="inlineStr">
        <is>
          <t>Baseline</t>
        </is>
      </c>
      <c r="N110" s="12" t="inlineStr">
        <is>
          <t>-</t>
        </is>
      </c>
      <c r="O110" s="12" t="inlineStr">
        <is>
          <t>-</t>
        </is>
      </c>
      <c r="P110" s="12" t="inlineStr">
        <is>
          <t>COMPLETED</t>
        </is>
      </c>
      <c r="Q110" s="12" t="inlineStr">
        <is>
          <t>No change</t>
        </is>
      </c>
      <c r="R110" s="12" t="inlineStr">
        <is>
          <t>-</t>
        </is>
      </c>
    </row>
    <row r="111" ht="75" customFormat="1" customHeight="1" s="2">
      <c r="A111" s="10" t="n">
        <v>110</v>
      </c>
      <c r="B111" s="12" t="inlineStr">
        <is>
          <t>Gig Assignment Rules</t>
        </is>
      </c>
      <c r="C111" s="9" t="inlineStr">
        <is>
          <t>GA-005</t>
        </is>
      </c>
      <c r="D111" s="12" t="inlineStr">
        <is>
          <t>Delivery</t>
        </is>
      </c>
      <c r="E111" s="12" t="inlineStr">
        <is>
          <t>Current load</t>
        </is>
      </c>
      <c r="F111" s="12"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12" t="inlineStr">
        <is>
          <t>F3.2.3</t>
        </is>
      </c>
      <c r="H111" s="12" t="inlineStr">
        <is>
          <t>P0</t>
        </is>
      </c>
      <c r="I111" s="10" t="inlineStr">
        <is>
          <t>COMPLETED</t>
        </is>
      </c>
      <c r="J111" s="12" t="inlineStr">
        <is>
          <t>Production - built, switched off by default</t>
        </is>
      </c>
      <c r="K111" s="12" t="inlineStr">
        <is>
          <t>Off by default - switch on in Admin &gt; Business rules (rule: batching.enabled; F3 busy-rider fallback: dispatch.busyRidersAsFallback)</t>
        </is>
      </c>
      <c r="L111" s="12" t="inlineStr">
        <is>
          <t>Baseline (busy riders excluded); #55 (F3 fallback); #58 (batching)</t>
        </is>
      </c>
      <c r="M111" s="12" t="inlineStr">
        <is>
          <t>Baseline; #57; #65</t>
        </is>
      </c>
      <c r="N111" s="12" t="inlineStr">
        <is>
          <t>-</t>
        </is>
      </c>
      <c r="O111" s="12" t="inlineStr">
        <is>
          <t>-</t>
        </is>
      </c>
      <c r="P111" s="12" t="inlineStr">
        <is>
          <t>COMPLETED</t>
        </is>
      </c>
      <c r="Q111" s="12" t="inlineStr">
        <is>
          <t>No change</t>
        </is>
      </c>
      <c r="R111" s="12" t="inlineStr">
        <is>
          <t>src/server/services/delivery-trips.ts; drizzle/0054_delivery_trips.sql; tests/integration/rider-batching.test.ts</t>
        </is>
      </c>
    </row>
    <row r="112" ht="27" customFormat="1" customHeight="1" s="2">
      <c r="A112" s="10" t="n">
        <v>111</v>
      </c>
      <c r="B112" s="12" t="inlineStr">
        <is>
          <t>Gig Assignment Rules</t>
        </is>
      </c>
      <c r="C112" s="9" t="inlineStr">
        <is>
          <t>GA-006</t>
        </is>
      </c>
      <c r="D112" s="12" t="inlineStr">
        <is>
          <t>Delivery</t>
        </is>
      </c>
      <c r="E112" s="12" t="inlineStr">
        <is>
          <t>Shop readiness</t>
        </is>
      </c>
      <c r="F112" s="12" t="inlineStr">
        <is>
          <t>Rider requested automatically when the shop marks READY</t>
        </is>
      </c>
      <c r="G112" s="12" t="inlineStr">
        <is>
          <t>F2.2.3</t>
        </is>
      </c>
      <c r="H112" s="12" t="inlineStr">
        <is>
          <t>P0</t>
        </is>
      </c>
      <c r="I112" s="10" t="inlineStr">
        <is>
          <t>COMPLETED</t>
        </is>
      </c>
      <c r="J112" s="12" t="inlineStr">
        <is>
          <t>Production (gokesari.com)</t>
        </is>
      </c>
      <c r="K112" s="12" t="inlineStr">
        <is>
          <t>Live</t>
        </is>
      </c>
      <c r="L112" s="12" t="inlineStr">
        <is>
          <t>#10</t>
        </is>
      </c>
      <c r="M112" s="12" t="inlineStr">
        <is>
          <t>#14</t>
        </is>
      </c>
      <c r="N112" s="12" t="inlineStr">
        <is>
          <t>-</t>
        </is>
      </c>
      <c r="O112" s="12" t="inlineStr">
        <is>
          <t>-</t>
        </is>
      </c>
      <c r="P112" s="12" t="inlineStr">
        <is>
          <t>COMPLETED</t>
        </is>
      </c>
      <c r="Q112" s="12" t="inlineStr">
        <is>
          <t>No change</t>
        </is>
      </c>
      <c r="R112" s="12" t="inlineStr">
        <is>
          <t>src/server/services/delivery-assignment.ts</t>
        </is>
      </c>
    </row>
    <row r="113" ht="27" customFormat="1" customHeight="1" s="2">
      <c r="A113" s="10" t="n">
        <v>112</v>
      </c>
      <c r="B113" s="12" t="inlineStr">
        <is>
          <t>Gig Assignment Rules</t>
        </is>
      </c>
      <c r="C113" s="9" t="inlineStr">
        <is>
          <t>GA-007</t>
        </is>
      </c>
      <c r="D113" s="12" t="inlineStr">
        <is>
          <t>Delivery</t>
        </is>
      </c>
      <c r="E113" s="12" t="inlineStr">
        <is>
          <t>Reliability</t>
        </is>
      </c>
      <c r="F113" s="12" t="inlineStr">
        <is>
          <t>Reliability score (30-day completions vs failures/declines) in ranking</t>
        </is>
      </c>
      <c r="G113" s="12" t="inlineStr">
        <is>
          <t>F3.2.2</t>
        </is>
      </c>
      <c r="H113" s="12" t="inlineStr">
        <is>
          <t>P1</t>
        </is>
      </c>
      <c r="I113" s="10" t="inlineStr">
        <is>
          <t>COMPLETED</t>
        </is>
      </c>
      <c r="J113" s="12" t="inlineStr">
        <is>
          <t>Production (gokesari.com)</t>
        </is>
      </c>
      <c r="K113" s="12" t="inlineStr">
        <is>
          <t>Live</t>
        </is>
      </c>
      <c r="L113" s="12" t="inlineStr">
        <is>
          <t>#11</t>
        </is>
      </c>
      <c r="M113" s="12" t="inlineStr">
        <is>
          <t>#19</t>
        </is>
      </c>
      <c r="N113" s="12" t="inlineStr">
        <is>
          <t>-</t>
        </is>
      </c>
      <c r="O113" s="12" t="inlineStr">
        <is>
          <t>-</t>
        </is>
      </c>
      <c r="P113" s="12" t="inlineStr">
        <is>
          <t>COMPLETED</t>
        </is>
      </c>
      <c r="Q113" s="12" t="inlineStr">
        <is>
          <t>No change</t>
        </is>
      </c>
      <c r="R113" s="12" t="inlineStr">
        <is>
          <t>src/server/services/delivery-assignment.ts:126</t>
        </is>
      </c>
    </row>
    <row r="114" ht="27" customFormat="1" customHeight="1" s="2">
      <c r="A114" s="10" t="n">
        <v>113</v>
      </c>
      <c r="B114" s="12" t="inlineStr">
        <is>
          <t>Gig Assignment Rules</t>
        </is>
      </c>
      <c r="C114" s="9" t="inlineStr">
        <is>
          <t>GA-008</t>
        </is>
      </c>
      <c r="D114" s="12" t="inlineStr">
        <is>
          <t>Delivery</t>
        </is>
      </c>
      <c r="E114" s="12" t="inlineStr">
        <is>
          <t>Fairness</t>
        </is>
      </c>
      <c r="F114" s="12" t="inlineStr">
        <is>
          <t>Fairness penalty per offer received today</t>
        </is>
      </c>
      <c r="G114" s="12" t="inlineStr">
        <is>
          <t>F3.2.2</t>
        </is>
      </c>
      <c r="H114" s="12" t="inlineStr">
        <is>
          <t>P1</t>
        </is>
      </c>
      <c r="I114" s="10" t="inlineStr">
        <is>
          <t>COMPLETED</t>
        </is>
      </c>
      <c r="J114" s="12" t="inlineStr">
        <is>
          <t>Production (gokesari.com)</t>
        </is>
      </c>
      <c r="K114" s="12" t="inlineStr">
        <is>
          <t>Live</t>
        </is>
      </c>
      <c r="L114" s="12" t="inlineStr">
        <is>
          <t>#11</t>
        </is>
      </c>
      <c r="M114" s="12" t="inlineStr">
        <is>
          <t>#19</t>
        </is>
      </c>
      <c r="N114" s="12" t="inlineStr">
        <is>
          <t>-</t>
        </is>
      </c>
      <c r="O114" s="12" t="inlineStr">
        <is>
          <t>-</t>
        </is>
      </c>
      <c r="P114" s="12" t="inlineStr">
        <is>
          <t>COMPLETED</t>
        </is>
      </c>
      <c r="Q114" s="12" t="inlineStr">
        <is>
          <t>No change</t>
        </is>
      </c>
      <c r="R114" s="12" t="inlineStr">
        <is>
          <t>src/server/services/delivery-assignment.ts:85</t>
        </is>
      </c>
    </row>
    <row r="115" ht="51" customFormat="1" customHeight="1" s="2">
      <c r="A115" s="10" t="n">
        <v>114</v>
      </c>
      <c r="B115" s="12" t="inlineStr">
        <is>
          <t>Gig Assignment Rules</t>
        </is>
      </c>
      <c r="C115" s="9" t="inlineStr">
        <is>
          <t>GA-009</t>
        </is>
      </c>
      <c r="D115" s="12" t="inlineStr">
        <is>
          <t>Delivery</t>
        </is>
      </c>
      <c r="E115" s="12" t="inlineStr">
        <is>
          <t>No worker</t>
        </is>
      </c>
      <c r="F115" s="12" t="inlineStr">
        <is>
          <t>Offers expire after 2 min; auto-retry; shop notified. Phase C added a bounded search with a total time limit, delivery-window expiry, manual cooldown, a stop control and a 'rider assignment failed' notification; 'No rider' is an ops exception</t>
        </is>
      </c>
      <c r="G115" s="12" t="inlineStr">
        <is>
          <t>F3.3.1</t>
        </is>
      </c>
      <c r="H115" s="12" t="inlineStr">
        <is>
          <t>P0</t>
        </is>
      </c>
      <c r="I115" s="10" t="inlineStr">
        <is>
          <t>COMPLETED</t>
        </is>
      </c>
      <c r="J115" s="12" t="inlineStr">
        <is>
          <t>Production (gokesari.com)</t>
        </is>
      </c>
      <c r="K115" s="12" t="inlineStr">
        <is>
          <t>Live</t>
        </is>
      </c>
      <c r="L115" s="12" t="inlineStr">
        <is>
          <t>Baseline; #10; #23 (Phase F alert)</t>
        </is>
      </c>
      <c r="M115" s="12" t="inlineStr">
        <is>
          <t>Baseline; #14; #23</t>
        </is>
      </c>
      <c r="N115" s="12" t="inlineStr">
        <is>
          <t>Radius widening Retry with cron + operations intervention; the search radius is not widened.</t>
        </is>
      </c>
      <c r="O115" s="12" t="inlineStr">
        <is>
          <t>-</t>
        </is>
      </c>
      <c r="P115" s="12" t="inlineStr">
        <is>
          <t>COMPLETED</t>
        </is>
      </c>
      <c r="Q115" s="12" t="inlineStr">
        <is>
          <t>No change</t>
        </is>
      </c>
      <c r="R115" s="12" t="inlineStr">
        <is>
          <t>src/server/services/delivery-assignment.ts; src/server/notifications/templates.ts (DELIVERY_SEARCH_STOPPED)</t>
        </is>
      </c>
    </row>
    <row r="116" ht="63" customFormat="1" customHeight="1" s="2">
      <c r="A116" s="10" t="n">
        <v>115</v>
      </c>
      <c r="B116" s="12" t="inlineStr">
        <is>
          <t>Navigation</t>
        </is>
      </c>
      <c r="C116" s="9" t="inlineStr">
        <is>
          <t>NAV-001</t>
        </is>
      </c>
      <c r="D116" s="12" t="inlineStr">
        <is>
          <t>Customer</t>
        </is>
      </c>
      <c r="E116" s="12" t="inlineStr">
        <is>
          <t>Customer portal - Home</t>
        </is>
      </c>
      <c r="F116" s="12"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12" t="inlineStr">
        <is>
          <t>F1.3.1, F1.4.2</t>
        </is>
      </c>
      <c r="H116" s="12" t="inlineStr">
        <is>
          <t>-</t>
        </is>
      </c>
      <c r="I116" s="10" t="inlineStr">
        <is>
          <t>COMPLETED</t>
        </is>
      </c>
      <c r="J116" s="12" t="inlineStr">
        <is>
          <t>Production - built, switched off by default</t>
        </is>
      </c>
      <c r="K116" s="12" t="inlineStr">
        <is>
          <t>Off by default - switch on in Admin &gt; Business rules (rule: homePriceComparison.enabled)</t>
        </is>
      </c>
      <c r="L116" s="12" t="inlineStr">
        <is>
          <t>Baseline; #23 (search-first landing); #55 (F9); #67 (speed); #68 (error boundary); #83 (redesign); #122 (board is the whole page); #127, #130 (shared figures cache, 8 s)</t>
        </is>
      </c>
      <c r="M116" s="12" t="inlineStr">
        <is>
          <t>Baseline; #23; #57; #65; #69; #84; #123; #129; #131</t>
        </is>
      </c>
      <c r="N116" s="12" t="inlineStr">
        <is>
          <t>The category grid was deliberately removed in favour of search-first; categories are reachable from shops and search.</t>
        </is>
      </c>
      <c r="O116" s="12" t="inlineStr">
        <is>
          <t>-</t>
        </is>
      </c>
      <c r="P116" s="12" t="inlineStr">
        <is>
          <t>COMPLETED</t>
        </is>
      </c>
      <c r="Q116" s="12" t="inlineStr">
        <is>
          <t>No change</t>
        </is>
      </c>
      <c r="R116" s="12" t="inlineStr">
        <is>
          <t>src/app/page.tsx; src/server/services/price-comparison.ts; tests/integration/price-comparison.test.ts; src/app/search/compare; docs/tile-board-2026-10/UI_PASS_2026-10-09.md</t>
        </is>
      </c>
    </row>
    <row r="117" ht="51" customFormat="1" customHeight="1" s="2">
      <c r="A117" s="10" t="n">
        <v>116</v>
      </c>
      <c r="B117" s="12" t="inlineStr">
        <is>
          <t>Navigation</t>
        </is>
      </c>
      <c r="C117" s="9" t="inlineStr">
        <is>
          <t>NAV-002</t>
        </is>
      </c>
      <c r="D117" s="12" t="inlineStr">
        <is>
          <t>Customer</t>
        </is>
      </c>
      <c r="E117" s="12" t="inlineStr">
        <is>
          <t>Customer portal - Shop</t>
        </is>
      </c>
      <c r="F117" s="12" t="inlineStr">
        <is>
          <t>Shop profile, catalogue, rating + reviews, opening hours, delivery options, and F8 shop offers (product or category, dated) shown on the shop page and priced in cart and checkout.</t>
        </is>
      </c>
      <c r="G117" s="12" t="inlineStr">
        <is>
          <t>F1.5.4, F11.2.1</t>
        </is>
      </c>
      <c r="H117" s="12" t="inlineStr">
        <is>
          <t>-</t>
        </is>
      </c>
      <c r="I117" s="10" t="inlineStr">
        <is>
          <t>COMPLETED</t>
        </is>
      </c>
      <c r="J117" s="12" t="inlineStr">
        <is>
          <t>Production - built, switched off by default</t>
        </is>
      </c>
      <c r="K117" s="12" t="inlineStr">
        <is>
          <t>Off by default - switch on in Admin &gt; Business rules (rule: shopOffers.enabled)</t>
        </is>
      </c>
      <c r="L117" s="12" t="inlineStr">
        <is>
          <t>Baseline; #11 (rating, reviews); #24 (hours); #55 (F8 offers); #122 (products first); #124 (category tabs, six a page)</t>
        </is>
      </c>
      <c r="M117" s="12" t="inlineStr">
        <is>
          <t>Baseline; #19; #24; #57; #123; #126</t>
        </is>
      </c>
      <c r="N117" s="12" t="inlineStr">
        <is>
          <t>-</t>
        </is>
      </c>
      <c r="O117" s="12" t="inlineStr">
        <is>
          <t>-</t>
        </is>
      </c>
      <c r="P117" s="12" t="inlineStr">
        <is>
          <t>COMPLETED</t>
        </is>
      </c>
      <c r="Q117" s="12" t="inlineStr">
        <is>
          <t>No change</t>
        </is>
      </c>
      <c r="R117" s="12" t="inlineStr">
        <is>
          <t>src/server/services/shop-offers.ts; src/app/shop/offers; drizzle/0048_shop_offers.sql</t>
        </is>
      </c>
    </row>
    <row r="118" ht="51" customFormat="1" customHeight="1" s="2">
      <c r="A118" s="10" t="n">
        <v>117</v>
      </c>
      <c r="B118" s="12" t="inlineStr">
        <is>
          <t>Navigation</t>
        </is>
      </c>
      <c r="C118" s="9" t="inlineStr">
        <is>
          <t>NAV-003</t>
        </is>
      </c>
      <c r="D118" s="12" t="inlineStr">
        <is>
          <t>Customer</t>
        </is>
      </c>
      <c r="E118" s="12" t="inlineStr">
        <is>
          <t>Customer portal - Cart &amp; Checkout</t>
        </is>
      </c>
      <c r="F118" s="12" t="inlineStr">
        <is>
          <t>Cart, address re-validation with actions, slot choice with capacity (F5), F7 order-level coupons (flat / %, minimum order, dates, total and per-customer limits, split by goods value, server-validated), F8 offers priced in cart, wallet / COD payment.</t>
        </is>
      </c>
      <c r="G118" s="12" t="inlineStr">
        <is>
          <t>F1.5.4</t>
        </is>
      </c>
      <c r="H118" s="12" t="inlineStr">
        <is>
          <t>-</t>
        </is>
      </c>
      <c r="I118" s="10" t="inlineStr">
        <is>
          <t>BLOCKED</t>
        </is>
      </c>
      <c r="J118" s="12" t="inlineStr">
        <is>
          <t>Production - partly live</t>
        </is>
      </c>
      <c r="K118" s="12" t="inlineStr">
        <is>
          <t>Coupons: Off by default - switch on in Admin &gt; Business rules (rule: coupons.enabled)</t>
        </is>
      </c>
      <c r="L118" s="12" t="inlineStr">
        <is>
          <t>Baseline; #23 (Phase B); #31; #48; #55 (F7 coupons)</t>
        </is>
      </c>
      <c r="M118" s="12" t="inlineStr">
        <is>
          <t>Baseline; #23; #43; #71; #57</t>
        </is>
      </c>
      <c r="N118" s="12" t="inlineStr">
        <is>
          <t>Online payment at checkout.</t>
        </is>
      </c>
      <c r="O118" s="12" t="inlineStr">
        <is>
          <t>Needs GS-028</t>
        </is>
      </c>
      <c r="P118" s="12" t="inlineStr">
        <is>
          <t>BLOCKED</t>
        </is>
      </c>
      <c r="Q118" s="12" t="inlineStr">
        <is>
          <t>No change</t>
        </is>
      </c>
      <c r="R118" s="12" t="inlineStr">
        <is>
          <t>src/components/cart-view.tsx; src/server/services/coupons.ts; drizzle/0047_coupons.sql</t>
        </is>
      </c>
    </row>
    <row r="119" ht="39" customFormat="1" customHeight="1" s="2">
      <c r="A119" s="10" t="n">
        <v>118</v>
      </c>
      <c r="B119" s="12" t="inlineStr">
        <is>
          <t>Navigation</t>
        </is>
      </c>
      <c r="C119" s="9" t="inlineStr">
        <is>
          <t>NAV-004</t>
        </is>
      </c>
      <c r="D119" s="12" t="inlineStr">
        <is>
          <t>Customer</t>
        </is>
      </c>
      <c r="E119" s="12" t="inlineStr">
        <is>
          <t>Customer portal - Orders</t>
        </is>
      </c>
      <c r="F119" s="12" t="inlineStr">
        <is>
          <t>Rate an order, report a problem, request a return (/orders/{id}/return, /returns), live tracking panel on in-flight orders, and raise / follow a dispute case</t>
        </is>
      </c>
      <c r="G119" s="12" t="inlineStr">
        <is>
          <t>F1.9.1</t>
        </is>
      </c>
      <c r="H119" s="12" t="inlineStr">
        <is>
          <t>-</t>
        </is>
      </c>
      <c r="I119" s="10" t="inlineStr">
        <is>
          <t>COMPLETED</t>
        </is>
      </c>
      <c r="J119" s="12" t="inlineStr">
        <is>
          <t>Production (gokesari.com)</t>
        </is>
      </c>
      <c r="K119" s="12" t="inlineStr">
        <is>
          <t>Live</t>
        </is>
      </c>
      <c r="L119" s="12" t="inlineStr">
        <is>
          <t>Baseline; #29 (tracking); #122 (tabs, Cancel order)</t>
        </is>
      </c>
      <c r="M119" s="12" t="inlineStr">
        <is>
          <t>Baseline; #29; #123</t>
        </is>
      </c>
      <c r="N119" s="12" t="inlineStr">
        <is>
          <t>-</t>
        </is>
      </c>
      <c r="O119" s="12" t="inlineStr">
        <is>
          <t>-</t>
        </is>
      </c>
      <c r="P119" s="12" t="inlineStr">
        <is>
          <t>COMPLETED</t>
        </is>
      </c>
      <c r="Q119" s="12" t="inlineStr">
        <is>
          <t>No change</t>
        </is>
      </c>
      <c r="R119" s="12" t="inlineStr">
        <is>
          <t>src/app/orders/page.tsx</t>
        </is>
      </c>
    </row>
    <row r="120" ht="39" customFormat="1" customHeight="1" s="2">
      <c r="A120" s="10" t="n">
        <v>119</v>
      </c>
      <c r="B120" s="12" t="inlineStr">
        <is>
          <t>Navigation</t>
        </is>
      </c>
      <c r="C120" s="9" t="inlineStr">
        <is>
          <t>NAV-005</t>
        </is>
      </c>
      <c r="D120" s="12" t="inlineStr">
        <is>
          <t>Customer</t>
        </is>
      </c>
      <c r="E120" s="12" t="inlineStr">
        <is>
          <t>Customer portal - Subscriptions</t>
        </is>
      </c>
      <c r="F120" s="12" t="inlineStr">
        <is>
          <t>/subscriptions and /subscriptions/[id]: active plans, schedule calendar, skip / pause / resume / cancel, per-date delivery status; Tomorrow's delivery card on the home page.</t>
        </is>
      </c>
      <c r="G120" s="12" t="inlineStr">
        <is>
          <t>F7.3.3</t>
        </is>
      </c>
      <c r="H120" s="12" t="inlineStr">
        <is>
          <t>-</t>
        </is>
      </c>
      <c r="I120" s="10" t="inlineStr">
        <is>
          <t>COMPLETED</t>
        </is>
      </c>
      <c r="J120" s="12" t="inlineStr">
        <is>
          <t>Production (gokesari.com)</t>
        </is>
      </c>
      <c r="K120" s="12" t="inlineStr">
        <is>
          <t>Live</t>
        </is>
      </c>
      <c r="L120" s="12" t="inlineStr">
        <is>
          <t>Baseline; #58 (per-date status); #83 (Tomorrow's delivery); #122 (Tomorrow tab)</t>
        </is>
      </c>
      <c r="M120" s="12" t="inlineStr">
        <is>
          <t>Baseline; #65; #84; #123</t>
        </is>
      </c>
      <c r="N120" s="12" t="inlineStr">
        <is>
          <t>-</t>
        </is>
      </c>
      <c r="O120" s="12" t="inlineStr">
        <is>
          <t>-</t>
        </is>
      </c>
      <c r="P120" s="12" t="inlineStr">
        <is>
          <t>COMPLETED</t>
        </is>
      </c>
      <c r="Q120" s="12" t="inlineStr">
        <is>
          <t>No change</t>
        </is>
      </c>
      <c r="R120" s="12" t="inlineStr">
        <is>
          <t>-</t>
        </is>
      </c>
    </row>
    <row r="121" ht="63" customFormat="1" customHeight="1" s="2">
      <c r="A121" s="10" t="n">
        <v>120</v>
      </c>
      <c r="B121" s="12" t="inlineStr">
        <is>
          <t>Navigation</t>
        </is>
      </c>
      <c r="C121" s="9" t="inlineStr">
        <is>
          <t>NAV-006</t>
        </is>
      </c>
      <c r="D121" s="12" t="inlineStr">
        <is>
          <t>Shop</t>
        </is>
      </c>
      <c r="E121" s="12" t="inlineStr">
        <is>
          <t>Shop portal - Dashboard</t>
        </is>
      </c>
      <c r="F121" s="12"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12" t="inlineStr">
        <is>
          <t>-</t>
        </is>
      </c>
      <c r="H121" s="12" t="inlineStr">
        <is>
          <t>-</t>
        </is>
      </c>
      <c r="I121" s="10" t="inlineStr">
        <is>
          <t>COMPLETED</t>
        </is>
      </c>
      <c r="J121" s="12" t="inlineStr">
        <is>
          <t>Production (gokesari.com)</t>
        </is>
      </c>
      <c r="K121" s="12" t="inlineStr">
        <is>
          <t>Live</t>
        </is>
      </c>
      <c r="L121" s="12" t="inlineStr">
        <is>
          <t>Baseline; #23 (Phase J); #45 (owner name); #122 (split into /shop/manage); #124 (Today tabs)</t>
        </is>
      </c>
      <c r="M121" s="12" t="inlineStr">
        <is>
          <t>Baseline; #23; #47; #123; #126</t>
        </is>
      </c>
      <c r="N121" s="12" t="inlineStr">
        <is>
          <t>-</t>
        </is>
      </c>
      <c r="O121" s="12" t="inlineStr">
        <is>
          <t>-</t>
        </is>
      </c>
      <c r="P121" s="12" t="inlineStr">
        <is>
          <t>COMPLETED</t>
        </is>
      </c>
      <c r="Q121" s="12" t="inlineStr">
        <is>
          <t>No change</t>
        </is>
      </c>
      <c r="R121" s="12" t="inlineStr">
        <is>
          <t>src/server/services/dashboards.ts:63; src/app/shop/page.tsx; src/app/shop/manage/[section]</t>
        </is>
      </c>
    </row>
    <row r="122" ht="39" customFormat="1" customHeight="1" s="2">
      <c r="A122" s="10" t="n">
        <v>121</v>
      </c>
      <c r="B122" s="12" t="inlineStr">
        <is>
          <t>Navigation</t>
        </is>
      </c>
      <c r="C122" s="9" t="inlineStr">
        <is>
          <t>NAV-007</t>
        </is>
      </c>
      <c r="D122" s="12" t="inlineStr">
        <is>
          <t>Shop</t>
        </is>
      </c>
      <c r="E122" s="12" t="inlineStr">
        <is>
          <t>Shop portal - Catalog</t>
        </is>
      </c>
      <c r="F122" s="12" t="inlineStr">
        <is>
          <t>/shop/inventory, /shop/prices, /shop/product-categories, /shop/catalogue (photo tiles) and product images: products, bulk upload, prices, stock, categories.</t>
        </is>
      </c>
      <c r="G122" s="12" t="inlineStr">
        <is>
          <t>-</t>
        </is>
      </c>
      <c r="H122" s="12" t="inlineStr">
        <is>
          <t>-</t>
        </is>
      </c>
      <c r="I122" s="10" t="inlineStr">
        <is>
          <t>COMPLETED</t>
        </is>
      </c>
      <c r="J122" s="12" t="inlineStr">
        <is>
          <t>Production (gokesari.com)</t>
        </is>
      </c>
      <c r="K122" s="12" t="inlineStr">
        <is>
          <t>Live</t>
        </is>
      </c>
      <c r="L122" s="12" t="inlineStr">
        <is>
          <t>Baseline; #38; #45; #79 (photo catalogue); #122 (own pages); #124 (product manager paged)</t>
        </is>
      </c>
      <c r="M122" s="12" t="inlineStr">
        <is>
          <t>Baseline; #43; #47; #82; #123; #126</t>
        </is>
      </c>
      <c r="N122" s="12" t="inlineStr">
        <is>
          <t>-</t>
        </is>
      </c>
      <c r="O122" s="12" t="inlineStr">
        <is>
          <t>-</t>
        </is>
      </c>
      <c r="P122" s="12" t="inlineStr">
        <is>
          <t>COMPLETED</t>
        </is>
      </c>
      <c r="Q122" s="12" t="inlineStr">
        <is>
          <t>No change</t>
        </is>
      </c>
      <c r="R122" s="12" t="inlineStr">
        <is>
          <t>-</t>
        </is>
      </c>
    </row>
    <row r="123" ht="27" customFormat="1" customHeight="1" s="2">
      <c r="A123" s="10" t="n">
        <v>122</v>
      </c>
      <c r="B123" s="12" t="inlineStr">
        <is>
          <t>Navigation</t>
        </is>
      </c>
      <c r="C123" s="9" t="inlineStr">
        <is>
          <t>NAV-008</t>
        </is>
      </c>
      <c r="D123" s="12" t="inlineStr">
        <is>
          <t>Shop</t>
        </is>
      </c>
      <c r="E123" s="12" t="inlineStr">
        <is>
          <t>Shop portal - Orders</t>
        </is>
      </c>
      <c r="F123" s="12" t="inlineStr">
        <is>
          <t>/shop/orders: new, accepted, preparing, ready, completed and cancelled orders with accept / reject / substitute / pick / pack / ready actions.</t>
        </is>
      </c>
      <c r="G123" s="12" t="inlineStr">
        <is>
          <t>F2.1.1</t>
        </is>
      </c>
      <c r="H123" s="12" t="inlineStr">
        <is>
          <t>-</t>
        </is>
      </c>
      <c r="I123" s="10" t="inlineStr">
        <is>
          <t>COMPLETED</t>
        </is>
      </c>
      <c r="J123" s="12" t="inlineStr">
        <is>
          <t>Production (gokesari.com)</t>
        </is>
      </c>
      <c r="K123" s="12" t="inlineStr">
        <is>
          <t>Live</t>
        </is>
      </c>
      <c r="L123" s="12" t="inlineStr">
        <is>
          <t>Baseline; #10; #122 (status tabs)</t>
        </is>
      </c>
      <c r="M123" s="12" t="inlineStr">
        <is>
          <t>Baseline; #14; #123</t>
        </is>
      </c>
      <c r="N123" s="12" t="inlineStr">
        <is>
          <t>-</t>
        </is>
      </c>
      <c r="O123" s="12" t="inlineStr">
        <is>
          <t>-</t>
        </is>
      </c>
      <c r="P123" s="12" t="inlineStr">
        <is>
          <t>COMPLETED</t>
        </is>
      </c>
      <c r="Q123" s="12" t="inlineStr">
        <is>
          <t>No change</t>
        </is>
      </c>
      <c r="R123" s="12" t="inlineStr">
        <is>
          <t>-</t>
        </is>
      </c>
    </row>
    <row r="124" ht="15" customFormat="1" customHeight="1" s="2">
      <c r="A124" s="10" t="n">
        <v>123</v>
      </c>
      <c r="B124" s="12" t="inlineStr">
        <is>
          <t>Navigation</t>
        </is>
      </c>
      <c r="C124" s="9" t="inlineStr">
        <is>
          <t>NAV-009</t>
        </is>
      </c>
      <c r="D124" s="12" t="inlineStr">
        <is>
          <t>Shop</t>
        </is>
      </c>
      <c r="E124" s="12" t="inlineStr">
        <is>
          <t>Shop portal - Marketing</t>
        </is>
      </c>
      <c r="F124" s="12" t="inlineStr">
        <is>
          <t>/shop/marketing (customers, segments, campaigns, COD setting)</t>
        </is>
      </c>
      <c r="G124" s="12" t="inlineStr">
        <is>
          <t>-</t>
        </is>
      </c>
      <c r="H124" s="12" t="inlineStr">
        <is>
          <t>-</t>
        </is>
      </c>
      <c r="I124" s="10" t="inlineStr">
        <is>
          <t>COMPLETED</t>
        </is>
      </c>
      <c r="J124" s="12" t="inlineStr">
        <is>
          <t>Production (gokesari.com)</t>
        </is>
      </c>
      <c r="K124" s="12" t="inlineStr">
        <is>
          <t>Live</t>
        </is>
      </c>
      <c r="L124" s="12" t="inlineStr">
        <is>
          <t>#18; #55 (F8 shop offers)</t>
        </is>
      </c>
      <c r="M124" s="12" t="inlineStr">
        <is>
          <t>#19; #57</t>
        </is>
      </c>
      <c r="N124" s="12" t="inlineStr">
        <is>
          <t>-</t>
        </is>
      </c>
      <c r="O124" s="12" t="inlineStr">
        <is>
          <t>-</t>
        </is>
      </c>
      <c r="P124" s="12" t="inlineStr">
        <is>
          <t>COMPLETED</t>
        </is>
      </c>
      <c r="Q124" s="12" t="inlineStr">
        <is>
          <t>No change</t>
        </is>
      </c>
      <c r="R124" s="12" t="inlineStr">
        <is>
          <t>src/app/shop/marketing/page.tsx</t>
        </is>
      </c>
    </row>
    <row r="125" ht="39" customFormat="1" customHeight="1" s="2">
      <c r="A125" s="10" t="n">
        <v>124</v>
      </c>
      <c r="B125" s="12" t="inlineStr">
        <is>
          <t>Navigation</t>
        </is>
      </c>
      <c r="C125" s="9" t="inlineStr">
        <is>
          <t>NAV-010</t>
        </is>
      </c>
      <c r="D125" s="12" t="inlineStr">
        <is>
          <t>Shop</t>
        </is>
      </c>
      <c r="E125" s="12" t="inlineStr">
        <is>
          <t>Shop portal - Finance</t>
        </is>
      </c>
      <c r="F125" s="12" t="inlineStr">
        <is>
          <t>/shop/finance: commission, settlements, payouts and the shop ledger; tax invoices per delivered order (when invoicing is on).</t>
        </is>
      </c>
      <c r="G125" s="12" t="inlineStr">
        <is>
          <t>-</t>
        </is>
      </c>
      <c r="H125" s="12" t="inlineStr">
        <is>
          <t>-</t>
        </is>
      </c>
      <c r="I125" s="10" t="inlineStr">
        <is>
          <t>COMPLETED</t>
        </is>
      </c>
      <c r="J125" s="12" t="inlineStr">
        <is>
          <t>Production (gokesari.com)</t>
        </is>
      </c>
      <c r="K125" s="12" t="inlineStr">
        <is>
          <t>Live</t>
        </is>
      </c>
      <c r="L125" s="12" t="inlineStr">
        <is>
          <t>#10; #58 (invoices)</t>
        </is>
      </c>
      <c r="M125" s="12" t="inlineStr">
        <is>
          <t>#14; #65</t>
        </is>
      </c>
      <c r="N125" s="12" t="inlineStr">
        <is>
          <t>Invoices built (NEW-007, rule invoicing.enabled, off by default): /shop/finance lists them.</t>
        </is>
      </c>
      <c r="O125" s="12" t="inlineStr">
        <is>
          <t>-</t>
        </is>
      </c>
      <c r="P125" s="12" t="inlineStr">
        <is>
          <t>COMPLETED</t>
        </is>
      </c>
      <c r="Q125" s="12" t="inlineStr">
        <is>
          <t>No change</t>
        </is>
      </c>
      <c r="R125" s="12" t="inlineStr">
        <is>
          <t>src/app/shop/finance/page.tsx</t>
        </is>
      </c>
    </row>
    <row r="126" ht="27" customFormat="1" customHeight="1" s="2">
      <c r="A126" s="10" t="n">
        <v>125</v>
      </c>
      <c r="B126" s="12" t="inlineStr">
        <is>
          <t>Navigation</t>
        </is>
      </c>
      <c r="C126" s="9" t="inlineStr">
        <is>
          <t>NAV-011</t>
        </is>
      </c>
      <c r="D126" s="12" t="inlineStr">
        <is>
          <t>Gig</t>
        </is>
      </c>
      <c r="E126" s="12" t="inlineStr">
        <is>
          <t>Gig portal - Jobs</t>
        </is>
      </c>
      <c r="F126" s="12" t="inlineStr">
        <is>
          <t>/delivery-partner and /gig/orders: available offers, assigned and active jobs, history; ordered trip list when batching is on.</t>
        </is>
      </c>
      <c r="G126" s="12" t="inlineStr">
        <is>
          <t>F4.1.1</t>
        </is>
      </c>
      <c r="H126" s="12" t="inlineStr">
        <is>
          <t>-</t>
        </is>
      </c>
      <c r="I126" s="10" t="inlineStr">
        <is>
          <t>COMPLETED</t>
        </is>
      </c>
      <c r="J126" s="12" t="inlineStr">
        <is>
          <t>Production (gokesari.com)</t>
        </is>
      </c>
      <c r="K126" s="12" t="inlineStr">
        <is>
          <t>Live</t>
        </is>
      </c>
      <c r="L126" s="12" t="inlineStr">
        <is>
          <t>Baseline; #21; #58 (trip list)</t>
        </is>
      </c>
      <c r="M126" s="12" t="inlineStr">
        <is>
          <t>Baseline; #19; #65</t>
        </is>
      </c>
      <c r="N126" s="12" t="inlineStr">
        <is>
          <t>-</t>
        </is>
      </c>
      <c r="O126" s="12" t="inlineStr">
        <is>
          <t>-</t>
        </is>
      </c>
      <c r="P126" s="12" t="inlineStr">
        <is>
          <t>COMPLETED</t>
        </is>
      </c>
      <c r="Q126" s="12" t="inlineStr">
        <is>
          <t>No change</t>
        </is>
      </c>
      <c r="R126" s="12" t="inlineStr">
        <is>
          <t>-</t>
        </is>
      </c>
    </row>
    <row r="127" ht="27" customFormat="1" customHeight="1" s="2">
      <c r="A127" s="10" t="n">
        <v>126</v>
      </c>
      <c r="B127" s="12" t="inlineStr">
        <is>
          <t>Navigation</t>
        </is>
      </c>
      <c r="C127" s="9" t="inlineStr">
        <is>
          <t>NAV-012</t>
        </is>
      </c>
      <c r="D127" s="12" t="inlineStr">
        <is>
          <t>Gig</t>
        </is>
      </c>
      <c r="E127" s="12" t="inlineStr">
        <is>
          <t>Gig portal - Earnings</t>
        </is>
      </c>
      <c r="F127" s="12" t="inlineStr">
        <is>
          <t>Rider earnings with status + payouts list, now with a per-earning breakdown</t>
        </is>
      </c>
      <c r="G127" s="12" t="inlineStr">
        <is>
          <t>-</t>
        </is>
      </c>
      <c r="H127" s="12" t="inlineStr">
        <is>
          <t>-</t>
        </is>
      </c>
      <c r="I127" s="10" t="inlineStr">
        <is>
          <t>COMPLETED</t>
        </is>
      </c>
      <c r="J127" s="12" t="inlineStr">
        <is>
          <t>Production (gokesari.com)</t>
        </is>
      </c>
      <c r="K127" s="12" t="inlineStr">
        <is>
          <t>Live</t>
        </is>
      </c>
      <c r="L127" s="12" t="inlineStr">
        <is>
          <t>Baseline; #21; #23 (Phase D)</t>
        </is>
      </c>
      <c r="M127" s="12" t="inlineStr">
        <is>
          <t>Baseline; #19; #23</t>
        </is>
      </c>
      <c r="N127" s="12" t="inlineStr">
        <is>
          <t>-</t>
        </is>
      </c>
      <c r="O127" s="12" t="inlineStr">
        <is>
          <t>-</t>
        </is>
      </c>
      <c r="P127" s="12" t="inlineStr">
        <is>
          <t>COMPLETED</t>
        </is>
      </c>
      <c r="Q127" s="12" t="inlineStr">
        <is>
          <t>No change</t>
        </is>
      </c>
      <c r="R127" s="12" t="inlineStr">
        <is>
          <t>src/app/gig/orders/page.tsx; src/app/api/delivery-partner/earnings/route.ts</t>
        </is>
      </c>
    </row>
    <row r="128" ht="39" customFormat="1" customHeight="1" s="2">
      <c r="A128" s="10" t="n">
        <v>127</v>
      </c>
      <c r="B128" s="12" t="inlineStr">
        <is>
          <t>Navigation</t>
        </is>
      </c>
      <c r="C128" s="9" t="inlineStr">
        <is>
          <t>NAV-013</t>
        </is>
      </c>
      <c r="D128" s="12" t="inlineStr">
        <is>
          <t>Gig</t>
        </is>
      </c>
      <c r="E128" s="12" t="inlineStr">
        <is>
          <t>Gig portal - Profile</t>
        </is>
      </c>
      <c r="F128" s="12" t="inlineStr">
        <is>
          <t>F2: rider edits own profile (vehicle, availability details) at /gig/profile; identity and bank changes go to an admin review queue, stored encrypted (/admin/rider-changes).</t>
        </is>
      </c>
      <c r="G128" s="12" t="inlineStr">
        <is>
          <t>-</t>
        </is>
      </c>
      <c r="H128" s="12" t="inlineStr">
        <is>
          <t>-</t>
        </is>
      </c>
      <c r="I128" s="10" t="inlineStr">
        <is>
          <t>COMPLETED</t>
        </is>
      </c>
      <c r="J128" s="12" t="inlineStr">
        <is>
          <t>Production (gokesari.com)</t>
        </is>
      </c>
      <c r="K128" s="12" t="inlineStr">
        <is>
          <t>Live</t>
        </is>
      </c>
      <c r="L128" s="12" t="inlineStr">
        <is>
          <t>#21 (read-only profile); #55 (F2 self-edit)</t>
        </is>
      </c>
      <c r="M128" s="12" t="inlineStr">
        <is>
          <t>#19; #57</t>
        </is>
      </c>
      <c r="N128" s="12" t="inlineStr">
        <is>
          <t>-</t>
        </is>
      </c>
      <c r="O128" s="12" t="inlineStr">
        <is>
          <t>-</t>
        </is>
      </c>
      <c r="P128" s="12" t="inlineStr">
        <is>
          <t>COMPLETED</t>
        </is>
      </c>
      <c r="Q128" s="12" t="inlineStr">
        <is>
          <t>No change</t>
        </is>
      </c>
      <c r="R128" s="12" t="inlineStr">
        <is>
          <t>src/server/services/rider-profile.ts; drizzle/0043_rider_change_requests.sql; tests/integration/rider-profile.test.ts</t>
        </is>
      </c>
    </row>
    <row r="129" ht="15" customFormat="1" customHeight="1" s="2">
      <c r="A129" s="10" t="n">
        <v>128</v>
      </c>
      <c r="B129" s="12" t="inlineStr">
        <is>
          <t>Navigation</t>
        </is>
      </c>
      <c r="C129" s="9" t="inlineStr">
        <is>
          <t>NAV-014</t>
        </is>
      </c>
      <c r="D129" s="12" t="inlineStr">
        <is>
          <t>Society</t>
        </is>
      </c>
      <c r="E129" s="12" t="inlineStr">
        <is>
          <t>Society portal - Dashboard</t>
        </is>
      </c>
      <c r="F129" s="12" t="inlineStr">
        <is>
          <t>/society/{id} dashboard (rules, residents, riders, shops, deliveries)</t>
        </is>
      </c>
      <c r="G129" s="12" t="inlineStr">
        <is>
          <t>-</t>
        </is>
      </c>
      <c r="H129" s="12" t="inlineStr">
        <is>
          <t>-</t>
        </is>
      </c>
      <c r="I129" s="10" t="inlineStr">
        <is>
          <t>COMPLETED</t>
        </is>
      </c>
      <c r="J129" s="12" t="inlineStr">
        <is>
          <t>Production (gokesari.com)</t>
        </is>
      </c>
      <c r="K129" s="12" t="inlineStr">
        <is>
          <t>Live</t>
        </is>
      </c>
      <c r="L129" s="12" t="inlineStr">
        <is>
          <t>#11</t>
        </is>
      </c>
      <c r="M129" s="12" t="inlineStr">
        <is>
          <t>#19</t>
        </is>
      </c>
      <c r="N129" s="12" t="inlineStr">
        <is>
          <t>-</t>
        </is>
      </c>
      <c r="O129" s="12" t="inlineStr">
        <is>
          <t>-</t>
        </is>
      </c>
      <c r="P129" s="12" t="inlineStr">
        <is>
          <t>COMPLETED</t>
        </is>
      </c>
      <c r="Q129" s="12" t="inlineStr">
        <is>
          <t>No change</t>
        </is>
      </c>
      <c r="R129" s="12" t="inlineStr">
        <is>
          <t>src/app/society/[id]/page.tsx</t>
        </is>
      </c>
    </row>
    <row r="130" ht="27" customFormat="1" customHeight="1" s="2">
      <c r="A130" s="10" t="n">
        <v>129</v>
      </c>
      <c r="B130" s="12" t="inlineStr">
        <is>
          <t>Navigation</t>
        </is>
      </c>
      <c r="C130" s="9" t="inlineStr">
        <is>
          <t>NAV-015</t>
        </is>
      </c>
      <c r="D130" s="12" t="inlineStr">
        <is>
          <t>Operator</t>
        </is>
      </c>
      <c r="E130" s="12" t="inlineStr">
        <is>
          <t>Operator portal - Operations</t>
        </is>
      </c>
      <c r="F130" s="12" t="inlineStr">
        <is>
          <t>/admin/finance/exceptions and the non-finance /admin/exceptions queue with per-row actions</t>
        </is>
      </c>
      <c r="G130" s="12" t="inlineStr">
        <is>
          <t>F12.1.2</t>
        </is>
      </c>
      <c r="H130" s="12" t="inlineStr">
        <is>
          <t>-</t>
        </is>
      </c>
      <c r="I130" s="10" t="inlineStr">
        <is>
          <t>COMPLETED</t>
        </is>
      </c>
      <c r="J130" s="12" t="inlineStr">
        <is>
          <t>Production (gokesari.com)</t>
        </is>
      </c>
      <c r="K130" s="12" t="inlineStr">
        <is>
          <t>Live</t>
        </is>
      </c>
      <c r="L130" s="12" t="inlineStr">
        <is>
          <t>#21; #74 (menu link)</t>
        </is>
      </c>
      <c r="M130" s="12" t="inlineStr">
        <is>
          <t>#19; #73</t>
        </is>
      </c>
      <c r="N130" s="12" t="inlineStr">
        <is>
          <t>-</t>
        </is>
      </c>
      <c r="O130" s="12" t="inlineStr">
        <is>
          <t>-</t>
        </is>
      </c>
      <c r="P130" s="12" t="inlineStr">
        <is>
          <t>COMPLETED</t>
        </is>
      </c>
      <c r="Q130" s="12" t="inlineStr">
        <is>
          <t>No change</t>
        </is>
      </c>
      <c r="R130" s="12" t="inlineStr">
        <is>
          <t>src/app/admin/exceptions/page.tsx; src/components/ops-exception-actions.tsx</t>
        </is>
      </c>
    </row>
    <row r="131" ht="27" customFormat="1" customHeight="1" s="2">
      <c r="A131" s="10" t="n">
        <v>130</v>
      </c>
      <c r="B131" s="12" t="inlineStr">
        <is>
          <t>Navigation</t>
        </is>
      </c>
      <c r="C131" s="9" t="inlineStr">
        <is>
          <t>NAV-016</t>
        </is>
      </c>
      <c r="D131" s="12" t="inlineStr">
        <is>
          <t>Operator</t>
        </is>
      </c>
      <c r="E131" s="12" t="inlineStr">
        <is>
          <t>Operator portal - Orders</t>
        </is>
      </c>
      <c r="F131" s="12" t="inlineStr">
        <is>
          <t>/admin/orders order-monitoring screen with status, shop and date-range filters, gated on ORDER_VIEW_ANY</t>
        </is>
      </c>
      <c r="G131" s="12" t="inlineStr">
        <is>
          <t>F12.1.2</t>
        </is>
      </c>
      <c r="H131" s="12" t="inlineStr">
        <is>
          <t>-</t>
        </is>
      </c>
      <c r="I131" s="10" t="inlineStr">
        <is>
          <t>COMPLETED</t>
        </is>
      </c>
      <c r="J131" s="12" t="inlineStr">
        <is>
          <t>Production (gokesari.com)</t>
        </is>
      </c>
      <c r="K131" s="12" t="inlineStr">
        <is>
          <t>Live</t>
        </is>
      </c>
      <c r="L131" s="12" t="inlineStr">
        <is>
          <t>#21; #29 (Track toggle); #74 (menu link)</t>
        </is>
      </c>
      <c r="M131" s="12" t="inlineStr">
        <is>
          <t>#19; #29; #73</t>
        </is>
      </c>
      <c r="N131" s="12" t="inlineStr">
        <is>
          <t>-</t>
        </is>
      </c>
      <c r="O131" s="12" t="inlineStr">
        <is>
          <t>-</t>
        </is>
      </c>
      <c r="P131" s="12" t="inlineStr">
        <is>
          <t>COMPLETED</t>
        </is>
      </c>
      <c r="Q131" s="12" t="inlineStr">
        <is>
          <t>No change</t>
        </is>
      </c>
      <c r="R131" s="12" t="inlineStr">
        <is>
          <t>src/app/admin/orders/page.tsx; src/components/order-monitoring-table.tsx</t>
        </is>
      </c>
    </row>
    <row r="132" ht="39" customFormat="1" customHeight="1" s="2">
      <c r="A132" s="10" t="n">
        <v>131</v>
      </c>
      <c r="B132" s="12" t="inlineStr">
        <is>
          <t>Navigation</t>
        </is>
      </c>
      <c r="C132" s="9" t="inlineStr">
        <is>
          <t>NAV-017</t>
        </is>
      </c>
      <c r="D132" s="12" t="inlineStr">
        <is>
          <t>Admin</t>
        </is>
      </c>
      <c r="E132" s="12" t="inlineStr">
        <is>
          <t>Admin portal - Control Tower</t>
        </is>
      </c>
      <c r="F132" s="12" t="inlineStr">
        <is>
          <t>/admin/dashboard: live operations, in-flight orders, KPIs, risk flags, shop approvals, with links into orders, finance and exceptions</t>
        </is>
      </c>
      <c r="G132" s="12" t="inlineStr">
        <is>
          <t>-</t>
        </is>
      </c>
      <c r="H132" s="12" t="inlineStr">
        <is>
          <t>-</t>
        </is>
      </c>
      <c r="I132" s="10" t="inlineStr">
        <is>
          <t>COMPLETED</t>
        </is>
      </c>
      <c r="J132" s="12" t="inlineStr">
        <is>
          <t>Production (gokesari.com)</t>
        </is>
      </c>
      <c r="K132" s="12" t="inlineStr">
        <is>
          <t>Live</t>
        </is>
      </c>
      <c r="L132" s="12" t="inlineStr">
        <is>
          <t>#21; #23 (Phase J); #74 (menu link); #122 (console split); #124 (section tabs)</t>
        </is>
      </c>
      <c r="M132" s="12" t="inlineStr">
        <is>
          <t>#19; #23; #73; #123; #126</t>
        </is>
      </c>
      <c r="N132" s="12" t="inlineStr">
        <is>
          <t>-</t>
        </is>
      </c>
      <c r="O132" s="12" t="inlineStr">
        <is>
          <t>-</t>
        </is>
      </c>
      <c r="P132" s="12" t="inlineStr">
        <is>
          <t>COMPLETED</t>
        </is>
      </c>
      <c r="Q132" s="12" t="inlineStr">
        <is>
          <t>No change</t>
        </is>
      </c>
      <c r="R132" s="12" t="inlineStr">
        <is>
          <t>src/app/admin/dashboard/page.tsx; src/app/admin/console/[section]; src/app/admin/menu/[key]</t>
        </is>
      </c>
    </row>
    <row r="133" ht="39" customFormat="1" customHeight="1" s="2">
      <c r="A133" s="10" t="n">
        <v>132</v>
      </c>
      <c r="B133" s="12" t="inlineStr">
        <is>
          <t>Navigation</t>
        </is>
      </c>
      <c r="C133" s="9" t="inlineStr">
        <is>
          <t>NAV-018</t>
        </is>
      </c>
      <c r="D133" s="12" t="inlineStr">
        <is>
          <t>Admin</t>
        </is>
      </c>
      <c r="E133" s="12" t="inlineStr">
        <is>
          <t>Admin portal - Analytics</t>
        </is>
      </c>
      <c r="F133" s="12" t="inlineStr">
        <is>
          <t>/admin/analytics and /shop/analytics</t>
        </is>
      </c>
      <c r="G133" s="12" t="inlineStr">
        <is>
          <t>-</t>
        </is>
      </c>
      <c r="H133" s="12" t="inlineStr">
        <is>
          <t>-</t>
        </is>
      </c>
      <c r="I133" s="10" t="inlineStr">
        <is>
          <t>COMPLETED</t>
        </is>
      </c>
      <c r="J133" s="12" t="inlineStr">
        <is>
          <t>Production (gokesari.com)</t>
        </is>
      </c>
      <c r="K133" s="12" t="inlineStr">
        <is>
          <t>Live</t>
        </is>
      </c>
      <c r="L133" s="12" t="inlineStr">
        <is>
          <t>#18</t>
        </is>
      </c>
      <c r="M133" s="12" t="inlineStr">
        <is>
          <t>#19</t>
        </is>
      </c>
      <c r="N133" s="12" t="inlineStr">
        <is>
          <t>-</t>
        </is>
      </c>
      <c r="O133" s="12" t="inlineStr">
        <is>
          <t>-</t>
        </is>
      </c>
      <c r="P133" s="12" t="inlineStr">
        <is>
          <t>COMPLETED</t>
        </is>
      </c>
      <c r="Q133" s="12" t="inlineStr">
        <is>
          <t>No change</t>
        </is>
      </c>
      <c r="R133" s="12" t="inlineStr">
        <is>
          <t>src/server/services/analytics.ts; src/app/admin/analytics/page.tsx; src/app/api/analytics/kpis/route.ts</t>
        </is>
      </c>
    </row>
    <row r="134" ht="51" customFormat="1" customHeight="1" s="2">
      <c r="A134" s="10" t="n">
        <v>133</v>
      </c>
      <c r="B134" s="12" t="inlineStr">
        <is>
          <t>Navigation</t>
        </is>
      </c>
      <c r="C134" s="9" t="inlineStr">
        <is>
          <t>NAV-019</t>
        </is>
      </c>
      <c r="D134" s="12" t="inlineStr">
        <is>
          <t>Admin</t>
        </is>
      </c>
      <c r="E134" s="12" t="inlineStr">
        <is>
          <t>Admin portal - Security</t>
        </is>
      </c>
      <c r="F134" s="12" t="inlineStr">
        <is>
          <t>Fraud side: /admin/risk over 11 risk rules. NEW consent side: /admin/consents behind CONSENT_VIEW (operator + admin) - per-type consent standing vs live policy version, recent grant/withdrawal trail, per-person audited lookup; stored IP never returned</t>
        </is>
      </c>
      <c r="G134" s="12" t="inlineStr">
        <is>
          <t>F12.2.4</t>
        </is>
      </c>
      <c r="H134" s="12" t="inlineStr">
        <is>
          <t>-</t>
        </is>
      </c>
      <c r="I134" s="10" t="inlineStr">
        <is>
          <t>COMPLETED</t>
        </is>
      </c>
      <c r="J134" s="12" t="inlineStr">
        <is>
          <t>Production (gokesari.com)</t>
        </is>
      </c>
      <c r="K134" s="12" t="inlineStr">
        <is>
          <t>Live</t>
        </is>
      </c>
      <c r="L134" s="12" t="inlineStr">
        <is>
          <t>#18 (/admin/risk); #34 (/admin/consents)</t>
        </is>
      </c>
      <c r="M134" s="12" t="inlineStr">
        <is>
          <t>#19; #34</t>
        </is>
      </c>
      <c r="N134" s="12" t="inlineStr">
        <is>
          <t>-</t>
        </is>
      </c>
      <c r="O134" s="12" t="inlineStr">
        <is>
          <t>-</t>
        </is>
      </c>
      <c r="P134" s="12" t="inlineStr">
        <is>
          <t>COMPLETED</t>
        </is>
      </c>
      <c r="Q134" s="12" t="inlineStr">
        <is>
          <t>No change</t>
        </is>
      </c>
      <c r="R134" s="12" t="inlineStr">
        <is>
          <t>src/app/admin/consents/page.tsx; src/server/authz/permissions.ts (CONSENT_VIEW); tests/integration/consents.test.ts</t>
        </is>
      </c>
    </row>
    <row r="135" ht="39" customFormat="1" customHeight="1" s="2">
      <c r="A135" s="10" t="n">
        <v>134</v>
      </c>
      <c r="B135" s="12" t="inlineStr">
        <is>
          <t>KPIs</t>
        </is>
      </c>
      <c r="C135" s="9" t="inlineStr">
        <is>
          <t>KPI-001</t>
        </is>
      </c>
      <c r="D135" s="12" t="inlineStr">
        <is>
          <t>Analytics</t>
        </is>
      </c>
      <c r="E135" s="12" t="inlineStr">
        <is>
          <t>GMV</t>
        </is>
      </c>
      <c r="F135" s="12" t="inlineStr">
        <is>
          <t>GMV plus a daily GMV trend</t>
        </is>
      </c>
      <c r="G135" s="12" t="inlineStr">
        <is>
          <t>-</t>
        </is>
      </c>
      <c r="H135" s="12" t="inlineStr">
        <is>
          <t>-</t>
        </is>
      </c>
      <c r="I135" s="10" t="inlineStr">
        <is>
          <t>COMPLETED</t>
        </is>
      </c>
      <c r="J135" s="12" t="inlineStr">
        <is>
          <t>Production (gokesari.com)</t>
        </is>
      </c>
      <c r="K135" s="12" t="inlineStr">
        <is>
          <t>Live</t>
        </is>
      </c>
      <c r="L135" s="12" t="inlineStr">
        <is>
          <t>#18</t>
        </is>
      </c>
      <c r="M135" s="12" t="inlineStr">
        <is>
          <t>#19</t>
        </is>
      </c>
      <c r="N135" s="12" t="inlineStr">
        <is>
          <t>-</t>
        </is>
      </c>
      <c r="O135" s="12" t="inlineStr">
        <is>
          <t>-</t>
        </is>
      </c>
      <c r="P135" s="12" t="inlineStr">
        <is>
          <t>COMPLETED</t>
        </is>
      </c>
      <c r="Q135" s="12" t="inlineStr">
        <is>
          <t>No change</t>
        </is>
      </c>
      <c r="R135" s="12" t="inlineStr">
        <is>
          <t>src/server/services/analytics.ts; src/app/admin/analytics/page.tsx; src/app/api/analytics/kpis/route.ts</t>
        </is>
      </c>
    </row>
    <row r="136" ht="39" customFormat="1" customHeight="1" s="2">
      <c r="A136" s="10" t="n">
        <v>135</v>
      </c>
      <c r="B136" s="12" t="inlineStr">
        <is>
          <t>KPIs</t>
        </is>
      </c>
      <c r="C136" s="9" t="inlineStr">
        <is>
          <t>KPI-002</t>
        </is>
      </c>
      <c r="D136" s="12" t="inlineStr">
        <is>
          <t>Analytics</t>
        </is>
      </c>
      <c r="E136" s="12" t="inlineStr">
        <is>
          <t>Order fill rate</t>
        </is>
      </c>
      <c r="F136" s="12" t="inlineStr">
        <is>
          <t>delivered / placed in window</t>
        </is>
      </c>
      <c r="G136" s="12" t="inlineStr">
        <is>
          <t>-</t>
        </is>
      </c>
      <c r="H136" s="12" t="inlineStr">
        <is>
          <t>-</t>
        </is>
      </c>
      <c r="I136" s="10" t="inlineStr">
        <is>
          <t>COMPLETED</t>
        </is>
      </c>
      <c r="J136" s="12" t="inlineStr">
        <is>
          <t>Production (gokesari.com)</t>
        </is>
      </c>
      <c r="K136" s="12" t="inlineStr">
        <is>
          <t>Live</t>
        </is>
      </c>
      <c r="L136" s="12" t="inlineStr">
        <is>
          <t>#18</t>
        </is>
      </c>
      <c r="M136" s="12" t="inlineStr">
        <is>
          <t>#19</t>
        </is>
      </c>
      <c r="N136" s="12" t="inlineStr">
        <is>
          <t>-</t>
        </is>
      </c>
      <c r="O136" s="12" t="inlineStr">
        <is>
          <t>-</t>
        </is>
      </c>
      <c r="P136" s="12" t="inlineStr">
        <is>
          <t>COMPLETED</t>
        </is>
      </c>
      <c r="Q136" s="12" t="inlineStr">
        <is>
          <t>No change</t>
        </is>
      </c>
      <c r="R136" s="12" t="inlineStr">
        <is>
          <t>src/server/services/analytics.ts; src/app/admin/analytics/page.tsx; src/app/api/analytics/kpis/route.ts</t>
        </is>
      </c>
    </row>
    <row r="137" ht="39" customFormat="1" customHeight="1" s="2">
      <c r="A137" s="10" t="n">
        <v>136</v>
      </c>
      <c r="B137" s="12" t="inlineStr">
        <is>
          <t>KPIs</t>
        </is>
      </c>
      <c r="C137" s="9" t="inlineStr">
        <is>
          <t>KPI-003</t>
        </is>
      </c>
      <c r="D137" s="12" t="inlineStr">
        <is>
          <t>Analytics</t>
        </is>
      </c>
      <c r="E137" s="12" t="inlineStr">
        <is>
          <t>Shop acceptance time</t>
        </is>
      </c>
      <c r="F137" s="12" t="inlineStr">
        <is>
          <t>duration from placed to accepted</t>
        </is>
      </c>
      <c r="G137" s="12" t="inlineStr">
        <is>
          <t>-</t>
        </is>
      </c>
      <c r="H137" s="12" t="inlineStr">
        <is>
          <t>-</t>
        </is>
      </c>
      <c r="I137" s="10" t="inlineStr">
        <is>
          <t>COMPLETED</t>
        </is>
      </c>
      <c r="J137" s="12" t="inlineStr">
        <is>
          <t>Production (gokesari.com)</t>
        </is>
      </c>
      <c r="K137" s="12" t="inlineStr">
        <is>
          <t>Live</t>
        </is>
      </c>
      <c r="L137" s="12" t="inlineStr">
        <is>
          <t>#18</t>
        </is>
      </c>
      <c r="M137" s="12" t="inlineStr">
        <is>
          <t>#19</t>
        </is>
      </c>
      <c r="N137" s="12" t="inlineStr">
        <is>
          <t>-</t>
        </is>
      </c>
      <c r="O137" s="12" t="inlineStr">
        <is>
          <t>-</t>
        </is>
      </c>
      <c r="P137" s="12" t="inlineStr">
        <is>
          <t>COMPLETED</t>
        </is>
      </c>
      <c r="Q137" s="12" t="inlineStr">
        <is>
          <t>No change</t>
        </is>
      </c>
      <c r="R137" s="12" t="inlineStr">
        <is>
          <t>src/server/services/analytics.ts; src/app/admin/analytics/page.tsx; src/app/api/analytics/kpis/route.ts</t>
        </is>
      </c>
    </row>
    <row r="138" ht="39" customFormat="1" customHeight="1" s="2">
      <c r="A138" s="10" t="n">
        <v>137</v>
      </c>
      <c r="B138" s="12" t="inlineStr">
        <is>
          <t>KPIs</t>
        </is>
      </c>
      <c r="C138" s="9" t="inlineStr">
        <is>
          <t>KPI-004</t>
        </is>
      </c>
      <c r="D138" s="12" t="inlineStr">
        <is>
          <t>Analytics</t>
        </is>
      </c>
      <c r="E138" s="12" t="inlineStr">
        <is>
          <t>Pick-pack time</t>
        </is>
      </c>
      <c r="F138" s="12" t="inlineStr">
        <is>
          <t>duration from accepted to READY</t>
        </is>
      </c>
      <c r="G138" s="12" t="inlineStr">
        <is>
          <t>-</t>
        </is>
      </c>
      <c r="H138" s="12" t="inlineStr">
        <is>
          <t>-</t>
        </is>
      </c>
      <c r="I138" s="10" t="inlineStr">
        <is>
          <t>COMPLETED</t>
        </is>
      </c>
      <c r="J138" s="12" t="inlineStr">
        <is>
          <t>Production (gokesari.com)</t>
        </is>
      </c>
      <c r="K138" s="12" t="inlineStr">
        <is>
          <t>Live</t>
        </is>
      </c>
      <c r="L138" s="12" t="inlineStr">
        <is>
          <t>#18</t>
        </is>
      </c>
      <c r="M138" s="12" t="inlineStr">
        <is>
          <t>#19</t>
        </is>
      </c>
      <c r="N138" s="12" t="inlineStr">
        <is>
          <t>-</t>
        </is>
      </c>
      <c r="O138" s="12" t="inlineStr">
        <is>
          <t>-</t>
        </is>
      </c>
      <c r="P138" s="12" t="inlineStr">
        <is>
          <t>COMPLETED</t>
        </is>
      </c>
      <c r="Q138" s="12" t="inlineStr">
        <is>
          <t>No change</t>
        </is>
      </c>
      <c r="R138" s="12" t="inlineStr">
        <is>
          <t>src/server/services/analytics.ts; src/app/admin/analytics/page.tsx; src/app/api/analytics/kpis/route.ts</t>
        </is>
      </c>
    </row>
    <row r="139" ht="39" customFormat="1" customHeight="1" s="2">
      <c r="A139" s="10" t="n">
        <v>138</v>
      </c>
      <c r="B139" s="12" t="inlineStr">
        <is>
          <t>KPIs</t>
        </is>
      </c>
      <c r="C139" s="9" t="inlineStr">
        <is>
          <t>KPI-005</t>
        </is>
      </c>
      <c r="D139" s="12" t="inlineStr">
        <is>
          <t>Analytics</t>
        </is>
      </c>
      <c r="E139" s="12" t="inlineStr">
        <is>
          <t>Assignment time</t>
        </is>
      </c>
      <c r="F139" s="12" t="inlineStr">
        <is>
          <t>duration from READY to rider accepted</t>
        </is>
      </c>
      <c r="G139" s="12" t="inlineStr">
        <is>
          <t>-</t>
        </is>
      </c>
      <c r="H139" s="12" t="inlineStr">
        <is>
          <t>-</t>
        </is>
      </c>
      <c r="I139" s="10" t="inlineStr">
        <is>
          <t>COMPLETED</t>
        </is>
      </c>
      <c r="J139" s="12" t="inlineStr">
        <is>
          <t>Production (gokesari.com)</t>
        </is>
      </c>
      <c r="K139" s="12" t="inlineStr">
        <is>
          <t>Live</t>
        </is>
      </c>
      <c r="L139" s="12" t="inlineStr">
        <is>
          <t>#18</t>
        </is>
      </c>
      <c r="M139" s="12" t="inlineStr">
        <is>
          <t>#19</t>
        </is>
      </c>
      <c r="N139" s="12" t="inlineStr">
        <is>
          <t>-</t>
        </is>
      </c>
      <c r="O139" s="12" t="inlineStr">
        <is>
          <t>-</t>
        </is>
      </c>
      <c r="P139" s="12" t="inlineStr">
        <is>
          <t>COMPLETED</t>
        </is>
      </c>
      <c r="Q139" s="12" t="inlineStr">
        <is>
          <t>No change</t>
        </is>
      </c>
      <c r="R139" s="12" t="inlineStr">
        <is>
          <t>src/server/services/analytics.ts; src/app/admin/analytics/page.tsx; src/app/api/analytics/kpis/route.ts</t>
        </is>
      </c>
    </row>
    <row r="140" ht="39" customFormat="1" customHeight="1" s="2">
      <c r="A140" s="10" t="n">
        <v>139</v>
      </c>
      <c r="B140" s="12" t="inlineStr">
        <is>
          <t>KPIs</t>
        </is>
      </c>
      <c r="C140" s="9" t="inlineStr">
        <is>
          <t>KPI-006</t>
        </is>
      </c>
      <c r="D140" s="12" t="inlineStr">
        <is>
          <t>Analytics</t>
        </is>
      </c>
      <c r="E140" s="12" t="inlineStr">
        <is>
          <t>Delivery time</t>
        </is>
      </c>
      <c r="F140" s="12" t="inlineStr">
        <is>
          <t>duration from pickup to delivered</t>
        </is>
      </c>
      <c r="G140" s="12" t="inlineStr">
        <is>
          <t>-</t>
        </is>
      </c>
      <c r="H140" s="12" t="inlineStr">
        <is>
          <t>-</t>
        </is>
      </c>
      <c r="I140" s="10" t="inlineStr">
        <is>
          <t>COMPLETED</t>
        </is>
      </c>
      <c r="J140" s="12" t="inlineStr">
        <is>
          <t>Production (gokesari.com)</t>
        </is>
      </c>
      <c r="K140" s="12" t="inlineStr">
        <is>
          <t>Live</t>
        </is>
      </c>
      <c r="L140" s="12" t="inlineStr">
        <is>
          <t>#18</t>
        </is>
      </c>
      <c r="M140" s="12" t="inlineStr">
        <is>
          <t>#19</t>
        </is>
      </c>
      <c r="N140" s="12" t="inlineStr">
        <is>
          <t>-</t>
        </is>
      </c>
      <c r="O140" s="12" t="inlineStr">
        <is>
          <t>-</t>
        </is>
      </c>
      <c r="P140" s="12" t="inlineStr">
        <is>
          <t>COMPLETED</t>
        </is>
      </c>
      <c r="Q140" s="12" t="inlineStr">
        <is>
          <t>No change</t>
        </is>
      </c>
      <c r="R140" s="12" t="inlineStr">
        <is>
          <t>src/server/services/analytics.ts; src/app/admin/analytics/page.tsx; src/app/api/analytics/kpis/route.ts</t>
        </is>
      </c>
    </row>
    <row r="141" ht="39" customFormat="1" customHeight="1" s="2">
      <c r="A141" s="10" t="n">
        <v>140</v>
      </c>
      <c r="B141" s="12" t="inlineStr">
        <is>
          <t>KPIs</t>
        </is>
      </c>
      <c r="C141" s="9" t="inlineStr">
        <is>
          <t>KPI-007</t>
        </is>
      </c>
      <c r="D141" s="12" t="inlineStr">
        <is>
          <t>Analytics</t>
        </is>
      </c>
      <c r="E141" s="12" t="inlineStr">
        <is>
          <t>On-time delivery rate</t>
        </is>
      </c>
      <c r="F141" s="12" t="inlineStr">
        <is>
          <t>delivered within the promised window</t>
        </is>
      </c>
      <c r="G141" s="12" t="inlineStr">
        <is>
          <t>-</t>
        </is>
      </c>
      <c r="H141" s="12" t="inlineStr">
        <is>
          <t>-</t>
        </is>
      </c>
      <c r="I141" s="10" t="inlineStr">
        <is>
          <t>COMPLETED</t>
        </is>
      </c>
      <c r="J141" s="12" t="inlineStr">
        <is>
          <t>Production (gokesari.com)</t>
        </is>
      </c>
      <c r="K141" s="12" t="inlineStr">
        <is>
          <t>Live</t>
        </is>
      </c>
      <c r="L141" s="12" t="inlineStr">
        <is>
          <t>#18</t>
        </is>
      </c>
      <c r="M141" s="12" t="inlineStr">
        <is>
          <t>#19</t>
        </is>
      </c>
      <c r="N141" s="12" t="inlineStr">
        <is>
          <t>-</t>
        </is>
      </c>
      <c r="O141" s="12" t="inlineStr">
        <is>
          <t>-</t>
        </is>
      </c>
      <c r="P141" s="12" t="inlineStr">
        <is>
          <t>COMPLETED</t>
        </is>
      </c>
      <c r="Q141" s="12" t="inlineStr">
        <is>
          <t>No change</t>
        </is>
      </c>
      <c r="R141" s="12" t="inlineStr">
        <is>
          <t>src/server/services/analytics.ts; src/app/admin/analytics/page.tsx; src/app/api/analytics/kpis/route.ts</t>
        </is>
      </c>
    </row>
    <row r="142" ht="39" customFormat="1" customHeight="1" s="2">
      <c r="A142" s="10" t="n">
        <v>141</v>
      </c>
      <c r="B142" s="12" t="inlineStr">
        <is>
          <t>KPIs</t>
        </is>
      </c>
      <c r="C142" s="9" t="inlineStr">
        <is>
          <t>KPI-008</t>
        </is>
      </c>
      <c r="D142" s="12" t="inlineStr">
        <is>
          <t>Analytics</t>
        </is>
      </c>
      <c r="E142" s="12" t="inlineStr">
        <is>
          <t>Cancellation rate</t>
        </is>
      </c>
      <c r="F142" s="12" t="inlineStr">
        <is>
          <t>Cancelled orders / orders placed, on /admin/analytics and /shop/analytics.</t>
        </is>
      </c>
      <c r="G142" s="12" t="inlineStr">
        <is>
          <t>-</t>
        </is>
      </c>
      <c r="H142" s="12" t="inlineStr">
        <is>
          <t>-</t>
        </is>
      </c>
      <c r="I142" s="10" t="inlineStr">
        <is>
          <t>COMPLETED</t>
        </is>
      </c>
      <c r="J142" s="12" t="inlineStr">
        <is>
          <t>Production (gokesari.com)</t>
        </is>
      </c>
      <c r="K142" s="12" t="inlineStr">
        <is>
          <t>Live</t>
        </is>
      </c>
      <c r="L142" s="12" t="inlineStr">
        <is>
          <t>#18</t>
        </is>
      </c>
      <c r="M142" s="12" t="inlineStr">
        <is>
          <t>#19</t>
        </is>
      </c>
      <c r="N142" s="12" t="inlineStr">
        <is>
          <t>-</t>
        </is>
      </c>
      <c r="O142" s="12" t="inlineStr">
        <is>
          <t>-</t>
        </is>
      </c>
      <c r="P142" s="12" t="inlineStr">
        <is>
          <t>COMPLETED</t>
        </is>
      </c>
      <c r="Q142" s="12" t="inlineStr">
        <is>
          <t>No change</t>
        </is>
      </c>
      <c r="R142" s="12" t="inlineStr">
        <is>
          <t>src/server/services/analytics.ts; src/app/admin/analytics/page.tsx; src/app/api/analytics/kpis/route.ts</t>
        </is>
      </c>
    </row>
    <row r="143" ht="39" customFormat="1" customHeight="1" s="2">
      <c r="A143" s="10" t="n">
        <v>142</v>
      </c>
      <c r="B143" s="12" t="inlineStr">
        <is>
          <t>KPIs</t>
        </is>
      </c>
      <c r="C143" s="9" t="inlineStr">
        <is>
          <t>KPI-009</t>
        </is>
      </c>
      <c r="D143" s="12" t="inlineStr">
        <is>
          <t>Analytics</t>
        </is>
      </c>
      <c r="E143" s="12" t="inlineStr">
        <is>
          <t>Refund rate</t>
        </is>
      </c>
      <c r="F143" s="12" t="inlineStr">
        <is>
          <t>refund rate by count and by value</t>
        </is>
      </c>
      <c r="G143" s="12" t="inlineStr">
        <is>
          <t>-</t>
        </is>
      </c>
      <c r="H143" s="12" t="inlineStr">
        <is>
          <t>-</t>
        </is>
      </c>
      <c r="I143" s="10" t="inlineStr">
        <is>
          <t>COMPLETED</t>
        </is>
      </c>
      <c r="J143" s="12" t="inlineStr">
        <is>
          <t>Production (gokesari.com)</t>
        </is>
      </c>
      <c r="K143" s="12" t="inlineStr">
        <is>
          <t>Live</t>
        </is>
      </c>
      <c r="L143" s="12" t="inlineStr">
        <is>
          <t>#18</t>
        </is>
      </c>
      <c r="M143" s="12" t="inlineStr">
        <is>
          <t>#19</t>
        </is>
      </c>
      <c r="N143" s="12" t="inlineStr">
        <is>
          <t>-</t>
        </is>
      </c>
      <c r="O143" s="12" t="inlineStr">
        <is>
          <t>-</t>
        </is>
      </c>
      <c r="P143" s="12" t="inlineStr">
        <is>
          <t>COMPLETED</t>
        </is>
      </c>
      <c r="Q143" s="12" t="inlineStr">
        <is>
          <t>No change</t>
        </is>
      </c>
      <c r="R143" s="12" t="inlineStr">
        <is>
          <t>src/server/services/analytics.ts; src/app/admin/analytics/page.tsx; src/app/api/analytics/kpis/route.ts</t>
        </is>
      </c>
    </row>
    <row r="144" ht="39" customFormat="1" customHeight="1" s="2">
      <c r="A144" s="10" t="n">
        <v>143</v>
      </c>
      <c r="B144" s="12" t="inlineStr">
        <is>
          <t>KPIs</t>
        </is>
      </c>
      <c r="C144" s="9" t="inlineStr">
        <is>
          <t>KPI-010</t>
        </is>
      </c>
      <c r="D144" s="12" t="inlineStr">
        <is>
          <t>Analytics</t>
        </is>
      </c>
      <c r="E144" s="12" t="inlineStr">
        <is>
          <t>Customer repeat rate</t>
        </is>
      </c>
      <c r="F144" s="12" t="inlineStr">
        <is>
          <t>ordering vs repeat vs returning customers</t>
        </is>
      </c>
      <c r="G144" s="12" t="inlineStr">
        <is>
          <t>-</t>
        </is>
      </c>
      <c r="H144" s="12" t="inlineStr">
        <is>
          <t>-</t>
        </is>
      </c>
      <c r="I144" s="10" t="inlineStr">
        <is>
          <t>COMPLETED</t>
        </is>
      </c>
      <c r="J144" s="12" t="inlineStr">
        <is>
          <t>Production (gokesari.com)</t>
        </is>
      </c>
      <c r="K144" s="12" t="inlineStr">
        <is>
          <t>Live</t>
        </is>
      </c>
      <c r="L144" s="12" t="inlineStr">
        <is>
          <t>#18</t>
        </is>
      </c>
      <c r="M144" s="12" t="inlineStr">
        <is>
          <t>#19</t>
        </is>
      </c>
      <c r="N144" s="12" t="inlineStr">
        <is>
          <t>-</t>
        </is>
      </c>
      <c r="O144" s="12" t="inlineStr">
        <is>
          <t>-</t>
        </is>
      </c>
      <c r="P144" s="12" t="inlineStr">
        <is>
          <t>COMPLETED</t>
        </is>
      </c>
      <c r="Q144" s="12" t="inlineStr">
        <is>
          <t>No change</t>
        </is>
      </c>
      <c r="R144" s="12" t="inlineStr">
        <is>
          <t>src/server/services/analytics.ts; src/app/admin/analytics/page.tsx; src/app/api/analytics/kpis/route.ts</t>
        </is>
      </c>
    </row>
    <row r="145" ht="39" customFormat="1" customHeight="1" s="2">
      <c r="A145" s="10" t="n">
        <v>144</v>
      </c>
      <c r="B145" s="12" t="inlineStr">
        <is>
          <t>KPIs</t>
        </is>
      </c>
      <c r="C145" s="9" t="inlineStr">
        <is>
          <t>KPI-011</t>
        </is>
      </c>
      <c r="D145" s="12" t="inlineStr">
        <is>
          <t>Analytics</t>
        </is>
      </c>
      <c r="E145" s="12" t="inlineStr">
        <is>
          <t>Subscription retention</t>
        </is>
      </c>
      <c r="F145" s="12" t="inlineStr">
        <is>
          <t>retained subscriptions period over period</t>
        </is>
      </c>
      <c r="G145" s="12" t="inlineStr">
        <is>
          <t>-</t>
        </is>
      </c>
      <c r="H145" s="12" t="inlineStr">
        <is>
          <t>-</t>
        </is>
      </c>
      <c r="I145" s="10" t="inlineStr">
        <is>
          <t>COMPLETED</t>
        </is>
      </c>
      <c r="J145" s="12" t="inlineStr">
        <is>
          <t>Production (gokesari.com)</t>
        </is>
      </c>
      <c r="K145" s="12" t="inlineStr">
        <is>
          <t>Live</t>
        </is>
      </c>
      <c r="L145" s="12" t="inlineStr">
        <is>
          <t>#18</t>
        </is>
      </c>
      <c r="M145" s="12" t="inlineStr">
        <is>
          <t>#19</t>
        </is>
      </c>
      <c r="N145" s="12" t="inlineStr">
        <is>
          <t>-</t>
        </is>
      </c>
      <c r="O145" s="12" t="inlineStr">
        <is>
          <t>-</t>
        </is>
      </c>
      <c r="P145" s="12" t="inlineStr">
        <is>
          <t>COMPLETED</t>
        </is>
      </c>
      <c r="Q145" s="12" t="inlineStr">
        <is>
          <t>No change</t>
        </is>
      </c>
      <c r="R145" s="12" t="inlineStr">
        <is>
          <t>src/server/services/analytics.ts; src/app/admin/analytics/page.tsx; src/app/api/analytics/kpis/route.ts</t>
        </is>
      </c>
    </row>
    <row r="146" ht="39" customFormat="1" customHeight="1" s="2">
      <c r="A146" s="10" t="n">
        <v>145</v>
      </c>
      <c r="B146" s="12" t="inlineStr">
        <is>
          <t>KPIs</t>
        </is>
      </c>
      <c r="C146" s="9" t="inlineStr">
        <is>
          <t>KPI-012</t>
        </is>
      </c>
      <c r="D146" s="12" t="inlineStr">
        <is>
          <t>Analytics</t>
        </is>
      </c>
      <c r="E146" s="12" t="inlineStr">
        <is>
          <t>Gig acceptance rate</t>
        </is>
      </c>
      <c r="F146" s="12" t="inlineStr">
        <is>
          <t>offers accepted / offers made</t>
        </is>
      </c>
      <c r="G146" s="12" t="inlineStr">
        <is>
          <t>-</t>
        </is>
      </c>
      <c r="H146" s="12" t="inlineStr">
        <is>
          <t>-</t>
        </is>
      </c>
      <c r="I146" s="10" t="inlineStr">
        <is>
          <t>COMPLETED</t>
        </is>
      </c>
      <c r="J146" s="12" t="inlineStr">
        <is>
          <t>Production (gokesari.com)</t>
        </is>
      </c>
      <c r="K146" s="12" t="inlineStr">
        <is>
          <t>Live</t>
        </is>
      </c>
      <c r="L146" s="12" t="inlineStr">
        <is>
          <t>#18</t>
        </is>
      </c>
      <c r="M146" s="12" t="inlineStr">
        <is>
          <t>#19</t>
        </is>
      </c>
      <c r="N146" s="12" t="inlineStr">
        <is>
          <t>-</t>
        </is>
      </c>
      <c r="O146" s="12" t="inlineStr">
        <is>
          <t>-</t>
        </is>
      </c>
      <c r="P146" s="12" t="inlineStr">
        <is>
          <t>COMPLETED</t>
        </is>
      </c>
      <c r="Q146" s="12" t="inlineStr">
        <is>
          <t>No change</t>
        </is>
      </c>
      <c r="R146" s="12" t="inlineStr">
        <is>
          <t>src/server/services/analytics.ts; src/app/admin/analytics/page.tsx; src/app/api/analytics/kpis/route.ts</t>
        </is>
      </c>
    </row>
    <row r="147" ht="39" customFormat="1" customHeight="1" s="2">
      <c r="A147" s="10" t="n">
        <v>146</v>
      </c>
      <c r="B147" s="12" t="inlineStr">
        <is>
          <t>KPIs</t>
        </is>
      </c>
      <c r="C147" s="9" t="inlineStr">
        <is>
          <t>KPI-013</t>
        </is>
      </c>
      <c r="D147" s="12" t="inlineStr">
        <is>
          <t>Analytics</t>
        </is>
      </c>
      <c r="E147" s="12" t="inlineStr">
        <is>
          <t>Gig utilization</t>
        </is>
      </c>
      <c r="F147" s="12" t="inlineStr">
        <is>
          <t>active delivery time against availability</t>
        </is>
      </c>
      <c r="G147" s="12" t="inlineStr">
        <is>
          <t>-</t>
        </is>
      </c>
      <c r="H147" s="12" t="inlineStr">
        <is>
          <t>-</t>
        </is>
      </c>
      <c r="I147" s="10" t="inlineStr">
        <is>
          <t>COMPLETED</t>
        </is>
      </c>
      <c r="J147" s="12" t="inlineStr">
        <is>
          <t>Production (gokesari.com)</t>
        </is>
      </c>
      <c r="K147" s="12" t="inlineStr">
        <is>
          <t>Live</t>
        </is>
      </c>
      <c r="L147" s="12" t="inlineStr">
        <is>
          <t>#18</t>
        </is>
      </c>
      <c r="M147" s="12" t="inlineStr">
        <is>
          <t>#19</t>
        </is>
      </c>
      <c r="N147" s="12" t="inlineStr">
        <is>
          <t>-</t>
        </is>
      </c>
      <c r="O147" s="12" t="inlineStr">
        <is>
          <t>-</t>
        </is>
      </c>
      <c r="P147" s="12" t="inlineStr">
        <is>
          <t>COMPLETED</t>
        </is>
      </c>
      <c r="Q147" s="12" t="inlineStr">
        <is>
          <t>No change</t>
        </is>
      </c>
      <c r="R147" s="12" t="inlineStr">
        <is>
          <t>src/server/services/analytics.ts; src/app/admin/analytics/page.tsx; src/app/api/analytics/kpis/route.ts</t>
        </is>
      </c>
    </row>
    <row r="148" ht="39" customFormat="1" customHeight="1" s="2">
      <c r="A148" s="10" t="n">
        <v>147</v>
      </c>
      <c r="B148" s="12" t="inlineStr">
        <is>
          <t>KPIs</t>
        </is>
      </c>
      <c r="C148" s="9" t="inlineStr">
        <is>
          <t>KPI-014</t>
        </is>
      </c>
      <c r="D148" s="12" t="inlineStr">
        <is>
          <t>Analytics</t>
        </is>
      </c>
      <c r="E148" s="12" t="inlineStr">
        <is>
          <t>Shop retention</t>
        </is>
      </c>
      <c r="F148" s="12" t="inlineStr">
        <is>
          <t>shops active last period still active</t>
        </is>
      </c>
      <c r="G148" s="12" t="inlineStr">
        <is>
          <t>-</t>
        </is>
      </c>
      <c r="H148" s="12" t="inlineStr">
        <is>
          <t>-</t>
        </is>
      </c>
      <c r="I148" s="10" t="inlineStr">
        <is>
          <t>COMPLETED</t>
        </is>
      </c>
      <c r="J148" s="12" t="inlineStr">
        <is>
          <t>Production (gokesari.com)</t>
        </is>
      </c>
      <c r="K148" s="12" t="inlineStr">
        <is>
          <t>Live</t>
        </is>
      </c>
      <c r="L148" s="12" t="inlineStr">
        <is>
          <t>#18</t>
        </is>
      </c>
      <c r="M148" s="12" t="inlineStr">
        <is>
          <t>#19</t>
        </is>
      </c>
      <c r="N148" s="12" t="inlineStr">
        <is>
          <t>-</t>
        </is>
      </c>
      <c r="O148" s="12" t="inlineStr">
        <is>
          <t>-</t>
        </is>
      </c>
      <c r="P148" s="12" t="inlineStr">
        <is>
          <t>COMPLETED</t>
        </is>
      </c>
      <c r="Q148" s="12" t="inlineStr">
        <is>
          <t>No change</t>
        </is>
      </c>
      <c r="R148" s="12" t="inlineStr">
        <is>
          <t>src/server/services/analytics.ts; src/app/admin/analytics/page.tsx; src/app/api/analytics/kpis/route.ts</t>
        </is>
      </c>
    </row>
    <row r="149" ht="15" customFormat="1" customHeight="1" s="2">
      <c r="A149" s="10" t="n">
        <v>148</v>
      </c>
      <c r="B149" s="12" t="inlineStr">
        <is>
          <t>KPIs</t>
        </is>
      </c>
      <c r="C149" s="9" t="inlineStr">
        <is>
          <t>KPI-015</t>
        </is>
      </c>
      <c r="D149" s="12" t="inlineStr">
        <is>
          <t>Analytics</t>
        </is>
      </c>
      <c r="E149" s="12" t="inlineStr">
        <is>
          <t>Marketing conversion</t>
        </is>
      </c>
      <c r="F149" s="12" t="inlineStr">
        <is>
          <t>Campaign conversion within the attribution window</t>
        </is>
      </c>
      <c r="G149" s="12" t="inlineStr">
        <is>
          <t>-</t>
        </is>
      </c>
      <c r="H149" s="12" t="inlineStr">
        <is>
          <t>-</t>
        </is>
      </c>
      <c r="I149" s="10" t="inlineStr">
        <is>
          <t>COMPLETED</t>
        </is>
      </c>
      <c r="J149" s="12" t="inlineStr">
        <is>
          <t>Production (gokesari.com)</t>
        </is>
      </c>
      <c r="K149" s="12" t="inlineStr">
        <is>
          <t>Live</t>
        </is>
      </c>
      <c r="L149" s="12" t="inlineStr">
        <is>
          <t>#18</t>
        </is>
      </c>
      <c r="M149" s="12" t="inlineStr">
        <is>
          <t>#19</t>
        </is>
      </c>
      <c r="N149" s="12" t="inlineStr">
        <is>
          <t>-</t>
        </is>
      </c>
      <c r="O149" s="12" t="inlineStr">
        <is>
          <t>-</t>
        </is>
      </c>
      <c r="P149" s="12" t="inlineStr">
        <is>
          <t>COMPLETED</t>
        </is>
      </c>
      <c r="Q149" s="12" t="inlineStr">
        <is>
          <t>No change</t>
        </is>
      </c>
      <c r="R149" s="12" t="inlineStr">
        <is>
          <t>src/server/services/analytics.ts</t>
        </is>
      </c>
    </row>
    <row r="150" ht="51" customFormat="1" customHeight="1" s="2">
      <c r="A150" s="10" t="n">
        <v>149</v>
      </c>
      <c r="B150" s="12" t="inlineStr">
        <is>
          <t>Added features (to 6 Oct)</t>
        </is>
      </c>
      <c r="C150" s="9" t="inlineStr">
        <is>
          <t>NEW-001</t>
        </is>
      </c>
      <c r="D150" s="12" t="inlineStr">
        <is>
          <t>Admin</t>
        </is>
      </c>
      <c r="E150" s="12" t="inlineStr">
        <is>
          <t>Business-rules console (admin-tunable thresholds)</t>
        </is>
      </c>
      <c r="F150" s="12"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12" t="inlineStr">
        <is>
          <t>F12.2.2</t>
        </is>
      </c>
      <c r="H150" s="12" t="inlineStr">
        <is>
          <t>-</t>
        </is>
      </c>
      <c r="I150" s="10" t="inlineStr">
        <is>
          <t>COMPLETED</t>
        </is>
      </c>
      <c r="J150" s="12" t="inlineStr">
        <is>
          <t>Production (gokesari.com)</t>
        </is>
      </c>
      <c r="K150" s="12" t="inlineStr">
        <is>
          <t>Live</t>
        </is>
      </c>
      <c r="L150" s="12" t="inlineStr">
        <is>
          <t>#23 (Phase A rules, settings screen)</t>
        </is>
      </c>
      <c r="M150" s="12" t="inlineStr">
        <is>
          <t>#23</t>
        </is>
      </c>
      <c r="N150" s="12" t="inlineStr">
        <is>
          <t>Per-field forms instead of JSON editing</t>
        </is>
      </c>
      <c r="O150" s="12" t="inlineStr">
        <is>
          <t>-</t>
        </is>
      </c>
      <c r="P150" s="12" t="inlineStr">
        <is>
          <t>COMPLETED</t>
        </is>
      </c>
      <c r="Q150" s="12" t="inlineStr">
        <is>
          <t>No change</t>
        </is>
      </c>
      <c r="R150" s="12" t="inlineStr">
        <is>
          <t>src/server/config/rules.ts; src/server/services/settings.ts; src/app/admin/settings/page.tsx; drizzle/0025</t>
        </is>
      </c>
    </row>
    <row r="151" ht="75" customFormat="1" customHeight="1" s="2">
      <c r="A151" s="10" t="n">
        <v>150</v>
      </c>
      <c r="B151" s="12" t="inlineStr">
        <is>
          <t>Added features (to 6 Oct)</t>
        </is>
      </c>
      <c r="C151" s="9" t="inlineStr">
        <is>
          <t>NEW-002</t>
        </is>
      </c>
      <c r="D151" s="12" t="inlineStr">
        <is>
          <t>Shop Onboarding</t>
        </is>
      </c>
      <c r="E151" s="12" t="inlineStr">
        <is>
          <t>Shop suspension policy, impact preview &amp; review</t>
        </is>
      </c>
      <c r="F151" s="12"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12" t="inlineStr">
        <is>
          <t>F8.4.1</t>
        </is>
      </c>
      <c r="H151" s="12" t="inlineStr">
        <is>
          <t>-</t>
        </is>
      </c>
      <c r="I151" s="10" t="inlineStr">
        <is>
          <t>COMPLETED</t>
        </is>
      </c>
      <c r="J151" s="12" t="inlineStr">
        <is>
          <t>Production (gokesari.com)</t>
        </is>
      </c>
      <c r="K151" s="12" t="inlineStr">
        <is>
          <t>Live</t>
        </is>
      </c>
      <c r="L151" s="12" t="inlineStr">
        <is>
          <t>#23 (Phase G)</t>
        </is>
      </c>
      <c r="M151" s="12" t="inlineStr">
        <is>
          <t>#23</t>
        </is>
      </c>
      <c r="N151" s="12" t="inlineStr">
        <is>
          <t>-</t>
        </is>
      </c>
      <c r="O151" s="12" t="inlineStr">
        <is>
          <t>-</t>
        </is>
      </c>
      <c r="P151" s="12" t="inlineStr">
        <is>
          <t>COMPLETED</t>
        </is>
      </c>
      <c r="Q151" s="12" t="inlineStr">
        <is>
          <t>No change</t>
        </is>
      </c>
      <c r="R151" s="12" t="inlineStr">
        <is>
          <t>src/server/services/shop-suspension.ts; src/server/services/shop-suspension-guard.ts; src/app/admin/suspensions/page.tsx; drizzle/0031</t>
        </is>
      </c>
    </row>
    <row r="152" ht="63" customFormat="1" customHeight="1" s="2">
      <c r="A152" s="10" t="n">
        <v>151</v>
      </c>
      <c r="B152" s="12" t="inlineStr">
        <is>
          <t>Added features (to 6 Oct)</t>
        </is>
      </c>
      <c r="C152" s="9" t="inlineStr">
        <is>
          <t>NEW-003</t>
        </is>
      </c>
      <c r="D152" s="12" t="inlineStr">
        <is>
          <t>Orders</t>
        </is>
      </c>
      <c r="E152" s="12" t="inlineStr">
        <is>
          <t>Order placed while the shop is closed</t>
        </is>
      </c>
      <c r="F152" s="12"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12" t="inlineStr">
        <is>
          <t>F1.6.3</t>
        </is>
      </c>
      <c r="H152" s="12" t="inlineStr">
        <is>
          <t>-</t>
        </is>
      </c>
      <c r="I152" s="10" t="inlineStr">
        <is>
          <t>COMPLETED</t>
        </is>
      </c>
      <c r="J152" s="12" t="inlineStr">
        <is>
          <t>Production (gokesari.com)</t>
        </is>
      </c>
      <c r="K152" s="12" t="inlineStr">
        <is>
          <t>Live</t>
        </is>
      </c>
      <c r="L152" s="12" t="inlineStr">
        <is>
          <t>#24</t>
        </is>
      </c>
      <c r="M152" s="12" t="inlineStr">
        <is>
          <t>#24</t>
        </is>
      </c>
      <c r="N152" s="12" t="inlineStr">
        <is>
          <t>-</t>
        </is>
      </c>
      <c r="O152" s="12" t="inlineStr">
        <is>
          <t>-</t>
        </is>
      </c>
      <c r="P152" s="12" t="inlineStr">
        <is>
          <t>COMPLETED</t>
        </is>
      </c>
      <c r="Q152" s="12" t="inlineStr">
        <is>
          <t>No change</t>
        </is>
      </c>
      <c r="R152" s="12" t="inlineStr">
        <is>
          <t>src/server/db/schema.ts:1600,1653; src/server/services/shop-opening.ts; src/server/notifications/templates.ts</t>
        </is>
      </c>
    </row>
    <row r="153" ht="39" customFormat="1" customHeight="1" s="2">
      <c r="A153" s="10" t="n">
        <v>152</v>
      </c>
      <c r="B153" s="12" t="inlineStr">
        <is>
          <t>Added features (to 6 Oct)</t>
        </is>
      </c>
      <c r="C153" s="9" t="inlineStr">
        <is>
          <t>NEW-004</t>
        </is>
      </c>
      <c r="D153" s="12" t="inlineStr">
        <is>
          <t>Delivery</t>
        </is>
      </c>
      <c r="E153" s="12" t="inlineStr">
        <is>
          <t>Rider arrival checkpoints &amp; customer notices</t>
        </is>
      </c>
      <c r="F153" s="12" t="inlineStr">
        <is>
          <t>'Arrived at shop' and 'arrived at customer' checkpoints on the delivery, each with a notification; rider-side privacy (area only until pickup, never the customer's name, phone or handover codes)</t>
        </is>
      </c>
      <c r="G153" s="12" t="inlineStr">
        <is>
          <t>F4.1.2</t>
        </is>
      </c>
      <c r="H153" s="12" t="inlineStr">
        <is>
          <t>-</t>
        </is>
      </c>
      <c r="I153" s="10" t="inlineStr">
        <is>
          <t>COMPLETED</t>
        </is>
      </c>
      <c r="J153" s="12" t="inlineStr">
        <is>
          <t>Production (gokesari.com)</t>
        </is>
      </c>
      <c r="K153" s="12" t="inlineStr">
        <is>
          <t>Live</t>
        </is>
      </c>
      <c r="L153" s="12" t="inlineStr">
        <is>
          <t>#23 (Phase C)</t>
        </is>
      </c>
      <c r="M153" s="12" t="inlineStr">
        <is>
          <t>#23</t>
        </is>
      </c>
      <c r="N153" s="12" t="inlineStr">
        <is>
          <t>-</t>
        </is>
      </c>
      <c r="O153" s="12" t="inlineStr">
        <is>
          <t>-</t>
        </is>
      </c>
      <c r="P153" s="12" t="inlineStr">
        <is>
          <t>COMPLETED</t>
        </is>
      </c>
      <c r="Q153" s="12" t="inlineStr">
        <is>
          <t>No change</t>
        </is>
      </c>
      <c r="R153" s="12" t="inlineStr">
        <is>
          <t>drizzle/0027; src/server/services/delivery-assignment.ts:597-612; src/components/delivery-partner-dashboard.tsx</t>
        </is>
      </c>
    </row>
    <row r="154" ht="39" customFormat="1" customHeight="1" s="2">
      <c r="A154" s="10" t="n">
        <v>153</v>
      </c>
      <c r="B154" s="12" t="inlineStr">
        <is>
          <t>Added features (to 6 Oct)</t>
        </is>
      </c>
      <c r="C154" s="9" t="inlineStr">
        <is>
          <t>NEW-005</t>
        </is>
      </c>
      <c r="D154" s="12" t="inlineStr">
        <is>
          <t>Shop Onboarding</t>
        </is>
      </c>
      <c r="E154" s="12" t="inlineStr">
        <is>
          <t>Minimum order value, pause new orders, extra delivery PIN zones</t>
        </is>
      </c>
      <c r="F154" s="12" t="inlineStr">
        <is>
          <t>Per-shop minimum order value (CHECK-constrained), a 'pause new orders' switch and extra delivery PIN codes beyond the radius; serviceability, discovery, cart validation and checkout all honour them</t>
        </is>
      </c>
      <c r="G154" s="12" t="inlineStr">
        <is>
          <t>F1.5.3, F8.3.3</t>
        </is>
      </c>
      <c r="H154" s="12" t="inlineStr">
        <is>
          <t>-</t>
        </is>
      </c>
      <c r="I154" s="10" t="inlineStr">
        <is>
          <t>COMPLETED</t>
        </is>
      </c>
      <c r="J154" s="12" t="inlineStr">
        <is>
          <t>Production (gokesari.com)</t>
        </is>
      </c>
      <c r="K154" s="12" t="inlineStr">
        <is>
          <t>Live</t>
        </is>
      </c>
      <c r="L154" s="12" t="inlineStr">
        <is>
          <t>#23 (Phase B)</t>
        </is>
      </c>
      <c r="M154" s="12" t="inlineStr">
        <is>
          <t>#23</t>
        </is>
      </c>
      <c r="N154" s="12" t="inlineStr">
        <is>
          <t>-</t>
        </is>
      </c>
      <c r="O154" s="12" t="inlineStr">
        <is>
          <t>-</t>
        </is>
      </c>
      <c r="P154" s="12" t="inlineStr">
        <is>
          <t>COMPLETED</t>
        </is>
      </c>
      <c r="Q154" s="12" t="inlineStr">
        <is>
          <t>No change</t>
        </is>
      </c>
      <c r="R154" s="12" t="inlineStr">
        <is>
          <t>src/server/db/schema.ts:691-702,875; drizzle/0026</t>
        </is>
      </c>
    </row>
    <row r="155" ht="51" customFormat="1" customHeight="1" s="2">
      <c r="A155" s="10" t="n">
        <v>154</v>
      </c>
      <c r="B155" s="12" t="inlineStr">
        <is>
          <t>Added features (to 6 Oct)</t>
        </is>
      </c>
      <c r="C155" s="9" t="inlineStr">
        <is>
          <t>NEW-006</t>
        </is>
      </c>
      <c r="D155" s="12" t="inlineStr">
        <is>
          <t>Orders</t>
        </is>
      </c>
      <c r="E155" s="12" t="inlineStr">
        <is>
          <t>D10 cancellation &amp; refund policy (verified)</t>
        </is>
      </c>
      <c r="F155" s="12"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12" t="inlineStr">
        <is>
          <t>F6.1.1, F6.1.3</t>
        </is>
      </c>
      <c r="H155" s="12" t="inlineStr">
        <is>
          <t>-</t>
        </is>
      </c>
      <c r="I155" s="10" t="inlineStr">
        <is>
          <t>COMPLETED</t>
        </is>
      </c>
      <c r="J155" s="12" t="inlineStr">
        <is>
          <t>Production (gokesari.com)</t>
        </is>
      </c>
      <c r="K155" s="12" t="inlineStr">
        <is>
          <t>Live</t>
        </is>
      </c>
      <c r="L155" s="12" t="inlineStr">
        <is>
          <t>#10 (D10 policy); #23 (Phase H verification)</t>
        </is>
      </c>
      <c r="M155" s="12" t="inlineStr">
        <is>
          <t>#14; #23</t>
        </is>
      </c>
      <c r="N155" s="12" t="inlineStr">
        <is>
          <t>Confirm the ACCEPTED/ASSIGNED and PICKED_UP treatments with the business owner</t>
        </is>
      </c>
      <c r="O155" s="12" t="inlineStr">
        <is>
          <t>-</t>
        </is>
      </c>
      <c r="P155" s="12" t="inlineStr">
        <is>
          <t>COMPLETED</t>
        </is>
      </c>
      <c r="Q155" s="12" t="inlineStr">
        <is>
          <t>No change</t>
        </is>
      </c>
      <c r="R155" s="12" t="inlineStr">
        <is>
          <t>tests/integration/d10-cancellation-policy.test.ts; docs/gokesari-audit/D10_VERIFICATION.md</t>
        </is>
      </c>
    </row>
    <row r="156" ht="99" customFormat="1" customHeight="1" s="2">
      <c r="A156" s="10" t="n">
        <v>155</v>
      </c>
      <c r="B156" s="12" t="inlineStr">
        <is>
          <t>Added features (to 6 Oct)</t>
        </is>
      </c>
      <c r="C156" s="9" t="inlineStr">
        <is>
          <t>NEW-007</t>
        </is>
      </c>
      <c r="D156" s="12" t="inlineStr">
        <is>
          <t>Payments</t>
        </is>
      </c>
      <c r="E156" s="12" t="inlineStr">
        <is>
          <t>Direct per-order payments, tax invoicing, photo POD, accept timeout</t>
        </is>
      </c>
      <c r="F156" s="12"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12" t="inlineStr">
        <is>
          <t>F1.7.3, F2.1.3, F4.2.4, F10.1.2</t>
        </is>
      </c>
      <c r="H156" s="12" t="inlineStr">
        <is>
          <t>-</t>
        </is>
      </c>
      <c r="I156" s="10" t="inlineStr">
        <is>
          <t>BLOCKED</t>
        </is>
      </c>
      <c r="J156" s="12" t="inlineStr">
        <is>
          <t>Production - partly live</t>
        </is>
      </c>
      <c r="K156" s="12" t="inlineStr">
        <is>
          <t>Off by default - switch on in Admin &gt; Business rules (rules: invoicing.enabled, deliveryProof.photoRequired, shopAcceptance.enabled)</t>
        </is>
      </c>
      <c r="L156" s="12" t="inlineStr">
        <is>
          <t>#23 (design doc); #58 (invoicing, photo POD, accept timeout)</t>
        </is>
      </c>
      <c r="M156" s="12" t="inlineStr">
        <is>
          <t>#23; #65</t>
        </is>
      </c>
      <c r="N156" s="12" t="inlineStr">
        <is>
          <t>Per-order online payment only (the other three parts are done). Invoice rates / HSN / wording to be confirmed by a CA before use for filing.</t>
        </is>
      </c>
      <c r="O156" s="12" t="inlineStr">
        <is>
          <t>Per-order online payment go-ahead (GS-028)</t>
        </is>
      </c>
      <c r="P156" s="12" t="inlineStr">
        <is>
          <t>BLOCKED</t>
        </is>
      </c>
      <c r="Q156" s="12" t="inlineStr">
        <is>
          <t>No change</t>
        </is>
      </c>
      <c r="R156" s="12" t="inlineStr">
        <is>
          <t>src/server/services/invoices.ts; src/server/services/delivery-proofs.ts; src/server/services/shop-acceptance.ts; drizzle/0055_order_completion.sql; tests/integration/order-completion.test.ts</t>
        </is>
      </c>
    </row>
    <row r="157" ht="75" customFormat="1" customHeight="1" s="2">
      <c r="A157" s="10" t="n">
        <v>156</v>
      </c>
      <c r="B157" s="12" t="inlineStr">
        <is>
          <t>Added features (to 6 Oct)</t>
        </is>
      </c>
      <c r="C157" s="9" t="inlineStr">
        <is>
          <t>NEW-008</t>
        </is>
      </c>
      <c r="D157" s="12" t="inlineStr">
        <is>
          <t>Catalog</t>
        </is>
      </c>
      <c r="E157" s="12" t="inlineStr">
        <is>
          <t>Product category master &amp; shop product-category visibility</t>
        </is>
      </c>
      <c r="F157" s="12"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12" t="inlineStr">
        <is>
          <t>F8.3.2, F9.2.1</t>
        </is>
      </c>
      <c r="H157" s="12" t="inlineStr">
        <is>
          <t>-</t>
        </is>
      </c>
      <c r="I157" s="10" t="inlineStr">
        <is>
          <t>COMPLETED</t>
        </is>
      </c>
      <c r="J157" s="12" t="inlineStr">
        <is>
          <t>Production (gokesari.com)</t>
        </is>
      </c>
      <c r="K157" s="12" t="inlineStr">
        <is>
          <t>Live</t>
        </is>
      </c>
      <c r="L157" s="12" t="inlineStr">
        <is>
          <t>#38; #39</t>
        </is>
      </c>
      <c r="M157" s="12" t="inlineStr">
        <is>
          <t>#43</t>
        </is>
      </c>
      <c r="N157" s="12" t="inlineStr">
        <is>
          <t>Merge to main (migration renumbering needed - see Risks) Merged to main on 3 Oct (was staging-only in the 3 Oct report).</t>
        </is>
      </c>
      <c r="O157" s="12" t="inlineStr">
        <is>
          <t>-</t>
        </is>
      </c>
      <c r="P157" s="12" t="inlineStr">
        <is>
          <t>COMPLETED</t>
        </is>
      </c>
      <c r="Q157" s="12" t="inlineStr">
        <is>
          <t>No change</t>
        </is>
      </c>
      <c r="R157" s="12" t="inlineStr">
        <is>
          <t>staging: drizzle/0038_product_category_management.sql; src/server/services/product-categories.ts; scripts/categorise-products.ts; tests/integration/product-categories.test.ts</t>
        </is>
      </c>
    </row>
    <row r="158" ht="63" customFormat="1" customHeight="1" s="2">
      <c r="A158" s="10" t="n">
        <v>157</v>
      </c>
      <c r="B158" s="12" t="inlineStr">
        <is>
          <t>Added features (to 6 Oct)</t>
        </is>
      </c>
      <c r="C158" s="9" t="inlineStr">
        <is>
          <t>NEW-009</t>
        </is>
      </c>
      <c r="D158" s="12" t="inlineStr">
        <is>
          <t>Admin</t>
        </is>
      </c>
      <c r="E158" s="12" t="inlineStr">
        <is>
          <t>Explicit Save flow on admin screens (categories, privileges, user profiles)</t>
        </is>
      </c>
      <c r="F158" s="12"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12" t="inlineStr">
        <is>
          <t>F12.2.1</t>
        </is>
      </c>
      <c r="H158" s="12" t="inlineStr">
        <is>
          <t>-</t>
        </is>
      </c>
      <c r="I158" s="10" t="inlineStr">
        <is>
          <t>COMPLETED</t>
        </is>
      </c>
      <c r="J158" s="12" t="inlineStr">
        <is>
          <t>Production (gokesari.com)</t>
        </is>
      </c>
      <c r="K158" s="12" t="inlineStr">
        <is>
          <t>Live</t>
        </is>
      </c>
      <c r="L158" s="12" t="inlineStr">
        <is>
          <t>#30</t>
        </is>
      </c>
      <c r="M158" s="12" t="inlineStr">
        <is>
          <t>#32</t>
        </is>
      </c>
      <c r="N158" s="12" t="inlineStr">
        <is>
          <t>-</t>
        </is>
      </c>
      <c r="O158" s="12" t="inlineStr">
        <is>
          <t>-</t>
        </is>
      </c>
      <c r="P158" s="12" t="inlineStr">
        <is>
          <t>COMPLETED</t>
        </is>
      </c>
      <c r="Q158" s="12" t="inlineStr">
        <is>
          <t>No change</t>
        </is>
      </c>
      <c r="R158" s="12" t="inlineStr">
        <is>
          <t>src/components/save-changes-bar.tsx; src/components/admin-privileges-form.tsx; tests/integration/admin-save-flows.test.ts</t>
        </is>
      </c>
    </row>
    <row r="159" ht="63" customFormat="1" customHeight="1" s="2">
      <c r="A159" s="10" t="n">
        <v>158</v>
      </c>
      <c r="B159" s="12" t="inlineStr">
        <is>
          <t>Added features (to 6 Oct)</t>
        </is>
      </c>
      <c r="C159" s="9" t="inlineStr">
        <is>
          <t>NEW-010</t>
        </is>
      </c>
      <c r="D159" s="12" t="inlineStr">
        <is>
          <t>Catalog</t>
        </is>
      </c>
      <c r="E159" s="12" t="inlineStr">
        <is>
          <t>Shop inventory fill when a category is added; per-shop prices</t>
        </is>
      </c>
      <c r="F159" s="12"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12" t="inlineStr">
        <is>
          <t>F8.3.2</t>
        </is>
      </c>
      <c r="H159" s="12" t="inlineStr">
        <is>
          <t>-</t>
        </is>
      </c>
      <c r="I159" s="10" t="inlineStr">
        <is>
          <t>COMPLETED</t>
        </is>
      </c>
      <c r="J159" s="12" t="inlineStr">
        <is>
          <t>Production (gokesari.com)</t>
        </is>
      </c>
      <c r="K159" s="12" t="inlineStr">
        <is>
          <t>Live</t>
        </is>
      </c>
      <c r="L159" s="12" t="inlineStr">
        <is>
          <t>#45</t>
        </is>
      </c>
      <c r="M159" s="12" t="inlineStr">
        <is>
          <t>#47</t>
        </is>
      </c>
      <c r="N159" s="12" t="inlineStr">
        <is>
          <t>-</t>
        </is>
      </c>
      <c r="O159" s="12" t="inlineStr">
        <is>
          <t>-</t>
        </is>
      </c>
      <c r="P159" s="12" t="inlineStr">
        <is>
          <t>COMPLETED</t>
        </is>
      </c>
      <c r="Q159" s="12" t="inlineStr">
        <is>
          <t>No change</t>
        </is>
      </c>
      <c r="R159" s="12" t="inlineStr">
        <is>
          <t>tests/integration/shop-inventory-fill.test.ts; commits 0e2d77f, 1221420</t>
        </is>
      </c>
    </row>
    <row r="160" ht="39" customFormat="1" customHeight="1" s="2">
      <c r="A160" s="10" t="n">
        <v>159</v>
      </c>
      <c r="B160" s="12" t="inlineStr">
        <is>
          <t>Delivered or started since 6 Oct</t>
        </is>
      </c>
      <c r="C160" s="9" t="inlineStr">
        <is>
          <t>NEW-011</t>
        </is>
      </c>
      <c r="D160" s="12" t="inlineStr">
        <is>
          <t>Branding</t>
        </is>
      </c>
      <c r="E160" s="12" t="inlineStr">
        <is>
          <t>GoKesari logo mark, name, tagline and favicon</t>
        </is>
      </c>
      <c r="F160" s="12" t="inlineStr">
        <is>
          <t>GK monogram logo in the header, 'GoKesari' name with tagline 'Everything for Everyone', browser tab titles, footer line; GK favicon, 192 px icon and Apple touch icon replace the Next.js template icon.</t>
        </is>
      </c>
      <c r="G160" s="12" t="inlineStr">
        <is>
          <t>-</t>
        </is>
      </c>
      <c r="H160" s="12" t="inlineStr">
        <is>
          <t>-</t>
        </is>
      </c>
      <c r="I160" s="10" t="inlineStr">
        <is>
          <t>COMPLETED</t>
        </is>
      </c>
      <c r="J160" s="12" t="inlineStr">
        <is>
          <t>Production (gokesari.com)</t>
        </is>
      </c>
      <c r="K160" s="12" t="inlineStr">
        <is>
          <t>Live</t>
        </is>
      </c>
      <c r="L160" s="12" t="inlineStr">
        <is>
          <t>#59, #61, #63 (staging); #60, #62 (main)</t>
        </is>
      </c>
      <c r="M160" s="12" t="inlineStr">
        <is>
          <t>#60; #62</t>
        </is>
      </c>
      <c r="N160" s="12" t="inlineStr">
        <is>
          <t>-</t>
        </is>
      </c>
      <c r="O160" s="12" t="inlineStr">
        <is>
          <t>-</t>
        </is>
      </c>
      <c r="P160" s="12" t="inlineStr">
        <is>
          <t>COMPLETED</t>
        </is>
      </c>
      <c r="Q160" s="12" t="inlineStr">
        <is>
          <t>No change</t>
        </is>
      </c>
      <c r="R160" s="12" t="inlineStr">
        <is>
          <t>public/brand/gk-mark.png; src/app/favicon.ico; src/components/site-header.tsx</t>
        </is>
      </c>
    </row>
    <row r="161" ht="51" customFormat="1" customHeight="1" s="2">
      <c r="A161" s="10" t="n">
        <v>160</v>
      </c>
      <c r="B161" s="12" t="inlineStr">
        <is>
          <t>Delivered or started since 6 Oct</t>
        </is>
      </c>
      <c r="C161" s="9" t="inlineStr">
        <is>
          <t>NEW-012</t>
        </is>
      </c>
      <c r="D161" s="12" t="inlineStr">
        <is>
          <t>Cart</t>
        </is>
      </c>
      <c r="E161" s="12" t="inlineStr">
        <is>
          <t>Product card quantity controls; search bar row; cart state after reload</t>
        </is>
      </c>
      <c r="F161" s="12" t="inlineStr">
        <is>
          <t>Each product card has a - / qty / + picker capped at stock, then in-cart controls and Remove using PATCH /api/cart/items/:id; cards show the viewer's cart quantity after a reload; header cart badge counted in one query.</t>
        </is>
      </c>
      <c r="G161" s="12" t="inlineStr">
        <is>
          <t>F1.5.1</t>
        </is>
      </c>
      <c r="H161" s="12" t="inlineStr">
        <is>
          <t>-</t>
        </is>
      </c>
      <c r="I161" s="10" t="inlineStr">
        <is>
          <t>COMPLETED</t>
        </is>
      </c>
      <c r="J161" s="12" t="inlineStr">
        <is>
          <t>Production (gokesari.com)</t>
        </is>
      </c>
      <c r="K161" s="12" t="inlineStr">
        <is>
          <t>Live</t>
        </is>
      </c>
      <c r="L161" s="12" t="inlineStr">
        <is>
          <t>#48; #72</t>
        </is>
      </c>
      <c r="M161" s="12" t="inlineStr">
        <is>
          <t>#71; #73</t>
        </is>
      </c>
      <c r="N161" s="12" t="inlineStr">
        <is>
          <t>-</t>
        </is>
      </c>
      <c r="O161" s="12" t="inlineStr">
        <is>
          <t>-</t>
        </is>
      </c>
      <c r="P161" s="12" t="inlineStr">
        <is>
          <t>COMPLETED</t>
        </is>
      </c>
      <c r="Q161" s="12" t="inlineStr">
        <is>
          <t>No change</t>
        </is>
      </c>
      <c r="R161" s="12" t="inlineStr">
        <is>
          <t>src/components/product-card.tsx; src/components/search-bar.tsx</t>
        </is>
      </c>
    </row>
    <row r="162" ht="51" customFormat="1" customHeight="1" s="2">
      <c r="A162" s="10" t="n">
        <v>161</v>
      </c>
      <c r="B162" s="12" t="inlineStr">
        <is>
          <t>Delivered or started since 6 Oct</t>
        </is>
      </c>
      <c r="C162" s="9" t="inlineStr">
        <is>
          <t>NEW-013</t>
        </is>
      </c>
      <c r="D162" s="12" t="inlineStr">
        <is>
          <t>Home</t>
        </is>
      </c>
      <c r="E162" s="12" t="inlineStr">
        <is>
          <t>Home page speed, accessibility and error boundary</t>
        </is>
      </c>
      <c r="F162" s="12" t="inlineStr">
        <is>
          <t>Header, hero and Deliver-to stream first; shop lists stream behind a skeleton (CLS 0); 44% less home-page JS; colour contrast and 48 px tap targets (Lighthouse a11y 100); a failed shop-list stream shows a 'Try again' card instead of a full error page.</t>
        </is>
      </c>
      <c r="G162" s="12" t="inlineStr">
        <is>
          <t>-</t>
        </is>
      </c>
      <c r="H162" s="12" t="inlineStr">
        <is>
          <t>-</t>
        </is>
      </c>
      <c r="I162" s="10" t="inlineStr">
        <is>
          <t>COMPLETED</t>
        </is>
      </c>
      <c r="J162" s="12" t="inlineStr">
        <is>
          <t>Production (gokesari.com)</t>
        </is>
      </c>
      <c r="K162" s="12" t="inlineStr">
        <is>
          <t>Live</t>
        </is>
      </c>
      <c r="L162" s="12" t="inlineStr">
        <is>
          <t>#67; #68</t>
        </is>
      </c>
      <c r="M162" s="12" t="inlineStr">
        <is>
          <t>#65; #69</t>
        </is>
      </c>
      <c r="N162" s="12" t="inlineStr">
        <is>
          <t>-</t>
        </is>
      </c>
      <c r="O162" s="12" t="inlineStr">
        <is>
          <t>-</t>
        </is>
      </c>
      <c r="P162" s="12" t="inlineStr">
        <is>
          <t>COMPLETED</t>
        </is>
      </c>
      <c r="Q162" s="12" t="inlineStr">
        <is>
          <t>No change</t>
        </is>
      </c>
      <c r="R162" s="12" t="inlineStr">
        <is>
          <t>src/app/page.tsx; src/components/home-shops-boundary.tsx</t>
        </is>
      </c>
    </row>
    <row r="163" ht="63" customFormat="1" customHeight="1" s="2">
      <c r="A163" s="10" t="n">
        <v>162</v>
      </c>
      <c r="B163" s="12" t="inlineStr">
        <is>
          <t>Delivered or started since 6 Oct</t>
        </is>
      </c>
      <c r="C163" s="9" t="inlineStr">
        <is>
          <t>NEW-014</t>
        </is>
      </c>
      <c r="D163" s="12" t="inlineStr">
        <is>
          <t>Security</t>
        </is>
      </c>
      <c r="E163" s="12" t="inlineStr">
        <is>
          <t>Data-exposure hardening (only screen fields reach browsers)</t>
        </is>
      </c>
      <c r="F163" s="12"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12" t="inlineStr">
        <is>
          <t>-</t>
        </is>
      </c>
      <c r="H163" s="12" t="inlineStr">
        <is>
          <t>-</t>
        </is>
      </c>
      <c r="I163" s="10" t="inlineStr">
        <is>
          <t>COMPLETED</t>
        </is>
      </c>
      <c r="J163" s="12" t="inlineStr">
        <is>
          <t>Production (gokesari.com)</t>
        </is>
      </c>
      <c r="K163" s="12" t="inlineStr">
        <is>
          <t>Live</t>
        </is>
      </c>
      <c r="L163" s="12" t="inlineStr">
        <is>
          <t>#67 (shop cards); #72</t>
        </is>
      </c>
      <c r="M163" s="12" t="inlineStr">
        <is>
          <t>#65; #73</t>
        </is>
      </c>
      <c r="N163" s="12" t="inlineStr">
        <is>
          <t>-</t>
        </is>
      </c>
      <c r="O163" s="12" t="inlineStr">
        <is>
          <t>-</t>
        </is>
      </c>
      <c r="P163" s="12" t="inlineStr">
        <is>
          <t>COMPLETED</t>
        </is>
      </c>
      <c r="Q163" s="12" t="inlineStr">
        <is>
          <t>No change</t>
        </is>
      </c>
      <c r="R163" s="12" t="inlineStr">
        <is>
          <t>tests/integration/shop-data-exposure.test.ts</t>
        </is>
      </c>
    </row>
    <row r="164" ht="39" customFormat="1" customHeight="1" s="2">
      <c r="A164" s="10" t="n">
        <v>163</v>
      </c>
      <c r="B164" s="12" t="inlineStr">
        <is>
          <t>Delivered or started since 6 Oct</t>
        </is>
      </c>
      <c r="C164" s="9" t="inlineStr">
        <is>
          <t>NEW-015</t>
        </is>
      </c>
      <c r="D164" s="12" t="inlineStr">
        <is>
          <t>Navigation</t>
        </is>
      </c>
      <c r="E164" s="12" t="inlineStr">
        <is>
          <t>Header role menus link operations and rider pages</t>
        </is>
      </c>
      <c r="F164" s="12" t="inlineStr">
        <is>
          <t>Operator/Admin menus link Dashboard, Order monitoring and Operations exceptions; Rider menu links My deliveries and My delivery profile (previously reachable only by typing the URL).</t>
        </is>
      </c>
      <c r="G164" s="12" t="inlineStr">
        <is>
          <t>-</t>
        </is>
      </c>
      <c r="H164" s="12" t="inlineStr">
        <is>
          <t>-</t>
        </is>
      </c>
      <c r="I164" s="10" t="inlineStr">
        <is>
          <t>COMPLETED</t>
        </is>
      </c>
      <c r="J164" s="12" t="inlineStr">
        <is>
          <t>Production (gokesari.com)</t>
        </is>
      </c>
      <c r="K164" s="12" t="inlineStr">
        <is>
          <t>Live</t>
        </is>
      </c>
      <c r="L164" s="12" t="inlineStr">
        <is>
          <t>#74</t>
        </is>
      </c>
      <c r="M164" s="12" t="inlineStr">
        <is>
          <t>#73</t>
        </is>
      </c>
      <c r="N164" s="12" t="inlineStr">
        <is>
          <t>-</t>
        </is>
      </c>
      <c r="O164" s="12" t="inlineStr">
        <is>
          <t>-</t>
        </is>
      </c>
      <c r="P164" s="12" t="inlineStr">
        <is>
          <t>COMPLETED</t>
        </is>
      </c>
      <c r="Q164" s="12" t="inlineStr">
        <is>
          <t>No change</t>
        </is>
      </c>
      <c r="R164" s="12" t="inlineStr">
        <is>
          <t>src/components/site-header.tsx</t>
        </is>
      </c>
    </row>
    <row r="165" ht="51" customFormat="1" customHeight="1" s="2">
      <c r="A165" s="10" t="n">
        <v>164</v>
      </c>
      <c r="B165" s="12" t="inlineStr">
        <is>
          <t>Delivered or started since 6 Oct</t>
        </is>
      </c>
      <c r="C165" s="9" t="inlineStr">
        <is>
          <t>NEW-016</t>
        </is>
      </c>
      <c r="D165" s="12" t="inlineStr">
        <is>
          <t>Notifications</t>
        </is>
      </c>
      <c r="E165" s="12" t="inlineStr">
        <is>
          <t>Notification settings and marketing-consent switch</t>
        </is>
      </c>
      <c r="F165" s="12" t="inlineStr">
        <is>
          <t>'Offers &amp; campaigns' row removed from notification settings (it never controlled promotions); marketing consent shown as one labelled On/Off switch ('Offers and promotions'), off until turned on, one tap to withdraw (DPDPA s.6); last-changed date in India time.</t>
        </is>
      </c>
      <c r="G165" s="12" t="inlineStr">
        <is>
          <t>F11.2.3, F13.1.1</t>
        </is>
      </c>
      <c r="H165" s="12" t="inlineStr">
        <is>
          <t>-</t>
        </is>
      </c>
      <c r="I165" s="10" t="inlineStr">
        <is>
          <t>COMPLETED</t>
        </is>
      </c>
      <c r="J165" s="12" t="inlineStr">
        <is>
          <t>Production (gokesari.com)</t>
        </is>
      </c>
      <c r="K165" s="12" t="inlineStr">
        <is>
          <t>Live</t>
        </is>
      </c>
      <c r="L165" s="12" t="inlineStr">
        <is>
          <t>#75; #77</t>
        </is>
      </c>
      <c r="M165" s="12" t="inlineStr">
        <is>
          <t>#76; #78</t>
        </is>
      </c>
      <c r="N165" s="12" t="inlineStr">
        <is>
          <t>-</t>
        </is>
      </c>
      <c r="O165" s="12" t="inlineStr">
        <is>
          <t>-</t>
        </is>
      </c>
      <c r="P165" s="12" t="inlineStr">
        <is>
          <t>COMPLETED</t>
        </is>
      </c>
      <c r="Q165" s="12" t="inlineStr">
        <is>
          <t>No change</t>
        </is>
      </c>
      <c r="R165" s="12" t="inlineStr">
        <is>
          <t>src/components/marketing-consent-toggle.tsx; src/server/notifications/templates.ts</t>
        </is>
      </c>
    </row>
    <row r="166" ht="51" customFormat="1" customHeight="1" s="2">
      <c r="A166" s="10" t="n">
        <v>165</v>
      </c>
      <c r="B166" s="12" t="inlineStr">
        <is>
          <t>Delivered or started since 6 Oct</t>
        </is>
      </c>
      <c r="C166" s="9" t="inlineStr">
        <is>
          <t>NEW-017</t>
        </is>
      </c>
      <c r="D166" s="12" t="inlineStr">
        <is>
          <t>Catalog</t>
        </is>
      </c>
      <c r="E166" s="12" t="inlineStr">
        <is>
          <t>Shop photo catalogue (/shop/catalogue)</t>
        </is>
      </c>
      <c r="F166" s="12" t="inlineStr">
        <is>
          <t>Every product of a shop as a photo tile with its price; add/change photo and set online/in-shop price from the tile; filters for needs a photo / needs a price / awaiting approval; Create New Product takes up to 4 photos; My products shows photos.</t>
        </is>
      </c>
      <c r="G166" s="12" t="inlineStr">
        <is>
          <t>F9.2.4</t>
        </is>
      </c>
      <c r="H166" s="12" t="inlineStr">
        <is>
          <t>-</t>
        </is>
      </c>
      <c r="I166" s="10" t="inlineStr">
        <is>
          <t>COMPLETED</t>
        </is>
      </c>
      <c r="J166" s="12" t="inlineStr">
        <is>
          <t>Production (gokesari.com)</t>
        </is>
      </c>
      <c r="K166" s="12" t="inlineStr">
        <is>
          <t>Live</t>
        </is>
      </c>
      <c r="L166" s="12" t="inlineStr">
        <is>
          <t>#79</t>
        </is>
      </c>
      <c r="M166" s="12" t="inlineStr">
        <is>
          <t>#82; #84</t>
        </is>
      </c>
      <c r="N166" s="12" t="inlineStr">
        <is>
          <t>-</t>
        </is>
      </c>
      <c r="O166" s="12" t="inlineStr">
        <is>
          <t>-</t>
        </is>
      </c>
      <c r="P166" s="12" t="inlineStr">
        <is>
          <t>COMPLETED</t>
        </is>
      </c>
      <c r="Q166" s="12" t="inlineStr">
        <is>
          <t>No change</t>
        </is>
      </c>
      <c r="R166" s="12" t="inlineStr">
        <is>
          <t>src/components/photo-catalogue.tsx; src/lib/photo-catalogue.ts</t>
        </is>
      </c>
    </row>
    <row r="167" ht="51" customFormat="1" customHeight="1" s="2">
      <c r="A167" s="10" t="n">
        <v>166</v>
      </c>
      <c r="B167" s="12" t="inlineStr">
        <is>
          <t>Delivered or started since 6 Oct</t>
        </is>
      </c>
      <c r="C167" s="9" t="inlineStr">
        <is>
          <t>NEW-018</t>
        </is>
      </c>
      <c r="D167" s="12" t="inlineStr">
        <is>
          <t>Identity &amp; Access</t>
        </is>
      </c>
      <c r="E167" s="12" t="inlineStr">
        <is>
          <t>OTP request privacy - same reply for every request</t>
        </is>
      </c>
      <c r="F167" s="12" t="inlineStr">
        <is>
          <t>A mobile number alone always gets SENT_IF_REGISTERED; the code is sent after the response so timing is equal; per-number rate limit; suspended accounts get the normal reply and no code; form offers 'Sign up with your email'.</t>
        </is>
      </c>
      <c r="G167" s="12" t="inlineStr">
        <is>
          <t>F1.1.1</t>
        </is>
      </c>
      <c r="H167" s="12" t="inlineStr">
        <is>
          <t>-</t>
        </is>
      </c>
      <c r="I167" s="10" t="inlineStr">
        <is>
          <t>COMPLETED</t>
        </is>
      </c>
      <c r="J167" s="12" t="inlineStr">
        <is>
          <t>Production (gokesari.com)</t>
        </is>
      </c>
      <c r="K167" s="12" t="inlineStr">
        <is>
          <t>Live</t>
        </is>
      </c>
      <c r="L167" s="12" t="inlineStr">
        <is>
          <t>#80</t>
        </is>
      </c>
      <c r="M167" s="12" t="inlineStr">
        <is>
          <t>#81</t>
        </is>
      </c>
      <c r="N167" s="12" t="inlineStr">
        <is>
          <t>-</t>
        </is>
      </c>
      <c r="O167" s="12" t="inlineStr">
        <is>
          <t>-</t>
        </is>
      </c>
      <c r="P167" s="12" t="inlineStr">
        <is>
          <t>COMPLETED</t>
        </is>
      </c>
      <c r="Q167" s="12" t="inlineStr">
        <is>
          <t>No change</t>
        </is>
      </c>
      <c r="R167" s="12" t="inlineStr">
        <is>
          <t>src/components/otp-login-form.tsx; tests/integration/login-profile.test.ts</t>
        </is>
      </c>
    </row>
    <row r="168" ht="51" customFormat="1" customHeight="1" s="2">
      <c r="A168" s="10" t="n">
        <v>167</v>
      </c>
      <c r="B168" s="12" t="inlineStr">
        <is>
          <t>Delivered or started since 6 Oct</t>
        </is>
      </c>
      <c r="C168" s="9" t="inlineStr">
        <is>
          <t>NEW-019</t>
        </is>
      </c>
      <c r="D168" s="12" t="inlineStr">
        <is>
          <t>Home</t>
        </is>
      </c>
      <c r="E168" s="12" t="inlineStr">
        <is>
          <t>Home and Shops redesign; Tomorrow's delivery card</t>
        </is>
      </c>
      <c r="F168" s="12" t="inlineStr">
        <is>
          <t>Header with Deliver-to pill and search, avatar menu, 4-column footer; hero with quick-search chips; Tomorrow's delivery card (qty, Skip tomorrow / Undo, wallet warning); 'Shops near &lt;area&gt;' incl. pickup-only shops; Shops page filter bar, sort, grid/list.</t>
        </is>
      </c>
      <c r="G168" s="12" t="inlineStr">
        <is>
          <t>F1.3.1, F7.2.1</t>
        </is>
      </c>
      <c r="H168" s="12" t="inlineStr">
        <is>
          <t>-</t>
        </is>
      </c>
      <c r="I168" s="10" t="inlineStr">
        <is>
          <t>COMPLETED</t>
        </is>
      </c>
      <c r="J168" s="12" t="inlineStr">
        <is>
          <t>Production (gokesari.com)</t>
        </is>
      </c>
      <c r="K168" s="12" t="inlineStr">
        <is>
          <t>Live</t>
        </is>
      </c>
      <c r="L168" s="12" t="inlineStr">
        <is>
          <t>#83</t>
        </is>
      </c>
      <c r="M168" s="12" t="inlineStr">
        <is>
          <t>#84</t>
        </is>
      </c>
      <c r="N168" s="12" t="inlineStr">
        <is>
          <t>-</t>
        </is>
      </c>
      <c r="O168" s="12" t="inlineStr">
        <is>
          <t>-</t>
        </is>
      </c>
      <c r="P168" s="12" t="inlineStr">
        <is>
          <t>COMPLETED</t>
        </is>
      </c>
      <c r="Q168" s="12" t="inlineStr">
        <is>
          <t>No change</t>
        </is>
      </c>
      <c r="R168" s="12" t="inlineStr">
        <is>
          <t>src/components/tomorrow-delivery-card.tsx; tests/unit/home-redesign.test.ts</t>
        </is>
      </c>
    </row>
    <row r="169" ht="75" customFormat="1" customHeight="1" s="2">
      <c r="A169" s="10" t="n">
        <v>168</v>
      </c>
      <c r="B169" s="12" t="inlineStr">
        <is>
          <t>Delivered or started since 6 Oct</t>
        </is>
      </c>
      <c r="C169" s="9" t="inlineStr">
        <is>
          <t>NEW-020</t>
        </is>
      </c>
      <c r="D169" s="12" t="inlineStr">
        <is>
          <t>Orders</t>
        </is>
      </c>
      <c r="E169" s="12" t="inlineStr">
        <is>
          <t>Cancellation before packing - full refund; optional customer cancel until packing (item A)</t>
        </is>
      </c>
      <c r="F169" s="12" t="inlineStr">
        <is>
          <t>Every cancel before packing refunds goods + delivery fee (pinned by tests); new rule cancellation.customerMayCancelUntil (default CONFIRMED = unchanged; PREPARING lets customers cancel until packing, shop notified).</t>
        </is>
      </c>
      <c r="G169" s="12" t="inlineStr">
        <is>
          <t>F1.9.5, F6.1.2</t>
        </is>
      </c>
      <c r="H169" s="12" t="inlineStr">
        <is>
          <t>-</t>
        </is>
      </c>
      <c r="I169" s="10" t="inlineStr">
        <is>
          <t>COMPLETED</t>
        </is>
      </c>
      <c r="J169" s="12" t="inlineStr">
        <is>
          <t>Production - built, switched off by default</t>
        </is>
      </c>
      <c r="K169" s="12" t="inlineStr">
        <is>
          <t>Off by default - rule cancellation.customerMayCancelUntil = CONFIRMED (the original behaviour); PREPARING turns it on</t>
        </is>
      </c>
      <c r="L169" s="12" t="inlineStr">
        <is>
          <t>#85</t>
        </is>
      </c>
      <c r="M169" s="12" t="inlineStr">
        <is>
          <t>#86 (reverted by #87); #120</t>
        </is>
      </c>
      <c r="N169" s="12" t="inlineStr">
        <is>
          <t>Production release; D10 after-packing treatments still need sign-off</t>
        </is>
      </c>
      <c r="O169" s="12" t="inlineStr">
        <is>
          <t>D10 sign-off for after-packing treatments; choose whether to switch PREPARING on</t>
        </is>
      </c>
      <c r="P169" s="12" t="inlineStr">
        <is>
          <t>COMPLETED</t>
        </is>
      </c>
      <c r="Q169" s="12" t="inlineStr">
        <is>
          <t>No change</t>
        </is>
      </c>
      <c r="R169" s="12" t="inlineStr">
        <is>
          <t>-</t>
        </is>
      </c>
    </row>
    <row r="170" ht="39" customFormat="1" customHeight="1" s="2">
      <c r="A170" s="10" t="n">
        <v>169</v>
      </c>
      <c r="B170" s="12" t="inlineStr">
        <is>
          <t>Delivered or started since 6 Oct</t>
        </is>
      </c>
      <c r="C170" s="9" t="inlineStr">
        <is>
          <t>NEW-021</t>
        </is>
      </c>
      <c r="D170" s="12" t="inlineStr">
        <is>
          <t>Admin</t>
        </is>
      </c>
      <c r="E170" s="12" t="inlineStr">
        <is>
          <t>Business limits editable at /admin/settings (item B)</t>
        </is>
      </c>
      <c r="F170" s="12" t="inlineStr">
        <is>
          <t>New rule groups with today's values as defaults: cod, walletTopup, ratings, marketing, vouchers, settlement, deliveryOtp, returnPickup, grievances, discovery, catalogue, uploads, opsExceptions, riskRules.</t>
        </is>
      </c>
      <c r="G170" s="12" t="inlineStr">
        <is>
          <t>F12.2.3</t>
        </is>
      </c>
      <c r="H170" s="12" t="inlineStr">
        <is>
          <t>-</t>
        </is>
      </c>
      <c r="I170" s="10" t="inlineStr">
        <is>
          <t>COMPLETED</t>
        </is>
      </c>
      <c r="J170" s="12" t="inlineStr">
        <is>
          <t>Production (gokesari.com)</t>
        </is>
      </c>
      <c r="K170" s="12" t="inlineStr">
        <is>
          <t>Live (defaults identical to the old fixed values)</t>
        </is>
      </c>
      <c r="L170" s="12" t="inlineStr">
        <is>
          <t>#85; #124 (searchable list)</t>
        </is>
      </c>
      <c r="M170" s="12" t="inlineStr">
        <is>
          <t>#86 (reverted by #87); #120; #126</t>
        </is>
      </c>
      <c r="N170" s="12" t="inlineStr">
        <is>
          <t>-</t>
        </is>
      </c>
      <c r="O170" s="12" t="inlineStr">
        <is>
          <t>-</t>
        </is>
      </c>
      <c r="P170" s="12" t="inlineStr">
        <is>
          <t>COMPLETED</t>
        </is>
      </c>
      <c r="Q170" s="12" t="inlineStr">
        <is>
          <t>No change</t>
        </is>
      </c>
      <c r="R170" s="12" t="inlineStr">
        <is>
          <t>-</t>
        </is>
      </c>
    </row>
    <row r="171" ht="39" customFormat="1" customHeight="1" s="2">
      <c r="A171" s="10" t="n">
        <v>170</v>
      </c>
      <c r="B171" s="12" t="inlineStr">
        <is>
          <t>Delivered or started since 6 Oct</t>
        </is>
      </c>
      <c r="C171" s="9" t="inlineStr">
        <is>
          <t>NEW-022</t>
        </is>
      </c>
      <c r="D171" s="12" t="inlineStr">
        <is>
          <t>Shop Onboarding</t>
        </is>
      </c>
      <c r="E171" s="12" t="inlineStr">
        <is>
          <t>Shop's own customer contact phone / WhatsApp (item C1)</t>
        </is>
      </c>
      <c r="F171" s="12" t="inlineStr">
        <is>
          <t>Customers see only the shop's own contact numbers (new fields + shop dashboard card), never the registration or login number; GoKesari customer care shown until a shop enters them. Migration 0056.</t>
        </is>
      </c>
      <c r="G171" s="12" t="inlineStr">
        <is>
          <t>F8.3.4</t>
        </is>
      </c>
      <c r="H171" s="12" t="inlineStr">
        <is>
          <t>-</t>
        </is>
      </c>
      <c r="I171" s="10" t="inlineStr">
        <is>
          <t>COMPLETED</t>
        </is>
      </c>
      <c r="J171" s="12" t="inlineStr">
        <is>
          <t>Production (gokesari.com)</t>
        </is>
      </c>
      <c r="K171" s="12" t="inlineStr">
        <is>
          <t>Live (rule shopContact = SHOP_CONTACT)</t>
        </is>
      </c>
      <c r="L171" s="12" t="inlineStr">
        <is>
          <t>#85</t>
        </is>
      </c>
      <c r="M171" s="12" t="inlineStr">
        <is>
          <t>#86 (reverted by #87); #120</t>
        </is>
      </c>
      <c r="N171" s="12" t="inlineStr">
        <is>
          <t>-</t>
        </is>
      </c>
      <c r="O171" s="12" t="inlineStr">
        <is>
          <t>-</t>
        </is>
      </c>
      <c r="P171" s="12" t="inlineStr">
        <is>
          <t>COMPLETED</t>
        </is>
      </c>
      <c r="Q171" s="12" t="inlineStr">
        <is>
          <t>No change</t>
        </is>
      </c>
      <c r="R171" s="12" t="inlineStr">
        <is>
          <t>-</t>
        </is>
      </c>
    </row>
    <row r="172" ht="27" customFormat="1" customHeight="1" s="2">
      <c r="A172" s="10" t="n">
        <v>171</v>
      </c>
      <c r="B172" s="12" t="inlineStr">
        <is>
          <t>Delivered or started since 6 Oct</t>
        </is>
      </c>
      <c r="C172" s="9" t="inlineStr">
        <is>
          <t>NEW-023</t>
        </is>
      </c>
      <c r="D172" s="12" t="inlineStr">
        <is>
          <t>Society</t>
        </is>
      </c>
      <c r="E172" s="12" t="inlineStr">
        <is>
          <t>Only verified societies can add or prefer riders (item C2)</t>
        </is>
      </c>
      <c r="F172" s="12" t="inlineStr">
        <is>
          <t>Enforced in the service for every caller; unverified society admins are refused. Rule societyRiders.</t>
        </is>
      </c>
      <c r="G172" s="12" t="inlineStr">
        <is>
          <t>F5.2.2</t>
        </is>
      </c>
      <c r="H172" s="12" t="inlineStr">
        <is>
          <t>-</t>
        </is>
      </c>
      <c r="I172" s="10" t="inlineStr">
        <is>
          <t>COMPLETED</t>
        </is>
      </c>
      <c r="J172" s="12" t="inlineStr">
        <is>
          <t>Production (gokesari.com)</t>
        </is>
      </c>
      <c r="K172" s="12" t="inlineStr">
        <is>
          <t>Live (rule societyRiders.requireVerifiedSociety = true)</t>
        </is>
      </c>
      <c r="L172" s="12" t="inlineStr">
        <is>
          <t>#85</t>
        </is>
      </c>
      <c r="M172" s="12" t="inlineStr">
        <is>
          <t>#86 (reverted by #87); #120</t>
        </is>
      </c>
      <c r="N172" s="12" t="inlineStr">
        <is>
          <t>-</t>
        </is>
      </c>
      <c r="O172" s="12" t="inlineStr">
        <is>
          <t>-</t>
        </is>
      </c>
      <c r="P172" s="12" t="inlineStr">
        <is>
          <t>COMPLETED</t>
        </is>
      </c>
      <c r="Q172" s="12" t="inlineStr">
        <is>
          <t>No change</t>
        </is>
      </c>
      <c r="R172" s="12" t="inlineStr">
        <is>
          <t>-</t>
        </is>
      </c>
    </row>
    <row r="173" ht="39" customFormat="1" customHeight="1" s="2">
      <c r="A173" s="10" t="n">
        <v>172</v>
      </c>
      <c r="B173" s="12" t="inlineStr">
        <is>
          <t>Delivered or started since 6 Oct</t>
        </is>
      </c>
      <c r="C173" s="9" t="inlineStr">
        <is>
          <t>NEW-024</t>
        </is>
      </c>
      <c r="D173" s="12" t="inlineStr">
        <is>
          <t>Cart</t>
        </is>
      </c>
      <c r="E173" s="12" t="inlineStr">
        <is>
          <t>Open-order prompt before paying (item C3)</t>
        </is>
      </c>
      <c r="F173" s="12" t="inlineStr">
        <is>
          <t>Cart shows the customer's open order(s) with status before paying: Cancel this order (when D10 allows) or Ignore and continue; duplicate-product check keeps showing other shops' pending products. Rule openOrderCheck.</t>
        </is>
      </c>
      <c r="G173" s="12" t="inlineStr">
        <is>
          <t>F1.5.5</t>
        </is>
      </c>
      <c r="H173" s="12" t="inlineStr">
        <is>
          <t>-</t>
        </is>
      </c>
      <c r="I173" s="10" t="inlineStr">
        <is>
          <t>COMPLETED</t>
        </is>
      </c>
      <c r="J173" s="12" t="inlineStr">
        <is>
          <t>Production (gokesari.com)</t>
        </is>
      </c>
      <c r="K173" s="12" t="inlineStr">
        <is>
          <t>Live (rule openOrderCheck on, ANY_SHOP)</t>
        </is>
      </c>
      <c r="L173" s="12" t="inlineStr">
        <is>
          <t>#85</t>
        </is>
      </c>
      <c r="M173" s="12" t="inlineStr">
        <is>
          <t>#86 (reverted by #87); #120</t>
        </is>
      </c>
      <c r="N173" s="12" t="inlineStr">
        <is>
          <t>-</t>
        </is>
      </c>
      <c r="O173" s="12" t="inlineStr">
        <is>
          <t>-</t>
        </is>
      </c>
      <c r="P173" s="12" t="inlineStr">
        <is>
          <t>COMPLETED</t>
        </is>
      </c>
      <c r="Q173" s="12" t="inlineStr">
        <is>
          <t>No change</t>
        </is>
      </c>
      <c r="R173" s="12" t="inlineStr">
        <is>
          <t>-</t>
        </is>
      </c>
    </row>
    <row r="174" ht="39" customFormat="1" customHeight="1" s="2">
      <c r="A174" s="10" t="n">
        <v>173</v>
      </c>
      <c r="B174" s="12" t="inlineStr">
        <is>
          <t>Delivered or started since 6 Oct</t>
        </is>
      </c>
      <c r="C174" s="9" t="inlineStr">
        <is>
          <t>NEW-025</t>
        </is>
      </c>
      <c r="D174" s="12" t="inlineStr">
        <is>
          <t>Security</t>
        </is>
      </c>
      <c r="E174" s="12" t="inlineStr">
        <is>
          <t>Voucher codes visible to operators and admins (item C4)</t>
        </is>
      </c>
      <c r="F174" s="12" t="inlineStr">
        <is>
          <t>Decision matched existing behaviour: operators/admins see full voucher codes; customers, shop owners, riders and society admins get 403. Pinned by tests.</t>
        </is>
      </c>
      <c r="G174" s="12" t="inlineStr">
        <is>
          <t>-</t>
        </is>
      </c>
      <c r="H174" s="12" t="inlineStr">
        <is>
          <t>-</t>
        </is>
      </c>
      <c r="I174" s="10" t="inlineStr">
        <is>
          <t>COMPLETED</t>
        </is>
      </c>
      <c r="J174" s="12" t="inlineStr">
        <is>
          <t>Production (gokesari.com)</t>
        </is>
      </c>
      <c r="K174" s="12" t="inlineStr">
        <is>
          <t>Live</t>
        </is>
      </c>
      <c r="L174" s="12" t="inlineStr">
        <is>
          <t>#85 (tests only)</t>
        </is>
      </c>
      <c r="M174" s="12" t="inlineStr">
        <is>
          <t>Behaviour already live; tests released with the next production release</t>
        </is>
      </c>
      <c r="N174" s="12" t="inlineStr">
        <is>
          <t>-</t>
        </is>
      </c>
      <c r="O174" s="12" t="inlineStr">
        <is>
          <t>-</t>
        </is>
      </c>
      <c r="P174" s="12" t="inlineStr">
        <is>
          <t>COMPLETED</t>
        </is>
      </c>
      <c r="Q174" s="12" t="inlineStr">
        <is>
          <t>No change</t>
        </is>
      </c>
      <c r="R174" s="12" t="inlineStr">
        <is>
          <t>-</t>
        </is>
      </c>
    </row>
    <row r="175" ht="63" customFormat="1" customHeight="1" s="2">
      <c r="A175" s="10" t="n">
        <v>174</v>
      </c>
      <c r="B175" s="12" t="inlineStr">
        <is>
          <t>Delivered or started since 6 Oct</t>
        </is>
      </c>
      <c r="C175" s="9" t="inlineStr">
        <is>
          <t>NEW-026</t>
        </is>
      </c>
      <c r="D175" s="12" t="inlineStr">
        <is>
          <t>Delivery</t>
        </is>
      </c>
      <c r="E175" s="12" t="inlineStr">
        <is>
          <t>Rider files: access-checked photos, KYC documents, rider ID card (item C5)</t>
        </is>
      </c>
      <c r="F175" s="12" t="inlineStr">
        <is>
          <t>Rider photos only via access-checked links; rider KYC images (table delivery_partner_documents, migration 0057) viewable by admins only, each view audited, /admin/rider-kyc; rider ID card /gig/id-card; rider photo + ID on the society dashboard.</t>
        </is>
      </c>
      <c r="G175" s="12" t="inlineStr">
        <is>
          <t>F5.2.3, F12.2.5</t>
        </is>
      </c>
      <c r="H175" s="12" t="inlineStr">
        <is>
          <t>-</t>
        </is>
      </c>
      <c r="I175" s="10" t="inlineStr">
        <is>
          <t>COMPLETED</t>
        </is>
      </c>
      <c r="J175" s="12" t="inlineStr">
        <is>
          <t>Production (gokesari.com)</t>
        </is>
      </c>
      <c r="K175" s="12" t="inlineStr">
        <is>
          <t>Live (rule riderFiles: protected photos, KYC documents, ID card)</t>
        </is>
      </c>
      <c r="L175" s="12" t="inlineStr">
        <is>
          <t>#85</t>
        </is>
      </c>
      <c r="M175" s="12" t="inlineStr">
        <is>
          <t>#86 (reverted by #87); #120</t>
        </is>
      </c>
      <c r="N175" s="12" t="inlineStr">
        <is>
          <t>-</t>
        </is>
      </c>
      <c r="O175" s="12" t="inlineStr">
        <is>
          <t>Purge the CDN cache for /api/images/* (release step, Blockers #22)</t>
        </is>
      </c>
      <c r="P175" s="12" t="inlineStr">
        <is>
          <t>COMPLETED</t>
        </is>
      </c>
      <c r="Q175" s="12" t="inlineStr">
        <is>
          <t>No change</t>
        </is>
      </c>
      <c r="R175" s="12" t="inlineStr">
        <is>
          <t>-</t>
        </is>
      </c>
    </row>
    <row r="176" ht="51" customFormat="1" customHeight="1" s="2">
      <c r="A176" s="10" t="n">
        <v>175</v>
      </c>
      <c r="B176" s="12" t="inlineStr">
        <is>
          <t>Delivered or started since 6 Oct</t>
        </is>
      </c>
      <c r="C176" s="9" t="inlineStr">
        <is>
          <t>NEW-027</t>
        </is>
      </c>
      <c r="D176" s="12" t="inlineStr">
        <is>
          <t>Finance</t>
        </is>
      </c>
      <c r="E176" s="12" t="inlineStr">
        <is>
          <t>GST rates / HSN codes report for the CA; cron map (item D)</t>
        </is>
      </c>
      <c r="F176" s="12" t="inlineStr">
        <is>
          <t>scripts/gst-hsn-report.sql lists rates, HSN x rate, category gaps and products sold for CA review; production cron schedule mapped (shop-acceptance, delivery-dispatch, notifications every minute). No seeded product has a GST rate or HSN code yet.</t>
        </is>
      </c>
      <c r="G176" s="12" t="inlineStr">
        <is>
          <t>-</t>
        </is>
      </c>
      <c r="H176" s="12" t="inlineStr">
        <is>
          <t>-</t>
        </is>
      </c>
      <c r="I176" s="10" t="inlineStr">
        <is>
          <t>BLOCKED</t>
        </is>
      </c>
      <c r="J176" s="12" t="inlineStr">
        <is>
          <t>Production (gokesari.com)</t>
        </is>
      </c>
      <c r="K176" s="12" t="inlineStr">
        <is>
          <t>-</t>
        </is>
      </c>
      <c r="L176" s="12" t="inlineStr">
        <is>
          <t>#85</t>
        </is>
      </c>
      <c r="M176" s="12" t="inlineStr">
        <is>
          <t>#120</t>
        </is>
      </c>
      <c r="N176" s="12" t="inlineStr">
        <is>
          <t>CA to verify HSN codes, GST rates, bill-of-supply wording and invoice numbering before invoicing is used for filing</t>
        </is>
      </c>
      <c r="O176" s="12" t="inlineStr">
        <is>
          <t>CA verification</t>
        </is>
      </c>
      <c r="P176" s="12" t="inlineStr">
        <is>
          <t>BLOCKED</t>
        </is>
      </c>
      <c r="Q176" s="12" t="inlineStr">
        <is>
          <t>No change</t>
        </is>
      </c>
      <c r="R176" s="12" t="inlineStr">
        <is>
          <t>-</t>
        </is>
      </c>
    </row>
    <row r="177" ht="75" customFormat="1" customHeight="1" s="2">
      <c r="A177" s="10" t="n">
        <v>176</v>
      </c>
      <c r="B177" s="12" t="inlineStr">
        <is>
          <t>Delivered or started since 6 Oct</t>
        </is>
      </c>
      <c r="C177" s="9" t="inlineStr">
        <is>
          <t>NEW-028</t>
        </is>
      </c>
      <c r="D177" s="12" t="inlineStr">
        <is>
          <t>Event layer</t>
        </is>
      </c>
      <c r="E177" s="12" t="inlineStr">
        <is>
          <t>Event layer: real-time workflows, cron only as a safety net</t>
        </is>
      </c>
      <c r="F177" s="12"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12" t="inlineStr">
        <is>
          <t>F1.9.2, F13.2.1</t>
        </is>
      </c>
      <c r="H177" s="12" t="inlineStr">
        <is>
          <t>-</t>
        </is>
      </c>
      <c r="I177" s="10" t="inlineStr">
        <is>
          <t>COMPLETED</t>
        </is>
      </c>
      <c r="J177" s="12" t="inlineStr">
        <is>
          <t>Production (gokesari.com)</t>
        </is>
      </c>
      <c r="K177" s="12" t="inlineStr">
        <is>
          <t>Live (rule defaults; no off switch)</t>
        </is>
      </c>
      <c r="L177" s="12" t="inlineStr">
        <is>
          <t>#89</t>
        </is>
      </c>
      <c r="M177" s="12" t="inlineStr">
        <is>
          <t>#120</t>
        </is>
      </c>
      <c r="N177" s="12" t="inlineStr">
        <is>
          <t>QA on test (TEST_CHECKLIST.md), cron Phase B switch, production release</t>
        </is>
      </c>
      <c r="O177" s="12" t="inlineStr">
        <is>
          <t>Production cron jobs (Blockers #4); confirm the event-layer decisions (Blockers #13)</t>
        </is>
      </c>
      <c r="P177" s="12" t="inlineStr">
        <is>
          <t>COMPLETED</t>
        </is>
      </c>
      <c r="Q177" s="12" t="inlineStr">
        <is>
          <t>No change</t>
        </is>
      </c>
      <c r="R177" s="12" t="inlineStr">
        <is>
          <t>-</t>
        </is>
      </c>
    </row>
    <row r="178" ht="39" customFormat="1" customHeight="1" s="2">
      <c r="A178" s="10" t="n">
        <v>177</v>
      </c>
      <c r="B178" s="12" t="inlineStr">
        <is>
          <t>Delivered or started since 6 Oct</t>
        </is>
      </c>
      <c r="C178" s="9" t="inlineStr">
        <is>
          <t>NEW-029</t>
        </is>
      </c>
      <c r="D178" s="12" t="inlineStr">
        <is>
          <t>Delivery</t>
        </is>
      </c>
      <c r="E178" s="12" t="inlineStr">
        <is>
          <t>Live delivery tracking v2 (5-second polling)</t>
        </is>
      </c>
      <c r="F178" s="12" t="inlineStr">
        <is>
          <t>Rider posts location to POST /api/delivery-orders/{id}/location while the drop is under way; customer gets a Track delivery map polled every 5 s, shown only from the start of the drop until delivered or cancelled.</t>
        </is>
      </c>
      <c r="G178" s="12" t="inlineStr">
        <is>
          <t>F1.9.2</t>
        </is>
      </c>
      <c r="H178" s="12" t="inlineStr">
        <is>
          <t>-</t>
        </is>
      </c>
      <c r="I178" s="10" t="inlineStr">
        <is>
          <t>COMPLETED</t>
        </is>
      </c>
      <c r="J178" s="12" t="inlineStr">
        <is>
          <t>Production (gokesari.com)</t>
        </is>
      </c>
      <c r="K178" s="12" t="inlineStr">
        <is>
          <t>Live (rule defaults; no off switch)</t>
        </is>
      </c>
      <c r="L178" s="12" t="inlineStr">
        <is>
          <t>#89</t>
        </is>
      </c>
      <c r="M178" s="12" t="inlineStr">
        <is>
          <t>#120</t>
        </is>
      </c>
      <c r="N178" s="12" t="inlineStr">
        <is>
          <t>-</t>
        </is>
      </c>
      <c r="O178" s="12" t="inlineStr">
        <is>
          <t>-</t>
        </is>
      </c>
      <c r="P178" s="12" t="inlineStr">
        <is>
          <t>COMPLETED</t>
        </is>
      </c>
      <c r="Q178" s="12" t="inlineStr">
        <is>
          <t>No change</t>
        </is>
      </c>
      <c r="R178" s="12" t="inlineStr">
        <is>
          <t>-</t>
        </is>
      </c>
    </row>
    <row r="179" ht="75" customFormat="1" customHeight="1" s="2">
      <c r="A179" s="10" t="n">
        <v>178</v>
      </c>
      <c r="B179" s="12" t="inlineStr">
        <is>
          <t>Delivered or started since 6 Oct</t>
        </is>
      </c>
      <c r="C179" s="9" t="inlineStr">
        <is>
          <t>NEW-030</t>
        </is>
      </c>
      <c r="D179" s="12" t="inlineStr">
        <is>
          <t>Shop Onboarding</t>
        </is>
      </c>
      <c r="E179" s="12" t="inlineStr">
        <is>
          <t>Seller verification events, 'more info' and optional auto-approval</t>
        </is>
      </c>
      <c r="F179" s="12"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12" t="inlineStr">
        <is>
          <t>F8.2.2</t>
        </is>
      </c>
      <c r="H179" s="12" t="inlineStr">
        <is>
          <t>-</t>
        </is>
      </c>
      <c r="I179" s="10" t="inlineStr">
        <is>
          <t>COMPLETED</t>
        </is>
      </c>
      <c r="J179" s="12" t="inlineStr">
        <is>
          <t>Production (gokesari.com)</t>
        </is>
      </c>
      <c r="K179" s="12" t="inlineStr">
        <is>
          <t>Live (rule defaults; no off switch)</t>
        </is>
      </c>
      <c r="L179" s="12" t="inlineStr">
        <is>
          <t>#89</t>
        </is>
      </c>
      <c r="M179" s="12" t="inlineStr">
        <is>
          <t>#120</t>
        </is>
      </c>
      <c r="N179" s="12" t="inlineStr">
        <is>
          <t>-</t>
        </is>
      </c>
      <c r="O179" s="12" t="inlineStr">
        <is>
          <t>Production cron jobs (Blockers #4); confirm the event-layer decisions (Blockers #13)</t>
        </is>
      </c>
      <c r="P179" s="12" t="inlineStr">
        <is>
          <t>COMPLETED</t>
        </is>
      </c>
      <c r="Q179" s="12" t="inlineStr">
        <is>
          <t>No change</t>
        </is>
      </c>
      <c r="R179" s="12" t="inlineStr">
        <is>
          <t>-</t>
        </is>
      </c>
    </row>
    <row r="180" ht="75" customFormat="1" customHeight="1" s="2">
      <c r="A180" s="10" t="n">
        <v>179</v>
      </c>
      <c r="B180" s="12" t="inlineStr">
        <is>
          <t>Delivered or started since 6 Oct</t>
        </is>
      </c>
      <c r="C180" s="9" t="inlineStr">
        <is>
          <t>NEW-031</t>
        </is>
      </c>
      <c r="D180" s="12" t="inlineStr">
        <is>
          <t>Support</t>
        </is>
      </c>
      <c r="E180" s="12" t="inlineStr">
        <is>
          <t>Dispute conversation, attachments and 24 h SLA escalation</t>
        </is>
      </c>
      <c r="F180" s="12" t="inlineStr">
        <is>
          <t>Ticket number issued at once with photos attached; customer, shop and support comment, support adds internal notes; shop may propose a resolution after triage; no reply within 24 h escalates to administrators.</t>
        </is>
      </c>
      <c r="G180" s="12" t="inlineStr">
        <is>
          <t>F6.3.2</t>
        </is>
      </c>
      <c r="H180" s="12" t="inlineStr">
        <is>
          <t>-</t>
        </is>
      </c>
      <c r="I180" s="10" t="inlineStr">
        <is>
          <t>COMPLETED</t>
        </is>
      </c>
      <c r="J180" s="12" t="inlineStr">
        <is>
          <t>Production (gokesari.com)</t>
        </is>
      </c>
      <c r="K180" s="12" t="inlineStr">
        <is>
          <t>Live (rule defaults; no off switch)</t>
        </is>
      </c>
      <c r="L180" s="12" t="inlineStr">
        <is>
          <t>#89</t>
        </is>
      </c>
      <c r="M180" s="12" t="inlineStr">
        <is>
          <t>#120</t>
        </is>
      </c>
      <c r="N180" s="12" t="inlineStr">
        <is>
          <t>-</t>
        </is>
      </c>
      <c r="O180" s="12" t="inlineStr">
        <is>
          <t>Production cron jobs (Blockers #4); confirm the event-layer decisions (Blockers #13)</t>
        </is>
      </c>
      <c r="P180" s="12" t="inlineStr">
        <is>
          <t>COMPLETED</t>
        </is>
      </c>
      <c r="Q180" s="12" t="inlineStr">
        <is>
          <t>No change</t>
        </is>
      </c>
      <c r="R180" s="12" t="inlineStr">
        <is>
          <t>-</t>
        </is>
      </c>
    </row>
    <row r="181" ht="27" customFormat="1" customHeight="1" s="2">
      <c r="A181" s="10" t="n">
        <v>180</v>
      </c>
      <c r="B181" s="12" t="inlineStr">
        <is>
          <t>Delivered or started since 6 Oct</t>
        </is>
      </c>
      <c r="C181" s="9" t="inlineStr">
        <is>
          <t>NEW-032</t>
        </is>
      </c>
      <c r="D181" s="12" t="inlineStr">
        <is>
          <t>Admin</t>
        </is>
      </c>
      <c r="E181" s="12" t="inlineStr">
        <is>
          <t>Per-order risk rules at placement and on failed payment</t>
        </is>
      </c>
      <c r="F181" s="12" t="inlineStr">
        <is>
          <t>Risk rules now run on each order as it is placed and on a failed payment; the hourly job remains the cross-order pattern scan.</t>
        </is>
      </c>
      <c r="G181" s="12" t="inlineStr">
        <is>
          <t>F12.1.4</t>
        </is>
      </c>
      <c r="H181" s="12" t="inlineStr">
        <is>
          <t>-</t>
        </is>
      </c>
      <c r="I181" s="10" t="inlineStr">
        <is>
          <t>COMPLETED</t>
        </is>
      </c>
      <c r="J181" s="12" t="inlineStr">
        <is>
          <t>Production (gokesari.com)</t>
        </is>
      </c>
      <c r="K181" s="12" t="inlineStr">
        <is>
          <t>Live (rule defaults; no off switch)</t>
        </is>
      </c>
      <c r="L181" s="12" t="inlineStr">
        <is>
          <t>#89</t>
        </is>
      </c>
      <c r="M181" s="12" t="inlineStr">
        <is>
          <t>#120</t>
        </is>
      </c>
      <c r="N181" s="12" t="inlineStr">
        <is>
          <t>-</t>
        </is>
      </c>
      <c r="O181" s="12" t="inlineStr">
        <is>
          <t>-</t>
        </is>
      </c>
      <c r="P181" s="12" t="inlineStr">
        <is>
          <t>COMPLETED</t>
        </is>
      </c>
      <c r="Q181" s="12" t="inlineStr">
        <is>
          <t>No change</t>
        </is>
      </c>
      <c r="R181" s="12" t="inlineStr">
        <is>
          <t>-</t>
        </is>
      </c>
    </row>
    <row r="182" ht="75" customFormat="1" customHeight="1" s="2">
      <c r="A182" s="10" t="n">
        <v>181</v>
      </c>
      <c r="B182" s="12" t="inlineStr">
        <is>
          <t>Delivered or started since 6 Oct</t>
        </is>
      </c>
      <c r="C182" s="9" t="inlineStr">
        <is>
          <t>NEW-033</t>
        </is>
      </c>
      <c r="D182" s="12" t="inlineStr">
        <is>
          <t>Finance</t>
        </is>
      </c>
      <c r="E182" s="12" t="inlineStr">
        <is>
          <t>Shop prepaid wallet</t>
        </is>
      </c>
      <c r="F182" s="12"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12" t="inlineStr">
        <is>
          <t>F2.1.4, F10.1.3</t>
        </is>
      </c>
      <c r="H182" s="12" t="inlineStr">
        <is>
          <t>-</t>
        </is>
      </c>
      <c r="I182" s="10" t="inlineStr">
        <is>
          <t>COMPLETED</t>
        </is>
      </c>
      <c r="J182" s="12" t="inlineStr">
        <is>
          <t>Production - built, switched off by default</t>
        </is>
      </c>
      <c r="K182" s="12" t="inlineStr">
        <is>
          <t>Off by default - rule shopWallet.enabled = false (on for the test site only)</t>
        </is>
      </c>
      <c r="L182" s="12" t="inlineStr">
        <is>
          <t>#91; #94 (switched on in test)</t>
        </is>
      </c>
      <c r="M182" s="12" t="inlineStr">
        <is>
          <t>#120</t>
        </is>
      </c>
      <c r="N182" s="12" t="inlineStr">
        <is>
          <t>Production release</t>
        </is>
      </c>
      <c r="O182" s="12" t="inlineStr">
        <is>
          <t>Legal review of holding shops' prepaid money (Blockers #17) before switching it on</t>
        </is>
      </c>
      <c r="P182" s="12" t="inlineStr">
        <is>
          <t>COMPLETED</t>
        </is>
      </c>
      <c r="Q182" s="12" t="inlineStr">
        <is>
          <t>No change</t>
        </is>
      </c>
      <c r="R182" s="12" t="inlineStr">
        <is>
          <t>-</t>
        </is>
      </c>
    </row>
    <row r="183" ht="75" customFormat="1" customHeight="1" s="2">
      <c r="A183" s="10" t="n">
        <v>182</v>
      </c>
      <c r="B183" s="12" t="inlineStr">
        <is>
          <t>Delivered or started since 6 Oct</t>
        </is>
      </c>
      <c r="C183" s="9" t="inlineStr">
        <is>
          <t>NEW-034</t>
        </is>
      </c>
      <c r="D183" s="12" t="inlineStr">
        <is>
          <t>Finance</t>
        </is>
      </c>
      <c r="E183" s="12" t="inlineStr">
        <is>
          <t>Shop wallet: Rs 5/km delivery charge, no checkout below minimum, commission back on refunds</t>
        </is>
      </c>
      <c r="F183" s="12"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12" t="inlineStr">
        <is>
          <t>F10.1.3</t>
        </is>
      </c>
      <c r="H183" s="12" t="inlineStr">
        <is>
          <t>-</t>
        </is>
      </c>
      <c r="I183" s="10" t="inlineStr">
        <is>
          <t>COMPLETED</t>
        </is>
      </c>
      <c r="J183" s="12" t="inlineStr">
        <is>
          <t>Production - built, switched off by default</t>
        </is>
      </c>
      <c r="K183" s="12" t="inlineStr">
        <is>
          <t>Off by default - rule shopWallet.enabled = false (on for the test site only)</t>
        </is>
      </c>
      <c r="L183" s="12" t="inlineStr">
        <is>
          <t>#98</t>
        </is>
      </c>
      <c r="M183" s="12" t="inlineStr">
        <is>
          <t>#120</t>
        </is>
      </c>
      <c r="N183" s="12" t="inlineStr">
        <is>
          <t>Production release</t>
        </is>
      </c>
      <c r="O183" s="12" t="inlineStr">
        <is>
          <t>Legal review of holding shops' prepaid money (Blockers #17) before switching it on</t>
        </is>
      </c>
      <c r="P183" s="12" t="inlineStr">
        <is>
          <t>COMPLETED</t>
        </is>
      </c>
      <c r="Q183" s="12" t="inlineStr">
        <is>
          <t>No change</t>
        </is>
      </c>
      <c r="R183" s="12" t="inlineStr">
        <is>
          <t>-</t>
        </is>
      </c>
    </row>
    <row r="184" ht="63" customFormat="1" customHeight="1" s="2">
      <c r="A184" s="10" t="n">
        <v>183</v>
      </c>
      <c r="B184" s="12" t="inlineStr">
        <is>
          <t>Delivered or started since 6 Oct</t>
        </is>
      </c>
      <c r="C184" s="9" t="inlineStr">
        <is>
          <t>NEW-035</t>
        </is>
      </c>
      <c r="D184" s="12" t="inlineStr">
        <is>
          <t>Delivery</t>
        </is>
      </c>
      <c r="E184" s="12" t="inlineStr">
        <is>
          <t>OTP-confirmed delivery hardening</t>
        </is>
      </c>
      <c r="F184" s="12"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12" t="inlineStr">
        <is>
          <t>F1.9.4, F4.2.5</t>
        </is>
      </c>
      <c r="H184" s="12" t="inlineStr">
        <is>
          <t>-</t>
        </is>
      </c>
      <c r="I184" s="10" t="inlineStr">
        <is>
          <t>COMPLETED</t>
        </is>
      </c>
      <c r="J184" s="12" t="inlineStr">
        <is>
          <t>Production (gokesari.com)</t>
        </is>
      </c>
      <c r="K184" s="12" t="inlineStr">
        <is>
          <t>Live (code emailed; SMS needs D2)</t>
        </is>
      </c>
      <c r="L184" s="12" t="inlineStr">
        <is>
          <t>#91</t>
        </is>
      </c>
      <c r="M184" s="12" t="inlineStr">
        <is>
          <t>#120</t>
        </is>
      </c>
      <c r="N184" s="12" t="inlineStr">
        <is>
          <t>Production release; SMS delivery of the code (D2)</t>
        </is>
      </c>
      <c r="O184" s="12" t="inlineStr">
        <is>
          <t>D2 - SMS vendor to also send the code by SMS</t>
        </is>
      </c>
      <c r="P184" s="12" t="inlineStr">
        <is>
          <t>COMPLETED</t>
        </is>
      </c>
      <c r="Q184" s="12" t="inlineStr">
        <is>
          <t>No change</t>
        </is>
      </c>
      <c r="R184" s="12" t="inlineStr">
        <is>
          <t>-</t>
        </is>
      </c>
    </row>
    <row r="185" ht="63" customFormat="1" customHeight="1" s="2">
      <c r="A185" s="10" t="n">
        <v>184</v>
      </c>
      <c r="B185" s="12" t="inlineStr">
        <is>
          <t>Delivered or started since 6 Oct</t>
        </is>
      </c>
      <c r="C185" s="9" t="inlineStr">
        <is>
          <t>NEW-036</t>
        </is>
      </c>
      <c r="D185" s="12" t="inlineStr">
        <is>
          <t>Catalog</t>
        </is>
      </c>
      <c r="E185" s="12" t="inlineStr">
        <is>
          <t>Shop product media - photos and descriptions (Module 1)</t>
        </is>
      </c>
      <c r="F185" s="12"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12" t="inlineStr">
        <is>
          <t>F9.2.5</t>
        </is>
      </c>
      <c r="H185" s="12" t="inlineStr">
        <is>
          <t>-</t>
        </is>
      </c>
      <c r="I185" s="10" t="inlineStr">
        <is>
          <t>COMPLETED</t>
        </is>
      </c>
      <c r="J185" s="12" t="inlineStr">
        <is>
          <t>Production (gokesari.com)</t>
        </is>
      </c>
      <c r="K185" s="12" t="inlineStr">
        <is>
          <t>Live</t>
        </is>
      </c>
      <c r="L185" s="12" t="inlineStr">
        <is>
          <t>#92 (merged into staging 9 Oct)</t>
        </is>
      </c>
      <c r="M185" s="12" t="inlineStr">
        <is>
          <t>#120</t>
        </is>
      </c>
      <c r="N185" s="12" t="inlineStr">
        <is>
          <t>-</t>
        </is>
      </c>
      <c r="O185" s="12" t="inlineStr">
        <is>
          <t>-</t>
        </is>
      </c>
      <c r="P185" s="12" t="inlineStr">
        <is>
          <t>COMPLETED</t>
        </is>
      </c>
      <c r="Q185" s="12" t="inlineStr">
        <is>
          <t>No change</t>
        </is>
      </c>
      <c r="R185" s="12" t="inlineStr">
        <is>
          <t>docs/three-modules-2026-10/MODULE1_SHOP_PRODUCT_MEDIA.md (PR #92); drizzle/0065 (PR #92)</t>
        </is>
      </c>
    </row>
    <row r="186" ht="75" customFormat="1" customHeight="1" s="2">
      <c r="A186" s="10" t="n">
        <v>185</v>
      </c>
      <c r="B186" s="12" t="inlineStr">
        <is>
          <t>Delivered or started since 6 Oct</t>
        </is>
      </c>
      <c r="C186" s="9" t="inlineStr">
        <is>
          <t>NEW-037</t>
        </is>
      </c>
      <c r="D186" s="12" t="inlineStr">
        <is>
          <t>Integration</t>
        </is>
      </c>
      <c r="E186" s="12" t="inlineStr">
        <is>
          <t>Accounting / inventory integration and GST (Module 2)</t>
        </is>
      </c>
      <c r="F186" s="12"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12" t="inlineStr">
        <is>
          <t>F9.2.6</t>
        </is>
      </c>
      <c r="H186" s="12" t="inlineStr">
        <is>
          <t>-</t>
        </is>
      </c>
      <c r="I186" s="10" t="inlineStr">
        <is>
          <t>BLOCKED</t>
        </is>
      </c>
      <c r="J186" s="12" t="inlineStr">
        <is>
          <t>Production - partly live</t>
        </is>
      </c>
      <c r="K186" s="12" t="inlineStr">
        <is>
          <t>Shops can connect accounting / inventory software; GST e-invoicing on the MOCK GSP until a real GSP is chosen</t>
        </is>
      </c>
      <c r="L186" s="12" t="inlineStr">
        <is>
          <t>#92 (merged into staging 9 Oct)</t>
        </is>
      </c>
      <c r="M186" s="12" t="inlineStr">
        <is>
          <t>#120</t>
        </is>
      </c>
      <c r="N186" s="12" t="inlineStr">
        <is>
          <t>Merge #92; real GSP and sandbox keys; Tally code-signing certificate; CA answers on e-commerce operator questions (TCS / GSTR-8)</t>
        </is>
      </c>
      <c r="O186" s="12" t="inlineStr">
        <is>
          <t>Owner inputs P1, P3, P6 (Blockers #18)</t>
        </is>
      </c>
      <c r="P186" s="12" t="inlineStr">
        <is>
          <t>BLOCKED</t>
        </is>
      </c>
      <c r="Q186" s="12" t="inlineStr">
        <is>
          <t>No change</t>
        </is>
      </c>
      <c r="R186" s="12" t="inlineStr">
        <is>
          <t>docs/three-modules-2026-10/MODULE2_ACCOUNTING_INTEGRATION.md (PR #92); connector/tally (PR #92)</t>
        </is>
      </c>
    </row>
    <row r="187" ht="87" customFormat="1" customHeight="1" s="2">
      <c r="A187" s="10" t="n">
        <v>186</v>
      </c>
      <c r="B187" s="12" t="inlineStr">
        <is>
          <t>Delivered or started since 6 Oct</t>
        </is>
      </c>
      <c r="C187" s="9" t="inlineStr">
        <is>
          <t>NEW-038</t>
        </is>
      </c>
      <c r="D187" s="12" t="inlineStr">
        <is>
          <t>Shop Onboarding</t>
        </is>
      </c>
      <c r="E187" s="12" t="inlineStr">
        <is>
          <t>Shop self-registration with auto-approval (Module 3)</t>
        </is>
      </c>
      <c r="F187" s="12"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12" t="inlineStr">
        <is>
          <t>F8.1.2</t>
        </is>
      </c>
      <c r="H187" s="12" t="inlineStr">
        <is>
          <t>-</t>
        </is>
      </c>
      <c r="I187" s="10" t="inlineStr">
        <is>
          <t>COMPLETED</t>
        </is>
      </c>
      <c r="J187" s="12" t="inlineStr">
        <is>
          <t>Production - built, switched off by default</t>
        </is>
      </c>
      <c r="K187" s="12" t="inlineStr">
        <is>
          <t>Off by default - rule selfRegistration.enabled = false; refused on gokesari.com until a real SMS/WhatsApp provider is set</t>
        </is>
      </c>
      <c r="L187" s="12" t="inlineStr">
        <is>
          <t>#92 (merged into staging 9 Oct)</t>
        </is>
      </c>
      <c r="M187" s="12" t="inlineStr">
        <is>
          <t>#120</t>
        </is>
      </c>
      <c r="N187" s="12" t="inlineStr">
        <is>
          <t>Merge #92; real SMS / WhatsApp provider for production (refused on gokesari.com until set); fee amounts; FSSAI rule for self-registered food shops</t>
        </is>
      </c>
      <c r="O187" s="12" t="inlineStr">
        <is>
          <t>Owner inputs P2, P4, P5 (Blockers #18) before switching it on</t>
        </is>
      </c>
      <c r="P187" s="12" t="inlineStr">
        <is>
          <t>COMPLETED</t>
        </is>
      </c>
      <c r="Q187" s="12" t="inlineStr">
        <is>
          <t>No change</t>
        </is>
      </c>
      <c r="R187" s="12" t="inlineStr">
        <is>
          <t>docs/three-modules-2026-10/MODULE3_SELF_REGISTRATION.md (PR #92); drizzle/0068 (PR #92)</t>
        </is>
      </c>
    </row>
    <row r="188" ht="87" customFormat="1" customHeight="1" s="2">
      <c r="A188" s="10" t="n">
        <v>187</v>
      </c>
      <c r="B188" s="12" t="inlineStr">
        <is>
          <t>Delivered or started since 8 Oct</t>
        </is>
      </c>
      <c r="C188" s="9" t="inlineStr">
        <is>
          <t>NEW-039</t>
        </is>
      </c>
      <c r="D188" s="12" t="inlineStr">
        <is>
          <t>Delivery</t>
        </is>
      </c>
      <c r="E188" s="12" t="inlineStr">
        <is>
          <t>Delivery options and scheduling: pickup, shop's own delivery, GoKesari partner</t>
        </is>
      </c>
      <c r="F188" s="12"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12" t="inlineStr">
        <is>
          <t>F2.2.4, F2.2.5, F1.9.6</t>
        </is>
      </c>
      <c r="H188" s="12" t="inlineStr">
        <is>
          <t>-</t>
        </is>
      </c>
      <c r="I188" s="10" t="inlineStr">
        <is>
          <t>COMPLETED</t>
        </is>
      </c>
      <c r="J188" s="12" t="inlineStr">
        <is>
          <t>Production - built, switched off by default</t>
        </is>
      </c>
      <c r="K188" s="12" t="inlineStr">
        <is>
          <t>Off by default - rule fulfilmentOptions.enabled = false (on for the test site only)</t>
        </is>
      </c>
      <c r="L188" s="12" t="inlineStr">
        <is>
          <t>#102; #103 (repeat-safe mark-ready and handovers)</t>
        </is>
      </c>
      <c r="M188" s="12" t="inlineStr">
        <is>
          <t>#120</t>
        </is>
      </c>
      <c r="N188" s="12" t="inlineStr">
        <is>
          <t>Production release (migrations 0056-0064); owner decision F1-8 - refund the customer's delivery fee automatically when the shop chooses pickup?</t>
        </is>
      </c>
      <c r="O188" s="12" t="inlineStr">
        <is>
          <t>Switch on in Admin &gt; Business rules when ready</t>
        </is>
      </c>
      <c r="P188" s="12" t="inlineStr">
        <is>
          <t>COMPLETED</t>
        </is>
      </c>
      <c r="Q188" s="12" t="inlineStr">
        <is>
          <t>No change</t>
        </is>
      </c>
      <c r="R188" s="12" t="inlineStr">
        <is>
          <t>docs/four-features-2026-10/README.md; TEST_RESULTS.md; drizzle/0061_fulfilment_options.sql</t>
        </is>
      </c>
    </row>
    <row r="189" ht="75" customFormat="1" customHeight="1" s="2">
      <c r="A189" s="10" t="n">
        <v>188</v>
      </c>
      <c r="B189" s="12" t="inlineStr">
        <is>
          <t>Delivered or started since 8 Oct</t>
        </is>
      </c>
      <c r="C189" s="9" t="inlineStr">
        <is>
          <t>NEW-040</t>
        </is>
      </c>
      <c r="D189" s="12" t="inlineStr">
        <is>
          <t>Shop Onboarding</t>
        </is>
      </c>
      <c r="E189" s="12" t="inlineStr">
        <is>
          <t>Mandatory legal documents by shop type (FSSAI, drug licence, medical registration)</t>
        </is>
      </c>
      <c r="F189" s="12"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12" t="inlineStr">
        <is>
          <t>F8.2.5</t>
        </is>
      </c>
      <c r="H189" s="12" t="inlineStr">
        <is>
          <t>-</t>
        </is>
      </c>
      <c r="I189" s="10" t="inlineStr">
        <is>
          <t>COMPLETED</t>
        </is>
      </c>
      <c r="J189" s="12" t="inlineStr">
        <is>
          <t>Production - built, switched off by default</t>
        </is>
      </c>
      <c r="K189" s="12" t="inlineStr">
        <is>
          <t>Off by default - rule legalDocuments.enabled = false (on for the test site only)</t>
        </is>
      </c>
      <c r="L189" s="12" t="inlineStr">
        <is>
          <t>#102; #103 (wording fixes)</t>
        </is>
      </c>
      <c r="M189" s="12" t="inlineStr">
        <is>
          <t>#120</t>
        </is>
      </c>
      <c r="N189" s="12" t="inlineStr">
        <is>
          <t>Production release; tell shop owners about the 15-day grace first; decision - also hide shops past their grace period from customers?</t>
        </is>
      </c>
      <c r="O189" s="12" t="inlineStr">
        <is>
          <t>Tell shop owners about the 15-day grace, then switch on (Blockers #28)</t>
        </is>
      </c>
      <c r="P189" s="12" t="inlineStr">
        <is>
          <t>COMPLETED</t>
        </is>
      </c>
      <c r="Q189" s="12" t="inlineStr">
        <is>
          <t>No change</t>
        </is>
      </c>
      <c r="R189" s="12" t="inlineStr">
        <is>
          <t>docs/four-features-2026-10/README.md; TEST_RESULTS.md; drizzle/0062_legal_documents.sql</t>
        </is>
      </c>
    </row>
    <row r="190" ht="75" customFormat="1" customHeight="1" s="2">
      <c r="A190" s="10" t="n">
        <v>189</v>
      </c>
      <c r="B190" s="12" t="inlineStr">
        <is>
          <t>Delivered or started since 8 Oct</t>
        </is>
      </c>
      <c r="C190" s="9" t="inlineStr">
        <is>
          <t>NEW-041</t>
        </is>
      </c>
      <c r="D190" s="12" t="inlineStr">
        <is>
          <t>Payments</t>
        </is>
      </c>
      <c r="E190" s="12" t="inlineStr">
        <is>
          <t>Bank account details with Rs 1 verification (shops for payouts, customers for refunds)</t>
        </is>
      </c>
      <c r="F190" s="12"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12" t="inlineStr">
        <is>
          <t>F10.2.6</t>
        </is>
      </c>
      <c r="H190" s="12" t="inlineStr">
        <is>
          <t>-</t>
        </is>
      </c>
      <c r="I190" s="10" t="inlineStr">
        <is>
          <t>COMPLETED</t>
        </is>
      </c>
      <c r="J190" s="12" t="inlineStr">
        <is>
          <t>Production - built, switched off by default</t>
        </is>
      </c>
      <c r="K190" s="12" t="inlineStr">
        <is>
          <t>Off by default - rule bankAccounts.enabled = false (on for the test site only)</t>
        </is>
      </c>
      <c r="L190" s="12" t="inlineStr">
        <is>
          <t>#102; #103 (refund status re-checked from Cashfree)</t>
        </is>
      </c>
      <c r="M190" s="12" t="inlineStr">
        <is>
          <t>#120</t>
        </is>
      </c>
      <c r="N190" s="12" t="inlineStr">
        <is>
          <t>Production release; Cashfree live keys with the Refunds API; payout gate not run on test (covered by integration tests); decisions - buy Cashfree Verification Suite for the bank's name? offer refunds to bank at all?</t>
        </is>
      </c>
      <c r="O190" s="12" t="inlineStr">
        <is>
          <t>Cashfree live keys with the Refunds API (Blockers #24), then switch on</t>
        </is>
      </c>
      <c r="P190" s="12" t="inlineStr">
        <is>
          <t>COMPLETED</t>
        </is>
      </c>
      <c r="Q190" s="12" t="inlineStr">
        <is>
          <t>No change</t>
        </is>
      </c>
      <c r="R190" s="12" t="inlineStr">
        <is>
          <t>docs/four-features-2026-10/README.md; TEST_RESULTS.md; drizzle/0063_bank_accounts.sql</t>
        </is>
      </c>
    </row>
    <row r="191" ht="75" customFormat="1" customHeight="1" s="2">
      <c r="A191" s="10" t="n">
        <v>190</v>
      </c>
      <c r="B191" s="12" t="inlineStr">
        <is>
          <t>Delivered or started since 8 Oct</t>
        </is>
      </c>
      <c r="C191" s="9" t="inlineStr">
        <is>
          <t>NEW-042</t>
        </is>
      </c>
      <c r="D191" s="12" t="inlineStr">
        <is>
          <t>Shop Onboarding</t>
        </is>
      </c>
      <c r="E191" s="12" t="inlineStr">
        <is>
          <t>Mandatory referral code at shop registration + 'Request a referral code'</t>
        </is>
      </c>
      <c r="F191" s="12"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12" t="inlineStr">
        <is>
          <t>F8.1.3</t>
        </is>
      </c>
      <c r="H191" s="12" t="inlineStr">
        <is>
          <t>-</t>
        </is>
      </c>
      <c r="I191" s="10" t="inlineStr">
        <is>
          <t>COMPLETED</t>
        </is>
      </c>
      <c r="J191" s="12" t="inlineStr">
        <is>
          <t>Production - built, switched off by default</t>
        </is>
      </c>
      <c r="K191" s="12" t="inlineStr">
        <is>
          <t>Admin &gt; Referral settings: referral_required_shop = OPTIONAL on production (checked 14 Oct)</t>
        </is>
      </c>
      <c r="L191" s="12" t="inlineStr">
        <is>
          <t>#102; #103 (stale error cleared)</t>
        </is>
      </c>
      <c r="M191" s="12" t="inlineStr">
        <is>
          <t>#120</t>
        </is>
      </c>
      <c r="N191" s="12" t="inlineStr">
        <is>
          <t>Production release; create referral codes before switching it on (or registrations stop); confirm who owns referrals@gokesari.com and that mail arrives there</t>
        </is>
      </c>
      <c r="O191" s="12" t="inlineStr">
        <is>
          <t>Create referral codes and the referrals@ mailbox (Blockers #26), then switch on</t>
        </is>
      </c>
      <c r="P191" s="12" t="inlineStr">
        <is>
          <t>COMPLETED</t>
        </is>
      </c>
      <c r="Q191" s="12" t="inlineStr">
        <is>
          <t>No change</t>
        </is>
      </c>
      <c r="R191" s="12" t="inlineStr">
        <is>
          <t>docs/four-features-2026-10/README.md; TEST_RESULTS.md; drizzle/0064_referral_code_requests.sql</t>
        </is>
      </c>
    </row>
    <row r="192" ht="87" customFormat="1" customHeight="1" s="2">
      <c r="A192" s="10" t="n">
        <v>191</v>
      </c>
      <c r="B192" s="12" t="inlineStr">
        <is>
          <t>Delivered or started since 8 Oct</t>
        </is>
      </c>
      <c r="C192" s="9" t="inlineStr">
        <is>
          <t>NEW-043</t>
        </is>
      </c>
      <c r="D192" s="12" t="inlineStr">
        <is>
          <t>Mobile App</t>
        </is>
      </c>
      <c r="E192" s="12" t="inlineStr">
        <is>
          <t>Android and iPhone app (mobile/) - native shell around gokesari.com</t>
        </is>
      </c>
      <c r="F192" s="12"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12" t="inlineStr">
        <is>
          <t>F15.1.1, F15.1.3, F15.1.4, F15.2.1</t>
        </is>
      </c>
      <c r="H192" s="12" t="inlineStr">
        <is>
          <t>-</t>
        </is>
      </c>
      <c r="I192" s="10" t="inlineStr">
        <is>
          <t>IN PROGRESS</t>
        </is>
      </c>
      <c r="J192" s="12" t="inlineStr">
        <is>
          <t>Mobile app - Android test builds only (not in stores)</t>
        </is>
      </c>
      <c r="K192" s="12" t="inlineStr">
        <is>
          <t>Android APK from the 'Android APK' workflow (test signing key); not on Google Play or the App Store</t>
        </is>
      </c>
      <c r="L192" s="12" t="inlineStr">
        <is>
          <t>#100</t>
        </is>
      </c>
      <c r="M192" s="12" t="inlineStr">
        <is>
          <t>#100 (code on main; no store release)</t>
        </is>
      </c>
      <c r="N192" s="12" t="inlineStr">
        <is>
          <t>Expo account + EAS project id; Google Play Console ($25) and first .aab upload; Apple Developer Program ($99/yr) for any iPhone install; store listings (privacy policy, Data safety form, screenshots)</t>
        </is>
      </c>
      <c r="O192" s="12" t="inlineStr">
        <is>
          <t>Owner: Apple Developer account, then the iPhone build secrets (PLT-017); Google Play account for Android</t>
        </is>
      </c>
      <c r="P192" s="12" t="inlineStr">
        <is>
          <t>IN PROGRESS</t>
        </is>
      </c>
      <c r="Q192" s="12" t="inlineStr">
        <is>
          <t>No change</t>
        </is>
      </c>
      <c r="R192" s="12" t="inlineStr">
        <is>
          <t>mobile/README.md; mobile/src/App.tsx; .github/workflows/mobile-apk.yml</t>
        </is>
      </c>
    </row>
    <row r="193" ht="63" customFormat="1" customHeight="1" s="2">
      <c r="A193" s="10" t="n">
        <v>192</v>
      </c>
      <c r="B193" s="12" t="inlineStr">
        <is>
          <t>Delivered or started since 8 Oct</t>
        </is>
      </c>
      <c r="C193" s="9" t="inlineStr">
        <is>
          <t>NEW-044</t>
        </is>
      </c>
      <c r="D193" s="12" t="inlineStr">
        <is>
          <t>Mobile App</t>
        </is>
      </c>
      <c r="E193" s="12" t="inlineStr">
        <is>
          <t>Website support for the app: Google sign-in hand-off and deep-link files</t>
        </is>
      </c>
      <c r="F193" s="12"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12" t="inlineStr">
        <is>
          <t>F15.2.2, F15.2.3</t>
        </is>
      </c>
      <c r="H193" s="12" t="inlineStr">
        <is>
          <t>-</t>
        </is>
      </c>
      <c r="I193" s="10" t="inlineStr">
        <is>
          <t>COMPLETED</t>
        </is>
      </c>
      <c r="J193" s="12" t="inlineStr">
        <is>
          <t>Production (gokesari.com)</t>
        </is>
      </c>
      <c r="K193" s="12" t="inlineStr">
        <is>
          <t>Sign-in hand-off live; deep links off until MOBILE_* env vars are set (after the first store build) - assetlinks.json answers 404 today</t>
        </is>
      </c>
      <c r="L193" s="12" t="inlineStr">
        <is>
          <t>#100</t>
        </is>
      </c>
      <c r="M193" s="12" t="inlineStr">
        <is>
          <t>#100</t>
        </is>
      </c>
      <c r="N193" s="12" t="inlineStr">
        <is>
          <t>Set MOBILE_ANDROID_CERT_SHA256 / Apple team id after the first store build so gokesari.com links open the app</t>
        </is>
      </c>
      <c r="O193" s="12" t="inlineStr">
        <is>
          <t>-</t>
        </is>
      </c>
      <c r="P193" s="12" t="inlineStr">
        <is>
          <t>COMPLETED</t>
        </is>
      </c>
      <c r="Q193" s="12" t="inlineStr">
        <is>
          <t>No change</t>
        </is>
      </c>
      <c r="R193" s="12" t="inlineStr">
        <is>
          <t>src/app/mobile-auth/; src/server/mobile-auth.ts; src/app/.well-known/</t>
        </is>
      </c>
    </row>
    <row r="194" ht="51" customFormat="1" customHeight="1" s="2">
      <c r="A194" s="10" t="n">
        <v>193</v>
      </c>
      <c r="B194" s="12" t="inlineStr">
        <is>
          <t>Delivered or started since 8 Oct</t>
        </is>
      </c>
      <c r="C194" s="9" t="inlineStr">
        <is>
          <t>NEW-045</t>
        </is>
      </c>
      <c r="D194" s="12" t="inlineStr">
        <is>
          <t>Mobile App</t>
        </is>
      </c>
      <c r="E194" s="12" t="inlineStr">
        <is>
          <t>iPhone home-screen app (web app manifest, full-screen, Back button)</t>
        </is>
      </c>
      <c r="F194" s="12"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12" t="inlineStr">
        <is>
          <t>F15.1.2</t>
        </is>
      </c>
      <c r="H194" s="12" t="inlineStr">
        <is>
          <t>-</t>
        </is>
      </c>
      <c r="I194" s="10" t="inlineStr">
        <is>
          <t>COMPLETED</t>
        </is>
      </c>
      <c r="J194" s="12" t="inlineStr">
        <is>
          <t>Production (gokesari.com)</t>
        </is>
      </c>
      <c r="K194" s="12" t="inlineStr">
        <is>
          <t>Live</t>
        </is>
      </c>
      <c r="L194" s="12" t="inlineStr">
        <is>
          <t>#100</t>
        </is>
      </c>
      <c r="M194" s="12" t="inlineStr">
        <is>
          <t>#100</t>
        </is>
      </c>
      <c r="N194" s="12" t="inlineStr">
        <is>
          <t>-</t>
        </is>
      </c>
      <c r="O194" s="12" t="inlineStr">
        <is>
          <t>-</t>
        </is>
      </c>
      <c r="P194" s="12" t="inlineStr">
        <is>
          <t>COMPLETED</t>
        </is>
      </c>
      <c r="Q194" s="12" t="inlineStr">
        <is>
          <t>No change</t>
        </is>
      </c>
      <c r="R194" s="12" t="inlineStr">
        <is>
          <t>src/app/manifest.ts; src/components/standalone-back-button.tsx; public/pwa/</t>
        </is>
      </c>
    </row>
    <row r="195" ht="87" customFormat="1" customHeight="1" s="2">
      <c r="A195" s="10" t="n">
        <v>194</v>
      </c>
      <c r="B195" s="12" t="inlineStr">
        <is>
          <t>Delivered or started since 8 Oct</t>
        </is>
      </c>
      <c r="C195" s="9" t="inlineStr">
        <is>
          <t>NEW-046</t>
        </is>
      </c>
      <c r="D195" s="12" t="inlineStr">
        <is>
          <t>Navigation / UX</t>
        </is>
      </c>
      <c r="E195" s="12" t="inlineStr">
        <is>
          <t>Tile Board home screens (approved 'Theme 1 Tile Board') for customer, shop owner, admin and operator</t>
        </is>
      </c>
      <c r="F195" s="12"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12" t="inlineStr">
        <is>
          <t>F1.3.1</t>
        </is>
      </c>
      <c r="H195" s="12" t="inlineStr">
        <is>
          <t>-</t>
        </is>
      </c>
      <c r="I195" s="10" t="inlineStr">
        <is>
          <t>COMPLETED</t>
        </is>
      </c>
      <c r="J195" s="12" t="inlineStr">
        <is>
          <t>Production (gokesari.com)</t>
        </is>
      </c>
      <c r="K195" s="12" t="inlineStr">
        <is>
          <t>Live</t>
        </is>
      </c>
      <c r="L195" s="12" t="inlineStr">
        <is>
          <t>#112; #114 (fits the app's shorter screen); #116 (iPhone Back button); #122 (everywhere); #124; #127; #130</t>
        </is>
      </c>
      <c r="M195" s="12" t="inlineStr">
        <is>
          <t>#120; #123; #126; #129; #131</t>
        </is>
      </c>
      <c r="N195" s="12" t="inlineStr">
        <is>
          <t>4 mockup entries have no feature behind them (customer Favourites, App theme, Call rider; shop Theme) - nearest real pages shown; shop owner board 2 px over at 320x640 with two alerts (accepted, D-02); 1-3 submenu labels hidden at 320x640</t>
        </is>
      </c>
      <c r="O195" s="12" t="inlineStr">
        <is>
          <t>Owner: decide whether to build the 4 missing features</t>
        </is>
      </c>
      <c r="P195" s="12" t="inlineStr">
        <is>
          <t>COMPLETED</t>
        </is>
      </c>
      <c r="Q195" s="12" t="inlineStr">
        <is>
          <t>No change</t>
        </is>
      </c>
      <c r="R195" s="12" t="inlineStr">
        <is>
          <t>docs/tile-board-2026-10/README.md; docs/tile-board-2026-10/TEST_RESULTS.md; src/lib/board/menus.ts; src/components/board/; docs/tile-board-2026-10/UI_PASS_2026-10-09.md; TEST_RESULTS_UI_PASS.md</t>
        </is>
      </c>
    </row>
    <row r="196" ht="63" customFormat="1" customHeight="1" s="2">
      <c r="A196" s="10" t="n">
        <v>195</v>
      </c>
      <c r="B196" s="12" t="inlineStr">
        <is>
          <t>Delivered or started since 8 Oct</t>
        </is>
      </c>
      <c r="C196" s="9" t="inlineStr">
        <is>
          <t>NEW-047</t>
        </is>
      </c>
      <c r="D196" s="12" t="inlineStr">
        <is>
          <t>Navigation / UX</t>
        </is>
      </c>
      <c r="E196" s="12" t="inlineStr">
        <is>
          <t>Language switch EN / Hindi / Marathi (boards, header and menus on every page)</t>
        </is>
      </c>
      <c r="F196" s="12"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12" t="inlineStr">
        <is>
          <t>-</t>
        </is>
      </c>
      <c r="H196" s="12" t="inlineStr">
        <is>
          <t>-</t>
        </is>
      </c>
      <c r="I196" s="10" t="inlineStr">
        <is>
          <t>COMPLETED</t>
        </is>
      </c>
      <c r="J196" s="12" t="inlineStr">
        <is>
          <t>Production (gokesari.com)</t>
        </is>
      </c>
      <c r="K196" s="12" t="inlineStr">
        <is>
          <t>Live</t>
        </is>
      </c>
      <c r="L196" s="12" t="inlineStr">
        <is>
          <t>#112; #122 (every page)</t>
        </is>
      </c>
      <c r="M196" s="12" t="inlineStr">
        <is>
          <t>#120; #123</t>
        </is>
      </c>
      <c r="N196" s="12" t="inlineStr">
        <is>
          <t>Body text of forms, tables and policy pages is English only - thousands of strings, needs native-speaker review (GAP-015)</t>
        </is>
      </c>
      <c r="O196" s="12" t="inlineStr">
        <is>
          <t>Owner: decide on inner-page translation (Blockers #38)</t>
        </is>
      </c>
      <c r="P196" s="12" t="inlineStr">
        <is>
          <t>COMPLETED</t>
        </is>
      </c>
      <c r="Q196" s="12" t="inlineStr">
        <is>
          <t>No change</t>
        </is>
      </c>
      <c r="R196" s="12" t="inlineStr">
        <is>
          <t>src/lib/board/i18n.ts; src/server/language-action.ts</t>
        </is>
      </c>
    </row>
    <row r="197" ht="51" customFormat="1" customHeight="1" s="2">
      <c r="A197" s="10" t="n">
        <v>196</v>
      </c>
      <c r="B197" s="12" t="inlineStr">
        <is>
          <t>Delivered or started since 8 Oct</t>
        </is>
      </c>
      <c r="C197" s="9" t="inlineStr">
        <is>
          <t>NEW-048</t>
        </is>
      </c>
      <c r="D197" s="12" t="inlineStr">
        <is>
          <t>Marketing</t>
        </is>
      </c>
      <c r="E197" s="12" t="inlineStr">
        <is>
          <t>Mandatory customer referral code at sign-up, with 'ask us for a code'</t>
        </is>
      </c>
      <c r="F197" s="12" t="inlineStr">
        <is>
          <t>Customers who join on or after a set date need a referral code before their first order or subscription; they can ask GoKesari for one (duplicate requests within the window answered once).</t>
        </is>
      </c>
      <c r="G197" s="12" t="inlineStr">
        <is>
          <t>F11.2.2</t>
        </is>
      </c>
      <c r="H197" s="12" t="inlineStr">
        <is>
          <t>-</t>
        </is>
      </c>
      <c r="I197" s="10" t="inlineStr">
        <is>
          <t>COMPLETED</t>
        </is>
      </c>
      <c r="J197" s="12" t="inlineStr">
        <is>
          <t>Production - built, switched off by default</t>
        </is>
      </c>
      <c r="K197" s="12" t="inlineStr">
        <is>
          <t>Admin &gt; Referral settings: referral_required_customer = OPTIONAL on production (checked 14 Oct)</t>
        </is>
      </c>
      <c r="L197" s="12" t="inlineStr">
        <is>
          <t>#106; #109; #110</t>
        </is>
      </c>
      <c r="M197" s="12" t="inlineStr">
        <is>
          <t>#120</t>
        </is>
      </c>
      <c r="N197" s="12" t="inlineStr">
        <is>
          <t>-</t>
        </is>
      </c>
      <c r="O197" s="12" t="inlineStr">
        <is>
          <t>Set requiredFrom and switch on when codes can be issued</t>
        </is>
      </c>
      <c r="P197" s="12" t="inlineStr">
        <is>
          <t>COMPLETED</t>
        </is>
      </c>
      <c r="Q197" s="12" t="inlineStr">
        <is>
          <t>No change</t>
        </is>
      </c>
      <c r="R197" s="12" t="inlineStr">
        <is>
          <t>docs/four-features-2026-10/README.md; src/server/services/customer-signup-referrals.ts</t>
        </is>
      </c>
    </row>
    <row r="198" ht="51" customFormat="1" customHeight="1" s="2">
      <c r="A198" s="10" t="n">
        <v>197</v>
      </c>
      <c r="B198" s="12" t="inlineStr">
        <is>
          <t>Delivered or started since 8 Oct</t>
        </is>
      </c>
      <c r="C198" s="9" t="inlineStr">
        <is>
          <t>NEW-049</t>
        </is>
      </c>
      <c r="D198" s="12" t="inlineStr">
        <is>
          <t>Payments</t>
        </is>
      </c>
      <c r="E198" s="12" t="inlineStr">
        <is>
          <t>Refunds to the customer's verified bank account</t>
        </is>
      </c>
      <c r="F198" s="12" t="inlineStr">
        <is>
          <t>Refunded money (not top-ups or promotional credit) can be sent to the customer's verified bank account within 30 days; finance sends the transfer; approved legal wording on /legal/wallet-terms and /legal/refund-policy while the rule is on.</t>
        </is>
      </c>
      <c r="G198" s="12" t="inlineStr">
        <is>
          <t>F6.2.2</t>
        </is>
      </c>
      <c r="H198" s="12" t="inlineStr">
        <is>
          <t>-</t>
        </is>
      </c>
      <c r="I198" s="10" t="inlineStr">
        <is>
          <t>COMPLETED</t>
        </is>
      </c>
      <c r="J198" s="12" t="inlineStr">
        <is>
          <t>Production - built, switched off by default</t>
        </is>
      </c>
      <c r="K198" s="12" t="inlineStr">
        <is>
          <t>Off by default - rule bankRefunds.enabled = false</t>
        </is>
      </c>
      <c r="L198" s="12" t="inlineStr">
        <is>
          <t>#106; #111 (approved wording O-8)</t>
        </is>
      </c>
      <c r="M198" s="12" t="inlineStr">
        <is>
          <t>#120</t>
        </is>
      </c>
      <c r="N198" s="12" t="inlineStr">
        <is>
          <t>-</t>
        </is>
      </c>
      <c r="O198" s="12" t="inlineStr">
        <is>
          <t>Switch on with bank accounts (NEW-041)</t>
        </is>
      </c>
      <c r="P198" s="12" t="inlineStr">
        <is>
          <t>COMPLETED</t>
        </is>
      </c>
      <c r="Q198" s="12" t="inlineStr">
        <is>
          <t>No change</t>
        </is>
      </c>
      <c r="R198" s="12" t="inlineStr">
        <is>
          <t>docs/four-features-2026-10/README.md; src/server/services/bank-refunds.ts</t>
        </is>
      </c>
    </row>
    <row r="199" ht="51" customFormat="1" customHeight="1" s="2">
      <c r="A199" s="10" t="n">
        <v>198</v>
      </c>
      <c r="B199" s="12" t="inlineStr">
        <is>
          <t>Delivered or started since 8 Oct</t>
        </is>
      </c>
      <c r="C199" s="9" t="inlineStr">
        <is>
          <t>NEW-050</t>
        </is>
      </c>
      <c r="D199" s="12" t="inlineStr">
        <is>
          <t>Payments</t>
        </is>
      </c>
      <c r="E199" s="12" t="inlineStr">
        <is>
          <t>Bank account checked with the bank (Cashfree Verification Suite) instead of the Rs 1 payment</t>
        </is>
      </c>
      <c r="F199" s="12" t="inlineStr">
        <is>
          <t>When a bank account is saved, Cashfree's bank-account verification checks it is valid and whose name it is in: a match is verified at once without the Rs 1 payment; a mismatch fails with the reason. Falls back to Rs 1 when keys are missing.</t>
        </is>
      </c>
      <c r="G199" s="12" t="inlineStr">
        <is>
          <t>F10.2.6</t>
        </is>
      </c>
      <c r="H199" s="12" t="inlineStr">
        <is>
          <t>-</t>
        </is>
      </c>
      <c r="I199" s="10" t="inlineStr">
        <is>
          <t>COMPLETED</t>
        </is>
      </c>
      <c r="J199" s="12" t="inlineStr">
        <is>
          <t>Production - built, switched off by default</t>
        </is>
      </c>
      <c r="K199" s="12" t="inlineStr">
        <is>
          <t>Off by default - rule bankAccountCheck.enabled = false</t>
        </is>
      </c>
      <c r="L199" s="12" t="inlineStr">
        <is>
          <t>#115; #117 (accepts Cashfree's own key names)</t>
        </is>
      </c>
      <c r="M199" s="12" t="inlineStr">
        <is>
          <t>#120</t>
        </is>
      </c>
      <c r="N199" s="12" t="inlineStr">
        <is>
          <t>Test site showed 'Keys not found' before #117</t>
        </is>
      </c>
      <c r="O199" s="12" t="inlineStr">
        <is>
          <t>Verification Suite keys on production, then switch on</t>
        </is>
      </c>
      <c r="P199" s="12" t="inlineStr">
        <is>
          <t>COMPLETED</t>
        </is>
      </c>
      <c r="Q199" s="12" t="inlineStr">
        <is>
          <t>No change</t>
        </is>
      </c>
      <c r="R199" s="12" t="inlineStr">
        <is>
          <t>src/server/services/bank-account-check.ts; drizzle/0073_bank_account_checks.sql</t>
        </is>
      </c>
    </row>
    <row r="200" ht="99" customFormat="1" customHeight="1" s="2">
      <c r="A200" s="10" t="n">
        <v>199</v>
      </c>
      <c r="B200" s="12" t="inlineStr">
        <is>
          <t>Delivered or started since 9 Oct</t>
        </is>
      </c>
      <c r="C200" s="9" t="inlineStr">
        <is>
          <t>NEW-051</t>
        </is>
      </c>
      <c r="D200" s="12" t="inlineStr">
        <is>
          <t>Navigation / UX</t>
        </is>
      </c>
      <c r="E200" s="12" t="inlineStr">
        <is>
          <t>Tile Board everywhere: one path to every function</t>
        </is>
      </c>
      <c r="F200" s="12"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12" t="inlineStr">
        <is>
          <t>F1.3.1</t>
        </is>
      </c>
      <c r="H200" s="12" t="inlineStr">
        <is>
          <t>-</t>
        </is>
      </c>
      <c r="I200" s="10" t="inlineStr">
        <is>
          <t>COMPLETED</t>
        </is>
      </c>
      <c r="J200" s="12" t="inlineStr">
        <is>
          <t>Production (gokesari.com)</t>
        </is>
      </c>
      <c r="K200" s="12" t="inlineStr">
        <is>
          <t>Live</t>
        </is>
      </c>
      <c r="L200" s="12" t="inlineStr">
        <is>
          <t>#122</t>
        </is>
      </c>
      <c r="M200" s="12" t="inlineStr">
        <is>
          <t>#123</t>
        </is>
      </c>
      <c r="N200" s="12" t="inlineStr">
        <is>
          <t>1-3 submenu labels hidden on boards at 320x640 (accepted limit, DT-12)</t>
        </is>
      </c>
      <c r="O200" s="12" t="inlineStr">
        <is>
          <t>-</t>
        </is>
      </c>
      <c r="P200" s="12" t="inlineStr">
        <is>
          <t>COMPLETED</t>
        </is>
      </c>
      <c r="Q200" s="12" t="inlineStr">
        <is>
          <t>No change</t>
        </is>
      </c>
      <c r="R200" s="12" t="inlineStr">
        <is>
          <t>docs/tile-board-2026-10/UI_PASS_2026-10-09.md; src/lib/board/menus.ts; src/app/admin/menu/[key]; src/app/shop/menu/[key]; tests/unit/tile-board.test.ts</t>
        </is>
      </c>
    </row>
    <row r="201" ht="87" customFormat="1" customHeight="1" s="2">
      <c r="A201" s="10" t="n">
        <v>200</v>
      </c>
      <c r="B201" s="12" t="inlineStr">
        <is>
          <t>Delivered or started since 9 Oct</t>
        </is>
      </c>
      <c r="C201" s="9" t="inlineStr">
        <is>
          <t>NEW-052</t>
        </is>
      </c>
      <c r="D201" s="12" t="inlineStr">
        <is>
          <t>Navigation / UX</t>
        </is>
      </c>
      <c r="E201" s="12" t="inlineStr">
        <is>
          <t>Status tabs and paging on lists; one screen per view on the longest pages</t>
        </is>
      </c>
      <c r="F201" s="12"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12" t="inlineStr">
        <is>
          <t>-</t>
        </is>
      </c>
      <c r="H201" s="12" t="inlineStr">
        <is>
          <t>-</t>
        </is>
      </c>
      <c r="I201" s="10" t="inlineStr">
        <is>
          <t>COMPLETED</t>
        </is>
      </c>
      <c r="J201" s="12" t="inlineStr">
        <is>
          <t>Production (gokesari.com)</t>
        </is>
      </c>
      <c r="K201" s="12" t="inlineStr">
        <is>
          <t>Live</t>
        </is>
      </c>
      <c r="L201" s="12" t="inlineStr">
        <is>
          <t>#122; #124</t>
        </is>
      </c>
      <c r="M201" s="12" t="inlineStr">
        <is>
          <t>#123; #126</t>
        </is>
      </c>
      <c r="N201" s="12" t="inlineStr">
        <is>
          <t>38 second-level pages still run over 3 phone screens (median 2.2 screens)</t>
        </is>
      </c>
      <c r="O201" s="12" t="inlineStr">
        <is>
          <t>-</t>
        </is>
      </c>
      <c r="P201" s="12" t="inlineStr">
        <is>
          <t>COMPLETED</t>
        </is>
      </c>
      <c r="Q201" s="12" t="inlineStr">
        <is>
          <t>No change</t>
        </is>
      </c>
      <c r="R201" s="12" t="inlineStr">
        <is>
          <t>src/lib/board/status-groups.ts; src/components/board/list-tabs.tsx; src/components/board/section-tabs.tsx</t>
        </is>
      </c>
    </row>
    <row r="202" ht="51" customFormat="1" customHeight="1" s="2">
      <c r="A202" s="10" t="n">
        <v>201</v>
      </c>
      <c r="B202" s="12" t="inlineStr">
        <is>
          <t>Delivered or started since 9 Oct</t>
        </is>
      </c>
      <c r="C202" s="9" t="inlineStr">
        <is>
          <t>NEW-053</t>
        </is>
      </c>
      <c r="D202" s="12" t="inlineStr">
        <is>
          <t>Navigation / UX</t>
        </is>
      </c>
      <c r="E202" s="12" t="inlineStr">
        <is>
          <t>Error, not-found and offline screens; progress bar; confirm before destructive actions</t>
        </is>
      </c>
      <c r="F202" s="12" t="inlineStr">
        <is>
          <t>Error and not-found screens in the user's language with Try again / Back to board; offline banner; navigation progress bar from the tap; inline 'Yes / Keep' confirmation before deleting an address, cancelling an order and cancel-and-refund.</t>
        </is>
      </c>
      <c r="G202" s="12" t="inlineStr">
        <is>
          <t>-</t>
        </is>
      </c>
      <c r="H202" s="12" t="inlineStr">
        <is>
          <t>-</t>
        </is>
      </c>
      <c r="I202" s="10" t="inlineStr">
        <is>
          <t>COMPLETED</t>
        </is>
      </c>
      <c r="J202" s="12" t="inlineStr">
        <is>
          <t>Production (gokesari.com)</t>
        </is>
      </c>
      <c r="K202" s="12" t="inlineStr">
        <is>
          <t>Live</t>
        </is>
      </c>
      <c r="L202" s="12" t="inlineStr">
        <is>
          <t>#122</t>
        </is>
      </c>
      <c r="M202" s="12" t="inlineStr">
        <is>
          <t>#123</t>
        </is>
      </c>
      <c r="N202" s="12" t="inlineStr">
        <is>
          <t>-</t>
        </is>
      </c>
      <c r="O202" s="12" t="inlineStr">
        <is>
          <t>-</t>
        </is>
      </c>
      <c r="P202" s="12" t="inlineStr">
        <is>
          <t>COMPLETED</t>
        </is>
      </c>
      <c r="Q202" s="12" t="inlineStr">
        <is>
          <t>No change</t>
        </is>
      </c>
      <c r="R202" s="12" t="inlineStr">
        <is>
          <t>src/app/error.tsx; src/app/not-found.tsx; src/components/board/offline-banner.tsx; src/components/board/navigation-feedback.tsx; src/components/confirm-button.tsx</t>
        </is>
      </c>
    </row>
    <row r="203" ht="51" customFormat="1" customHeight="1" s="2">
      <c r="A203" s="10" t="n">
        <v>202</v>
      </c>
      <c r="B203" s="12" t="inlineStr">
        <is>
          <t>Delivered or started since 9 Oct</t>
        </is>
      </c>
      <c r="C203" s="9" t="inlineStr">
        <is>
          <t>NEW-054</t>
        </is>
      </c>
      <c r="D203" s="12" t="inlineStr">
        <is>
          <t>Navigation / UX</t>
        </is>
      </c>
      <c r="E203" s="12" t="inlineStr">
        <is>
          <t>Accessibility pass: touch targets, text size, contrast</t>
        </is>
      </c>
      <c r="F203" s="12"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12" t="inlineStr">
        <is>
          <t>-</t>
        </is>
      </c>
      <c r="H203" s="12" t="inlineStr">
        <is>
          <t>-</t>
        </is>
      </c>
      <c r="I203" s="10" t="inlineStr">
        <is>
          <t>COMPLETED</t>
        </is>
      </c>
      <c r="J203" s="12" t="inlineStr">
        <is>
          <t>Production (gokesari.com)</t>
        </is>
      </c>
      <c r="K203" s="12" t="inlineStr">
        <is>
          <t>Live</t>
        </is>
      </c>
      <c r="L203" s="12" t="inlineStr">
        <is>
          <t>#122; #124</t>
        </is>
      </c>
      <c r="M203" s="12" t="inlineStr">
        <is>
          <t>#123; #126</t>
        </is>
      </c>
      <c r="N203" s="12" t="inlineStr">
        <is>
          <t>347 targets under 44 px remain on older pages (mostly tick boxes inside 44 px labels); body text 12-14 px against a 14 px target</t>
        </is>
      </c>
      <c r="O203" s="12" t="inlineStr">
        <is>
          <t>-</t>
        </is>
      </c>
      <c r="P203" s="12" t="inlineStr">
        <is>
          <t>COMPLETED</t>
        </is>
      </c>
      <c r="Q203" s="12" t="inlineStr">
        <is>
          <t>No change</t>
        </is>
      </c>
      <c r="R203" s="12" t="inlineStr">
        <is>
          <t>src/app/globals.css; src/components/ui.tsx; GoKesari_UI_Issue_Register_2026-10-09.xlsx (USA-02, USA-04, DT-14)</t>
        </is>
      </c>
    </row>
    <row r="204" ht="51" customFormat="1" customHeight="1" s="2">
      <c r="A204" s="10" t="n">
        <v>203</v>
      </c>
      <c r="B204" s="12" t="inlineStr">
        <is>
          <t>Delivered or started since 9 Oct</t>
        </is>
      </c>
      <c r="C204" s="9" t="inlineStr">
        <is>
          <t>NEW-055</t>
        </is>
      </c>
      <c r="D204" s="12" t="inlineStr">
        <is>
          <t>Catalogue / UX</t>
        </is>
      </c>
      <c r="E204" s="12" t="inlineStr">
        <is>
          <t>Product cards and shop page for phones</t>
        </is>
      </c>
      <c r="F204" s="12" t="inlineStr">
        <is>
          <t>Two products a row on phones (compact card: one Add, then -/+ stepper); category pictures for products without a photo; one price-unit wording ('/ L', '/ kg', 'each', 'per pack'); quieter Closed pill; searchable picture category tiles; shop page shows products first.</t>
        </is>
      </c>
      <c r="G204" s="12" t="inlineStr">
        <is>
          <t>F1.4.1</t>
        </is>
      </c>
      <c r="H204" s="12" t="inlineStr">
        <is>
          <t>-</t>
        </is>
      </c>
      <c r="I204" s="10" t="inlineStr">
        <is>
          <t>COMPLETED</t>
        </is>
      </c>
      <c r="J204" s="12" t="inlineStr">
        <is>
          <t>Production (gokesari.com)</t>
        </is>
      </c>
      <c r="K204" s="12" t="inlineStr">
        <is>
          <t>Live</t>
        </is>
      </c>
      <c r="L204" s="12" t="inlineStr">
        <is>
          <t>#122</t>
        </is>
      </c>
      <c r="M204" s="12" t="inlineStr">
        <is>
          <t>#123</t>
        </is>
      </c>
      <c r="N204" s="12" t="inlineStr">
        <is>
          <t>Shop cards all show the same icon until shops upload photos (AUD-05b); Add and Subscribe on two rows when subscriptions are off (AUD-14)</t>
        </is>
      </c>
      <c r="O204" s="12" t="inlineStr">
        <is>
          <t>-</t>
        </is>
      </c>
      <c r="P204" s="12" t="inlineStr">
        <is>
          <t>COMPLETED</t>
        </is>
      </c>
      <c r="Q204" s="12" t="inlineStr">
        <is>
          <t>No change</t>
        </is>
      </c>
      <c r="R204" s="12" t="inlineStr">
        <is>
          <t>src/components/product-card.tsx; src/lib/board/product-look.ts; src/components/category-finder.tsx</t>
        </is>
      </c>
    </row>
    <row r="205" ht="39" customFormat="1" customHeight="1" s="2">
      <c r="A205" s="10" t="n">
        <v>204</v>
      </c>
      <c r="B205" s="12" t="inlineStr">
        <is>
          <t>Delivered or started since 9 Oct</t>
        </is>
      </c>
      <c r="C205" s="9" t="inlineStr">
        <is>
          <t>NEW-056</t>
        </is>
      </c>
      <c r="D205" s="12" t="inlineStr">
        <is>
          <t>Identity &amp; Access</t>
        </is>
      </c>
      <c r="E205" s="12" t="inlineStr">
        <is>
          <t>Sign-in: one Terms &amp; Privacy box instead of three</t>
        </is>
      </c>
      <c r="F205" s="12" t="inlineStr">
        <is>
          <t>One 'I agree to the Terms &amp; Conditions and Privacy Policy' box under the intro on /signin; until it is ticked Continue with Google, Get code and Email me a link stay disabled (with a readable disabled state).</t>
        </is>
      </c>
      <c r="G205" s="12" t="inlineStr">
        <is>
          <t>F1.1.1</t>
        </is>
      </c>
      <c r="H205" s="12" t="inlineStr">
        <is>
          <t>-</t>
        </is>
      </c>
      <c r="I205" s="10" t="inlineStr">
        <is>
          <t>COMPLETED</t>
        </is>
      </c>
      <c r="J205" s="12" t="inlineStr">
        <is>
          <t>Production (gokesari.com)</t>
        </is>
      </c>
      <c r="K205" s="12" t="inlineStr">
        <is>
          <t>Live</t>
        </is>
      </c>
      <c r="L205" s="12" t="inlineStr">
        <is>
          <t>#121</t>
        </is>
      </c>
      <c r="M205" s="12" t="inlineStr">
        <is>
          <t>#123</t>
        </is>
      </c>
      <c r="N205" s="12" t="inlineStr">
        <is>
          <t>-</t>
        </is>
      </c>
      <c r="O205" s="12" t="inlineStr">
        <is>
          <t>-</t>
        </is>
      </c>
      <c r="P205" s="12" t="inlineStr">
        <is>
          <t>COMPLETED</t>
        </is>
      </c>
      <c r="Q205" s="12" t="inlineStr">
        <is>
          <t>No change</t>
        </is>
      </c>
      <c r="R205" s="12" t="inlineStr">
        <is>
          <t>src/app/signin</t>
        </is>
      </c>
    </row>
    <row r="206" ht="63" customFormat="1" customHeight="1" s="2">
      <c r="A206" s="10" t="n">
        <v>205</v>
      </c>
      <c r="B206" s="12" t="inlineStr">
        <is>
          <t>Delivered or started since 10 Oct</t>
        </is>
      </c>
      <c r="C206" s="9" t="inlineStr">
        <is>
          <t>NEW-057</t>
        </is>
      </c>
      <c r="D206" s="12" t="inlineStr">
        <is>
          <t>Location</t>
        </is>
      </c>
      <c r="E206" s="12" t="inlineStr">
        <is>
          <t>Nearby shops from the real location (/shops/nearby)</t>
        </is>
      </c>
      <c r="F206" s="12" t="inlineStr">
        <is>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is>
      </c>
      <c r="G206" s="12" t="inlineStr">
        <is>
          <t>F1.3.4</t>
        </is>
      </c>
      <c r="H206" s="12" t="inlineStr">
        <is>
          <t>-</t>
        </is>
      </c>
      <c r="I206" s="10" t="inlineStr">
        <is>
          <t>COMPLETED</t>
        </is>
      </c>
      <c r="J206" s="12" t="inlineStr">
        <is>
          <t>Production (gokesari.com)</t>
        </is>
      </c>
      <c r="K206" s="12" t="inlineStr">
        <is>
          <t>Live (no rule; needs the Maps keys)</t>
        </is>
      </c>
      <c r="L206" s="12" t="inlineStr">
        <is>
          <t>#133; #136 (PIN box after 12 s)</t>
        </is>
      </c>
      <c r="M206" s="12" t="inlineStr">
        <is>
          <t>#135</t>
        </is>
      </c>
      <c r="N206" s="12" t="inlineStr">
        <is>
          <t>Tap Directions once on a real phone (N-3); 2 original production shops have no map location (Asmy super market x2)</t>
        </is>
      </c>
      <c r="O206" s="12" t="inlineStr">
        <is>
          <t>Owner: add the two shops' locations (Admin &gt; Shops &gt; Shops without location)</t>
        </is>
      </c>
      <c r="P206" s="12" t="inlineStr">
        <is>
          <t>COMPLETED</t>
        </is>
      </c>
      <c r="Q206" s="12" t="inlineStr">
        <is>
          <t>No change</t>
        </is>
      </c>
      <c r="R206" s="12" t="inlineStr">
        <is>
          <t>docs/nearby-referral-2026-10/README.md; TEST_RESULTS.md; src/app/shops/nearby/</t>
        </is>
      </c>
    </row>
    <row r="207" ht="63" customFormat="1" customHeight="1" s="2">
      <c r="A207" s="10" t="n">
        <v>206</v>
      </c>
      <c r="B207" s="12" t="inlineStr">
        <is>
          <t>Delivered or started since 10 Oct</t>
        </is>
      </c>
      <c r="C207" s="9" t="inlineStr">
        <is>
          <t>NEW-058</t>
        </is>
      </c>
      <c r="D207" s="12" t="inlineStr">
        <is>
          <t>Identity &amp; Access</t>
        </is>
      </c>
      <c r="E207" s="12" t="inlineStr">
        <is>
          <t>Referral code Mandatory / Optional set by admin (customers and shops)</t>
        </is>
      </c>
      <c r="F207" s="12" t="inlineStr">
        <is>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is>
      </c>
      <c r="G207" s="12" t="inlineStr">
        <is>
          <t>F8.1.4, F1.1.3</t>
        </is>
      </c>
      <c r="H207" s="12" t="inlineStr">
        <is>
          <t>-</t>
        </is>
      </c>
      <c r="I207" s="10" t="inlineStr">
        <is>
          <t>COMPLETED</t>
        </is>
      </c>
      <c r="J207" s="12" t="inlineStr">
        <is>
          <t>Production (gokesari.com)</t>
        </is>
      </c>
      <c r="K207" s="12" t="inlineStr">
        <is>
          <t>Live - both OPTIONAL on production (checked 14 Oct: /api/referral-settings)</t>
        </is>
      </c>
      <c r="L207" s="12" t="inlineStr">
        <is>
          <t>#133</t>
        </is>
      </c>
      <c r="M207" s="12" t="inlineStr">
        <is>
          <t>#135</t>
        </is>
      </c>
      <c r="N207" s="12" t="inlineStr">
        <is>
          <t>Paid self-registration without a code not run on test (no SMS provider, N-2); owner to look at the admin page on production</t>
        </is>
      </c>
      <c r="O207" s="12" t="inlineStr">
        <is>
          <t>-</t>
        </is>
      </c>
      <c r="P207" s="12" t="inlineStr">
        <is>
          <t>COMPLETED</t>
        </is>
      </c>
      <c r="Q207" s="12" t="inlineStr">
        <is>
          <t>No change</t>
        </is>
      </c>
      <c r="R207" s="12" t="inlineStr">
        <is>
          <t>docs/nearby-referral-2026-10/README.md; TEST_RESULTS.md; drizzle/0074_referral_settings.sql</t>
        </is>
      </c>
    </row>
    <row r="208" ht="39" customFormat="1" customHeight="1" s="2">
      <c r="A208" s="10" t="n">
        <v>207</v>
      </c>
      <c r="B208" s="12" t="inlineStr">
        <is>
          <t>Delivered or started since 10 Oct</t>
        </is>
      </c>
      <c r="C208" s="9" t="inlineStr">
        <is>
          <t>NEW-059</t>
        </is>
      </c>
      <c r="D208" s="12" t="inlineStr">
        <is>
          <t>Shop Onboarding</t>
        </is>
      </c>
      <c r="E208" s="12" t="inlineStr">
        <is>
          <t>Admin 'Shops without location' list and coordinates backfill</t>
        </is>
      </c>
      <c r="F208" s="12" t="inlineStr">
        <is>
          <t>Admin &gt; Shops &gt; Shops without location (/admin/shops/missing-location, admin and operator, CSV download) lists shops Nearby cannot place; scripts/backfill-shop-coordinates.ts fills coordinates from addresses.</t>
        </is>
      </c>
      <c r="G208" s="12" t="inlineStr">
        <is>
          <t>F1.3.4</t>
        </is>
      </c>
      <c r="H208" s="12" t="inlineStr">
        <is>
          <t>-</t>
        </is>
      </c>
      <c r="I208" s="10" t="inlineStr">
        <is>
          <t>COMPLETED</t>
        </is>
      </c>
      <c r="J208" s="12" t="inlineStr">
        <is>
          <t>Production (gokesari.com)</t>
        </is>
      </c>
      <c r="K208" s="12" t="inlineStr">
        <is>
          <t>Live</t>
        </is>
      </c>
      <c r="L208" s="12" t="inlineStr">
        <is>
          <t>#133</t>
        </is>
      </c>
      <c r="M208" s="12" t="inlineStr">
        <is>
          <t>#135</t>
        </is>
      </c>
      <c r="N208" s="12" t="inlineStr">
        <is>
          <t>Production had 0 shops with coordinates before the 13 Oct copy; 2 original shops still have none</t>
        </is>
      </c>
      <c r="O208" s="12" t="inlineStr">
        <is>
          <t>-</t>
        </is>
      </c>
      <c r="P208" s="12" t="inlineStr">
        <is>
          <t>COMPLETED</t>
        </is>
      </c>
      <c r="Q208" s="12" t="inlineStr">
        <is>
          <t>No change</t>
        </is>
      </c>
      <c r="R208" s="12" t="inlineStr">
        <is>
          <t>docs/nearby-referral-2026-10/README.md; TEST_RESULTS.md</t>
        </is>
      </c>
    </row>
    <row r="209" ht="75" customFormat="1" customHeight="1" s="2">
      <c r="A209" s="10" t="n">
        <v>208</v>
      </c>
      <c r="B209" s="12" t="inlineStr">
        <is>
          <t>Delivered or started since 10 Oct</t>
        </is>
      </c>
      <c r="C209" s="9" t="inlineStr">
        <is>
          <t>NEW-060</t>
        </is>
      </c>
      <c r="D209" s="12" t="inlineStr">
        <is>
          <t>Shop Onboarding</t>
        </is>
      </c>
      <c r="E209" s="12" t="inlineStr">
        <is>
          <t>GoKesari Seller Central (shop owner workspace) and the 'Sell on GoKesari' page (/sell)</t>
        </is>
      </c>
      <c r="F209" s="12" t="inlineStr">
        <is>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is>
      </c>
      <c r="G209" s="12" t="inlineStr">
        <is>
          <t>F8.4.3</t>
        </is>
      </c>
      <c r="H209" s="12" t="inlineStr">
        <is>
          <t>-</t>
        </is>
      </c>
      <c r="I209" s="10" t="inlineStr">
        <is>
          <t>COMPLETED</t>
        </is>
      </c>
      <c r="J209" s="12" t="inlineStr">
        <is>
          <t>Production (gokesari.com)</t>
        </is>
      </c>
      <c r="K209" s="12" t="inlineStr">
        <is>
          <t>Live</t>
        </is>
      </c>
      <c r="L209" s="12" t="inlineStr">
        <is>
          <t>#142</t>
        </is>
      </c>
      <c r="M209" s="12" t="inlineStr">
        <is>
          <t>#143</t>
        </is>
      </c>
      <c r="N209" s="12" t="inlineStr">
        <is>
          <t>No staging or production browser run recorded (only local: 1,702 tests, 10 manual checks)</t>
        </is>
      </c>
      <c r="O209" s="12" t="inlineStr">
        <is>
          <t>Record a browser run on test / production</t>
        </is>
      </c>
      <c r="P209" s="12" t="inlineStr">
        <is>
          <t>COMPLETED</t>
        </is>
      </c>
      <c r="Q209" s="12" t="inlineStr">
        <is>
          <t>No change</t>
        </is>
      </c>
      <c r="R209" s="12" t="inlineStr">
        <is>
          <t>docs/seller-central-2026-10/README.md; TEST_RESULTS.md</t>
        </is>
      </c>
    </row>
    <row r="210" ht="87" customFormat="1" customHeight="1" s="2">
      <c r="A210" s="10" t="n">
        <v>209</v>
      </c>
      <c r="B210" s="12" t="inlineStr">
        <is>
          <t>Delivered or started since 10 Oct</t>
        </is>
      </c>
      <c r="C210" s="9" t="inlineStr">
        <is>
          <t>NEW-062</t>
        </is>
      </c>
      <c r="D210" s="12" t="inlineStr">
        <is>
          <t>Shop Onboarding</t>
        </is>
      </c>
      <c r="E210" s="12" t="inlineStr">
        <is>
          <t>Document upload with auto-read (file or camera), review and Verify &amp; Approve</t>
        </is>
      </c>
      <c r="F210" s="12" t="inlineStr">
        <is>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is>
      </c>
      <c r="G210" s="12" t="inlineStr">
        <is>
          <t>F8.2.6</t>
        </is>
      </c>
      <c r="H210" s="12" t="inlineStr">
        <is>
          <t>-</t>
        </is>
      </c>
      <c r="I210" s="10" t="inlineStr">
        <is>
          <t>COMPLETED</t>
        </is>
      </c>
      <c r="J210" s="12" t="inlineStr">
        <is>
          <t>Production (gokesari.com)</t>
        </is>
      </c>
      <c r="K210" s="12" t="inlineStr">
        <is>
          <t>Live - rule documentUpload.enabled = on; photos read in the owner's browser (DOCUMENT_OCR_BROWSER on by default; 'off' = server only)</t>
        </is>
      </c>
      <c r="L210" s="12" t="inlineStr">
        <is>
          <t>#146; #147 (25 s limit, 'type the details', health check); #148 (OCR engine shipped); #169 (photos read in the owner's browser)</t>
        </is>
      </c>
      <c r="M210" s="12" t="inlineStr">
        <is>
          <t>#149; #175 (#169 cherry-picked); #177 (same commit, no change)</t>
        </is>
      </c>
      <c r="N210" s="12" t="inlineStr">
        <is>
          <t>Scanned PDFs without a text layer still ask for a photo. iOS before 16 falls back to the server reader (owner types the details). No real owner upload on production recorded yet</t>
        </is>
      </c>
      <c r="O210" s="12" t="inlineStr">
        <is>
          <t>-</t>
        </is>
      </c>
      <c r="P210" s="12" t="inlineStr">
        <is>
          <t>COMPLETED</t>
        </is>
      </c>
      <c r="Q210" s="12" t="inlineStr">
        <is>
          <t>No change</t>
        </is>
      </c>
      <c r="R210" s="12" t="inlineStr">
        <is>
          <t>docs/document-upload-2026-10/TEST_RESULTS.md (PR #178)</t>
        </is>
      </c>
    </row>
    <row r="211" ht="39" customFormat="1" customHeight="1" s="2">
      <c r="A211" s="10" t="n">
        <v>210</v>
      </c>
      <c r="B211" s="12" t="inlineStr">
        <is>
          <t>Delivered or started since 10 Oct</t>
        </is>
      </c>
      <c r="C211" s="9" t="inlineStr">
        <is>
          <t>NEW-063</t>
        </is>
      </c>
      <c r="D211" s="12" t="inlineStr">
        <is>
          <t>Shop Onboarding</t>
        </is>
      </c>
      <c r="E211" s="12" t="inlineStr">
        <is>
          <t>FSSAI licence mandatory for food shops</t>
        </is>
      </c>
      <c r="F211" s="12" t="inlineStr">
        <is>
          <t>A food shop (food shop type or a food-aisle category) cannot be approved, or finish its self-registration profile, without an unexpired FSSAI licence on file. Shops already approved are not re-checked.</t>
        </is>
      </c>
      <c r="G211" s="12" t="inlineStr">
        <is>
          <t>F8.2.7</t>
        </is>
      </c>
      <c r="H211" s="12" t="inlineStr">
        <is>
          <t>-</t>
        </is>
      </c>
      <c r="I211" s="10" t="inlineStr">
        <is>
          <t>COMPLETED</t>
        </is>
      </c>
      <c r="J211" s="12" t="inlineStr">
        <is>
          <t>Production (gokesari.com)</t>
        </is>
      </c>
      <c r="K211" s="12" t="inlineStr">
        <is>
          <t>Live - rule documentUpload.fssaiMandatoryForFood = on</t>
        </is>
      </c>
      <c r="L211" s="12" t="inlineStr">
        <is>
          <t>#146</t>
        </is>
      </c>
      <c r="M211" s="12" t="inlineStr">
        <is>
          <t>#149</t>
        </is>
      </c>
      <c r="N211" s="12" t="inlineStr">
        <is>
          <t>-</t>
        </is>
      </c>
      <c r="O211" s="12" t="inlineStr">
        <is>
          <t>-</t>
        </is>
      </c>
      <c r="P211" s="12" t="inlineStr">
        <is>
          <t>COMPLETED</t>
        </is>
      </c>
      <c r="Q211" s="12" t="inlineStr">
        <is>
          <t>No change</t>
        </is>
      </c>
      <c r="R211" s="12" t="inlineStr">
        <is>
          <t>docs/document-upload-2026-10/README.md; TEST_RESULTS.md</t>
        </is>
      </c>
    </row>
    <row r="212" ht="51" customFormat="1" customHeight="1" s="2">
      <c r="A212" s="10" t="n">
        <v>211</v>
      </c>
      <c r="B212" s="12" t="inlineStr">
        <is>
          <t>Delivered or started since 10 Oct</t>
        </is>
      </c>
      <c r="C212" s="9" t="inlineStr">
        <is>
          <t>NEW-064</t>
        </is>
      </c>
      <c r="D212" s="12" t="inlineStr">
        <is>
          <t>Branding</t>
        </is>
      </c>
      <c r="E212" s="12" t="inlineStr">
        <is>
          <t>Compact footer and saffron GoKesari wordmark (site, Seller Central, sign-in, emails)</t>
        </is>
      </c>
      <c r="F212" s="12" t="inlineStr">
        <is>
          <t>Amazon-style compact footer; one wordmark component in the site and board headers, footer, sign-in, Seller Central and /sell, matched in emails. 'Go' and 'Kesari' saffron with bold G and K and a saffron tagline (#153); no stray '·' at the start of a wrapped footer line on phones (#150).</t>
        </is>
      </c>
      <c r="G212" s="12" t="inlineStr">
        <is>
          <t>-</t>
        </is>
      </c>
      <c r="H212" s="12" t="inlineStr">
        <is>
          <t>-</t>
        </is>
      </c>
      <c r="I212" s="10" t="inlineStr">
        <is>
          <t>COMPLETED</t>
        </is>
      </c>
      <c r="J212" s="12" t="inlineStr">
        <is>
          <t>Production (gokesari.com)</t>
        </is>
      </c>
      <c r="K212" s="12" t="inlineStr">
        <is>
          <t>Live</t>
        </is>
      </c>
      <c r="L212" s="12" t="inlineStr">
        <is>
          <t>#146; #150 (footer dot); #153 (saffron)</t>
        </is>
      </c>
      <c r="M212" s="12" t="inlineStr">
        <is>
          <t>#149; #151; #157</t>
        </is>
      </c>
      <c r="N212" s="12" t="inlineStr">
        <is>
          <t>No staging / production run recorded after the saffron change (#153)</t>
        </is>
      </c>
      <c r="O212" s="12" t="inlineStr">
        <is>
          <t>-</t>
        </is>
      </c>
      <c r="P212" s="12" t="inlineStr">
        <is>
          <t>COMPLETED</t>
        </is>
      </c>
      <c r="Q212" s="12" t="inlineStr">
        <is>
          <t>No change</t>
        </is>
      </c>
      <c r="R212" s="12" t="inlineStr">
        <is>
          <t>src/components/brand-wordmark.tsx; src/server/email/brand.ts</t>
        </is>
      </c>
    </row>
    <row r="213" ht="39" customFormat="1" customHeight="1" s="2">
      <c r="A213" s="10" t="n">
        <v>212</v>
      </c>
      <c r="B213" s="12" t="inlineStr">
        <is>
          <t>Delivered or started since 10 Oct</t>
        </is>
      </c>
      <c r="C213" s="9" t="inlineStr">
        <is>
          <t>NEW-065</t>
        </is>
      </c>
      <c r="D213" s="12" t="inlineStr">
        <is>
          <t>Marketing</t>
        </is>
      </c>
      <c r="E213" s="12" t="inlineStr">
        <is>
          <t>Fix: Admin &gt; Referral codes showed 0 shops (Societies showed 0 members)</t>
        </is>
      </c>
      <c r="F213" s="12" t="inlineStr">
        <is>
          <t>Counts in the referral-codes and societies lists use correct correlated subqueries (Drizzle bare-id bug).</t>
        </is>
      </c>
      <c r="G213" s="12" t="inlineStr">
        <is>
          <t>-</t>
        </is>
      </c>
      <c r="H213" s="12" t="inlineStr">
        <is>
          <t>-</t>
        </is>
      </c>
      <c r="I213" s="10" t="inlineStr">
        <is>
          <t>COMPLETED</t>
        </is>
      </c>
      <c r="J213" s="12" t="inlineStr">
        <is>
          <t>Production (gokesari.com)</t>
        </is>
      </c>
      <c r="K213" s="12" t="inlineStr">
        <is>
          <t>Live</t>
        </is>
      </c>
      <c r="L213" s="12" t="inlineStr">
        <is>
          <t>#138</t>
        </is>
      </c>
      <c r="M213" s="12" t="inlineStr">
        <is>
          <t>#139</t>
        </is>
      </c>
      <c r="N213" s="12" t="inlineStr">
        <is>
          <t>The same bug pattern remains in rider reliability and the integrations 'listed' flag (GAP-016)</t>
        </is>
      </c>
      <c r="O213" s="12" t="inlineStr">
        <is>
          <t>-</t>
        </is>
      </c>
      <c r="P213" s="12" t="inlineStr">
        <is>
          <t>COMPLETED</t>
        </is>
      </c>
      <c r="Q213" s="12" t="inlineStr">
        <is>
          <t>No change</t>
        </is>
      </c>
      <c r="R213" s="12" t="inlineStr">
        <is>
          <t>src/server/services/referrals.ts; src/server/services/societies.ts</t>
        </is>
      </c>
    </row>
    <row r="214" ht="63" customFormat="1" customHeight="1" s="2">
      <c r="A214" s="10" t="n">
        <v>213</v>
      </c>
      <c r="B214" s="12" t="inlineStr">
        <is>
          <t>Delivered or started since 14 Oct</t>
        </is>
      </c>
      <c r="C214" s="9" t="inlineStr">
        <is>
          <t>NEW-066</t>
        </is>
      </c>
      <c r="D214" s="12" t="inlineStr">
        <is>
          <t>Shop Onboarding</t>
        </is>
      </c>
      <c r="E214" s="12" t="inlineStr">
        <is>
          <t>Seller Central shop switcher for owners with several shops</t>
        </is>
      </c>
      <c r="F214" s="12" t="inlineStr">
        <is>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is>
      </c>
      <c r="G214" s="12" t="inlineStr">
        <is>
          <t>F8.4.4</t>
        </is>
      </c>
      <c r="H214" s="12" t="inlineStr">
        <is>
          <t>-</t>
        </is>
      </c>
      <c r="I214" s="10" t="inlineStr">
        <is>
          <t>COMPLETED</t>
        </is>
      </c>
      <c r="J214" s="12" t="inlineStr">
        <is>
          <t>Production (gokesari.com)</t>
        </is>
      </c>
      <c r="K214" s="12" t="inlineStr">
        <is>
          <t>Live (no rule)</t>
        </is>
      </c>
      <c r="L214" s="12" t="inlineStr">
        <is>
          <t>#168</t>
        </is>
      </c>
      <c r="M214" s="12" t="inlineStr">
        <is>
          <t>#175 (15 Oct, live 14:43 UTC)</t>
        </is>
      </c>
      <c r="N214" s="12" t="inlineStr">
        <is>
          <t>Not yet seen signed in on production (needs an owner with two or more shops)</t>
        </is>
      </c>
      <c r="O214" s="12" t="inlineStr">
        <is>
          <t>-</t>
        </is>
      </c>
      <c r="P214" s="12" t="inlineStr">
        <is>
          <t>COMPLETED</t>
        </is>
      </c>
      <c r="Q214" s="12" t="inlineStr">
        <is>
          <t>No change</t>
        </is>
      </c>
      <c r="R214" s="12" t="inlineStr">
        <is>
          <t>docs/order-lifecycle-2026-10/TEST_RESULTS_STAGING_2026-10-14.md; src/components/seller/shop-switcher.tsx; src/lib/seller/active-shop.ts</t>
        </is>
      </c>
    </row>
    <row r="215" ht="147" customFormat="1" customHeight="1" s="2">
      <c r="A215" s="10" t="n">
        <v>214</v>
      </c>
      <c r="B215" s="12" t="inlineStr">
        <is>
          <t>Delivered or started since 14 Oct</t>
        </is>
      </c>
      <c r="C215" s="9" t="inlineStr">
        <is>
          <t>NEW-067</t>
        </is>
      </c>
      <c r="D215" s="12" t="inlineStr">
        <is>
          <t>Inventory</t>
        </is>
      </c>
      <c r="E215" s="12" t="inlineStr">
        <is>
          <t>Inventory &amp; Accounting for shop owners (/shop/accounts): stock ledger, books, GST returns, supplier bill capture</t>
        </is>
      </c>
      <c r="F215" s="12" t="inlineStr">
        <is>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is>
      </c>
      <c r="G215" s="12" t="inlineStr">
        <is>
          <t>F9.2.7</t>
        </is>
      </c>
      <c r="H215" s="12" t="inlineStr">
        <is>
          <t>-</t>
        </is>
      </c>
      <c r="I215" s="10" t="inlineStr">
        <is>
          <t>COMPLETED</t>
        </is>
      </c>
      <c r="J215" s="12" t="inlineStr">
        <is>
          <t>Production (gokesari.com)</t>
        </is>
      </c>
      <c r="K215" s="12" t="inlineStr">
        <is>
          <t>Live (shop owners: Inventory -&gt; Bills &amp; GST); GST portal link off on production (file upload), AI bill reading off</t>
        </is>
      </c>
      <c r="L215" s="12" t="inlineStr">
        <is>
          <t>#171; #172 (fixes: GST queries, cancel = SALE_RETURN 0078, share redirect)</t>
        </is>
      </c>
      <c r="M215" s="12" t="inlineStr">
        <is>
          <t>#179 (release, acfaa6a; migrations 0076-0078)</t>
        </is>
      </c>
      <c r="N215" s="12" t="inlineStr">
        <is>
          <t>Licensed GSP for live GSTR-2B/1 pull (IA-022); AI reading of photos / Hindi-Marathi / handwriting (IA-034, IA-039); bill forwarding by email (IA-032); native share intent in the store apps (IA-031); S3 bucket (IA-049). See sheet 'Inventory &amp; Accounting'.</t>
        </is>
      </c>
      <c r="O215" s="12" t="inlineStr">
        <is>
          <t>Owner: replace INTEGRATION_ENCRYPTION_KEY on test and production with `openssl rand -base64 32` (current value is not a valid key); choose a GSP; decide on AI bill reading; schedule the two crons; CA check (#15).</t>
        </is>
      </c>
      <c r="P215" s="12" t="inlineStr">
        <is>
          <t>COMPLETED</t>
        </is>
      </c>
      <c r="Q215" s="12" t="inlineStr">
        <is>
          <t>No change</t>
        </is>
      </c>
      <c r="R215" s="12" t="inlineStr">
        <is>
          <t>docs/inventory-accounting-2026-10/README.md; TESTING_REPORT.md; src/server/accounts/**; drizzle/0076, 0078</t>
        </is>
      </c>
    </row>
    <row r="216" ht="63" customFormat="1" customHeight="1" s="2">
      <c r="A216" s="10" t="n">
        <v>215</v>
      </c>
      <c r="B216" s="12" t="inlineStr">
        <is>
          <t>Product Master Data Platform</t>
        </is>
      </c>
      <c r="C216" s="9" t="inlineStr">
        <is>
          <t>PMD-001</t>
        </is>
      </c>
      <c r="D216" s="12" t="inlineStr">
        <is>
          <t>Product Master</t>
        </is>
      </c>
      <c r="E216" s="12" t="inlineStr">
        <is>
          <t>Product Master Data Platform (pmd schema, pipeline, matching, review queue)</t>
        </is>
      </c>
      <c r="F216" s="12"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16" s="12" t="inlineStr">
        <is>
          <t>F9.1.1</t>
        </is>
      </c>
      <c r="H216" s="12" t="inlineStr">
        <is>
          <t>-</t>
        </is>
      </c>
      <c r="I216" s="10" t="inlineStr">
        <is>
          <t>COMPLETED</t>
        </is>
      </c>
      <c r="J216" s="12" t="inlineStr">
        <is>
          <t>Production (gokesari.com)</t>
        </is>
      </c>
      <c r="K216" s="12" t="inlineStr">
        <is>
          <t>Live (operators/admins)</t>
        </is>
      </c>
      <c r="L216" s="12" t="inlineStr">
        <is>
          <t>#1 (closed, superseded); #4; #49 (Excel import fix); #125 (rollback script hint)</t>
        </is>
      </c>
      <c r="M216" s="12" t="inlineStr">
        <is>
          <t>#8; #50; #131</t>
        </is>
      </c>
      <c r="N216" s="12" t="inlineStr">
        <is>
          <t>-</t>
        </is>
      </c>
      <c r="O216" s="12" t="inlineStr">
        <is>
          <t>-</t>
        </is>
      </c>
      <c r="P216" s="12" t="inlineStr">
        <is>
          <t>COMPLETED</t>
        </is>
      </c>
      <c r="Q216" s="12" t="inlineStr">
        <is>
          <t>No change</t>
        </is>
      </c>
      <c r="R216" s="12" t="inlineStr">
        <is>
          <t>src/server/pmd/**; drizzle/0015_product_master_platform.sql; docs/product-master/</t>
        </is>
      </c>
    </row>
    <row r="217" ht="63" customFormat="1" customHeight="1" s="2">
      <c r="A217" s="10" t="n">
        <v>216</v>
      </c>
      <c r="B217" s="12" t="inlineStr">
        <is>
          <t>Product Master Data Platform</t>
        </is>
      </c>
      <c r="C217" s="9" t="inlineStr">
        <is>
          <t>PMD-002</t>
        </is>
      </c>
      <c r="D217" s="12" t="inlineStr">
        <is>
          <t>Product Master</t>
        </is>
      </c>
      <c r="E217" s="12" t="inlineStr">
        <is>
          <t>GS1 India and manufacturer-catalogue feeds</t>
        </is>
      </c>
      <c r="F217" s="12" t="inlineStr">
        <is>
          <t>Excel/CSV connectors with mapping templates, unit codes, GTIN zero-repair and GPC -&gt; category map; '--check' reports MRP/GST/HSN coverage on a real file before the source is enabled.</t>
        </is>
      </c>
      <c r="G217" s="12" t="inlineStr">
        <is>
          <t>F9.1.2</t>
        </is>
      </c>
      <c r="H217" s="12" t="inlineStr">
        <is>
          <t>-</t>
        </is>
      </c>
      <c r="I217" s="10" t="inlineStr">
        <is>
          <t>BLOCKED</t>
        </is>
      </c>
      <c r="J217" s="12" t="inlineStr">
        <is>
          <t>Production (gokesari.com)</t>
        </is>
      </c>
      <c r="K217" s="12" t="inlineStr">
        <is>
          <t>Sources disabled by design</t>
        </is>
      </c>
      <c r="L217" s="12" t="inlineStr">
        <is>
          <t>#2 (closed, superseded); #4</t>
        </is>
      </c>
      <c r="M217" s="12" t="inlineStr">
        <is>
          <t>#8</t>
        </is>
      </c>
      <c r="N217" s="12" t="inlineStr">
        <is>
          <t>Load real GS1 / brand data</t>
        </is>
      </c>
      <c r="O217" s="12" t="inlineStr">
        <is>
          <t>GS1 India agreement and brand permissions, plus a real sample file for each</t>
        </is>
      </c>
      <c r="P217" s="12" t="inlineStr">
        <is>
          <t>BLOCKED</t>
        </is>
      </c>
      <c r="Q217" s="12" t="inlineStr">
        <is>
          <t>No change</t>
        </is>
      </c>
      <c r="R217" s="12" t="inlineStr">
        <is>
          <t>docs/product-master/GS1_AND_MANUFACTURERS.md</t>
        </is>
      </c>
    </row>
    <row r="218" ht="39" customFormat="1" customHeight="1" s="2">
      <c r="A218" s="10" t="n">
        <v>217</v>
      </c>
      <c r="B218" s="12" t="inlineStr">
        <is>
          <t>Product Master Data Platform</t>
        </is>
      </c>
      <c r="C218" s="9" t="inlineStr">
        <is>
          <t>PMD-003</t>
        </is>
      </c>
      <c r="D218" s="12" t="inlineStr">
        <is>
          <t>Product Master</t>
        </is>
      </c>
      <c r="E218" s="12" t="inlineStr">
        <is>
          <t>Loader rework for scale (bulk path, workers)</t>
        </is>
      </c>
      <c r="F218" s="12" t="inlineStr">
        <is>
          <t>Bulk path for unchanged and brand-new records, --workers N routed by brand, one-pass dashboard refresh; 191 new records/s and 7,300 unchanged/s locally (was 40-46 / 250).</t>
        </is>
      </c>
      <c r="G218" s="12" t="inlineStr">
        <is>
          <t>F9.1.1</t>
        </is>
      </c>
      <c r="H218" s="12" t="inlineStr">
        <is>
          <t>-</t>
        </is>
      </c>
      <c r="I218" s="10" t="inlineStr">
        <is>
          <t>COMPLETED</t>
        </is>
      </c>
      <c r="J218" s="12" t="inlineStr">
        <is>
          <t>Production (gokesari.com)</t>
        </is>
      </c>
      <c r="K218" s="12" t="inlineStr">
        <is>
          <t>Live (CLI)</t>
        </is>
      </c>
      <c r="L218" s="12" t="inlineStr">
        <is>
          <t>#3 (closed, superseded); #4</t>
        </is>
      </c>
      <c r="M218" s="12" t="inlineStr">
        <is>
          <t>#8; #185 (#184 race fix)</t>
        </is>
      </c>
      <c r="N218" s="12" t="inlineStr">
        <is>
          <t>Price-change path still per record</t>
        </is>
      </c>
      <c r="O218" s="12" t="inlineStr">
        <is>
          <t>-</t>
        </is>
      </c>
      <c r="P218" s="12" t="inlineStr">
        <is>
          <t>COMPLETED</t>
        </is>
      </c>
      <c r="Q218" s="12" t="inlineStr">
        <is>
          <t>#184 (parallel workers no longer leave a quality score stale or missing) released to gokesari.com by #185 on 16 Oct 04:24 UTC; no migrations.</t>
        </is>
      </c>
      <c r="R218" s="12" t="inlineStr">
        <is>
          <t>src/server/pmd/pipeline/load.ts</t>
        </is>
      </c>
    </row>
    <row r="219" ht="39" customFormat="1" customHeight="1" s="2">
      <c r="A219" s="10" t="n">
        <v>218</v>
      </c>
      <c r="B219" s="12" t="inlineStr">
        <is>
          <t>Product Master Data Platform</t>
        </is>
      </c>
      <c r="C219" s="9" t="inlineStr">
        <is>
          <t>PMD-004</t>
        </is>
      </c>
      <c r="D219" s="12" t="inlineStr">
        <is>
          <t>Product Master</t>
        </is>
      </c>
      <c r="E219" s="12" t="inlineStr">
        <is>
          <t>Promote master products into the shop catalogue</t>
        </is>
      </c>
      <c r="F219" s="12" t="inlineStr">
        <is>
          <t>scripts/pmd/promote.ts (dry run by default, --apply, --concurrency N), rollback-promotion.sql, one-command pilot-data copy, per-brand advisory lock against duplicate brands.</t>
        </is>
      </c>
      <c r="G219" s="12" t="inlineStr">
        <is>
          <t>F9.1.3</t>
        </is>
      </c>
      <c r="H219" s="12" t="inlineStr">
        <is>
          <t>-</t>
        </is>
      </c>
      <c r="I219" s="10" t="inlineStr">
        <is>
          <t>COMPLETED</t>
        </is>
      </c>
      <c r="J219" s="12" t="inlineStr">
        <is>
          <t>Production (gokesari.com)</t>
        </is>
      </c>
      <c r="K219" s="12" t="inlineStr">
        <is>
          <t>Live (CLI)</t>
        </is>
      </c>
      <c r="L219" s="12" t="inlineStr">
        <is>
          <t>#4; #5; #6</t>
        </is>
      </c>
      <c r="M219" s="12" t="inlineStr">
        <is>
          <t>#8</t>
        </is>
      </c>
      <c r="N219" s="12" t="inlineStr">
        <is>
          <t>-</t>
        </is>
      </c>
      <c r="O219" s="12" t="inlineStr">
        <is>
          <t>-</t>
        </is>
      </c>
      <c r="P219" s="12" t="inlineStr">
        <is>
          <t>COMPLETED</t>
        </is>
      </c>
      <c r="Q219" s="12" t="inlineStr">
        <is>
          <t>No change</t>
        </is>
      </c>
      <c r="R219" s="12" t="inlineStr">
        <is>
          <t>scripts/pmd/promote.ts; docs/product-master/PUBLISH_TO_SHOP.md</t>
        </is>
      </c>
    </row>
    <row r="220" ht="27" customFormat="1" customHeight="1" s="2">
      <c r="A220" s="10" t="n">
        <v>219</v>
      </c>
      <c r="B220" s="12" t="inlineStr">
        <is>
          <t>Product Master Data Platform</t>
        </is>
      </c>
      <c r="C220" s="9" t="inlineStr">
        <is>
          <t>PMD-005</t>
        </is>
      </c>
      <c r="D220" s="12" t="inlineStr">
        <is>
          <t>Product Master</t>
        </is>
      </c>
      <c r="E220" s="12" t="inlineStr">
        <is>
          <t>Apply duplicate-review decisions in bulk</t>
        </is>
      </c>
      <c r="F220" s="12" t="inlineStr">
        <is>
          <t>scripts/pmd/review-decide.ts applies a JSON list of merge / close-as-different decisions through the review service (dry run by default).</t>
        </is>
      </c>
      <c r="G220" s="12" t="inlineStr">
        <is>
          <t>F9.1.1</t>
        </is>
      </c>
      <c r="H220" s="12" t="inlineStr">
        <is>
          <t>-</t>
        </is>
      </c>
      <c r="I220" s="10" t="inlineStr">
        <is>
          <t>COMPLETED</t>
        </is>
      </c>
      <c r="J220" s="12" t="inlineStr">
        <is>
          <t>Production (gokesari.com)</t>
        </is>
      </c>
      <c r="K220" s="12" t="inlineStr">
        <is>
          <t>Live (CLI)</t>
        </is>
      </c>
      <c r="L220" s="12" t="inlineStr">
        <is>
          <t>#9</t>
        </is>
      </c>
      <c r="M220" s="12" t="inlineStr">
        <is>
          <t>#12</t>
        </is>
      </c>
      <c r="N220" s="12" t="inlineStr">
        <is>
          <t>-</t>
        </is>
      </c>
      <c r="O220" s="12" t="inlineStr">
        <is>
          <t>-</t>
        </is>
      </c>
      <c r="P220" s="12" t="inlineStr">
        <is>
          <t>COMPLETED</t>
        </is>
      </c>
      <c r="Q220" s="12" t="inlineStr">
        <is>
          <t>No change</t>
        </is>
      </c>
      <c r="R220" s="12" t="inlineStr">
        <is>
          <t>scripts/pmd/review-decide.ts</t>
        </is>
      </c>
    </row>
    <row r="221" ht="39" customFormat="1" customHeight="1" s="2">
      <c r="A221" s="10" t="n">
        <v>220</v>
      </c>
      <c r="B221" s="12" t="inlineStr">
        <is>
          <t>Product Master Data Platform</t>
        </is>
      </c>
      <c r="C221" s="9" t="inlineStr">
        <is>
          <t>PMD-006</t>
        </is>
      </c>
      <c r="D221" s="12" t="inlineStr">
        <is>
          <t>Product Master</t>
        </is>
      </c>
      <c r="E221" s="12" t="inlineStr">
        <is>
          <t>Large-scale ingestion (pilot step 9)</t>
        </is>
      </c>
      <c r="F221" s="12" t="inlineStr">
        <is>
          <t>Not started: the pilot report recommends one licensed non-food feed and loader work first.</t>
        </is>
      </c>
      <c r="G221" s="12" t="inlineStr">
        <is>
          <t>F9.1.4</t>
        </is>
      </c>
      <c r="H221" s="12" t="inlineStr">
        <is>
          <t>-</t>
        </is>
      </c>
      <c r="I221" s="10" t="inlineStr">
        <is>
          <t>YET TO START</t>
        </is>
      </c>
      <c r="J221" s="12" t="inlineStr">
        <is>
          <t>Not started</t>
        </is>
      </c>
      <c r="K221" s="12" t="inlineStr">
        <is>
          <t>-</t>
        </is>
      </c>
      <c r="L221" s="12" t="inlineStr">
        <is>
          <t>-</t>
        </is>
      </c>
      <c r="M221" s="12" t="inlineStr">
        <is>
          <t>-</t>
        </is>
      </c>
      <c r="N221" s="12" t="inlineStr">
        <is>
          <t>Whole step</t>
        </is>
      </c>
      <c r="O221" s="12" t="inlineStr">
        <is>
          <t>Explicit go-ahead; licensed feeds (PMD-002)</t>
        </is>
      </c>
      <c r="P221" s="12" t="inlineStr">
        <is>
          <t>YET TO START</t>
        </is>
      </c>
      <c r="Q221" s="12" t="inlineStr">
        <is>
          <t>No change</t>
        </is>
      </c>
      <c r="R221" s="12" t="inlineStr">
        <is>
          <t>docs/product-master/PILOT_REPORT.md</t>
        </is>
      </c>
    </row>
    <row r="222" ht="27" customFormat="1" customHeight="1" s="2">
      <c r="A222" s="10" t="n">
        <v>221</v>
      </c>
      <c r="B222" s="12" t="inlineStr">
        <is>
          <t>Product Master Data Platform</t>
        </is>
      </c>
      <c r="C222" s="9" t="inlineStr">
        <is>
          <t>PMD-007</t>
        </is>
      </c>
      <c r="D222" s="12" t="inlineStr">
        <is>
          <t>Product Master</t>
        </is>
      </c>
      <c r="E222" s="12" t="inlineStr">
        <is>
          <t>Product browser / edit screens, promote button, scheduler and alerting</t>
        </is>
      </c>
      <c r="F222" s="12" t="inlineStr">
        <is>
          <t>Not built: promotion and scheduling are CLI-only today (no promote button in /admin/product-master).</t>
        </is>
      </c>
      <c r="G222" s="12" t="inlineStr">
        <is>
          <t>F9.1.4</t>
        </is>
      </c>
      <c r="H222" s="12" t="inlineStr">
        <is>
          <t>-</t>
        </is>
      </c>
      <c r="I222" s="10" t="inlineStr">
        <is>
          <t>YET TO START</t>
        </is>
      </c>
      <c r="J222" s="12" t="inlineStr">
        <is>
          <t>Not started</t>
        </is>
      </c>
      <c r="K222" s="12" t="inlineStr">
        <is>
          <t>-</t>
        </is>
      </c>
      <c r="L222" s="12" t="inlineStr">
        <is>
          <t>-</t>
        </is>
      </c>
      <c r="M222" s="12" t="inlineStr">
        <is>
          <t>-</t>
        </is>
      </c>
      <c r="N222" s="12" t="inlineStr">
        <is>
          <t>Whole item</t>
        </is>
      </c>
      <c r="O222" s="12" t="inlineStr">
        <is>
          <t>-</t>
        </is>
      </c>
      <c r="P222" s="12" t="inlineStr">
        <is>
          <t>YET TO START</t>
        </is>
      </c>
      <c r="Q222" s="12" t="inlineStr">
        <is>
          <t>No change</t>
        </is>
      </c>
      <c r="R222" s="12" t="inlineStr">
        <is>
          <t>docs/product-master/PILOT_REPORT.md</t>
        </is>
      </c>
    </row>
    <row r="223" ht="39" customFormat="1" customHeight="1" s="2">
      <c r="A223" s="10" t="n">
        <v>222</v>
      </c>
      <c r="B223" s="12" t="inlineStr">
        <is>
          <t>Platform &amp; DevOps</t>
        </is>
      </c>
      <c r="C223" s="9" t="inlineStr">
        <is>
          <t>PLT-001</t>
        </is>
      </c>
      <c r="D223" s="12" t="inlineStr">
        <is>
          <t>Platform</t>
        </is>
      </c>
      <c r="E223" s="12" t="inlineStr">
        <is>
          <t>Hostinger build and dev server (webpack, @/ alias)</t>
        </is>
      </c>
      <c r="F223" s="12" t="inlineStr">
        <is>
          <t>Production builds use webpack so Hostinger deploys succeed; @/ import alias resolved without TypeScript installed; npm run dev starts again under Next 16.</t>
        </is>
      </c>
      <c r="G223" s="12" t="inlineStr">
        <is>
          <t>-</t>
        </is>
      </c>
      <c r="H223" s="12" t="inlineStr">
        <is>
          <t>-</t>
        </is>
      </c>
      <c r="I223" s="10" t="inlineStr">
        <is>
          <t>COMPLETED</t>
        </is>
      </c>
      <c r="J223" s="12" t="inlineStr">
        <is>
          <t>Production (gokesari.com)</t>
        </is>
      </c>
      <c r="K223" s="12" t="inlineStr">
        <is>
          <t>Live</t>
        </is>
      </c>
      <c r="L223" s="12" t="inlineStr">
        <is>
          <t>#17; #20; #35</t>
        </is>
      </c>
      <c r="M223" s="12" t="inlineStr">
        <is>
          <t>#19; #35</t>
        </is>
      </c>
      <c r="N223" s="12" t="inlineStr">
        <is>
          <t>-</t>
        </is>
      </c>
      <c r="O223" s="12" t="inlineStr">
        <is>
          <t>-</t>
        </is>
      </c>
      <c r="P223" s="12" t="inlineStr">
        <is>
          <t>COMPLETED</t>
        </is>
      </c>
      <c r="Q223" s="12" t="inlineStr">
        <is>
          <t>No change</t>
        </is>
      </c>
      <c r="R223" s="12" t="inlineStr">
        <is>
          <t>package.json; next.config.ts</t>
        </is>
      </c>
    </row>
    <row r="224" ht="27" customFormat="1" customHeight="1" s="2">
      <c r="A224" s="10" t="n">
        <v>223</v>
      </c>
      <c r="B224" s="12" t="inlineStr">
        <is>
          <t>Platform &amp; DevOps</t>
        </is>
      </c>
      <c r="C224" s="9" t="inlineStr">
        <is>
          <t>PLT-002</t>
        </is>
      </c>
      <c r="D224" s="12" t="inlineStr">
        <is>
          <t>Platform</t>
        </is>
      </c>
      <c r="E224" s="12" t="inlineStr">
        <is>
          <t>Root-cause logging for failed database queries</t>
        </is>
      </c>
      <c r="F224" s="12" t="inlineStr">
        <is>
          <t>onRequestError and API error handler log the cause chain (message + code, never the connection string).</t>
        </is>
      </c>
      <c r="G224" s="12" t="inlineStr">
        <is>
          <t>-</t>
        </is>
      </c>
      <c r="H224" s="12" t="inlineStr">
        <is>
          <t>-</t>
        </is>
      </c>
      <c r="I224" s="10" t="inlineStr">
        <is>
          <t>COMPLETED</t>
        </is>
      </c>
      <c r="J224" s="12" t="inlineStr">
        <is>
          <t>Production (gokesari.com)</t>
        </is>
      </c>
      <c r="K224" s="12" t="inlineStr">
        <is>
          <t>Live</t>
        </is>
      </c>
      <c r="L224" s="12" t="inlineStr">
        <is>
          <t>#13 (#16 closed)</t>
        </is>
      </c>
      <c r="M224" s="12" t="inlineStr">
        <is>
          <t>#19</t>
        </is>
      </c>
      <c r="N224" s="12" t="inlineStr">
        <is>
          <t>-</t>
        </is>
      </c>
      <c r="O224" s="12" t="inlineStr">
        <is>
          <t>-</t>
        </is>
      </c>
      <c r="P224" s="12" t="inlineStr">
        <is>
          <t>COMPLETED</t>
        </is>
      </c>
      <c r="Q224" s="12" t="inlineStr">
        <is>
          <t>No change</t>
        </is>
      </c>
      <c r="R224" s="12" t="inlineStr">
        <is>
          <t>src/instrumentation.ts; src/lib/errors.ts</t>
        </is>
      </c>
    </row>
    <row r="225" ht="27" customFormat="1" customHeight="1" s="2">
      <c r="A225" s="10" t="n">
        <v>224</v>
      </c>
      <c r="B225" s="12" t="inlineStr">
        <is>
          <t>Platform &amp; DevOps</t>
        </is>
      </c>
      <c r="C225" s="9" t="inlineStr">
        <is>
          <t>PLT-003</t>
        </is>
      </c>
      <c r="D225" s="12" t="inlineStr">
        <is>
          <t>Platform</t>
        </is>
      </c>
      <c r="E225" s="12" t="inlineStr">
        <is>
          <t>CI pipeline (typecheck, lint, tests on PostgreSQL, build)</t>
        </is>
      </c>
      <c r="F225" s="12" t="inlineStr">
        <is>
          <t>Every PR runs migrations on a fresh Postgres, typecheck, lint, unit + integration tests and a production build; actions on Node 24.</t>
        </is>
      </c>
      <c r="G225" s="12" t="inlineStr">
        <is>
          <t>F14.1.1</t>
        </is>
      </c>
      <c r="H225" s="12" t="inlineStr">
        <is>
          <t>-</t>
        </is>
      </c>
      <c r="I225" s="10" t="inlineStr">
        <is>
          <t>COMPLETED</t>
        </is>
      </c>
      <c r="J225" s="12" t="inlineStr">
        <is>
          <t>Production (gokesari.com)</t>
        </is>
      </c>
      <c r="K225" s="12" t="inlineStr">
        <is>
          <t>Live</t>
        </is>
      </c>
      <c r="L225" s="12" t="inlineStr">
        <is>
          <t>Baseline; #7</t>
        </is>
      </c>
      <c r="M225" s="12" t="inlineStr">
        <is>
          <t>#8</t>
        </is>
      </c>
      <c r="N225" s="12" t="inlineStr">
        <is>
          <t>-</t>
        </is>
      </c>
      <c r="O225" s="12" t="inlineStr">
        <is>
          <t>-</t>
        </is>
      </c>
      <c r="P225" s="12" t="inlineStr">
        <is>
          <t>COMPLETED</t>
        </is>
      </c>
      <c r="Q225" s="12" t="inlineStr">
        <is>
          <t>No change</t>
        </is>
      </c>
      <c r="R225" s="12" t="inlineStr">
        <is>
          <t>.github/workflows/</t>
        </is>
      </c>
    </row>
    <row r="226" ht="27" customFormat="1" customHeight="1" s="2">
      <c r="A226" s="10" t="n">
        <v>225</v>
      </c>
      <c r="B226" s="12" t="inlineStr">
        <is>
          <t>Platform &amp; DevOps</t>
        </is>
      </c>
      <c r="C226" s="9" t="inlineStr">
        <is>
          <t>PLT-004</t>
        </is>
      </c>
      <c r="D226" s="12" t="inlineStr">
        <is>
          <t>Security</t>
        </is>
      </c>
      <c r="E226" s="12" t="inlineStr">
        <is>
          <t>Dependency security patches</t>
        </is>
      </c>
      <c r="F226" s="12" t="inlineStr">
        <is>
          <t>Next.js 16.3.6 security bump; sharp, brace-expansion, source-map-js and js-yaml patched (production npm audit: 0).</t>
        </is>
      </c>
      <c r="G226" s="12" t="inlineStr">
        <is>
          <t>-</t>
        </is>
      </c>
      <c r="H226" s="12" t="inlineStr">
        <is>
          <t>-</t>
        </is>
      </c>
      <c r="I226" s="10" t="inlineStr">
        <is>
          <t>COMPLETED</t>
        </is>
      </c>
      <c r="J226" s="12" t="inlineStr">
        <is>
          <t>Production (gokesari.com)</t>
        </is>
      </c>
      <c r="K226" s="12" t="inlineStr">
        <is>
          <t>Live</t>
        </is>
      </c>
      <c r="L226" s="12" t="inlineStr">
        <is>
          <t>#19 (Next.js bump commit); #66 (#15, #16 closed)</t>
        </is>
      </c>
      <c r="M226" s="12" t="inlineStr">
        <is>
          <t>#19; #65</t>
        </is>
      </c>
      <c r="N226" s="12" t="inlineStr">
        <is>
          <t>-</t>
        </is>
      </c>
      <c r="O226" s="12" t="inlineStr">
        <is>
          <t>-</t>
        </is>
      </c>
      <c r="P226" s="12" t="inlineStr">
        <is>
          <t>COMPLETED</t>
        </is>
      </c>
      <c r="Q226" s="12" t="inlineStr">
        <is>
          <t>No change</t>
        </is>
      </c>
      <c r="R226" s="12" t="inlineStr">
        <is>
          <t>package-lock.json</t>
        </is>
      </c>
    </row>
    <row r="227" ht="27" customFormat="1" customHeight="1" s="2">
      <c r="A227" s="10" t="n">
        <v>226</v>
      </c>
      <c r="B227" s="12" t="inlineStr">
        <is>
          <t>Platform &amp; DevOps</t>
        </is>
      </c>
      <c r="C227" s="9" t="inlineStr">
        <is>
          <t>PLT-005</t>
        </is>
      </c>
      <c r="D227" s="12" t="inlineStr">
        <is>
          <t>Platform</t>
        </is>
      </c>
      <c r="E227" s="12" t="inlineStr">
        <is>
          <t>GoKesari domain and repository hygiene</t>
        </is>
      </c>
      <c r="F227" s="12" t="inlineStr">
        <is>
          <t>CNAME and docs point at gokesari.com; other brand's runbook removed; GoKesari-only scope rule for Claude chats.</t>
        </is>
      </c>
      <c r="G227" s="12" t="inlineStr">
        <is>
          <t>-</t>
        </is>
      </c>
      <c r="H227" s="12" t="inlineStr">
        <is>
          <t>-</t>
        </is>
      </c>
      <c r="I227" s="10" t="inlineStr">
        <is>
          <t>COMPLETED</t>
        </is>
      </c>
      <c r="J227" s="12" t="inlineStr">
        <is>
          <t>Production (gokesari.com)</t>
        </is>
      </c>
      <c r="K227" s="12" t="inlineStr">
        <is>
          <t>Live</t>
        </is>
      </c>
      <c r="L227" s="12" t="inlineStr">
        <is>
          <t>#25; #33; #41 (#27 closed)</t>
        </is>
      </c>
      <c r="M227" s="12" t="inlineStr">
        <is>
          <t>#32; #36; #43</t>
        </is>
      </c>
      <c r="N227" s="12" t="inlineStr">
        <is>
          <t>-</t>
        </is>
      </c>
      <c r="O227" s="12" t="inlineStr">
        <is>
          <t>-</t>
        </is>
      </c>
      <c r="P227" s="12" t="inlineStr">
        <is>
          <t>COMPLETED</t>
        </is>
      </c>
      <c r="Q227" s="12" t="inlineStr">
        <is>
          <t>No change</t>
        </is>
      </c>
      <c r="R227" s="12" t="inlineStr">
        <is>
          <t>CNAME; CLAUDE.md</t>
        </is>
      </c>
    </row>
    <row r="228" ht="39" customFormat="1" customHeight="1" s="2">
      <c r="A228" s="10" t="n">
        <v>227</v>
      </c>
      <c r="B228" s="12" t="inlineStr">
        <is>
          <t>Platform &amp; DevOps</t>
        </is>
      </c>
      <c r="C228" s="9" t="inlineStr">
        <is>
          <t>PLT-006</t>
        </is>
      </c>
      <c r="D228" s="12" t="inlineStr">
        <is>
          <t>Platform</t>
        </is>
      </c>
      <c r="E228" s="12" t="inlineStr">
        <is>
          <t>Deployment runbooks</t>
        </is>
      </c>
      <c r="F228" s="12" t="inlineStr">
        <is>
          <t>Ordered deploy runbook (backup, ledger checks, migrate, crons, smoke test, rollback); row-count checks derived from the checkout so they cannot go stale.</t>
        </is>
      </c>
      <c r="G228" s="12" t="inlineStr">
        <is>
          <t>F14.2.2</t>
        </is>
      </c>
      <c r="H228" s="12" t="inlineStr">
        <is>
          <t>-</t>
        </is>
      </c>
      <c r="I228" s="10" t="inlineStr">
        <is>
          <t>COMPLETED</t>
        </is>
      </c>
      <c r="J228" s="12" t="inlineStr">
        <is>
          <t>Production (gokesari.com)</t>
        </is>
      </c>
      <c r="K228" s="12" t="inlineStr">
        <is>
          <t>Live</t>
        </is>
      </c>
      <c r="L228" s="12" t="inlineStr">
        <is>
          <t>#37; #88</t>
        </is>
      </c>
      <c r="M228" s="12" t="inlineStr">
        <is>
          <t>#37; #88</t>
        </is>
      </c>
      <c r="N228" s="12" t="inlineStr">
        <is>
          <t>-</t>
        </is>
      </c>
      <c r="O228" s="12" t="inlineStr">
        <is>
          <t>-</t>
        </is>
      </c>
      <c r="P228" s="12" t="inlineStr">
        <is>
          <t>COMPLETED</t>
        </is>
      </c>
      <c r="Q228" s="12" t="inlineStr">
        <is>
          <t>No change</t>
        </is>
      </c>
      <c r="R228" s="12" t="inlineStr">
        <is>
          <t>docs/gokesari-audit/DEPLOY_RUNBOOK.md</t>
        </is>
      </c>
    </row>
    <row r="229" ht="39" customFormat="1" customHeight="1" s="2">
      <c r="A229" s="10" t="n">
        <v>228</v>
      </c>
      <c r="B229" s="12" t="inlineStr">
        <is>
          <t>Platform &amp; DevOps</t>
        </is>
      </c>
      <c r="C229" s="9" t="inlineStr">
        <is>
          <t>PLT-007</t>
        </is>
      </c>
      <c r="D229" s="12" t="inlineStr">
        <is>
          <t>Platform</t>
        </is>
      </c>
      <c r="E229" s="12" t="inlineStr">
        <is>
          <t>Opt-in automatic migration during the build (MIGRATE_ON_BUILD)</t>
        </is>
      </c>
      <c r="F229" s="12" t="inlineStr">
        <is>
          <t>npm run build runs pending migrations first when MIGRATE_ON_BUILD=true (one transaction; a failed migration stops the build); logs only database name/host and count.</t>
        </is>
      </c>
      <c r="G229" s="12" t="inlineStr">
        <is>
          <t>F14.2.2</t>
        </is>
      </c>
      <c r="H229" s="12" t="inlineStr">
        <is>
          <t>-</t>
        </is>
      </c>
      <c r="I229" s="10" t="inlineStr">
        <is>
          <t>COMPLETED</t>
        </is>
      </c>
      <c r="J229" s="12" t="inlineStr">
        <is>
          <t>Production (gokesari.com)</t>
        </is>
      </c>
      <c r="K229" s="12" t="inlineStr">
        <is>
          <t>On for gokesari.com and test.gokesari.com (MIGRATE_ON_BUILD=true)</t>
        </is>
      </c>
      <c r="L229" s="12" t="inlineStr">
        <is>
          <t>#85; #90 (shared migration lock)</t>
        </is>
      </c>
      <c r="M229" s="12" t="inlineStr">
        <is>
          <t>#120</t>
        </is>
      </c>
      <c r="N229" s="12" t="inlineStr">
        <is>
          <t>-</t>
        </is>
      </c>
      <c r="O229" s="12" t="inlineStr">
        <is>
          <t>-</t>
        </is>
      </c>
      <c r="P229" s="12" t="inlineStr">
        <is>
          <t>COMPLETED</t>
        </is>
      </c>
      <c r="Q229" s="12" t="inlineStr">
        <is>
          <t>No change</t>
        </is>
      </c>
      <c r="R229" s="12" t="inlineStr">
        <is>
          <t>-</t>
        </is>
      </c>
    </row>
    <row r="230" ht="51" customFormat="1" customHeight="1" s="2">
      <c r="A230" s="10" t="n">
        <v>229</v>
      </c>
      <c r="B230" s="12" t="inlineStr">
        <is>
          <t>Platform &amp; DevOps</t>
        </is>
      </c>
      <c r="C230" s="9" t="inlineStr">
        <is>
          <t>PLT-008</t>
        </is>
      </c>
      <c r="D230" s="12" t="inlineStr">
        <is>
          <t>Platform</t>
        </is>
      </c>
      <c r="E230" s="12" t="inlineStr">
        <is>
          <t>'Test database' workflow (backup, migrate, settings, verify)</t>
        </is>
      </c>
      <c r="F230" s="12" t="inlineStr">
        <is>
          <t>GitHub Actions workflow for test.gokesari.com: pg_dump backup before every change, migrate, apply test settings / wallet settings / credits, verify against the branch's newest migration; guarded to the test host and to staging.</t>
        </is>
      </c>
      <c r="G230" s="12" t="inlineStr">
        <is>
          <t>F14.1.2</t>
        </is>
      </c>
      <c r="H230" s="12" t="inlineStr">
        <is>
          <t>-</t>
        </is>
      </c>
      <c r="I230" s="10" t="inlineStr">
        <is>
          <t>COMPLETED</t>
        </is>
      </c>
      <c r="J230" s="12" t="inlineStr">
        <is>
          <t>GitHub Actions (runs from staging)</t>
        </is>
      </c>
      <c r="K230" s="12" t="inlineStr">
        <is>
          <t>Live for the test database</t>
        </is>
      </c>
      <c r="L230" s="12" t="inlineStr">
        <is>
          <t>#90; #94; #95, #96, #97, #99 (data); #102 (four-features settings, E2E accounts, read-only report)</t>
        </is>
      </c>
      <c r="M230" s="12" t="inlineStr">
        <is>
          <t>Not needed (test only)</t>
        </is>
      </c>
      <c r="N230" s="12" t="inlineStr">
        <is>
          <t>Nightly backup now scheduled: the workflow file reached main in #120</t>
        </is>
      </c>
      <c r="O230" s="12" t="inlineStr">
        <is>
          <t>-</t>
        </is>
      </c>
      <c r="P230" s="12" t="inlineStr">
        <is>
          <t>COMPLETED</t>
        </is>
      </c>
      <c r="Q230" s="12" t="inlineStr">
        <is>
          <t>No change</t>
        </is>
      </c>
      <c r="R230" s="12" t="inlineStr">
        <is>
          <t>.github/workflows/test-db.yml; scripts/test-db/</t>
        </is>
      </c>
    </row>
    <row r="231" ht="111" customFormat="1" customHeight="1" s="2">
      <c r="A231" s="10" t="n">
        <v>230</v>
      </c>
      <c r="B231" s="12" t="inlineStr">
        <is>
          <t>Platform &amp; DevOps</t>
        </is>
      </c>
      <c r="C231" s="9" t="inlineStr">
        <is>
          <t>PLT-009</t>
        </is>
      </c>
      <c r="D231" s="12" t="inlineStr">
        <is>
          <t>Platform</t>
        </is>
      </c>
      <c r="E231" s="12" t="inlineStr">
        <is>
          <t>'Production database' workflow (verify / migrate with typed confirmation)</t>
        </is>
      </c>
      <c r="F231" s="12" t="inlineStr">
        <is>
          <t>Manual-only workflow from main: verify shows production's pending migrations; migrate needs 'MIGRATE PRODUCTION', refuses migrations not already on test, records a Neon restore point, no data leaves the database.</t>
        </is>
      </c>
      <c r="G231" s="12" t="inlineStr">
        <is>
          <t>F14.2.1</t>
        </is>
      </c>
      <c r="H231" s="12" t="inlineStr">
        <is>
          <t>-</t>
        </is>
      </c>
      <c r="I231" s="10" t="inlineStr">
        <is>
          <t>BLOCKED</t>
        </is>
      </c>
      <c r="J231" s="12" t="inlineStr">
        <is>
          <t>GitHub Actions (runs from main)</t>
        </is>
      </c>
      <c r="K231" s="12" t="inlineStr">
        <is>
          <t>-</t>
        </is>
      </c>
      <c r="L231" s="12" t="inlineStr">
        <is>
          <t>#93; #118 (onto main)</t>
        </is>
      </c>
      <c r="M231" s="12" t="inlineStr">
        <is>
          <t>#118</t>
        </is>
      </c>
      <c r="N231" s="12" t="inlineStr">
        <is>
          <t>Repository-level secrets/variables are not set</t>
        </is>
      </c>
      <c r="O231" s="12" t="inlineStr">
        <is>
          <t>Owner: PROD_DATABASE_URL is still not visible to Actions - nine copy-shops / db-split plan or verify runs got an empty value (Blockers #32)</t>
        </is>
      </c>
      <c r="P231" s="12" t="inlineStr">
        <is>
          <t>BLOCKED</t>
        </is>
      </c>
      <c r="Q231" s="12" t="inlineStr">
        <is>
          <t>No change</t>
        </is>
      </c>
      <c r="R231" s="12" t="inlineStr">
        <is>
          <t>docs/event-driven-2026-10/PROD_DB.md</t>
        </is>
      </c>
    </row>
    <row r="232" ht="51" customFormat="1" customHeight="1" s="2">
      <c r="A232" s="10" t="n">
        <v>231</v>
      </c>
      <c r="B232" s="12" t="inlineStr">
        <is>
          <t>Platform &amp; DevOps</t>
        </is>
      </c>
      <c r="C232" s="9" t="inlineStr">
        <is>
          <t>PLT-010</t>
        </is>
      </c>
      <c r="D232" s="12" t="inlineStr">
        <is>
          <t>Platform</t>
        </is>
      </c>
      <c r="E232" s="12" t="inlineStr">
        <is>
          <t>'Android APK' workflow - installable test builds without any accounts</t>
        </is>
      </c>
      <c r="F232" s="12" t="inlineStr">
        <is>
          <t>Builds GoKesari-preview-apk (test.gokesari.com) and GoKesari-production-apk (gokesari.com) on GitHub for every change to mobile/ and on demand; download from the run's Artifacts. Signed with a shared test key, so it cannot be upgraded to a Play Store build.</t>
        </is>
      </c>
      <c r="G232" s="12" t="inlineStr">
        <is>
          <t>F15.1.1</t>
        </is>
      </c>
      <c r="H232" s="12" t="inlineStr">
        <is>
          <t>-</t>
        </is>
      </c>
      <c r="I232" s="10" t="inlineStr">
        <is>
          <t>COMPLETED</t>
        </is>
      </c>
      <c r="J232" s="12" t="inlineStr">
        <is>
          <t>GitHub Actions (runs from main)</t>
        </is>
      </c>
      <c r="K232" s="12" t="inlineStr">
        <is>
          <t>Live</t>
        </is>
      </c>
      <c r="L232" s="12" t="inlineStr">
        <is>
          <t>#100</t>
        </is>
      </c>
      <c r="M232" s="12" t="inlineStr">
        <is>
          <t>#100</t>
        </is>
      </c>
      <c r="N232" s="12" t="inlineStr">
        <is>
          <t>-</t>
        </is>
      </c>
      <c r="O232" s="12" t="inlineStr">
        <is>
          <t>-</t>
        </is>
      </c>
      <c r="P232" s="12" t="inlineStr">
        <is>
          <t>COMPLETED</t>
        </is>
      </c>
      <c r="Q232" s="12" t="inlineStr">
        <is>
          <t>No change</t>
        </is>
      </c>
      <c r="R232" s="12" t="inlineStr">
        <is>
          <t>.github/workflows/mobile-apk.yml</t>
        </is>
      </c>
    </row>
    <row r="233" ht="51" customFormat="1" customHeight="1" s="2">
      <c r="A233" s="10" t="n">
        <v>232</v>
      </c>
      <c r="B233" s="12" t="inlineStr">
        <is>
          <t>Platform &amp; DevOps</t>
        </is>
      </c>
      <c r="C233" s="9" t="inlineStr">
        <is>
          <t>PLT-011</t>
        </is>
      </c>
      <c r="D233" s="12" t="inlineStr">
        <is>
          <t>Platform</t>
        </is>
      </c>
      <c r="E233" s="12" t="inlineStr">
        <is>
          <t>'Sandbox payment' workflow - pay Cashfree sandbox checkouts for E2E tests</t>
        </is>
      </c>
      <c r="F233" s="12" t="inlineStr">
        <is>
          <t>Pays a Cashfree SANDBOX checkout session with Cashfree's test instruments (UPI collect, credit / debit card with the simulator OTP, net banking; success or failure) from a GitHub runner. Sandbox host hard-coded, no secrets.</t>
        </is>
      </c>
      <c r="G233" s="12" t="inlineStr">
        <is>
          <t>F14.1.4</t>
        </is>
      </c>
      <c r="H233" s="12" t="inlineStr">
        <is>
          <t>-</t>
        </is>
      </c>
      <c r="I233" s="10" t="inlineStr">
        <is>
          <t>COMPLETED</t>
        </is>
      </c>
      <c r="J233" s="12" t="inlineStr">
        <is>
          <t>GitHub Actions (runs from staging)</t>
        </is>
      </c>
      <c r="K233" s="12" t="inlineStr">
        <is>
          <t>Live for the test site</t>
        </is>
      </c>
      <c r="L233" s="12" t="inlineStr">
        <is>
          <t>#102; #103 (card and net-banking simulator)</t>
        </is>
      </c>
      <c r="M233" s="12" t="inlineStr">
        <is>
          <t>Not needed (test only)</t>
        </is>
      </c>
      <c r="N233" s="12" t="inlineStr">
        <is>
          <t>-</t>
        </is>
      </c>
      <c r="O233" s="12" t="inlineStr">
        <is>
          <t>-</t>
        </is>
      </c>
      <c r="P233" s="12" t="inlineStr">
        <is>
          <t>COMPLETED</t>
        </is>
      </c>
      <c r="Q233" s="12" t="inlineStr">
        <is>
          <t>No change</t>
        </is>
      </c>
      <c r="R233" s="12" t="inlineStr">
        <is>
          <t>.github/workflows/sandbox-pay.yml; scripts/test-site/sandbox-pay.mjs</t>
        </is>
      </c>
    </row>
    <row r="234" ht="51" customFormat="1" customHeight="1" s="2">
      <c r="A234" s="10" t="n">
        <v>233</v>
      </c>
      <c r="B234" s="12" t="inlineStr">
        <is>
          <t>Platform &amp; DevOps</t>
        </is>
      </c>
      <c r="C234" s="9" t="inlineStr">
        <is>
          <t>PLT-012</t>
        </is>
      </c>
      <c r="D234" s="12" t="inlineStr">
        <is>
          <t>Performance</t>
        </is>
      </c>
      <c r="E234" s="12" t="inlineStr">
        <is>
          <t>One database read per fact per page render</t>
        </is>
      </c>
      <c r="F234" s="12" t="inlineStr">
        <is>
          <t>React cache() on the session lookup, addresses, wallet, unread count, roles, staff shops and cart count for one server render; callers asking for the same business rule at once share one query. 52 -&gt; 24 queries per signed-in home page; no behaviour change.</t>
        </is>
      </c>
      <c r="G234" s="12" t="inlineStr">
        <is>
          <t>-</t>
        </is>
      </c>
      <c r="H234" s="12" t="inlineStr">
        <is>
          <t>-</t>
        </is>
      </c>
      <c r="I234" s="10" t="inlineStr">
        <is>
          <t>COMPLETED</t>
        </is>
      </c>
      <c r="J234" s="12" t="inlineStr">
        <is>
          <t>Production (gokesari.com)</t>
        </is>
      </c>
      <c r="K234" s="12" t="inlineStr">
        <is>
          <t>Live</t>
        </is>
      </c>
      <c r="L234" s="12" t="inlineStr">
        <is>
          <t>#124</t>
        </is>
      </c>
      <c r="M234" s="12" t="inlineStr">
        <is>
          <t>#126</t>
        </is>
      </c>
      <c r="N234" s="12" t="inlineStr">
        <is>
          <t>-</t>
        </is>
      </c>
      <c r="O234" s="12" t="inlineStr">
        <is>
          <t>-</t>
        </is>
      </c>
      <c r="P234" s="12" t="inlineStr">
        <is>
          <t>COMPLETED</t>
        </is>
      </c>
      <c r="Q234" s="12" t="inlineStr">
        <is>
          <t>No change</t>
        </is>
      </c>
      <c r="R234" s="12" t="inlineStr">
        <is>
          <t>src/server/ (cache() wrappers); commit 1406b0b</t>
        </is>
      </c>
    </row>
    <row r="235" ht="39" customFormat="1" customHeight="1" s="2">
      <c r="A235" s="10" t="n">
        <v>234</v>
      </c>
      <c r="B235" s="12" t="inlineStr">
        <is>
          <t>Platform &amp; DevOps</t>
        </is>
      </c>
      <c r="C235" s="9" t="inlineStr">
        <is>
          <t>PLT-013</t>
        </is>
      </c>
      <c r="D235" s="12" t="inlineStr">
        <is>
          <t>Performance</t>
        </is>
      </c>
      <c r="E235" s="12" t="inlineStr">
        <is>
          <t>Opt-in prepared statements (DATABASE_PREPARED_STATEMENTS=on)</t>
        </is>
      </c>
      <c r="F235" s="12" t="inlineStr">
        <is>
          <t>Asks postgres-js to prepare queries by default, saving one database round trip per query (measured locally with 200 ms to the database: 405 ms -&gt; 205 ms per repeated query).</t>
        </is>
      </c>
      <c r="G235" s="12" t="inlineStr">
        <is>
          <t>-</t>
        </is>
      </c>
      <c r="H235" s="12" t="inlineStr">
        <is>
          <t>-</t>
        </is>
      </c>
      <c r="I235" s="10" t="inlineStr">
        <is>
          <t>COMPLETED</t>
        </is>
      </c>
      <c r="J235" s="12" t="inlineStr">
        <is>
          <t>Production - built, switched off by default</t>
        </is>
      </c>
      <c r="K235" s="12" t="inlineStr">
        <is>
          <t>Off - environment variable not set on either site</t>
        </is>
      </c>
      <c r="L235" s="12" t="inlineStr">
        <is>
          <t>#124</t>
        </is>
      </c>
      <c r="M235" s="12" t="inlineStr">
        <is>
          <t>#126</t>
        </is>
      </c>
      <c r="N235" s="12" t="inlineStr">
        <is>
          <t>Turn on for test.gokesari.com, check Neon's pooled host accepts prepared statements, then gokesari.com</t>
        </is>
      </c>
      <c r="O235" s="12" t="inlineStr">
        <is>
          <t>Owner: environment setting (Blockers #36)</t>
        </is>
      </c>
      <c r="P235" s="12" t="inlineStr">
        <is>
          <t>COMPLETED</t>
        </is>
      </c>
      <c r="Q235" s="12" t="inlineStr">
        <is>
          <t>No change</t>
        </is>
      </c>
      <c r="R235" s="12" t="inlineStr">
        <is>
          <t>commit 98cb8e7; src/server/db</t>
        </is>
      </c>
    </row>
    <row r="236" ht="51" customFormat="1" customHeight="1" s="2">
      <c r="A236" s="10" t="n">
        <v>235</v>
      </c>
      <c r="B236" s="12" t="inlineStr">
        <is>
          <t>Platform &amp; DevOps</t>
        </is>
      </c>
      <c r="C236" s="9" t="inlineStr">
        <is>
          <t>PLT-014</t>
        </is>
      </c>
      <c r="D236" s="12" t="inlineStr">
        <is>
          <t>Performance</t>
        </is>
      </c>
      <c r="E236" s="12" t="inlineStr">
        <is>
          <t>Board figures: shared cache and 8 s allowance</t>
        </is>
      </c>
      <c r="F236" s="12"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36" s="12" t="inlineStr">
        <is>
          <t>-</t>
        </is>
      </c>
      <c r="H236" s="12" t="inlineStr">
        <is>
          <t>-</t>
        </is>
      </c>
      <c r="I236" s="10" t="inlineStr">
        <is>
          <t>COMPLETED</t>
        </is>
      </c>
      <c r="J236" s="12" t="inlineStr">
        <is>
          <t>Production (gokesari.com)</t>
        </is>
      </c>
      <c r="K236" s="12" t="inlineStr">
        <is>
          <t>Live</t>
        </is>
      </c>
      <c r="L236" s="12" t="inlineStr">
        <is>
          <t>#127; #130</t>
        </is>
      </c>
      <c r="M236" s="12" t="inlineStr">
        <is>
          <t>#129; #131</t>
        </is>
      </c>
      <c r="N236" s="12" t="inlineStr">
        <is>
          <t>-</t>
        </is>
      </c>
      <c r="O236" s="12" t="inlineStr">
        <is>
          <t>-</t>
        </is>
      </c>
      <c r="P236" s="12" t="inlineStr">
        <is>
          <t>COMPLETED</t>
        </is>
      </c>
      <c r="Q236" s="12" t="inlineStr">
        <is>
          <t>No change</t>
        </is>
      </c>
      <c r="R236" s="12" t="inlineStr">
        <is>
          <t>docs/tile-board-2026-10/TEST_RESULTS_UI_PASS.md (PR #127 on test)</t>
        </is>
      </c>
    </row>
    <row r="237" ht="159" customFormat="1" customHeight="1" s="2">
      <c r="A237" s="10" t="n">
        <v>236</v>
      </c>
      <c r="B237" s="12" t="inlineStr">
        <is>
          <t>Platform &amp; DevOps</t>
        </is>
      </c>
      <c r="C237" s="9" t="inlineStr">
        <is>
          <t>PLT-015</t>
        </is>
      </c>
      <c r="D237" s="12" t="inlineStr">
        <is>
          <t>Platform</t>
        </is>
      </c>
      <c r="E237" s="12" t="inlineStr">
        <is>
          <t>Seller / customer database split (tooling and 'Database split' workflow)</t>
        </is>
      </c>
      <c r="F237" s="12" t="inlineStr">
        <is>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is>
      </c>
      <c r="G237" s="12" t="inlineStr">
        <is>
          <t>F14.2.4</t>
        </is>
      </c>
      <c r="H237" s="12" t="inlineStr">
        <is>
          <t>-</t>
        </is>
      </c>
      <c r="I237" s="10" t="inlineStr">
        <is>
          <t>IN PROGRESS</t>
        </is>
      </c>
      <c r="J237" s="12" t="inlineStr">
        <is>
          <t>GitHub Actions (runs from main)</t>
        </is>
      </c>
      <c r="K237" s="12" t="inlineStr">
        <is>
          <t>Site still reads one database (DB_SPLIT_MODE = single); the split databases are copies only</t>
        </is>
      </c>
      <c r="L237" s="12" t="inlineStr">
        <is>
          <t>#146; #152 (Neon COPY hang, channel_binding); #154 (test report); #158; #160; #162</t>
        </is>
      </c>
      <c r="M237" s="12" t="inlineStr">
        <is>
          <t>#149; #157; #159; #161; #163</t>
        </is>
      </c>
      <c r="N237" s="12"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Then phases 2-4 (shadow writes / replication, switching reads and writes, contract) are not started.</t>
        </is>
      </c>
      <c r="O237" s="12" t="inlineStr">
        <is>
          <t>Owner: check the production split secrets (Blockers #42); then plan phases 2-4</t>
        </is>
      </c>
      <c r="P237" s="12" t="inlineStr">
        <is>
          <t>IN PROGRESS</t>
        </is>
      </c>
      <c r="Q237" s="12" t="inlineStr">
        <is>
          <t>No change</t>
        </is>
      </c>
      <c r="R237" s="12" t="inlineStr">
        <is>
          <t>docs/db-split-2026-10/README.md; VERIFICATION_REPORT_test_2026-10-13.md; .github/workflows/db-split.yml</t>
        </is>
      </c>
    </row>
    <row r="238" ht="51" customFormat="1" customHeight="1" s="2">
      <c r="A238" s="10" t="n">
        <v>237</v>
      </c>
      <c r="B238" s="12" t="inlineStr">
        <is>
          <t>Platform &amp; DevOps</t>
        </is>
      </c>
      <c r="C238" s="9" t="inlineStr">
        <is>
          <t>PLT-016</t>
        </is>
      </c>
      <c r="D238" s="12" t="inlineStr">
        <is>
          <t>Platform</t>
        </is>
      </c>
      <c r="E238" s="12" t="inlineStr">
        <is>
          <t>CI scope job: skip runs that cannot find anything new</t>
        </is>
      </c>
      <c r="F238" s="12" t="inlineStr">
        <is>
          <t>A 'scope' job decides what each push needs: tests and mobile are skipped when the same files already passed (a release PR and its merge), or when only docs changed; tests only for changes outside mobile/, mobile only inside it; a newer push cancels the older run.</t>
        </is>
      </c>
      <c r="G238" s="12" t="inlineStr">
        <is>
          <t>F14.1.1</t>
        </is>
      </c>
      <c r="H238" s="12" t="inlineStr">
        <is>
          <t>-</t>
        </is>
      </c>
      <c r="I238" s="10" t="inlineStr">
        <is>
          <t>COMPLETED</t>
        </is>
      </c>
      <c r="J238" s="12" t="inlineStr">
        <is>
          <t>GitHub Actions (runs from main)</t>
        </is>
      </c>
      <c r="K238" s="12" t="inlineStr">
        <is>
          <t>Live</t>
        </is>
      </c>
      <c r="L238" s="12" t="inlineStr">
        <is>
          <t>#134</t>
        </is>
      </c>
      <c r="M238" s="12" t="inlineStr">
        <is>
          <t>#135</t>
        </is>
      </c>
      <c r="N238" s="12" t="inlineStr">
        <is>
          <t>-</t>
        </is>
      </c>
      <c r="O238" s="12" t="inlineStr">
        <is>
          <t>-</t>
        </is>
      </c>
      <c r="P238" s="12" t="inlineStr">
        <is>
          <t>COMPLETED</t>
        </is>
      </c>
      <c r="Q238" s="12" t="inlineStr">
        <is>
          <t>No change</t>
        </is>
      </c>
      <c r="R238" s="12" t="inlineStr">
        <is>
          <t>scripts/ci/scope.sh; .github/workflows/ci.yml</t>
        </is>
      </c>
    </row>
    <row r="239" ht="63" customFormat="1" customHeight="1" s="2">
      <c r="A239" s="10" t="n">
        <v>238</v>
      </c>
      <c r="B239" s="12" t="inlineStr">
        <is>
          <t>Platform &amp; DevOps</t>
        </is>
      </c>
      <c r="C239" s="9" t="inlineStr">
        <is>
          <t>PLT-017</t>
        </is>
      </c>
      <c r="D239" s="12" t="inlineStr">
        <is>
          <t>Mobile App</t>
        </is>
      </c>
      <c r="E239" s="12" t="inlineStr">
        <is>
          <t>'iPhone app' workflow - EAS build and TestFlight upload</t>
        </is>
      </c>
      <c r="F239" s="12" t="inlineStr">
        <is>
          <t>Started by hand with profile production or preview; builds on EAS and uploads the production build to TestFlight; first checks EXPO_TOKEN and the project id and names anything missing.</t>
        </is>
      </c>
      <c r="G239" s="12" t="inlineStr">
        <is>
          <t>F15.1.4</t>
        </is>
      </c>
      <c r="H239" s="12" t="inlineStr">
        <is>
          <t>-</t>
        </is>
      </c>
      <c r="I239" s="10" t="inlineStr">
        <is>
          <t>BLOCKED</t>
        </is>
      </c>
      <c r="J239" s="12" t="inlineStr">
        <is>
          <t>GitHub Actions (runs from main)</t>
        </is>
      </c>
      <c r="K239" s="12" t="inlineStr">
        <is>
          <t>Not run yet</t>
        </is>
      </c>
      <c r="L239" s="12" t="inlineStr">
        <is>
          <t>#153</t>
        </is>
      </c>
      <c r="M239" s="12" t="inlineStr">
        <is>
          <t>#157</t>
        </is>
      </c>
      <c r="N239" s="12" t="inlineStr">
        <is>
          <t>Link the project to Expo and commit the project id; secrets EXPO_TOKEN, ASC_API_KEY_P8, ASC_KEY_ID, ASC_ISSUER_ID, APPLE_TEAM_ID; App Store Connect app record for com.gokesari.app</t>
        </is>
      </c>
      <c r="O239" s="12" t="inlineStr">
        <is>
          <t>Owner: Apple Developer account and the secrets (Blockers #29)</t>
        </is>
      </c>
      <c r="P239" s="12" t="inlineStr">
        <is>
          <t>BLOCKED</t>
        </is>
      </c>
      <c r="Q239" s="12" t="inlineStr">
        <is>
          <t>No change</t>
        </is>
      </c>
      <c r="R239" s="12" t="inlineStr">
        <is>
          <t>.github/workflows/mobile-ios.yml; mobile/README.md</t>
        </is>
      </c>
    </row>
    <row r="240" ht="75" customFormat="1" customHeight="1" s="2">
      <c r="A240" s="10" t="n">
        <v>239</v>
      </c>
      <c r="B240" s="12" t="inlineStr">
        <is>
          <t>Platform &amp; DevOps</t>
        </is>
      </c>
      <c r="C240" s="9" t="inlineStr">
        <is>
          <t>PLT-018</t>
        </is>
      </c>
      <c r="D240" s="12" t="inlineStr">
        <is>
          <t>Platform</t>
        </is>
      </c>
      <c r="E240" s="12" t="inlineStr">
        <is>
          <t>'Copy shops to production' workflow (plan / copy / sql modes)</t>
        </is>
      </c>
      <c r="F240" s="12" t="inlineStr">
        <is>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is>
      </c>
      <c r="G240" s="12" t="inlineStr">
        <is>
          <t>F14.2.3</t>
        </is>
      </c>
      <c r="H240" s="12" t="inlineStr">
        <is>
          <t>-</t>
        </is>
      </c>
      <c r="I240" s="10" t="inlineStr">
        <is>
          <t>COMPLETED</t>
        </is>
      </c>
      <c r="J240" s="12" t="inlineStr">
        <is>
          <t>GitHub Actions (runs from main)</t>
        </is>
      </c>
      <c r="K240" s="12" t="inlineStr">
        <is>
          <t>Used once (sql mode, 12-13 Oct)</t>
        </is>
      </c>
      <c r="L240" s="12" t="inlineStr">
        <is>
          <t>#140; #144 (sql mode); #156 (record)</t>
        </is>
      </c>
      <c r="M240" s="12" t="inlineStr">
        <is>
          <t>#141; #145; #157</t>
        </is>
      </c>
      <c r="N240" s="12" t="inlineStr">
        <is>
          <t>Delete the downloaded copy-shops SQL files (they hold owner contact details); the 5 owners must sign in on production and upload their legal documents</t>
        </is>
      </c>
      <c r="O240" s="12" t="inlineStr">
        <is>
          <t>Owner (Blockers #39, #40)</t>
        </is>
      </c>
      <c r="P240" s="12" t="inlineStr">
        <is>
          <t>COMPLETED</t>
        </is>
      </c>
      <c r="Q240" s="12" t="inlineStr">
        <is>
          <t>No change</t>
        </is>
      </c>
      <c r="R240" s="12" t="inlineStr">
        <is>
          <t>docs/copy-shops-2026-10/README.md; scripts/copy-shops/</t>
        </is>
      </c>
    </row>
    <row r="241" ht="51" customFormat="1" customHeight="1" s="2">
      <c r="A241" s="10" t="n">
        <v>240</v>
      </c>
      <c r="B241" s="12" t="inlineStr">
        <is>
          <t>QA &amp; Testing</t>
        </is>
      </c>
      <c r="C241" s="9" t="inlineStr">
        <is>
          <t>QA-001</t>
        </is>
      </c>
      <c r="D241" s="12" t="inlineStr">
        <is>
          <t>QA</t>
        </is>
      </c>
      <c r="E241" s="12" t="inlineStr">
        <is>
          <t>Automated test suites (unit, integration, E2E)</t>
        </is>
      </c>
      <c r="F241" s="12" t="inlineStr">
        <is>
          <t>Vitest unit + integration against real PostgreSQL (1,436 tests in 111 files on staging per #98); Playwright acceptance (10), smoke (12) and A-E regression (46) specs.</t>
        </is>
      </c>
      <c r="G241" s="12" t="inlineStr">
        <is>
          <t>F14.1.1</t>
        </is>
      </c>
      <c r="H241" s="12" t="inlineStr">
        <is>
          <t>-</t>
        </is>
      </c>
      <c r="I241" s="10" t="inlineStr">
        <is>
          <t>COMPLETED</t>
        </is>
      </c>
      <c r="J241" s="12" t="inlineStr">
        <is>
          <t>Production (gokesari.com)</t>
        </is>
      </c>
      <c r="K241" s="12" t="inlineStr">
        <is>
          <t>Live in CI</t>
        </is>
      </c>
      <c r="L241" s="12" t="inlineStr">
        <is>
          <t>#52; #51; #85 (regression spec)</t>
        </is>
      </c>
      <c r="M241" s="12" t="inlineStr">
        <is>
          <t>#54 (via staging); #70</t>
        </is>
      </c>
      <c r="N241" s="12" t="inlineStr">
        <is>
          <t>-</t>
        </is>
      </c>
      <c r="O241" s="12" t="inlineStr">
        <is>
          <t>-</t>
        </is>
      </c>
      <c r="P241" s="12" t="inlineStr">
        <is>
          <t>COMPLETED</t>
        </is>
      </c>
      <c r="Q241" s="12" t="inlineStr">
        <is>
          <t>The flaky 'parallel workers produce the same result as one' PMD test fix (#184) is on main since #185 (16 Oct); Blockers #56 resolved.</t>
        </is>
      </c>
      <c r="R241" s="12" t="inlineStr">
        <is>
          <t>tests/</t>
        </is>
      </c>
    </row>
    <row r="242" ht="39" customFormat="1" customHeight="1" s="2">
      <c r="A242" s="10" t="n">
        <v>241</v>
      </c>
      <c r="B242" s="12" t="inlineStr">
        <is>
          <t>QA &amp; Testing</t>
        </is>
      </c>
      <c r="C242" s="9" t="inlineStr">
        <is>
          <t>QA-002</t>
        </is>
      </c>
      <c r="D242" s="12" t="inlineStr">
        <is>
          <t>QA</t>
        </is>
      </c>
      <c r="E242" s="12" t="inlineStr">
        <is>
          <t>Test execution framework for 791 test cases</t>
        </is>
      </c>
      <c r="F242" s="12" t="inlineStr">
        <is>
          <t>Excel test-case parser, phase plan (smoke, P0, P1, P2), Playwright runner and result reporting; test-cases.xlsx with 791 cases across 28 modules.</t>
        </is>
      </c>
      <c r="G242" s="12" t="inlineStr">
        <is>
          <t>F14.1.3</t>
        </is>
      </c>
      <c r="H242" s="12" t="inlineStr">
        <is>
          <t>-</t>
        </is>
      </c>
      <c r="I242" s="10" t="inlineStr">
        <is>
          <t>COMPLETED</t>
        </is>
      </c>
      <c r="J242" s="12" t="inlineStr">
        <is>
          <t>Production (gokesari.com)</t>
        </is>
      </c>
      <c r="K242" s="12" t="inlineStr">
        <is>
          <t>Live</t>
        </is>
      </c>
      <c r="L242" s="12" t="inlineStr">
        <is>
          <t>#51</t>
        </is>
      </c>
      <c r="M242" s="12" t="inlineStr">
        <is>
          <t>#70</t>
        </is>
      </c>
      <c r="N242" s="12" t="inlineStr">
        <is>
          <t>-</t>
        </is>
      </c>
      <c r="O242" s="12" t="inlineStr">
        <is>
          <t>-</t>
        </is>
      </c>
      <c r="P242" s="12" t="inlineStr">
        <is>
          <t>COMPLETED</t>
        </is>
      </c>
      <c r="Q242" s="12" t="inlineStr">
        <is>
          <t>No change</t>
        </is>
      </c>
      <c r="R242" s="12" t="inlineStr">
        <is>
          <t>TEST_EXECUTION_PLAN.md; tests/test-case-parser.ts</t>
        </is>
      </c>
    </row>
    <row r="243" ht="39" customFormat="1" customHeight="1" s="2">
      <c r="A243" s="10" t="n">
        <v>242</v>
      </c>
      <c r="B243" s="12" t="inlineStr">
        <is>
          <t>QA &amp; Testing</t>
        </is>
      </c>
      <c r="C243" s="9" t="inlineStr">
        <is>
          <t>QA-003</t>
        </is>
      </c>
      <c r="D243" s="12" t="inlineStr">
        <is>
          <t>QA</t>
        </is>
      </c>
      <c r="E243" s="12" t="inlineStr">
        <is>
          <t>Execute the 791 test cases and sign off in a browser on test.gokesari.com</t>
        </is>
      </c>
      <c r="F243" s="12" t="inlineStr">
        <is>
          <t>No execution results or sign-off are recorded in the repository; the 6 Oct report lists the missing browser sign-off as a go-live blocker.</t>
        </is>
      </c>
      <c r="G243" s="12" t="inlineStr">
        <is>
          <t>F14.1.3</t>
        </is>
      </c>
      <c r="H243" s="12" t="inlineStr">
        <is>
          <t>-</t>
        </is>
      </c>
      <c r="I243" s="10" t="inlineStr">
        <is>
          <t>YET TO START</t>
        </is>
      </c>
      <c r="J243" s="12" t="inlineStr">
        <is>
          <t>Not started</t>
        </is>
      </c>
      <c r="K243" s="12" t="inlineStr">
        <is>
          <t>-</t>
        </is>
      </c>
      <c r="L243" s="12" t="inlineStr">
        <is>
          <t>-</t>
        </is>
      </c>
      <c r="M243" s="12" t="inlineStr">
        <is>
          <t>-</t>
        </is>
      </c>
      <c r="N243" s="12" t="inlineStr">
        <is>
          <t>Run phases 1-4 and record results</t>
        </is>
      </c>
      <c r="O243" s="12" t="inlineStr">
        <is>
          <t>-</t>
        </is>
      </c>
      <c r="P243" s="12" t="inlineStr">
        <is>
          <t>YET TO START</t>
        </is>
      </c>
      <c r="Q243" s="12" t="inlineStr">
        <is>
          <t>No change</t>
        </is>
      </c>
      <c r="R243" s="12" t="inlineStr">
        <is>
          <t>TEST_SUMMARY_AND_STATUS.md</t>
        </is>
      </c>
    </row>
    <row r="244" ht="63" customFormat="1" customHeight="1" s="2">
      <c r="A244" s="10" t="n">
        <v>243</v>
      </c>
      <c r="B244" s="12" t="inlineStr">
        <is>
          <t>QA &amp; Testing</t>
        </is>
      </c>
      <c r="C244" s="9" t="inlineStr">
        <is>
          <t>QA-004</t>
        </is>
      </c>
      <c r="D244" s="12" t="inlineStr">
        <is>
          <t>QA</t>
        </is>
      </c>
      <c r="E244" s="12" t="inlineStr">
        <is>
          <t>Four-features browser test run on test.gokesari.com (all roles, phone + desktop)</t>
        </is>
      </c>
      <c r="F244" s="12"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44" s="12" t="inlineStr">
        <is>
          <t>F14.1.5</t>
        </is>
      </c>
      <c r="H244" s="12" t="inlineStr">
        <is>
          <t>-</t>
        </is>
      </c>
      <c r="I244" s="10" t="inlineStr">
        <is>
          <t>COMPLETED</t>
        </is>
      </c>
      <c r="J244" s="12" t="inlineStr">
        <is>
          <t>Test site only (test.gokesari.com)</t>
        </is>
      </c>
      <c r="K244" s="12" t="inlineStr">
        <is>
          <t>-</t>
        </is>
      </c>
      <c r="L244" s="12" t="inlineStr">
        <is>
          <t>#103; #104 (re-check of the fixes)</t>
        </is>
      </c>
      <c r="M244" s="12" t="inlineStr">
        <is>
          <t>Not needed (test only)</t>
        </is>
      </c>
      <c r="N244" s="12" t="inlineStr">
        <is>
          <t>Payout gate and payer-name mismatch not runnable on test (covered by integration tests); referrals@ inbox arrival to be confirmed by the owner</t>
        </is>
      </c>
      <c r="O244" s="12" t="inlineStr">
        <is>
          <t>-</t>
        </is>
      </c>
      <c r="P244" s="12" t="inlineStr">
        <is>
          <t>COMPLETED</t>
        </is>
      </c>
      <c r="Q244" s="12" t="inlineStr">
        <is>
          <t>No change</t>
        </is>
      </c>
      <c r="R244" s="12" t="inlineStr">
        <is>
          <t>docs/four-features-2026-10/TEST_RESULTS.md</t>
        </is>
      </c>
    </row>
    <row r="245" ht="87" customFormat="1" customHeight="1" s="2">
      <c r="A245" s="10" t="n">
        <v>244</v>
      </c>
      <c r="B245" s="12" t="inlineStr">
        <is>
          <t>QA &amp; Testing</t>
        </is>
      </c>
      <c r="C245" s="9" t="inlineStr">
        <is>
          <t>QA-005</t>
        </is>
      </c>
      <c r="D245" s="12" t="inlineStr">
        <is>
          <t>QA</t>
        </is>
      </c>
      <c r="E245" s="12" t="inlineStr">
        <is>
          <t>Tile Board UI pass test run on test.gokesari.com (all roles, phone, app size, slow 4G, Lighthouse)</t>
        </is>
      </c>
      <c r="F245" s="12" t="inlineStr">
        <is>
          <t>1,038 checks: end-to-end journeys for customer, shop owner, operator and admin; every board and menu link; access to other roles' screens; Lighthouse; one-screen fit at 7 sizes x 3 languages. Production read-only checks after #126.</t>
        </is>
      </c>
      <c r="G245" s="12" t="inlineStr">
        <is>
          <t>F14.1.5</t>
        </is>
      </c>
      <c r="H245" s="12" t="inlineStr">
        <is>
          <t>-</t>
        </is>
      </c>
      <c r="I245" s="10" t="inlineStr">
        <is>
          <t>COMPLETED</t>
        </is>
      </c>
      <c r="J245" s="12" t="inlineStr">
        <is>
          <t>Test site only (test.gokesari.com)</t>
        </is>
      </c>
      <c r="K245" s="12" t="inlineStr">
        <is>
          <t>-</t>
        </is>
      </c>
      <c r="L245" s="12" t="inlineStr">
        <is>
          <t>#124 (results, issue register)</t>
        </is>
      </c>
      <c r="M245" s="12" t="inlineStr">
        <is>
          <t>Not needed (test only)</t>
        </is>
      </c>
      <c r="N245" s="12" t="inlineStr">
        <is>
          <t>8 fail (5 slow-4G pages 3.6-5.0 s against 3 s; shop board 2 px over at 320x640; 1 link blocked in the test browser; 1 Lighthouse) and 4 not run (wallet top-up and shop recharge - Actions billing; rider return pickup; KYC-pending shop approval, correctly refused)</t>
        </is>
      </c>
      <c r="O245" s="12" t="inlineStr">
        <is>
          <t>-</t>
        </is>
      </c>
      <c r="P245" s="12" t="inlineStr">
        <is>
          <t>COMPLETED</t>
        </is>
      </c>
      <c r="Q245" s="12" t="inlineStr">
        <is>
          <t>No change</t>
        </is>
      </c>
      <c r="R245" s="12" t="inlineStr">
        <is>
          <t>docs/tile-board-2026-10/TEST_RESULTS_UI_PASS.md; docs/tile-board-2026-10/GoKesari_UI_Test_Report_2026-10-09.xlsx; docs/gokesari-audit/GoKesari_UI_Issue_Register_2026-10-09.xlsx</t>
        </is>
      </c>
    </row>
    <row r="246" ht="39" customFormat="1" customHeight="1" s="2">
      <c r="A246" s="10" t="n">
        <v>245</v>
      </c>
      <c r="B246" s="12" t="inlineStr">
        <is>
          <t>QA &amp; Testing</t>
        </is>
      </c>
      <c r="C246" s="9" t="inlineStr">
        <is>
          <t>QA-006</t>
        </is>
      </c>
      <c r="D246" s="12" t="inlineStr">
        <is>
          <t>QA</t>
        </is>
      </c>
      <c r="E246" s="12" t="inlineStr">
        <is>
          <t>Nearby shops + referral settings test run (test site, Android / iPhone / desktop; production checks)</t>
        </is>
      </c>
      <c r="F246" s="12" t="inlineStr">
        <is>
          <t>Every Nearby and referral-setting case on test.gokesari.com, with screenshots; read-only production checks after release #135; Android APK download links.</t>
        </is>
      </c>
      <c r="G246" s="12" t="inlineStr">
        <is>
          <t>F14.1.5</t>
        </is>
      </c>
      <c r="H246" s="12" t="inlineStr">
        <is>
          <t>-</t>
        </is>
      </c>
      <c r="I246" s="10" t="inlineStr">
        <is>
          <t>COMPLETED</t>
        </is>
      </c>
      <c r="J246" s="12" t="inlineStr">
        <is>
          <t>Test site only (test.gokesari.com)</t>
        </is>
      </c>
      <c r="K246" s="12" t="inlineStr">
        <is>
          <t>-</t>
        </is>
      </c>
      <c r="L246" s="12" t="inlineStr">
        <is>
          <t>#136; #137</t>
        </is>
      </c>
      <c r="M246" s="12" t="inlineStr">
        <is>
          <t>Not needed (test only)</t>
        </is>
      </c>
      <c r="N246" s="12" t="inlineStr">
        <is>
          <t>Paid self-registration (no SMS provider on test); Directions tap on a real phone</t>
        </is>
      </c>
      <c r="O246" s="12" t="inlineStr">
        <is>
          <t>-</t>
        </is>
      </c>
      <c r="P246" s="12" t="inlineStr">
        <is>
          <t>COMPLETED</t>
        </is>
      </c>
      <c r="Q246" s="12" t="inlineStr">
        <is>
          <t>No change</t>
        </is>
      </c>
      <c r="R246" s="12" t="inlineStr">
        <is>
          <t>docs/nearby-referral-2026-10/TEST_RESULTS.md</t>
        </is>
      </c>
    </row>
    <row r="247" ht="39" customFormat="1" customHeight="1" s="2">
      <c r="A247" s="10" t="n">
        <v>246</v>
      </c>
      <c r="B247" s="12" t="inlineStr">
        <is>
          <t>QA &amp; Testing</t>
        </is>
      </c>
      <c r="C247" s="9" t="inlineStr">
        <is>
          <t>QA-007</t>
        </is>
      </c>
      <c r="D247" s="12" t="inlineStr">
        <is>
          <t>QA</t>
        </is>
      </c>
      <c r="E247" s="12" t="inlineStr">
        <is>
          <t>13 Oct release test run (document upload, FSSAI, footer, branding, DB split)</t>
        </is>
      </c>
      <c r="F247" s="12" t="inlineStr">
        <is>
          <t>Staging and production checks for release #149 and its follow-ups: upload flow, FSSAI gate, branding / footer E2E, smoke of 8 public pages before and after, test DB split verification.</t>
        </is>
      </c>
      <c r="G247" s="12" t="inlineStr">
        <is>
          <t>F14.1.5</t>
        </is>
      </c>
      <c r="H247" s="12" t="inlineStr">
        <is>
          <t>-</t>
        </is>
      </c>
      <c r="I247" s="10" t="inlineStr">
        <is>
          <t>COMPLETED</t>
        </is>
      </c>
      <c r="J247" s="12" t="inlineStr">
        <is>
          <t>Test site only (test.gokesari.com)</t>
        </is>
      </c>
      <c r="K247" s="12" t="inlineStr">
        <is>
          <t>-</t>
        </is>
      </c>
      <c r="L247" s="12" t="inlineStr">
        <is>
          <t>#147; #150; #154</t>
        </is>
      </c>
      <c r="M247" s="12" t="inlineStr">
        <is>
          <t>Not needed (test only)</t>
        </is>
      </c>
      <c r="N247" s="12" t="inlineStr">
        <is>
          <t>OCR auto-read not working on Hostinger; no run after the saffron wordmark (#153)</t>
        </is>
      </c>
      <c r="O247" s="12" t="inlineStr">
        <is>
          <t>-</t>
        </is>
      </c>
      <c r="P247" s="12" t="inlineStr">
        <is>
          <t>COMPLETED</t>
        </is>
      </c>
      <c r="Q247" s="12" t="inlineStr">
        <is>
          <t>No change</t>
        </is>
      </c>
      <c r="R247" s="12" t="inlineStr">
        <is>
          <t>docs/document-upload-2026-10/TEST_RESULTS.md; docs/gokesari-audit/GOKESARI_FEATURE_STATUS_REPORT_2026-10-13.xlsx</t>
        </is>
      </c>
    </row>
    <row r="248" ht="87" customFormat="1" customHeight="1" s="2">
      <c r="A248" s="10" t="n">
        <v>247</v>
      </c>
      <c r="B248" s="12" t="inlineStr">
        <is>
          <t>QA &amp; Testing</t>
        </is>
      </c>
      <c r="C248" s="9" t="inlineStr">
        <is>
          <t>QA-008</t>
        </is>
      </c>
      <c r="D248" s="12" t="inlineStr">
        <is>
          <t>QA</t>
        </is>
      </c>
      <c r="E248" s="12" t="inlineStr">
        <is>
          <t>Order-lifecycle run on staging (sign-up -&gt; order -&gt; delivery code -&gt; done)</t>
        </is>
      </c>
      <c r="F248" s="12" t="inlineStr">
        <is>
          <t>Planned end-to-end run of a full order on test.gokesari.com after the 13 Oct release.</t>
        </is>
      </c>
      <c r="G248" s="12" t="inlineStr">
        <is>
          <t>F14.1.3</t>
        </is>
      </c>
      <c r="H248" s="12" t="inlineStr">
        <is>
          <t>-</t>
        </is>
      </c>
      <c r="I248" s="10" t="inlineStr">
        <is>
          <t>COMPLETED</t>
        </is>
      </c>
      <c r="J248" s="12" t="inlineStr">
        <is>
          <t>Test site only (test.gokesari.com)</t>
        </is>
      </c>
      <c r="K248" s="12" t="inlineStr">
        <is>
          <t>-</t>
        </is>
      </c>
      <c r="L248" s="12" t="inlineStr">
        <is>
          <t>#168 (fix for the blocker the run found); #170 (results, open PR)</t>
        </is>
      </c>
      <c r="M248" s="12" t="inlineStr">
        <is>
          <t>Not needed (test only)</t>
        </is>
      </c>
      <c r="N248" s="12" t="inlineStr">
        <is>
          <t>Open defects from the run: My Orders card wording after a switch to pickup (GAP-018); wallet checkout takes 30-38 s (GAP-019)</t>
        </is>
      </c>
      <c r="O248" s="12" t="inlineStr">
        <is>
          <t>-</t>
        </is>
      </c>
      <c r="P248" s="12" t="inlineStr">
        <is>
          <t>COMPLETED</t>
        </is>
      </c>
      <c r="Q248" s="12" t="inlineStr">
        <is>
          <t>No change</t>
        </is>
      </c>
      <c r="R248" s="12" t="inlineStr">
        <is>
          <t>docs/order-lifecycle-2026-10/TEST_RESULTS_STAGING_2026-10-14.md; docs/testing/GOKESARI_TEST_RESULTS_TRACKER_2026-10-14.xlsx (TR-22, TR-23)</t>
        </is>
      </c>
    </row>
    <row r="249" ht="51" customFormat="1" customHeight="1" s="2">
      <c r="A249" s="10" t="n">
        <v>248</v>
      </c>
      <c r="B249" s="12" t="inlineStr">
        <is>
          <t>QA &amp; Testing</t>
        </is>
      </c>
      <c r="C249" s="9" t="inlineStr">
        <is>
          <t>QA-009</t>
        </is>
      </c>
      <c r="D249" s="12" t="inlineStr">
        <is>
          <t>QA</t>
        </is>
      </c>
      <c r="E249" s="12" t="inlineStr">
        <is>
          <t>Order-lifecycle run on production (gokesari.com) with a real payment</t>
        </is>
      </c>
      <c r="F249" s="12" t="inlineStr">
        <is>
          <t>The same lifecycle as QA-008 on gokesari.com: a real customer top-up paid by the owner, a real shop with delivery on, an approved rider, pickup and delivery codes, DELIVERED, wallet charges. No test data or sandbox keys on production.</t>
        </is>
      </c>
      <c r="G249" s="12" t="inlineStr">
        <is>
          <t>F14.1.3</t>
        </is>
      </c>
      <c r="H249" s="12" t="inlineStr">
        <is>
          <t>-</t>
        </is>
      </c>
      <c r="I249" s="10" t="inlineStr">
        <is>
          <t>BLOCKED</t>
        </is>
      </c>
      <c r="J249" s="12" t="inlineStr">
        <is>
          <t>Not started</t>
        </is>
      </c>
      <c r="K249" s="12" t="inlineStr">
        <is>
          <t>-</t>
        </is>
      </c>
      <c r="L249" s="12" t="inlineStr">
        <is>
          <t>-</t>
        </is>
      </c>
      <c r="M249" s="12" t="inlineStr">
        <is>
          <t>-</t>
        </is>
      </c>
      <c r="N249" s="12" t="inlineStr">
        <is>
          <t>Needs the owner's production shop and owner email, an approved rider, Cashfree live keys confirmed, and the owner to pay the top-up</t>
        </is>
      </c>
      <c r="O249" s="12" t="inlineStr">
        <is>
          <t>Owner: the four inputs (Blockers #44)</t>
        </is>
      </c>
      <c r="P249" s="12" t="inlineStr">
        <is>
          <t>BLOCKED</t>
        </is>
      </c>
      <c r="Q249" s="12" t="inlineStr">
        <is>
          <t>No change</t>
        </is>
      </c>
      <c r="R249" s="12" t="inlineStr">
        <is>
          <t>docs/order-lifecycle-2026-10/TEST_RESULTS_STAGING_2026-10-14.md (Production)</t>
        </is>
      </c>
    </row>
    <row r="250" ht="27" customFormat="1" customHeight="1" s="2">
      <c r="A250" s="10" t="n">
        <v>249</v>
      </c>
      <c r="B250" s="12" t="inlineStr">
        <is>
          <t>Known gaps (not started)</t>
        </is>
      </c>
      <c r="C250" s="9" t="inlineStr">
        <is>
          <t>GAP-001</t>
        </is>
      </c>
      <c r="D250" s="12" t="inlineStr">
        <is>
          <t>Delivery</t>
        </is>
      </c>
      <c r="E250" s="12" t="inlineStr">
        <is>
          <t>Pickup QR code</t>
        </is>
      </c>
      <c r="F250" s="12" t="inlineStr">
        <is>
          <t>Pickup is confirmed with a code only; no QR.</t>
        </is>
      </c>
      <c r="G250" s="12" t="inlineStr">
        <is>
          <t>F4.1.3</t>
        </is>
      </c>
      <c r="H250" s="12" t="inlineStr">
        <is>
          <t>-</t>
        </is>
      </c>
      <c r="I250" s="10" t="inlineStr">
        <is>
          <t>YET TO START</t>
        </is>
      </c>
      <c r="J250" s="12" t="inlineStr">
        <is>
          <t>Not started</t>
        </is>
      </c>
      <c r="K250" s="12" t="inlineStr">
        <is>
          <t>-</t>
        </is>
      </c>
      <c r="L250" s="12" t="inlineStr">
        <is>
          <t>-</t>
        </is>
      </c>
      <c r="M250" s="12" t="inlineStr">
        <is>
          <t>-</t>
        </is>
      </c>
      <c r="N250" s="12" t="inlineStr">
        <is>
          <t>Build if wanted</t>
        </is>
      </c>
      <c r="O250" s="12" t="inlineStr">
        <is>
          <t>-</t>
        </is>
      </c>
      <c r="P250" s="12" t="inlineStr">
        <is>
          <t>YET TO START</t>
        </is>
      </c>
      <c r="Q250" s="12" t="inlineStr">
        <is>
          <t>No change</t>
        </is>
      </c>
      <c r="R250" s="12" t="inlineStr">
        <is>
          <t>6 Oct flow diagram, step 19</t>
        </is>
      </c>
    </row>
    <row r="251" ht="27" customFormat="1" customHeight="1" s="2">
      <c r="A251" s="10" t="n">
        <v>250</v>
      </c>
      <c r="B251" s="12" t="inlineStr">
        <is>
          <t>Known gaps (not started)</t>
        </is>
      </c>
      <c r="C251" s="9" t="inlineStr">
        <is>
          <t>GAP-002</t>
        </is>
      </c>
      <c r="D251" s="12" t="inlineStr">
        <is>
          <t>Delivery</t>
        </is>
      </c>
      <c r="E251" s="12" t="inlineStr">
        <is>
          <t>In-app turn-by-turn navigation</t>
        </is>
      </c>
      <c r="F251" s="12" t="inlineStr">
        <is>
          <t>Riders get a Google Maps deep link; no in-app navigation.</t>
        </is>
      </c>
      <c r="G251" s="12" t="inlineStr">
        <is>
          <t>F4.2.2</t>
        </is>
      </c>
      <c r="H251" s="12" t="inlineStr">
        <is>
          <t>-</t>
        </is>
      </c>
      <c r="I251" s="10" t="inlineStr">
        <is>
          <t>YET TO START</t>
        </is>
      </c>
      <c r="J251" s="12" t="inlineStr">
        <is>
          <t>Not started</t>
        </is>
      </c>
      <c r="K251" s="12" t="inlineStr">
        <is>
          <t>-</t>
        </is>
      </c>
      <c r="L251" s="12" t="inlineStr">
        <is>
          <t>-</t>
        </is>
      </c>
      <c r="M251" s="12" t="inlineStr">
        <is>
          <t>-</t>
        </is>
      </c>
      <c r="N251" s="12" t="inlineStr">
        <is>
          <t>Build if wanted</t>
        </is>
      </c>
      <c r="O251" s="12" t="inlineStr">
        <is>
          <t>-</t>
        </is>
      </c>
      <c r="P251" s="12" t="inlineStr">
        <is>
          <t>YET TO START</t>
        </is>
      </c>
      <c r="Q251" s="12" t="inlineStr">
        <is>
          <t>No change</t>
        </is>
      </c>
      <c r="R251" s="12" t="inlineStr">
        <is>
          <t>6 Oct flow diagram, step 20</t>
        </is>
      </c>
    </row>
    <row r="252" ht="27" customFormat="1" customHeight="1" s="2">
      <c r="A252" s="10" t="n">
        <v>251</v>
      </c>
      <c r="B252" s="12" t="inlineStr">
        <is>
          <t>Known gaps (not started)</t>
        </is>
      </c>
      <c r="C252" s="9" t="inlineStr">
        <is>
          <t>GAP-003</t>
        </is>
      </c>
      <c r="D252" s="12" t="inlineStr">
        <is>
          <t>Delivery</t>
        </is>
      </c>
      <c r="E252" s="12" t="inlineStr">
        <is>
          <t>Signature capture at delivery</t>
        </is>
      </c>
      <c r="F252" s="12" t="inlineStr">
        <is>
          <t>Delivery proof is OTP + optional photo; no signature.</t>
        </is>
      </c>
      <c r="G252" s="12" t="inlineStr">
        <is>
          <t>F4.2.6</t>
        </is>
      </c>
      <c r="H252" s="12" t="inlineStr">
        <is>
          <t>-</t>
        </is>
      </c>
      <c r="I252" s="10" t="inlineStr">
        <is>
          <t>YET TO START</t>
        </is>
      </c>
      <c r="J252" s="12" t="inlineStr">
        <is>
          <t>Not started</t>
        </is>
      </c>
      <c r="K252" s="12" t="inlineStr">
        <is>
          <t>-</t>
        </is>
      </c>
      <c r="L252" s="12" t="inlineStr">
        <is>
          <t>-</t>
        </is>
      </c>
      <c r="M252" s="12" t="inlineStr">
        <is>
          <t>-</t>
        </is>
      </c>
      <c r="N252" s="12" t="inlineStr">
        <is>
          <t>Build if wanted</t>
        </is>
      </c>
      <c r="O252" s="12" t="inlineStr">
        <is>
          <t>-</t>
        </is>
      </c>
      <c r="P252" s="12" t="inlineStr">
        <is>
          <t>YET TO START</t>
        </is>
      </c>
      <c r="Q252" s="12" t="inlineStr">
        <is>
          <t>No change</t>
        </is>
      </c>
      <c r="R252" s="12" t="inlineStr">
        <is>
          <t>6 Oct flow diagram, step 22</t>
        </is>
      </c>
    </row>
    <row r="253" ht="27" customFormat="1" customHeight="1" s="2">
      <c r="A253" s="10" t="n">
        <v>252</v>
      </c>
      <c r="B253" s="12" t="inlineStr">
        <is>
          <t>Known gaps (not started)</t>
        </is>
      </c>
      <c r="C253" s="9" t="inlineStr">
        <is>
          <t>GAP-004</t>
        </is>
      </c>
      <c r="D253" s="12" t="inlineStr">
        <is>
          <t>Delivery</t>
        </is>
      </c>
      <c r="E253" s="12" t="inlineStr">
        <is>
          <t>Broadcast job offers / radius widening</t>
        </is>
      </c>
      <c r="F253" s="12" t="inlineStr">
        <is>
          <t>Offers go to one rider at a time; the search radius is not widened.</t>
        </is>
      </c>
      <c r="G253" s="12" t="inlineStr">
        <is>
          <t>F3.3.2</t>
        </is>
      </c>
      <c r="H253" s="12" t="inlineStr">
        <is>
          <t>-</t>
        </is>
      </c>
      <c r="I253" s="10" t="inlineStr">
        <is>
          <t>YET TO START</t>
        </is>
      </c>
      <c r="J253" s="12" t="inlineStr">
        <is>
          <t>Not started</t>
        </is>
      </c>
      <c r="K253" s="12" t="inlineStr">
        <is>
          <t>-</t>
        </is>
      </c>
      <c r="L253" s="12" t="inlineStr">
        <is>
          <t>-</t>
        </is>
      </c>
      <c r="M253" s="12" t="inlineStr">
        <is>
          <t>-</t>
        </is>
      </c>
      <c r="N253" s="12" t="inlineStr">
        <is>
          <t>Build if wanted</t>
        </is>
      </c>
      <c r="O253" s="12" t="inlineStr">
        <is>
          <t>-</t>
        </is>
      </c>
      <c r="P253" s="12" t="inlineStr">
        <is>
          <t>YET TO START</t>
        </is>
      </c>
      <c r="Q253" s="12" t="inlineStr">
        <is>
          <t>No change</t>
        </is>
      </c>
      <c r="R253" s="12" t="inlineStr">
        <is>
          <t>6 Oct flow diagram, step 17</t>
        </is>
      </c>
    </row>
    <row r="254" ht="27" customFormat="1" customHeight="1" s="2">
      <c r="A254" s="10" t="n">
        <v>253</v>
      </c>
      <c r="B254" s="12" t="inlineStr">
        <is>
          <t>Known gaps (not started)</t>
        </is>
      </c>
      <c r="C254" s="9" t="inlineStr">
        <is>
          <t>GAP-005</t>
        </is>
      </c>
      <c r="D254" s="12" t="inlineStr">
        <is>
          <t>Finance</t>
        </is>
      </c>
      <c r="E254" s="12" t="inlineStr">
        <is>
          <t>Automated bank transfer for settlements and rider payouts</t>
        </is>
      </c>
      <c r="F254" s="12" t="inlineStr">
        <is>
          <t>Settlements and payouts are calculated; the bank transfer itself is manual.</t>
        </is>
      </c>
      <c r="G254" s="12" t="inlineStr">
        <is>
          <t>F10.2.4</t>
        </is>
      </c>
      <c r="H254" s="12" t="inlineStr">
        <is>
          <t>-</t>
        </is>
      </c>
      <c r="I254" s="10" t="inlineStr">
        <is>
          <t>YET TO START</t>
        </is>
      </c>
      <c r="J254" s="12" t="inlineStr">
        <is>
          <t>Not started</t>
        </is>
      </c>
      <c r="K254" s="12" t="inlineStr">
        <is>
          <t>-</t>
        </is>
      </c>
      <c r="L254" s="12" t="inlineStr">
        <is>
          <t>-</t>
        </is>
      </c>
      <c r="M254" s="12" t="inlineStr">
        <is>
          <t>-</t>
        </is>
      </c>
      <c r="N254" s="12" t="inlineStr">
        <is>
          <t>Payout-API integration</t>
        </is>
      </c>
      <c r="O254" s="12" t="inlineStr">
        <is>
          <t>-</t>
        </is>
      </c>
      <c r="P254" s="12" t="inlineStr">
        <is>
          <t>YET TO START</t>
        </is>
      </c>
      <c r="Q254" s="12" t="inlineStr">
        <is>
          <t>No change</t>
        </is>
      </c>
      <c r="R254" s="12" t="inlineStr">
        <is>
          <t>6 Oct flow diagram, step 30</t>
        </is>
      </c>
    </row>
    <row r="255" ht="27" customFormat="1" customHeight="1" s="2">
      <c r="A255" s="10" t="n">
        <v>254</v>
      </c>
      <c r="B255" s="12" t="inlineStr">
        <is>
          <t>Known gaps (not started)</t>
        </is>
      </c>
      <c r="C255" s="9" t="inlineStr">
        <is>
          <t>GAP-006</t>
        </is>
      </c>
      <c r="D255" s="12" t="inlineStr">
        <is>
          <t>Finance</t>
        </is>
      </c>
      <c r="E255" s="12" t="inlineStr">
        <is>
          <t>Platform tax invoice for GoKesari's own fees (D6)</t>
        </is>
      </c>
      <c r="F255" s="12" t="inlineStr">
        <is>
          <t>The delivery fee is not invoiced and no SAC code is configured.</t>
        </is>
      </c>
      <c r="G255" s="12" t="inlineStr">
        <is>
          <t>F10.2.5</t>
        </is>
      </c>
      <c r="H255" s="12" t="inlineStr">
        <is>
          <t>-</t>
        </is>
      </c>
      <c r="I255" s="10" t="inlineStr">
        <is>
          <t>YET TO START</t>
        </is>
      </c>
      <c r="J255" s="12" t="inlineStr">
        <is>
          <t>Not started</t>
        </is>
      </c>
      <c r="K255" s="12" t="inlineStr">
        <is>
          <t>-</t>
        </is>
      </c>
      <c r="L255" s="12" t="inlineStr">
        <is>
          <t>-</t>
        </is>
      </c>
      <c r="M255" s="12" t="inlineStr">
        <is>
          <t>-</t>
        </is>
      </c>
      <c r="N255" s="12" t="inlineStr">
        <is>
          <t>Platform invoice + SAC</t>
        </is>
      </c>
      <c r="O255" s="12" t="inlineStr">
        <is>
          <t>D6 settlement model (pending)</t>
        </is>
      </c>
      <c r="P255" s="12" t="inlineStr">
        <is>
          <t>YET TO START</t>
        </is>
      </c>
      <c r="Q255" s="12" t="inlineStr">
        <is>
          <t>No change</t>
        </is>
      </c>
      <c r="R255" s="12" t="inlineStr">
        <is>
          <t>ITEMS_A_E_2026-10-07.md section 5</t>
        </is>
      </c>
    </row>
    <row r="256" ht="63" customFormat="1" customHeight="1" s="2">
      <c r="A256" s="10" t="n">
        <v>255</v>
      </c>
      <c r="B256" s="12" t="inlineStr">
        <is>
          <t>Known gaps (not started)</t>
        </is>
      </c>
      <c r="C256" s="9" t="inlineStr">
        <is>
          <t>GAP-007</t>
        </is>
      </c>
      <c r="D256" s="12" t="inlineStr">
        <is>
          <t>Orders</t>
        </is>
      </c>
      <c r="E256" s="12" t="inlineStr">
        <is>
          <t>Customer Cancel button on My Orders</t>
        </is>
      </c>
      <c r="F256" s="12" t="inlineStr">
        <is>
          <t>Cancel order on My Orders &gt; Active, before packing, with a 'Yes, cancel order' confirmation; the order moves to Past with 'cancelled, full amount back to your wallet'. Same request and rule as the cart's open-order cancel; the server checks again.</t>
        </is>
      </c>
      <c r="G256" s="12" t="inlineStr">
        <is>
          <t>F1.9.5</t>
        </is>
      </c>
      <c r="H256" s="12" t="inlineStr">
        <is>
          <t>-</t>
        </is>
      </c>
      <c r="I256" s="10" t="inlineStr">
        <is>
          <t>COMPLETED</t>
        </is>
      </c>
      <c r="J256" s="12" t="inlineStr">
        <is>
          <t>Production (gokesari.com)</t>
        </is>
      </c>
      <c r="K256" s="12" t="inlineStr">
        <is>
          <t>Live - follows rule cancellation (CONFIRMED orders by default; until packing when customerMayCancelUntil = PREPARING)</t>
        </is>
      </c>
      <c r="L256" s="12" t="inlineStr">
        <is>
          <t>#122</t>
        </is>
      </c>
      <c r="M256" s="12" t="inlineStr">
        <is>
          <t>#123</t>
        </is>
      </c>
      <c r="N256" s="12" t="inlineStr">
        <is>
          <t>-</t>
        </is>
      </c>
      <c r="O256" s="12" t="inlineStr">
        <is>
          <t>-</t>
        </is>
      </c>
      <c r="P256" s="12" t="inlineStr">
        <is>
          <t>COMPLETED</t>
        </is>
      </c>
      <c r="Q256" s="12" t="inlineStr">
        <is>
          <t>No change</t>
        </is>
      </c>
      <c r="R256" s="12" t="inlineStr">
        <is>
          <t>src/app/orders/page.tsx; docs/tile-board-2026-10/TEST_RESULTS_UI_PASS.md (C-08, C-15)</t>
        </is>
      </c>
    </row>
    <row r="257" ht="63" customFormat="1" customHeight="1" s="2">
      <c r="A257" s="10" t="n">
        <v>256</v>
      </c>
      <c r="B257" s="12" t="inlineStr">
        <is>
          <t>Known gaps (not started)</t>
        </is>
      </c>
      <c r="C257" s="9" t="inlineStr">
        <is>
          <t>GAP-008</t>
        </is>
      </c>
      <c r="D257" s="12" t="inlineStr">
        <is>
          <t>Location</t>
        </is>
      </c>
      <c r="E257" s="12" t="inlineStr">
        <is>
          <t>Map 'Confirm location' answers 500 on test.gokesari.com</t>
        </is>
      </c>
      <c r="F257" s="12" t="inlineStr">
        <is>
          <t>Geo-tagging an address on /profile/addresses shows 'Something went wrong' on the test site (geocoding call). The address still saves without the geo-tag. Pre-existing - not caused by the four features.</t>
        </is>
      </c>
      <c r="G257" s="12" t="inlineStr">
        <is>
          <t>F1.2.1</t>
        </is>
      </c>
      <c r="H257" s="12" t="inlineStr">
        <is>
          <t>-</t>
        </is>
      </c>
      <c r="I257" s="10" t="inlineStr">
        <is>
          <t>BLOCKED</t>
        </is>
      </c>
      <c r="J257" s="12" t="inlineStr">
        <is>
          <t>Test site only (test.gokesari.com)</t>
        </is>
      </c>
      <c r="K257" s="12" t="inlineStr">
        <is>
          <t>-</t>
        </is>
      </c>
      <c r="L257" s="12" t="inlineStr">
        <is>
          <t>-</t>
        </is>
      </c>
      <c r="M257" s="12" t="inlineStr">
        <is>
          <t>-</t>
        </is>
      </c>
      <c r="N257" s="12" t="inlineStr">
        <is>
          <t>Cause found (N-1): the test server key GOOGLE_MAPS_SERVER_API_KEY is restricted by HTTP referrer, so Google refuses server calls. Switch it to an IP restriction; check production's key too</t>
        </is>
      </c>
      <c r="O257" s="12" t="inlineStr">
        <is>
          <t>Owner: change the Maps server key restriction</t>
        </is>
      </c>
      <c r="P257" s="12" t="inlineStr">
        <is>
          <t>BLOCKED</t>
        </is>
      </c>
      <c r="Q257" s="12" t="inlineStr">
        <is>
          <t>No change</t>
        </is>
      </c>
      <c r="R257" s="12" t="inlineStr">
        <is>
          <t>docs/four-features-2026-10/TEST_RESULTS.md (Regression - address)</t>
        </is>
      </c>
    </row>
    <row r="258" ht="51" customFormat="1" customHeight="1" s="2">
      <c r="A258" s="10" t="n">
        <v>257</v>
      </c>
      <c r="B258" s="12" t="inlineStr">
        <is>
          <t>Known gaps (not started)</t>
        </is>
      </c>
      <c r="C258" s="9" t="inlineStr">
        <is>
          <t>GAP-009</t>
        </is>
      </c>
      <c r="D258" s="12" t="inlineStr">
        <is>
          <t>Notifications</t>
        </is>
      </c>
      <c r="E258" s="12" t="inlineStr">
        <is>
          <t>Email sending capacity (mail host hourly limit)</t>
        </is>
      </c>
      <c r="F258" s="12" t="inlineStr">
        <is>
          <t>The test site's mailbox hit Hostinger's hourly sending cap ('451 4.7.1 Ratelimit hostinger_out_ratelimit exceeded'); emails were retried with back-off and a few marked DEAD. A busy production day sends more than the test run did.</t>
        </is>
      </c>
      <c r="G258" s="12" t="inlineStr">
        <is>
          <t>F13.1.1</t>
        </is>
      </c>
      <c r="H258" s="12" t="inlineStr">
        <is>
          <t>-</t>
        </is>
      </c>
      <c r="I258" s="10" t="inlineStr">
        <is>
          <t>YET TO START</t>
        </is>
      </c>
      <c r="J258" s="12" t="inlineStr">
        <is>
          <t>Not started</t>
        </is>
      </c>
      <c r="K258" s="12" t="inlineStr">
        <is>
          <t>-</t>
        </is>
      </c>
      <c r="L258" s="12" t="inlineStr">
        <is>
          <t>-</t>
        </is>
      </c>
      <c r="M258" s="12" t="inlineStr">
        <is>
          <t>-</t>
        </is>
      </c>
      <c r="N258" s="12" t="inlineStr">
        <is>
          <t>Raise the limit with the host or send through a transactional email service; check SPF/DKIM</t>
        </is>
      </c>
      <c r="O258" s="12" t="inlineStr">
        <is>
          <t>Owner: email provider choice</t>
        </is>
      </c>
      <c r="P258" s="12" t="inlineStr">
        <is>
          <t>YET TO START</t>
        </is>
      </c>
      <c r="Q258" s="12" t="inlineStr">
        <is>
          <t>No change</t>
        </is>
      </c>
      <c r="R258" s="12" t="inlineStr">
        <is>
          <t>docs/four-features-2026-10/README.md section 5 item 2 (S-5)</t>
        </is>
      </c>
    </row>
    <row r="259" ht="39" customFormat="1" customHeight="1" s="2">
      <c r="A259" s="10" t="n">
        <v>258</v>
      </c>
      <c r="B259" s="12" t="inlineStr">
        <is>
          <t>Known gaps (not started)</t>
        </is>
      </c>
      <c r="C259" s="9" t="inlineStr">
        <is>
          <t>GAP-010</t>
        </is>
      </c>
      <c r="D259" s="12" t="inlineStr">
        <is>
          <t>Performance</t>
        </is>
      </c>
      <c r="E259" s="12" t="inlineStr">
        <is>
          <t>Slow signed-in pages and cold first visits (database far from the web server)</t>
        </is>
      </c>
      <c r="F259" s="12" t="inlineStr">
        <is>
          <t>Signed-in pages take 3.4-5.1 s of server time on the test site; the first visit after a quiet spell waits ~4 s on gokesari.com. Root cause: Neon database in us-east-2 and connections closed after 20 s idle.</t>
        </is>
      </c>
      <c r="G259" s="12" t="inlineStr">
        <is>
          <t>-</t>
        </is>
      </c>
      <c r="H259" s="12" t="inlineStr">
        <is>
          <t>-</t>
        </is>
      </c>
      <c r="I259" s="10" t="inlineStr">
        <is>
          <t>BLOCKED</t>
        </is>
      </c>
      <c r="J259" s="12" t="inlineStr">
        <is>
          <t>Not started</t>
        </is>
      </c>
      <c r="K259" s="12" t="inlineStr">
        <is>
          <t>-</t>
        </is>
      </c>
      <c r="L259" s="12" t="inlineStr">
        <is>
          <t>-</t>
        </is>
      </c>
      <c r="M259" s="12" t="inlineStr">
        <is>
          <t>-</t>
        </is>
      </c>
      <c r="N259" s="12" t="inlineStr">
        <is>
          <t>Database and web server in the same region and a longer idle timeout; then prepared statements (PLT-013)</t>
        </is>
      </c>
      <c r="O259" s="12" t="inlineStr">
        <is>
          <t>Owner: hosting decision (Blockers #35)</t>
        </is>
      </c>
      <c r="P259" s="12" t="inlineStr">
        <is>
          <t>BLOCKED</t>
        </is>
      </c>
      <c r="Q259" s="12" t="inlineStr">
        <is>
          <t>No change</t>
        </is>
      </c>
      <c r="R259" s="12" t="inlineStr">
        <is>
          <t>GoKesari_UI_Issue_Register_2026-10-09.xlsx (PERF-01, PERF-02)</t>
        </is>
      </c>
    </row>
    <row r="260" ht="27" customFormat="1" customHeight="1" s="2">
      <c r="A260" s="10" t="n">
        <v>259</v>
      </c>
      <c r="B260" s="12" t="inlineStr">
        <is>
          <t>Known gaps (not started)</t>
        </is>
      </c>
      <c r="C260" s="9" t="inlineStr">
        <is>
          <t>GAP-011</t>
        </is>
      </c>
      <c r="D260" s="12" t="inlineStr">
        <is>
          <t>Search</t>
        </is>
      </c>
      <c r="E260" s="12" t="inlineStr">
        <is>
          <t>Search shows '0 shops' for products that nearby shops sell</t>
        </is>
      </c>
      <c r="F260" s="12" t="inlineStr">
        <is>
          <t>Search 'milk' lists products but 0 shops.</t>
        </is>
      </c>
      <c r="G260" s="12" t="inlineStr">
        <is>
          <t>F1.4.1</t>
        </is>
      </c>
      <c r="H260" s="12" t="inlineStr">
        <is>
          <t>-</t>
        </is>
      </c>
      <c r="I260" s="10" t="inlineStr">
        <is>
          <t>YET TO START</t>
        </is>
      </c>
      <c r="J260" s="12" t="inlineStr">
        <is>
          <t>Not started</t>
        </is>
      </c>
      <c r="K260" s="12" t="inlineStr">
        <is>
          <t>-</t>
        </is>
      </c>
      <c r="L260" s="12" t="inlineStr">
        <is>
          <t>-</t>
        </is>
      </c>
      <c r="M260" s="12" t="inlineStr">
        <is>
          <t>-</t>
        </is>
      </c>
      <c r="N260" s="12" t="inlineStr">
        <is>
          <t>Fix shop matching in search (back-end)</t>
        </is>
      </c>
      <c r="O260" s="12" t="inlineStr">
        <is>
          <t>-</t>
        </is>
      </c>
      <c r="P260" s="12" t="inlineStr">
        <is>
          <t>YET TO START</t>
        </is>
      </c>
      <c r="Q260" s="12" t="inlineStr">
        <is>
          <t>No change</t>
        </is>
      </c>
      <c r="R260" s="12" t="inlineStr">
        <is>
          <t>GoKesari_UI_Issue_Register_2026-10-09.xlsx (AUD-21)</t>
        </is>
      </c>
    </row>
    <row r="261" ht="27" customFormat="1" customHeight="1" s="2">
      <c r="A261" s="10" t="n">
        <v>260</v>
      </c>
      <c r="B261" s="12" t="inlineStr">
        <is>
          <t>Known gaps (not started)</t>
        </is>
      </c>
      <c r="C261" s="9" t="inlineStr">
        <is>
          <t>GAP-012</t>
        </is>
      </c>
      <c r="D261" s="12" t="inlineStr">
        <is>
          <t>Disputes</t>
        </is>
      </c>
      <c r="E261" s="12" t="inlineStr">
        <is>
          <t>Admin dispute resolution gives no visible confirmation</t>
        </is>
      </c>
      <c r="F261" s="12" t="inlineStr">
        <is>
          <t>Resolving a dispute applied after a few seconds with no busy state or success message; a repeat click was refused (409).</t>
        </is>
      </c>
      <c r="G261" s="12" t="inlineStr">
        <is>
          <t>F6.3.2</t>
        </is>
      </c>
      <c r="H261" s="12" t="inlineStr">
        <is>
          <t>-</t>
        </is>
      </c>
      <c r="I261" s="10" t="inlineStr">
        <is>
          <t>YET TO START</t>
        </is>
      </c>
      <c r="J261" s="12" t="inlineStr">
        <is>
          <t>Not started</t>
        </is>
      </c>
      <c r="K261" s="12" t="inlineStr">
        <is>
          <t>-</t>
        </is>
      </c>
      <c r="L261" s="12" t="inlineStr">
        <is>
          <t>-</t>
        </is>
      </c>
      <c r="M261" s="12" t="inlineStr">
        <is>
          <t>-</t>
        </is>
      </c>
      <c r="N261" s="12" t="inlineStr">
        <is>
          <t>Busy state and success message on the resolve form</t>
        </is>
      </c>
      <c r="O261" s="12" t="inlineStr">
        <is>
          <t>-</t>
        </is>
      </c>
      <c r="P261" s="12" t="inlineStr">
        <is>
          <t>YET TO START</t>
        </is>
      </c>
      <c r="Q261" s="12" t="inlineStr">
        <is>
          <t>No change</t>
        </is>
      </c>
      <c r="R261" s="12" t="inlineStr">
        <is>
          <t>GoKesari_UI_Issue_Register_2026-10-09.xlsx (TST-01)</t>
        </is>
      </c>
    </row>
    <row r="262" ht="27" customFormat="1" customHeight="1" s="2">
      <c r="A262" s="10" t="n">
        <v>261</v>
      </c>
      <c r="B262" s="12" t="inlineStr">
        <is>
          <t>Known gaps (not started)</t>
        </is>
      </c>
      <c r="C262" s="9" t="inlineStr">
        <is>
          <t>GAP-013</t>
        </is>
      </c>
      <c r="D262" s="12" t="inlineStr">
        <is>
          <t>Returns</t>
        </is>
      </c>
      <c r="E262" s="12" t="inlineStr">
        <is>
          <t>Approved return waiting for a rider cannot be completed by staff</t>
        </is>
      </c>
      <c r="F262" s="12" t="inlineStr">
        <is>
          <t>Manual completion of a return pickup is offered to staff only once a rider is on the way.</t>
        </is>
      </c>
      <c r="G262" s="12" t="inlineStr">
        <is>
          <t>-</t>
        </is>
      </c>
      <c r="H262" s="12" t="inlineStr">
        <is>
          <t>-</t>
        </is>
      </c>
      <c r="I262" s="10" t="inlineStr">
        <is>
          <t>YET TO START</t>
        </is>
      </c>
      <c r="J262" s="12" t="inlineStr">
        <is>
          <t>Not started</t>
        </is>
      </c>
      <c r="K262" s="12" t="inlineStr">
        <is>
          <t>-</t>
        </is>
      </c>
      <c r="L262" s="12" t="inlineStr">
        <is>
          <t>-</t>
        </is>
      </c>
      <c r="M262" s="12" t="inlineStr">
        <is>
          <t>-</t>
        </is>
      </c>
      <c r="N262" s="12" t="inlineStr">
        <is>
          <t>Decide whether staff may complete a pickup without a rider</t>
        </is>
      </c>
      <c r="O262" s="12" t="inlineStr">
        <is>
          <t>Owner: business rule</t>
        </is>
      </c>
      <c r="P262" s="12" t="inlineStr">
        <is>
          <t>YET TO START</t>
        </is>
      </c>
      <c r="Q262" s="12" t="inlineStr">
        <is>
          <t>No change</t>
        </is>
      </c>
      <c r="R262" s="12" t="inlineStr">
        <is>
          <t>GoKesari_UI_Issue_Register_2026-10-09.xlsx (TST-02)</t>
        </is>
      </c>
    </row>
    <row r="263" ht="27" customFormat="1" customHeight="1" s="2">
      <c r="A263" s="10" t="n">
        <v>262</v>
      </c>
      <c r="B263" s="12" t="inlineStr">
        <is>
          <t>Known gaps (not started)</t>
        </is>
      </c>
      <c r="C263" s="9" t="inlineStr">
        <is>
          <t>GAP-014</t>
        </is>
      </c>
      <c r="D263" s="12" t="inlineStr">
        <is>
          <t>Orders</t>
        </is>
      </c>
      <c r="E263" s="12" t="inlineStr">
        <is>
          <t>/orders?tab=returns shows the Active list</t>
        </is>
      </c>
      <c r="F263" s="12" t="inlineStr">
        <is>
          <t>The Returns tab links to /returns; opening /orders?tab=returns directly shows Active orders.</t>
        </is>
      </c>
      <c r="G263" s="12" t="inlineStr">
        <is>
          <t>F1.9.1</t>
        </is>
      </c>
      <c r="H263" s="12" t="inlineStr">
        <is>
          <t>-</t>
        </is>
      </c>
      <c r="I263" s="10" t="inlineStr">
        <is>
          <t>YET TO START</t>
        </is>
      </c>
      <c r="J263" s="12" t="inlineStr">
        <is>
          <t>Not started</t>
        </is>
      </c>
      <c r="K263" s="12" t="inlineStr">
        <is>
          <t>-</t>
        </is>
      </c>
      <c r="L263" s="12" t="inlineStr">
        <is>
          <t>-</t>
        </is>
      </c>
      <c r="M263" s="12" t="inlineStr">
        <is>
          <t>-</t>
        </is>
      </c>
      <c r="N263" s="12" t="inlineStr">
        <is>
          <t>Map tab=returns to /returns</t>
        </is>
      </c>
      <c r="O263" s="12" t="inlineStr">
        <is>
          <t>-</t>
        </is>
      </c>
      <c r="P263" s="12" t="inlineStr">
        <is>
          <t>YET TO START</t>
        </is>
      </c>
      <c r="Q263" s="12" t="inlineStr">
        <is>
          <t>No change</t>
        </is>
      </c>
      <c r="R263" s="12" t="inlineStr">
        <is>
          <t>GoKesari_UI_Issue_Register_2026-10-09.xlsx (TST-03)</t>
        </is>
      </c>
    </row>
    <row r="264" ht="27" customFormat="1" customHeight="1" s="2">
      <c r="A264" s="10" t="n">
        <v>263</v>
      </c>
      <c r="B264" s="12" t="inlineStr">
        <is>
          <t>Known gaps (not started)</t>
        </is>
      </c>
      <c r="C264" s="9" t="inlineStr">
        <is>
          <t>GAP-015</t>
        </is>
      </c>
      <c r="D264" s="12" t="inlineStr">
        <is>
          <t>Navigation / UX</t>
        </is>
      </c>
      <c r="E264" s="12" t="inlineStr">
        <is>
          <t>Hindi / Marathi for the body of inner pages</t>
        </is>
      </c>
      <c r="F264" s="12" t="inlineStr">
        <is>
          <t>Boards, header, menus, tabs and error screens are translated; forms, tables and policy pages are English.</t>
        </is>
      </c>
      <c r="G264" s="12" t="inlineStr">
        <is>
          <t>-</t>
        </is>
      </c>
      <c r="H264" s="12" t="inlineStr">
        <is>
          <t>-</t>
        </is>
      </c>
      <c r="I264" s="10" t="inlineStr">
        <is>
          <t>YET TO START</t>
        </is>
      </c>
      <c r="J264" s="12" t="inlineStr">
        <is>
          <t>Not started</t>
        </is>
      </c>
      <c r="K264" s="12" t="inlineStr">
        <is>
          <t>-</t>
        </is>
      </c>
      <c r="L264" s="12" t="inlineStr">
        <is>
          <t>-</t>
        </is>
      </c>
      <c r="M264" s="12" t="inlineStr">
        <is>
          <t>-</t>
        </is>
      </c>
      <c r="N264" s="12" t="inlineStr">
        <is>
          <t>Translate the remaining strings with a native-speaker review</t>
        </is>
      </c>
      <c r="O264" s="12" t="inlineStr">
        <is>
          <t>Owner: decision (Blockers #38)</t>
        </is>
      </c>
      <c r="P264" s="12" t="inlineStr">
        <is>
          <t>YET TO START</t>
        </is>
      </c>
      <c r="Q264" s="12" t="inlineStr">
        <is>
          <t>No change</t>
        </is>
      </c>
      <c r="R264" s="12" t="inlineStr">
        <is>
          <t>GoKesari_UI_Issue_Register_2026-10-09.xlsx (DT-13)</t>
        </is>
      </c>
    </row>
    <row r="265" ht="39" customFormat="1" customHeight="1" s="2">
      <c r="A265" s="10" t="n">
        <v>264</v>
      </c>
      <c r="B265" s="12" t="inlineStr">
        <is>
          <t>Known gaps (not started)</t>
        </is>
      </c>
      <c r="C265" s="9" t="inlineStr">
        <is>
          <t>GAP-016</t>
        </is>
      </c>
      <c r="D265" s="12" t="inlineStr">
        <is>
          <t>Platform</t>
        </is>
      </c>
      <c r="E265" s="12" t="inlineStr">
        <is>
          <t>Same Drizzle bare-id subquery bug in rider reliability and the integrations 'listed' flag</t>
        </is>
      </c>
      <c r="F265" s="12" t="inlineStr">
        <is>
          <t>The bug fixed in #138 (counts of 0) also appears in delivery-assignment.ts (rider reliability) and integrations pull.ts / connections.ts. Reported, not fixed.</t>
        </is>
      </c>
      <c r="G265" s="12" t="inlineStr">
        <is>
          <t>-</t>
        </is>
      </c>
      <c r="H265" s="12" t="inlineStr">
        <is>
          <t>-</t>
        </is>
      </c>
      <c r="I265" s="10" t="inlineStr">
        <is>
          <t>YET TO START</t>
        </is>
      </c>
      <c r="J265" s="12" t="inlineStr">
        <is>
          <t>Not started</t>
        </is>
      </c>
      <c r="K265" s="12" t="inlineStr">
        <is>
          <t>-</t>
        </is>
      </c>
      <c r="L265" s="12" t="inlineStr">
        <is>
          <t>-</t>
        </is>
      </c>
      <c r="M265" s="12" t="inlineStr">
        <is>
          <t>-</t>
        </is>
      </c>
      <c r="N265" s="12" t="inlineStr">
        <is>
          <t>Apply the #138 fix pattern and add regression tests</t>
        </is>
      </c>
      <c r="O265" s="12" t="inlineStr">
        <is>
          <t>-</t>
        </is>
      </c>
      <c r="P265" s="12" t="inlineStr">
        <is>
          <t>YET TO START</t>
        </is>
      </c>
      <c r="Q265" s="12" t="inlineStr">
        <is>
          <t>No change</t>
        </is>
      </c>
      <c r="R265" s="12" t="inlineStr">
        <is>
          <t>PR #138 notes</t>
        </is>
      </c>
    </row>
    <row r="266" ht="27" customFormat="1" customHeight="1" s="2">
      <c r="A266" s="10" t="n">
        <v>265</v>
      </c>
      <c r="B266" s="12" t="inlineStr">
        <is>
          <t>Known gaps (not started)</t>
        </is>
      </c>
      <c r="C266" s="9" t="inlineStr">
        <is>
          <t>GAP-017</t>
        </is>
      </c>
      <c r="D266" s="12" t="inlineStr">
        <is>
          <t>Platform</t>
        </is>
      </c>
      <c r="E266" s="12" t="inlineStr">
        <is>
          <t>React error #418 (hydration) on /wallet and /admin/orders</t>
        </is>
      </c>
      <c r="F266" s="12" t="inlineStr">
        <is>
          <t>A pre-existing hydration mismatch logged in the browser on two pages.</t>
        </is>
      </c>
      <c r="G266" s="12" t="inlineStr">
        <is>
          <t>-</t>
        </is>
      </c>
      <c r="H266" s="12" t="inlineStr">
        <is>
          <t>-</t>
        </is>
      </c>
      <c r="I266" s="10" t="inlineStr">
        <is>
          <t>YET TO START</t>
        </is>
      </c>
      <c r="J266" s="12" t="inlineStr">
        <is>
          <t>Not started</t>
        </is>
      </c>
      <c r="K266" s="12" t="inlineStr">
        <is>
          <t>-</t>
        </is>
      </c>
      <c r="L266" s="12" t="inlineStr">
        <is>
          <t>-</t>
        </is>
      </c>
      <c r="M266" s="12" t="inlineStr">
        <is>
          <t>-</t>
        </is>
      </c>
      <c r="N266" s="12" t="inlineStr">
        <is>
          <t>Find the server / client difference and fix</t>
        </is>
      </c>
      <c r="O266" s="12" t="inlineStr">
        <is>
          <t>-</t>
        </is>
      </c>
      <c r="P266" s="12" t="inlineStr">
        <is>
          <t>YET TO START</t>
        </is>
      </c>
      <c r="Q266" s="12" t="inlineStr">
        <is>
          <t>No change</t>
        </is>
      </c>
      <c r="R266" s="12" t="inlineStr">
        <is>
          <t>docs/nearby-referral-2026-10/TEST_RESULTS.md</t>
        </is>
      </c>
    </row>
    <row r="267" ht="51" customFormat="1" customHeight="1" s="2">
      <c r="A267" s="10" t="n">
        <v>266</v>
      </c>
      <c r="B267" s="12" t="inlineStr">
        <is>
          <t>Known gaps (not started)</t>
        </is>
      </c>
      <c r="C267" s="9" t="inlineStr">
        <is>
          <t>GAP-018</t>
        </is>
      </c>
      <c r="D267" s="12" t="inlineStr">
        <is>
          <t>Orders</t>
        </is>
      </c>
      <c r="E267" s="12" t="inlineStr">
        <is>
          <t>My Orders card wording after an order is switched to pickup</t>
        </is>
      </c>
      <c r="F267" s="12" t="inlineStr">
        <is>
          <t>After the shop changes a GoKesari-delivery order to pickup and it is delivered, the customer's card still shows 'Finding a rider - &lt;rider&gt;', and the Rs 20 delivery-fee refund is labelled 'refunded ... for unavailable items'.</t>
        </is>
      </c>
      <c r="G267" s="12" t="inlineStr">
        <is>
          <t>-</t>
        </is>
      </c>
      <c r="H267" s="12" t="inlineStr">
        <is>
          <t>-</t>
        </is>
      </c>
      <c r="I267" s="10" t="inlineStr">
        <is>
          <t>YET TO START</t>
        </is>
      </c>
      <c r="J267" s="12" t="inlineStr">
        <is>
          <t>Not started</t>
        </is>
      </c>
      <c r="K267" s="12" t="inlineStr">
        <is>
          <t>-</t>
        </is>
      </c>
      <c r="L267" s="12" t="inlineStr">
        <is>
          <t>-</t>
        </is>
      </c>
      <c r="M267" s="12" t="inlineStr">
        <is>
          <t>-</t>
        </is>
      </c>
      <c r="N267" s="12" t="inlineStr">
        <is>
          <t>Hide the rider line once the order is not a GoKesari delivery; label the delivery-fee refund correctly</t>
        </is>
      </c>
      <c r="O267" s="12" t="inlineStr">
        <is>
          <t>-</t>
        </is>
      </c>
      <c r="P267" s="12" t="inlineStr">
        <is>
          <t>YET TO START</t>
        </is>
      </c>
      <c r="Q267" s="12" t="inlineStr">
        <is>
          <t>No change</t>
        </is>
      </c>
      <c r="R267" s="12" t="inlineStr">
        <is>
          <t>docs/order-lifecycle-2026-10/TEST_RESULTS_STAGING_2026-10-14.md</t>
        </is>
      </c>
    </row>
    <row r="268" ht="39" customFormat="1" customHeight="1" s="2">
      <c r="A268" s="10" t="n">
        <v>267</v>
      </c>
      <c r="B268" s="12" t="inlineStr">
        <is>
          <t>Known gaps (not started)</t>
        </is>
      </c>
      <c r="C268" s="9" t="inlineStr">
        <is>
          <t>GAP-019</t>
        </is>
      </c>
      <c r="D268" s="12" t="inlineStr">
        <is>
          <t>Checkout</t>
        </is>
      </c>
      <c r="E268" s="12" t="inlineStr">
        <is>
          <t>Wallet checkout takes 30-38 s on the test site</t>
        </is>
      </c>
      <c r="F268" s="12" t="inlineStr">
        <is>
          <t>Placing an order with the wallet took 30+ s (timed out once; the retry with the same request id was safe and charged once) and 37.8 s on the rerun.</t>
        </is>
      </c>
      <c r="G268" s="12" t="inlineStr">
        <is>
          <t>-</t>
        </is>
      </c>
      <c r="H268" s="12" t="inlineStr">
        <is>
          <t>-</t>
        </is>
      </c>
      <c r="I268" s="10" t="inlineStr">
        <is>
          <t>YET TO START</t>
        </is>
      </c>
      <c r="J268" s="12" t="inlineStr">
        <is>
          <t>Not started</t>
        </is>
      </c>
      <c r="K268" s="12" t="inlineStr">
        <is>
          <t>-</t>
        </is>
      </c>
      <c r="L268" s="12" t="inlineStr">
        <is>
          <t>-</t>
        </is>
      </c>
      <c r="M268" s="12" t="inlineStr">
        <is>
          <t>-</t>
        </is>
      </c>
      <c r="N268" s="12" t="inlineStr">
        <is>
          <t>Profile checkout on test; likely the far database (GAP-010)</t>
        </is>
      </c>
      <c r="O268" s="12" t="inlineStr">
        <is>
          <t>-</t>
        </is>
      </c>
      <c r="P268" s="12" t="inlineStr">
        <is>
          <t>YET TO START</t>
        </is>
      </c>
      <c r="Q268" s="12" t="inlineStr">
        <is>
          <t>No change</t>
        </is>
      </c>
      <c r="R268" s="12" t="inlineStr">
        <is>
          <t>docs/order-lifecycle-2026-10/TEST_RESULTS_STAGING_2026-10-14.md</t>
        </is>
      </c>
    </row>
  </sheetData>
  <autoFilter ref="A1:R268"/>
  <conditionalFormatting sqref="I2:I268">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conditionalFormatting sqref="P2:P268">
    <cfRule type="cellIs" priority="5" operator="equal" dxfId="0">
      <formula>"COMPLETED"</formula>
    </cfRule>
    <cfRule type="cellIs" priority="6" operator="equal" dxfId="1">
      <formula>"IN PROGRESS"</formula>
    </cfRule>
    <cfRule type="cellIs" priority="7" operator="equal" dxfId="2">
      <formula>"YET TO START"</formula>
    </cfRule>
    <cfRule type="cellIs" priority="8" operator="equal" dxfId="3">
      <formula>"BLOCKED"</formula>
    </cfRule>
  </conditionalFormatting>
  <dataValidations count="2">
    <dataValidation sqref="I10:I268" showDropDown="0" showInputMessage="0" showErrorMessage="0" allowBlank="0" type="list">
      <formula1>"COMPLETED,IN PROGRESS,YET TO START,BLOCKED"</formula1>
    </dataValidation>
    <dataValidation sqref="I2:I268" showDropDown="0" showInputMessage="0" showErrorMessage="0" allowBlank="0" type="list">
      <formula1>"COMPLETED,IN PROGRESS,YET TO START,BLOCKED"</formula1>
    </dataValidation>
  </dataValidation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5.xml><?xml version="1.0" encoding="utf-8"?>
<worksheet xmlns="http://schemas.openxmlformats.org/spreadsheetml/2006/main">
  <sheetPr>
    <tabColor rgb="FFEA580C"/>
    <outlinePr summaryBelow="1" summaryRight="1"/>
    <pageSetUpPr fitToPage="1"/>
  </sheetPr>
  <dimension ref="A1:I217"/>
  <sheetViews>
    <sheetView view="normal" zoomScale="90" zoomScaleNormal="90" workbookViewId="0">
      <pane xSplit="3" ySplit="4" topLeftCell="D5" activePane="bottomRight" state="frozen"/>
      <selection pane="bottomRight" activeCell="A1" sqref="A1"/>
    </sheetView>
  </sheetViews>
  <sheetFormatPr baseColWidth="8" defaultColWidth="8.6796875" defaultRowHeight="15" outlineLevelRow="0"/>
  <cols>
    <col width="11" customWidth="1" style="1" min="1" max="1"/>
    <col width="6" customWidth="1" style="1" min="2" max="2"/>
    <col width="58" customWidth="1" style="1" min="3" max="3"/>
    <col width="16" customWidth="1" style="1" min="4" max="4"/>
    <col width="22" customWidth="1" style="1" min="5" max="5"/>
    <col width="11" customWidth="1" style="1" min="6" max="6"/>
    <col width="14" customWidth="1" style="1" min="7" max="7"/>
    <col width="22" customWidth="1" style="1" min="8" max="8"/>
    <col width="40" customWidth="1" style="1" min="9" max="9"/>
  </cols>
  <sheetData>
    <row r="1" ht="17.25" customFormat="1" customHeight="1" s="2">
      <c r="A1" s="3" t="inlineStr">
        <is>
          <t>GoKesari process flow trees - status of every step (16 Oct 2026)</t>
        </is>
      </c>
    </row>
    <row r="2" ht="30" customFormat="1" customHeight="1" s="2">
      <c r="A2" s="4"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4" ht="30" customFormat="1" customHeight="1" s="2">
      <c r="A4" s="6" t="inlineStr">
        <is>
          <t>Flow / step ID</t>
        </is>
      </c>
      <c r="B4" s="6" t="inlineStr">
        <is>
          <t>Level</t>
        </is>
      </c>
      <c r="C4" s="6" t="inlineStr">
        <is>
          <t>Process flow tree</t>
        </is>
      </c>
      <c r="D4" s="6" t="inlineStr">
        <is>
          <t>Actor</t>
        </is>
      </c>
      <c r="E4" s="6" t="inlineStr">
        <is>
          <t>Feature IDs</t>
        </is>
      </c>
      <c r="F4" s="6" t="inlineStr">
        <is>
          <t>Steps done</t>
        </is>
      </c>
      <c r="G4" s="6" t="inlineStr">
        <is>
          <t>Status</t>
        </is>
      </c>
      <c r="H4" s="6" t="inlineStr">
        <is>
          <t>Built in PR(s)</t>
        </is>
      </c>
      <c r="I4" s="6" t="inlineStr">
        <is>
          <t>Gap / note</t>
        </is>
      </c>
    </row>
    <row r="5" ht="18" customFormat="1" customHeight="1" s="2">
      <c r="A5" s="28" t="inlineStr">
        <is>
          <t>F1</t>
        </is>
      </c>
      <c r="B5" s="29" t="n">
        <v>1</v>
      </c>
      <c r="C5" s="28" t="inlineStr">
        <is>
          <t>F1  Customer purchase journey</t>
        </is>
      </c>
      <c r="D5" s="28" t="inlineStr">
        <is>
          <t>Customer</t>
        </is>
      </c>
      <c r="E5" s="28" t="n"/>
      <c r="F5" s="29">
        <f>COUNTIFS($B$6:$B$48,3,$G$6:$G$48,"COMPLETED")&amp;" / "&amp;COUNTIF($B$6:$B$48,3)</f>
        <v/>
      </c>
      <c r="G5" s="29">
        <f>IF(COUNTIFS($B$6:$B$48,3,$G$6:$G$48,"COMPLETED")=COUNTIF($B$6:$B$48,3),"COMPLETED",IF(COUNTIFS($B$6:$B$48,3,$G$6:$G$48,"BLOCKED")&gt;0,"BLOCKED",IF(COUNTIFS($B$6:$B$48,3,$G$6:$G$48,"YET TO START")=COUNTIF($B$6:$B$48,3),"YET TO START","IN PROGRESS")))</f>
        <v/>
      </c>
      <c r="H5" s="28" t="n"/>
      <c r="I5" s="28" t="n"/>
    </row>
    <row r="6" ht="15" customFormat="1" customHeight="1" s="2">
      <c r="A6" s="30" t="inlineStr">
        <is>
          <t>F1.1</t>
        </is>
      </c>
      <c r="B6" s="31" t="n">
        <v>2</v>
      </c>
      <c r="C6" s="32" t="inlineStr">
        <is>
          <t>F1.1  Sign in and profile</t>
        </is>
      </c>
      <c r="D6" s="30" t="n"/>
      <c r="E6" s="30" t="n"/>
      <c r="F6" s="31">
        <f>COUNTIFS($B$7:$B$9,3,$G$7:$G$9,"COMPLETED")&amp;" / "&amp;COUNTIF($B$7:$B$9,3)</f>
        <v/>
      </c>
      <c r="G6" s="31">
        <f>IF(COUNTIFS($B$7:$B$9,3,$G$7:$G$9,"COMPLETED")=COUNTIF($B$7:$B$9,3),"COMPLETED",IF(COUNTIFS($B$7:$B$9,3,$G$7:$G$9,"BLOCKED")&gt;0,"BLOCKED",IF(COUNTIFS($B$7:$B$9,3,$G$7:$G$9,"YET TO START")=COUNTIF($B$7:$B$9,3),"YET TO START","IN PROGRESS")))</f>
        <v/>
      </c>
      <c r="H6" s="30" t="n"/>
      <c r="I6" s="30" t="n"/>
    </row>
    <row r="7" ht="27" customFormat="1" customHeight="1" s="2">
      <c r="A7" s="12" t="inlineStr">
        <is>
          <t>F1.1.1</t>
        </is>
      </c>
      <c r="B7" s="10" t="n">
        <v>3</v>
      </c>
      <c r="C7" s="33" t="inlineStr">
        <is>
          <t>Sign in with Google, email magic link or a code sent to email (mobile or email form)</t>
        </is>
      </c>
      <c r="D7" s="12" t="inlineStr">
        <is>
          <t>Customer</t>
        </is>
      </c>
      <c r="E7" s="12" t="inlineStr">
        <is>
          <t>GS-001, NEW-018</t>
        </is>
      </c>
      <c r="F7" s="10" t="n"/>
      <c r="G7" s="10" t="inlineStr">
        <is>
          <t>COMPLETED</t>
        </is>
      </c>
      <c r="H7" s="12" t="inlineStr">
        <is>
          <t>#10; #23; #31; #80</t>
        </is>
      </c>
      <c r="I7" s="12" t="inlineStr">
        <is>
          <t>-</t>
        </is>
      </c>
    </row>
    <row r="8" ht="15" customFormat="1" customHeight="1" s="2">
      <c r="A8" s="12" t="inlineStr">
        <is>
          <t>F1.1.2</t>
        </is>
      </c>
      <c r="B8" s="10" t="n">
        <v>3</v>
      </c>
      <c r="C8" s="33" t="inlineStr">
        <is>
          <t>Prove the mobile number by SMS OTP</t>
        </is>
      </c>
      <c r="D8" s="12" t="inlineStr">
        <is>
          <t>Customer</t>
        </is>
      </c>
      <c r="E8" s="12" t="inlineStr">
        <is>
          <t>GS-001, GS-074</t>
        </is>
      </c>
      <c r="F8" s="10" t="n"/>
      <c r="G8" s="10" t="inlineStr">
        <is>
          <t>BLOCKED</t>
        </is>
      </c>
      <c r="H8" s="12" t="inlineStr">
        <is>
          <t>-</t>
        </is>
      </c>
      <c r="I8" s="12" t="inlineStr">
        <is>
          <t>Waits on D2 - SMS/OTP vendor</t>
        </is>
      </c>
    </row>
    <row r="9" ht="15" customFormat="1" customHeight="1" s="2">
      <c r="A9" s="12" t="inlineStr">
        <is>
          <t>F1.1.3</t>
        </is>
      </c>
      <c r="B9" s="10" t="n">
        <v>3</v>
      </c>
      <c r="C9" s="33" t="inlineStr">
        <is>
          <t>First-time profile (/onboarding) and My Profile</t>
        </is>
      </c>
      <c r="D9" s="12" t="inlineStr">
        <is>
          <t>Customer</t>
        </is>
      </c>
      <c r="E9" s="12" t="inlineStr">
        <is>
          <t>GS-001</t>
        </is>
      </c>
      <c r="F9" s="10" t="n"/>
      <c r="G9" s="10" t="inlineStr">
        <is>
          <t>COMPLETED</t>
        </is>
      </c>
      <c r="H9" s="12" t="inlineStr">
        <is>
          <t>#31</t>
        </is>
      </c>
      <c r="I9" s="12" t="inlineStr">
        <is>
          <t>-</t>
        </is>
      </c>
    </row>
    <row r="10" ht="15" customFormat="1" customHeight="1" s="2">
      <c r="A10" s="30" t="inlineStr">
        <is>
          <t>F1.2</t>
        </is>
      </c>
      <c r="B10" s="31" t="n">
        <v>2</v>
      </c>
      <c r="C10" s="32" t="inlineStr">
        <is>
          <t>F1.2  Location and society</t>
        </is>
      </c>
      <c r="D10" s="30" t="n"/>
      <c r="E10" s="30" t="n"/>
      <c r="F10" s="31">
        <f>COUNTIFS($B$11:$B$12,3,$G$11:$G$12,"COMPLETED")&amp;" / "&amp;COUNTIF($B$11:$B$12,3)</f>
        <v/>
      </c>
      <c r="G10" s="31">
        <f>IF(COUNTIFS($B$11:$B$12,3,$G$11:$G$12,"COMPLETED")=COUNTIF($B$11:$B$12,3),"COMPLETED",IF(COUNTIFS($B$11:$B$12,3,$G$11:$G$12,"BLOCKED")&gt;0,"BLOCKED",IF(COUNTIFS($B$11:$B$12,3,$G$11:$G$12,"YET TO START")=COUNTIF($B$11:$B$12,3),"YET TO START","IN PROGRESS")))</f>
        <v/>
      </c>
      <c r="H10" s="30" t="n"/>
      <c r="I10" s="30" t="n"/>
    </row>
    <row r="11" ht="27" customFormat="1" customHeight="1" s="2">
      <c r="A11" s="12" t="inlineStr">
        <is>
          <t>F1.2.1</t>
        </is>
      </c>
      <c r="B11" s="10" t="n">
        <v>3</v>
      </c>
      <c r="C11" s="33" t="inlineStr">
        <is>
          <t>Choose where to deliver: saved address, device position, PIN or map pin</t>
        </is>
      </c>
      <c r="D11" s="12" t="inlineStr">
        <is>
          <t>Customer</t>
        </is>
      </c>
      <c r="E11" s="12" t="inlineStr">
        <is>
          <t>GS-004</t>
        </is>
      </c>
      <c r="F11" s="10" t="n"/>
      <c r="G11" s="10" t="inlineStr">
        <is>
          <t>COMPLETED</t>
        </is>
      </c>
      <c r="H11" s="12" t="inlineStr">
        <is>
          <t>#10; #23; #83</t>
        </is>
      </c>
      <c r="I11" s="12" t="inlineStr">
        <is>
          <t>Map 'Confirm location' 500 on test: the server key is restricted by referrer (GAP-008, owner)</t>
        </is>
      </c>
    </row>
    <row r="12" ht="15" customFormat="1" customHeight="1" s="2">
      <c r="A12" s="12" t="inlineStr">
        <is>
          <t>F1.2.2</t>
        </is>
      </c>
      <c r="B12" s="10" t="n">
        <v>3</v>
      </c>
      <c r="C12" s="33" t="inlineStr">
        <is>
          <t>Society recognised from the address</t>
        </is>
      </c>
      <c r="D12" s="12" t="inlineStr">
        <is>
          <t>Customer</t>
        </is>
      </c>
      <c r="E12" s="12" t="inlineStr">
        <is>
          <t>GS-005</t>
        </is>
      </c>
      <c r="F12" s="10" t="n"/>
      <c r="G12" s="10" t="inlineStr">
        <is>
          <t>COMPLETED</t>
        </is>
      </c>
      <c r="H12" s="12" t="inlineStr">
        <is>
          <t>#11</t>
        </is>
      </c>
      <c r="I12" s="12" t="inlineStr">
        <is>
          <t>-</t>
        </is>
      </c>
    </row>
    <row r="13" ht="15" customFormat="1" customHeight="1" s="2">
      <c r="A13" s="30" t="inlineStr">
        <is>
          <t>F1.3</t>
        </is>
      </c>
      <c r="B13" s="31" t="n">
        <v>2</v>
      </c>
      <c r="C13" s="32" t="inlineStr">
        <is>
          <t>F1.3  Discover shops and products</t>
        </is>
      </c>
      <c r="D13" s="30" t="n"/>
      <c r="E13" s="30" t="n"/>
      <c r="F13" s="31">
        <f>COUNTIFS($B$14:$B$17,3,$G$14:$G$17,"COMPLETED")&amp;" / "&amp;COUNTIF($B$14:$B$17,3)</f>
        <v/>
      </c>
      <c r="G13" s="31">
        <f>IF(COUNTIFS($B$14:$B$17,3,$G$14:$G$17,"COMPLETED")=COUNTIF($B$14:$B$17,3),"COMPLETED",IF(COUNTIFS($B$14:$B$17,3,$G$14:$G$17,"BLOCKED")&gt;0,"BLOCKED",IF(COUNTIFS($B$14:$B$17,3,$G$14:$G$17,"YET TO START")=COUNTIF($B$14:$B$17,3),"YET TO START","IN PROGRESS")))</f>
        <v/>
      </c>
      <c r="H13" s="30" t="n"/>
      <c r="I13" s="30" t="n"/>
    </row>
    <row r="14" ht="27" customFormat="1" customHeight="1" s="2">
      <c r="A14" s="12" t="inlineStr">
        <is>
          <t>F1.3.1</t>
        </is>
      </c>
      <c r="B14" s="10" t="n">
        <v>3</v>
      </c>
      <c r="C14" s="33" t="inlineStr">
        <is>
          <t>Shops that deliver here / Shops near you, with filters and sort</t>
        </is>
      </c>
      <c r="D14" s="12" t="inlineStr">
        <is>
          <t>Customer</t>
        </is>
      </c>
      <c r="E14" s="12" t="inlineStr">
        <is>
          <t>GS-019, NAV-001, NEW-019, NEW-051</t>
        </is>
      </c>
      <c r="F14" s="10" t="n"/>
      <c r="G14" s="10" t="inlineStr">
        <is>
          <t>COMPLETED</t>
        </is>
      </c>
      <c r="H14" s="12" t="inlineStr">
        <is>
          <t>#10; #83</t>
        </is>
      </c>
      <c r="I14" s="12" t="inlineStr">
        <is>
          <t>-</t>
        </is>
      </c>
    </row>
    <row r="15" ht="15" customFormat="1" customHeight="1" s="2">
      <c r="A15" s="12" t="inlineStr">
        <is>
          <t>F1.3.2</t>
        </is>
      </c>
      <c r="B15" s="10" t="n">
        <v>3</v>
      </c>
      <c r="C15" s="33" t="inlineStr">
        <is>
          <t>Product search limited to serviceable shops</t>
        </is>
      </c>
      <c r="D15" s="12" t="inlineStr">
        <is>
          <t>Customer</t>
        </is>
      </c>
      <c r="E15" s="12" t="inlineStr">
        <is>
          <t>GS-020</t>
        </is>
      </c>
      <c r="F15" s="10" t="n"/>
      <c r="G15" s="10" t="inlineStr">
        <is>
          <t>COMPLETED</t>
        </is>
      </c>
      <c r="H15" s="12" t="inlineStr">
        <is>
          <t>#10; #48; #83</t>
        </is>
      </c>
      <c r="I15" s="12" t="inlineStr">
        <is>
          <t>-</t>
        </is>
      </c>
    </row>
    <row r="16" ht="15" customFormat="1" customHeight="1" s="2">
      <c r="A16" s="12" t="inlineStr">
        <is>
          <t>F1.3.3</t>
        </is>
      </c>
      <c r="B16" s="10" t="n">
        <v>3</v>
      </c>
      <c r="C16" s="33" t="inlineStr">
        <is>
          <t>Every shop selling a product</t>
        </is>
      </c>
      <c r="D16" s="12" t="inlineStr">
        <is>
          <t>Customer</t>
        </is>
      </c>
      <c r="E16" s="12" t="inlineStr">
        <is>
          <t>GS-021</t>
        </is>
      </c>
      <c r="F16" s="10" t="n"/>
      <c r="G16" s="10" t="inlineStr">
        <is>
          <t>COMPLETED</t>
        </is>
      </c>
      <c r="H16" s="12" t="inlineStr">
        <is>
          <t>#10</t>
        </is>
      </c>
      <c r="I16" s="12" t="inlineStr">
        <is>
          <t>-</t>
        </is>
      </c>
    </row>
    <row r="17" ht="27" customFormat="1" customHeight="1" s="2">
      <c r="A17" s="12" t="inlineStr">
        <is>
          <t>F1.3.4</t>
        </is>
      </c>
      <c r="B17" s="10" t="n">
        <v>3</v>
      </c>
      <c r="C17" s="33" t="inlineStr">
        <is>
          <t>Shops near me from the phone's location: radius 1-10 km, list or map, Directions; PIN box if location is refused</t>
        </is>
      </c>
      <c r="D17" s="12" t="inlineStr">
        <is>
          <t>Customer</t>
        </is>
      </c>
      <c r="E17" s="12" t="inlineStr">
        <is>
          <t>NEW-057, NEW-059</t>
        </is>
      </c>
      <c r="F17" s="10" t="n"/>
      <c r="G17" s="10" t="inlineStr">
        <is>
          <t>COMPLETED</t>
        </is>
      </c>
      <c r="H17" s="12" t="inlineStr">
        <is>
          <t>#133; #136; #135</t>
        </is>
      </c>
      <c r="I17" s="12" t="inlineStr">
        <is>
          <t>Live on gokesari.com</t>
        </is>
      </c>
    </row>
    <row r="18" ht="15" customFormat="1" customHeight="1" s="2">
      <c r="A18" s="30" t="inlineStr">
        <is>
          <t>F1.4</t>
        </is>
      </c>
      <c r="B18" s="31" t="n">
        <v>2</v>
      </c>
      <c r="C18" s="32" t="inlineStr">
        <is>
          <t>F1.4  Compare prices</t>
        </is>
      </c>
      <c r="D18" s="30" t="n"/>
      <c r="E18" s="30" t="n"/>
      <c r="F18" s="31">
        <f>COUNTIFS($B$19:$B$21,3,$G$19:$G$21,"COMPLETED")&amp;" / "&amp;COUNTIF($B$19:$B$21,3)</f>
        <v/>
      </c>
      <c r="G18" s="31">
        <f>IF(COUNTIFS($B$19:$B$21,3,$G$19:$G$21,"COMPLETED")=COUNTIF($B$19:$B$21,3),"COMPLETED",IF(COUNTIFS($B$19:$B$21,3,$G$19:$G$21,"BLOCKED")&gt;0,"BLOCKED",IF(COUNTIFS($B$19:$B$21,3,$G$19:$G$21,"YET TO START")=COUNTIF($B$19:$B$21,3),"YET TO START","IN PROGRESS")))</f>
        <v/>
      </c>
      <c r="H18" s="30" t="n"/>
      <c r="I18" s="30" t="n"/>
    </row>
    <row r="19" ht="15" customFormat="1" customHeight="1" s="2">
      <c r="A19" s="12" t="inlineStr">
        <is>
          <t>F1.4.1</t>
        </is>
      </c>
      <c r="B19" s="10" t="n">
        <v>3</v>
      </c>
      <c r="C19" s="33" t="inlineStr">
        <is>
          <t>Local price comparison across shops</t>
        </is>
      </c>
      <c r="D19" s="12" t="inlineStr">
        <is>
          <t>Customer</t>
        </is>
      </c>
      <c r="E19" s="12" t="inlineStr">
        <is>
          <t>GS-022</t>
        </is>
      </c>
      <c r="F19" s="10" t="n"/>
      <c r="G19" s="10" t="inlineStr">
        <is>
          <t>COMPLETED</t>
        </is>
      </c>
      <c r="H19" s="12" t="inlineStr">
        <is>
          <t>#10; #72</t>
        </is>
      </c>
      <c r="I19" s="12" t="inlineStr">
        <is>
          <t>-</t>
        </is>
      </c>
    </row>
    <row r="20" ht="15" customFormat="1" customHeight="1" s="2">
      <c r="A20" s="12" t="inlineStr">
        <is>
          <t>F1.4.2</t>
        </is>
      </c>
      <c r="B20" s="10" t="n">
        <v>3</v>
      </c>
      <c r="C20" s="33" t="inlineStr">
        <is>
          <t>Home-page price comparison (F9)</t>
        </is>
      </c>
      <c r="D20" s="12" t="inlineStr">
        <is>
          <t>Customer</t>
        </is>
      </c>
      <c r="E20" s="12" t="inlineStr">
        <is>
          <t>NAV-001</t>
        </is>
      </c>
      <c r="F20" s="10" t="n"/>
      <c r="G20" s="10" t="inlineStr">
        <is>
          <t>COMPLETED</t>
        </is>
      </c>
      <c r="H20" s="12" t="inlineStr">
        <is>
          <t>#55</t>
        </is>
      </c>
      <c r="I20" s="12" t="inlineStr">
        <is>
          <t>Off by default</t>
        </is>
      </c>
    </row>
    <row r="21" ht="15" customFormat="1" customHeight="1" s="2">
      <c r="A21" s="12" t="inlineStr">
        <is>
          <t>F1.4.3</t>
        </is>
      </c>
      <c r="B21" s="10" t="n">
        <v>3</v>
      </c>
      <c r="C21" s="33" t="inlineStr">
        <is>
          <t>Online (e-commerce) reference prices shown to customers</t>
        </is>
      </c>
      <c r="D21" s="12" t="inlineStr">
        <is>
          <t>Customer</t>
        </is>
      </c>
      <c r="E21" s="12" t="inlineStr">
        <is>
          <t>GS-023</t>
        </is>
      </c>
      <c r="F21" s="10" t="n"/>
      <c r="G21" s="10" t="inlineStr">
        <is>
          <t>BLOCKED</t>
        </is>
      </c>
      <c r="H21" s="12" t="inlineStr">
        <is>
          <t>#23</t>
        </is>
      </c>
      <c r="I21" s="12" t="inlineStr">
        <is>
          <t>Waits on D7 - licensed price source</t>
        </is>
      </c>
    </row>
    <row r="22" ht="15" customFormat="1" customHeight="1" s="2">
      <c r="A22" s="30" t="inlineStr">
        <is>
          <t>F1.5</t>
        </is>
      </c>
      <c r="B22" s="31" t="n">
        <v>2</v>
      </c>
      <c r="C22" s="32" t="inlineStr">
        <is>
          <t>F1.5  Cart</t>
        </is>
      </c>
      <c r="D22" s="30" t="n"/>
      <c r="E22" s="30" t="n"/>
      <c r="F22" s="31">
        <f>COUNTIFS($B$23:$B$27,3,$G$23:$G$27,"COMPLETED")&amp;" / "&amp;COUNTIF($B$23:$B$27,3)</f>
        <v/>
      </c>
      <c r="G22" s="31">
        <f>IF(COUNTIFS($B$23:$B$27,3,$G$23:$G$27,"COMPLETED")=COUNTIF($B$23:$B$27,3),"COMPLETED",IF(COUNTIFS($B$23:$B$27,3,$G$23:$G$27,"BLOCKED")&gt;0,"BLOCKED",IF(COUNTIFS($B$23:$B$27,3,$G$23:$G$27,"YET TO START")=COUNTIF($B$23:$B$27,3),"YET TO START","IN PROGRESS")))</f>
        <v/>
      </c>
      <c r="H22" s="30" t="n"/>
      <c r="I22" s="30" t="n"/>
    </row>
    <row r="23" ht="15" customFormat="1" customHeight="1" s="2">
      <c r="A23" s="12" t="inlineStr">
        <is>
          <t>F1.5.1</t>
        </is>
      </c>
      <c r="B23" s="10" t="n">
        <v>3</v>
      </c>
      <c r="C23" s="33" t="inlineStr">
        <is>
          <t>Add to cart with quantity controls on the product card</t>
        </is>
      </c>
      <c r="D23" s="12" t="inlineStr">
        <is>
          <t>Customer</t>
        </is>
      </c>
      <c r="E23" s="12" t="inlineStr">
        <is>
          <t>GS-024, NEW-012</t>
        </is>
      </c>
      <c r="F23" s="10" t="n"/>
      <c r="G23" s="10" t="inlineStr">
        <is>
          <t>COMPLETED</t>
        </is>
      </c>
      <c r="H23" s="12" t="inlineStr">
        <is>
          <t>#48; #72</t>
        </is>
      </c>
      <c r="I23" s="12" t="inlineStr">
        <is>
          <t>-</t>
        </is>
      </c>
    </row>
    <row r="24" ht="15" customFormat="1" customHeight="1" s="2">
      <c r="A24" s="12" t="inlineStr">
        <is>
          <t>F1.5.2</t>
        </is>
      </c>
      <c r="B24" s="10" t="n">
        <v>3</v>
      </c>
      <c r="C24" s="33" t="inlineStr">
        <is>
          <t>Multi-shop cart</t>
        </is>
      </c>
      <c r="D24" s="12" t="inlineStr">
        <is>
          <t>Customer</t>
        </is>
      </c>
      <c r="E24" s="12" t="inlineStr">
        <is>
          <t>GS-025</t>
        </is>
      </c>
      <c r="F24" s="10" t="n"/>
      <c r="G24" s="10" t="inlineStr">
        <is>
          <t>COMPLETED</t>
        </is>
      </c>
      <c r="H24" s="12" t="inlineStr">
        <is>
          <t>Baseline; #10</t>
        </is>
      </c>
      <c r="I24" s="12" t="inlineStr">
        <is>
          <t>-</t>
        </is>
      </c>
    </row>
    <row r="25" ht="27" customFormat="1" customHeight="1" s="2">
      <c r="A25" s="12" t="inlineStr">
        <is>
          <t>F1.5.3</t>
        </is>
      </c>
      <c r="B25" s="10" t="n">
        <v>3</v>
      </c>
      <c r="C25" s="33" t="inlineStr">
        <is>
          <t>Cart re-validated against the location (serviceability, stock, minimum order, paused shops)</t>
        </is>
      </c>
      <c r="D25" s="12" t="inlineStr">
        <is>
          <t>Customer</t>
        </is>
      </c>
      <c r="E25" s="12" t="inlineStr">
        <is>
          <t>GS-026, NEW-005</t>
        </is>
      </c>
      <c r="F25" s="10" t="n"/>
      <c r="G25" s="10" t="inlineStr">
        <is>
          <t>COMPLETED</t>
        </is>
      </c>
      <c r="H25" s="12" t="inlineStr">
        <is>
          <t>#11; #23</t>
        </is>
      </c>
      <c r="I25" s="12" t="inlineStr">
        <is>
          <t>-</t>
        </is>
      </c>
    </row>
    <row r="26" ht="15" customFormat="1" customHeight="1" s="2">
      <c r="A26" s="12" t="inlineStr">
        <is>
          <t>F1.5.4</t>
        </is>
      </c>
      <c r="B26" s="10" t="n">
        <v>3</v>
      </c>
      <c r="C26" s="33" t="inlineStr">
        <is>
          <t>Coupons (F7) and shop offers (F8)</t>
        </is>
      </c>
      <c r="D26" s="12" t="inlineStr">
        <is>
          <t>Customer</t>
        </is>
      </c>
      <c r="E26" s="12" t="inlineStr">
        <is>
          <t>NAV-003, NAV-002</t>
        </is>
      </c>
      <c r="F26" s="10" t="n"/>
      <c r="G26" s="10" t="inlineStr">
        <is>
          <t>COMPLETED</t>
        </is>
      </c>
      <c r="H26" s="12" t="inlineStr">
        <is>
          <t>#55</t>
        </is>
      </c>
      <c r="I26" s="12" t="inlineStr">
        <is>
          <t>Off by default</t>
        </is>
      </c>
    </row>
    <row r="27" ht="15" customFormat="1" customHeight="1" s="2">
      <c r="A27" s="12" t="inlineStr">
        <is>
          <t>F1.5.5</t>
        </is>
      </c>
      <c r="B27" s="10" t="n">
        <v>3</v>
      </c>
      <c r="C27" s="33" t="inlineStr">
        <is>
          <t>Open-order prompt before paying (C3)</t>
        </is>
      </c>
      <c r="D27" s="12" t="inlineStr">
        <is>
          <t>Customer</t>
        </is>
      </c>
      <c r="E27" s="12" t="inlineStr">
        <is>
          <t>NEW-024</t>
        </is>
      </c>
      <c r="F27" s="10" t="n"/>
      <c r="G27" s="10" t="inlineStr">
        <is>
          <t>COMPLETED</t>
        </is>
      </c>
      <c r="H27" s="12" t="inlineStr">
        <is>
          <t>#85; #120</t>
        </is>
      </c>
      <c r="I27" s="12" t="inlineStr">
        <is>
          <t>Live on gokesari.com since #120 (9 Oct)</t>
        </is>
      </c>
    </row>
    <row r="28" ht="15" customFormat="1" customHeight="1" s="2">
      <c r="A28" s="30" t="inlineStr">
        <is>
          <t>F1.6</t>
        </is>
      </c>
      <c r="B28" s="31" t="n">
        <v>2</v>
      </c>
      <c r="C28" s="32" t="inlineStr">
        <is>
          <t>F1.6  Checkout</t>
        </is>
      </c>
      <c r="D28" s="30" t="n"/>
      <c r="E28" s="30" t="n"/>
      <c r="F28" s="31">
        <f>COUNTIFS($B$29:$B$31,3,$G$29:$G$31,"COMPLETED")&amp;" / "&amp;COUNTIF($B$29:$B$31,3)</f>
        <v/>
      </c>
      <c r="G28" s="31">
        <f>IF(COUNTIFS($B$29:$B$31,3,$G$29:$G$31,"COMPLETED")=COUNTIF($B$29:$B$31,3),"COMPLETED",IF(COUNTIFS($B$29:$B$31,3,$G$29:$G$31,"BLOCKED")&gt;0,"BLOCKED",IF(COUNTIFS($B$29:$B$31,3,$G$29:$G$31,"YET TO START")=COUNTIF($B$29:$B$31,3),"YET TO START","IN PROGRESS")))</f>
        <v/>
      </c>
      <c r="H28" s="30" t="n"/>
      <c r="I28" s="30" t="n"/>
    </row>
    <row r="29" ht="15" customFormat="1" customHeight="1" s="2">
      <c r="A29" s="12" t="inlineStr">
        <is>
          <t>F1.6.1</t>
        </is>
      </c>
      <c r="B29" s="10" t="n">
        <v>3</v>
      </c>
      <c r="C29" s="33" t="inlineStr">
        <is>
          <t>Mobile number and delivery address required</t>
        </is>
      </c>
      <c r="D29" s="12" t="inlineStr">
        <is>
          <t>Customer</t>
        </is>
      </c>
      <c r="E29" s="12" t="inlineStr">
        <is>
          <t>GS-026</t>
        </is>
      </c>
      <c r="F29" s="10" t="n"/>
      <c r="G29" s="10" t="inlineStr">
        <is>
          <t>COMPLETED</t>
        </is>
      </c>
      <c r="H29" s="12" t="inlineStr">
        <is>
          <t>#31</t>
        </is>
      </c>
      <c r="I29" s="12" t="inlineStr">
        <is>
          <t>-</t>
        </is>
      </c>
    </row>
    <row r="30" ht="15" customFormat="1" customHeight="1" s="2">
      <c r="A30" s="12" t="inlineStr">
        <is>
          <t>F1.6.2</t>
        </is>
      </c>
      <c r="B30" s="10" t="n">
        <v>3</v>
      </c>
      <c r="C30" s="33" t="inlineStr">
        <is>
          <t>Delivery window or a scheduled time slot with capacity</t>
        </is>
      </c>
      <c r="D30" s="12" t="inlineStr">
        <is>
          <t>Customer</t>
        </is>
      </c>
      <c r="E30" s="12" t="inlineStr">
        <is>
          <t>GS-027</t>
        </is>
      </c>
      <c r="F30" s="10" t="n"/>
      <c r="G30" s="10" t="inlineStr">
        <is>
          <t>COMPLETED</t>
        </is>
      </c>
      <c r="H30" s="12" t="inlineStr">
        <is>
          <t>Baseline; #55; #58</t>
        </is>
      </c>
      <c r="I30" s="12" t="inlineStr">
        <is>
          <t>Slots off by default</t>
        </is>
      </c>
    </row>
    <row r="31" ht="15" customFormat="1" customHeight="1" s="2">
      <c r="A31" s="12" t="inlineStr">
        <is>
          <t>F1.6.3</t>
        </is>
      </c>
      <c r="B31" s="10" t="n">
        <v>3</v>
      </c>
      <c r="C31" s="33" t="inlineStr">
        <is>
          <t>Order from a closed shop after confirmation</t>
        </is>
      </c>
      <c r="D31" s="12" t="inlineStr">
        <is>
          <t>Customer</t>
        </is>
      </c>
      <c r="E31" s="12" t="inlineStr">
        <is>
          <t>NEW-003</t>
        </is>
      </c>
      <c r="F31" s="10" t="n"/>
      <c r="G31" s="10" t="inlineStr">
        <is>
          <t>COMPLETED</t>
        </is>
      </c>
      <c r="H31" s="12" t="inlineStr">
        <is>
          <t>#24</t>
        </is>
      </c>
      <c r="I31" s="12" t="inlineStr">
        <is>
          <t>-</t>
        </is>
      </c>
    </row>
    <row r="32" ht="15" customFormat="1" customHeight="1" s="2">
      <c r="A32" s="30" t="inlineStr">
        <is>
          <t>F1.7</t>
        </is>
      </c>
      <c r="B32" s="31" t="n">
        <v>2</v>
      </c>
      <c r="C32" s="32" t="inlineStr">
        <is>
          <t>F1.7  Payment</t>
        </is>
      </c>
      <c r="D32" s="30" t="n"/>
      <c r="E32" s="30" t="n"/>
      <c r="F32" s="31">
        <f>COUNTIFS($B$33:$B$35,3,$G$33:$G$35,"COMPLETED")&amp;" / "&amp;COUNTIF($B$33:$B$35,3)</f>
        <v/>
      </c>
      <c r="G32" s="31">
        <f>IF(COUNTIFS($B$33:$B$35,3,$G$33:$G$35,"COMPLETED")=COUNTIF($B$33:$B$35,3),"COMPLETED",IF(COUNTIFS($B$33:$B$35,3,$G$33:$G$35,"BLOCKED")&gt;0,"BLOCKED",IF(COUNTIFS($B$33:$B$35,3,$G$33:$G$35,"YET TO START")=COUNTIF($B$33:$B$35,3),"YET TO START","IN PROGRESS")))</f>
        <v/>
      </c>
      <c r="H32" s="30" t="n"/>
      <c r="I32" s="30" t="n"/>
    </row>
    <row r="33" ht="15" customFormat="1" customHeight="1" s="2">
      <c r="A33" s="12" t="inlineStr">
        <is>
          <t>F1.7.1</t>
        </is>
      </c>
      <c r="B33" s="10" t="n">
        <v>3</v>
      </c>
      <c r="C33" s="33" t="inlineStr">
        <is>
          <t>Pay from wallet (topped up through Cashfree)</t>
        </is>
      </c>
      <c r="D33" s="12" t="inlineStr">
        <is>
          <t>Customer</t>
        </is>
      </c>
      <c r="E33" s="12" t="inlineStr">
        <is>
          <t>GS-029, GS-028</t>
        </is>
      </c>
      <c r="F33" s="10" t="n"/>
      <c r="G33" s="10" t="inlineStr">
        <is>
          <t>COMPLETED</t>
        </is>
      </c>
      <c r="H33" s="12" t="inlineStr">
        <is>
          <t>Baseline</t>
        </is>
      </c>
      <c r="I33" s="12" t="inlineStr">
        <is>
          <t>-</t>
        </is>
      </c>
    </row>
    <row r="34" ht="15" customFormat="1" customHeight="1" s="2">
      <c r="A34" s="12" t="inlineStr">
        <is>
          <t>F1.7.2</t>
        </is>
      </c>
      <c r="B34" s="10" t="n">
        <v>3</v>
      </c>
      <c r="C34" s="33" t="inlineStr">
        <is>
          <t>Cash on delivery with limits</t>
        </is>
      </c>
      <c r="D34" s="12" t="inlineStr">
        <is>
          <t>Customer</t>
        </is>
      </c>
      <c r="E34" s="12" t="inlineStr">
        <is>
          <t>GS-030</t>
        </is>
      </c>
      <c r="F34" s="10" t="n"/>
      <c r="G34" s="10" t="inlineStr">
        <is>
          <t>COMPLETED</t>
        </is>
      </c>
      <c r="H34" s="12" t="inlineStr">
        <is>
          <t>#18</t>
        </is>
      </c>
      <c r="I34" s="12" t="inlineStr">
        <is>
          <t>-</t>
        </is>
      </c>
    </row>
    <row r="35" ht="15" customFormat="1" customHeight="1" s="2">
      <c r="A35" s="12" t="inlineStr">
        <is>
          <t>F1.7.3</t>
        </is>
      </c>
      <c r="B35" s="10" t="n">
        <v>3</v>
      </c>
      <c r="C35" s="33" t="inlineStr">
        <is>
          <t>Pay the order directly by UPI / card / netbanking</t>
        </is>
      </c>
      <c r="D35" s="12" t="inlineStr">
        <is>
          <t>Customer</t>
        </is>
      </c>
      <c r="E35" s="12" t="inlineStr">
        <is>
          <t>GS-028, NEW-007</t>
        </is>
      </c>
      <c r="F35" s="10" t="n"/>
      <c r="G35" s="10" t="inlineStr">
        <is>
          <t>BLOCKED</t>
        </is>
      </c>
      <c r="H35" s="12" t="inlineStr">
        <is>
          <t>-</t>
        </is>
      </c>
      <c r="I35" s="12" t="inlineStr">
        <is>
          <t>Waits on the per-order payment go-ahead</t>
        </is>
      </c>
    </row>
    <row r="36" ht="15" customFormat="1" customHeight="1" s="2">
      <c r="A36" s="30" t="inlineStr">
        <is>
          <t>F1.8</t>
        </is>
      </c>
      <c r="B36" s="31" t="n">
        <v>2</v>
      </c>
      <c r="C36" s="32" t="inlineStr">
        <is>
          <t>F1.8  Order engine</t>
        </is>
      </c>
      <c r="D36" s="30" t="n"/>
      <c r="E36" s="30" t="n"/>
      <c r="F36" s="31">
        <f>COUNTIFS($B$37:$B$41,3,$G$37:$G$41,"COMPLETED")&amp;" / "&amp;COUNTIF($B$37:$B$41,3)</f>
        <v/>
      </c>
      <c r="G36" s="31">
        <f>IF(COUNTIFS($B$37:$B$41,3,$G$37:$G$41,"COMPLETED")=COUNTIF($B$37:$B$41,3),"COMPLETED",IF(COUNTIFS($B$37:$B$41,3,$G$37:$G$41,"BLOCKED")&gt;0,"BLOCKED",IF(COUNTIFS($B$37:$B$41,3,$G$37:$G$41,"YET TO START")=COUNTIF($B$37:$B$41,3),"YET TO START","IN PROGRESS")))</f>
        <v/>
      </c>
      <c r="H36" s="30" t="n"/>
      <c r="I36" s="30" t="n"/>
    </row>
    <row r="37" ht="15" customFormat="1" customHeight="1" s="2">
      <c r="A37" s="12" t="inlineStr">
        <is>
          <t>F1.8.1</t>
        </is>
      </c>
      <c r="B37" s="10" t="n">
        <v>3</v>
      </c>
      <c r="C37" s="33" t="inlineStr">
        <is>
          <t>Validate stock and service area</t>
        </is>
      </c>
      <c r="D37" s="12" t="inlineStr">
        <is>
          <t>Customer</t>
        </is>
      </c>
      <c r="E37" s="12" t="inlineStr">
        <is>
          <t>GS-026, GS-016</t>
        </is>
      </c>
      <c r="F37" s="10" t="n"/>
      <c r="G37" s="10" t="inlineStr">
        <is>
          <t>COMPLETED</t>
        </is>
      </c>
      <c r="H37" s="12" t="inlineStr">
        <is>
          <t>#11; #23</t>
        </is>
      </c>
      <c r="I37" s="12" t="inlineStr">
        <is>
          <t>-</t>
        </is>
      </c>
    </row>
    <row r="38" ht="15" customFormat="1" customHeight="1" s="2">
      <c r="A38" s="12" t="inlineStr">
        <is>
          <t>F1.8.2</t>
        </is>
      </c>
      <c r="B38" s="10" t="n">
        <v>3</v>
      </c>
      <c r="C38" s="33" t="inlineStr">
        <is>
          <t>Split by shop; one parent GK- reference (F6)</t>
        </is>
      </c>
      <c r="D38" s="12" t="inlineStr">
        <is>
          <t>Customer</t>
        </is>
      </c>
      <c r="E38" s="12" t="inlineStr">
        <is>
          <t>GS-033</t>
        </is>
      </c>
      <c r="F38" s="10" t="n"/>
      <c r="G38" s="10" t="inlineStr">
        <is>
          <t>COMPLETED</t>
        </is>
      </c>
      <c r="H38" s="12" t="inlineStr">
        <is>
          <t>Baseline; #55</t>
        </is>
      </c>
      <c r="I38" s="12" t="inlineStr">
        <is>
          <t>Parent reference off by default</t>
        </is>
      </c>
    </row>
    <row r="39" ht="15" customFormat="1" customHeight="1" s="2">
      <c r="A39" s="12" t="inlineStr">
        <is>
          <t>F1.8.3</t>
        </is>
      </c>
      <c r="B39" s="10" t="n">
        <v>3</v>
      </c>
      <c r="C39" s="33" t="inlineStr">
        <is>
          <t>Confirm wallet / COD payment inside the order transaction</t>
        </is>
      </c>
      <c r="D39" s="12" t="inlineStr">
        <is>
          <t>Customer</t>
        </is>
      </c>
      <c r="E39" s="12" t="inlineStr">
        <is>
          <t>GS-032</t>
        </is>
      </c>
      <c r="F39" s="10" t="n"/>
      <c r="G39" s="10" t="inlineStr">
        <is>
          <t>COMPLETED</t>
        </is>
      </c>
      <c r="H39" s="12" t="inlineStr">
        <is>
          <t>Baseline; #10</t>
        </is>
      </c>
      <c r="I39" s="12" t="inlineStr">
        <is>
          <t>-</t>
        </is>
      </c>
    </row>
    <row r="40" ht="15" customFormat="1" customHeight="1" s="2">
      <c r="A40" s="12" t="inlineStr">
        <is>
          <t>F1.8.4</t>
        </is>
      </c>
      <c r="B40" s="10" t="n">
        <v>3</v>
      </c>
      <c r="C40" s="33" t="inlineStr">
        <is>
          <t>Gateway payment confirmation and payment state machine</t>
        </is>
      </c>
      <c r="D40" s="12" t="inlineStr">
        <is>
          <t>Customer</t>
        </is>
      </c>
      <c r="E40" s="12" t="inlineStr">
        <is>
          <t>SM-005, GS-073</t>
        </is>
      </c>
      <c r="F40" s="10" t="n"/>
      <c r="G40" s="10" t="inlineStr">
        <is>
          <t>BLOCKED</t>
        </is>
      </c>
      <c r="H40" s="12" t="inlineStr">
        <is>
          <t>-</t>
        </is>
      </c>
      <c r="I40" s="12" t="inlineStr">
        <is>
          <t>Waits on GS-028</t>
        </is>
      </c>
    </row>
    <row r="41" ht="15" customFormat="1" customHeight="1" s="2">
      <c r="A41" s="12" t="inlineStr">
        <is>
          <t>F1.8.5</t>
        </is>
      </c>
      <c r="B41" s="10" t="n">
        <v>3</v>
      </c>
      <c r="C41" s="33" t="inlineStr">
        <is>
          <t>Create the shop order and notify the shop</t>
        </is>
      </c>
      <c r="D41" s="12" t="inlineStr">
        <is>
          <t>Customer</t>
        </is>
      </c>
      <c r="E41" s="12" t="inlineStr">
        <is>
          <t>GS-032, GS-055</t>
        </is>
      </c>
      <c r="F41" s="10" t="n"/>
      <c r="G41" s="10" t="inlineStr">
        <is>
          <t>COMPLETED</t>
        </is>
      </c>
      <c r="H41" s="12" t="inlineStr">
        <is>
          <t>#10; #23</t>
        </is>
      </c>
      <c r="I41" s="12" t="inlineStr">
        <is>
          <t>-</t>
        </is>
      </c>
    </row>
    <row r="42" ht="15" customFormat="1" customHeight="1" s="2">
      <c r="A42" s="30" t="inlineStr">
        <is>
          <t>F1.9</t>
        </is>
      </c>
      <c r="B42" s="31" t="n">
        <v>2</v>
      </c>
      <c r="C42" s="32" t="inlineStr">
        <is>
          <t>F1.9  Track and receive</t>
        </is>
      </c>
      <c r="D42" s="30" t="n"/>
      <c r="E42" s="30" t="n"/>
      <c r="F42" s="31">
        <f>COUNTIFS($B$43:$B$48,3,$G$43:$G$48,"COMPLETED")&amp;" / "&amp;COUNTIF($B$43:$B$48,3)</f>
        <v/>
      </c>
      <c r="G42" s="31">
        <f>IF(COUNTIFS($B$43:$B$48,3,$G$43:$G$48,"COMPLETED")=COUNTIF($B$43:$B$48,3),"COMPLETED",IF(COUNTIFS($B$43:$B$48,3,$G$43:$G$48,"BLOCKED")&gt;0,"BLOCKED",IF(COUNTIFS($B$43:$B$48,3,$G$43:$G$48,"YET TO START")=COUNTIF($B$43:$B$48,3),"YET TO START","IN PROGRESS")))</f>
        <v/>
      </c>
      <c r="H42" s="30" t="n"/>
      <c r="I42" s="30" t="n"/>
    </row>
    <row r="43" ht="15" customFormat="1" customHeight="1" s="2">
      <c r="A43" s="12" t="inlineStr">
        <is>
          <t>F1.9.1</t>
        </is>
      </c>
      <c r="B43" s="10" t="n">
        <v>3</v>
      </c>
      <c r="C43" s="33" t="inlineStr">
        <is>
          <t>Order status and live tracking on My Orders</t>
        </is>
      </c>
      <c r="D43" s="12" t="inlineStr">
        <is>
          <t>Customer</t>
        </is>
      </c>
      <c r="E43" s="12" t="inlineStr">
        <is>
          <t>NAV-004, GS-042</t>
        </is>
      </c>
      <c r="F43" s="10" t="n"/>
      <c r="G43" s="10" t="inlineStr">
        <is>
          <t>COMPLETED</t>
        </is>
      </c>
      <c r="H43" s="12" t="inlineStr">
        <is>
          <t>#29</t>
        </is>
      </c>
      <c r="I43" s="12" t="inlineStr">
        <is>
          <t>-</t>
        </is>
      </c>
    </row>
    <row r="44" ht="15" customFormat="1" customHeight="1" s="2">
      <c r="A44" s="12" t="inlineStr">
        <is>
          <t>F1.9.2</t>
        </is>
      </c>
      <c r="B44" s="10" t="n">
        <v>3</v>
      </c>
      <c r="C44" s="33" t="inlineStr">
        <is>
          <t>Real-time events and 5-second tracking</t>
        </is>
      </c>
      <c r="D44" s="12" t="inlineStr">
        <is>
          <t>Customer</t>
        </is>
      </c>
      <c r="E44" s="12" t="inlineStr">
        <is>
          <t>NEW-028, NEW-029</t>
        </is>
      </c>
      <c r="F44" s="10" t="n"/>
      <c r="G44" s="10" t="inlineStr">
        <is>
          <t>COMPLETED</t>
        </is>
      </c>
      <c r="H44" s="12" t="inlineStr">
        <is>
          <t>#89; #120</t>
        </is>
      </c>
      <c r="I44" s="12" t="inlineStr">
        <is>
          <t>Live on gokesari.com since #120 (9 Oct)</t>
        </is>
      </c>
    </row>
    <row r="45" ht="15" customFormat="1" customHeight="1" s="2">
      <c r="A45" s="12" t="inlineStr">
        <is>
          <t>F1.9.3</t>
        </is>
      </c>
      <c r="B45" s="10" t="n">
        <v>3</v>
      </c>
      <c r="C45" s="33" t="inlineStr">
        <is>
          <t>Delivery code (OTP) given to the rider at handover</t>
        </is>
      </c>
      <c r="D45" s="12" t="inlineStr">
        <is>
          <t>Customer</t>
        </is>
      </c>
      <c r="E45" s="12" t="inlineStr">
        <is>
          <t>GS-043</t>
        </is>
      </c>
      <c r="F45" s="10" t="n"/>
      <c r="G45" s="10" t="inlineStr">
        <is>
          <t>COMPLETED</t>
        </is>
      </c>
      <c r="H45" s="12" t="inlineStr">
        <is>
          <t>#10</t>
        </is>
      </c>
      <c r="I45" s="12" t="inlineStr">
        <is>
          <t>-</t>
        </is>
      </c>
    </row>
    <row r="46" ht="15" customFormat="1" customHeight="1" s="2">
      <c r="A46" s="12" t="inlineStr">
        <is>
          <t>F1.9.4</t>
        </is>
      </c>
      <c r="B46" s="10" t="n">
        <v>3</v>
      </c>
      <c r="C46" s="33" t="inlineStr">
        <is>
          <t>Delivery code hashed, emailed to the customer, resendable</t>
        </is>
      </c>
      <c r="D46" s="12" t="inlineStr">
        <is>
          <t>Customer</t>
        </is>
      </c>
      <c r="E46" s="12" t="inlineStr">
        <is>
          <t>NEW-035</t>
        </is>
      </c>
      <c r="F46" s="10" t="n"/>
      <c r="G46" s="10" t="inlineStr">
        <is>
          <t>COMPLETED</t>
        </is>
      </c>
      <c r="H46" s="12" t="inlineStr">
        <is>
          <t>#91; #120</t>
        </is>
      </c>
      <c r="I46" s="12" t="inlineStr">
        <is>
          <t>Live on gokesari.com since #120 (9 Oct)</t>
        </is>
      </c>
    </row>
    <row r="47" ht="27" customFormat="1" customHeight="1" s="2">
      <c r="A47" s="12" t="inlineStr">
        <is>
          <t>F1.9.5</t>
        </is>
      </c>
      <c r="B47" s="10" t="n">
        <v>3</v>
      </c>
      <c r="C47" s="33" t="inlineStr">
        <is>
          <t>Cancel from My Orders</t>
        </is>
      </c>
      <c r="D47" s="12" t="inlineStr">
        <is>
          <t>Customer</t>
        </is>
      </c>
      <c r="E47" s="12" t="inlineStr">
        <is>
          <t>GAP-007, NEW-020, NAV-004</t>
        </is>
      </c>
      <c r="F47" s="10" t="n"/>
      <c r="G47" s="10" t="inlineStr">
        <is>
          <t>COMPLETED</t>
        </is>
      </c>
      <c r="H47" s="12" t="inlineStr">
        <is>
          <t>#122; #123 (prod)</t>
        </is>
      </c>
      <c r="I47" s="12" t="inlineStr">
        <is>
          <t>Cancel order on My Orders before packing, with confirmation; follows rule cancellation</t>
        </is>
      </c>
    </row>
    <row r="48" ht="39" customFormat="1" customHeight="1" s="2">
      <c r="A48" s="12" t="inlineStr">
        <is>
          <t>F1.9.6</t>
        </is>
      </c>
      <c r="B48" s="10" t="n">
        <v>3</v>
      </c>
      <c r="C48" s="33" t="inlineStr">
        <is>
          <t>Collect from the shop with a pickup code; see the delivery option, person and time on My Orders</t>
        </is>
      </c>
      <c r="D48" s="12" t="inlineStr">
        <is>
          <t>Customer</t>
        </is>
      </c>
      <c r="E48" s="12" t="inlineStr">
        <is>
          <t>NEW-039, GS-041</t>
        </is>
      </c>
      <c r="F48" s="10" t="n"/>
      <c r="G48" s="10" t="inlineStr">
        <is>
          <t>COMPLETED</t>
        </is>
      </c>
      <c r="H48" s="12" t="inlineStr">
        <is>
          <t>#102; #103; #120</t>
        </is>
      </c>
      <c r="I48" s="12" t="inlineStr">
        <is>
          <t>On gokesari.com since #120 (9 Oct), switched off by default - switch on in Admin &gt; Business rules</t>
        </is>
      </c>
    </row>
    <row r="49" ht="18" customFormat="1" customHeight="1" s="2">
      <c r="A49" s="28" t="inlineStr">
        <is>
          <t>F2</t>
        </is>
      </c>
      <c r="B49" s="29" t="n">
        <v>1</v>
      </c>
      <c r="C49" s="28" t="inlineStr">
        <is>
          <t>F2  Shop order fulfilment</t>
        </is>
      </c>
      <c r="D49" s="28" t="inlineStr">
        <is>
          <t>Shop owner</t>
        </is>
      </c>
      <c r="E49" s="28" t="n"/>
      <c r="F49" s="29">
        <f>COUNTIFS($B$50:$B$60,3,$G$50:$G$60,"COMPLETED")&amp;" / "&amp;COUNTIF($B$50:$B$60,3)</f>
        <v/>
      </c>
      <c r="G49" s="29">
        <f>IF(COUNTIFS($B$50:$B$60,3,$G$50:$G$60,"COMPLETED")=COUNTIF($B$50:$B$60,3),"COMPLETED",IF(COUNTIFS($B$50:$B$60,3,$G$50:$G$60,"BLOCKED")&gt;0,"BLOCKED",IF(COUNTIFS($B$50:$B$60,3,$G$50:$G$60,"YET TO START")=COUNTIF($B$50:$B$60,3),"YET TO START","IN PROGRESS")))</f>
        <v/>
      </c>
      <c r="H49" s="28" t="n"/>
      <c r="I49" s="28" t="n"/>
    </row>
    <row r="50" ht="15" customFormat="1" customHeight="1" s="2">
      <c r="A50" s="30" t="inlineStr">
        <is>
          <t>F2.1</t>
        </is>
      </c>
      <c r="B50" s="31" t="n">
        <v>2</v>
      </c>
      <c r="C50" s="32" t="inlineStr">
        <is>
          <t>F2.1  Receive and decide</t>
        </is>
      </c>
      <c r="D50" s="30" t="n"/>
      <c r="E50" s="30" t="n"/>
      <c r="F50" s="31">
        <f>COUNTIFS($B$51:$B$54,3,$G$51:$G$54,"COMPLETED")&amp;" / "&amp;COUNTIF($B$51:$B$54,3)</f>
        <v/>
      </c>
      <c r="G50" s="31">
        <f>IF(COUNTIFS($B$51:$B$54,3,$G$51:$G$54,"COMPLETED")=COUNTIF($B$51:$B$54,3),"COMPLETED",IF(COUNTIFS($B$51:$B$54,3,$G$51:$G$54,"BLOCKED")&gt;0,"BLOCKED",IF(COUNTIFS($B$51:$B$54,3,$G$51:$G$54,"YET TO START")=COUNTIF($B$51:$B$54,3),"YET TO START","IN PROGRESS")))</f>
        <v/>
      </c>
      <c r="H50" s="30" t="n"/>
      <c r="I50" s="30" t="n"/>
    </row>
    <row r="51" ht="15" customFormat="1" customHeight="1" s="2">
      <c r="A51" s="12" t="inlineStr">
        <is>
          <t>F2.1.1</t>
        </is>
      </c>
      <c r="B51" s="10" t="n">
        <v>3</v>
      </c>
      <c r="C51" s="33" t="inlineStr">
        <is>
          <t>Receive the order (in-app + email)</t>
        </is>
      </c>
      <c r="D51" s="12" t="inlineStr">
        <is>
          <t>Shop owner</t>
        </is>
      </c>
      <c r="E51" s="12" t="inlineStr">
        <is>
          <t>GS-055, NAV-008</t>
        </is>
      </c>
      <c r="F51" s="10" t="n"/>
      <c r="G51" s="10" t="inlineStr">
        <is>
          <t>COMPLETED</t>
        </is>
      </c>
      <c r="H51" s="12" t="inlineStr">
        <is>
          <t>#10; #23</t>
        </is>
      </c>
      <c r="I51" s="12" t="inlineStr">
        <is>
          <t>SMS / WhatsApp waits on D2</t>
        </is>
      </c>
    </row>
    <row r="52" ht="15" customFormat="1" customHeight="1" s="2">
      <c r="A52" s="12" t="inlineStr">
        <is>
          <t>F2.1.2</t>
        </is>
      </c>
      <c r="B52" s="10" t="n">
        <v>3</v>
      </c>
      <c r="C52" s="33" t="inlineStr">
        <is>
          <t>Accept or reject (reject = full refund + restock)</t>
        </is>
      </c>
      <c r="D52" s="12" t="inlineStr">
        <is>
          <t>Shop owner</t>
        </is>
      </c>
      <c r="E52" s="12" t="inlineStr">
        <is>
          <t>GS-034</t>
        </is>
      </c>
      <c r="F52" s="10" t="n"/>
      <c r="G52" s="10" t="inlineStr">
        <is>
          <t>COMPLETED</t>
        </is>
      </c>
      <c r="H52" s="12" t="inlineStr">
        <is>
          <t>#10</t>
        </is>
      </c>
      <c r="I52" s="12" t="inlineStr">
        <is>
          <t>-</t>
        </is>
      </c>
    </row>
    <row r="53" ht="15" customFormat="1" customHeight="1" s="2">
      <c r="A53" s="12" t="inlineStr">
        <is>
          <t>F2.1.3</t>
        </is>
      </c>
      <c r="B53" s="10" t="n">
        <v>3</v>
      </c>
      <c r="C53" s="33" t="inlineStr">
        <is>
          <t>Acceptance timeout: reminder, then auto-cancel with full refund</t>
        </is>
      </c>
      <c r="D53" s="12" t="inlineStr">
        <is>
          <t>Shop owner</t>
        </is>
      </c>
      <c r="E53" s="12" t="inlineStr">
        <is>
          <t>NEW-007</t>
        </is>
      </c>
      <c r="F53" s="10" t="n"/>
      <c r="G53" s="10" t="inlineStr">
        <is>
          <t>COMPLETED</t>
        </is>
      </c>
      <c r="H53" s="12" t="inlineStr">
        <is>
          <t>#58</t>
        </is>
      </c>
      <c r="I53" s="12" t="inlineStr">
        <is>
          <t>Off by default</t>
        </is>
      </c>
    </row>
    <row r="54" ht="39" customFormat="1" customHeight="1" s="2">
      <c r="A54" s="12" t="inlineStr">
        <is>
          <t>F2.1.4</t>
        </is>
      </c>
      <c r="B54" s="10" t="n">
        <v>3</v>
      </c>
      <c r="C54" s="33" t="inlineStr">
        <is>
          <t>Wallet minimum balance checked before accepting</t>
        </is>
      </c>
      <c r="D54" s="12" t="inlineStr">
        <is>
          <t>Shop owner</t>
        </is>
      </c>
      <c r="E54" s="12" t="inlineStr">
        <is>
          <t>NEW-033</t>
        </is>
      </c>
      <c r="F54" s="10" t="n"/>
      <c r="G54" s="10" t="inlineStr">
        <is>
          <t>COMPLETED</t>
        </is>
      </c>
      <c r="H54" s="12" t="inlineStr">
        <is>
          <t>#91; #98; #120</t>
        </is>
      </c>
      <c r="I54" s="12" t="inlineStr">
        <is>
          <t>On gokesari.com since #120 (9 Oct), switched off by default - switch on in Admin &gt; Business rules</t>
        </is>
      </c>
    </row>
    <row r="55" ht="15" customFormat="1" customHeight="1" s="2">
      <c r="A55" s="30" t="inlineStr">
        <is>
          <t>F2.2</t>
        </is>
      </c>
      <c r="B55" s="31" t="n">
        <v>2</v>
      </c>
      <c r="C55" s="32" t="inlineStr">
        <is>
          <t>F2.2  Prepare</t>
        </is>
      </c>
      <c r="D55" s="30" t="n"/>
      <c r="E55" s="30" t="n"/>
      <c r="F55" s="31">
        <f>COUNTIFS($B$56:$B$60,3,$G$56:$G$60,"COMPLETED")&amp;" / "&amp;COUNTIF($B$56:$B$60,3)</f>
        <v/>
      </c>
      <c r="G55" s="31">
        <f>IF(COUNTIFS($B$56:$B$60,3,$G$56:$G$60,"COMPLETED")=COUNTIF($B$56:$B$60,3),"COMPLETED",IF(COUNTIFS($B$56:$B$60,3,$G$56:$G$60,"BLOCKED")&gt;0,"BLOCKED",IF(COUNTIFS($B$56:$B$60,3,$G$56:$G$60,"YET TO START")=COUNTIF($B$56:$B$60,3),"YET TO START","IN PROGRESS")))</f>
        <v/>
      </c>
      <c r="H55" s="30" t="n"/>
      <c r="I55" s="30" t="n"/>
    </row>
    <row r="56" ht="15" customFormat="1" customHeight="1" s="2">
      <c r="A56" s="12" t="inlineStr">
        <is>
          <t>F2.2.1</t>
        </is>
      </c>
      <c r="B56" s="10" t="n">
        <v>3</v>
      </c>
      <c r="C56" s="33" t="inlineStr">
        <is>
          <t>Substitution with customer approval</t>
        </is>
      </c>
      <c r="D56" s="12" t="inlineStr">
        <is>
          <t>Shop owner</t>
        </is>
      </c>
      <c r="E56" s="12" t="inlineStr">
        <is>
          <t>GS-035</t>
        </is>
      </c>
      <c r="F56" s="10" t="n"/>
      <c r="G56" s="10" t="inlineStr">
        <is>
          <t>COMPLETED</t>
        </is>
      </c>
      <c r="H56" s="12" t="inlineStr">
        <is>
          <t>#10</t>
        </is>
      </c>
      <c r="I56" s="12" t="inlineStr">
        <is>
          <t>-</t>
        </is>
      </c>
    </row>
    <row r="57" ht="15" customFormat="1" customHeight="1" s="2">
      <c r="A57" s="12" t="inlineStr">
        <is>
          <t>F2.2.2</t>
        </is>
      </c>
      <c r="B57" s="10" t="n">
        <v>3</v>
      </c>
      <c r="C57" s="33" t="inlineStr">
        <is>
          <t>Pick and pack per line</t>
        </is>
      </c>
      <c r="D57" s="12" t="inlineStr">
        <is>
          <t>Shop owner</t>
        </is>
      </c>
      <c r="E57" s="12" t="inlineStr">
        <is>
          <t>GS-036</t>
        </is>
      </c>
      <c r="F57" s="10" t="n"/>
      <c r="G57" s="10" t="inlineStr">
        <is>
          <t>COMPLETED</t>
        </is>
      </c>
      <c r="H57" s="12" t="inlineStr">
        <is>
          <t>#10</t>
        </is>
      </c>
      <c r="I57" s="12" t="inlineStr">
        <is>
          <t>-</t>
        </is>
      </c>
    </row>
    <row r="58" ht="15" customFormat="1" customHeight="1" s="2">
      <c r="A58" s="12" t="inlineStr">
        <is>
          <t>F2.2.3</t>
        </is>
      </c>
      <c r="B58" s="10" t="n">
        <v>3</v>
      </c>
      <c r="C58" s="33" t="inlineStr">
        <is>
          <t>Mark READY - starts the rider search</t>
        </is>
      </c>
      <c r="D58" s="12" t="inlineStr">
        <is>
          <t>Shop owner</t>
        </is>
      </c>
      <c r="E58" s="12" t="inlineStr">
        <is>
          <t>GA-006</t>
        </is>
      </c>
      <c r="F58" s="10" t="n"/>
      <c r="G58" s="10" t="inlineStr">
        <is>
          <t>COMPLETED</t>
        </is>
      </c>
      <c r="H58" s="12" t="inlineStr">
        <is>
          <t>#10</t>
        </is>
      </c>
      <c r="I58" s="12" t="inlineStr">
        <is>
          <t>-</t>
        </is>
      </c>
    </row>
    <row r="59" ht="39" customFormat="1" customHeight="1" s="2">
      <c r="A59" s="12" t="inlineStr">
        <is>
          <t>F2.2.4</t>
        </is>
      </c>
      <c r="B59" s="10" t="n">
        <v>3</v>
      </c>
      <c r="C59" s="33" t="inlineStr">
        <is>
          <t>Choose pickup / own delivery / GoKesari partner with a date and 1-hour slot; change it with a customer notice</t>
        </is>
      </c>
      <c r="D59" s="12" t="inlineStr">
        <is>
          <t>Shop owner</t>
        </is>
      </c>
      <c r="E59" s="12" t="inlineStr">
        <is>
          <t>NEW-039, GS-027</t>
        </is>
      </c>
      <c r="F59" s="10" t="n"/>
      <c r="G59" s="10" t="inlineStr">
        <is>
          <t>COMPLETED</t>
        </is>
      </c>
      <c r="H59" s="12" t="inlineStr">
        <is>
          <t>#102; #103; #120</t>
        </is>
      </c>
      <c r="I59" s="12" t="inlineStr">
        <is>
          <t>On gokesari.com since #120 (9 Oct), switched off by default - switch on in Admin &gt; Business rules</t>
        </is>
      </c>
    </row>
    <row r="60" ht="39" customFormat="1" customHeight="1" s="2">
      <c r="A60" s="12" t="inlineStr">
        <is>
          <t>F2.2.5</t>
        </is>
      </c>
      <c r="B60" s="10" t="n">
        <v>3</v>
      </c>
      <c r="C60" s="33" t="inlineStr">
        <is>
          <t>Shop's own delivery staff: private delivery link, start delivery, customer's code to complete</t>
        </is>
      </c>
      <c r="D60" s="12" t="inlineStr">
        <is>
          <t>Shop owner</t>
        </is>
      </c>
      <c r="E60" s="12" t="inlineStr">
        <is>
          <t>NEW-039, NEW-035</t>
        </is>
      </c>
      <c r="F60" s="10" t="n"/>
      <c r="G60" s="10" t="inlineStr">
        <is>
          <t>COMPLETED</t>
        </is>
      </c>
      <c r="H60" s="12" t="inlineStr">
        <is>
          <t>#102; #120</t>
        </is>
      </c>
      <c r="I60" s="12" t="inlineStr">
        <is>
          <t>On gokesari.com since #120 (9 Oct), switched off by default - switch on in Admin &gt; Business rules</t>
        </is>
      </c>
    </row>
    <row r="61" ht="18" customFormat="1" customHeight="1" s="2">
      <c r="A61" s="28" t="inlineStr">
        <is>
          <t>F3</t>
        </is>
      </c>
      <c r="B61" s="29" t="n">
        <v>1</v>
      </c>
      <c r="C61" s="28" t="inlineStr">
        <is>
          <t>F3  Rider (gig) assignment</t>
        </is>
      </c>
      <c r="D61" s="28" t="inlineStr">
        <is>
          <t>System</t>
        </is>
      </c>
      <c r="E61" s="28" t="n"/>
      <c r="F61" s="29">
        <f>COUNTIFS($B$62:$B$71,3,$G$62:$G$71,"COMPLETED")&amp;" / "&amp;COUNTIF($B$62:$B$71,3)</f>
        <v/>
      </c>
      <c r="G61" s="29">
        <f>IF(COUNTIFS($B$62:$B$71,3,$G$62:$G$71,"COMPLETED")=COUNTIF($B$62:$B$71,3),"COMPLETED",IF(COUNTIFS($B$62:$B$71,3,$G$62:$G$71,"BLOCKED")&gt;0,"BLOCKED",IF(COUNTIFS($B$62:$B$71,3,$G$62:$G$71,"YET TO START")=COUNTIF($B$62:$B$71,3),"YET TO START","IN PROGRESS")))</f>
        <v/>
      </c>
      <c r="H61" s="28" t="n"/>
      <c r="I61" s="28" t="n"/>
    </row>
    <row r="62" ht="15" customFormat="1" customHeight="1" s="2">
      <c r="A62" s="30" t="inlineStr">
        <is>
          <t>F3.1</t>
        </is>
      </c>
      <c r="B62" s="31" t="n">
        <v>2</v>
      </c>
      <c r="C62" s="32" t="inlineStr">
        <is>
          <t>F3.1  Eligibility</t>
        </is>
      </c>
      <c r="D62" s="30" t="n"/>
      <c r="E62" s="30" t="n"/>
      <c r="F62" s="31">
        <f>COUNTIFS($B$63:$B$64,3,$G$63:$G$64,"COMPLETED")&amp;" / "&amp;COUNTIF($B$63:$B$64,3)</f>
        <v/>
      </c>
      <c r="G62" s="31">
        <f>IF(COUNTIFS($B$63:$B$64,3,$G$63:$G$64,"COMPLETED")=COUNTIF($B$63:$B$64,3),"COMPLETED",IF(COUNTIFS($B$63:$B$64,3,$G$63:$G$64,"BLOCKED")&gt;0,"BLOCKED",IF(COUNTIFS($B$63:$B$64,3,$G$63:$G$64,"YET TO START")=COUNTIF($B$63:$B$64,3),"YET TO START","IN PROGRESS")))</f>
        <v/>
      </c>
      <c r="H62" s="30" t="n"/>
      <c r="I62" s="30" t="n"/>
    </row>
    <row r="63" ht="15" customFormat="1" customHeight="1" s="2">
      <c r="A63" s="12" t="inlineStr">
        <is>
          <t>F3.1.1</t>
        </is>
      </c>
      <c r="B63" s="10" t="n">
        <v>3</v>
      </c>
      <c r="C63" s="33" t="inlineStr">
        <is>
          <t>Society authorisation (whitelist, exclusive or priority)</t>
        </is>
      </c>
      <c r="D63" s="12" t="inlineStr">
        <is>
          <t>System</t>
        </is>
      </c>
      <c r="E63" s="12" t="inlineStr">
        <is>
          <t>GA-001, GS-045</t>
        </is>
      </c>
      <c r="F63" s="10" t="n"/>
      <c r="G63" s="10" t="inlineStr">
        <is>
          <t>COMPLETED</t>
        </is>
      </c>
      <c r="H63" s="12" t="inlineStr">
        <is>
          <t>#11</t>
        </is>
      </c>
      <c r="I63" s="12" t="inlineStr">
        <is>
          <t>-</t>
        </is>
      </c>
    </row>
    <row r="64" ht="15" customFormat="1" customHeight="1" s="2">
      <c r="A64" s="12" t="inlineStr">
        <is>
          <t>F3.1.2</t>
        </is>
      </c>
      <c r="B64" s="10" t="n">
        <v>3</v>
      </c>
      <c r="C64" s="33" t="inlineStr">
        <is>
          <t>Availability and online status</t>
        </is>
      </c>
      <c r="D64" s="12" t="inlineStr">
        <is>
          <t>System</t>
        </is>
      </c>
      <c r="E64" s="12" t="inlineStr">
        <is>
          <t>GA-004, GS-038</t>
        </is>
      </c>
      <c r="F64" s="10" t="n"/>
      <c r="G64" s="10" t="inlineStr">
        <is>
          <t>COMPLETED</t>
        </is>
      </c>
      <c r="H64" s="12" t="inlineStr">
        <is>
          <t>Baseline; #21</t>
        </is>
      </c>
      <c r="I64" s="12" t="inlineStr">
        <is>
          <t>-</t>
        </is>
      </c>
    </row>
    <row r="65" ht="15" customFormat="1" customHeight="1" s="2">
      <c r="A65" s="30" t="inlineStr">
        <is>
          <t>F3.2</t>
        </is>
      </c>
      <c r="B65" s="31" t="n">
        <v>2</v>
      </c>
      <c r="C65" s="32" t="inlineStr">
        <is>
          <t>F3.2  Ranking</t>
        </is>
      </c>
      <c r="D65" s="30" t="n"/>
      <c r="E65" s="30" t="n"/>
      <c r="F65" s="31">
        <f>COUNTIFS($B$66:$B$68,3,$G$66:$G$68,"COMPLETED")&amp;" / "&amp;COUNTIF($B$66:$B$68,3)</f>
        <v/>
      </c>
      <c r="G65" s="31">
        <f>IF(COUNTIFS($B$66:$B$68,3,$G$66:$G$68,"COMPLETED")=COUNTIF($B$66:$B$68,3),"COMPLETED",IF(COUNTIFS($B$66:$B$68,3,$G$66:$G$68,"BLOCKED")&gt;0,"BLOCKED",IF(COUNTIFS($B$66:$B$68,3,$G$66:$G$68,"YET TO START")=COUNTIF($B$66:$B$68,3),"YET TO START","IN PROGRESS")))</f>
        <v/>
      </c>
      <c r="H65" s="30" t="n"/>
      <c r="I65" s="30" t="n"/>
    </row>
    <row r="66" ht="15" customFormat="1" customHeight="1" s="2">
      <c r="A66" s="12" t="inlineStr">
        <is>
          <t>F3.2.1</t>
        </is>
      </c>
      <c r="B66" s="10" t="n">
        <v>3</v>
      </c>
      <c r="C66" s="33" t="inlineStr">
        <is>
          <t>Preferred partner ranked higher</t>
        </is>
      </c>
      <c r="D66" s="12" t="inlineStr">
        <is>
          <t>System</t>
        </is>
      </c>
      <c r="E66" s="12" t="inlineStr">
        <is>
          <t>GA-002, GS-040</t>
        </is>
      </c>
      <c r="F66" s="10" t="n"/>
      <c r="G66" s="10" t="inlineStr">
        <is>
          <t>COMPLETED</t>
        </is>
      </c>
      <c r="H66" s="12" t="inlineStr">
        <is>
          <t>#11</t>
        </is>
      </c>
      <c r="I66" s="12" t="inlineStr">
        <is>
          <t>-</t>
        </is>
      </c>
    </row>
    <row r="67" ht="15" customFormat="1" customHeight="1" s="2">
      <c r="A67" s="12" t="inlineStr">
        <is>
          <t>F3.2.2</t>
        </is>
      </c>
      <c r="B67" s="10" t="n">
        <v>3</v>
      </c>
      <c r="C67" s="33" t="inlineStr">
        <is>
          <t>Distance, reliability and fairness</t>
        </is>
      </c>
      <c r="D67" s="12" t="inlineStr">
        <is>
          <t>System</t>
        </is>
      </c>
      <c r="E67" s="12" t="inlineStr">
        <is>
          <t>GA-003, GA-007, GA-008</t>
        </is>
      </c>
      <c r="F67" s="10" t="n"/>
      <c r="G67" s="10" t="inlineStr">
        <is>
          <t>COMPLETED</t>
        </is>
      </c>
      <c r="H67" s="12" t="inlineStr">
        <is>
          <t>Baseline; #11</t>
        </is>
      </c>
      <c r="I67" s="12" t="inlineStr">
        <is>
          <t>-</t>
        </is>
      </c>
    </row>
    <row r="68" ht="15" customFormat="1" customHeight="1" s="2">
      <c r="A68" s="12" t="inlineStr">
        <is>
          <t>F3.2.3</t>
        </is>
      </c>
      <c r="B68" s="10" t="n">
        <v>3</v>
      </c>
      <c r="C68" s="33" t="inlineStr">
        <is>
          <t>Road ETA (F4), busy riders as fallback (F3), batching</t>
        </is>
      </c>
      <c r="D68" s="12" t="inlineStr">
        <is>
          <t>System</t>
        </is>
      </c>
      <c r="E68" s="12" t="inlineStr">
        <is>
          <t>GS-072, GA-005</t>
        </is>
      </c>
      <c r="F68" s="10" t="n"/>
      <c r="G68" s="10" t="inlineStr">
        <is>
          <t>COMPLETED</t>
        </is>
      </c>
      <c r="H68" s="12" t="inlineStr">
        <is>
          <t>#55; #58</t>
        </is>
      </c>
      <c r="I68" s="12" t="inlineStr">
        <is>
          <t>Off by default</t>
        </is>
      </c>
    </row>
    <row r="69" ht="15" customFormat="1" customHeight="1" s="2">
      <c r="A69" s="30" t="inlineStr">
        <is>
          <t>F3.3</t>
        </is>
      </c>
      <c r="B69" s="31" t="n">
        <v>2</v>
      </c>
      <c r="C69" s="32" t="inlineStr">
        <is>
          <t>F3.3  Offer</t>
        </is>
      </c>
      <c r="D69" s="30" t="n"/>
      <c r="E69" s="30" t="n"/>
      <c r="F69" s="31">
        <f>COUNTIFS($B$70:$B$71,3,$G$70:$G$71,"COMPLETED")&amp;" / "&amp;COUNTIF($B$70:$B$71,3)</f>
        <v/>
      </c>
      <c r="G69" s="31">
        <f>IF(COUNTIFS($B$70:$B$71,3,$G$70:$G$71,"COMPLETED")=COUNTIF($B$70:$B$71,3),"COMPLETED",IF(COUNTIFS($B$70:$B$71,3,$G$70:$G$71,"BLOCKED")&gt;0,"BLOCKED",IF(COUNTIFS($B$70:$B$71,3,$G$70:$G$71,"YET TO START")=COUNTIF($B$70:$B$71,3),"YET TO START","IN PROGRESS")))</f>
        <v/>
      </c>
      <c r="H69" s="30" t="n"/>
      <c r="I69" s="30" t="n"/>
    </row>
    <row r="70" ht="15" customFormat="1" customHeight="1" s="2">
      <c r="A70" s="12" t="inlineStr">
        <is>
          <t>F3.3.1</t>
        </is>
      </c>
      <c r="B70" s="10" t="n">
        <v>3</v>
      </c>
      <c r="C70" s="33" t="inlineStr">
        <is>
          <t>Offer to the best rider with expiry, retries and operator override</t>
        </is>
      </c>
      <c r="D70" s="12" t="inlineStr">
        <is>
          <t>System</t>
        </is>
      </c>
      <c r="E70" s="12" t="inlineStr">
        <is>
          <t>GS-039, GA-009, RBAC-007</t>
        </is>
      </c>
      <c r="F70" s="10" t="n"/>
      <c r="G70" s="10" t="inlineStr">
        <is>
          <t>COMPLETED</t>
        </is>
      </c>
      <c r="H70" s="12" t="inlineStr">
        <is>
          <t>Baseline; #10; #23</t>
        </is>
      </c>
      <c r="I70" s="12" t="inlineStr">
        <is>
          <t>-</t>
        </is>
      </c>
    </row>
    <row r="71" ht="15" customFormat="1" customHeight="1" s="2">
      <c r="A71" s="12" t="inlineStr">
        <is>
          <t>F3.3.2</t>
        </is>
      </c>
      <c r="B71" s="10" t="n">
        <v>3</v>
      </c>
      <c r="C71" s="33" t="inlineStr">
        <is>
          <t>Broadcast offers / widen the radius</t>
        </is>
      </c>
      <c r="D71" s="12" t="inlineStr">
        <is>
          <t>System</t>
        </is>
      </c>
      <c r="E71" s="12" t="inlineStr">
        <is>
          <t>GAP-004</t>
        </is>
      </c>
      <c r="F71" s="10" t="n"/>
      <c r="G71" s="10" t="inlineStr">
        <is>
          <t>YET TO START</t>
        </is>
      </c>
      <c r="H71" s="12" t="inlineStr">
        <is>
          <t>-</t>
        </is>
      </c>
      <c r="I71" s="12" t="inlineStr">
        <is>
          <t>Not built</t>
        </is>
      </c>
    </row>
    <row r="72" ht="18" customFormat="1" customHeight="1" s="2">
      <c r="A72" s="28" t="inlineStr">
        <is>
          <t>F4</t>
        </is>
      </c>
      <c r="B72" s="29" t="n">
        <v>1</v>
      </c>
      <c r="C72" s="28" t="inlineStr">
        <is>
          <t>F4  Delivery</t>
        </is>
      </c>
      <c r="D72" s="28" t="inlineStr">
        <is>
          <t>Rider</t>
        </is>
      </c>
      <c r="E72" s="28" t="n"/>
      <c r="F72" s="29">
        <f>COUNTIFS($B$73:$B$84,3,$G$73:$G$84,"COMPLETED")&amp;" / "&amp;COUNTIF($B$73:$B$84,3)</f>
        <v/>
      </c>
      <c r="G72" s="29">
        <f>IF(COUNTIFS($B$73:$B$84,3,$G$73:$G$84,"COMPLETED")=COUNTIF($B$73:$B$84,3),"COMPLETED",IF(COUNTIFS($B$73:$B$84,3,$G$73:$G$84,"BLOCKED")&gt;0,"BLOCKED",IF(COUNTIFS($B$73:$B$84,3,$G$73:$G$84,"YET TO START")=COUNTIF($B$73:$B$84,3),"YET TO START","IN PROGRESS")))</f>
        <v/>
      </c>
      <c r="H72" s="28" t="n"/>
      <c r="I72" s="28" t="n"/>
    </row>
    <row r="73" ht="15" customFormat="1" customHeight="1" s="2">
      <c r="A73" s="30" t="inlineStr">
        <is>
          <t>F4.1</t>
        </is>
      </c>
      <c r="B73" s="31" t="n">
        <v>2</v>
      </c>
      <c r="C73" s="32" t="inlineStr">
        <is>
          <t>F4.1  Pickup</t>
        </is>
      </c>
      <c r="D73" s="30" t="n"/>
      <c r="E73" s="30" t="n"/>
      <c r="F73" s="31">
        <f>COUNTIFS($B$74:$B$76,3,$G$74:$G$76,"COMPLETED")&amp;" / "&amp;COUNTIF($B$74:$B$76,3)</f>
        <v/>
      </c>
      <c r="G73" s="31">
        <f>IF(COUNTIFS($B$74:$B$76,3,$G$74:$G$76,"COMPLETED")=COUNTIF($B$74:$B$76,3),"COMPLETED",IF(COUNTIFS($B$74:$B$76,3,$G$74:$G$76,"BLOCKED")&gt;0,"BLOCKED",IF(COUNTIFS($B$74:$B$76,3,$G$74:$G$76,"YET TO START")=COUNTIF($B$74:$B$76,3),"YET TO START","IN PROGRESS")))</f>
        <v/>
      </c>
      <c r="H73" s="30" t="n"/>
      <c r="I73" s="30" t="n"/>
    </row>
    <row r="74" ht="15" customFormat="1" customHeight="1" s="2">
      <c r="A74" s="12" t="inlineStr">
        <is>
          <t>F4.1.1</t>
        </is>
      </c>
      <c r="B74" s="10" t="n">
        <v>3</v>
      </c>
      <c r="C74" s="33" t="inlineStr">
        <is>
          <t>Accept the job (Jobs screen; ordered trip list when batched)</t>
        </is>
      </c>
      <c r="D74" s="12" t="inlineStr">
        <is>
          <t>Rider</t>
        </is>
      </c>
      <c r="E74" s="12" t="inlineStr">
        <is>
          <t>NAV-011</t>
        </is>
      </c>
      <c r="F74" s="10" t="n"/>
      <c r="G74" s="10" t="inlineStr">
        <is>
          <t>COMPLETED</t>
        </is>
      </c>
      <c r="H74" s="12" t="inlineStr">
        <is>
          <t>#21; #58</t>
        </is>
      </c>
      <c r="I74" s="12" t="inlineStr">
        <is>
          <t>-</t>
        </is>
      </c>
    </row>
    <row r="75" ht="15" customFormat="1" customHeight="1" s="2">
      <c r="A75" s="12" t="inlineStr">
        <is>
          <t>F4.1.2</t>
        </is>
      </c>
      <c r="B75" s="10" t="n">
        <v>3</v>
      </c>
      <c r="C75" s="33" t="inlineStr">
        <is>
          <t>Arrive at shop checkpoint and pickup code</t>
        </is>
      </c>
      <c r="D75" s="12" t="inlineStr">
        <is>
          <t>Rider</t>
        </is>
      </c>
      <c r="E75" s="12" t="inlineStr">
        <is>
          <t>NEW-004, GS-041</t>
        </is>
      </c>
      <c r="F75" s="10" t="n"/>
      <c r="G75" s="10" t="inlineStr">
        <is>
          <t>COMPLETED</t>
        </is>
      </c>
      <c r="H75" s="12" t="inlineStr">
        <is>
          <t>#10; #23</t>
        </is>
      </c>
      <c r="I75" s="12" t="inlineStr">
        <is>
          <t>-</t>
        </is>
      </c>
    </row>
    <row r="76" ht="15" customFormat="1" customHeight="1" s="2">
      <c r="A76" s="12" t="inlineStr">
        <is>
          <t>F4.1.3</t>
        </is>
      </c>
      <c r="B76" s="10" t="n">
        <v>3</v>
      </c>
      <c r="C76" s="33" t="inlineStr">
        <is>
          <t>Pickup by QR code</t>
        </is>
      </c>
      <c r="D76" s="12" t="inlineStr">
        <is>
          <t>Rider</t>
        </is>
      </c>
      <c r="E76" s="12" t="inlineStr">
        <is>
          <t>GAP-001</t>
        </is>
      </c>
      <c r="F76" s="10" t="n"/>
      <c r="G76" s="10" t="inlineStr">
        <is>
          <t>YET TO START</t>
        </is>
      </c>
      <c r="H76" s="12" t="inlineStr">
        <is>
          <t>-</t>
        </is>
      </c>
      <c r="I76" s="12" t="inlineStr">
        <is>
          <t>Not built</t>
        </is>
      </c>
    </row>
    <row r="77" ht="15" customFormat="1" customHeight="1" s="2">
      <c r="A77" s="30" t="inlineStr">
        <is>
          <t>F4.2</t>
        </is>
      </c>
      <c r="B77" s="31" t="n">
        <v>2</v>
      </c>
      <c r="C77" s="32" t="inlineStr">
        <is>
          <t>F4.2  Drop</t>
        </is>
      </c>
      <c r="D77" s="30" t="n"/>
      <c r="E77" s="30" t="n"/>
      <c r="F77" s="31">
        <f>COUNTIFS($B$78:$B$84,3,$G$78:$G$84,"COMPLETED")&amp;" / "&amp;COUNTIF($B$78:$B$84,3)</f>
        <v/>
      </c>
      <c r="G77" s="31">
        <f>IF(COUNTIFS($B$78:$B$84,3,$G$78:$G$84,"COMPLETED")=COUNTIF($B$78:$B$84,3),"COMPLETED",IF(COUNTIFS($B$78:$B$84,3,$G$78:$G$84,"BLOCKED")&gt;0,"BLOCKED",IF(COUNTIFS($B$78:$B$84,3,$G$78:$G$84,"YET TO START")=COUNTIF($B$78:$B$84,3),"YET TO START","IN PROGRESS")))</f>
        <v/>
      </c>
      <c r="H77" s="30" t="n"/>
      <c r="I77" s="30" t="n"/>
    </row>
    <row r="78" ht="15" customFormat="1" customHeight="1" s="2">
      <c r="A78" s="12" t="inlineStr">
        <is>
          <t>F4.2.1</t>
        </is>
      </c>
      <c r="B78" s="10" t="n">
        <v>3</v>
      </c>
      <c r="C78" s="33" t="inlineStr">
        <is>
          <t>Navigate with a Google Maps deep link</t>
        </is>
      </c>
      <c r="D78" s="12" t="inlineStr">
        <is>
          <t>Rider</t>
        </is>
      </c>
      <c r="E78" s="12" t="inlineStr">
        <is>
          <t>GS-072</t>
        </is>
      </c>
      <c r="F78" s="10" t="n"/>
      <c r="G78" s="10" t="inlineStr">
        <is>
          <t>COMPLETED</t>
        </is>
      </c>
      <c r="H78" s="12" t="inlineStr">
        <is>
          <t>#23</t>
        </is>
      </c>
      <c r="I78" s="12" t="inlineStr">
        <is>
          <t>-</t>
        </is>
      </c>
    </row>
    <row r="79" ht="15" customFormat="1" customHeight="1" s="2">
      <c r="A79" s="12" t="inlineStr">
        <is>
          <t>F4.2.2</t>
        </is>
      </c>
      <c r="B79" s="10" t="n">
        <v>3</v>
      </c>
      <c r="C79" s="33" t="inlineStr">
        <is>
          <t>In-app turn-by-turn navigation</t>
        </is>
      </c>
      <c r="D79" s="12" t="inlineStr">
        <is>
          <t>Rider</t>
        </is>
      </c>
      <c r="E79" s="12" t="inlineStr">
        <is>
          <t>GAP-002</t>
        </is>
      </c>
      <c r="F79" s="10" t="n"/>
      <c r="G79" s="10" t="inlineStr">
        <is>
          <t>YET TO START</t>
        </is>
      </c>
      <c r="H79" s="12" t="inlineStr">
        <is>
          <t>-</t>
        </is>
      </c>
      <c r="I79" s="12" t="inlineStr">
        <is>
          <t>Not built</t>
        </is>
      </c>
    </row>
    <row r="80" ht="15" customFormat="1" customHeight="1" s="2">
      <c r="A80" s="12" t="inlineStr">
        <is>
          <t>F4.2.3</t>
        </is>
      </c>
      <c r="B80" s="10" t="n">
        <v>3</v>
      </c>
      <c r="C80" s="33" t="inlineStr">
        <is>
          <t>Society gate access and instructions</t>
        </is>
      </c>
      <c r="D80" s="12" t="inlineStr">
        <is>
          <t>Rider</t>
        </is>
      </c>
      <c r="E80" s="12" t="inlineStr">
        <is>
          <t>GS-047</t>
        </is>
      </c>
      <c r="F80" s="10" t="n"/>
      <c r="G80" s="10" t="inlineStr">
        <is>
          <t>COMPLETED</t>
        </is>
      </c>
      <c r="H80" s="12" t="inlineStr">
        <is>
          <t>#11; #23</t>
        </is>
      </c>
      <c r="I80" s="12" t="inlineStr">
        <is>
          <t>-</t>
        </is>
      </c>
    </row>
    <row r="81" ht="15" customFormat="1" customHeight="1" s="2">
      <c r="A81" s="12" t="inlineStr">
        <is>
          <t>F4.2.4</t>
        </is>
      </c>
      <c r="B81" s="10" t="n">
        <v>3</v>
      </c>
      <c r="C81" s="33" t="inlineStr">
        <is>
          <t>Delivery code, arrival checkpoint and photo proof</t>
        </is>
      </c>
      <c r="D81" s="12" t="inlineStr">
        <is>
          <t>Rider</t>
        </is>
      </c>
      <c r="E81" s="12" t="inlineStr">
        <is>
          <t>GS-043, NEW-007</t>
        </is>
      </c>
      <c r="F81" s="10" t="n"/>
      <c r="G81" s="10" t="inlineStr">
        <is>
          <t>COMPLETED</t>
        </is>
      </c>
      <c r="H81" s="12" t="inlineStr">
        <is>
          <t>#10; #23; #58</t>
        </is>
      </c>
      <c r="I81" s="12" t="inlineStr">
        <is>
          <t>Photo proof off by default</t>
        </is>
      </c>
    </row>
    <row r="82" ht="15" customFormat="1" customHeight="1" s="2">
      <c r="A82" s="12" t="inlineStr">
        <is>
          <t>F4.2.5</t>
        </is>
      </c>
      <c r="B82" s="10" t="n">
        <v>3</v>
      </c>
      <c r="C82" s="33" t="inlineStr">
        <is>
          <t>Code lockout raises a ticket; shop cannot bypass the code</t>
        </is>
      </c>
      <c r="D82" s="12" t="inlineStr">
        <is>
          <t>Rider</t>
        </is>
      </c>
      <c r="E82" s="12" t="inlineStr">
        <is>
          <t>NEW-035</t>
        </is>
      </c>
      <c r="F82" s="10" t="n"/>
      <c r="G82" s="10" t="inlineStr">
        <is>
          <t>COMPLETED</t>
        </is>
      </c>
      <c r="H82" s="12" t="inlineStr">
        <is>
          <t>#91; #120</t>
        </is>
      </c>
      <c r="I82" s="12" t="inlineStr">
        <is>
          <t>Live on gokesari.com since #120 (9 Oct)</t>
        </is>
      </c>
    </row>
    <row r="83" ht="15" customFormat="1" customHeight="1" s="2">
      <c r="A83" s="12" t="inlineStr">
        <is>
          <t>F4.2.6</t>
        </is>
      </c>
      <c r="B83" s="10" t="n">
        <v>3</v>
      </c>
      <c r="C83" s="33" t="inlineStr">
        <is>
          <t>Signature capture</t>
        </is>
      </c>
      <c r="D83" s="12" t="inlineStr">
        <is>
          <t>Rider</t>
        </is>
      </c>
      <c r="E83" s="12" t="inlineStr">
        <is>
          <t>GAP-003</t>
        </is>
      </c>
      <c r="F83" s="10" t="n"/>
      <c r="G83" s="10" t="inlineStr">
        <is>
          <t>YET TO START</t>
        </is>
      </c>
      <c r="H83" s="12" t="inlineStr">
        <is>
          <t>-</t>
        </is>
      </c>
      <c r="I83" s="12" t="inlineStr">
        <is>
          <t>Not built</t>
        </is>
      </c>
    </row>
    <row r="84" ht="15" customFormat="1" customHeight="1" s="2">
      <c r="A84" s="12" t="inlineStr">
        <is>
          <t>F4.2.7</t>
        </is>
      </c>
      <c r="B84" s="10" t="n">
        <v>3</v>
      </c>
      <c r="C84" s="33" t="inlineStr">
        <is>
          <t>Failed delivery / return to shop</t>
        </is>
      </c>
      <c r="D84" s="12" t="inlineStr">
        <is>
          <t>Rider</t>
        </is>
      </c>
      <c r="E84" s="12" t="inlineStr">
        <is>
          <t>SM-001, WF-005</t>
        </is>
      </c>
      <c r="F84" s="10" t="n"/>
      <c r="G84" s="10" t="inlineStr">
        <is>
          <t>COMPLETED</t>
        </is>
      </c>
      <c r="H84" s="12" t="inlineStr">
        <is>
          <t>#10</t>
        </is>
      </c>
      <c r="I84" s="12" t="inlineStr">
        <is>
          <t>-</t>
        </is>
      </c>
    </row>
    <row r="85" ht="18" customFormat="1" customHeight="1" s="2">
      <c r="A85" s="28" t="inlineStr">
        <is>
          <t>F5</t>
        </is>
      </c>
      <c r="B85" s="29" t="n">
        <v>1</v>
      </c>
      <c r="C85" s="28" t="inlineStr">
        <is>
          <t>F5  Society-authorised delivery</t>
        </is>
      </c>
      <c r="D85" s="28" t="inlineStr">
        <is>
          <t>Society admin</t>
        </is>
      </c>
      <c r="E85" s="28" t="n"/>
      <c r="F85" s="29">
        <f>COUNTIFS($B$86:$B$95,3,$G$86:$G$95,"COMPLETED")&amp;" / "&amp;COUNTIF($B$86:$B$95,3)</f>
        <v/>
      </c>
      <c r="G85" s="29">
        <f>IF(COUNTIFS($B$86:$B$95,3,$G$86:$G$95,"COMPLETED")=COUNTIF($B$86:$B$95,3),"COMPLETED",IF(COUNTIFS($B$86:$B$95,3,$G$86:$G$95,"BLOCKED")&gt;0,"BLOCKED",IF(COUNTIFS($B$86:$B$95,3,$G$86:$G$95,"YET TO START")=COUNTIF($B$86:$B$95,3),"YET TO START","IN PROGRESS")))</f>
        <v/>
      </c>
      <c r="H85" s="28" t="n"/>
      <c r="I85" s="28" t="n"/>
    </row>
    <row r="86" ht="15" customFormat="1" customHeight="1" s="2">
      <c r="A86" s="30" t="inlineStr">
        <is>
          <t>F5.1</t>
        </is>
      </c>
      <c r="B86" s="31" t="n">
        <v>2</v>
      </c>
      <c r="C86" s="32" t="inlineStr">
        <is>
          <t>F5.1  Society set-up</t>
        </is>
      </c>
      <c r="D86" s="30" t="n"/>
      <c r="E86" s="30" t="n"/>
      <c r="F86" s="31">
        <f>COUNTIFS($B$87:$B$88,3,$G$87:$G$88,"COMPLETED")&amp;" / "&amp;COUNTIF($B$87:$B$88,3)</f>
        <v/>
      </c>
      <c r="G86" s="31">
        <f>IF(COUNTIFS($B$87:$B$88,3,$G$87:$G$88,"COMPLETED")=COUNTIF($B$87:$B$88,3),"COMPLETED",IF(COUNTIFS($B$87:$B$88,3,$G$87:$G$88,"BLOCKED")&gt;0,"BLOCKED",IF(COUNTIFS($B$87:$B$88,3,$G$87:$G$88,"YET TO START")=COUNTIF($B$87:$B$88,3),"YET TO START","IN PROGRESS")))</f>
        <v/>
      </c>
      <c r="H86" s="30" t="n"/>
      <c r="I86" s="30" t="n"/>
    </row>
    <row r="87" ht="15" customFormat="1" customHeight="1" s="2">
      <c r="A87" s="12" t="inlineStr">
        <is>
          <t>F5.1.1</t>
        </is>
      </c>
      <c r="B87" s="10" t="n">
        <v>3</v>
      </c>
      <c r="C87" s="33" t="inlineStr">
        <is>
          <t>Register the society; operations verify it</t>
        </is>
      </c>
      <c r="D87" s="12" t="inlineStr">
        <is>
          <t>Society admin</t>
        </is>
      </c>
      <c r="E87" s="12" t="inlineStr">
        <is>
          <t>GS-044</t>
        </is>
      </c>
      <c r="F87" s="10" t="n"/>
      <c r="G87" s="10" t="inlineStr">
        <is>
          <t>COMPLETED</t>
        </is>
      </c>
      <c r="H87" s="12" t="inlineStr">
        <is>
          <t>#11</t>
        </is>
      </c>
      <c r="I87" s="12" t="inlineStr">
        <is>
          <t>-</t>
        </is>
      </c>
    </row>
    <row r="88" ht="15" customFormat="1" customHeight="1" s="2">
      <c r="A88" s="12" t="inlineStr">
        <is>
          <t>F5.1.2</t>
        </is>
      </c>
      <c r="B88" s="10" t="n">
        <v>3</v>
      </c>
      <c r="C88" s="33" t="inlineStr">
        <is>
          <t>Members: admin, operator, resident</t>
        </is>
      </c>
      <c r="D88" s="12" t="inlineStr">
        <is>
          <t>Society admin</t>
        </is>
      </c>
      <c r="E88" s="12" t="inlineStr">
        <is>
          <t>GS-005, GS-002</t>
        </is>
      </c>
      <c r="F88" s="10" t="n"/>
      <c r="G88" s="10" t="inlineStr">
        <is>
          <t>COMPLETED</t>
        </is>
      </c>
      <c r="H88" s="12" t="inlineStr">
        <is>
          <t>#11</t>
        </is>
      </c>
      <c r="I88" s="12" t="inlineStr">
        <is>
          <t>-</t>
        </is>
      </c>
    </row>
    <row r="89" ht="15" customFormat="1" customHeight="1" s="2">
      <c r="A89" s="30" t="inlineStr">
        <is>
          <t>F5.2</t>
        </is>
      </c>
      <c r="B89" s="31" t="n">
        <v>2</v>
      </c>
      <c r="C89" s="32" t="inlineStr">
        <is>
          <t>F5.2  Rider control</t>
        </is>
      </c>
      <c r="D89" s="30" t="n"/>
      <c r="E89" s="30" t="n"/>
      <c r="F89" s="31">
        <f>COUNTIFS($B$90:$B$92,3,$G$90:$G$92,"COMPLETED")&amp;" / "&amp;COUNTIF($B$90:$B$92,3)</f>
        <v/>
      </c>
      <c r="G89" s="31">
        <f>IF(COUNTIFS($B$90:$B$92,3,$G$90:$G$92,"COMPLETED")=COUNTIF($B$90:$B$92,3),"COMPLETED",IF(COUNTIFS($B$90:$B$92,3,$G$90:$G$92,"BLOCKED")&gt;0,"BLOCKED",IF(COUNTIFS($B$90:$B$92,3,$G$90:$G$92,"YET TO START")=COUNTIF($B$90:$B$92,3),"YET TO START","IN PROGRESS")))</f>
        <v/>
      </c>
      <c r="H89" s="30" t="n"/>
      <c r="I89" s="30" t="n"/>
    </row>
    <row r="90" ht="15" customFormat="1" customHeight="1" s="2">
      <c r="A90" s="12" t="inlineStr">
        <is>
          <t>F5.2.1</t>
        </is>
      </c>
      <c r="B90" s="10" t="n">
        <v>3</v>
      </c>
      <c r="C90" s="33" t="inlineStr">
        <is>
          <t>Whitelist or revoke riders</t>
        </is>
      </c>
      <c r="D90" s="12" t="inlineStr">
        <is>
          <t>Society admin</t>
        </is>
      </c>
      <c r="E90" s="12" t="inlineStr">
        <is>
          <t>GS-045, RBAC-009</t>
        </is>
      </c>
      <c r="F90" s="10" t="n"/>
      <c r="G90" s="10" t="inlineStr">
        <is>
          <t>COMPLETED</t>
        </is>
      </c>
      <c r="H90" s="12" t="inlineStr">
        <is>
          <t>#11</t>
        </is>
      </c>
      <c r="I90" s="12" t="inlineStr">
        <is>
          <t>-</t>
        </is>
      </c>
    </row>
    <row r="91" ht="15" customFormat="1" customHeight="1" s="2">
      <c r="A91" s="12" t="inlineStr">
        <is>
          <t>F5.2.2</t>
        </is>
      </c>
      <c r="B91" s="10" t="n">
        <v>3</v>
      </c>
      <c r="C91" s="33" t="inlineStr">
        <is>
          <t>Only verified societies may add riders (C2)</t>
        </is>
      </c>
      <c r="D91" s="12" t="inlineStr">
        <is>
          <t>Society admin</t>
        </is>
      </c>
      <c r="E91" s="12" t="inlineStr">
        <is>
          <t>NEW-023</t>
        </is>
      </c>
      <c r="F91" s="10" t="n"/>
      <c r="G91" s="10" t="inlineStr">
        <is>
          <t>COMPLETED</t>
        </is>
      </c>
      <c r="H91" s="12" t="inlineStr">
        <is>
          <t>#85; #120</t>
        </is>
      </c>
      <c r="I91" s="12" t="inlineStr">
        <is>
          <t>Live on gokesari.com since #120 (9 Oct)</t>
        </is>
      </c>
    </row>
    <row r="92" ht="15" customFormat="1" customHeight="1" s="2">
      <c r="A92" s="12" t="inlineStr">
        <is>
          <t>F5.2.3</t>
        </is>
      </c>
      <c r="B92" s="10" t="n">
        <v>3</v>
      </c>
      <c r="C92" s="33" t="inlineStr">
        <is>
          <t>Rider photo and ID on the society dashboard (C5)</t>
        </is>
      </c>
      <c r="D92" s="12" t="inlineStr">
        <is>
          <t>Society admin</t>
        </is>
      </c>
      <c r="E92" s="12" t="inlineStr">
        <is>
          <t>NEW-026</t>
        </is>
      </c>
      <c r="F92" s="10" t="n"/>
      <c r="G92" s="10" t="inlineStr">
        <is>
          <t>COMPLETED</t>
        </is>
      </c>
      <c r="H92" s="12" t="inlineStr">
        <is>
          <t>#85; #120</t>
        </is>
      </c>
      <c r="I92" s="12" t="inlineStr">
        <is>
          <t>Live on gokesari.com since #120 (9 Oct)</t>
        </is>
      </c>
    </row>
    <row r="93" ht="15" customFormat="1" customHeight="1" s="2">
      <c r="A93" s="30" t="inlineStr">
        <is>
          <t>F5.3</t>
        </is>
      </c>
      <c r="B93" s="31" t="n">
        <v>2</v>
      </c>
      <c r="C93" s="32" t="inlineStr">
        <is>
          <t>F5.3  Gate</t>
        </is>
      </c>
      <c r="D93" s="30" t="n"/>
      <c r="E93" s="30" t="n"/>
      <c r="F93" s="31">
        <f>COUNTIFS($B$94:$B$95,3,$G$94:$G$95,"COMPLETED")&amp;" / "&amp;COUNTIF($B$94:$B$95,3)</f>
        <v/>
      </c>
      <c r="G93" s="31">
        <f>IF(COUNTIFS($B$94:$B$95,3,$G$94:$G$95,"COMPLETED")=COUNTIF($B$94:$B$95,3),"COMPLETED",IF(COUNTIFS($B$94:$B$95,3,$G$94:$G$95,"BLOCKED")&gt;0,"BLOCKED",IF(COUNTIFS($B$94:$B$95,3,$G$94:$G$95,"YET TO START")=COUNTIF($B$94:$B$95,3),"YET TO START","IN PROGRESS")))</f>
        <v/>
      </c>
      <c r="H93" s="30" t="n"/>
      <c r="I93" s="30" t="n"/>
    </row>
    <row r="94" ht="15" customFormat="1" customHeight="1" s="2">
      <c r="A94" s="12" t="inlineStr">
        <is>
          <t>F5.3.1</t>
        </is>
      </c>
      <c r="B94" s="10" t="n">
        <v>3</v>
      </c>
      <c r="C94" s="33" t="inlineStr">
        <is>
          <t>Delivery instructions for the assigned rider</t>
        </is>
      </c>
      <c r="D94" s="12" t="inlineStr">
        <is>
          <t>Society admin</t>
        </is>
      </c>
      <c r="E94" s="12" t="inlineStr">
        <is>
          <t>GS-047</t>
        </is>
      </c>
      <c r="F94" s="10" t="n"/>
      <c r="G94" s="10" t="inlineStr">
        <is>
          <t>COMPLETED</t>
        </is>
      </c>
      <c r="H94" s="12" t="inlineStr">
        <is>
          <t>#11</t>
        </is>
      </c>
      <c r="I94" s="12" t="inlineStr">
        <is>
          <t>-</t>
        </is>
      </c>
    </row>
    <row r="95" ht="15" customFormat="1" customHeight="1" s="2">
      <c r="A95" s="12" t="inlineStr">
        <is>
          <t>F5.3.2</t>
        </is>
      </c>
      <c r="B95" s="10" t="n">
        <v>3</v>
      </c>
      <c r="C95" s="33" t="inlineStr">
        <is>
          <t>Security notified of the assigned rider</t>
        </is>
      </c>
      <c r="D95" s="12" t="inlineStr">
        <is>
          <t>Society admin</t>
        </is>
      </c>
      <c r="E95" s="12" t="inlineStr">
        <is>
          <t>GS-046</t>
        </is>
      </c>
      <c r="F95" s="10" t="n"/>
      <c r="G95" s="10" t="inlineStr">
        <is>
          <t>COMPLETED</t>
        </is>
      </c>
      <c r="H95" s="12" t="inlineStr">
        <is>
          <t>#11</t>
        </is>
      </c>
      <c r="I95" s="12" t="inlineStr">
        <is>
          <t>-</t>
        </is>
      </c>
    </row>
    <row r="96" ht="18" customFormat="1" customHeight="1" s="2">
      <c r="A96" s="28" t="inlineStr">
        <is>
          <t>F6</t>
        </is>
      </c>
      <c r="B96" s="29" t="n">
        <v>1</v>
      </c>
      <c r="C96" s="28" t="inlineStr">
        <is>
          <t>F6  After the order: returns, refunds, disputes, ratings</t>
        </is>
      </c>
      <c r="D96" s="28" t="inlineStr">
        <is>
          <t>Customer / Operator</t>
        </is>
      </c>
      <c r="E96" s="28" t="n"/>
      <c r="F96" s="29">
        <f>COUNTIFS($B$97:$B$110,3,$G$97:$G$110,"COMPLETED")&amp;" / "&amp;COUNTIF($B$97:$B$110,3)</f>
        <v/>
      </c>
      <c r="G96" s="29">
        <f>IF(COUNTIFS($B$97:$B$110,3,$G$97:$G$110,"COMPLETED")=COUNTIF($B$97:$B$110,3),"COMPLETED",IF(COUNTIFS($B$97:$B$110,3,$G$97:$G$110,"BLOCKED")&gt;0,"BLOCKED",IF(COUNTIFS($B$97:$B$110,3,$G$97:$G$110,"YET TO START")=COUNTIF($B$97:$B$110,3),"YET TO START","IN PROGRESS")))</f>
        <v/>
      </c>
      <c r="H96" s="28" t="n"/>
      <c r="I96" s="28" t="n"/>
    </row>
    <row r="97" ht="15" customFormat="1" customHeight="1" s="2">
      <c r="A97" s="30" t="inlineStr">
        <is>
          <t>F6.1</t>
        </is>
      </c>
      <c r="B97" s="31" t="n">
        <v>2</v>
      </c>
      <c r="C97" s="32" t="inlineStr">
        <is>
          <t>F6.1  Cancellation</t>
        </is>
      </c>
      <c r="D97" s="30" t="n"/>
      <c r="E97" s="30" t="n"/>
      <c r="F97" s="31">
        <f>COUNTIFS($B$98:$B$100,3,$G$98:$G$100,"COMPLETED")&amp;" / "&amp;COUNTIF($B$98:$B$100,3)</f>
        <v/>
      </c>
      <c r="G97" s="31">
        <f>IF(COUNTIFS($B$98:$B$100,3,$G$98:$G$100,"COMPLETED")=COUNTIF($B$98:$B$100,3),"COMPLETED",IF(COUNTIFS($B$98:$B$100,3,$G$98:$G$100,"BLOCKED")&gt;0,"BLOCKED",IF(COUNTIFS($B$98:$B$100,3,$G$98:$G$100,"YET TO START")=COUNTIF($B$98:$B$100,3),"YET TO START","IN PROGRESS")))</f>
        <v/>
      </c>
      <c r="H97" s="30" t="n"/>
      <c r="I97" s="30" t="n"/>
    </row>
    <row r="98" ht="15" customFormat="1" customHeight="1" s="2">
      <c r="A98" s="12" t="inlineStr">
        <is>
          <t>F6.1.1</t>
        </is>
      </c>
      <c r="B98" s="10" t="n">
        <v>3</v>
      </c>
      <c r="C98" s="33" t="inlineStr">
        <is>
          <t>Cancel before packing: full refund incl. delivery fee</t>
        </is>
      </c>
      <c r="D98" s="12" t="inlineStr">
        <is>
          <t>Customer / Operator</t>
        </is>
      </c>
      <c r="E98" s="12" t="inlineStr">
        <is>
          <t>NEW-006</t>
        </is>
      </c>
      <c r="F98" s="10" t="n"/>
      <c r="G98" s="10" t="inlineStr">
        <is>
          <t>COMPLETED</t>
        </is>
      </c>
      <c r="H98" s="12" t="inlineStr">
        <is>
          <t>#10; #23</t>
        </is>
      </c>
      <c r="I98" s="12" t="inlineStr">
        <is>
          <t>-</t>
        </is>
      </c>
    </row>
    <row r="99" ht="39" customFormat="1" customHeight="1" s="2">
      <c r="A99" s="12" t="inlineStr">
        <is>
          <t>F6.1.2</t>
        </is>
      </c>
      <c r="B99" s="10" t="n">
        <v>3</v>
      </c>
      <c r="C99" s="33" t="inlineStr">
        <is>
          <t>Customer may cancel until packing (rule)</t>
        </is>
      </c>
      <c r="D99" s="12" t="inlineStr">
        <is>
          <t>Customer / Operator</t>
        </is>
      </c>
      <c r="E99" s="12" t="inlineStr">
        <is>
          <t>NEW-020</t>
        </is>
      </c>
      <c r="F99" s="10" t="n"/>
      <c r="G99" s="10" t="inlineStr">
        <is>
          <t>COMPLETED</t>
        </is>
      </c>
      <c r="H99" s="12" t="inlineStr">
        <is>
          <t>#85; #120</t>
        </is>
      </c>
      <c r="I99" s="12" t="inlineStr">
        <is>
          <t>On gokesari.com since #120 (9 Oct), switched off by default - switch on in Admin &gt; Business rules</t>
        </is>
      </c>
    </row>
    <row r="100" ht="15" customFormat="1" customHeight="1" s="2">
      <c r="A100" s="12" t="inlineStr">
        <is>
          <t>F6.1.3</t>
        </is>
      </c>
      <c r="B100" s="10" t="n">
        <v>3</v>
      </c>
      <c r="C100" s="33" t="inlineStr">
        <is>
          <t>After-packing treatments (D10) signed off</t>
        </is>
      </c>
      <c r="D100" s="12" t="inlineStr">
        <is>
          <t>Customer / Operator</t>
        </is>
      </c>
      <c r="E100" s="12" t="inlineStr">
        <is>
          <t>NEW-006</t>
        </is>
      </c>
      <c r="F100" s="10" t="n"/>
      <c r="G100" s="10" t="inlineStr">
        <is>
          <t>BLOCKED</t>
        </is>
      </c>
      <c r="H100" s="12" t="inlineStr">
        <is>
          <t>-</t>
        </is>
      </c>
      <c r="I100" s="12" t="inlineStr">
        <is>
          <t>Waits on the D10 decision</t>
        </is>
      </c>
    </row>
    <row r="101" ht="15" customFormat="1" customHeight="1" s="2">
      <c r="A101" s="30" t="inlineStr">
        <is>
          <t>F6.2</t>
        </is>
      </c>
      <c r="B101" s="31" t="n">
        <v>2</v>
      </c>
      <c r="C101" s="32" t="inlineStr">
        <is>
          <t>F6.2  Returns and refunds</t>
        </is>
      </c>
      <c r="D101" s="30" t="n"/>
      <c r="E101" s="30" t="n"/>
      <c r="F101" s="31">
        <f>COUNTIFS($B$102:$B$104,3,$G$102:$G$104,"COMPLETED")&amp;" / "&amp;COUNTIF($B$102:$B$104,3)</f>
        <v/>
      </c>
      <c r="G101" s="31">
        <f>IF(COUNTIFS($B$102:$B$104,3,$G$102:$G$104,"COMPLETED")=COUNTIF($B$102:$B$104,3),"COMPLETED",IF(COUNTIFS($B$102:$B$104,3,$G$102:$G$104,"BLOCKED")&gt;0,"BLOCKED",IF(COUNTIFS($B$102:$B$104,3,$G$102:$G$104,"YET TO START")=COUNTIF($B$102:$B$104,3),"YET TO START","IN PROGRESS")))</f>
        <v/>
      </c>
      <c r="H101" s="30" t="n"/>
      <c r="I101" s="30" t="n"/>
    </row>
    <row r="102" ht="15" customFormat="1" customHeight="1" s="2">
      <c r="A102" s="12" t="inlineStr">
        <is>
          <t>F6.2.1</t>
        </is>
      </c>
      <c r="B102" s="10" t="n">
        <v>3</v>
      </c>
      <c r="C102" s="33" t="inlineStr">
        <is>
          <t>Report an issue - grievance ticket</t>
        </is>
      </c>
      <c r="D102" s="12" t="inlineStr">
        <is>
          <t>Customer / Operator</t>
        </is>
      </c>
      <c r="E102" s="12" t="inlineStr">
        <is>
          <t>GS-056</t>
        </is>
      </c>
      <c r="F102" s="10" t="n"/>
      <c r="G102" s="10" t="inlineStr">
        <is>
          <t>COMPLETED</t>
        </is>
      </c>
      <c r="H102" s="12" t="inlineStr">
        <is>
          <t>#11</t>
        </is>
      </c>
      <c r="I102" s="12" t="inlineStr">
        <is>
          <t>-</t>
        </is>
      </c>
    </row>
    <row r="103" ht="15" customFormat="1" customHeight="1" s="2">
      <c r="A103" s="12" t="inlineStr">
        <is>
          <t>F6.2.2</t>
        </is>
      </c>
      <c r="B103" s="10" t="n">
        <v>3</v>
      </c>
      <c r="C103" s="33" t="inlineStr">
        <is>
          <t>Return request, pickup and refund to wallet</t>
        </is>
      </c>
      <c r="D103" s="12" t="inlineStr">
        <is>
          <t>Customer / Operator</t>
        </is>
      </c>
      <c r="E103" s="12" t="inlineStr">
        <is>
          <t>GS-057, WF-007</t>
        </is>
      </c>
      <c r="F103" s="10" t="n"/>
      <c r="G103" s="10" t="inlineStr">
        <is>
          <t>COMPLETED</t>
        </is>
      </c>
      <c r="H103" s="12" t="inlineStr">
        <is>
          <t>#10; #23</t>
        </is>
      </c>
      <c r="I103" s="12" t="inlineStr">
        <is>
          <t>-</t>
        </is>
      </c>
    </row>
    <row r="104" ht="15" customFormat="1" customHeight="1" s="2">
      <c r="A104" s="12" t="inlineStr">
        <is>
          <t>F6.2.3</t>
        </is>
      </c>
      <c r="B104" s="10" t="n">
        <v>3</v>
      </c>
      <c r="C104" s="33" t="inlineStr">
        <is>
          <t>Refund to card / UPI</t>
        </is>
      </c>
      <c r="D104" s="12" t="inlineStr">
        <is>
          <t>Customer / Operator</t>
        </is>
      </c>
      <c r="E104" s="12" t="inlineStr">
        <is>
          <t>GS-073</t>
        </is>
      </c>
      <c r="F104" s="10" t="n"/>
      <c r="G104" s="10" t="inlineStr">
        <is>
          <t>BLOCKED</t>
        </is>
      </c>
      <c r="H104" s="12" t="inlineStr">
        <is>
          <t>-</t>
        </is>
      </c>
      <c r="I104" s="12" t="inlineStr">
        <is>
          <t>Waits on GS-028</t>
        </is>
      </c>
    </row>
    <row r="105" ht="15" customFormat="1" customHeight="1" s="2">
      <c r="A105" s="30" t="inlineStr">
        <is>
          <t>F6.3</t>
        </is>
      </c>
      <c r="B105" s="31" t="n">
        <v>2</v>
      </c>
      <c r="C105" s="32" t="inlineStr">
        <is>
          <t>F6.3  Disputes</t>
        </is>
      </c>
      <c r="D105" s="30" t="n"/>
      <c r="E105" s="30" t="n"/>
      <c r="F105" s="31">
        <f>COUNTIFS($B$106:$B$108,3,$G$106:$G$108,"COMPLETED")&amp;" / "&amp;COUNTIF($B$106:$B$108,3)</f>
        <v/>
      </c>
      <c r="G105" s="31">
        <f>IF(COUNTIFS($B$106:$B$108,3,$G$106:$G$108,"COMPLETED")=COUNTIF($B$106:$B$108,3),"COMPLETED",IF(COUNTIFS($B$106:$B$108,3,$G$106:$G$108,"BLOCKED")&gt;0,"BLOCKED",IF(COUNTIFS($B$106:$B$108,3,$G$106:$G$108,"YET TO START")=COUNTIF($B$106:$B$108,3),"YET TO START","IN PROGRESS")))</f>
        <v/>
      </c>
      <c r="H105" s="30" t="n"/>
      <c r="I105" s="30" t="n"/>
    </row>
    <row r="106" ht="15" customFormat="1" customHeight="1" s="2">
      <c r="A106" s="12" t="inlineStr">
        <is>
          <t>F6.3.1</t>
        </is>
      </c>
      <c r="B106" s="10" t="n">
        <v>3</v>
      </c>
      <c r="C106" s="33" t="inlineStr">
        <is>
          <t>Dispute case lifecycle with auto-escalation</t>
        </is>
      </c>
      <c r="D106" s="12" t="inlineStr">
        <is>
          <t>Customer / Operator</t>
        </is>
      </c>
      <c r="E106" s="12" t="inlineStr">
        <is>
          <t>GS-058</t>
        </is>
      </c>
      <c r="F106" s="10" t="n"/>
      <c r="G106" s="10" t="inlineStr">
        <is>
          <t>COMPLETED</t>
        </is>
      </c>
      <c r="H106" s="12" t="inlineStr">
        <is>
          <t>#40</t>
        </is>
      </c>
      <c r="I106" s="12" t="inlineStr">
        <is>
          <t>-</t>
        </is>
      </c>
    </row>
    <row r="107" ht="15" customFormat="1" customHeight="1" s="2">
      <c r="A107" s="12" t="inlineStr">
        <is>
          <t>F6.3.2</t>
        </is>
      </c>
      <c r="B107" s="10" t="n">
        <v>3</v>
      </c>
      <c r="C107" s="33" t="inlineStr">
        <is>
          <t>Conversation, attachments, 24 h SLA</t>
        </is>
      </c>
      <c r="D107" s="12" t="inlineStr">
        <is>
          <t>Customer / Operator</t>
        </is>
      </c>
      <c r="E107" s="12" t="inlineStr">
        <is>
          <t>NEW-031</t>
        </is>
      </c>
      <c r="F107" s="10" t="n"/>
      <c r="G107" s="10" t="inlineStr">
        <is>
          <t>COMPLETED</t>
        </is>
      </c>
      <c r="H107" s="12" t="inlineStr">
        <is>
          <t>#89; #120</t>
        </is>
      </c>
      <c r="I107" s="12" t="inlineStr">
        <is>
          <t>Live on gokesari.com since #120 (9 Oct)</t>
        </is>
      </c>
    </row>
    <row r="108" ht="15" customFormat="1" customHeight="1" s="2">
      <c r="A108" s="12" t="inlineStr">
        <is>
          <t>F6.3.3</t>
        </is>
      </c>
      <c r="B108" s="10" t="n">
        <v>3</v>
      </c>
      <c r="C108" s="33" t="inlineStr">
        <is>
          <t>Issue state machine scope (SM-006)</t>
        </is>
      </c>
      <c r="D108" s="12" t="inlineStr">
        <is>
          <t>Customer / Operator</t>
        </is>
      </c>
      <c r="E108" s="12" t="inlineStr">
        <is>
          <t>SM-006</t>
        </is>
      </c>
      <c r="F108" s="10" t="n"/>
      <c r="G108" s="10" t="inlineStr">
        <is>
          <t>BLOCKED</t>
        </is>
      </c>
      <c r="H108" s="12" t="inlineStr">
        <is>
          <t>-</t>
        </is>
      </c>
      <c r="I108" s="12" t="inlineStr">
        <is>
          <t>Waits on the SM-006 decision</t>
        </is>
      </c>
    </row>
    <row r="109" ht="15" customFormat="1" customHeight="1" s="2">
      <c r="A109" s="30" t="inlineStr">
        <is>
          <t>F6.4</t>
        </is>
      </c>
      <c r="B109" s="31" t="n">
        <v>2</v>
      </c>
      <c r="C109" s="32" t="inlineStr">
        <is>
          <t>F6.4  Ratings</t>
        </is>
      </c>
      <c r="D109" s="30" t="n"/>
      <c r="E109" s="30" t="n"/>
      <c r="F109" s="31">
        <f>COUNTIFS($B$110:$B$110,3,$G$110:$G$110,"COMPLETED")&amp;" / "&amp;COUNTIF($B$110:$B$110,3)</f>
        <v/>
      </c>
      <c r="G109" s="31">
        <f>IF(COUNTIFS($B$110:$B$110,3,$G$110:$G$110,"COMPLETED")=COUNTIF($B$110:$B$110,3),"COMPLETED",IF(COUNTIFS($B$110:$B$110,3,$G$110:$G$110,"BLOCKED")&gt;0,"BLOCKED",IF(COUNTIFS($B$110:$B$110,3,$G$110:$G$110,"YET TO START")=COUNTIF($B$110:$B$110,3),"YET TO START","IN PROGRESS")))</f>
        <v/>
      </c>
      <c r="H109" s="30" t="n"/>
      <c r="I109" s="30" t="n"/>
    </row>
    <row r="110" ht="15" customFormat="1" customHeight="1" s="2">
      <c r="A110" s="12" t="inlineStr">
        <is>
          <t>F6.4.1</t>
        </is>
      </c>
      <c r="B110" s="10" t="n">
        <v>3</v>
      </c>
      <c r="C110" s="33" t="inlineStr">
        <is>
          <t>Shop and rider ratings with moderation</t>
        </is>
      </c>
      <c r="D110" s="12" t="inlineStr">
        <is>
          <t>Customer / Operator</t>
        </is>
      </c>
      <c r="E110" s="12" t="inlineStr">
        <is>
          <t>GS-059, GS-060</t>
        </is>
      </c>
      <c r="F110" s="10" t="n"/>
      <c r="G110" s="10" t="inlineStr">
        <is>
          <t>COMPLETED</t>
        </is>
      </c>
      <c r="H110" s="12" t="inlineStr">
        <is>
          <t>#11</t>
        </is>
      </c>
      <c r="I110" s="12" t="inlineStr">
        <is>
          <t>-</t>
        </is>
      </c>
    </row>
    <row r="111" ht="18" customFormat="1" customHeight="1" s="2">
      <c r="A111" s="28" t="inlineStr">
        <is>
          <t>F7</t>
        </is>
      </c>
      <c r="B111" s="29" t="n">
        <v>1</v>
      </c>
      <c r="C111" s="28" t="inlineStr">
        <is>
          <t>F7  Subscriptions</t>
        </is>
      </c>
      <c r="D111" s="28" t="inlineStr">
        <is>
          <t>Customer / System</t>
        </is>
      </c>
      <c r="E111" s="28" t="n"/>
      <c r="F111" s="29">
        <f>COUNTIFS($B$112:$B$119,3,$G$112:$G$119,"COMPLETED")&amp;" / "&amp;COUNTIF($B$112:$B$119,3)</f>
        <v/>
      </c>
      <c r="G111" s="29">
        <f>IF(COUNTIFS($B$112:$B$119,3,$G$112:$G$119,"COMPLETED")=COUNTIF($B$112:$B$119,3),"COMPLETED",IF(COUNTIFS($B$112:$B$119,3,$G$112:$G$119,"BLOCKED")&gt;0,"BLOCKED",IF(COUNTIFS($B$112:$B$119,3,$G$112:$G$119,"YET TO START")=COUNTIF($B$112:$B$119,3),"YET TO START","IN PROGRESS")))</f>
        <v/>
      </c>
      <c r="H111" s="28" t="n"/>
      <c r="I111" s="28" t="n"/>
    </row>
    <row r="112" ht="15" customFormat="1" customHeight="1" s="2">
      <c r="A112" s="30" t="inlineStr">
        <is>
          <t>F7.1</t>
        </is>
      </c>
      <c r="B112" s="31" t="n">
        <v>2</v>
      </c>
      <c r="C112" s="32" t="inlineStr">
        <is>
          <t>F7.1  Set up</t>
        </is>
      </c>
      <c r="D112" s="30" t="n"/>
      <c r="E112" s="30" t="n"/>
      <c r="F112" s="31">
        <f>COUNTIFS($B$113:$B$113,3,$G$113:$G$113,"COMPLETED")&amp;" / "&amp;COUNTIF($B$113:$B$113,3)</f>
        <v/>
      </c>
      <c r="G112" s="31">
        <f>IF(COUNTIFS($B$113:$B$113,3,$G$113:$G$113,"COMPLETED")=COUNTIF($B$113:$B$113,3),"COMPLETED",IF(COUNTIFS($B$113:$B$113,3,$G$113:$G$113,"BLOCKED")&gt;0,"BLOCKED",IF(COUNTIFS($B$113:$B$113,3,$G$113:$G$113,"YET TO START")=COUNTIF($B$113:$B$113,3),"YET TO START","IN PROGRESS")))</f>
        <v/>
      </c>
      <c r="H112" s="30" t="n"/>
      <c r="I112" s="30" t="n"/>
    </row>
    <row r="113" ht="15" customFormat="1" customHeight="1" s="2">
      <c r="A113" s="12" t="inlineStr">
        <is>
          <t>F7.1.1</t>
        </is>
      </c>
      <c r="B113" s="10" t="n">
        <v>3</v>
      </c>
      <c r="C113" s="33" t="inlineStr">
        <is>
          <t>Milk, vegetables and daily-goods subscriptions (draft, active)</t>
        </is>
      </c>
      <c r="D113" s="12" t="inlineStr">
        <is>
          <t>Customer / System</t>
        </is>
      </c>
      <c r="E113" s="12" t="inlineStr">
        <is>
          <t>GS-048, GS-049, SM-004</t>
        </is>
      </c>
      <c r="F113" s="10" t="n"/>
      <c r="G113" s="10" t="inlineStr">
        <is>
          <t>COMPLETED</t>
        </is>
      </c>
      <c r="H113" s="12" t="inlineStr">
        <is>
          <t>Baseline; #11; #58</t>
        </is>
      </c>
      <c r="I113" s="12" t="inlineStr">
        <is>
          <t>-</t>
        </is>
      </c>
    </row>
    <row r="114" ht="15" customFormat="1" customHeight="1" s="2">
      <c r="A114" s="30" t="inlineStr">
        <is>
          <t>F7.2</t>
        </is>
      </c>
      <c r="B114" s="31" t="n">
        <v>2</v>
      </c>
      <c r="C114" s="32" t="inlineStr">
        <is>
          <t>F7.2  Manage</t>
        </is>
      </c>
      <c r="D114" s="30" t="n"/>
      <c r="E114" s="30" t="n"/>
      <c r="F114" s="31">
        <f>COUNTIFS($B$115:$B$115,3,$G$115:$G$115,"COMPLETED")&amp;" / "&amp;COUNTIF($B$115:$B$115,3)</f>
        <v/>
      </c>
      <c r="G114" s="31">
        <f>IF(COUNTIFS($B$115:$B$115,3,$G$115:$G$115,"COMPLETED")=COUNTIF($B$115:$B$115,3),"COMPLETED",IF(COUNTIFS($B$115:$B$115,3,$G$115:$G$115,"BLOCKED")&gt;0,"BLOCKED",IF(COUNTIFS($B$115:$B$115,3,$G$115:$G$115,"YET TO START")=COUNTIF($B$115:$B$115,3),"YET TO START","IN PROGRESS")))</f>
        <v/>
      </c>
      <c r="H114" s="30" t="n"/>
      <c r="I114" s="30" t="n"/>
    </row>
    <row r="115" ht="15" customFormat="1" customHeight="1" s="2">
      <c r="A115" s="12" t="inlineStr">
        <is>
          <t>F7.2.1</t>
        </is>
      </c>
      <c r="B115" s="10" t="n">
        <v>3</v>
      </c>
      <c r="C115" s="33" t="inlineStr">
        <is>
          <t>Skip, pause, resume, cancel with cut-offs; Tomorrow's delivery card</t>
        </is>
      </c>
      <c r="D115" s="12" t="inlineStr">
        <is>
          <t>Customer / System</t>
        </is>
      </c>
      <c r="E115" s="12" t="inlineStr">
        <is>
          <t>GS-051, NEW-019</t>
        </is>
      </c>
      <c r="F115" s="10" t="n"/>
      <c r="G115" s="10" t="inlineStr">
        <is>
          <t>COMPLETED</t>
        </is>
      </c>
      <c r="H115" s="12" t="inlineStr">
        <is>
          <t>Baseline; #11; #83</t>
        </is>
      </c>
      <c r="I115" s="12" t="inlineStr">
        <is>
          <t>-</t>
        </is>
      </c>
    </row>
    <row r="116" ht="15" customFormat="1" customHeight="1" s="2">
      <c r="A116" s="30" t="inlineStr">
        <is>
          <t>F7.3</t>
        </is>
      </c>
      <c r="B116" s="31" t="n">
        <v>2</v>
      </c>
      <c r="C116" s="32" t="inlineStr">
        <is>
          <t>F7.3  Run</t>
        </is>
      </c>
      <c r="D116" s="30" t="n"/>
      <c r="E116" s="30" t="n"/>
      <c r="F116" s="31">
        <f>COUNTIFS($B$117:$B$119,3,$G$117:$G$119,"COMPLETED")&amp;" / "&amp;COUNTIF($B$117:$B$119,3)</f>
        <v/>
      </c>
      <c r="G116" s="31">
        <f>IF(COUNTIFS($B$117:$B$119,3,$G$117:$G$119,"COMPLETED")=COUNTIF($B$117:$B$119,3),"COMPLETED",IF(COUNTIFS($B$117:$B$119,3,$G$117:$G$119,"BLOCKED")&gt;0,"BLOCKED",IF(COUNTIFS($B$117:$B$119,3,$G$117:$G$119,"YET TO START")=COUNTIF($B$117:$B$119,3),"YET TO START","IN PROGRESS")))</f>
        <v/>
      </c>
      <c r="H116" s="30" t="n"/>
      <c r="I116" s="30" t="n"/>
    </row>
    <row r="117" ht="15" customFormat="1" customHeight="1" s="2">
      <c r="A117" s="12" t="inlineStr">
        <is>
          <t>F7.3.1</t>
        </is>
      </c>
      <c r="B117" s="10" t="n">
        <v>3</v>
      </c>
      <c r="C117" s="33" t="inlineStr">
        <is>
          <t>Daily order generation (idempotent)</t>
        </is>
      </c>
      <c r="D117" s="12" t="inlineStr">
        <is>
          <t>Customer / System</t>
        </is>
      </c>
      <c r="E117" s="12" t="inlineStr">
        <is>
          <t>WF-006</t>
        </is>
      </c>
      <c r="F117" s="10" t="n"/>
      <c r="G117" s="10" t="inlineStr">
        <is>
          <t>COMPLETED</t>
        </is>
      </c>
      <c r="H117" s="12" t="inlineStr">
        <is>
          <t>Baseline; #11</t>
        </is>
      </c>
      <c r="I117" s="12" t="inlineStr">
        <is>
          <t>-</t>
        </is>
      </c>
    </row>
    <row r="118" ht="15" customFormat="1" customHeight="1" s="2">
      <c r="A118" s="12" t="inlineStr">
        <is>
          <t>F7.3.2</t>
        </is>
      </c>
      <c r="B118" s="10" t="n">
        <v>3</v>
      </c>
      <c r="C118" s="33" t="inlineStr">
        <is>
          <t>Wallet charge; payment pending; renewal pending</t>
        </is>
      </c>
      <c r="D118" s="12" t="inlineStr">
        <is>
          <t>Customer / System</t>
        </is>
      </c>
      <c r="E118" s="12" t="inlineStr">
        <is>
          <t>GS-050, SM-004</t>
        </is>
      </c>
      <c r="F118" s="10" t="n"/>
      <c r="G118" s="10" t="inlineStr">
        <is>
          <t>COMPLETED</t>
        </is>
      </c>
      <c r="H118" s="12" t="inlineStr">
        <is>
          <t>Baseline; #58</t>
        </is>
      </c>
      <c r="I118" s="12" t="inlineStr">
        <is>
          <t>-</t>
        </is>
      </c>
    </row>
    <row r="119" ht="15" customFormat="1" customHeight="1" s="2">
      <c r="A119" s="12" t="inlineStr">
        <is>
          <t>F7.3.3</t>
        </is>
      </c>
      <c r="B119" s="10" t="n">
        <v>3</v>
      </c>
      <c r="C119" s="33" t="inlineStr">
        <is>
          <t>Fulfilment and delivery through the normal flow; per-date status</t>
        </is>
      </c>
      <c r="D119" s="12" t="inlineStr">
        <is>
          <t>Customer / System</t>
        </is>
      </c>
      <c r="E119" s="12" t="inlineStr">
        <is>
          <t>WF-006, NAV-005</t>
        </is>
      </c>
      <c r="F119" s="10" t="n"/>
      <c r="G119" s="10" t="inlineStr">
        <is>
          <t>COMPLETED</t>
        </is>
      </c>
      <c r="H119" s="12" t="inlineStr">
        <is>
          <t>#58</t>
        </is>
      </c>
      <c r="I119" s="12" t="inlineStr">
        <is>
          <t>-</t>
        </is>
      </c>
    </row>
    <row r="120" ht="18" customFormat="1" customHeight="1" s="2">
      <c r="A120" s="28" t="inlineStr">
        <is>
          <t>F8</t>
        </is>
      </c>
      <c r="B120" s="29" t="n">
        <v>1</v>
      </c>
      <c r="C120" s="28" t="inlineStr">
        <is>
          <t>F8  Shop onboarding and seller verification</t>
        </is>
      </c>
      <c r="D120" s="28" t="inlineStr">
        <is>
          <t>Shop owner / Operator</t>
        </is>
      </c>
      <c r="E120" s="28" t="n"/>
      <c r="F120" s="29">
        <f>COUNTIFS($B$121:$B$143,3,$G$121:$G$143,"COMPLETED")&amp;" / "&amp;COUNTIF($B$121:$B$143,3)</f>
        <v/>
      </c>
      <c r="G120" s="29">
        <f>IF(COUNTIFS($B$121:$B$143,3,$G$121:$G$143,"COMPLETED")=COUNTIF($B$121:$B$143,3),"COMPLETED",IF(COUNTIFS($B$121:$B$143,3,$G$121:$G$143,"BLOCKED")&gt;0,"BLOCKED",IF(COUNTIFS($B$121:$B$143,3,$G$121:$G$143,"YET TO START")=COUNTIF($B$121:$B$143,3),"YET TO START","IN PROGRESS")))</f>
        <v/>
      </c>
      <c r="H120" s="28" t="n"/>
      <c r="I120" s="28" t="n"/>
    </row>
    <row r="121" ht="15" customFormat="1" customHeight="1" s="2">
      <c r="A121" s="30" t="inlineStr">
        <is>
          <t>F8.1</t>
        </is>
      </c>
      <c r="B121" s="31" t="n">
        <v>2</v>
      </c>
      <c r="C121" s="32" t="inlineStr">
        <is>
          <t>F8.1  Register</t>
        </is>
      </c>
      <c r="D121" s="30" t="n"/>
      <c r="E121" s="30" t="n"/>
      <c r="F121" s="31">
        <f>COUNTIFS($B$122:$B$125,3,$G$122:$G$125,"COMPLETED")&amp;" / "&amp;COUNTIF($B$122:$B$125,3)</f>
        <v/>
      </c>
      <c r="G121" s="31">
        <f>IF(COUNTIFS($B$122:$B$125,3,$G$122:$G$125,"COMPLETED")=COUNTIF($B$122:$B$125,3),"COMPLETED",IF(COUNTIFS($B$122:$B$125,3,$G$122:$G$125,"BLOCKED")&gt;0,"BLOCKED",IF(COUNTIFS($B$122:$B$125,3,$G$122:$G$125,"YET TO START")=COUNTIF($B$122:$B$125,3),"YET TO START","IN PROGRESS")))</f>
        <v/>
      </c>
      <c r="H121" s="30" t="n"/>
      <c r="I121" s="30" t="n"/>
    </row>
    <row r="122" ht="27" customFormat="1" customHeight="1" s="2">
      <c r="A122" s="12" t="inlineStr">
        <is>
          <t>F8.1.1</t>
        </is>
      </c>
      <c r="B122" s="10" t="n">
        <v>3</v>
      </c>
      <c r="C122" s="33" t="inlineStr">
        <is>
          <t>Register a shop (duplicate guard, at least one ID, GST field)</t>
        </is>
      </c>
      <c r="D122" s="12" t="inlineStr">
        <is>
          <t>Shop owner / Operator</t>
        </is>
      </c>
      <c r="E122" s="12" t="inlineStr">
        <is>
          <t>GS-006</t>
        </is>
      </c>
      <c r="F122" s="10" t="n"/>
      <c r="G122" s="10" t="inlineStr">
        <is>
          <t>COMPLETED</t>
        </is>
      </c>
      <c r="H122" s="12" t="inlineStr">
        <is>
          <t>#22; #45</t>
        </is>
      </c>
      <c r="I122" s="12" t="inlineStr">
        <is>
          <t>-</t>
        </is>
      </c>
    </row>
    <row r="123" ht="51" customFormat="1" customHeight="1" s="2">
      <c r="A123" s="12" t="inlineStr">
        <is>
          <t>F8.1.2</t>
        </is>
      </c>
      <c r="B123" s="10" t="n">
        <v>3</v>
      </c>
      <c r="C123" s="33" t="inlineStr">
        <is>
          <t>Self-registration with auto-approval and fee tiers</t>
        </is>
      </c>
      <c r="D123" s="12" t="inlineStr">
        <is>
          <t>Shop owner / Operator</t>
        </is>
      </c>
      <c r="E123" s="12" t="inlineStr">
        <is>
          <t>NEW-038</t>
        </is>
      </c>
      <c r="F123" s="10" t="n"/>
      <c r="G123" s="10" t="inlineStr">
        <is>
          <t>COMPLETED</t>
        </is>
      </c>
      <c r="H123" s="12" t="inlineStr">
        <is>
          <t>#92; #120</t>
        </is>
      </c>
      <c r="I123" s="12" t="inlineStr">
        <is>
          <t>On gokesari.com since #120 (9 Oct), switched off by default - switch on in Admin &gt; Business rules; needs a real SMS/WhatsApp provider before it can be switched on</t>
        </is>
      </c>
    </row>
    <row r="124" ht="39" customFormat="1" customHeight="1" s="2">
      <c r="A124" s="12" t="inlineStr">
        <is>
          <t>F8.1.3</t>
        </is>
      </c>
      <c r="B124" s="10" t="n">
        <v>3</v>
      </c>
      <c r="C124" s="33" t="inlineStr">
        <is>
          <t>Mandatory referral code; 'Request a referral code' with location, emailed to referrals@</t>
        </is>
      </c>
      <c r="D124" s="12" t="inlineStr">
        <is>
          <t>Shop owner / Operator</t>
        </is>
      </c>
      <c r="E124" s="12" t="inlineStr">
        <is>
          <t>NEW-042, GS-054</t>
        </is>
      </c>
      <c r="F124" s="10" t="n"/>
      <c r="G124" s="10" t="inlineStr">
        <is>
          <t>COMPLETED</t>
        </is>
      </c>
      <c r="H124" s="12" t="inlineStr">
        <is>
          <t>#102; #103; #120</t>
        </is>
      </c>
      <c r="I124" s="12" t="inlineStr">
        <is>
          <t>On gokesari.com since #120 (9 Oct), switched off by default - switch on in Admin &gt; Business rules</t>
        </is>
      </c>
    </row>
    <row r="125" ht="27" customFormat="1" customHeight="1" s="2">
      <c r="A125" s="12" t="inlineStr">
        <is>
          <t>F8.1.4</t>
        </is>
      </c>
      <c r="B125" s="10" t="n">
        <v>3</v>
      </c>
      <c r="C125" s="33" t="inlineStr">
        <is>
          <t>Admin sets the referral code Mandatory or Optional for customers and shops</t>
        </is>
      </c>
      <c r="D125" s="12" t="inlineStr">
        <is>
          <t>Admin</t>
        </is>
      </c>
      <c r="E125" s="12" t="inlineStr">
        <is>
          <t>NEW-058</t>
        </is>
      </c>
      <c r="F125" s="10" t="n"/>
      <c r="G125" s="10" t="inlineStr">
        <is>
          <t>COMPLETED</t>
        </is>
      </c>
      <c r="H125" s="12" t="inlineStr">
        <is>
          <t>#133; #135</t>
        </is>
      </c>
      <c r="I125" s="12" t="inlineStr">
        <is>
          <t>Both OPTIONAL on production</t>
        </is>
      </c>
    </row>
    <row r="126" ht="15" customFormat="1" customHeight="1" s="2">
      <c r="A126" s="30" t="inlineStr">
        <is>
          <t>F8.2</t>
        </is>
      </c>
      <c r="B126" s="31" t="n">
        <v>2</v>
      </c>
      <c r="C126" s="32" t="inlineStr">
        <is>
          <t>F8.2  Verify</t>
        </is>
      </c>
      <c r="D126" s="30" t="n"/>
      <c r="E126" s="30" t="n"/>
      <c r="F126" s="31">
        <f>COUNTIFS($B$127:$B$133,3,$G$127:$G$133,"COMPLETED")&amp;" / "&amp;COUNTIF($B$127:$B$133,3)</f>
        <v/>
      </c>
      <c r="G126" s="31">
        <f>IF(COUNTIFS($B$127:$B$133,3,$G$127:$G$133,"COMPLETED")=COUNTIF($B$127:$B$133,3),"COMPLETED",IF(COUNTIFS($B$127:$B$133,3,$G$127:$G$133,"BLOCKED")&gt;0,"BLOCKED",IF(COUNTIFS($B$127:$B$133,3,$G$127:$G$133,"YET TO START")=COUNTIF($B$127:$B$133,3),"YET TO START","IN PROGRESS")))</f>
        <v/>
      </c>
      <c r="H126" s="30" t="n"/>
      <c r="I126" s="30" t="n"/>
    </row>
    <row r="127" ht="27" customFormat="1" customHeight="1" s="2">
      <c r="A127" s="12" t="inlineStr">
        <is>
          <t>F8.2.1</t>
        </is>
      </c>
      <c r="B127" s="10" t="n">
        <v>3</v>
      </c>
      <c r="C127" s="33" t="inlineStr">
        <is>
          <t>Seller documents: PAN, GSTIN, Udyam, FSSAI, Shop Act</t>
        </is>
      </c>
      <c r="D127" s="12" t="inlineStr">
        <is>
          <t>Shop owner / Operator</t>
        </is>
      </c>
      <c r="E127" s="12" t="inlineStr">
        <is>
          <t>GS-007</t>
        </is>
      </c>
      <c r="F127" s="10" t="n"/>
      <c r="G127" s="10" t="inlineStr">
        <is>
          <t>COMPLETED</t>
        </is>
      </c>
      <c r="H127" s="12" t="inlineStr">
        <is>
          <t>#53</t>
        </is>
      </c>
      <c r="I127" s="12" t="inlineStr">
        <is>
          <t>Mock vendor until Gridlines keys are set</t>
        </is>
      </c>
    </row>
    <row r="128" ht="27" customFormat="1" customHeight="1" s="2">
      <c r="A128" s="12" t="inlineStr">
        <is>
          <t>F8.2.2</t>
        </is>
      </c>
      <c r="B128" s="10" t="n">
        <v>3</v>
      </c>
      <c r="C128" s="33" t="inlineStr">
        <is>
          <t>Real-time review events, 'more info', auto-approval</t>
        </is>
      </c>
      <c r="D128" s="12" t="inlineStr">
        <is>
          <t>Shop owner / Operator</t>
        </is>
      </c>
      <c r="E128" s="12" t="inlineStr">
        <is>
          <t>NEW-030</t>
        </is>
      </c>
      <c r="F128" s="10" t="n"/>
      <c r="G128" s="10" t="inlineStr">
        <is>
          <t>COMPLETED</t>
        </is>
      </c>
      <c r="H128" s="12" t="inlineStr">
        <is>
          <t>#89; #120</t>
        </is>
      </c>
      <c r="I128" s="12" t="inlineStr">
        <is>
          <t>Live on gokesari.com since #120 (9 Oct)</t>
        </is>
      </c>
    </row>
    <row r="129" ht="27" customFormat="1" customHeight="1" s="2">
      <c r="A129" s="12" t="inlineStr">
        <is>
          <t>F8.2.3</t>
        </is>
      </c>
      <c r="B129" s="10" t="n">
        <v>3</v>
      </c>
      <c r="C129" s="33" t="inlineStr">
        <is>
          <t>Registration fee paid before approval</t>
        </is>
      </c>
      <c r="D129" s="12" t="inlineStr">
        <is>
          <t>Shop owner / Operator</t>
        </is>
      </c>
      <c r="E129" s="12" t="inlineStr">
        <is>
          <t>GS-008</t>
        </is>
      </c>
      <c r="F129" s="10" t="n"/>
      <c r="G129" s="10" t="inlineStr">
        <is>
          <t>COMPLETED</t>
        </is>
      </c>
      <c r="H129" s="12" t="inlineStr">
        <is>
          <t>#29</t>
        </is>
      </c>
      <c r="I129" s="12" t="inlineStr">
        <is>
          <t>-</t>
        </is>
      </c>
    </row>
    <row r="130" ht="27" customFormat="1" customHeight="1" s="2">
      <c r="A130" s="12" t="inlineStr">
        <is>
          <t>F8.2.4</t>
        </is>
      </c>
      <c r="B130" s="10" t="n">
        <v>3</v>
      </c>
      <c r="C130" s="33" t="inlineStr">
        <is>
          <t>Stages KYC pending -&gt; payment pending -&gt; verified -&gt; active</t>
        </is>
      </c>
      <c r="D130" s="12" t="inlineStr">
        <is>
          <t>Shop owner / Operator</t>
        </is>
      </c>
      <c r="E130" s="12" t="inlineStr">
        <is>
          <t>SM-002</t>
        </is>
      </c>
      <c r="F130" s="10" t="n"/>
      <c r="G130" s="10" t="inlineStr">
        <is>
          <t>COMPLETED</t>
        </is>
      </c>
      <c r="H130" s="12" t="inlineStr">
        <is>
          <t>#58</t>
        </is>
      </c>
      <c r="I130" s="12" t="inlineStr">
        <is>
          <t>-</t>
        </is>
      </c>
    </row>
    <row r="131" ht="39" customFormat="1" customHeight="1" s="2">
      <c r="A131" s="12" t="inlineStr">
        <is>
          <t>F8.2.5</t>
        </is>
      </c>
      <c r="B131" s="10" t="n">
        <v>3</v>
      </c>
      <c r="C131" s="33" t="inlineStr">
        <is>
          <t>Mandatory legal documents by shop type (FSSAI, drug licence, medical registration), grace period, expiry reminders, review</t>
        </is>
      </c>
      <c r="D131" s="12" t="inlineStr">
        <is>
          <t>Shop owner / Operator</t>
        </is>
      </c>
      <c r="E131" s="12" t="inlineStr">
        <is>
          <t>NEW-040, GS-007</t>
        </is>
      </c>
      <c r="F131" s="10" t="n"/>
      <c r="G131" s="10" t="inlineStr">
        <is>
          <t>COMPLETED</t>
        </is>
      </c>
      <c r="H131" s="12" t="inlineStr">
        <is>
          <t>#102; #103; #120</t>
        </is>
      </c>
      <c r="I131" s="12" t="inlineStr">
        <is>
          <t>On gokesari.com since #120 (9 Oct), switched off by default - switch on in Admin &gt; Business rules</t>
        </is>
      </c>
    </row>
    <row r="132" ht="39" customFormat="1" customHeight="1" s="2">
      <c r="A132" s="12" t="inlineStr">
        <is>
          <t>F8.2.6</t>
        </is>
      </c>
      <c r="B132" s="10" t="n">
        <v>3</v>
      </c>
      <c r="C132" s="33" t="inlineStr">
        <is>
          <t>Upload or photograph a document; auto-read fills the details; Verify &amp; Approve</t>
        </is>
      </c>
      <c r="D132" s="12" t="inlineStr">
        <is>
          <t>Shop owner / Operator</t>
        </is>
      </c>
      <c r="E132" s="12" t="inlineStr">
        <is>
          <t>NEW-062</t>
        </is>
      </c>
      <c r="F132" s="10" t="n"/>
      <c r="G132" s="10" t="inlineStr">
        <is>
          <t>COMPLETED</t>
        </is>
      </c>
      <c r="H132" s="12" t="inlineStr">
        <is>
          <t>#146-#149; #169; #175</t>
        </is>
      </c>
      <c r="I132" s="12" t="inlineStr">
        <is>
          <t>Photos read in the owner's browser on gokesari.com since 15 Oct (#175); PDFs on the server</t>
        </is>
      </c>
    </row>
    <row r="133" ht="27" customFormat="1" customHeight="1" s="2">
      <c r="A133" s="12" t="inlineStr">
        <is>
          <t>F8.2.7</t>
        </is>
      </c>
      <c r="B133" s="10" t="n">
        <v>3</v>
      </c>
      <c r="C133" s="33" t="inlineStr">
        <is>
          <t>FSSAI licence required before a food shop goes live</t>
        </is>
      </c>
      <c r="D133" s="12" t="inlineStr">
        <is>
          <t>Shop owner / Operator</t>
        </is>
      </c>
      <c r="E133" s="12" t="inlineStr">
        <is>
          <t>NEW-063</t>
        </is>
      </c>
      <c r="F133" s="10" t="n"/>
      <c r="G133" s="10" t="inlineStr">
        <is>
          <t>COMPLETED</t>
        </is>
      </c>
      <c r="H133" s="12" t="inlineStr">
        <is>
          <t>#146; #149</t>
        </is>
      </c>
      <c r="I133" s="12" t="inlineStr">
        <is>
          <t>Rule on</t>
        </is>
      </c>
    </row>
    <row r="134" ht="15" customFormat="1" customHeight="1" s="2">
      <c r="A134" s="30" t="inlineStr">
        <is>
          <t>F8.3</t>
        </is>
      </c>
      <c r="B134" s="31" t="n">
        <v>2</v>
      </c>
      <c r="C134" s="32" t="inlineStr">
        <is>
          <t>F8.3  Approve and set up</t>
        </is>
      </c>
      <c r="D134" s="30" t="n"/>
      <c r="E134" s="30" t="n"/>
      <c r="F134" s="31">
        <f>COUNTIFS($B$135:$B$138,3,$G$135:$G$138,"COMPLETED")&amp;" / "&amp;COUNTIF($B$135:$B$138,3)</f>
        <v/>
      </c>
      <c r="G134" s="31">
        <f>IF(COUNTIFS($B$135:$B$138,3,$G$135:$G$138,"COMPLETED")=COUNTIF($B$135:$B$138,3),"COMPLETED",IF(COUNTIFS($B$135:$B$138,3,$G$135:$G$138,"BLOCKED")&gt;0,"BLOCKED",IF(COUNTIFS($B$135:$B$138,3,$G$135:$G$138,"YET TO START")=COUNTIF($B$135:$B$138,3),"YET TO START","IN PROGRESS")))</f>
        <v/>
      </c>
      <c r="H134" s="30" t="n"/>
      <c r="I134" s="30" t="n"/>
    </row>
    <row r="135" ht="27" customFormat="1" customHeight="1" s="2">
      <c r="A135" s="12" t="inlineStr">
        <is>
          <t>F8.3.1</t>
        </is>
      </c>
      <c r="B135" s="10" t="n">
        <v>3</v>
      </c>
      <c r="C135" s="33" t="inlineStr">
        <is>
          <t>Operator approval queue</t>
        </is>
      </c>
      <c r="D135" s="12" t="inlineStr">
        <is>
          <t>Shop owner / Operator</t>
        </is>
      </c>
      <c r="E135" s="12" t="inlineStr">
        <is>
          <t>RBAC-006, WF-008</t>
        </is>
      </c>
      <c r="F135" s="10" t="n"/>
      <c r="G135" s="10" t="inlineStr">
        <is>
          <t>COMPLETED</t>
        </is>
      </c>
      <c r="H135" s="12" t="inlineStr">
        <is>
          <t>Baseline; #53</t>
        </is>
      </c>
      <c r="I135" s="12" t="inlineStr">
        <is>
          <t>-</t>
        </is>
      </c>
    </row>
    <row r="136" ht="27" customFormat="1" customHeight="1" s="2">
      <c r="A136" s="12" t="inlineStr">
        <is>
          <t>F8.3.2</t>
        </is>
      </c>
      <c r="B136" s="10" t="n">
        <v>3</v>
      </c>
      <c r="C136" s="33" t="inlineStr">
        <is>
          <t>Shop categories, product categories, inventory fill, per-shop prices</t>
        </is>
      </c>
      <c r="D136" s="12" t="inlineStr">
        <is>
          <t>Shop owner / Operator</t>
        </is>
      </c>
      <c r="E136" s="12" t="inlineStr">
        <is>
          <t>GS-009, NEW-008, NEW-010</t>
        </is>
      </c>
      <c r="F136" s="10" t="n"/>
      <c r="G136" s="10" t="inlineStr">
        <is>
          <t>COMPLETED</t>
        </is>
      </c>
      <c r="H136" s="12" t="inlineStr">
        <is>
          <t>#23; #38; #45</t>
        </is>
      </c>
      <c r="I136" s="12" t="inlineStr">
        <is>
          <t>-</t>
        </is>
      </c>
    </row>
    <row r="137" ht="27" customFormat="1" customHeight="1" s="2">
      <c r="A137" s="12" t="inlineStr">
        <is>
          <t>F8.3.3</t>
        </is>
      </c>
      <c r="B137" s="10" t="n">
        <v>3</v>
      </c>
      <c r="C137" s="33" t="inlineStr">
        <is>
          <t>Service area: radius, extra PIN zones, minimum order, pause</t>
        </is>
      </c>
      <c r="D137" s="12" t="inlineStr">
        <is>
          <t>Shop owner / Operator</t>
        </is>
      </c>
      <c r="E137" s="12" t="inlineStr">
        <is>
          <t>GS-010, NEW-005</t>
        </is>
      </c>
      <c r="F137" s="10" t="n"/>
      <c r="G137" s="10" t="inlineStr">
        <is>
          <t>COMPLETED</t>
        </is>
      </c>
      <c r="H137" s="12" t="inlineStr">
        <is>
          <t>#10; #23</t>
        </is>
      </c>
      <c r="I137" s="12" t="inlineStr">
        <is>
          <t>-</t>
        </is>
      </c>
    </row>
    <row r="138" ht="27" customFormat="1" customHeight="1" s="2">
      <c r="A138" s="12" t="inlineStr">
        <is>
          <t>F8.3.4</t>
        </is>
      </c>
      <c r="B138" s="10" t="n">
        <v>3</v>
      </c>
      <c r="C138" s="33" t="inlineStr">
        <is>
          <t>Shop's own customer contact numbers (C1)</t>
        </is>
      </c>
      <c r="D138" s="12" t="inlineStr">
        <is>
          <t>Shop owner / Operator</t>
        </is>
      </c>
      <c r="E138" s="12" t="inlineStr">
        <is>
          <t>NEW-022</t>
        </is>
      </c>
      <c r="F138" s="10" t="n"/>
      <c r="G138" s="10" t="inlineStr">
        <is>
          <t>COMPLETED</t>
        </is>
      </c>
      <c r="H138" s="12" t="inlineStr">
        <is>
          <t>#85; #120</t>
        </is>
      </c>
      <c r="I138" s="12" t="inlineStr">
        <is>
          <t>Live on gokesari.com since #120 (9 Oct)</t>
        </is>
      </c>
    </row>
    <row r="139" ht="15" customFormat="1" customHeight="1" s="2">
      <c r="A139" s="30" t="inlineStr">
        <is>
          <t>F8.4</t>
        </is>
      </c>
      <c r="B139" s="31" t="n">
        <v>2</v>
      </c>
      <c r="C139" s="32" t="inlineStr">
        <is>
          <t>F8.4  Ongoing</t>
        </is>
      </c>
      <c r="D139" s="30" t="n"/>
      <c r="E139" s="30" t="n"/>
      <c r="F139" s="31">
        <f>COUNTIFS($B$140:$B$143,3,$G$140:$G$143,"COMPLETED")&amp;" / "&amp;COUNTIF($B$140:$B$143,3)</f>
        <v/>
      </c>
      <c r="G139" s="31">
        <f>IF(COUNTIFS($B$140:$B$143,3,$G$140:$G$143,"COMPLETED")=COUNTIF($B$140:$B$143,3),"COMPLETED",IF(COUNTIFS($B$140:$B$143,3,$G$140:$G$143,"BLOCKED")&gt;0,"BLOCKED",IF(COUNTIFS($B$140:$B$143,3,$G$140:$G$143,"YET TO START")=COUNTIF($B$140:$B$143,3),"YET TO START","IN PROGRESS")))</f>
        <v/>
      </c>
      <c r="H139" s="30" t="n"/>
      <c r="I139" s="30" t="n"/>
    </row>
    <row r="140" ht="27" customFormat="1" customHeight="1" s="2">
      <c r="A140" s="12" t="inlineStr">
        <is>
          <t>F8.4.1</t>
        </is>
      </c>
      <c r="B140" s="10" t="n">
        <v>3</v>
      </c>
      <c r="C140" s="33" t="inlineStr">
        <is>
          <t>Suspension policy, impact preview, reinstatement</t>
        </is>
      </c>
      <c r="D140" s="12" t="inlineStr">
        <is>
          <t>Shop owner / Operator</t>
        </is>
      </c>
      <c r="E140" s="12" t="inlineStr">
        <is>
          <t>NEW-002</t>
        </is>
      </c>
      <c r="F140" s="10" t="n"/>
      <c r="G140" s="10" t="inlineStr">
        <is>
          <t>COMPLETED</t>
        </is>
      </c>
      <c r="H140" s="12" t="inlineStr">
        <is>
          <t>#23</t>
        </is>
      </c>
      <c r="I140" s="12" t="inlineStr">
        <is>
          <t>-</t>
        </is>
      </c>
    </row>
    <row r="141" ht="27" customFormat="1" customHeight="1" s="2">
      <c r="A141" s="12" t="inlineStr">
        <is>
          <t>F8.4.2</t>
        </is>
      </c>
      <c r="B141" s="10" t="n">
        <v>3</v>
      </c>
      <c r="C141" s="33" t="inlineStr">
        <is>
          <t>Operator 'Limited' shop management</t>
        </is>
      </c>
      <c r="D141" s="12" t="inlineStr">
        <is>
          <t>Shop owner / Operator</t>
        </is>
      </c>
      <c r="E141" s="12" t="inlineStr">
        <is>
          <t>RBAC-003</t>
        </is>
      </c>
      <c r="F141" s="10" t="n"/>
      <c r="G141" s="10" t="inlineStr">
        <is>
          <t>BLOCKED</t>
        </is>
      </c>
      <c r="H141" s="12" t="inlineStr">
        <is>
          <t>-</t>
        </is>
      </c>
      <c r="I141" s="12" t="inlineStr">
        <is>
          <t>Waits on a definition</t>
        </is>
      </c>
    </row>
    <row r="142" ht="27" customFormat="1" customHeight="1" s="2">
      <c r="A142" s="12" t="inlineStr">
        <is>
          <t>F8.4.3</t>
        </is>
      </c>
      <c r="B142" s="10" t="n">
        <v>3</v>
      </c>
      <c r="C142" s="33" t="inlineStr">
        <is>
          <t>Seller Central workspace for shop owners and the 'Sell on GoKesari' page</t>
        </is>
      </c>
      <c r="D142" s="12" t="inlineStr">
        <is>
          <t>Shop owner</t>
        </is>
      </c>
      <c r="E142" s="12" t="inlineStr">
        <is>
          <t>NEW-060</t>
        </is>
      </c>
      <c r="F142" s="10" t="n"/>
      <c r="G142" s="10" t="inlineStr">
        <is>
          <t>COMPLETED</t>
        </is>
      </c>
      <c r="H142" s="12" t="inlineStr">
        <is>
          <t>#142; #143</t>
        </is>
      </c>
      <c r="I142" s="12" t="inlineStr">
        <is>
          <t>-</t>
        </is>
      </c>
    </row>
    <row r="143" ht="15" customFormat="1" customHeight="1" s="2">
      <c r="A143" s="12" t="inlineStr">
        <is>
          <t>F8.4.4</t>
        </is>
      </c>
      <c r="B143" s="10" t="n">
        <v>3</v>
      </c>
      <c r="C143" s="33" t="inlineStr">
        <is>
          <t>Owner with several shops switches shop in Seller Central</t>
        </is>
      </c>
      <c r="D143" s="12" t="inlineStr">
        <is>
          <t>Shop owner</t>
        </is>
      </c>
      <c r="E143" s="12" t="inlineStr">
        <is>
          <t>NEW-066</t>
        </is>
      </c>
      <c r="F143" s="10" t="n"/>
      <c r="G143" s="10" t="inlineStr">
        <is>
          <t>COMPLETED</t>
        </is>
      </c>
      <c r="H143" s="12" t="inlineStr">
        <is>
          <t>#168; #175</t>
        </is>
      </c>
      <c r="I143" s="12" t="inlineStr">
        <is>
          <t>Live on gokesari.com since 15 Oct (#175)</t>
        </is>
      </c>
    </row>
    <row r="144" ht="18" customFormat="1" customHeight="1" s="2">
      <c r="A144" s="28" t="inlineStr">
        <is>
          <t>F9</t>
        </is>
      </c>
      <c r="B144" s="29" t="n">
        <v>1</v>
      </c>
      <c r="C144" s="28" t="inlineStr">
        <is>
          <t>F9  Catalogue and product master data</t>
        </is>
      </c>
      <c r="D144" s="28" t="inlineStr">
        <is>
          <t>Shop owner / Operator</t>
        </is>
      </c>
      <c r="E144" s="28" t="n"/>
      <c r="F144" s="29">
        <f>COUNTIFS($B$145:$B$157,3,$G$145:$G$157,"COMPLETED")&amp;" / "&amp;COUNTIF($B$145:$B$157,3)</f>
        <v/>
      </c>
      <c r="G144" s="29">
        <f>IF(COUNTIFS($B$145:$B$157,3,$G$145:$G$157,"COMPLETED")=COUNTIF($B$145:$B$157,3),"COMPLETED",IF(COUNTIFS($B$145:$B$157,3,$G$145:$G$157,"BLOCKED")&gt;0,"BLOCKED",IF(COUNTIFS($B$145:$B$157,3,$G$145:$G$157,"YET TO START")=COUNTIF($B$145:$B$157,3),"YET TO START","IN PROGRESS")))</f>
        <v/>
      </c>
      <c r="H144" s="28" t="n"/>
      <c r="I144" s="28" t="n"/>
    </row>
    <row r="145" ht="15" customFormat="1" customHeight="1" s="2">
      <c r="A145" s="30" t="inlineStr">
        <is>
          <t>F9.1</t>
        </is>
      </c>
      <c r="B145" s="31" t="n">
        <v>2</v>
      </c>
      <c r="C145" s="32" t="inlineStr">
        <is>
          <t>F9.1  Master data</t>
        </is>
      </c>
      <c r="D145" s="30" t="n"/>
      <c r="E145" s="30" t="n"/>
      <c r="F145" s="31">
        <f>COUNTIFS($B$146:$B$149,3,$G$146:$G$149,"COMPLETED")&amp;" / "&amp;COUNTIF($B$146:$B$149,3)</f>
        <v/>
      </c>
      <c r="G145" s="31">
        <f>IF(COUNTIFS($B$146:$B$149,3,$G$146:$G$149,"COMPLETED")=COUNTIF($B$146:$B$149,3),"COMPLETED",IF(COUNTIFS($B$146:$B$149,3,$G$146:$G$149,"BLOCKED")&gt;0,"BLOCKED",IF(COUNTIFS($B$146:$B$149,3,$G$146:$G$149,"YET TO START")=COUNTIF($B$146:$B$149,3),"YET TO START","IN PROGRESS")))</f>
        <v/>
      </c>
      <c r="H145" s="30" t="n"/>
      <c r="I145" s="30" t="n"/>
    </row>
    <row r="146" ht="27" customFormat="1" customHeight="1" s="2">
      <c r="A146" s="12" t="inlineStr">
        <is>
          <t>F9.1.1</t>
        </is>
      </c>
      <c r="B146" s="10" t="n">
        <v>3</v>
      </c>
      <c r="C146" s="33" t="inlineStr">
        <is>
          <t>Ingest lawful sources, match, review duplicates</t>
        </is>
      </c>
      <c r="D146" s="12" t="inlineStr">
        <is>
          <t>Shop owner / Operator</t>
        </is>
      </c>
      <c r="E146" s="12" t="inlineStr">
        <is>
          <t>PMD-001, PMD-003, PMD-005</t>
        </is>
      </c>
      <c r="F146" s="10" t="n"/>
      <c r="G146" s="10" t="inlineStr">
        <is>
          <t>COMPLETED</t>
        </is>
      </c>
      <c r="H146" s="12" t="inlineStr">
        <is>
          <t>#4; #9</t>
        </is>
      </c>
      <c r="I146" s="12" t="inlineStr">
        <is>
          <t>-</t>
        </is>
      </c>
    </row>
    <row r="147" ht="27" customFormat="1" customHeight="1" s="2">
      <c r="A147" s="12" t="inlineStr">
        <is>
          <t>F9.1.2</t>
        </is>
      </c>
      <c r="B147" s="10" t="n">
        <v>3</v>
      </c>
      <c r="C147" s="33" t="inlineStr">
        <is>
          <t>GS1 India and manufacturer feeds</t>
        </is>
      </c>
      <c r="D147" s="12" t="inlineStr">
        <is>
          <t>Shop owner / Operator</t>
        </is>
      </c>
      <c r="E147" s="12" t="inlineStr">
        <is>
          <t>PMD-002</t>
        </is>
      </c>
      <c r="F147" s="10" t="n"/>
      <c r="G147" s="10" t="inlineStr">
        <is>
          <t>BLOCKED</t>
        </is>
      </c>
      <c r="H147" s="12" t="inlineStr">
        <is>
          <t>#4</t>
        </is>
      </c>
      <c r="I147" s="12" t="inlineStr">
        <is>
          <t>Waits on agreements</t>
        </is>
      </c>
    </row>
    <row r="148" ht="27" customFormat="1" customHeight="1" s="2">
      <c r="A148" s="12" t="inlineStr">
        <is>
          <t>F9.1.3</t>
        </is>
      </c>
      <c r="B148" s="10" t="n">
        <v>3</v>
      </c>
      <c r="C148" s="33" t="inlineStr">
        <is>
          <t>Promote master products into the shop catalogue</t>
        </is>
      </c>
      <c r="D148" s="12" t="inlineStr">
        <is>
          <t>Shop owner / Operator</t>
        </is>
      </c>
      <c r="E148" s="12" t="inlineStr">
        <is>
          <t>PMD-004</t>
        </is>
      </c>
      <c r="F148" s="10" t="n"/>
      <c r="G148" s="10" t="inlineStr">
        <is>
          <t>COMPLETED</t>
        </is>
      </c>
      <c r="H148" s="12" t="inlineStr">
        <is>
          <t>#4; #5; #6</t>
        </is>
      </c>
      <c r="I148" s="12" t="inlineStr">
        <is>
          <t>-</t>
        </is>
      </c>
    </row>
    <row r="149" ht="27" customFormat="1" customHeight="1" s="2">
      <c r="A149" s="12" t="inlineStr">
        <is>
          <t>F9.1.4</t>
        </is>
      </c>
      <c r="B149" s="10" t="n">
        <v>3</v>
      </c>
      <c r="C149" s="33" t="inlineStr">
        <is>
          <t>Large-scale ingestion; product browser and promote button</t>
        </is>
      </c>
      <c r="D149" s="12" t="inlineStr">
        <is>
          <t>Shop owner / Operator</t>
        </is>
      </c>
      <c r="E149" s="12" t="inlineStr">
        <is>
          <t>PMD-006, PMD-007</t>
        </is>
      </c>
      <c r="F149" s="10" t="n"/>
      <c r="G149" s="10" t="inlineStr">
        <is>
          <t>YET TO START</t>
        </is>
      </c>
      <c r="H149" s="12" t="inlineStr">
        <is>
          <t>-</t>
        </is>
      </c>
      <c r="I149" s="12" t="inlineStr">
        <is>
          <t>Not started</t>
        </is>
      </c>
    </row>
    <row r="150" ht="15" customFormat="1" customHeight="1" s="2">
      <c r="A150" s="30" t="inlineStr">
        <is>
          <t>F9.2</t>
        </is>
      </c>
      <c r="B150" s="31" t="n">
        <v>2</v>
      </c>
      <c r="C150" s="32" t="inlineStr">
        <is>
          <t>F9.2  Shop catalogue</t>
        </is>
      </c>
      <c r="D150" s="30" t="n"/>
      <c r="E150" s="30" t="n"/>
      <c r="F150" s="31">
        <f>COUNTIFS($B$151:$B$157,3,$G$151:$G$157,"COMPLETED")&amp;" / "&amp;COUNTIF($B$151:$B$157,3)</f>
        <v/>
      </c>
      <c r="G150" s="31">
        <f>IF(COUNTIFS($B$151:$B$157,3,$G$151:$G$157,"COMPLETED")=COUNTIF($B$151:$B$157,3),"COMPLETED",IF(COUNTIFS($B$151:$B$157,3,$G$151:$G$157,"BLOCKED")&gt;0,"BLOCKED",IF(COUNTIFS($B$151:$B$157,3,$G$151:$G$157,"YET TO START")=COUNTIF($B$151:$B$157,3),"YET TO START","IN PROGRESS")))</f>
        <v/>
      </c>
      <c r="H150" s="30" t="n"/>
      <c r="I150" s="30" t="n"/>
    </row>
    <row r="151" ht="27" customFormat="1" customHeight="1" s="2">
      <c r="A151" s="12" t="inlineStr">
        <is>
          <t>F9.2.1</t>
        </is>
      </c>
      <c r="B151" s="10" t="n">
        <v>3</v>
      </c>
      <c r="C151" s="33" t="inlineStr">
        <is>
          <t>Category master and one-time categorisation</t>
        </is>
      </c>
      <c r="D151" s="12" t="inlineStr">
        <is>
          <t>Shop owner / Operator</t>
        </is>
      </c>
      <c r="E151" s="12" t="inlineStr">
        <is>
          <t>NEW-008</t>
        </is>
      </c>
      <c r="F151" s="10" t="n"/>
      <c r="G151" s="10" t="inlineStr">
        <is>
          <t>COMPLETED</t>
        </is>
      </c>
      <c r="H151" s="12" t="inlineStr">
        <is>
          <t>#38; #39</t>
        </is>
      </c>
      <c r="I151" s="12" t="inlineStr">
        <is>
          <t>-</t>
        </is>
      </c>
    </row>
    <row r="152" ht="27" customFormat="1" customHeight="1" s="2">
      <c r="A152" s="12" t="inlineStr">
        <is>
          <t>F9.2.2</t>
        </is>
      </c>
      <c r="B152" s="10" t="n">
        <v>3</v>
      </c>
      <c r="C152" s="33" t="inlineStr">
        <is>
          <t>Create products, bulk Excel upload, approval queue</t>
        </is>
      </c>
      <c r="D152" s="12" t="inlineStr">
        <is>
          <t>Shop owner / Operator</t>
        </is>
      </c>
      <c r="E152" s="12" t="inlineStr">
        <is>
          <t>GS-012, GS-013, RBAC-005</t>
        </is>
      </c>
      <c r="F152" s="10" t="n"/>
      <c r="G152" s="10" t="inlineStr">
        <is>
          <t>COMPLETED</t>
        </is>
      </c>
      <c r="H152" s="12" t="inlineStr">
        <is>
          <t>Baseline; #38</t>
        </is>
      </c>
      <c r="I152" s="12" t="inlineStr">
        <is>
          <t>-</t>
        </is>
      </c>
    </row>
    <row r="153" ht="27" customFormat="1" customHeight="1" s="2">
      <c r="A153" s="12" t="inlineStr">
        <is>
          <t>F9.2.3</t>
        </is>
      </c>
      <c r="B153" s="10" t="n">
        <v>3</v>
      </c>
      <c r="C153" s="33" t="inlineStr">
        <is>
          <t>MRP governance, price history, stock and thresholds</t>
        </is>
      </c>
      <c r="D153" s="12" t="inlineStr">
        <is>
          <t>Shop owner / Operator</t>
        </is>
      </c>
      <c r="E153" s="12" t="inlineStr">
        <is>
          <t>GS-015, GS-016, GS-017, GS-018</t>
        </is>
      </c>
      <c r="F153" s="10" t="n"/>
      <c r="G153" s="10" t="inlineStr">
        <is>
          <t>COMPLETED</t>
        </is>
      </c>
      <c r="H153" s="12" t="inlineStr">
        <is>
          <t>Baseline; #23; #45</t>
        </is>
      </c>
      <c r="I153" s="12" t="inlineStr">
        <is>
          <t>-</t>
        </is>
      </c>
    </row>
    <row r="154" ht="27" customFormat="1" customHeight="1" s="2">
      <c r="A154" s="12" t="inlineStr">
        <is>
          <t>F9.2.4</t>
        </is>
      </c>
      <c r="B154" s="10" t="n">
        <v>3</v>
      </c>
      <c r="C154" s="33" t="inlineStr">
        <is>
          <t>Product images, moderation (F10), photo catalogue</t>
        </is>
      </c>
      <c r="D154" s="12" t="inlineStr">
        <is>
          <t>Shop owner / Operator</t>
        </is>
      </c>
      <c r="E154" s="12" t="inlineStr">
        <is>
          <t>GS-014, NEW-017</t>
        </is>
      </c>
      <c r="F154" s="10" t="n"/>
      <c r="G154" s="10" t="inlineStr">
        <is>
          <t>COMPLETED</t>
        </is>
      </c>
      <c r="H154" s="12" t="inlineStr">
        <is>
          <t>#23; #55; #79</t>
        </is>
      </c>
      <c r="I154" s="12" t="inlineStr">
        <is>
          <t>Moderation off by default</t>
        </is>
      </c>
    </row>
    <row r="155" ht="27" customFormat="1" customHeight="1" s="2">
      <c r="A155" s="12" t="inlineStr">
        <is>
          <t>F9.2.5</t>
        </is>
      </c>
      <c r="B155" s="10" t="n">
        <v>3</v>
      </c>
      <c r="C155" s="33" t="inlineStr">
        <is>
          <t>Five photos + descriptions per listing, bulk ZIP/CSV, shop staff</t>
        </is>
      </c>
      <c r="D155" s="12" t="inlineStr">
        <is>
          <t>Shop owner / Operator</t>
        </is>
      </c>
      <c r="E155" s="12" t="inlineStr">
        <is>
          <t>NEW-036</t>
        </is>
      </c>
      <c r="F155" s="10" t="n"/>
      <c r="G155" s="10" t="inlineStr">
        <is>
          <t>COMPLETED</t>
        </is>
      </c>
      <c r="H155" s="12" t="inlineStr">
        <is>
          <t>#92; #120</t>
        </is>
      </c>
      <c r="I155" s="12" t="inlineStr">
        <is>
          <t>Live on gokesari.com since #120 (9 Oct)</t>
        </is>
      </c>
    </row>
    <row r="156" ht="27" customFormat="1" customHeight="1" s="2">
      <c r="A156" s="12" t="inlineStr">
        <is>
          <t>F9.2.6</t>
        </is>
      </c>
      <c r="B156" s="10" t="n">
        <v>3</v>
      </c>
      <c r="C156" s="33" t="inlineStr">
        <is>
          <t>Accounting / inventory sync and GST (GSP)</t>
        </is>
      </c>
      <c r="D156" s="12" t="inlineStr">
        <is>
          <t>Shop owner / Operator</t>
        </is>
      </c>
      <c r="E156" s="12" t="inlineStr">
        <is>
          <t>NEW-037</t>
        </is>
      </c>
      <c r="F156" s="10" t="n"/>
      <c r="G156" s="10" t="inlineStr">
        <is>
          <t>BLOCKED</t>
        </is>
      </c>
      <c r="H156" s="12" t="inlineStr">
        <is>
          <t>#92; #120</t>
        </is>
      </c>
      <c r="I156" s="12" t="inlineStr">
        <is>
          <t>On gokesari.com since #120 on mock providers; waits on a real GSP and owner inputs P1, P3, P6</t>
        </is>
      </c>
    </row>
    <row r="157" ht="27" customFormat="1" customHeight="1" s="2">
      <c r="A157" s="12" t="inlineStr">
        <is>
          <t>F9.2.7</t>
        </is>
      </c>
      <c r="B157" s="10" t="n">
        <v>3</v>
      </c>
      <c r="C157" s="33" t="inlineStr">
        <is>
          <t>Shop's own books: stock ledger, purchases and sales, GST returns and reconciliation, supplier bill scan</t>
        </is>
      </c>
      <c r="D157" s="12" t="inlineStr">
        <is>
          <t>Shop owner</t>
        </is>
      </c>
      <c r="E157" s="12" t="inlineStr">
        <is>
          <t>NEW-067</t>
        </is>
      </c>
      <c r="F157" s="10" t="n"/>
      <c r="G157" s="10" t="inlineStr">
        <is>
          <t>COMPLETED</t>
        </is>
      </c>
      <c r="H157" s="12" t="inlineStr">
        <is>
          <t>#171, #172; released #179</t>
        </is>
      </c>
      <c r="I157" s="12" t="inlineStr">
        <is>
          <t>Live on gokesari.com since 15 Oct (release #179). Pages ~4 s on test after #172. GSP link and AI bill reading not switched on (owner decisions).</t>
        </is>
      </c>
    </row>
    <row r="158" ht="18" customFormat="1" customHeight="1" s="2">
      <c r="A158" s="28" t="inlineStr">
        <is>
          <t>F10</t>
        </is>
      </c>
      <c r="B158" s="29" t="n">
        <v>1</v>
      </c>
      <c r="C158" s="28" t="inlineStr">
        <is>
          <t>F10  Finance: commission, settlement, payouts, wallets</t>
        </is>
      </c>
      <c r="D158" s="28" t="inlineStr">
        <is>
          <t>Finance / System</t>
        </is>
      </c>
      <c r="E158" s="28" t="n"/>
      <c r="F158" s="29">
        <f>COUNTIFS($B$159:$B$169,3,$G$159:$G$169,"COMPLETED")&amp;" / "&amp;COUNTIF($B$159:$B$169,3)</f>
        <v/>
      </c>
      <c r="G158" s="29">
        <f>IF(COUNTIFS($B$159:$B$169,3,$G$159:$G$169,"COMPLETED")=COUNTIF($B$159:$B$169,3),"COMPLETED",IF(COUNTIFS($B$159:$B$169,3,$G$159:$G$169,"BLOCKED")&gt;0,"BLOCKED",IF(COUNTIFS($B$159:$B$169,3,$G$159:$G$169,"YET TO START")=COUNTIF($B$159:$B$169,3),"YET TO START","IN PROGRESS")))</f>
        <v/>
      </c>
      <c r="H158" s="28" t="n"/>
      <c r="I158" s="28" t="n"/>
    </row>
    <row r="159" ht="15" customFormat="1" customHeight="1" s="2">
      <c r="A159" s="30" t="inlineStr">
        <is>
          <t>F10.1</t>
        </is>
      </c>
      <c r="B159" s="31" t="n">
        <v>2</v>
      </c>
      <c r="C159" s="32" t="inlineStr">
        <is>
          <t>F10.1  Per order</t>
        </is>
      </c>
      <c r="D159" s="30" t="n"/>
      <c r="E159" s="30" t="n"/>
      <c r="F159" s="31">
        <f>COUNTIFS($B$160:$B$162,3,$G$160:$G$162,"COMPLETED")&amp;" / "&amp;COUNTIF($B$160:$B$162,3)</f>
        <v/>
      </c>
      <c r="G159" s="31">
        <f>IF(COUNTIFS($B$160:$B$162,3,$G$160:$G$162,"COMPLETED")=COUNTIF($B$160:$B$162,3),"COMPLETED",IF(COUNTIFS($B$160:$B$162,3,$G$160:$G$162,"BLOCKED")&gt;0,"BLOCKED",IF(COUNTIFS($B$160:$B$162,3,$G$160:$G$162,"YET TO START")=COUNTIF($B$160:$B$162,3),"YET TO START","IN PROGRESS")))</f>
        <v/>
      </c>
      <c r="H159" s="30" t="n"/>
      <c r="I159" s="30" t="n"/>
    </row>
    <row r="160" ht="15" customFormat="1" customHeight="1" s="2">
      <c r="A160" s="12" t="inlineStr">
        <is>
          <t>F10.1.1</t>
        </is>
      </c>
      <c r="B160" s="10" t="n">
        <v>3</v>
      </c>
      <c r="C160" s="33" t="inlineStr">
        <is>
          <t>Commission and financial snapshot at delivery</t>
        </is>
      </c>
      <c r="D160" s="12" t="inlineStr">
        <is>
          <t>Finance / System</t>
        </is>
      </c>
      <c r="E160" s="12" t="inlineStr">
        <is>
          <t>GS-061</t>
        </is>
      </c>
      <c r="F160" s="10" t="n"/>
      <c r="G160" s="10" t="inlineStr">
        <is>
          <t>COMPLETED</t>
        </is>
      </c>
      <c r="H160" s="12" t="inlineStr">
        <is>
          <t>#10</t>
        </is>
      </c>
      <c r="I160" s="12" t="inlineStr">
        <is>
          <t>-</t>
        </is>
      </c>
    </row>
    <row r="161" ht="15" customFormat="1" customHeight="1" s="2">
      <c r="A161" s="12" t="inlineStr">
        <is>
          <t>F10.1.2</t>
        </is>
      </c>
      <c r="B161" s="10" t="n">
        <v>3</v>
      </c>
      <c r="C161" s="33" t="inlineStr">
        <is>
          <t>Tax invoice or bill of supply per delivered order</t>
        </is>
      </c>
      <c r="D161" s="12" t="inlineStr">
        <is>
          <t>Finance / System</t>
        </is>
      </c>
      <c r="E161" s="12" t="inlineStr">
        <is>
          <t>NEW-007</t>
        </is>
      </c>
      <c r="F161" s="10" t="n"/>
      <c r="G161" s="10" t="inlineStr">
        <is>
          <t>COMPLETED</t>
        </is>
      </c>
      <c r="H161" s="12" t="inlineStr">
        <is>
          <t>#58</t>
        </is>
      </c>
      <c r="I161" s="12" t="inlineStr">
        <is>
          <t>Off by default; CA check pending</t>
        </is>
      </c>
    </row>
    <row r="162" ht="39" customFormat="1" customHeight="1" s="2">
      <c r="A162" s="12" t="inlineStr">
        <is>
          <t>F10.1.3</t>
        </is>
      </c>
      <c r="B162" s="10" t="n">
        <v>3</v>
      </c>
      <c r="C162" s="33" t="inlineStr">
        <is>
          <t>Shop prepaid wallet: commission + Rs 5/km delivery charge debited</t>
        </is>
      </c>
      <c r="D162" s="12" t="inlineStr">
        <is>
          <t>Finance / System</t>
        </is>
      </c>
      <c r="E162" s="12" t="inlineStr">
        <is>
          <t>NEW-033, NEW-034</t>
        </is>
      </c>
      <c r="F162" s="10" t="n"/>
      <c r="G162" s="10" t="inlineStr">
        <is>
          <t>COMPLETED</t>
        </is>
      </c>
      <c r="H162" s="12" t="inlineStr">
        <is>
          <t>#91; #98; #120</t>
        </is>
      </c>
      <c r="I162" s="12" t="inlineStr">
        <is>
          <t>On gokesari.com since #120 (9 Oct), switched off by default - switch on in Admin &gt; Business rules</t>
        </is>
      </c>
    </row>
    <row r="163" ht="15" customFormat="1" customHeight="1" s="2">
      <c r="A163" s="30" t="inlineStr">
        <is>
          <t>F10.2</t>
        </is>
      </c>
      <c r="B163" s="31" t="n">
        <v>2</v>
      </c>
      <c r="C163" s="32" t="inlineStr">
        <is>
          <t>F10.2  Periodic</t>
        </is>
      </c>
      <c r="D163" s="30" t="n"/>
      <c r="E163" s="30" t="n"/>
      <c r="F163" s="31">
        <f>COUNTIFS($B$164:$B$169,3,$G$164:$G$169,"COMPLETED")&amp;" / "&amp;COUNTIF($B$164:$B$169,3)</f>
        <v/>
      </c>
      <c r="G163" s="31">
        <f>IF(COUNTIFS($B$164:$B$169,3,$G$164:$G$169,"COMPLETED")=COUNTIF($B$164:$B$169,3),"COMPLETED",IF(COUNTIFS($B$164:$B$169,3,$G$164:$G$169,"BLOCKED")&gt;0,"BLOCKED",IF(COUNTIFS($B$164:$B$169,3,$G$164:$G$169,"YET TO START")=COUNTIF($B$164:$B$169,3),"YET TO START","IN PROGRESS")))</f>
        <v/>
      </c>
      <c r="H163" s="30" t="n"/>
      <c r="I163" s="30" t="n"/>
    </row>
    <row r="164" ht="15" customFormat="1" customHeight="1" s="2">
      <c r="A164" s="12" t="inlineStr">
        <is>
          <t>F10.2.1</t>
        </is>
      </c>
      <c r="B164" s="10" t="n">
        <v>3</v>
      </c>
      <c r="C164" s="33" t="inlineStr">
        <is>
          <t>Weekly shop settlement and rider payouts</t>
        </is>
      </c>
      <c r="D164" s="12" t="inlineStr">
        <is>
          <t>Finance / System</t>
        </is>
      </c>
      <c r="E164" s="12" t="inlineStr">
        <is>
          <t>GS-062, GS-064, WF-010</t>
        </is>
      </c>
      <c r="F164" s="10" t="n"/>
      <c r="G164" s="10" t="inlineStr">
        <is>
          <t>COMPLETED</t>
        </is>
      </c>
      <c r="H164" s="12" t="inlineStr">
        <is>
          <t>#10</t>
        </is>
      </c>
      <c r="I164" s="12" t="inlineStr">
        <is>
          <t>-</t>
        </is>
      </c>
    </row>
    <row r="165" ht="15" customFormat="1" customHeight="1" s="2">
      <c r="A165" s="12" t="inlineStr">
        <is>
          <t>F10.2.2</t>
        </is>
      </c>
      <c r="B165" s="10" t="n">
        <v>3</v>
      </c>
      <c r="C165" s="33" t="inlineStr">
        <is>
          <t>Reconciliation with exception queue</t>
        </is>
      </c>
      <c r="D165" s="12" t="inlineStr">
        <is>
          <t>Finance / System</t>
        </is>
      </c>
      <c r="E165" s="12" t="inlineStr">
        <is>
          <t>GS-031</t>
        </is>
      </c>
      <c r="F165" s="10" t="n"/>
      <c r="G165" s="10" t="inlineStr">
        <is>
          <t>COMPLETED</t>
        </is>
      </c>
      <c r="H165" s="12" t="inlineStr">
        <is>
          <t>#10</t>
        </is>
      </c>
      <c r="I165" s="12" t="inlineStr">
        <is>
          <t>-</t>
        </is>
      </c>
    </row>
    <row r="166" ht="15" customFormat="1" customHeight="1" s="2">
      <c r="A166" s="12" t="inlineStr">
        <is>
          <t>F10.2.3</t>
        </is>
      </c>
      <c r="B166" s="10" t="n">
        <v>3</v>
      </c>
      <c r="C166" s="33" t="inlineStr">
        <is>
          <t>Rider earnings rules (slots, incentives)</t>
        </is>
      </c>
      <c r="D166" s="12" t="inlineStr">
        <is>
          <t>Finance / System</t>
        </is>
      </c>
      <c r="E166" s="12" t="inlineStr">
        <is>
          <t>GS-063</t>
        </is>
      </c>
      <c r="F166" s="10" t="n"/>
      <c r="G166" s="10" t="inlineStr">
        <is>
          <t>COMPLETED</t>
        </is>
      </c>
      <c r="H166" s="12" t="inlineStr">
        <is>
          <t>#23</t>
        </is>
      </c>
      <c r="I166" s="12" t="inlineStr">
        <is>
          <t>-</t>
        </is>
      </c>
    </row>
    <row r="167" ht="15" customFormat="1" customHeight="1" s="2">
      <c r="A167" s="12" t="inlineStr">
        <is>
          <t>F10.2.4</t>
        </is>
      </c>
      <c r="B167" s="10" t="n">
        <v>3</v>
      </c>
      <c r="C167" s="33" t="inlineStr">
        <is>
          <t>Automated bank transfer</t>
        </is>
      </c>
      <c r="D167" s="12" t="inlineStr">
        <is>
          <t>Finance / System</t>
        </is>
      </c>
      <c r="E167" s="12" t="inlineStr">
        <is>
          <t>GAP-005</t>
        </is>
      </c>
      <c r="F167" s="10" t="n"/>
      <c r="G167" s="10" t="inlineStr">
        <is>
          <t>YET TO START</t>
        </is>
      </c>
      <c r="H167" s="12" t="inlineStr">
        <is>
          <t>-</t>
        </is>
      </c>
      <c r="I167" s="12" t="inlineStr">
        <is>
          <t>Manual today</t>
        </is>
      </c>
    </row>
    <row r="168" ht="15" customFormat="1" customHeight="1" s="2">
      <c r="A168" s="12" t="inlineStr">
        <is>
          <t>F10.2.5</t>
        </is>
      </c>
      <c r="B168" s="10" t="n">
        <v>3</v>
      </c>
      <c r="C168" s="33" t="inlineStr">
        <is>
          <t>Platform invoice for GoKesari's own fees (D6)</t>
        </is>
      </c>
      <c r="D168" s="12" t="inlineStr">
        <is>
          <t>Finance / System</t>
        </is>
      </c>
      <c r="E168" s="12" t="inlineStr">
        <is>
          <t>GAP-006</t>
        </is>
      </c>
      <c r="F168" s="10" t="n"/>
      <c r="G168" s="10" t="inlineStr">
        <is>
          <t>YET TO START</t>
        </is>
      </c>
      <c r="H168" s="12" t="inlineStr">
        <is>
          <t>-</t>
        </is>
      </c>
      <c r="I168" s="12" t="inlineStr">
        <is>
          <t>Not built</t>
        </is>
      </c>
    </row>
    <row r="169" ht="39" customFormat="1" customHeight="1" s="2">
      <c r="A169" s="12" t="inlineStr">
        <is>
          <t>F10.2.6</t>
        </is>
      </c>
      <c r="B169" s="10" t="n">
        <v>3</v>
      </c>
      <c r="C169" s="33" t="inlineStr">
        <is>
          <t>Rs 1-verified bank account / UPI before shop payouts; customer refund account</t>
        </is>
      </c>
      <c r="D169" s="12" t="inlineStr">
        <is>
          <t>Finance / System</t>
        </is>
      </c>
      <c r="E169" s="12" t="inlineStr">
        <is>
          <t>NEW-041, GS-062</t>
        </is>
      </c>
      <c r="F169" s="10" t="n"/>
      <c r="G169" s="10" t="inlineStr">
        <is>
          <t>COMPLETED</t>
        </is>
      </c>
      <c r="H169" s="12" t="inlineStr">
        <is>
          <t>#102; #103; #120</t>
        </is>
      </c>
      <c r="I169" s="12" t="inlineStr">
        <is>
          <t>On gokesari.com since #120 (9 Oct), switched off by default - switch on in Admin &gt; Business rules; Cashfree live keys needed for production</t>
        </is>
      </c>
    </row>
    <row r="170" ht="18" customFormat="1" customHeight="1" s="2">
      <c r="A170" s="28" t="inlineStr">
        <is>
          <t>F11</t>
        </is>
      </c>
      <c r="B170" s="29" t="n">
        <v>1</v>
      </c>
      <c r="C170" s="28" t="inlineStr">
        <is>
          <t>F11  Marketing and growth</t>
        </is>
      </c>
      <c r="D170" s="28" t="inlineStr">
        <is>
          <t>Shop owner / Operator</t>
        </is>
      </c>
      <c r="E170" s="28" t="n"/>
      <c r="F170" s="29">
        <f>COUNTIFS($B$171:$B$177,3,$G$171:$G$177,"COMPLETED")&amp;" / "&amp;COUNTIF($B$171:$B$177,3)</f>
        <v/>
      </c>
      <c r="G170" s="29">
        <f>IF(COUNTIFS($B$171:$B$177,3,$G$171:$G$177,"COMPLETED")=COUNTIF($B$171:$B$177,3),"COMPLETED",IF(COUNTIFS($B$171:$B$177,3,$G$171:$G$177,"BLOCKED")&gt;0,"BLOCKED",IF(COUNTIFS($B$171:$B$177,3,$G$171:$G$177,"YET TO START")=COUNTIF($B$171:$B$177,3),"YET TO START","IN PROGRESS")))</f>
        <v/>
      </c>
      <c r="H170" s="28" t="n"/>
      <c r="I170" s="28" t="n"/>
    </row>
    <row r="171" ht="15" customFormat="1" customHeight="1" s="2">
      <c r="A171" s="30" t="inlineStr">
        <is>
          <t>F11.1</t>
        </is>
      </c>
      <c r="B171" s="31" t="n">
        <v>2</v>
      </c>
      <c r="C171" s="32" t="inlineStr">
        <is>
          <t>F11.1  Campaigns</t>
        </is>
      </c>
      <c r="D171" s="30" t="n"/>
      <c r="E171" s="30" t="n"/>
      <c r="F171" s="31">
        <f>COUNTIFS($B$172:$B$173,3,$G$172:$G$173,"COMPLETED")&amp;" / "&amp;COUNTIF($B$172:$B$173,3)</f>
        <v/>
      </c>
      <c r="G171" s="31">
        <f>IF(COUNTIFS($B$172:$B$173,3,$G$172:$G$173,"COMPLETED")=COUNTIF($B$172:$B$173,3),"COMPLETED",IF(COUNTIFS($B$172:$B$173,3,$G$172:$G$173,"BLOCKED")&gt;0,"BLOCKED",IF(COUNTIFS($B$172:$B$173,3,$G$172:$G$173,"YET TO START")=COUNTIF($B$172:$B$173,3),"YET TO START","IN PROGRESS")))</f>
        <v/>
      </c>
      <c r="H171" s="30" t="n"/>
      <c r="I171" s="30" t="n"/>
    </row>
    <row r="172" ht="27" customFormat="1" customHeight="1" s="2">
      <c r="A172" s="12" t="inlineStr">
        <is>
          <t>F11.1.1</t>
        </is>
      </c>
      <c r="B172" s="10" t="n">
        <v>3</v>
      </c>
      <c r="C172" s="33" t="inlineStr">
        <is>
          <t>Customer segments (consent-gated)</t>
        </is>
      </c>
      <c r="D172" s="12" t="inlineStr">
        <is>
          <t>Shop owner / Operator</t>
        </is>
      </c>
      <c r="E172" s="12" t="inlineStr">
        <is>
          <t>GS-052</t>
        </is>
      </c>
      <c r="F172" s="10" t="n"/>
      <c r="G172" s="10" t="inlineStr">
        <is>
          <t>COMPLETED</t>
        </is>
      </c>
      <c r="H172" s="12" t="inlineStr">
        <is>
          <t>#18</t>
        </is>
      </c>
      <c r="I172" s="12" t="inlineStr">
        <is>
          <t>-</t>
        </is>
      </c>
    </row>
    <row r="173" ht="27" customFormat="1" customHeight="1" s="2">
      <c r="A173" s="12" t="inlineStr">
        <is>
          <t>F11.1.2</t>
        </is>
      </c>
      <c r="B173" s="10" t="n">
        <v>3</v>
      </c>
      <c r="C173" s="33" t="inlineStr">
        <is>
          <t>Shop campaign -&gt; approval -&gt; send (budgets, frequency caps)</t>
        </is>
      </c>
      <c r="D173" s="12" t="inlineStr">
        <is>
          <t>Shop owner / Operator</t>
        </is>
      </c>
      <c r="E173" s="12" t="inlineStr">
        <is>
          <t>GS-053, WF-009</t>
        </is>
      </c>
      <c r="F173" s="10" t="n"/>
      <c r="G173" s="10" t="inlineStr">
        <is>
          <t>COMPLETED</t>
        </is>
      </c>
      <c r="H173" s="12" t="inlineStr">
        <is>
          <t>#18</t>
        </is>
      </c>
      <c r="I173" s="12" t="inlineStr">
        <is>
          <t>-</t>
        </is>
      </c>
    </row>
    <row r="174" ht="15" customFormat="1" customHeight="1" s="2">
      <c r="A174" s="30" t="inlineStr">
        <is>
          <t>F11.2</t>
        </is>
      </c>
      <c r="B174" s="31" t="n">
        <v>2</v>
      </c>
      <c r="C174" s="32" t="inlineStr">
        <is>
          <t>F11.2  Offers and referrals</t>
        </is>
      </c>
      <c r="D174" s="30" t="n"/>
      <c r="E174" s="30" t="n"/>
      <c r="F174" s="31">
        <f>COUNTIFS($B$175:$B$177,3,$G$175:$G$177,"COMPLETED")&amp;" / "&amp;COUNTIF($B$175:$B$177,3)</f>
        <v/>
      </c>
      <c r="G174" s="31">
        <f>IF(COUNTIFS($B$175:$B$177,3,$G$175:$G$177,"COMPLETED")=COUNTIF($B$175:$B$177,3),"COMPLETED",IF(COUNTIFS($B$175:$B$177,3,$G$175:$G$177,"BLOCKED")&gt;0,"BLOCKED",IF(COUNTIFS($B$175:$B$177,3,$G$175:$G$177,"YET TO START")=COUNTIF($B$175:$B$177,3),"YET TO START","IN PROGRESS")))</f>
        <v/>
      </c>
      <c r="H174" s="30" t="n"/>
      <c r="I174" s="30" t="n"/>
    </row>
    <row r="175" ht="27" customFormat="1" customHeight="1" s="2">
      <c r="A175" s="12" t="inlineStr">
        <is>
          <t>F11.2.1</t>
        </is>
      </c>
      <c r="B175" s="10" t="n">
        <v>3</v>
      </c>
      <c r="C175" s="33" t="inlineStr">
        <is>
          <t>Shop offers (F8)</t>
        </is>
      </c>
      <c r="D175" s="12" t="inlineStr">
        <is>
          <t>Shop owner / Operator</t>
        </is>
      </c>
      <c r="E175" s="12" t="inlineStr">
        <is>
          <t>NAV-002</t>
        </is>
      </c>
      <c r="F175" s="10" t="n"/>
      <c r="G175" s="10" t="inlineStr">
        <is>
          <t>COMPLETED</t>
        </is>
      </c>
      <c r="H175" s="12" t="inlineStr">
        <is>
          <t>#55</t>
        </is>
      </c>
      <c r="I175" s="12" t="inlineStr">
        <is>
          <t>Off by default</t>
        </is>
      </c>
    </row>
    <row r="176" ht="27" customFormat="1" customHeight="1" s="2">
      <c r="A176" s="12" t="inlineStr">
        <is>
          <t>F11.2.2</t>
        </is>
      </c>
      <c r="B176" s="10" t="n">
        <v>3</v>
      </c>
      <c r="C176" s="33" t="inlineStr">
        <is>
          <t>Customer referral rewards (F11)</t>
        </is>
      </c>
      <c r="D176" s="12" t="inlineStr">
        <is>
          <t>Shop owner / Operator</t>
        </is>
      </c>
      <c r="E176" s="12" t="inlineStr">
        <is>
          <t>GS-054</t>
        </is>
      </c>
      <c r="F176" s="10" t="n"/>
      <c r="G176" s="10" t="inlineStr">
        <is>
          <t>COMPLETED</t>
        </is>
      </c>
      <c r="H176" s="12" t="inlineStr">
        <is>
          <t>#55; #56</t>
        </is>
      </c>
      <c r="I176" s="12" t="inlineStr">
        <is>
          <t>Off by default</t>
        </is>
      </c>
    </row>
    <row r="177" ht="27" customFormat="1" customHeight="1" s="2">
      <c r="A177" s="12" t="inlineStr">
        <is>
          <t>F11.2.3</t>
        </is>
      </c>
      <c r="B177" s="10" t="n">
        <v>3</v>
      </c>
      <c r="C177" s="33" t="inlineStr">
        <is>
          <t>Marketing consent On/Off switch</t>
        </is>
      </c>
      <c r="D177" s="12" t="inlineStr">
        <is>
          <t>Shop owner / Operator</t>
        </is>
      </c>
      <c r="E177" s="12" t="inlineStr">
        <is>
          <t>GS-070, NEW-016</t>
        </is>
      </c>
      <c r="F177" s="10" t="n"/>
      <c r="G177" s="10" t="inlineStr">
        <is>
          <t>COMPLETED</t>
        </is>
      </c>
      <c r="H177" s="12" t="inlineStr">
        <is>
          <t>#77</t>
        </is>
      </c>
      <c r="I177" s="12" t="inlineStr">
        <is>
          <t>-</t>
        </is>
      </c>
    </row>
    <row r="178" ht="18" customFormat="1" customHeight="1" s="2">
      <c r="A178" s="28" t="inlineStr">
        <is>
          <t>F12</t>
        </is>
      </c>
      <c r="B178" s="29" t="n">
        <v>1</v>
      </c>
      <c r="C178" s="28" t="inlineStr">
        <is>
          <t>F12  Admin and operations control tower</t>
        </is>
      </c>
      <c r="D178" s="28" t="inlineStr">
        <is>
          <t>Operator / Admin</t>
        </is>
      </c>
      <c r="E178" s="28" t="n"/>
      <c r="F178" s="29">
        <f>COUNTIFS($B$179:$B$189,3,$G$179:$G$189,"COMPLETED")&amp;" / "&amp;COUNTIF($B$179:$B$189,3)</f>
        <v/>
      </c>
      <c r="G178" s="29">
        <f>IF(COUNTIFS($B$179:$B$189,3,$G$179:$G$189,"COMPLETED")=COUNTIF($B$179:$B$189,3),"COMPLETED",IF(COUNTIFS($B$179:$B$189,3,$G$179:$G$189,"BLOCKED")&gt;0,"BLOCKED",IF(COUNTIFS($B$179:$B$189,3,$G$179:$G$189,"YET TO START")=COUNTIF($B$179:$B$189,3),"YET TO START","IN PROGRESS")))</f>
        <v/>
      </c>
      <c r="H178" s="28" t="n"/>
      <c r="I178" s="28" t="n"/>
    </row>
    <row r="179" ht="15" customFormat="1" customHeight="1" s="2">
      <c r="A179" s="30" t="inlineStr">
        <is>
          <t>F12.1</t>
        </is>
      </c>
      <c r="B179" s="31" t="n">
        <v>2</v>
      </c>
      <c r="C179" s="32" t="inlineStr">
        <is>
          <t>F12.1  Monitor</t>
        </is>
      </c>
      <c r="D179" s="30" t="n"/>
      <c r="E179" s="30" t="n"/>
      <c r="F179" s="31">
        <f>COUNTIFS($B$180:$B$183,3,$G$180:$G$183,"COMPLETED")&amp;" / "&amp;COUNTIF($B$180:$B$183,3)</f>
        <v/>
      </c>
      <c r="G179" s="31">
        <f>IF(COUNTIFS($B$180:$B$183,3,$G$180:$G$183,"COMPLETED")=COUNTIF($B$180:$B$183,3),"COMPLETED",IF(COUNTIFS($B$180:$B$183,3,$G$180:$G$183,"BLOCKED")&gt;0,"BLOCKED",IF(COUNTIFS($B$180:$B$183,3,$G$180:$G$183,"YET TO START")=COUNTIF($B$180:$B$183,3),"YET TO START","IN PROGRESS")))</f>
        <v/>
      </c>
      <c r="H179" s="30" t="n"/>
      <c r="I179" s="30" t="n"/>
    </row>
    <row r="180" ht="15" customFormat="1" customHeight="1" s="2">
      <c r="A180" s="12" t="inlineStr">
        <is>
          <t>F12.1.1</t>
        </is>
      </c>
      <c r="B180" s="10" t="n">
        <v>3</v>
      </c>
      <c r="C180" s="33" t="inlineStr">
        <is>
          <t>Global dashboard and KPI analytics</t>
        </is>
      </c>
      <c r="D180" s="12" t="inlineStr">
        <is>
          <t>Operator / Admin</t>
        </is>
      </c>
      <c r="E180" s="12" t="inlineStr">
        <is>
          <t>GS-065, GS-069</t>
        </is>
      </c>
      <c r="F180" s="10" t="n"/>
      <c r="G180" s="10" t="inlineStr">
        <is>
          <t>COMPLETED</t>
        </is>
      </c>
      <c r="H180" s="12" t="inlineStr">
        <is>
          <t>#18; #21; #23</t>
        </is>
      </c>
      <c r="I180" s="12" t="inlineStr">
        <is>
          <t>-</t>
        </is>
      </c>
    </row>
    <row r="181" ht="15" customFormat="1" customHeight="1" s="2">
      <c r="A181" s="12" t="inlineStr">
        <is>
          <t>F12.1.2</t>
        </is>
      </c>
      <c r="B181" s="10" t="n">
        <v>3</v>
      </c>
      <c r="C181" s="33" t="inlineStr">
        <is>
          <t>Order monitoring, exceptions queue, reassign</t>
        </is>
      </c>
      <c r="D181" s="12" t="inlineStr">
        <is>
          <t>Operator / Admin</t>
        </is>
      </c>
      <c r="E181" s="12" t="inlineStr">
        <is>
          <t>GS-066, NAV-015, NAV-016</t>
        </is>
      </c>
      <c r="F181" s="10" t="n"/>
      <c r="G181" s="10" t="inlineStr">
        <is>
          <t>COMPLETED</t>
        </is>
      </c>
      <c r="H181" s="12" t="inlineStr">
        <is>
          <t>#21; #74</t>
        </is>
      </c>
      <c r="I181" s="12" t="inlineStr">
        <is>
          <t>-</t>
        </is>
      </c>
    </row>
    <row r="182" ht="15" customFormat="1" customHeight="1" s="2">
      <c r="A182" s="12" t="inlineStr">
        <is>
          <t>F12.1.3</t>
        </is>
      </c>
      <c r="B182" s="10" t="n">
        <v>3</v>
      </c>
      <c r="C182" s="33" t="inlineStr">
        <is>
          <t>Hourly risk scan and review queue</t>
        </is>
      </c>
      <c r="D182" s="12" t="inlineStr">
        <is>
          <t>Operator / Admin</t>
        </is>
      </c>
      <c r="E182" s="12" t="inlineStr">
        <is>
          <t>GS-068</t>
        </is>
      </c>
      <c r="F182" s="10" t="n"/>
      <c r="G182" s="10" t="inlineStr">
        <is>
          <t>COMPLETED</t>
        </is>
      </c>
      <c r="H182" s="12" t="inlineStr">
        <is>
          <t>#18; #21</t>
        </is>
      </c>
      <c r="I182" s="12" t="inlineStr">
        <is>
          <t>-</t>
        </is>
      </c>
    </row>
    <row r="183" ht="15" customFormat="1" customHeight="1" s="2">
      <c r="A183" s="12" t="inlineStr">
        <is>
          <t>F12.1.4</t>
        </is>
      </c>
      <c r="B183" s="10" t="n">
        <v>3</v>
      </c>
      <c r="C183" s="33" t="inlineStr">
        <is>
          <t>Per-order risk rules</t>
        </is>
      </c>
      <c r="D183" s="12" t="inlineStr">
        <is>
          <t>Operator / Admin</t>
        </is>
      </c>
      <c r="E183" s="12" t="inlineStr">
        <is>
          <t>NEW-032</t>
        </is>
      </c>
      <c r="F183" s="10" t="n"/>
      <c r="G183" s="10" t="inlineStr">
        <is>
          <t>COMPLETED</t>
        </is>
      </c>
      <c r="H183" s="12" t="inlineStr">
        <is>
          <t>#89; #120</t>
        </is>
      </c>
      <c r="I183" s="12" t="inlineStr">
        <is>
          <t>Live on gokesari.com since #120 (9 Oct)</t>
        </is>
      </c>
    </row>
    <row r="184" ht="15" customFormat="1" customHeight="1" s="2">
      <c r="A184" s="30" t="inlineStr">
        <is>
          <t>F12.2</t>
        </is>
      </c>
      <c r="B184" s="31" t="n">
        <v>2</v>
      </c>
      <c r="C184" s="32" t="inlineStr">
        <is>
          <t>F12.2  Control</t>
        </is>
      </c>
      <c r="D184" s="30" t="n"/>
      <c r="E184" s="30" t="n"/>
      <c r="F184" s="31">
        <f>COUNTIFS($B$185:$B$189,3,$G$185:$G$189,"COMPLETED")&amp;" / "&amp;COUNTIF($B$185:$B$189,3)</f>
        <v/>
      </c>
      <c r="G184" s="31">
        <f>IF(COUNTIFS($B$185:$B$189,3,$G$185:$G$189,"COMPLETED")=COUNTIF($B$185:$B$189,3),"COMPLETED",IF(COUNTIFS($B$185:$B$189,3,$G$185:$G$189,"BLOCKED")&gt;0,"BLOCKED",IF(COUNTIFS($B$185:$B$189,3,$G$185:$G$189,"YET TO START")=COUNTIF($B$185:$B$189,3),"YET TO START","IN PROGRESS")))</f>
        <v/>
      </c>
      <c r="H184" s="30" t="n"/>
      <c r="I184" s="30" t="n"/>
    </row>
    <row r="185" ht="27" customFormat="1" customHeight="1" s="2">
      <c r="A185" s="12" t="inlineStr">
        <is>
          <t>F12.2.1</t>
        </is>
      </c>
      <c r="B185" s="10" t="n">
        <v>3</v>
      </c>
      <c r="C185" s="33" t="inlineStr">
        <is>
          <t>Roles, multi-role grants, privileges with explicit Save, audit log</t>
        </is>
      </c>
      <c r="D185" s="12" t="inlineStr">
        <is>
          <t>Operator / Admin</t>
        </is>
      </c>
      <c r="E185" s="12" t="inlineStr">
        <is>
          <t>GS-002, GS-003, NEW-009, GS-067</t>
        </is>
      </c>
      <c r="F185" s="10" t="n"/>
      <c r="G185" s="10" t="inlineStr">
        <is>
          <t>COMPLETED</t>
        </is>
      </c>
      <c r="H185" s="12" t="inlineStr">
        <is>
          <t>#18; #30</t>
        </is>
      </c>
      <c r="I185" s="12" t="inlineStr">
        <is>
          <t>-</t>
        </is>
      </c>
    </row>
    <row r="186" ht="15" customFormat="1" customHeight="1" s="2">
      <c r="A186" s="12" t="inlineStr">
        <is>
          <t>F12.2.2</t>
        </is>
      </c>
      <c r="B186" s="10" t="n">
        <v>3</v>
      </c>
      <c r="C186" s="33" t="inlineStr">
        <is>
          <t>Business-rules console</t>
        </is>
      </c>
      <c r="D186" s="12" t="inlineStr">
        <is>
          <t>Operator / Admin</t>
        </is>
      </c>
      <c r="E186" s="12" t="inlineStr">
        <is>
          <t>NEW-001</t>
        </is>
      </c>
      <c r="F186" s="10" t="n"/>
      <c r="G186" s="10" t="inlineStr">
        <is>
          <t>COMPLETED</t>
        </is>
      </c>
      <c r="H186" s="12" t="inlineStr">
        <is>
          <t>#23</t>
        </is>
      </c>
      <c r="I186" s="12" t="inlineStr">
        <is>
          <t>-</t>
        </is>
      </c>
    </row>
    <row r="187" ht="15" customFormat="1" customHeight="1" s="2">
      <c r="A187" s="12" t="inlineStr">
        <is>
          <t>F12.2.3</t>
        </is>
      </c>
      <c r="B187" s="10" t="n">
        <v>3</v>
      </c>
      <c r="C187" s="33" t="inlineStr">
        <is>
          <t>Business limits as rules (item B)</t>
        </is>
      </c>
      <c r="D187" s="12" t="inlineStr">
        <is>
          <t>Operator / Admin</t>
        </is>
      </c>
      <c r="E187" s="12" t="inlineStr">
        <is>
          <t>NEW-021</t>
        </is>
      </c>
      <c r="F187" s="10" t="n"/>
      <c r="G187" s="10" t="inlineStr">
        <is>
          <t>COMPLETED</t>
        </is>
      </c>
      <c r="H187" s="12" t="inlineStr">
        <is>
          <t>#85; #120</t>
        </is>
      </c>
      <c r="I187" s="12" t="inlineStr">
        <is>
          <t>Live on gokesari.com since #120 (9 Oct)</t>
        </is>
      </c>
    </row>
    <row r="188" ht="15" customFormat="1" customHeight="1" s="2">
      <c r="A188" s="12" t="inlineStr">
        <is>
          <t>F12.2.4</t>
        </is>
      </c>
      <c r="B188" s="10" t="n">
        <v>3</v>
      </c>
      <c r="C188" s="33" t="inlineStr">
        <is>
          <t>Consent view</t>
        </is>
      </c>
      <c r="D188" s="12" t="inlineStr">
        <is>
          <t>Operator / Admin</t>
        </is>
      </c>
      <c r="E188" s="12" t="inlineStr">
        <is>
          <t>NAV-019</t>
        </is>
      </c>
      <c r="F188" s="10" t="n"/>
      <c r="G188" s="10" t="inlineStr">
        <is>
          <t>COMPLETED</t>
        </is>
      </c>
      <c r="H188" s="12" t="inlineStr">
        <is>
          <t>#34</t>
        </is>
      </c>
      <c r="I188" s="12" t="inlineStr">
        <is>
          <t>-</t>
        </is>
      </c>
    </row>
    <row r="189" ht="15" customFormat="1" customHeight="1" s="2">
      <c r="A189" s="12" t="inlineStr">
        <is>
          <t>F12.2.5</t>
        </is>
      </c>
      <c r="B189" s="10" t="n">
        <v>3</v>
      </c>
      <c r="C189" s="33" t="inlineStr">
        <is>
          <t>Rider KYC review (/admin/rider-kyc)</t>
        </is>
      </c>
      <c r="D189" s="12" t="inlineStr">
        <is>
          <t>Operator / Admin</t>
        </is>
      </c>
      <c r="E189" s="12" t="inlineStr">
        <is>
          <t>NEW-026</t>
        </is>
      </c>
      <c r="F189" s="10" t="n"/>
      <c r="G189" s="10" t="inlineStr">
        <is>
          <t>COMPLETED</t>
        </is>
      </c>
      <c r="H189" s="12" t="inlineStr">
        <is>
          <t>#85; #120</t>
        </is>
      </c>
      <c r="I189" s="12" t="inlineStr">
        <is>
          <t>Live on gokesari.com since #120 (9 Oct)</t>
        </is>
      </c>
    </row>
    <row r="190" ht="18" customFormat="1" customHeight="1" s="2">
      <c r="A190" s="28" t="inlineStr">
        <is>
          <t>F13</t>
        </is>
      </c>
      <c r="B190" s="29" t="n">
        <v>1</v>
      </c>
      <c r="C190" s="28" t="inlineStr">
        <is>
          <t>F13  Notifications and event layer</t>
        </is>
      </c>
      <c r="D190" s="28" t="inlineStr">
        <is>
          <t>System</t>
        </is>
      </c>
      <c r="E190" s="28" t="n"/>
      <c r="F190" s="29">
        <f>COUNTIFS($B$191:$B$195,3,$G$191:$G$195,"COMPLETED")&amp;" / "&amp;COUNTIF($B$191:$B$195,3)</f>
        <v/>
      </c>
      <c r="G190" s="29">
        <f>IF(COUNTIFS($B$191:$B$195,3,$G$191:$G$195,"COMPLETED")=COUNTIF($B$191:$B$195,3),"COMPLETED",IF(COUNTIFS($B$191:$B$195,3,$G$191:$G$195,"BLOCKED")&gt;0,"BLOCKED",IF(COUNTIFS($B$191:$B$195,3,$G$191:$G$195,"YET TO START")=COUNTIF($B$191:$B$195,3),"YET TO START","IN PROGRESS")))</f>
        <v/>
      </c>
      <c r="H190" s="28" t="n"/>
      <c r="I190" s="28" t="n"/>
    </row>
    <row r="191" ht="15" customFormat="1" customHeight="1" s="2">
      <c r="A191" s="30" t="inlineStr">
        <is>
          <t>F13.1</t>
        </is>
      </c>
      <c r="B191" s="31" t="n">
        <v>2</v>
      </c>
      <c r="C191" s="32" t="inlineStr">
        <is>
          <t>F13.1  Channels</t>
        </is>
      </c>
      <c r="D191" s="30" t="n"/>
      <c r="E191" s="30" t="n"/>
      <c r="F191" s="31">
        <f>COUNTIFS($B$192:$B$193,3,$G$192:$G$193,"COMPLETED")&amp;" / "&amp;COUNTIF($B$192:$B$193,3)</f>
        <v/>
      </c>
      <c r="G191" s="31">
        <f>IF(COUNTIFS($B$192:$B$193,3,$G$192:$G$193,"COMPLETED")=COUNTIF($B$192:$B$193,3),"COMPLETED",IF(COUNTIFS($B$192:$B$193,3,$G$192:$G$193,"BLOCKED")&gt;0,"BLOCKED",IF(COUNTIFS($B$192:$B$193,3,$G$192:$G$193,"YET TO START")=COUNTIF($B$192:$B$193,3),"YET TO START","IN PROGRESS")))</f>
        <v/>
      </c>
      <c r="H191" s="30" t="n"/>
      <c r="I191" s="30" t="n"/>
    </row>
    <row r="192" ht="27" customFormat="1" customHeight="1" s="2">
      <c r="A192" s="12" t="inlineStr">
        <is>
          <t>F13.1.1</t>
        </is>
      </c>
      <c r="B192" s="10" t="n">
        <v>3</v>
      </c>
      <c r="C192" s="33" t="inlineStr">
        <is>
          <t>In-app and email notifications with preferences</t>
        </is>
      </c>
      <c r="D192" s="12" t="inlineStr">
        <is>
          <t>System</t>
        </is>
      </c>
      <c r="E192" s="12" t="inlineStr">
        <is>
          <t>GS-055, NEW-016</t>
        </is>
      </c>
      <c r="F192" s="10" t="n"/>
      <c r="G192" s="10" t="inlineStr">
        <is>
          <t>COMPLETED</t>
        </is>
      </c>
      <c r="H192" s="12" t="inlineStr">
        <is>
          <t>#23; #75</t>
        </is>
      </c>
      <c r="I192" s="12" t="inlineStr">
        <is>
          <t>Mail host hourly sending cap seen on test (GAP-009)</t>
        </is>
      </c>
    </row>
    <row r="193" ht="15" customFormat="1" customHeight="1" s="2">
      <c r="A193" s="12" t="inlineStr">
        <is>
          <t>F13.1.2</t>
        </is>
      </c>
      <c r="B193" s="10" t="n">
        <v>3</v>
      </c>
      <c r="C193" s="33" t="inlineStr">
        <is>
          <t>SMS, WhatsApp and push providers</t>
        </is>
      </c>
      <c r="D193" s="12" t="inlineStr">
        <is>
          <t>System</t>
        </is>
      </c>
      <c r="E193" s="12" t="inlineStr">
        <is>
          <t>GS-074</t>
        </is>
      </c>
      <c r="F193" s="10" t="n"/>
      <c r="G193" s="10" t="inlineStr">
        <is>
          <t>BLOCKED</t>
        </is>
      </c>
      <c r="H193" s="12" t="inlineStr">
        <is>
          <t>-</t>
        </is>
      </c>
      <c r="I193" s="12" t="inlineStr">
        <is>
          <t>Waits on D2</t>
        </is>
      </c>
    </row>
    <row r="194" ht="15" customFormat="1" customHeight="1" s="2">
      <c r="A194" s="30" t="inlineStr">
        <is>
          <t>F13.2</t>
        </is>
      </c>
      <c r="B194" s="31" t="n">
        <v>2</v>
      </c>
      <c r="C194" s="32" t="inlineStr">
        <is>
          <t>F13.2  Events</t>
        </is>
      </c>
      <c r="D194" s="30" t="n"/>
      <c r="E194" s="30" t="n"/>
      <c r="F194" s="31">
        <f>COUNTIFS($B$195:$B$195,3,$G$195:$G$195,"COMPLETED")&amp;" / "&amp;COUNTIF($B$195:$B$195,3)</f>
        <v/>
      </c>
      <c r="G194" s="31">
        <f>IF(COUNTIFS($B$195:$B$195,3,$G$195:$G$195,"COMPLETED")=COUNTIF($B$195:$B$195,3),"COMPLETED",IF(COUNTIFS($B$195:$B$195,3,$G$195:$G$195,"BLOCKED")&gt;0,"BLOCKED",IF(COUNTIFS($B$195:$B$195,3,$G$195:$G$195,"YET TO START")=COUNTIF($B$195:$B$195,3),"YET TO START","IN PROGRESS")))</f>
        <v/>
      </c>
      <c r="H194" s="30" t="n"/>
      <c r="I194" s="30" t="n"/>
    </row>
    <row r="195" ht="15" customFormat="1" customHeight="1" s="2">
      <c r="A195" s="12" t="inlineStr">
        <is>
          <t>F13.2.1</t>
        </is>
      </c>
      <c r="B195" s="10" t="n">
        <v>3</v>
      </c>
      <c r="C195" s="33" t="inlineStr">
        <is>
          <t>Domain events, outbox with retries, timeout sweep</t>
        </is>
      </c>
      <c r="D195" s="12" t="inlineStr">
        <is>
          <t>System</t>
        </is>
      </c>
      <c r="E195" s="12" t="inlineStr">
        <is>
          <t>NEW-028</t>
        </is>
      </c>
      <c r="F195" s="10" t="n"/>
      <c r="G195" s="10" t="inlineStr">
        <is>
          <t>COMPLETED</t>
        </is>
      </c>
      <c r="H195" s="12" t="inlineStr">
        <is>
          <t>#89; #120</t>
        </is>
      </c>
      <c r="I195" s="12" t="inlineStr">
        <is>
          <t>Live on gokesari.com since #120 (9 Oct)</t>
        </is>
      </c>
    </row>
    <row r="196" ht="18" customFormat="1" customHeight="1" s="2">
      <c r="A196" s="28" t="inlineStr">
        <is>
          <t>F14</t>
        </is>
      </c>
      <c r="B196" s="29" t="n">
        <v>1</v>
      </c>
      <c r="C196" s="28" t="inlineStr">
        <is>
          <t>F14  Release and deployment</t>
        </is>
      </c>
      <c r="D196" s="28" t="inlineStr">
        <is>
          <t>Developer / Owner</t>
        </is>
      </c>
      <c r="E196" s="28" t="n"/>
      <c r="F196" s="29">
        <f>COUNTIFS($B$197:$B$207,3,$G$197:$G$207,"COMPLETED")&amp;" / "&amp;COUNTIF($B$197:$B$207,3)</f>
        <v/>
      </c>
      <c r="G196" s="29">
        <f>IF(COUNTIFS($B$197:$B$207,3,$G$197:$G$207,"COMPLETED")=COUNTIF($B$197:$B$207,3),"COMPLETED",IF(COUNTIFS($B$197:$B$207,3,$G$197:$G$207,"BLOCKED")&gt;0,"BLOCKED",IF(COUNTIFS($B$197:$B$207,3,$G$197:$G$207,"YET TO START")=COUNTIF($B$197:$B$207,3),"YET TO START","IN PROGRESS")))</f>
        <v/>
      </c>
      <c r="H196" s="28" t="n"/>
      <c r="I196" s="28" t="n"/>
    </row>
    <row r="197" ht="15" customFormat="1" customHeight="1" s="2">
      <c r="A197" s="30" t="inlineStr">
        <is>
          <t>F14.1</t>
        </is>
      </c>
      <c r="B197" s="31" t="n">
        <v>2</v>
      </c>
      <c r="C197" s="32" t="inlineStr">
        <is>
          <t>F14.1  Build and test</t>
        </is>
      </c>
      <c r="D197" s="30" t="n"/>
      <c r="E197" s="30" t="n"/>
      <c r="F197" s="31">
        <f>COUNTIFS($B$198:$B$202,3,$G$198:$G$202,"COMPLETED")&amp;" / "&amp;COUNTIF($B$198:$B$202,3)</f>
        <v/>
      </c>
      <c r="G197" s="31">
        <f>IF(COUNTIFS($B$198:$B$202,3,$G$198:$G$202,"COMPLETED")=COUNTIF($B$198:$B$202,3),"COMPLETED",IF(COUNTIFS($B$198:$B$202,3,$G$198:$G$202,"BLOCKED")&gt;0,"BLOCKED",IF(COUNTIFS($B$198:$B$202,3,$G$198:$G$202,"YET TO START")=COUNTIF($B$198:$B$202,3),"YET TO START","IN PROGRESS")))</f>
        <v/>
      </c>
      <c r="H197" s="30" t="n"/>
      <c r="I197" s="30" t="n"/>
    </row>
    <row r="198" ht="27" customFormat="1" customHeight="1" s="2">
      <c r="A198" s="12" t="inlineStr">
        <is>
          <t>F14.1.1</t>
        </is>
      </c>
      <c r="B198" s="10" t="n">
        <v>3</v>
      </c>
      <c r="C198" s="33" t="inlineStr">
        <is>
          <t>Feature branch -&gt; PR into staging -&gt; CI (typecheck, lint, tests, build)</t>
        </is>
      </c>
      <c r="D198" s="12" t="inlineStr">
        <is>
          <t>Developer / Owner</t>
        </is>
      </c>
      <c r="E198" s="12" t="inlineStr">
        <is>
          <t>PLT-003, QA-001</t>
        </is>
      </c>
      <c r="F198" s="10" t="n"/>
      <c r="G198" s="10" t="inlineStr">
        <is>
          <t>COMPLETED</t>
        </is>
      </c>
      <c r="H198" s="12" t="inlineStr">
        <is>
          <t>#7; #52</t>
        </is>
      </c>
      <c r="I198" s="12" t="inlineStr">
        <is>
          <t>-</t>
        </is>
      </c>
    </row>
    <row r="199" ht="27" customFormat="1" customHeight="1" s="2">
      <c r="A199" s="12" t="inlineStr">
        <is>
          <t>F14.1.2</t>
        </is>
      </c>
      <c r="B199" s="10" t="n">
        <v>3</v>
      </c>
      <c r="C199" s="33" t="inlineStr">
        <is>
          <t>Test database migrate / backup / verify through the 'Test database' workflow</t>
        </is>
      </c>
      <c r="D199" s="12" t="inlineStr">
        <is>
          <t>Developer / Owner</t>
        </is>
      </c>
      <c r="E199" s="12" t="inlineStr">
        <is>
          <t>PLT-008</t>
        </is>
      </c>
      <c r="F199" s="10" t="n"/>
      <c r="G199" s="10" t="inlineStr">
        <is>
          <t>COMPLETED</t>
        </is>
      </c>
      <c r="H199" s="12" t="inlineStr">
        <is>
          <t>#90; #94</t>
        </is>
      </c>
      <c r="I199" s="12" t="inlineStr">
        <is>
          <t>-</t>
        </is>
      </c>
    </row>
    <row r="200" ht="39" customFormat="1" customHeight="1" s="2">
      <c r="A200" s="12" t="inlineStr">
        <is>
          <t>F14.1.3</t>
        </is>
      </c>
      <c r="B200" s="10" t="n">
        <v>3</v>
      </c>
      <c r="C200" s="33" t="inlineStr">
        <is>
          <t>Execute the 791 test cases and sign off on test.gokesari.com</t>
        </is>
      </c>
      <c r="D200" s="12" t="inlineStr">
        <is>
          <t>Developer / Owner</t>
        </is>
      </c>
      <c r="E200" s="12" t="inlineStr">
        <is>
          <t>QA-003, QA-002, QA-008, QA-009</t>
        </is>
      </c>
      <c r="F200" s="10" t="n"/>
      <c r="G200" s="10" t="inlineStr">
        <is>
          <t>YET TO START</t>
        </is>
      </c>
      <c r="H200" s="12" t="inlineStr">
        <is>
          <t>#51 (framework)</t>
        </is>
      </c>
      <c r="I200" s="12" t="inlineStr">
        <is>
          <t>791-case plan still not run. Order lifecycle on staging PASS 14 Oct (QA-008); production run waits on the owner (QA-009)</t>
        </is>
      </c>
    </row>
    <row r="201" ht="15" customFormat="1" customHeight="1" s="2">
      <c r="A201" s="12" t="inlineStr">
        <is>
          <t>F14.1.4</t>
        </is>
      </c>
      <c r="B201" s="10" t="n">
        <v>3</v>
      </c>
      <c r="C201" s="33" t="inlineStr">
        <is>
          <t>Pay Cashfree sandbox checkouts from a GitHub runner for E2E runs</t>
        </is>
      </c>
      <c r="D201" s="12" t="inlineStr">
        <is>
          <t>Developer / Owner</t>
        </is>
      </c>
      <c r="E201" s="12" t="inlineStr">
        <is>
          <t>PLT-011</t>
        </is>
      </c>
      <c r="F201" s="10" t="n"/>
      <c r="G201" s="10" t="inlineStr">
        <is>
          <t>COMPLETED</t>
        </is>
      </c>
      <c r="H201" s="12" t="inlineStr">
        <is>
          <t>#102; #103</t>
        </is>
      </c>
      <c r="I201" s="12" t="inlineStr">
        <is>
          <t>-</t>
        </is>
      </c>
    </row>
    <row r="202" ht="27" customFormat="1" customHeight="1" s="2">
      <c r="A202" s="12" t="inlineStr">
        <is>
          <t>F14.1.5</t>
        </is>
      </c>
      <c r="B202" s="10" t="n">
        <v>3</v>
      </c>
      <c r="C202" s="33" t="inlineStr">
        <is>
          <t>Browser test run of the four features + regression recorded step by step</t>
        </is>
      </c>
      <c r="D202" s="12" t="inlineStr">
        <is>
          <t>Developer / Owner</t>
        </is>
      </c>
      <c r="E202" s="12" t="inlineStr">
        <is>
          <t>QA-004</t>
        </is>
      </c>
      <c r="F202" s="10" t="n"/>
      <c r="G202" s="10" t="inlineStr">
        <is>
          <t>COMPLETED</t>
        </is>
      </c>
      <c r="H202" s="12" t="inlineStr">
        <is>
          <t>#103; #104</t>
        </is>
      </c>
      <c r="I202" s="12" t="inlineStr">
        <is>
          <t>All PASS; 3 fixes re-checked</t>
        </is>
      </c>
    </row>
    <row r="203" ht="15" customFormat="1" customHeight="1" s="2">
      <c r="A203" s="30" t="inlineStr">
        <is>
          <t>F14.2</t>
        </is>
      </c>
      <c r="B203" s="31" t="n">
        <v>2</v>
      </c>
      <c r="C203" s="32" t="inlineStr">
        <is>
          <t>F14.2  Release</t>
        </is>
      </c>
      <c r="D203" s="30" t="n"/>
      <c r="E203" s="30" t="n"/>
      <c r="F203" s="31">
        <f>COUNTIFS($B$204:$B$207,3,$G$204:$G$207,"COMPLETED")&amp;" / "&amp;COUNTIF($B$204:$B$207,3)</f>
        <v/>
      </c>
      <c r="G203" s="31">
        <f>IF(COUNTIFS($B$204:$B$207,3,$G$204:$G$207,"COMPLETED")=COUNTIF($B$204:$B$207,3),"COMPLETED",IF(COUNTIFS($B$204:$B$207,3,$G$204:$G$207,"BLOCKED")&gt;0,"BLOCKED",IF(COUNTIFS($B$204:$B$207,3,$G$204:$G$207,"YET TO START")=COUNTIF($B$204:$B$207,3),"YET TO START","IN PROGRESS")))</f>
        <v/>
      </c>
      <c r="H203" s="30" t="n"/>
      <c r="I203" s="30" t="n"/>
    </row>
    <row r="204" ht="27" customFormat="1" customHeight="1" s="2">
      <c r="A204" s="12" t="inlineStr">
        <is>
          <t>F14.2.1</t>
        </is>
      </c>
      <c r="B204" s="10" t="n">
        <v>3</v>
      </c>
      <c r="C204" s="33" t="inlineStr">
        <is>
          <t>Migrate production through the 'Production database' workflow</t>
        </is>
      </c>
      <c r="D204" s="12" t="inlineStr">
        <is>
          <t>Developer / Owner</t>
        </is>
      </c>
      <c r="E204" s="12" t="inlineStr">
        <is>
          <t>PLT-009</t>
        </is>
      </c>
      <c r="F204" s="10" t="n"/>
      <c r="G204" s="10" t="inlineStr">
        <is>
          <t>BLOCKED</t>
        </is>
      </c>
      <c r="H204" s="12" t="inlineStr">
        <is>
          <t>#93; #118</t>
        </is>
      </c>
      <c r="I204" s="12" t="inlineStr">
        <is>
          <t>Still blocked: PROD_DATABASE_URL not visible to Actions (nine runs got an empty value)</t>
        </is>
      </c>
    </row>
    <row r="205" ht="39" customFormat="1" customHeight="1" s="2">
      <c r="A205" s="12" t="inlineStr">
        <is>
          <t>F14.2.2</t>
        </is>
      </c>
      <c r="B205" s="10" t="n">
        <v>3</v>
      </c>
      <c r="C205" s="33" t="inlineStr">
        <is>
          <t>Promote staging -&gt; main (deploys gokesari.com)</t>
        </is>
      </c>
      <c r="D205" s="12" t="inlineStr">
        <is>
          <t>Developer / Owner</t>
        </is>
      </c>
      <c r="E205" s="12" t="inlineStr">
        <is>
          <t>PLT-006, PLT-007</t>
        </is>
      </c>
      <c r="F205" s="10" t="n"/>
      <c r="G205" s="10" t="inlineStr">
        <is>
          <t>COMPLETED</t>
        </is>
      </c>
      <c r="H205" s="12" t="inlineStr">
        <is>
          <t>#86 reverted by #87; #120</t>
        </is>
      </c>
      <c r="I205" s="12" t="inlineStr">
        <is>
          <t>#120 merged 9 Oct 14:06 UTC: migrations 0056-0073 applied by MIGRATE_ON_BUILD, then the new code went live; verified 14:55 UTC</t>
        </is>
      </c>
    </row>
    <row r="206" ht="27" customFormat="1" customHeight="1" s="2">
      <c r="A206" s="12" t="inlineStr">
        <is>
          <t>F14.2.3</t>
        </is>
      </c>
      <c r="B206" s="10" t="n">
        <v>3</v>
      </c>
      <c r="C206" s="33" t="inlineStr">
        <is>
          <t>Copy real shops from the test site to production</t>
        </is>
      </c>
      <c r="D206" s="12" t="inlineStr">
        <is>
          <t>Developer / Owner</t>
        </is>
      </c>
      <c r="E206" s="12" t="inlineStr">
        <is>
          <t>PLT-018</t>
        </is>
      </c>
      <c r="F206" s="10" t="n"/>
      <c r="G206" s="10" t="inlineStr">
        <is>
          <t>COMPLETED</t>
        </is>
      </c>
      <c r="H206" s="12" t="inlineStr">
        <is>
          <t>#140; #144; #156</t>
        </is>
      </c>
      <c r="I206" s="12" t="inlineStr">
        <is>
          <t>Used once: 5 shops, 12-13 Oct (SQL in the Neon console)</t>
        </is>
      </c>
    </row>
    <row r="207" ht="39" customFormat="1" customHeight="1" s="2">
      <c r="A207" s="12" t="inlineStr">
        <is>
          <t>F14.2.4</t>
        </is>
      </c>
      <c r="B207" s="10" t="n">
        <v>3</v>
      </c>
      <c r="C207" s="33" t="inlineStr">
        <is>
          <t>Split production into seller and customer databases</t>
        </is>
      </c>
      <c r="D207" s="12" t="inlineStr">
        <is>
          <t>Developer / Owner</t>
        </is>
      </c>
      <c r="E207" s="12" t="inlineStr">
        <is>
          <t>PLT-015</t>
        </is>
      </c>
      <c r="F207" s="10" t="n"/>
      <c r="G207" s="10" t="inlineStr">
        <is>
          <t>IN PROGRESS</t>
        </is>
      </c>
      <c r="H207" s="12" t="inlineStr">
        <is>
          <t>#146-#162</t>
        </is>
      </c>
      <c r="I207" s="12" t="inlineStr">
        <is>
          <t>Test split PASS 13 Oct; production copy PASS 14 Oct (run 19) - check the split secrets; site still single-database</t>
        </is>
      </c>
    </row>
    <row r="208" ht="18" customFormat="1" customHeight="1" s="2">
      <c r="A208" s="28" t="inlineStr">
        <is>
          <t>F15</t>
        </is>
      </c>
      <c r="B208" s="29" t="n">
        <v>1</v>
      </c>
      <c r="C208" s="28" t="inlineStr">
        <is>
          <t>F15  Mobile app (Android and iPhone)</t>
        </is>
      </c>
      <c r="D208" s="28" t="inlineStr">
        <is>
          <t>Customer / all roles</t>
        </is>
      </c>
      <c r="E208" s="28" t="n"/>
      <c r="F208" s="29">
        <f>COUNTIFS($B$209:$B$217,3,$G$209:$G$217,"COMPLETED")&amp;" / "&amp;COUNTIF($B$209:$B$217,3)</f>
        <v/>
      </c>
      <c r="G208" s="29">
        <f>IF(COUNTIFS($B$209:$B$217,3,$G$209:$G$217,"COMPLETED")=COUNTIF($B$209:$B$217,3),"COMPLETED",IF(COUNTIFS($B$209:$B$217,3,$G$209:$G$217,"BLOCKED")&gt;0,"BLOCKED",IF(COUNTIFS($B$209:$B$217,3,$G$209:$G$217,"YET TO START")=COUNTIF($B$209:$B$217,3),"YET TO START","IN PROGRESS")))</f>
        <v/>
      </c>
      <c r="H208" s="28" t="n"/>
      <c r="I208" s="28" t="n"/>
    </row>
    <row r="209" ht="15" customFormat="1" customHeight="1" s="2">
      <c r="A209" s="30" t="inlineStr">
        <is>
          <t>F15.1</t>
        </is>
      </c>
      <c r="B209" s="31" t="n">
        <v>2</v>
      </c>
      <c r="C209" s="32" t="inlineStr">
        <is>
          <t>F15.1  Install</t>
        </is>
      </c>
      <c r="D209" s="30" t="n"/>
      <c r="E209" s="30" t="n"/>
      <c r="F209" s="31">
        <f>COUNTIFS($B$210:$B$213,3,$G$210:$G$213,"COMPLETED")&amp;" / "&amp;COUNTIF($B$210:$B$213,3)</f>
        <v/>
      </c>
      <c r="G209" s="31">
        <f>IF(COUNTIFS($B$210:$B$213,3,$G$210:$G$213,"COMPLETED")=COUNTIF($B$210:$B$213,3),"COMPLETED",IF(COUNTIFS($B$210:$B$213,3,$G$210:$G$213,"BLOCKED")&gt;0,"BLOCKED",IF(COUNTIFS($B$210:$B$213,3,$G$210:$G$213,"YET TO START")=COUNTIF($B$210:$B$213,3),"YET TO START","IN PROGRESS")))</f>
        <v/>
      </c>
      <c r="H209" s="30" t="n"/>
      <c r="I209" s="30" t="n"/>
    </row>
    <row r="210" ht="27" customFormat="1" customHeight="1" s="2">
      <c r="A210" s="12" t="inlineStr">
        <is>
          <t>F15.1.1</t>
        </is>
      </c>
      <c r="B210" s="10" t="n">
        <v>3</v>
      </c>
      <c r="C210" s="33" t="inlineStr">
        <is>
          <t>Android: download the test APK from GitHub Actions and install</t>
        </is>
      </c>
      <c r="D210" s="12" t="inlineStr">
        <is>
          <t>Customer / all roles</t>
        </is>
      </c>
      <c r="E210" s="12" t="inlineStr">
        <is>
          <t>NEW-043, PLT-010</t>
        </is>
      </c>
      <c r="F210" s="10" t="n"/>
      <c r="G210" s="10" t="inlineStr">
        <is>
          <t>COMPLETED</t>
        </is>
      </c>
      <c r="H210" s="12" t="inlineStr">
        <is>
          <t>#100</t>
        </is>
      </c>
      <c r="I210" s="12" t="inlineStr">
        <is>
          <t>Test signing key - not a store build</t>
        </is>
      </c>
    </row>
    <row r="211" ht="27" customFormat="1" customHeight="1" s="2">
      <c r="A211" s="12" t="inlineStr">
        <is>
          <t>F15.1.2</t>
        </is>
      </c>
      <c r="B211" s="10" t="n">
        <v>3</v>
      </c>
      <c r="C211" s="33" t="inlineStr">
        <is>
          <t>iPhone: add gokesari.com to the home screen from Safari (full-screen, Back button)</t>
        </is>
      </c>
      <c r="D211" s="12" t="inlineStr">
        <is>
          <t>Customer / all roles</t>
        </is>
      </c>
      <c r="E211" s="12" t="inlineStr">
        <is>
          <t>NEW-045</t>
        </is>
      </c>
      <c r="F211" s="10" t="n"/>
      <c r="G211" s="10" t="inlineStr">
        <is>
          <t>COMPLETED</t>
        </is>
      </c>
      <c r="H211" s="12" t="inlineStr">
        <is>
          <t>#100</t>
        </is>
      </c>
      <c r="I211" s="12" t="inlineStr">
        <is>
          <t>Live on gokesari.com</t>
        </is>
      </c>
    </row>
    <row r="212" ht="27" customFormat="1" customHeight="1" s="2">
      <c r="A212" s="12" t="inlineStr">
        <is>
          <t>F15.1.3</t>
        </is>
      </c>
      <c r="B212" s="10" t="n">
        <v>3</v>
      </c>
      <c r="C212" s="33" t="inlineStr">
        <is>
          <t>Publish on Google Play</t>
        </is>
      </c>
      <c r="D212" s="12" t="inlineStr">
        <is>
          <t>Owner</t>
        </is>
      </c>
      <c r="E212" s="12" t="inlineStr">
        <is>
          <t>NEW-043</t>
        </is>
      </c>
      <c r="F212" s="10" t="n"/>
      <c r="G212" s="10" t="inlineStr">
        <is>
          <t>BLOCKED</t>
        </is>
      </c>
      <c r="H212" s="12" t="inlineStr">
        <is>
          <t>-</t>
        </is>
      </c>
      <c r="I212" s="12" t="inlineStr">
        <is>
          <t>Waits on Expo/EAS project + Google Play Console account</t>
        </is>
      </c>
    </row>
    <row r="213" ht="27" customFormat="1" customHeight="1" s="2">
      <c r="A213" s="12" t="inlineStr">
        <is>
          <t>F15.1.4</t>
        </is>
      </c>
      <c r="B213" s="10" t="n">
        <v>3</v>
      </c>
      <c r="C213" s="33" t="inlineStr">
        <is>
          <t>Publish on the App Store (or install a native build on an iPhone)</t>
        </is>
      </c>
      <c r="D213" s="12" t="inlineStr">
        <is>
          <t>Owner</t>
        </is>
      </c>
      <c r="E213" s="12" t="inlineStr">
        <is>
          <t>NEW-043</t>
        </is>
      </c>
      <c r="F213" s="10" t="n"/>
      <c r="G213" s="10" t="inlineStr">
        <is>
          <t>BLOCKED</t>
        </is>
      </c>
      <c r="H213" s="12" t="inlineStr">
        <is>
          <t>#153; #157</t>
        </is>
      </c>
      <c r="I213" s="12" t="inlineStr">
        <is>
          <t>'iPhone app' workflow ready (PLT-017); waits on the Apple Developer account and secrets</t>
        </is>
      </c>
    </row>
    <row r="214" ht="15" customFormat="1" customHeight="1" s="2">
      <c r="A214" s="30" t="inlineStr">
        <is>
          <t>F15.2</t>
        </is>
      </c>
      <c r="B214" s="31" t="n">
        <v>2</v>
      </c>
      <c r="C214" s="32" t="inlineStr">
        <is>
          <t>F15.2  Use</t>
        </is>
      </c>
      <c r="D214" s="30" t="n"/>
      <c r="E214" s="30" t="n"/>
      <c r="F214" s="31">
        <f>COUNTIFS($B$215:$B$217,3,$G$215:$G$217,"COMPLETED")&amp;" / "&amp;COUNTIF($B$215:$B$217,3)</f>
        <v/>
      </c>
      <c r="G214" s="31">
        <f>IF(COUNTIFS($B$215:$B$217,3,$G$215:$G$217,"COMPLETED")=COUNTIF($B$215:$B$217,3),"COMPLETED",IF(COUNTIFS($B$215:$B$217,3,$G$215:$G$217,"BLOCKED")&gt;0,"BLOCKED",IF(COUNTIFS($B$215:$B$217,3,$G$215:$G$217,"YET TO START")=COUNTIF($B$215:$B$217,3),"YET TO START","IN PROGRESS")))</f>
        <v/>
      </c>
      <c r="H214" s="30" t="n"/>
      <c r="I214" s="30" t="n"/>
    </row>
    <row r="215" ht="27" customFormat="1" customHeight="1" s="2">
      <c r="A215" s="12" t="inlineStr">
        <is>
          <t>F15.2.1</t>
        </is>
      </c>
      <c r="B215" s="10" t="n">
        <v>3</v>
      </c>
      <c r="C215" s="33" t="inlineStr">
        <is>
          <t>Every website feature in the app, with native location, camera, downloads, print, share and offline screen</t>
        </is>
      </c>
      <c r="D215" s="12" t="inlineStr">
        <is>
          <t>Customer / all roles</t>
        </is>
      </c>
      <c r="E215" s="12" t="inlineStr">
        <is>
          <t>NEW-043</t>
        </is>
      </c>
      <c r="F215" s="10" t="n"/>
      <c r="G215" s="10" t="inlineStr">
        <is>
          <t>COMPLETED</t>
        </is>
      </c>
      <c r="H215" s="12" t="inlineStr">
        <is>
          <t>#100</t>
        </is>
      </c>
      <c r="I215" s="12" t="inlineStr">
        <is>
          <t>-</t>
        </is>
      </c>
    </row>
    <row r="216" ht="27" customFormat="1" customHeight="1" s="2">
      <c r="A216" s="12" t="inlineStr">
        <is>
          <t>F15.2.2</t>
        </is>
      </c>
      <c r="B216" s="10" t="n">
        <v>3</v>
      </c>
      <c r="C216" s="33" t="inlineStr">
        <is>
          <t>Continue with Google from the app (system browser hand-off)</t>
        </is>
      </c>
      <c r="D216" s="12" t="inlineStr">
        <is>
          <t>Customer / all roles</t>
        </is>
      </c>
      <c r="E216" s="12" t="inlineStr">
        <is>
          <t>NEW-044</t>
        </is>
      </c>
      <c r="F216" s="10" t="n"/>
      <c r="G216" s="10" t="inlineStr">
        <is>
          <t>COMPLETED</t>
        </is>
      </c>
      <c r="H216" s="12" t="inlineStr">
        <is>
          <t>#100</t>
        </is>
      </c>
      <c r="I216" s="12" t="inlineStr">
        <is>
          <t>-</t>
        </is>
      </c>
    </row>
    <row r="217" ht="27" customFormat="1" customHeight="1" s="2">
      <c r="A217" s="12" t="inlineStr">
        <is>
          <t>F15.2.3</t>
        </is>
      </c>
      <c r="B217" s="10" t="n">
        <v>3</v>
      </c>
      <c r="C217" s="33" t="inlineStr">
        <is>
          <t>gokesari.com links open the app (deep links)</t>
        </is>
      </c>
      <c r="D217" s="12" t="inlineStr">
        <is>
          <t>Customer / all roles</t>
        </is>
      </c>
      <c r="E217" s="12" t="inlineStr">
        <is>
          <t>NEW-044</t>
        </is>
      </c>
      <c r="F217" s="10" t="n"/>
      <c r="G217" s="10" t="inlineStr">
        <is>
          <t>YET TO START</t>
        </is>
      </c>
      <c r="H217" s="12" t="inlineStr">
        <is>
          <t>#100 (code)</t>
        </is>
      </c>
      <c r="I217" s="12" t="inlineStr">
        <is>
          <t>Needs signing fingerprints after the first store build</t>
        </is>
      </c>
    </row>
  </sheetData>
  <autoFilter ref="A4:I217"/>
  <mergeCells count="1">
    <mergeCell ref="A2:I2"/>
  </mergeCells>
  <conditionalFormatting sqref="G5:G217">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dataValidations count="45">
    <dataValidation sqref="G100" showDropDown="0" showInputMessage="0" showErrorMessage="0" allowBlank="0" type="list">
      <formula1>"COMPLETED,IN PROGRESS,YET TO START,BLOCKED"</formula1>
    </dataValidation>
    <dataValidation sqref="G102:G104" showDropDown="0" showInputMessage="0" showErrorMessage="0" allowBlank="0" type="list">
      <formula1>"COMPLETED,IN PROGRESS,YET TO START,BLOCKED"</formula1>
    </dataValidation>
    <dataValidation sqref="G106:G108" showDropDown="0" showInputMessage="0" showErrorMessage="0" allowBlank="0" type="list">
      <formula1>"COMPLETED,IN PROGRESS,YET TO START,BLOCKED"</formula1>
    </dataValidation>
    <dataValidation sqref="G11:G12" showDropDown="0" showInputMessage="0" showErrorMessage="0" allowBlank="0" type="list">
      <formula1>"COMPLETED,IN PROGRESS,YET TO START,BLOCKED"</formula1>
    </dataValidation>
    <dataValidation sqref="G110" showDropDown="0" showInputMessage="0" showErrorMessage="0" allowBlank="0" type="list">
      <formula1>"COMPLETED,IN PROGRESS,YET TO START,BLOCKED"</formula1>
    </dataValidation>
    <dataValidation sqref="G113" showDropDown="0" showInputMessage="0" showErrorMessage="0" allowBlank="0" type="list">
      <formula1>"COMPLETED,IN PROGRESS,YET TO START,BLOCKED"</formula1>
    </dataValidation>
    <dataValidation sqref="G115" showDropDown="0" showInputMessage="0" showErrorMessage="0" allowBlank="0" type="list">
      <formula1>"COMPLETED,IN PROGRESS,YET TO START,BLOCKED"</formula1>
    </dataValidation>
    <dataValidation sqref="G117:G119" showDropDown="0" showInputMessage="0" showErrorMessage="0" allowBlank="0" type="list">
      <formula1>"COMPLETED,IN PROGRESS,YET TO START,BLOCKED"</formula1>
    </dataValidation>
    <dataValidation sqref="G122:G125" showDropDown="0" showInputMessage="0" showErrorMessage="0" allowBlank="0" type="list">
      <formula1>"COMPLETED,IN PROGRESS,YET TO START,BLOCKED"</formula1>
    </dataValidation>
    <dataValidation sqref="G127:G133" showDropDown="0" showInputMessage="0" showErrorMessage="0" allowBlank="0" type="list">
      <formula1>"COMPLETED,IN PROGRESS,YET TO START,BLOCKED"</formula1>
    </dataValidation>
    <dataValidation sqref="G135:G138" showDropDown="0" showInputMessage="0" showErrorMessage="0" allowBlank="0" type="list">
      <formula1>"COMPLETED,IN PROGRESS,YET TO START,BLOCKED"</formula1>
    </dataValidation>
    <dataValidation sqref="G14:G17" showDropDown="0" showInputMessage="0" showErrorMessage="0" allowBlank="0" type="list">
      <formula1>"COMPLETED,IN PROGRESS,YET TO START,BLOCKED"</formula1>
    </dataValidation>
    <dataValidation sqref="G140:G143" showDropDown="0" showInputMessage="0" showErrorMessage="0" allowBlank="0" type="list">
      <formula1>"COMPLETED,IN PROGRESS,YET TO START,BLOCKED"</formula1>
    </dataValidation>
    <dataValidation sqref="G146:G149" showDropDown="0" showInputMessage="0" showErrorMessage="0" allowBlank="0" type="list">
      <formula1>"COMPLETED,IN PROGRESS,YET TO START,BLOCKED"</formula1>
    </dataValidation>
    <dataValidation sqref="G151:G157" showDropDown="0" showInputMessage="0" showErrorMessage="0" allowBlank="0" type="list">
      <formula1>"COMPLETED,IN PROGRESS,YET TO START,BLOCKED"</formula1>
    </dataValidation>
    <dataValidation sqref="G160:G162" showDropDown="0" showInputMessage="0" showErrorMessage="0" allowBlank="0" type="list">
      <formula1>"COMPLETED,IN PROGRESS,YET TO START,BLOCKED"</formula1>
    </dataValidation>
    <dataValidation sqref="G164:G169" showDropDown="0" showInputMessage="0" showErrorMessage="0" allowBlank="0" type="list">
      <formula1>"COMPLETED,IN PROGRESS,YET TO START,BLOCKED"</formula1>
    </dataValidation>
    <dataValidation sqref="G172:G173" showDropDown="0" showInputMessage="0" showErrorMessage="0" allowBlank="0" type="list">
      <formula1>"COMPLETED,IN PROGRESS,YET TO START,BLOCKED"</formula1>
    </dataValidation>
    <dataValidation sqref="G175:G177" showDropDown="0" showInputMessage="0" showErrorMessage="0" allowBlank="0" type="list">
      <formula1>"COMPLETED,IN PROGRESS,YET TO START,BLOCKED"</formula1>
    </dataValidation>
    <dataValidation sqref="G180:G183" showDropDown="0" showInputMessage="0" showErrorMessage="0" allowBlank="0" type="list">
      <formula1>"COMPLETED,IN PROGRESS,YET TO START,BLOCKED"</formula1>
    </dataValidation>
    <dataValidation sqref="G185:G189" showDropDown="0" showInputMessage="0" showErrorMessage="0" allowBlank="0" type="list">
      <formula1>"COMPLETED,IN PROGRESS,YET TO START,BLOCKED"</formula1>
    </dataValidation>
    <dataValidation sqref="G19:G21" showDropDown="0" showInputMessage="0" showErrorMessage="0" allowBlank="0" type="list">
      <formula1>"COMPLETED,IN PROGRESS,YET TO START,BLOCKED"</formula1>
    </dataValidation>
    <dataValidation sqref="G192:G193" showDropDown="0" showInputMessage="0" showErrorMessage="0" allowBlank="0" type="list">
      <formula1>"COMPLETED,IN PROGRESS,YET TO START,BLOCKED"</formula1>
    </dataValidation>
    <dataValidation sqref="G195" showDropDown="0" showInputMessage="0" showErrorMessage="0" allowBlank="0" type="list">
      <formula1>"COMPLETED,IN PROGRESS,YET TO START,BLOCKED"</formula1>
    </dataValidation>
    <dataValidation sqref="G198:G202" showDropDown="0" showInputMessage="0" showErrorMessage="0" allowBlank="0" type="list">
      <formula1>"COMPLETED,IN PROGRESS,YET TO START,BLOCKED"</formula1>
    </dataValidation>
    <dataValidation sqref="G204:G207" showDropDown="0" showInputMessage="0" showErrorMessage="0" allowBlank="0" type="list">
      <formula1>"COMPLETED,IN PROGRESS,YET TO START,BLOCKED"</formula1>
    </dataValidation>
    <dataValidation sqref="G210:G213" showDropDown="0" showInputMessage="0" showErrorMessage="0" allowBlank="0" type="list">
      <formula1>"COMPLETED,IN PROGRESS,YET TO START,BLOCKED"</formula1>
    </dataValidation>
    <dataValidation sqref="G215:G217" showDropDown="0" showInputMessage="0" showErrorMessage="0" allowBlank="0" type="list">
      <formula1>"COMPLETED,IN PROGRESS,YET TO START,BLOCKED"</formula1>
    </dataValidation>
    <dataValidation sqref="G23:G27" showDropDown="0" showInputMessage="0" showErrorMessage="0" allowBlank="0" type="list">
      <formula1>"COMPLETED,IN PROGRESS,YET TO START,BLOCKED"</formula1>
    </dataValidation>
    <dataValidation sqref="G29:G31" showDropDown="0" showInputMessage="0" showErrorMessage="0" allowBlank="0" type="list">
      <formula1>"COMPLETED,IN PROGRESS,YET TO START,BLOCKED"</formula1>
    </dataValidation>
    <dataValidation sqref="G33:G35" showDropDown="0" showInputMessage="0" showErrorMessage="0" allowBlank="0" type="list">
      <formula1>"COMPLETED,IN PROGRESS,YET TO START,BLOCKED"</formula1>
    </dataValidation>
    <dataValidation sqref="G37:G41" showDropDown="0" showInputMessage="0" showErrorMessage="0" allowBlank="0" type="list">
      <formula1>"COMPLETED,IN PROGRESS,YET TO START,BLOCKED"</formula1>
    </dataValidation>
    <dataValidation sqref="G43:G48" showDropDown="0" showInputMessage="0" showErrorMessage="0" allowBlank="0" type="list">
      <formula1>"COMPLETED,IN PROGRESS,YET TO START,BLOCKED"</formula1>
    </dataValidation>
    <dataValidation sqref="G51:G54" showDropDown="0" showInputMessage="0" showErrorMessage="0" allowBlank="0" type="list">
      <formula1>"COMPLETED,IN PROGRESS,YET TO START,BLOCKED"</formula1>
    </dataValidation>
    <dataValidation sqref="G56:G60" showDropDown="0" showInputMessage="0" showErrorMessage="0" allowBlank="0" type="list">
      <formula1>"COMPLETED,IN PROGRESS,YET TO START,BLOCKED"</formula1>
    </dataValidation>
    <dataValidation sqref="G63:G64" showDropDown="0" showInputMessage="0" showErrorMessage="0" allowBlank="0" type="list">
      <formula1>"COMPLETED,IN PROGRESS,YET TO START,BLOCKED"</formula1>
    </dataValidation>
    <dataValidation sqref="G66:G68" showDropDown="0" showInputMessage="0" showErrorMessage="0" allowBlank="0" type="list">
      <formula1>"COMPLETED,IN PROGRESS,YET TO START,BLOCKED"</formula1>
    </dataValidation>
    <dataValidation sqref="G7:G9" showDropDown="0" showInputMessage="0" showErrorMessage="0" allowBlank="0" type="list">
      <formula1>"COMPLETED,IN PROGRESS,YET TO START,BLOCKED"</formula1>
    </dataValidation>
    <dataValidation sqref="G70:G71" showDropDown="0" showInputMessage="0" showErrorMessage="0" allowBlank="0" type="list">
      <formula1>"COMPLETED,IN PROGRESS,YET TO START,BLOCKED"</formula1>
    </dataValidation>
    <dataValidation sqref="G74:G76" showDropDown="0" showInputMessage="0" showErrorMessage="0" allowBlank="0" type="list">
      <formula1>"COMPLETED,IN PROGRESS,YET TO START,BLOCKED"</formula1>
    </dataValidation>
    <dataValidation sqref="G78:G84" showDropDown="0" showInputMessage="0" showErrorMessage="0" allowBlank="0" type="list">
      <formula1>"COMPLETED,IN PROGRESS,YET TO START,BLOCKED"</formula1>
    </dataValidation>
    <dataValidation sqref="G87:G88" showDropDown="0" showInputMessage="0" showErrorMessage="0" allowBlank="0" type="list">
      <formula1>"COMPLETED,IN PROGRESS,YET TO START,BLOCKED"</formula1>
    </dataValidation>
    <dataValidation sqref="G90:G92" showDropDown="0" showInputMessage="0" showErrorMessage="0" allowBlank="0" type="list">
      <formula1>"COMPLETED,IN PROGRESS,YET TO START,BLOCKED"</formula1>
    </dataValidation>
    <dataValidation sqref="G94:G95" showDropDown="0" showInputMessage="0" showErrorMessage="0" allowBlank="0" type="list">
      <formula1>"COMPLETED,IN PROGRESS,YET TO START,BLOCKED"</formula1>
    </dataValidation>
    <dataValidation sqref="G98:G100" showDropDown="0" showInputMessage="0" showErrorMessage="0" allowBlank="0" type="list">
      <formula1>"COMPLETED,IN PROGRESS,YET TO START,BLOCKED"</formula1>
    </dataValidation>
  </dataValidation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6.xml><?xml version="1.0" encoding="utf-8"?>
<worksheet xmlns="http://schemas.openxmlformats.org/spreadsheetml/2006/main">
  <sheetPr>
    <tabColor rgb="FF1D4ED8"/>
    <outlinePr summaryBelow="1" summaryRight="1"/>
    <pageSetUpPr fitToPage="1"/>
  </sheetPr>
  <dimension ref="A1:L189"/>
  <sheetViews>
    <sheetView view="normal" zoomScale="90" zoomScaleNormal="90" workbookViewId="0">
      <pane xSplit="2" ySplit="1" topLeftCell="C2" activePane="bottomRight" state="frozen"/>
      <selection pane="bottomRight" activeCell="A1" sqref="A1"/>
    </sheetView>
  </sheetViews>
  <sheetFormatPr baseColWidth="8" defaultColWidth="8.6796875" defaultRowHeight="15" outlineLevelRow="0"/>
  <cols>
    <col width="7" customWidth="1" style="1" min="1" max="1"/>
    <col width="52" customWidth="1" style="1" min="2" max="2"/>
    <col width="18" customWidth="1" style="1" min="3" max="3"/>
    <col width="36" customWidth="1" style="1" min="4" max="4"/>
    <col width="26" customWidth="1" style="1" min="5" max="5"/>
    <col width="15" customWidth="1" style="1" min="6" max="6"/>
    <col width="11" customWidth="1" style="1" min="7" max="7"/>
    <col width="13" customWidth="1" style="1" min="8" max="8"/>
    <col width="34" customWidth="1" style="1" min="9" max="10"/>
    <col width="24" customWidth="1" style="1" min="11" max="11"/>
    <col width="50" customWidth="1" style="1" min="12" max="12"/>
  </cols>
  <sheetData>
    <row r="1" ht="30" customFormat="1" customHeight="1" s="2">
      <c r="A1" s="6" t="inlineStr">
        <is>
          <t>PR #</t>
        </is>
      </c>
      <c r="B1" s="6" t="inlineStr">
        <is>
          <t>Title</t>
        </is>
      </c>
      <c r="C1" s="6" t="inlineStr">
        <is>
          <t>Type</t>
        </is>
      </c>
      <c r="D1" s="6" t="inlineStr">
        <is>
          <t>Branch (head -&gt; base)</t>
        </is>
      </c>
      <c r="E1" s="6" t="inlineStr">
        <is>
          <t>Target</t>
        </is>
      </c>
      <c r="F1" s="6" t="inlineStr">
        <is>
          <t>State</t>
        </is>
      </c>
      <c r="G1" s="6" t="inlineStr">
        <is>
          <t>Created</t>
        </is>
      </c>
      <c r="H1" s="6" t="inlineStr">
        <is>
          <t>Merged / closed</t>
        </is>
      </c>
      <c r="I1" s="6" t="inlineStr">
        <is>
          <t>Features built / extended</t>
        </is>
      </c>
      <c r="J1" s="6" t="inlineStr">
        <is>
          <t>Features released to production</t>
        </is>
      </c>
      <c r="K1" s="6" t="inlineStr">
        <is>
          <t>Released to production via</t>
        </is>
      </c>
      <c r="L1" s="6" t="inlineStr">
        <is>
          <t>Notes</t>
        </is>
      </c>
    </row>
    <row r="2" ht="27" customFormat="1" customHeight="1" s="2">
      <c r="A2" s="34" t="inlineStr">
        <is>
          <t>1</t>
        </is>
      </c>
      <c r="B2" s="12" t="inlineStr">
        <is>
          <t>Add the Product Master Data Platform (pilot)</t>
        </is>
      </c>
      <c r="C2" s="12" t="inlineStr">
        <is>
          <t>Feature</t>
        </is>
      </c>
      <c r="D2" s="12" t="inlineStr">
        <is>
          <t>feature/product-master-platform -&gt; main</t>
        </is>
      </c>
      <c r="E2" s="12" t="inlineStr">
        <is>
          <t>Production (main -&gt; gokesari.com)</t>
        </is>
      </c>
      <c r="F2" s="12" t="inlineStr">
        <is>
          <t>Closed - not merged</t>
        </is>
      </c>
      <c r="G2" s="12" t="inlineStr">
        <is>
          <t>2026-09-20</t>
        </is>
      </c>
      <c r="H2" s="12" t="inlineStr">
        <is>
          <t>2026-09-21</t>
        </is>
      </c>
      <c r="I2" s="12" t="inlineStr">
        <is>
          <t>PMD-001</t>
        </is>
      </c>
      <c r="J2" s="12" t="inlineStr">
        <is>
          <t>-</t>
        </is>
      </c>
      <c r="K2" s="12" t="inlineStr">
        <is>
          <t>-</t>
        </is>
      </c>
      <c r="L2" s="12" t="inlineStr">
        <is>
          <t>Superseded by #4 (closed unmerged).</t>
        </is>
      </c>
    </row>
    <row r="3" ht="27" customFormat="1" customHeight="1" s="2">
      <c r="A3" s="34" t="inlineStr">
        <is>
          <t>2</t>
        </is>
      </c>
      <c r="B3" s="12" t="inlineStr">
        <is>
          <t>Add GS1 India and manufacturer-catalogue connectors (Excel, mapping templates)</t>
        </is>
      </c>
      <c r="C3" s="12" t="inlineStr">
        <is>
          <t>Feature</t>
        </is>
      </c>
      <c r="D3" s="12" t="inlineStr">
        <is>
          <t>feature/pmd-gs1-manufacturer-feeds -&gt; feature/product-master-platform</t>
        </is>
      </c>
      <c r="E3" s="12" t="inlineStr">
        <is>
          <t>Stacked on feature/product-master-platform</t>
        </is>
      </c>
      <c r="F3" s="12" t="inlineStr">
        <is>
          <t>Closed - not merged</t>
        </is>
      </c>
      <c r="G3" s="12" t="inlineStr">
        <is>
          <t>2026-09-20</t>
        </is>
      </c>
      <c r="H3" s="12" t="inlineStr">
        <is>
          <t>2026-09-21</t>
        </is>
      </c>
      <c r="I3" s="12" t="inlineStr">
        <is>
          <t>PMD-002</t>
        </is>
      </c>
      <c r="J3" s="12" t="inlineStr">
        <is>
          <t>-</t>
        </is>
      </c>
      <c r="K3" s="12" t="inlineStr">
        <is>
          <t>-</t>
        </is>
      </c>
      <c r="L3" s="12" t="inlineStr">
        <is>
          <t>Stacked on #1; superseded by #4.</t>
        </is>
      </c>
    </row>
    <row r="4" ht="27" customFormat="1" customHeight="1" s="2">
      <c r="A4" s="34" t="inlineStr">
        <is>
          <t>3</t>
        </is>
      </c>
      <c r="B4" s="12" t="inlineStr">
        <is>
          <t>PMD: loader rework for scale (bulk path, workers, dashboard/index fixes)</t>
        </is>
      </c>
      <c r="C4" s="12" t="inlineStr">
        <is>
          <t>Feature</t>
        </is>
      </c>
      <c r="D4" s="12" t="inlineStr">
        <is>
          <t>feature/pmd-loader-rework -&gt; feature/product-master-platform</t>
        </is>
      </c>
      <c r="E4" s="12" t="inlineStr">
        <is>
          <t>Stacked on feature/product-master-platform</t>
        </is>
      </c>
      <c r="F4" s="12" t="inlineStr">
        <is>
          <t>Closed - not merged</t>
        </is>
      </c>
      <c r="G4" s="12" t="inlineStr">
        <is>
          <t>2026-09-20</t>
        </is>
      </c>
      <c r="H4" s="12" t="inlineStr">
        <is>
          <t>2026-09-21</t>
        </is>
      </c>
      <c r="I4" s="12" t="inlineStr">
        <is>
          <t>PMD-003</t>
        </is>
      </c>
      <c r="J4" s="12" t="inlineStr">
        <is>
          <t>-</t>
        </is>
      </c>
      <c r="K4" s="12" t="inlineStr">
        <is>
          <t>-</t>
        </is>
      </c>
      <c r="L4" s="12" t="inlineStr">
        <is>
          <t>Stacked on #1; superseded by #4.</t>
        </is>
      </c>
    </row>
    <row r="5" ht="27" customFormat="1" customHeight="1" s="2">
      <c r="A5" s="34" t="inlineStr">
        <is>
          <t>4</t>
        </is>
      </c>
      <c r="B5" s="12" t="inlineStr">
        <is>
          <t>Product Master: platform, feeds, loader rework and shop-catalogue promotion (into staging)</t>
        </is>
      </c>
      <c r="C5" s="12" t="inlineStr">
        <is>
          <t>Feature</t>
        </is>
      </c>
      <c r="D5" s="12" t="inlineStr">
        <is>
          <t>release/pmd-to-staging -&gt; staging</t>
        </is>
      </c>
      <c r="E5" s="12" t="inlineStr">
        <is>
          <t>Test site (staging -&gt; test.gokesari.com)</t>
        </is>
      </c>
      <c r="F5" s="12" t="inlineStr">
        <is>
          <t>Merged</t>
        </is>
      </c>
      <c r="G5" s="12" t="inlineStr">
        <is>
          <t>2026-09-20</t>
        </is>
      </c>
      <c r="H5" s="12" t="inlineStr">
        <is>
          <t>2026-09-20</t>
        </is>
      </c>
      <c r="I5" s="12" t="inlineStr">
        <is>
          <t>GS-011, PMD-001, PMD-002, PMD-003, PMD-004</t>
        </is>
      </c>
      <c r="J5" s="12" t="inlineStr">
        <is>
          <t>-</t>
        </is>
      </c>
      <c r="K5" s="12" t="inlineStr">
        <is>
          <t>#8</t>
        </is>
      </c>
      <c r="L5" s="12" t="inlineStr">
        <is>
          <t>Released by #8.</t>
        </is>
      </c>
    </row>
    <row r="6" ht="27" customFormat="1" customHeight="1" s="2">
      <c r="A6" s="34" t="inlineStr">
        <is>
          <t>5</t>
        </is>
      </c>
      <c r="B6" s="12" t="inlineStr">
        <is>
          <t>Product Master: one-command copy of the pilot data into a target database</t>
        </is>
      </c>
      <c r="C6" s="12" t="inlineStr">
        <is>
          <t>Feature</t>
        </is>
      </c>
      <c r="D6" s="12" t="inlineStr">
        <is>
          <t>feature/pmd-copy-script -&gt; staging</t>
        </is>
      </c>
      <c r="E6" s="12" t="inlineStr">
        <is>
          <t>Test site (staging -&gt; test.gokesari.com)</t>
        </is>
      </c>
      <c r="F6" s="12" t="inlineStr">
        <is>
          <t>Merged</t>
        </is>
      </c>
      <c r="G6" s="12" t="inlineStr">
        <is>
          <t>2026-09-20</t>
        </is>
      </c>
      <c r="H6" s="12" t="inlineStr">
        <is>
          <t>2026-09-21</t>
        </is>
      </c>
      <c r="I6" s="12" t="inlineStr">
        <is>
          <t>PMD-004</t>
        </is>
      </c>
      <c r="J6" s="12" t="inlineStr">
        <is>
          <t>-</t>
        </is>
      </c>
      <c r="K6" s="12" t="inlineStr">
        <is>
          <t>#8</t>
        </is>
      </c>
      <c r="L6" s="12" t="inlineStr">
        <is>
          <t>Released by #8.</t>
        </is>
      </c>
    </row>
    <row r="7" ht="27" customFormat="1" customHeight="1" s="2">
      <c r="A7" s="34" t="inlineStr">
        <is>
          <t>6</t>
        </is>
      </c>
      <c r="B7" s="12" t="inlineStr">
        <is>
          <t>Product Master: fix duplicate brand on concurrent promotion; parallel promotion option</t>
        </is>
      </c>
      <c r="C7" s="12" t="inlineStr">
        <is>
          <t>Feature</t>
        </is>
      </c>
      <c r="D7" s="12" t="inlineStr">
        <is>
          <t>feature/pmd-promote-concurrency -&gt; staging</t>
        </is>
      </c>
      <c r="E7" s="12" t="inlineStr">
        <is>
          <t>Test site (staging -&gt; test.gokesari.com)</t>
        </is>
      </c>
      <c r="F7" s="12" t="inlineStr">
        <is>
          <t>Merged</t>
        </is>
      </c>
      <c r="G7" s="12" t="inlineStr">
        <is>
          <t>2026-09-21</t>
        </is>
      </c>
      <c r="H7" s="12" t="inlineStr">
        <is>
          <t>2026-09-21</t>
        </is>
      </c>
      <c r="I7" s="12" t="inlineStr">
        <is>
          <t>PMD-004</t>
        </is>
      </c>
      <c r="J7" s="12" t="inlineStr">
        <is>
          <t>-</t>
        </is>
      </c>
      <c r="K7" s="12" t="inlineStr">
        <is>
          <t>#8</t>
        </is>
      </c>
      <c r="L7" s="12" t="inlineStr">
        <is>
          <t>Released by #8.</t>
        </is>
      </c>
    </row>
    <row r="8" ht="27" customFormat="1" customHeight="1" s="2">
      <c r="A8" s="34" t="inlineStr">
        <is>
          <t>7</t>
        </is>
      </c>
      <c r="B8" s="12" t="inlineStr">
        <is>
          <t>CI: checkout and setup-node v5 (Node 24)</t>
        </is>
      </c>
      <c r="C8" s="12" t="inlineStr">
        <is>
          <t>DevOps / repo</t>
        </is>
      </c>
      <c r="D8" s="12" t="inlineStr">
        <is>
          <t>chore/ci-node24-actions -&gt; staging</t>
        </is>
      </c>
      <c r="E8" s="12" t="inlineStr">
        <is>
          <t>Test site (staging -&gt; test.gokesari.com)</t>
        </is>
      </c>
      <c r="F8" s="12" t="inlineStr">
        <is>
          <t>Merged</t>
        </is>
      </c>
      <c r="G8" s="12" t="inlineStr">
        <is>
          <t>2026-09-21</t>
        </is>
      </c>
      <c r="H8" s="12" t="inlineStr">
        <is>
          <t>2026-09-21</t>
        </is>
      </c>
      <c r="I8" s="12" t="inlineStr">
        <is>
          <t>PLT-003</t>
        </is>
      </c>
      <c r="J8" s="12" t="inlineStr">
        <is>
          <t>-</t>
        </is>
      </c>
      <c r="K8" s="12" t="inlineStr">
        <is>
          <t>#8</t>
        </is>
      </c>
      <c r="L8" s="12" t="inlineStr">
        <is>
          <t>Released by #8.</t>
        </is>
      </c>
    </row>
    <row r="9" ht="51" customFormat="1" customHeight="1" s="2">
      <c r="A9" s="34" t="inlineStr">
        <is>
          <t>8</t>
        </is>
      </c>
      <c r="B9" s="12" t="inlineStr">
        <is>
          <t>Promote staging to main: Product Master platform (deploys live)</t>
        </is>
      </c>
      <c r="C9" s="12" t="inlineStr">
        <is>
          <t>Release (staging -&gt; main)</t>
        </is>
      </c>
      <c r="D9" s="12" t="inlineStr">
        <is>
          <t>staging -&gt; main</t>
        </is>
      </c>
      <c r="E9" s="12" t="inlineStr">
        <is>
          <t>Production (main -&gt; gokesari.com)</t>
        </is>
      </c>
      <c r="F9" s="12" t="inlineStr">
        <is>
          <t>Merged</t>
        </is>
      </c>
      <c r="G9" s="12" t="inlineStr">
        <is>
          <t>2026-09-21</t>
        </is>
      </c>
      <c r="H9" s="12" t="inlineStr">
        <is>
          <t>2026-09-21</t>
        </is>
      </c>
      <c r="I9" s="12" t="inlineStr">
        <is>
          <t>-</t>
        </is>
      </c>
      <c r="J9" s="12" t="inlineStr">
        <is>
          <t>GS-011, PMD-001, PMD-002, PMD-003, PMD-004, PLT-003</t>
        </is>
      </c>
      <c r="K9" s="12" t="inlineStr">
        <is>
          <t>Itself (merged to main)</t>
        </is>
      </c>
      <c r="L9" s="12" t="n"/>
    </row>
    <row r="10" ht="27" customFormat="1" customHeight="1" s="2">
      <c r="A10" s="34" t="inlineStr">
        <is>
          <t>9</t>
        </is>
      </c>
      <c r="B10" s="12" t="inlineStr">
        <is>
          <t>Product Master: script to apply duplicate-review decisions</t>
        </is>
      </c>
      <c r="C10" s="12" t="inlineStr">
        <is>
          <t>Feature</t>
        </is>
      </c>
      <c r="D10" s="12" t="inlineStr">
        <is>
          <t>feature/pmd-review-decide -&gt; staging</t>
        </is>
      </c>
      <c r="E10" s="12" t="inlineStr">
        <is>
          <t>Test site (staging -&gt; test.gokesari.com)</t>
        </is>
      </c>
      <c r="F10" s="12" t="inlineStr">
        <is>
          <t>Merged</t>
        </is>
      </c>
      <c r="G10" s="12" t="inlineStr">
        <is>
          <t>2026-09-21</t>
        </is>
      </c>
      <c r="H10" s="12" t="inlineStr">
        <is>
          <t>2026-09-21</t>
        </is>
      </c>
      <c r="I10" s="12" t="inlineStr">
        <is>
          <t>PMD-005</t>
        </is>
      </c>
      <c r="J10" s="12" t="inlineStr">
        <is>
          <t>-</t>
        </is>
      </c>
      <c r="K10" s="12" t="inlineStr">
        <is>
          <t>#12</t>
        </is>
      </c>
      <c r="L10" s="12" t="inlineStr">
        <is>
          <t>Released by #12.</t>
        </is>
      </c>
    </row>
    <row r="11" ht="111" customFormat="1" customHeight="1" s="2">
      <c r="A11" s="34" t="inlineStr">
        <is>
          <t>10</t>
        </is>
      </c>
      <c r="B11" s="12" t="inlineStr">
        <is>
          <t>Phase 1 go-live development (for QA on staging)</t>
        </is>
      </c>
      <c r="C11" s="12" t="inlineStr">
        <is>
          <t>Feature</t>
        </is>
      </c>
      <c r="D11" s="12" t="inlineStr">
        <is>
          <t>dev/phase1-go-live -&gt; staging</t>
        </is>
      </c>
      <c r="E11" s="12" t="inlineStr">
        <is>
          <t>Test site (staging -&gt; test.gokesari.com)</t>
        </is>
      </c>
      <c r="F11" s="12" t="inlineStr">
        <is>
          <t>Merged</t>
        </is>
      </c>
      <c r="G11" s="12" t="inlineStr">
        <is>
          <t>2026-09-24</t>
        </is>
      </c>
      <c r="H11" s="12" t="inlineStr">
        <is>
          <t>2026-09-28</t>
        </is>
      </c>
      <c r="I11" s="12"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12" t="inlineStr">
        <is>
          <t>-</t>
        </is>
      </c>
      <c r="K11" s="12" t="inlineStr">
        <is>
          <t>#14</t>
        </is>
      </c>
      <c r="L11" s="12" t="inlineStr">
        <is>
          <t>Squash-merged into staging; released by #14.</t>
        </is>
      </c>
    </row>
    <row r="12" ht="75" customFormat="1" customHeight="1" s="2">
      <c r="A12" s="34" t="inlineStr">
        <is>
          <t>11</t>
        </is>
      </c>
      <c r="B12" s="12" t="inlineStr">
        <is>
          <t>Phase 2: society, ratings, subscription expansion (for QA on staging)</t>
        </is>
      </c>
      <c r="C12" s="12" t="inlineStr">
        <is>
          <t>Feature</t>
        </is>
      </c>
      <c r="D12" s="12" t="inlineStr">
        <is>
          <t>dev/phase2-society -&gt; staging</t>
        </is>
      </c>
      <c r="E12" s="12" t="inlineStr">
        <is>
          <t>Test site (staging -&gt; test.gokesari.com)</t>
        </is>
      </c>
      <c r="F12" s="12" t="inlineStr">
        <is>
          <t>Merged</t>
        </is>
      </c>
      <c r="G12" s="12" t="inlineStr">
        <is>
          <t>2026-09-25</t>
        </is>
      </c>
      <c r="H12" s="12" t="inlineStr">
        <is>
          <t>2026-09-28</t>
        </is>
      </c>
      <c r="I12" s="12" t="inlineStr">
        <is>
          <t>GS-002, GS-005, GS-026, GS-040, GS-044, GS-045, GS-046, GS-047, GS-049, GS-051, GS-056, GS-059, GS-060, WF-001, WF-003, WF-004, WF-006, RBAC-009, SM-004, SM-006, GA-001, GA-002, GA-007, GA-008, NAV-002, NAV-014</t>
        </is>
      </c>
      <c r="J12" s="12" t="inlineStr">
        <is>
          <t>-</t>
        </is>
      </c>
      <c r="K12" s="12" t="inlineStr">
        <is>
          <t>#19</t>
        </is>
      </c>
      <c r="L12" s="12" t="n"/>
    </row>
    <row r="13" ht="27" customFormat="1" customHeight="1" s="2">
      <c r="A13" s="34" t="inlineStr">
        <is>
          <t>12</t>
        </is>
      </c>
      <c r="B13" s="12" t="inlineStr">
        <is>
          <t>Promote staging to main: Phase 1 + Phase 2 (deploys live)</t>
        </is>
      </c>
      <c r="C13" s="12" t="inlineStr">
        <is>
          <t>Release (staging -&gt; main)</t>
        </is>
      </c>
      <c r="D13" s="12" t="inlineStr">
        <is>
          <t>staging -&gt; main</t>
        </is>
      </c>
      <c r="E13" s="12" t="inlineStr">
        <is>
          <t>Production (main -&gt; gokesari.com)</t>
        </is>
      </c>
      <c r="F13" s="12" t="inlineStr">
        <is>
          <t>Merged</t>
        </is>
      </c>
      <c r="G13" s="12" t="inlineStr">
        <is>
          <t>2026-09-25</t>
        </is>
      </c>
      <c r="H13" s="12" t="inlineStr">
        <is>
          <t>2026-09-28</t>
        </is>
      </c>
      <c r="I13" s="12" t="inlineStr">
        <is>
          <t>-</t>
        </is>
      </c>
      <c r="J13" s="12" t="inlineStr">
        <is>
          <t>PMD-005</t>
        </is>
      </c>
      <c r="K13" s="12" t="inlineStr">
        <is>
          <t>Itself (merged to main)</t>
        </is>
      </c>
      <c r="L13" s="12" t="inlineStr">
        <is>
          <t>Squash release of #9 to main.</t>
        </is>
      </c>
    </row>
    <row r="14" ht="27" customFormat="1" customHeight="1" s="2">
      <c r="A14" s="34" t="inlineStr">
        <is>
          <t>13</t>
        </is>
      </c>
      <c r="B14" s="12" t="inlineStr">
        <is>
          <t>Hotfix: log the root cause of failed database queries</t>
        </is>
      </c>
      <c r="C14" s="12" t="inlineStr">
        <is>
          <t>Fix / hotfix</t>
        </is>
      </c>
      <c r="D14" s="12" t="inlineStr">
        <is>
          <t>hotfix/log-db-error-cause -&gt; staging</t>
        </is>
      </c>
      <c r="E14" s="12" t="inlineStr">
        <is>
          <t>Test site (staging -&gt; test.gokesari.com)</t>
        </is>
      </c>
      <c r="F14" s="12" t="inlineStr">
        <is>
          <t>Merged</t>
        </is>
      </c>
      <c r="G14" s="12" t="inlineStr">
        <is>
          <t>2026-09-25</t>
        </is>
      </c>
      <c r="H14" s="12" t="inlineStr">
        <is>
          <t>2026-09-28</t>
        </is>
      </c>
      <c r="I14" s="12" t="inlineStr">
        <is>
          <t>PLT-002</t>
        </is>
      </c>
      <c r="J14" s="12" t="inlineStr">
        <is>
          <t>-</t>
        </is>
      </c>
      <c r="K14" s="12" t="inlineStr">
        <is>
          <t>#19</t>
        </is>
      </c>
      <c r="L14" s="12" t="n"/>
    </row>
    <row r="15" ht="279" customFormat="1" customHeight="1" s="2">
      <c r="A15" s="34" t="inlineStr">
        <is>
          <t>14</t>
        </is>
      </c>
      <c r="B15" s="12" t="inlineStr">
        <is>
          <t>Staging</t>
        </is>
      </c>
      <c r="C15" s="12" t="inlineStr">
        <is>
          <t>Release (staging -&gt; main)</t>
        </is>
      </c>
      <c r="D15" s="12" t="inlineStr">
        <is>
          <t>staging -&gt; main</t>
        </is>
      </c>
      <c r="E15" s="12" t="inlineStr">
        <is>
          <t>Production (main -&gt; gokesari.com)</t>
        </is>
      </c>
      <c r="F15" s="12" t="inlineStr">
        <is>
          <t>Merged</t>
        </is>
      </c>
      <c r="G15" s="12" t="inlineStr">
        <is>
          <t>2026-09-28</t>
        </is>
      </c>
      <c r="H15" s="12" t="inlineStr">
        <is>
          <t>2026-09-28</t>
        </is>
      </c>
      <c r="I15" s="12" t="inlineStr">
        <is>
          <t>-</t>
        </is>
      </c>
      <c r="J15" s="12"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12" t="inlineStr">
        <is>
          <t>Itself (merged to main)</t>
        </is>
      </c>
      <c r="L15" s="12" t="inlineStr">
        <is>
          <t>Squash release of Phase 1 (#10) to main.</t>
        </is>
      </c>
    </row>
    <row r="16" ht="27" customFormat="1" customHeight="1" s="2">
      <c r="A16" s="34" t="inlineStr">
        <is>
          <t>15</t>
        </is>
      </c>
      <c r="B16" s="12" t="inlineStr">
        <is>
          <t>fix: patch Node.js security vulnerabilities</t>
        </is>
      </c>
      <c r="C16" s="12" t="inlineStr">
        <is>
          <t>Security / dependencies</t>
        </is>
      </c>
      <c r="D16" s="12" t="inlineStr">
        <is>
          <t>fix/patch-vulnerabilities-07273736-1790597348 -&gt; staging</t>
        </is>
      </c>
      <c r="E16" s="12" t="inlineStr">
        <is>
          <t>Test site (staging -&gt; test.gokesari.com)</t>
        </is>
      </c>
      <c r="F16" s="12" t="inlineStr">
        <is>
          <t>Closed - not merged</t>
        </is>
      </c>
      <c r="G16" s="12" t="inlineStr">
        <is>
          <t>2026-09-28</t>
        </is>
      </c>
      <c r="H16" s="12" t="inlineStr">
        <is>
          <t>2026-09-28</t>
        </is>
      </c>
      <c r="I16" s="12" t="inlineStr">
        <is>
          <t>PLT-004</t>
        </is>
      </c>
      <c r="J16" s="12" t="inlineStr">
        <is>
          <t>-</t>
        </is>
      </c>
      <c r="K16" s="12" t="inlineStr">
        <is>
          <t>-</t>
        </is>
      </c>
      <c r="L16" s="12" t="inlineStr">
        <is>
          <t>Superseded by the Next.js 16.3.6 bump released in #19.</t>
        </is>
      </c>
    </row>
    <row r="17" ht="27" customFormat="1" customHeight="1" s="2">
      <c r="A17" s="34" t="inlineStr">
        <is>
          <t>16</t>
        </is>
      </c>
      <c r="B17" s="12" t="inlineStr">
        <is>
          <t>Pin Node 20, bump Next.js to 16.3.6, log DB error causes</t>
        </is>
      </c>
      <c r="C17" s="12" t="inlineStr">
        <is>
          <t>Security / dependencies</t>
        </is>
      </c>
      <c r="D17" s="12" t="inlineStr">
        <is>
          <t>claude/turbopack-css-crash-2y3or2 -&gt; main</t>
        </is>
      </c>
      <c r="E17" s="12" t="inlineStr">
        <is>
          <t>Production (main -&gt; gokesari.com)</t>
        </is>
      </c>
      <c r="F17" s="12" t="inlineStr">
        <is>
          <t>Closed - not merged</t>
        </is>
      </c>
      <c r="G17" s="12" t="inlineStr">
        <is>
          <t>2026-09-28</t>
        </is>
      </c>
      <c r="H17" s="12" t="inlineStr">
        <is>
          <t>2026-09-28</t>
        </is>
      </c>
      <c r="I17" s="12" t="inlineStr">
        <is>
          <t>PLT-002, PLT-004</t>
        </is>
      </c>
      <c r="J17" s="12" t="inlineStr">
        <is>
          <t>-</t>
        </is>
      </c>
      <c r="K17" s="12" t="inlineStr">
        <is>
          <t>-</t>
        </is>
      </c>
      <c r="L17" s="12" t="inlineStr">
        <is>
          <t>Closed; its DB-error logging landed via #13.</t>
        </is>
      </c>
    </row>
    <row r="18" ht="27" customFormat="1" customHeight="1" s="2">
      <c r="A18" s="34" t="inlineStr">
        <is>
          <t>17</t>
        </is>
      </c>
      <c r="B18" s="12" t="inlineStr">
        <is>
          <t>Hotfix: build with webpack so Hostinger deploys succeed</t>
        </is>
      </c>
      <c r="C18" s="12" t="inlineStr">
        <is>
          <t>Fix / hotfix</t>
        </is>
      </c>
      <c r="D18" s="12" t="inlineStr">
        <is>
          <t>hotfix/hostinger-webpack-build -&gt; staging</t>
        </is>
      </c>
      <c r="E18" s="12" t="inlineStr">
        <is>
          <t>Test site (staging -&gt; test.gokesari.com)</t>
        </is>
      </c>
      <c r="F18" s="12" t="inlineStr">
        <is>
          <t>Merged</t>
        </is>
      </c>
      <c r="G18" s="12" t="inlineStr">
        <is>
          <t>2026-09-28</t>
        </is>
      </c>
      <c r="H18" s="12" t="inlineStr">
        <is>
          <t>2026-09-28</t>
        </is>
      </c>
      <c r="I18" s="12" t="inlineStr">
        <is>
          <t>PLT-001</t>
        </is>
      </c>
      <c r="J18" s="12" t="inlineStr">
        <is>
          <t>-</t>
        </is>
      </c>
      <c r="K18" s="12" t="inlineStr">
        <is>
          <t>#19</t>
        </is>
      </c>
      <c r="L18" s="12" t="inlineStr">
        <is>
          <t>Squash-merged into staging; released by #19.</t>
        </is>
      </c>
    </row>
    <row r="19" ht="75" customFormat="1" customHeight="1" s="2">
      <c r="A19" s="34" t="inlineStr">
        <is>
          <t>18</t>
        </is>
      </c>
      <c r="B19" s="12" t="inlineStr">
        <is>
          <t>Phase 3: multi-role grants, COD, shop marketing, risk rules, KPI analytics</t>
        </is>
      </c>
      <c r="C19" s="12" t="inlineStr">
        <is>
          <t>Feature</t>
        </is>
      </c>
      <c r="D19" s="12" t="inlineStr">
        <is>
          <t>dev/phase3-growth -&gt; staging</t>
        </is>
      </c>
      <c r="E19" s="12" t="inlineStr">
        <is>
          <t>Test site (staging -&gt; test.gokesari.com)</t>
        </is>
      </c>
      <c r="F19" s="12" t="inlineStr">
        <is>
          <t>Merged</t>
        </is>
      </c>
      <c r="G19" s="12" t="inlineStr">
        <is>
          <t>2026-09-28</t>
        </is>
      </c>
      <c r="H19" s="12" t="inlineStr">
        <is>
          <t>2026-09-28</t>
        </is>
      </c>
      <c r="I19" s="12" t="inlineStr">
        <is>
          <t>GS-003, GS-030, GS-052, GS-053, GS-068, GS-069, WF-009, RBAC-013, NAV-009, NAV-018, NAV-019, KPI-001, KPI-002, KPI-003, KPI-004, KPI-005, KPI-006, KPI-007, KPI-008, KPI-009, KPI-010, KPI-011, KPI-012, KPI-013, KPI-014, KPI-015</t>
        </is>
      </c>
      <c r="J19" s="12" t="inlineStr">
        <is>
          <t>-</t>
        </is>
      </c>
      <c r="K19" s="12" t="inlineStr">
        <is>
          <t>#19</t>
        </is>
      </c>
      <c r="L19" s="12" t="n"/>
    </row>
    <row r="20" ht="459" customFormat="1" customHeight="1" s="2">
      <c r="A20" s="34" t="inlineStr">
        <is>
          <t>19</t>
        </is>
      </c>
      <c r="B20" s="12" t="inlineStr">
        <is>
          <t>Staging</t>
        </is>
      </c>
      <c r="C20" s="12" t="inlineStr">
        <is>
          <t>Release (staging -&gt; main)</t>
        </is>
      </c>
      <c r="D20" s="12" t="inlineStr">
        <is>
          <t>staging -&gt; main</t>
        </is>
      </c>
      <c r="E20" s="12" t="inlineStr">
        <is>
          <t>Production (main -&gt; gokesari.com)</t>
        </is>
      </c>
      <c r="F20" s="12" t="inlineStr">
        <is>
          <t>Merged</t>
        </is>
      </c>
      <c r="G20" s="12" t="inlineStr">
        <is>
          <t>2026-09-28</t>
        </is>
      </c>
      <c r="H20" s="12" t="inlineStr">
        <is>
          <t>2026-09-30</t>
        </is>
      </c>
      <c r="I20" s="12" t="inlineStr">
        <is>
          <t>PLT-004</t>
        </is>
      </c>
      <c r="J20" s="12"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12" t="inlineStr">
        <is>
          <t>Itself (merged to main)</t>
        </is>
      </c>
      <c r="L20" s="12" t="inlineStr">
        <is>
          <t>Release of Phases 2-4 (#11, #18, #21), #13, #17, #20, #22 to main.</t>
        </is>
      </c>
    </row>
    <row r="21" ht="27" customFormat="1" customHeight="1" s="2">
      <c r="A21" s="34" t="inlineStr">
        <is>
          <t>20</t>
        </is>
      </c>
      <c r="B21" s="12" t="inlineStr">
        <is>
          <t>Hotfix: resolve @/ imports in Hostinger webpack builds</t>
        </is>
      </c>
      <c r="C21" s="12" t="inlineStr">
        <is>
          <t>Fix / hotfix</t>
        </is>
      </c>
      <c r="D21" s="12" t="inlineStr">
        <is>
          <t>hotfix/webpack-src-alias -&gt; staging</t>
        </is>
      </c>
      <c r="E21" s="12" t="inlineStr">
        <is>
          <t>Test site (staging -&gt; test.gokesari.com)</t>
        </is>
      </c>
      <c r="F21" s="12" t="inlineStr">
        <is>
          <t>Merged</t>
        </is>
      </c>
      <c r="G21" s="12" t="inlineStr">
        <is>
          <t>2026-09-28</t>
        </is>
      </c>
      <c r="H21" s="12" t="inlineStr">
        <is>
          <t>2026-09-28</t>
        </is>
      </c>
      <c r="I21" s="12" t="inlineStr">
        <is>
          <t>PLT-001</t>
        </is>
      </c>
      <c r="J21" s="12" t="inlineStr">
        <is>
          <t>-</t>
        </is>
      </c>
      <c r="K21" s="12" t="inlineStr">
        <is>
          <t>#19</t>
        </is>
      </c>
      <c r="L21" s="12" t="n"/>
    </row>
    <row r="22" ht="39" customFormat="1" customHeight="1" s="2">
      <c r="A22" s="34" t="inlineStr">
        <is>
          <t>21</t>
        </is>
      </c>
      <c r="B22" s="12" t="inlineStr">
        <is>
          <t>Phase 4: operations, exceptions, fraud, and tracking hardening</t>
        </is>
      </c>
      <c r="C22" s="12" t="inlineStr">
        <is>
          <t>Feature</t>
        </is>
      </c>
      <c r="D22" s="12" t="inlineStr">
        <is>
          <t>dev/phase4-operations -&gt; staging</t>
        </is>
      </c>
      <c r="E22" s="12" t="inlineStr">
        <is>
          <t>Test site (staging -&gt; test.gokesari.com)</t>
        </is>
      </c>
      <c r="F22" s="12" t="inlineStr">
        <is>
          <t>Merged</t>
        </is>
      </c>
      <c r="G22" s="12" t="inlineStr">
        <is>
          <t>2026-09-29</t>
        </is>
      </c>
      <c r="H22" s="12" t="inlineStr">
        <is>
          <t>2026-09-30</t>
        </is>
      </c>
      <c r="I22" s="12" t="inlineStr">
        <is>
          <t>GS-034, GS-038, GS-042, GS-065, GS-066, GS-068, RBAC-010, NAV-011, NAV-012, NAV-013, NAV-015, NAV-016, NAV-017</t>
        </is>
      </c>
      <c r="J22" s="12" t="inlineStr">
        <is>
          <t>-</t>
        </is>
      </c>
      <c r="K22" s="12" t="inlineStr">
        <is>
          <t>#19</t>
        </is>
      </c>
      <c r="L22" s="12" t="inlineStr">
        <is>
          <t>Rebased onto staging; released by #19.</t>
        </is>
      </c>
    </row>
    <row r="23" ht="27" customFormat="1" customHeight="1" s="2">
      <c r="A23" s="34" t="inlineStr">
        <is>
          <t>22</t>
        </is>
      </c>
      <c r="B23" s="12" t="inlineStr">
        <is>
          <t>Stop the same shop being registered twice</t>
        </is>
      </c>
      <c r="C23" s="12" t="inlineStr">
        <is>
          <t>Feature</t>
        </is>
      </c>
      <c r="D23" s="12" t="inlineStr">
        <is>
          <t>fix/shop-duplicate-registration -&gt; staging</t>
        </is>
      </c>
      <c r="E23" s="12" t="inlineStr">
        <is>
          <t>Test site (staging -&gt; test.gokesari.com)</t>
        </is>
      </c>
      <c r="F23" s="12" t="inlineStr">
        <is>
          <t>Merged</t>
        </is>
      </c>
      <c r="G23" s="12" t="inlineStr">
        <is>
          <t>2026-09-29</t>
        </is>
      </c>
      <c r="H23" s="12" t="inlineStr">
        <is>
          <t>2026-09-30</t>
        </is>
      </c>
      <c r="I23" s="12" t="inlineStr">
        <is>
          <t>GS-006, WF-008</t>
        </is>
      </c>
      <c r="J23" s="12" t="inlineStr">
        <is>
          <t>-</t>
        </is>
      </c>
      <c r="K23" s="12" t="inlineStr">
        <is>
          <t>#19</t>
        </is>
      </c>
      <c r="L23" s="12" t="inlineStr">
        <is>
          <t>Merged into staging by hand; released by #19.</t>
        </is>
      </c>
    </row>
    <row r="24" ht="255" customFormat="1" customHeight="1" s="2">
      <c r="A24" s="34" t="inlineStr">
        <is>
          <t>23</t>
        </is>
      </c>
      <c r="B24" s="12" t="inlineStr">
        <is>
          <t>Release: Phases A–J, shop categories, migrations 0025–0035</t>
        </is>
      </c>
      <c r="C24" s="12" t="inlineStr">
        <is>
          <t>Release + direct commits (Phases A-J)</t>
        </is>
      </c>
      <c r="D24" s="12" t="inlineStr">
        <is>
          <t>staging -&gt; main</t>
        </is>
      </c>
      <c r="E24" s="12" t="inlineStr">
        <is>
          <t>Production (main -&gt; gokesari.com)</t>
        </is>
      </c>
      <c r="F24" s="12" t="inlineStr">
        <is>
          <t>Merged</t>
        </is>
      </c>
      <c r="G24" s="12" t="inlineStr">
        <is>
          <t>2026-10-01</t>
        </is>
      </c>
      <c r="H24" s="12" t="inlineStr">
        <is>
          <t>2026-10-01</t>
        </is>
      </c>
      <c r="I24" s="12" t="inlineStr">
        <is>
          <t>GS-001, GS-004, GS-009, GS-010, GS-014, GS-015, GS-017, GS-018, GS-023, GS-026, GS-039, GS-043, GS-047, GS-055, GS-057, GS-063, GS-065, GS-072, GS-074, WF-001, WF-003, WF-005, WF-007, RBAC-007, RBAC-014, SM-002, SM-003, GA-009, NAV-001, NAV-003, NAV-006, NAV-012, NAV-017, NEW-001, NEW-002, NEW-004, NEW-005, NEW-006, NEW-007</t>
        </is>
      </c>
      <c r="J24" s="12" t="inlineStr">
        <is>
          <t>GS-001, GS-004, GS-009, GS-010, GS-014, GS-015, GS-017, GS-018, GS-023, GS-026, GS-039, GS-043, GS-047, GS-055, GS-057, GS-063, GS-065, GS-072, GS-074, WF-001, WF-003, WF-005, WF-007, RBAC-007, RBAC-014, SM-002, SM-003, GA-009, NAV-001, NAV-003, NAV-006, NAV-012, NAV-017, NEW-001, NEW-002, NEW-004, NEW-005, NEW-006, NEW-007</t>
        </is>
      </c>
      <c r="K24" s="12" t="inlineStr">
        <is>
          <t>Itself (merged to main)</t>
        </is>
      </c>
      <c r="L24" s="12" t="inlineStr">
        <is>
          <t>Phases A-J, the settings screen and shop categories were committed straight to staging, so this release PR is their only PR.</t>
        </is>
      </c>
    </row>
    <row r="25" ht="39" customFormat="1" customHeight="1" s="2">
      <c r="A25" s="34" t="inlineStr">
        <is>
          <t>24</t>
        </is>
      </c>
      <c r="B25" s="12" t="inlineStr">
        <is>
          <t>Release: closed-shop ordering with confirmation and alerts; IST opening hours</t>
        </is>
      </c>
      <c r="C25" s="12" t="inlineStr">
        <is>
          <t>Feature</t>
        </is>
      </c>
      <c r="D25" s="12" t="inlineStr">
        <is>
          <t>staging -&gt; main</t>
        </is>
      </c>
      <c r="E25" s="12" t="inlineStr">
        <is>
          <t>Production (main -&gt; gokesari.com)</t>
        </is>
      </c>
      <c r="F25" s="12" t="inlineStr">
        <is>
          <t>Merged</t>
        </is>
      </c>
      <c r="G25" s="12" t="inlineStr">
        <is>
          <t>2026-10-01</t>
        </is>
      </c>
      <c r="H25" s="12" t="inlineStr">
        <is>
          <t>2026-10-01</t>
        </is>
      </c>
      <c r="I25" s="12" t="inlineStr">
        <is>
          <t>WF-001, WF-002, NAV-002, NEW-003</t>
        </is>
      </c>
      <c r="J25" s="12" t="inlineStr">
        <is>
          <t>WF-001, WF-002, NAV-002, NEW-003</t>
        </is>
      </c>
      <c r="K25" s="12" t="inlineStr">
        <is>
          <t>Itself (merged to main)</t>
        </is>
      </c>
      <c r="L25" s="12" t="inlineStr">
        <is>
          <t>Closed-shop ordering was committed straight to staging; this release PR is its only PR.</t>
        </is>
      </c>
    </row>
    <row r="26" ht="27" customFormat="1" customHeight="1" s="2">
      <c r="A26" s="34" t="inlineStr">
        <is>
          <t>25</t>
        </is>
      </c>
      <c r="B26" s="12" t="inlineStr">
        <is>
          <t>Point CNAME and domain examples at gokesari.com</t>
        </is>
      </c>
      <c r="C26" s="12" t="inlineStr">
        <is>
          <t>DevOps / repo</t>
        </is>
      </c>
      <c r="D26" s="12" t="inlineStr">
        <is>
          <t>claude/charming-edison-ofoncf -&gt; staging</t>
        </is>
      </c>
      <c r="E26" s="12" t="inlineStr">
        <is>
          <t>Test site (staging -&gt; test.gokesari.com)</t>
        </is>
      </c>
      <c r="F26" s="12" t="inlineStr">
        <is>
          <t>Merged</t>
        </is>
      </c>
      <c r="G26" s="12" t="inlineStr">
        <is>
          <t>2026-10-02</t>
        </is>
      </c>
      <c r="H26" s="12" t="inlineStr">
        <is>
          <t>2026-10-02</t>
        </is>
      </c>
      <c r="I26" s="12" t="inlineStr">
        <is>
          <t>PLT-005</t>
        </is>
      </c>
      <c r="J26" s="12" t="inlineStr">
        <is>
          <t>-</t>
        </is>
      </c>
      <c r="K26" s="12" t="inlineStr">
        <is>
          <t>#32</t>
        </is>
      </c>
      <c r="L26" s="12" t="n"/>
    </row>
    <row r="27" ht="27" customFormat="1" customHeight="1" s="2">
      <c r="A27" s="34" t="inlineStr">
        <is>
          <t>26</t>
        </is>
      </c>
      <c r="B27" s="12" t="inlineStr">
        <is>
          <t>Port GoKesari from PostgreSQL to MySQL</t>
        </is>
      </c>
      <c r="C27" s="12" t="inlineStr">
        <is>
          <t>Platform port</t>
        </is>
      </c>
      <c r="D27" s="12" t="inlineStr">
        <is>
          <t>claude/awesome-dijkstra-fmccpl -&gt; main</t>
        </is>
      </c>
      <c r="E27" s="12" t="inlineStr">
        <is>
          <t>Production (main -&gt; gokesari.com)</t>
        </is>
      </c>
      <c r="F27" s="12" t="inlineStr">
        <is>
          <t>Closed - not merged</t>
        </is>
      </c>
      <c r="G27" s="12" t="inlineStr">
        <is>
          <t>2026-10-02</t>
        </is>
      </c>
      <c r="H27" s="12" t="inlineStr">
        <is>
          <t>2026-10-07</t>
        </is>
      </c>
      <c r="I27" s="12" t="inlineStr">
        <is>
          <t>-</t>
        </is>
      </c>
      <c r="J27" s="12" t="inlineStr">
        <is>
          <t>-</t>
        </is>
      </c>
      <c r="K27" s="12" t="inlineStr">
        <is>
          <t>-</t>
        </is>
      </c>
      <c r="L27" s="12" t="inlineStr">
        <is>
          <t>Closed without merging - the app stays on PostgreSQL.</t>
        </is>
      </c>
    </row>
    <row r="28" ht="27" customFormat="1" customHeight="1" s="2">
      <c r="A28" s="34" t="inlineStr">
        <is>
          <t>27</t>
        </is>
      </c>
      <c r="B28" s="12" t="inlineStr">
        <is>
          <t>Point this repo's deployment docs at GoKesari, not bkesari</t>
        </is>
      </c>
      <c r="C28" s="12" t="inlineStr">
        <is>
          <t>DevOps / repo</t>
        </is>
      </c>
      <c r="D28" s="12" t="inlineStr">
        <is>
          <t>claude/amazing-cannon-5n3fro -&gt; main</t>
        </is>
      </c>
      <c r="E28" s="12" t="inlineStr">
        <is>
          <t>Production (main -&gt; gokesari.com)</t>
        </is>
      </c>
      <c r="F28" s="12" t="inlineStr">
        <is>
          <t>Closed - not merged</t>
        </is>
      </c>
      <c r="G28" s="12" t="inlineStr">
        <is>
          <t>2026-10-02</t>
        </is>
      </c>
      <c r="H28" s="12" t="inlineStr">
        <is>
          <t>2026-10-03</t>
        </is>
      </c>
      <c r="I28" s="12" t="inlineStr">
        <is>
          <t>PLT-005</t>
        </is>
      </c>
      <c r="J28" s="12" t="inlineStr">
        <is>
          <t>-</t>
        </is>
      </c>
      <c r="K28" s="12" t="inlineStr">
        <is>
          <t>-</t>
        </is>
      </c>
      <c r="L28" s="12" t="inlineStr">
        <is>
          <t>Closed; superseded by #25 and #33.</t>
        </is>
      </c>
    </row>
    <row r="29" ht="27" customFormat="1" customHeight="1" s="2">
      <c r="A29" s="34" t="inlineStr">
        <is>
          <t>28</t>
        </is>
      </c>
      <c r="B29" s="12" t="inlineStr">
        <is>
          <t>Re-audit the feature status workbook against the code on main</t>
        </is>
      </c>
      <c r="C29" s="12" t="inlineStr">
        <is>
          <t>Docs / reports</t>
        </is>
      </c>
      <c r="D29" s="12" t="inlineStr">
        <is>
          <t>claude/confident-albattani-dqw1dk -&gt; main</t>
        </is>
      </c>
      <c r="E29" s="12" t="inlineStr">
        <is>
          <t>Production (main -&gt; gokesari.com)</t>
        </is>
      </c>
      <c r="F29" s="12" t="inlineStr">
        <is>
          <t>Merged</t>
        </is>
      </c>
      <c r="G29" s="12" t="inlineStr">
        <is>
          <t>2026-10-02</t>
        </is>
      </c>
      <c r="H29" s="12" t="inlineStr">
        <is>
          <t>2026-10-02</t>
        </is>
      </c>
      <c r="I29" s="12" t="inlineStr">
        <is>
          <t>-</t>
        </is>
      </c>
      <c r="J29" s="12" t="inlineStr">
        <is>
          <t>-</t>
        </is>
      </c>
      <c r="K29" s="12" t="inlineStr">
        <is>
          <t>Itself (merged to main)</t>
        </is>
      </c>
      <c r="L29" s="12" t="n"/>
    </row>
    <row r="30" ht="51" customFormat="1" customHeight="1" s="2">
      <c r="A30" s="34" t="inlineStr">
        <is>
          <t>29</t>
        </is>
      </c>
      <c r="B30" s="12" t="inlineStr">
        <is>
          <t>Mount the live tracking screen and enforce the registration-fee gate</t>
        </is>
      </c>
      <c r="C30" s="12" t="inlineStr">
        <is>
          <t>Feature</t>
        </is>
      </c>
      <c r="D30" s="12" t="inlineStr">
        <is>
          <t>claude/confident-albattani-dqw1dk -&gt; main</t>
        </is>
      </c>
      <c r="E30" s="12" t="inlineStr">
        <is>
          <t>Production (main -&gt; gokesari.com)</t>
        </is>
      </c>
      <c r="F30" s="12" t="inlineStr">
        <is>
          <t>Merged</t>
        </is>
      </c>
      <c r="G30" s="12" t="inlineStr">
        <is>
          <t>2026-10-02</t>
        </is>
      </c>
      <c r="H30" s="12" t="inlineStr">
        <is>
          <t>2026-10-03</t>
        </is>
      </c>
      <c r="I30" s="12" t="inlineStr">
        <is>
          <t>GS-008, GS-042, WF-005, WF-008, NAV-004, NAV-016</t>
        </is>
      </c>
      <c r="J30" s="12" t="inlineStr">
        <is>
          <t>GS-008, GS-042, WF-005, WF-008, NAV-004, NAV-016</t>
        </is>
      </c>
      <c r="K30" s="12" t="inlineStr">
        <is>
          <t>Itself (merged to main)</t>
        </is>
      </c>
      <c r="L30" s="12" t="n"/>
    </row>
    <row r="31" ht="27" customFormat="1" customHeight="1" s="2">
      <c r="A31" s="34" t="inlineStr">
        <is>
          <t>30</t>
        </is>
      </c>
      <c r="B31" s="12" t="inlineStr">
        <is>
          <t>Explicit Save flow on three admin screens</t>
        </is>
      </c>
      <c r="C31" s="12" t="inlineStr">
        <is>
          <t>Feature</t>
        </is>
      </c>
      <c r="D31" s="12" t="inlineStr">
        <is>
          <t>claude/eloquent-darwin-n8yblq -&gt; main</t>
        </is>
      </c>
      <c r="E31" s="12" t="inlineStr">
        <is>
          <t>Production (main -&gt; gokesari.com)</t>
        </is>
      </c>
      <c r="F31" s="12" t="inlineStr">
        <is>
          <t>Merged</t>
        </is>
      </c>
      <c r="G31" s="12" t="inlineStr">
        <is>
          <t>2026-10-02</t>
        </is>
      </c>
      <c r="H31" s="12" t="inlineStr">
        <is>
          <t>2026-10-03</t>
        </is>
      </c>
      <c r="I31" s="12" t="inlineStr">
        <is>
          <t>GS-009, RBAC-013, NEW-009</t>
        </is>
      </c>
      <c r="J31" s="12" t="inlineStr">
        <is>
          <t>-</t>
        </is>
      </c>
      <c r="K31" s="12" t="inlineStr">
        <is>
          <t>#32</t>
        </is>
      </c>
      <c r="L31" s="12" t="inlineStr">
        <is>
          <t>Also merged into staging by hand; released by #32.</t>
        </is>
      </c>
    </row>
    <row r="32" ht="27" customFormat="1" customHeight="1" s="2">
      <c r="A32" s="34" t="inlineStr">
        <is>
          <t>31</t>
        </is>
      </c>
      <c r="B32" s="12" t="inlineStr">
        <is>
          <t>Login by mobile or email, first-time profile and My Profile</t>
        </is>
      </c>
      <c r="C32" s="12" t="inlineStr">
        <is>
          <t>Feature</t>
        </is>
      </c>
      <c r="D32" s="12" t="inlineStr">
        <is>
          <t>claude/tender-cannon-vmecpj -&gt; staging</t>
        </is>
      </c>
      <c r="E32" s="12" t="inlineStr">
        <is>
          <t>Test site (staging -&gt; test.gokesari.com)</t>
        </is>
      </c>
      <c r="F32" s="12" t="inlineStr">
        <is>
          <t>Merged</t>
        </is>
      </c>
      <c r="G32" s="12" t="inlineStr">
        <is>
          <t>2026-10-03</t>
        </is>
      </c>
      <c r="H32" s="12" t="inlineStr">
        <is>
          <t>2026-10-03</t>
        </is>
      </c>
      <c r="I32" s="12" t="inlineStr">
        <is>
          <t>GS-001, GS-026, WF-001, NAV-003</t>
        </is>
      </c>
      <c r="J32" s="12" t="inlineStr">
        <is>
          <t>-</t>
        </is>
      </c>
      <c r="K32" s="12" t="inlineStr">
        <is>
          <t>#43</t>
        </is>
      </c>
      <c r="L32" s="12" t="n"/>
    </row>
    <row r="33" ht="39" customFormat="1" customHeight="1" s="2">
      <c r="A33" s="34" t="inlineStr">
        <is>
          <t>32</t>
        </is>
      </c>
      <c r="B33" s="12" t="inlineStr">
        <is>
          <t>Release: explicit Save flow on admin screens; gokesari.com domain corrections</t>
        </is>
      </c>
      <c r="C33" s="12" t="inlineStr">
        <is>
          <t>Release (staging -&gt; main)</t>
        </is>
      </c>
      <c r="D33" s="12" t="inlineStr">
        <is>
          <t>staging -&gt; main</t>
        </is>
      </c>
      <c r="E33" s="12" t="inlineStr">
        <is>
          <t>Production (main -&gt; gokesari.com)</t>
        </is>
      </c>
      <c r="F33" s="12" t="inlineStr">
        <is>
          <t>Merged</t>
        </is>
      </c>
      <c r="G33" s="12" t="inlineStr">
        <is>
          <t>2026-10-03</t>
        </is>
      </c>
      <c r="H33" s="12" t="inlineStr">
        <is>
          <t>2026-10-03</t>
        </is>
      </c>
      <c r="I33" s="12" t="inlineStr">
        <is>
          <t>-</t>
        </is>
      </c>
      <c r="J33" s="12" t="inlineStr">
        <is>
          <t>GS-009, RBAC-013, NEW-009, PLT-005</t>
        </is>
      </c>
      <c r="K33" s="12" t="inlineStr">
        <is>
          <t>Itself (merged to main)</t>
        </is>
      </c>
      <c r="L33" s="12" t="n"/>
    </row>
    <row r="34" ht="27" customFormat="1" customHeight="1" s="2">
      <c r="A34" s="34" t="inlineStr">
        <is>
          <t>33</t>
        </is>
      </c>
      <c r="B34" s="12" t="inlineStr">
        <is>
          <t>Delete DEPLOY_NOW.md, a runbook for the other brand's domain</t>
        </is>
      </c>
      <c r="C34" s="12" t="inlineStr">
        <is>
          <t>DevOps / repo</t>
        </is>
      </c>
      <c r="D34" s="12" t="inlineStr">
        <is>
          <t>claude/charming-edison-ofoncf -&gt; staging</t>
        </is>
      </c>
      <c r="E34" s="12" t="inlineStr">
        <is>
          <t>Test site (staging -&gt; test.gokesari.com)</t>
        </is>
      </c>
      <c r="F34" s="12" t="inlineStr">
        <is>
          <t>Merged</t>
        </is>
      </c>
      <c r="G34" s="12" t="inlineStr">
        <is>
          <t>2026-10-03</t>
        </is>
      </c>
      <c r="H34" s="12" t="inlineStr">
        <is>
          <t>2026-10-03</t>
        </is>
      </c>
      <c r="I34" s="12" t="inlineStr">
        <is>
          <t>PLT-005</t>
        </is>
      </c>
      <c r="J34" s="12" t="inlineStr">
        <is>
          <t>-</t>
        </is>
      </c>
      <c r="K34" s="12" t="inlineStr">
        <is>
          <t>#36</t>
        </is>
      </c>
      <c r="L34" s="12" t="n"/>
    </row>
    <row r="35" ht="27" customFormat="1" customHeight="1" s="2">
      <c r="A35" s="34" t="inlineStr">
        <is>
          <t>34</t>
        </is>
      </c>
      <c r="B35" s="12" t="inlineStr">
        <is>
          <t>Add the operations consent view (NAV-019)</t>
        </is>
      </c>
      <c r="C35" s="12" t="inlineStr">
        <is>
          <t>Feature</t>
        </is>
      </c>
      <c r="D35" s="12" t="inlineStr">
        <is>
          <t>claude/confident-albattani-dqw1dk -&gt; main</t>
        </is>
      </c>
      <c r="E35" s="12" t="inlineStr">
        <is>
          <t>Production (main -&gt; gokesari.com)</t>
        </is>
      </c>
      <c r="F35" s="12" t="inlineStr">
        <is>
          <t>Merged</t>
        </is>
      </c>
      <c r="G35" s="12" t="inlineStr">
        <is>
          <t>2026-10-03</t>
        </is>
      </c>
      <c r="H35" s="12" t="inlineStr">
        <is>
          <t>2026-10-03</t>
        </is>
      </c>
      <c r="I35" s="12" t="inlineStr">
        <is>
          <t>GS-070, NAV-019</t>
        </is>
      </c>
      <c r="J35" s="12" t="inlineStr">
        <is>
          <t>GS-070, NAV-019</t>
        </is>
      </c>
      <c r="K35" s="12" t="inlineStr">
        <is>
          <t>Itself (merged to main)</t>
        </is>
      </c>
      <c r="L35" s="12" t="n"/>
    </row>
    <row r="36" ht="27" customFormat="1" customHeight="1" s="2">
      <c r="A36" s="34" t="inlineStr">
        <is>
          <t>35</t>
        </is>
      </c>
      <c r="B36" s="12" t="inlineStr">
        <is>
          <t>Make `npm run dev` start again under Next 16</t>
        </is>
      </c>
      <c r="C36" s="12" t="inlineStr">
        <is>
          <t>Fix / hotfix</t>
        </is>
      </c>
      <c r="D36" s="12" t="inlineStr">
        <is>
          <t>claude/confident-albattani-dqw1dk -&gt; main</t>
        </is>
      </c>
      <c r="E36" s="12" t="inlineStr">
        <is>
          <t>Production (main -&gt; gokesari.com)</t>
        </is>
      </c>
      <c r="F36" s="12" t="inlineStr">
        <is>
          <t>Merged</t>
        </is>
      </c>
      <c r="G36" s="12" t="inlineStr">
        <is>
          <t>2026-10-03</t>
        </is>
      </c>
      <c r="H36" s="12" t="inlineStr">
        <is>
          <t>2026-10-03</t>
        </is>
      </c>
      <c r="I36" s="12" t="inlineStr">
        <is>
          <t>PLT-001</t>
        </is>
      </c>
      <c r="J36" s="12" t="inlineStr">
        <is>
          <t>PLT-001</t>
        </is>
      </c>
      <c r="K36" s="12" t="inlineStr">
        <is>
          <t>Itself (merged to main)</t>
        </is>
      </c>
      <c r="L36" s="12" t="n"/>
    </row>
    <row r="37" ht="27" customFormat="1" customHeight="1" s="2">
      <c r="A37" s="34" t="inlineStr">
        <is>
          <t>36</t>
        </is>
      </c>
      <c r="B37" s="12" t="inlineStr">
        <is>
          <t>Promote staging: delete DEPLOY_NOW.md</t>
        </is>
      </c>
      <c r="C37" s="12" t="inlineStr">
        <is>
          <t>Release (staging -&gt; main)</t>
        </is>
      </c>
      <c r="D37" s="12" t="inlineStr">
        <is>
          <t>staging -&gt; main</t>
        </is>
      </c>
      <c r="E37" s="12" t="inlineStr">
        <is>
          <t>Production (main -&gt; gokesari.com)</t>
        </is>
      </c>
      <c r="F37" s="12" t="inlineStr">
        <is>
          <t>Merged</t>
        </is>
      </c>
      <c r="G37" s="12" t="inlineStr">
        <is>
          <t>2026-10-03</t>
        </is>
      </c>
      <c r="H37" s="12" t="inlineStr">
        <is>
          <t>2026-10-03</t>
        </is>
      </c>
      <c r="I37" s="12" t="inlineStr">
        <is>
          <t>-</t>
        </is>
      </c>
      <c r="J37" s="12" t="inlineStr">
        <is>
          <t>PLT-005</t>
        </is>
      </c>
      <c r="K37" s="12" t="inlineStr">
        <is>
          <t>Itself (merged to main)</t>
        </is>
      </c>
      <c r="L37" s="12" t="n"/>
    </row>
    <row r="38" ht="27" customFormat="1" customHeight="1" s="2">
      <c r="A38" s="34" t="inlineStr">
        <is>
          <t>37</t>
        </is>
      </c>
      <c r="B38" s="12" t="inlineStr">
        <is>
          <t>Add a GoKesari deploy runbook</t>
        </is>
      </c>
      <c r="C38" s="12" t="inlineStr">
        <is>
          <t>Docs / reports</t>
        </is>
      </c>
      <c r="D38" s="12" t="inlineStr">
        <is>
          <t>claude/confident-albattani-dqw1dk -&gt; main</t>
        </is>
      </c>
      <c r="E38" s="12" t="inlineStr">
        <is>
          <t>Production (main -&gt; gokesari.com)</t>
        </is>
      </c>
      <c r="F38" s="12" t="inlineStr">
        <is>
          <t>Merged</t>
        </is>
      </c>
      <c r="G38" s="12" t="inlineStr">
        <is>
          <t>2026-10-03</t>
        </is>
      </c>
      <c r="H38" s="12" t="inlineStr">
        <is>
          <t>2026-10-03</t>
        </is>
      </c>
      <c r="I38" s="12" t="inlineStr">
        <is>
          <t>PLT-006</t>
        </is>
      </c>
      <c r="J38" s="12" t="inlineStr">
        <is>
          <t>PLT-006</t>
        </is>
      </c>
      <c r="K38" s="12" t="inlineStr">
        <is>
          <t>Itself (merged to main)</t>
        </is>
      </c>
      <c r="L38" s="12" t="n"/>
    </row>
    <row r="39" ht="27" customFormat="1" customHeight="1" s="2">
      <c r="A39" s="34" t="inlineStr">
        <is>
          <t>38</t>
        </is>
      </c>
      <c r="B39" s="12" t="inlineStr">
        <is>
          <t>Product Master: category management (category master, shop categories, one-time categorisation)</t>
        </is>
      </c>
      <c r="C39" s="12" t="inlineStr">
        <is>
          <t>Feature</t>
        </is>
      </c>
      <c r="D39" s="12" t="inlineStr">
        <is>
          <t>claude/wizardly-goldberg-cb4pqg -&gt; staging</t>
        </is>
      </c>
      <c r="E39" s="12" t="inlineStr">
        <is>
          <t>Test site (staging -&gt; test.gokesari.com)</t>
        </is>
      </c>
      <c r="F39" s="12" t="inlineStr">
        <is>
          <t>Merged</t>
        </is>
      </c>
      <c r="G39" s="12" t="inlineStr">
        <is>
          <t>2026-10-03</t>
        </is>
      </c>
      <c r="H39" s="12" t="inlineStr">
        <is>
          <t>2026-10-03</t>
        </is>
      </c>
      <c r="I39" s="12" t="inlineStr">
        <is>
          <t>GS-011, GS-012, GS-013, RBAC-004, NAV-007, NEW-008</t>
        </is>
      </c>
      <c r="J39" s="12" t="inlineStr">
        <is>
          <t>-</t>
        </is>
      </c>
      <c r="K39" s="12" t="inlineStr">
        <is>
          <t>#43</t>
        </is>
      </c>
      <c r="L39" s="12" t="n"/>
    </row>
    <row r="40" ht="27" customFormat="1" customHeight="1" s="2">
      <c r="A40" s="34" t="inlineStr">
        <is>
          <t>39</t>
        </is>
      </c>
      <c r="B40" s="12" t="inlineStr">
        <is>
          <t>Categorisation script: --fallback category and --from-json reports</t>
        </is>
      </c>
      <c r="C40" s="12" t="inlineStr">
        <is>
          <t>Feature</t>
        </is>
      </c>
      <c r="D40" s="12" t="inlineStr">
        <is>
          <t>claude/wizardly-goldberg-cb4pqg -&gt; staging</t>
        </is>
      </c>
      <c r="E40" s="12" t="inlineStr">
        <is>
          <t>Test site (staging -&gt; test.gokesari.com)</t>
        </is>
      </c>
      <c r="F40" s="12" t="inlineStr">
        <is>
          <t>Merged</t>
        </is>
      </c>
      <c r="G40" s="12" t="inlineStr">
        <is>
          <t>2026-10-03</t>
        </is>
      </c>
      <c r="H40" s="12" t="inlineStr">
        <is>
          <t>2026-10-03</t>
        </is>
      </c>
      <c r="I40" s="12" t="inlineStr">
        <is>
          <t>NEW-008</t>
        </is>
      </c>
      <c r="J40" s="12" t="inlineStr">
        <is>
          <t>-</t>
        </is>
      </c>
      <c r="K40" s="12" t="inlineStr">
        <is>
          <t>#43</t>
        </is>
      </c>
      <c r="L40" s="12" t="n"/>
    </row>
    <row r="41" ht="27" customFormat="1" customHeight="1" s="2">
      <c r="A41" s="34" t="inlineStr">
        <is>
          <t>40</t>
        </is>
      </c>
      <c r="B41" s="12" t="inlineStr">
        <is>
          <t>GS-058: dispute case lifecycle</t>
        </is>
      </c>
      <c r="C41" s="12" t="inlineStr">
        <is>
          <t>Feature</t>
        </is>
      </c>
      <c r="D41" s="12" t="inlineStr">
        <is>
          <t>claude/confident-albattani-dqw1dk -&gt; main</t>
        </is>
      </c>
      <c r="E41" s="12" t="inlineStr">
        <is>
          <t>Production (main -&gt; gokesari.com)</t>
        </is>
      </c>
      <c r="F41" s="12" t="inlineStr">
        <is>
          <t>Merged</t>
        </is>
      </c>
      <c r="G41" s="12" t="inlineStr">
        <is>
          <t>2026-10-03</t>
        </is>
      </c>
      <c r="H41" s="12" t="inlineStr">
        <is>
          <t>2026-10-03</t>
        </is>
      </c>
      <c r="I41" s="12" t="inlineStr">
        <is>
          <t>GS-058, SM-006</t>
        </is>
      </c>
      <c r="J41" s="12" t="inlineStr">
        <is>
          <t>GS-058, SM-006</t>
        </is>
      </c>
      <c r="K41" s="12" t="inlineStr">
        <is>
          <t>Itself (merged to main)</t>
        </is>
      </c>
      <c r="L41" s="12" t="n"/>
    </row>
    <row r="42" ht="27" customFormat="1" customHeight="1" s="2">
      <c r="A42" s="34" t="inlineStr">
        <is>
          <t>41</t>
        </is>
      </c>
      <c r="B42" s="12" t="inlineStr">
        <is>
          <t>Limit this project's Claude chats to GoKesari</t>
        </is>
      </c>
      <c r="C42" s="12" t="inlineStr">
        <is>
          <t>DevOps / repo</t>
        </is>
      </c>
      <c r="D42" s="12" t="inlineStr">
        <is>
          <t>claude/wizardly-goldberg-cb4pqg -&gt; staging</t>
        </is>
      </c>
      <c r="E42" s="12" t="inlineStr">
        <is>
          <t>Test site (staging -&gt; test.gokesari.com)</t>
        </is>
      </c>
      <c r="F42" s="12" t="inlineStr">
        <is>
          <t>Merged</t>
        </is>
      </c>
      <c r="G42" s="12" t="inlineStr">
        <is>
          <t>2026-10-03</t>
        </is>
      </c>
      <c r="H42" s="12" t="inlineStr">
        <is>
          <t>2026-10-03</t>
        </is>
      </c>
      <c r="I42" s="12" t="inlineStr">
        <is>
          <t>PLT-005</t>
        </is>
      </c>
      <c r="J42" s="12" t="inlineStr">
        <is>
          <t>-</t>
        </is>
      </c>
      <c r="K42" s="12" t="inlineStr">
        <is>
          <t>#43</t>
        </is>
      </c>
      <c r="L42" s="12" t="n"/>
    </row>
    <row r="43" ht="27" customFormat="1" customHeight="1" s="2">
      <c r="A43" s="34" t="inlineStr">
        <is>
          <t>42</t>
        </is>
      </c>
      <c r="B43" s="12" t="inlineStr">
        <is>
          <t>Merge main into staging: fix the migration 0037 clash; feature status report 3 Oct</t>
        </is>
      </c>
      <c r="C43" s="12" t="inlineStr">
        <is>
          <t>Docs / reports</t>
        </is>
      </c>
      <c r="D43" s="12" t="inlineStr">
        <is>
          <t>claude/pensive-cray-ccof2w -&gt; staging</t>
        </is>
      </c>
      <c r="E43" s="12" t="inlineStr">
        <is>
          <t>Test site (staging -&gt; test.gokesari.com)</t>
        </is>
      </c>
      <c r="F43" s="12" t="inlineStr">
        <is>
          <t>Merged</t>
        </is>
      </c>
      <c r="G43" s="12" t="inlineStr">
        <is>
          <t>2026-10-03</t>
        </is>
      </c>
      <c r="H43" s="12" t="inlineStr">
        <is>
          <t>2026-10-03</t>
        </is>
      </c>
      <c r="I43" s="12" t="inlineStr">
        <is>
          <t>-</t>
        </is>
      </c>
      <c r="J43" s="12" t="inlineStr">
        <is>
          <t>-</t>
        </is>
      </c>
      <c r="K43" s="12" t="inlineStr">
        <is>
          <t>#43</t>
        </is>
      </c>
      <c r="L43" s="12" t="n"/>
    </row>
    <row r="44" ht="75" customFormat="1" customHeight="1" s="2">
      <c r="A44" s="34" t="inlineStr">
        <is>
          <t>43</t>
        </is>
      </c>
      <c r="B44" s="12" t="inlineStr">
        <is>
          <t>Release: staging → main (product category management, login/profile, GoKesari-only chat rule)</t>
        </is>
      </c>
      <c r="C44" s="12" t="inlineStr">
        <is>
          <t>Release (staging -&gt; main)</t>
        </is>
      </c>
      <c r="D44" s="12" t="inlineStr">
        <is>
          <t>staging -&gt; main</t>
        </is>
      </c>
      <c r="E44" s="12" t="inlineStr">
        <is>
          <t>Production (main -&gt; gokesari.com)</t>
        </is>
      </c>
      <c r="F44" s="12" t="inlineStr">
        <is>
          <t>Merged</t>
        </is>
      </c>
      <c r="G44" s="12" t="inlineStr">
        <is>
          <t>2026-10-03</t>
        </is>
      </c>
      <c r="H44" s="12" t="inlineStr">
        <is>
          <t>2026-10-03</t>
        </is>
      </c>
      <c r="I44" s="12" t="inlineStr">
        <is>
          <t>-</t>
        </is>
      </c>
      <c r="J44" s="12" t="inlineStr">
        <is>
          <t>GS-001, GS-011, GS-012, GS-013, GS-026, WF-001, RBAC-004, NAV-003, NAV-007, NEW-008, PLT-005</t>
        </is>
      </c>
      <c r="K44" s="12" t="inlineStr">
        <is>
          <t>Itself (merged to main)</t>
        </is>
      </c>
      <c r="L44" s="12" t="n"/>
    </row>
    <row r="45" ht="27" customFormat="1" customHeight="1" s="2">
      <c r="A45" s="34" t="inlineStr">
        <is>
          <t>44</t>
        </is>
      </c>
      <c r="B45" s="12" t="inlineStr">
        <is>
          <t>Merge main into staging: renumber dispute migration to 0039</t>
        </is>
      </c>
      <c r="C45" s="12" t="inlineStr">
        <is>
          <t>Docs / reports</t>
        </is>
      </c>
      <c r="D45" s="12" t="inlineStr">
        <is>
          <t>claude/wizardly-goldberg-cb4pqg -&gt; staging</t>
        </is>
      </c>
      <c r="E45" s="12" t="inlineStr">
        <is>
          <t>Test site (staging -&gt; test.gokesari.com)</t>
        </is>
      </c>
      <c r="F45" s="12" t="inlineStr">
        <is>
          <t>Closed - not merged</t>
        </is>
      </c>
      <c r="G45" s="12" t="inlineStr">
        <is>
          <t>2026-10-03</t>
        </is>
      </c>
      <c r="H45" s="12" t="inlineStr">
        <is>
          <t>2026-10-03</t>
        </is>
      </c>
      <c r="I45" s="12" t="inlineStr">
        <is>
          <t>-</t>
        </is>
      </c>
      <c r="J45" s="12" t="inlineStr">
        <is>
          <t>-</t>
        </is>
      </c>
      <c r="K45" s="12" t="inlineStr">
        <is>
          <t>-</t>
        </is>
      </c>
      <c r="L45" s="12" t="inlineStr">
        <is>
          <t>Closed; superseded by #42 (migration renumbering).</t>
        </is>
      </c>
    </row>
    <row r="46" ht="27" customFormat="1" customHeight="1" s="2">
      <c r="A46" s="34" t="inlineStr">
        <is>
          <t>45</t>
        </is>
      </c>
      <c r="B46" s="12" t="inlineStr">
        <is>
          <t>Shop owner fixes: registration validation, inventory fill, per-shop prices, owner name, Sign out</t>
        </is>
      </c>
      <c r="C46" s="12" t="inlineStr">
        <is>
          <t>Feature</t>
        </is>
      </c>
      <c r="D46" s="12" t="inlineStr">
        <is>
          <t>claude/magical-hamilton-kbhqm0 -&gt; staging</t>
        </is>
      </c>
      <c r="E46" s="12" t="inlineStr">
        <is>
          <t>Test site (staging -&gt; test.gokesari.com)</t>
        </is>
      </c>
      <c r="F46" s="12" t="inlineStr">
        <is>
          <t>Merged</t>
        </is>
      </c>
      <c r="G46" s="12" t="inlineStr">
        <is>
          <t>2026-10-03</t>
        </is>
      </c>
      <c r="H46" s="12" t="inlineStr">
        <is>
          <t>2026-10-03</t>
        </is>
      </c>
      <c r="I46" s="12" t="inlineStr">
        <is>
          <t>GS-006, GS-012, GS-015, WF-008, NAV-006, NAV-007, NEW-010</t>
        </is>
      </c>
      <c r="J46" s="12" t="inlineStr">
        <is>
          <t>-</t>
        </is>
      </c>
      <c r="K46" s="12" t="inlineStr">
        <is>
          <t>#47</t>
        </is>
      </c>
      <c r="L46" s="12" t="n"/>
    </row>
    <row r="47" ht="27" customFormat="1" customHeight="1" s="2">
      <c r="A47" s="34" t="inlineStr">
        <is>
          <t>46</t>
        </is>
      </c>
      <c r="B47" s="12" t="inlineStr">
        <is>
          <t>Add open features summary spreadsheet (3 Oct 2026)</t>
        </is>
      </c>
      <c r="C47" s="12" t="inlineStr">
        <is>
          <t>Docs / reports</t>
        </is>
      </c>
      <c r="D47" s="12" t="inlineStr">
        <is>
          <t>claude/focused-ptolemy-55j95o -&gt; main</t>
        </is>
      </c>
      <c r="E47" s="12" t="inlineStr">
        <is>
          <t>Production (main -&gt; gokesari.com)</t>
        </is>
      </c>
      <c r="F47" s="12" t="inlineStr">
        <is>
          <t>Merged</t>
        </is>
      </c>
      <c r="G47" s="12" t="inlineStr">
        <is>
          <t>2026-10-03</t>
        </is>
      </c>
      <c r="H47" s="12" t="inlineStr">
        <is>
          <t>2026-10-05</t>
        </is>
      </c>
      <c r="I47" s="12" t="inlineStr">
        <is>
          <t>-</t>
        </is>
      </c>
      <c r="J47" s="12" t="inlineStr">
        <is>
          <t>-</t>
        </is>
      </c>
      <c r="K47" s="12" t="inlineStr">
        <is>
          <t>Itself (merged to main)</t>
        </is>
      </c>
      <c r="L47" s="12" t="n"/>
    </row>
    <row r="48" ht="51" customFormat="1" customHeight="1" s="2">
      <c r="A48" s="34" t="inlineStr">
        <is>
          <t>47</t>
        </is>
      </c>
      <c r="B48" s="12" t="inlineStr">
        <is>
          <t>Release: shop owner fixes (staging → main)</t>
        </is>
      </c>
      <c r="C48" s="12" t="inlineStr">
        <is>
          <t>Release (staging -&gt; main)</t>
        </is>
      </c>
      <c r="D48" s="12" t="inlineStr">
        <is>
          <t>staging -&gt; main</t>
        </is>
      </c>
      <c r="E48" s="12" t="inlineStr">
        <is>
          <t>Production (main -&gt; gokesari.com)</t>
        </is>
      </c>
      <c r="F48" s="12" t="inlineStr">
        <is>
          <t>Merged</t>
        </is>
      </c>
      <c r="G48" s="12" t="inlineStr">
        <is>
          <t>2026-10-03</t>
        </is>
      </c>
      <c r="H48" s="12" t="inlineStr">
        <is>
          <t>2026-10-03</t>
        </is>
      </c>
      <c r="I48" s="12" t="inlineStr">
        <is>
          <t>-</t>
        </is>
      </c>
      <c r="J48" s="12" t="inlineStr">
        <is>
          <t>GS-006, GS-012, GS-015, WF-008, NAV-006, NAV-007, NEW-010</t>
        </is>
      </c>
      <c r="K48" s="12" t="inlineStr">
        <is>
          <t>Itself (merged to main)</t>
        </is>
      </c>
      <c r="L48" s="12" t="n"/>
    </row>
    <row r="49" ht="27" customFormat="1" customHeight="1" s="2">
      <c r="A49" s="34" t="inlineStr">
        <is>
          <t>48</t>
        </is>
      </c>
      <c r="B49" s="12" t="inlineStr">
        <is>
          <t>Add cart and checkout flow enhancements</t>
        </is>
      </c>
      <c r="C49" s="12" t="inlineStr">
        <is>
          <t>Feature</t>
        </is>
      </c>
      <c r="D49" s="12" t="inlineStr">
        <is>
          <t>claude/brave-mendel-615f3y -&gt; staging</t>
        </is>
      </c>
      <c r="E49" s="12" t="inlineStr">
        <is>
          <t>Test site (staging -&gt; test.gokesari.com)</t>
        </is>
      </c>
      <c r="F49" s="12" t="inlineStr">
        <is>
          <t>Merged</t>
        </is>
      </c>
      <c r="G49" s="12" t="inlineStr">
        <is>
          <t>2026-10-03</t>
        </is>
      </c>
      <c r="H49" s="12" t="inlineStr">
        <is>
          <t>2026-10-07</t>
        </is>
      </c>
      <c r="I49" s="12" t="inlineStr">
        <is>
          <t>GS-020, GS-024, NAV-003, NEW-012</t>
        </is>
      </c>
      <c r="J49" s="12" t="inlineStr">
        <is>
          <t>-</t>
        </is>
      </c>
      <c r="K49" s="12" t="inlineStr">
        <is>
          <t>#71</t>
        </is>
      </c>
      <c r="L49" s="12" t="n"/>
    </row>
    <row r="50" ht="27" customFormat="1" customHeight="1" s="2">
      <c r="A50" s="34" t="inlineStr">
        <is>
          <t>49</t>
        </is>
      </c>
      <c r="B50" s="12" t="inlineStr">
        <is>
          <t>Fix ENOENT race when the Excel import skips a sheet</t>
        </is>
      </c>
      <c r="C50" s="12" t="inlineStr">
        <is>
          <t>Fix / hotfix</t>
        </is>
      </c>
      <c r="D50" s="12" t="inlineStr">
        <is>
          <t>claude/magical-hamilton-kbhqm0 -&gt; staging</t>
        </is>
      </c>
      <c r="E50" s="12" t="inlineStr">
        <is>
          <t>Test site (staging -&gt; test.gokesari.com)</t>
        </is>
      </c>
      <c r="F50" s="12" t="inlineStr">
        <is>
          <t>Merged</t>
        </is>
      </c>
      <c r="G50" s="12" t="inlineStr">
        <is>
          <t>2026-10-03</t>
        </is>
      </c>
      <c r="H50" s="12" t="inlineStr">
        <is>
          <t>2026-10-04</t>
        </is>
      </c>
      <c r="I50" s="12" t="inlineStr">
        <is>
          <t>PMD-001</t>
        </is>
      </c>
      <c r="J50" s="12" t="inlineStr">
        <is>
          <t>-</t>
        </is>
      </c>
      <c r="K50" s="12" t="inlineStr">
        <is>
          <t>#50</t>
        </is>
      </c>
      <c r="L50" s="12" t="n"/>
    </row>
    <row r="51" ht="27" customFormat="1" customHeight="1" s="2">
      <c r="A51" s="34" t="inlineStr">
        <is>
          <t>50</t>
        </is>
      </c>
      <c r="B51" s="12" t="inlineStr">
        <is>
          <t>Release: fix Excel import ENOENT race (staging → main)</t>
        </is>
      </c>
      <c r="C51" s="12" t="inlineStr">
        <is>
          <t>Release (staging -&gt; main)</t>
        </is>
      </c>
      <c r="D51" s="12" t="inlineStr">
        <is>
          <t>staging -&gt; main</t>
        </is>
      </c>
      <c r="E51" s="12" t="inlineStr">
        <is>
          <t>Production (main -&gt; gokesari.com)</t>
        </is>
      </c>
      <c r="F51" s="12" t="inlineStr">
        <is>
          <t>Merged</t>
        </is>
      </c>
      <c r="G51" s="12" t="inlineStr">
        <is>
          <t>2026-10-04</t>
        </is>
      </c>
      <c r="H51" s="12" t="inlineStr">
        <is>
          <t>2026-10-04</t>
        </is>
      </c>
      <c r="I51" s="12" t="inlineStr">
        <is>
          <t>-</t>
        </is>
      </c>
      <c r="J51" s="12" t="inlineStr">
        <is>
          <t>PMD-001</t>
        </is>
      </c>
      <c r="K51" s="12" t="inlineStr">
        <is>
          <t>Itself (merged to main)</t>
        </is>
      </c>
      <c r="L51" s="12" t="n"/>
    </row>
    <row r="52" ht="27" customFormat="1" customHeight="1" s="2">
      <c r="A52" s="34" t="inlineStr">
        <is>
          <t>51</t>
        </is>
      </c>
      <c r="B52" s="12" t="inlineStr">
        <is>
          <t>Add comprehensive test execution framework for 791 test cases</t>
        </is>
      </c>
      <c r="C52" s="12" t="inlineStr">
        <is>
          <t>QA / tests</t>
        </is>
      </c>
      <c r="D52" s="12" t="inlineStr">
        <is>
          <t>claude/excel-test-cases-xk1gjq -&gt; staging</t>
        </is>
      </c>
      <c r="E52" s="12" t="inlineStr">
        <is>
          <t>Test site (staging -&gt; test.gokesari.com)</t>
        </is>
      </c>
      <c r="F52" s="12" t="inlineStr">
        <is>
          <t>Merged</t>
        </is>
      </c>
      <c r="G52" s="12" t="inlineStr">
        <is>
          <t>2026-10-04</t>
        </is>
      </c>
      <c r="H52" s="12" t="inlineStr">
        <is>
          <t>2026-10-07</t>
        </is>
      </c>
      <c r="I52" s="12" t="inlineStr">
        <is>
          <t>QA-001, QA-002</t>
        </is>
      </c>
      <c r="J52" s="12" t="inlineStr">
        <is>
          <t>-</t>
        </is>
      </c>
      <c r="K52" s="12" t="inlineStr">
        <is>
          <t>#70</t>
        </is>
      </c>
      <c r="L52" s="12" t="n"/>
    </row>
    <row r="53" ht="27" customFormat="1" customHeight="1" s="2">
      <c r="A53" s="34" t="inlineStr">
        <is>
          <t>52</t>
        </is>
      </c>
      <c r="B53" s="12" t="inlineStr">
        <is>
          <t>Update e2e acceptance tests to current sign-in and wallet flows</t>
        </is>
      </c>
      <c r="C53" s="12" t="inlineStr">
        <is>
          <t>QA / tests</t>
        </is>
      </c>
      <c r="D53" s="12" t="inlineStr">
        <is>
          <t>claude/magical-hamilton-kbhqm0 -&gt; staging</t>
        </is>
      </c>
      <c r="E53" s="12" t="inlineStr">
        <is>
          <t>Test site (staging -&gt; test.gokesari.com)</t>
        </is>
      </c>
      <c r="F53" s="12" t="inlineStr">
        <is>
          <t>Merged</t>
        </is>
      </c>
      <c r="G53" s="12" t="inlineStr">
        <is>
          <t>2026-10-04</t>
        </is>
      </c>
      <c r="H53" s="12" t="inlineStr">
        <is>
          <t>2026-10-04</t>
        </is>
      </c>
      <c r="I53" s="12" t="inlineStr">
        <is>
          <t>QA-001</t>
        </is>
      </c>
      <c r="J53" s="12" t="inlineStr">
        <is>
          <t>-</t>
        </is>
      </c>
      <c r="K53" s="12" t="inlineStr">
        <is>
          <t>#54</t>
        </is>
      </c>
      <c r="L53" s="12" t="n"/>
    </row>
    <row r="54" ht="27" customFormat="1" customHeight="1" s="2">
      <c r="A54" s="34" t="inlineStr">
        <is>
          <t>53</t>
        </is>
      </c>
      <c r="B54" s="12" t="inlineStr">
        <is>
          <t>Seller verification: KYC core, document rules, seller/admin screens, daily job, compliance controls</t>
        </is>
      </c>
      <c r="C54" s="12" t="inlineStr">
        <is>
          <t>Feature</t>
        </is>
      </c>
      <c r="D54" s="12" t="inlineStr">
        <is>
          <t>claude/gracious-hypatia-t6lkul -&gt; staging</t>
        </is>
      </c>
      <c r="E54" s="12" t="inlineStr">
        <is>
          <t>Test site (staging -&gt; test.gokesari.com)</t>
        </is>
      </c>
      <c r="F54" s="12" t="inlineStr">
        <is>
          <t>Merged</t>
        </is>
      </c>
      <c r="G54" s="12" t="inlineStr">
        <is>
          <t>2026-10-05</t>
        </is>
      </c>
      <c r="H54" s="12" t="inlineStr">
        <is>
          <t>2026-10-05</t>
        </is>
      </c>
      <c r="I54" s="12" t="inlineStr">
        <is>
          <t>GS-006, GS-007, WF-008</t>
        </is>
      </c>
      <c r="J54" s="12" t="inlineStr">
        <is>
          <t>-</t>
        </is>
      </c>
      <c r="K54" s="12" t="inlineStr">
        <is>
          <t>#54</t>
        </is>
      </c>
      <c r="L54" s="12" t="n"/>
    </row>
    <row r="55" ht="27" customFormat="1" customHeight="1" s="2">
      <c r="A55" s="34" t="inlineStr">
        <is>
          <t>54</t>
        </is>
      </c>
      <c r="B55" s="12" t="inlineStr">
        <is>
          <t>Release: seller document verification to production</t>
        </is>
      </c>
      <c r="C55" s="12" t="inlineStr">
        <is>
          <t>Release (staging -&gt; main)</t>
        </is>
      </c>
      <c r="D55" s="12" t="inlineStr">
        <is>
          <t>staging -&gt; main</t>
        </is>
      </c>
      <c r="E55" s="12" t="inlineStr">
        <is>
          <t>Production (main -&gt; gokesari.com)</t>
        </is>
      </c>
      <c r="F55" s="12" t="inlineStr">
        <is>
          <t>Merged</t>
        </is>
      </c>
      <c r="G55" s="12" t="inlineStr">
        <is>
          <t>2026-10-05</t>
        </is>
      </c>
      <c r="H55" s="12" t="inlineStr">
        <is>
          <t>2026-10-05</t>
        </is>
      </c>
      <c r="I55" s="12" t="inlineStr">
        <is>
          <t>-</t>
        </is>
      </c>
      <c r="J55" s="12" t="inlineStr">
        <is>
          <t>GS-006, GS-007, WF-008, QA-001</t>
        </is>
      </c>
      <c r="K55" s="12" t="inlineStr">
        <is>
          <t>Itself (merged to main)</t>
        </is>
      </c>
      <c r="L55" s="12" t="n"/>
    </row>
    <row r="56" ht="51" customFormat="1" customHeight="1" s="2">
      <c r="A56" s="34" t="inlineStr">
        <is>
          <t>55</t>
        </is>
      </c>
      <c r="B56" s="12" t="inlineStr">
        <is>
          <t>Marketplace features F1–F11 (behind business rules, off by default)</t>
        </is>
      </c>
      <c r="C56" s="12" t="inlineStr">
        <is>
          <t>Feature</t>
        </is>
      </c>
      <c r="D56" s="12" t="inlineStr">
        <is>
          <t>claude/gracious-hypatia-t6lkul -&gt; staging</t>
        </is>
      </c>
      <c r="E56" s="12" t="inlineStr">
        <is>
          <t>Test site (staging -&gt; test.gokesari.com)</t>
        </is>
      </c>
      <c r="F56" s="12" t="inlineStr">
        <is>
          <t>Merged</t>
        </is>
      </c>
      <c r="G56" s="12" t="inlineStr">
        <is>
          <t>2026-10-05</t>
        </is>
      </c>
      <c r="H56" s="12" t="inlineStr">
        <is>
          <t>2026-10-05</t>
        </is>
      </c>
      <c r="I56" s="12" t="inlineStr">
        <is>
          <t>GS-014, GS-022, GS-027, GS-033, GS-054, GS-072, WF-001, WF-003, SM-002, SM-003, SM-004, GA-005, NAV-001, NAV-002, NAV-003, NAV-009, NAV-013</t>
        </is>
      </c>
      <c r="J56" s="12" t="inlineStr">
        <is>
          <t>-</t>
        </is>
      </c>
      <c r="K56" s="12" t="inlineStr">
        <is>
          <t>#57</t>
        </is>
      </c>
      <c r="L56" s="12" t="n"/>
    </row>
    <row r="57" ht="27" customFormat="1" customHeight="1" s="2">
      <c r="A57" s="34" t="inlineStr">
        <is>
          <t>56</t>
        </is>
      </c>
      <c r="B57" s="12" t="inlineStr">
        <is>
          <t>Fix referral link redirect pointing at the internal host</t>
        </is>
      </c>
      <c r="C57" s="12" t="inlineStr">
        <is>
          <t>Fix / hotfix</t>
        </is>
      </c>
      <c r="D57" s="12" t="inlineStr">
        <is>
          <t>claude/gracious-hypatia-t6lkul -&gt; staging</t>
        </is>
      </c>
      <c r="E57" s="12" t="inlineStr">
        <is>
          <t>Test site (staging -&gt; test.gokesari.com)</t>
        </is>
      </c>
      <c r="F57" s="12" t="inlineStr">
        <is>
          <t>Merged</t>
        </is>
      </c>
      <c r="G57" s="12" t="inlineStr">
        <is>
          <t>2026-10-06</t>
        </is>
      </c>
      <c r="H57" s="12" t="inlineStr">
        <is>
          <t>2026-10-06</t>
        </is>
      </c>
      <c r="I57" s="12" t="inlineStr">
        <is>
          <t>GS-054</t>
        </is>
      </c>
      <c r="J57" s="12" t="inlineStr">
        <is>
          <t>-</t>
        </is>
      </c>
      <c r="K57" s="12" t="inlineStr">
        <is>
          <t>#57</t>
        </is>
      </c>
      <c r="L57" s="12" t="n"/>
    </row>
    <row r="58" ht="111" customFormat="1" customHeight="1" s="2">
      <c r="A58" s="34" t="inlineStr">
        <is>
          <t>57</t>
        </is>
      </c>
      <c r="B58" s="12" t="inlineStr">
        <is>
          <t>Release to production: marketplace features F1–F11</t>
        </is>
      </c>
      <c r="C58" s="12" t="inlineStr">
        <is>
          <t>Release (staging -&gt; main)</t>
        </is>
      </c>
      <c r="D58" s="12" t="inlineStr">
        <is>
          <t>staging -&gt; main</t>
        </is>
      </c>
      <c r="E58" s="12" t="inlineStr">
        <is>
          <t>Production (main -&gt; gokesari.com)</t>
        </is>
      </c>
      <c r="F58" s="12" t="inlineStr">
        <is>
          <t>Merged</t>
        </is>
      </c>
      <c r="G58" s="12" t="inlineStr">
        <is>
          <t>2026-10-06</t>
        </is>
      </c>
      <c r="H58" s="12" t="inlineStr">
        <is>
          <t>2026-10-06</t>
        </is>
      </c>
      <c r="I58" s="12" t="inlineStr">
        <is>
          <t>-</t>
        </is>
      </c>
      <c r="J58" s="12" t="inlineStr">
        <is>
          <t>GS-014, GS-022, GS-027, GS-033, GS-054, GS-072, WF-001, WF-003, SM-002, SM-003, SM-004, GA-005, NAV-001, NAV-002, NAV-003, NAV-009, NAV-013</t>
        </is>
      </c>
      <c r="K58" s="12" t="inlineStr">
        <is>
          <t>Itself (merged to main)</t>
        </is>
      </c>
      <c r="L58" s="12" t="n"/>
    </row>
    <row r="59" ht="39" customFormat="1" customHeight="1" s="2">
      <c r="A59" s="34" t="inlineStr">
        <is>
          <t>58</t>
        </is>
      </c>
      <c r="B59" s="12" t="inlineStr">
        <is>
          <t>Shop and subscription states, chosen delivery slot, rider batching, order completion (+ 6 Oct status report)</t>
        </is>
      </c>
      <c r="C59" s="12" t="inlineStr">
        <is>
          <t>Feature</t>
        </is>
      </c>
      <c r="D59" s="12" t="inlineStr">
        <is>
          <t>claude/admiring-ritchie-rhs1x8 -&gt; staging</t>
        </is>
      </c>
      <c r="E59" s="12" t="inlineStr">
        <is>
          <t>Test site (staging -&gt; test.gokesari.com)</t>
        </is>
      </c>
      <c r="F59" s="12" t="inlineStr">
        <is>
          <t>Merged</t>
        </is>
      </c>
      <c r="G59" s="12" t="inlineStr">
        <is>
          <t>2026-10-06</t>
        </is>
      </c>
      <c r="H59" s="12" t="inlineStr">
        <is>
          <t>2026-10-06</t>
        </is>
      </c>
      <c r="I59" s="12" t="inlineStr">
        <is>
          <t>GS-027, GS-034, GS-043, GS-051, WF-002, WF-003, WF-006, WF-008, SM-002, SM-004, GA-005, NAV-005, NAV-010, NAV-011, NEW-007</t>
        </is>
      </c>
      <c r="J59" s="12" t="inlineStr">
        <is>
          <t>-</t>
        </is>
      </c>
      <c r="K59" s="12" t="inlineStr">
        <is>
          <t>#65</t>
        </is>
      </c>
      <c r="L59" s="12" t="n"/>
    </row>
    <row r="60" ht="27" customFormat="1" customHeight="1" s="2">
      <c r="A60" s="34" t="inlineStr">
        <is>
          <t>59</t>
        </is>
      </c>
      <c r="B60" s="12" t="inlineStr">
        <is>
          <t>Header: GoKesari logo mark, name and tagline "Your Neighbourhood, Delivered"</t>
        </is>
      </c>
      <c r="C60" s="12" t="inlineStr">
        <is>
          <t>Branding</t>
        </is>
      </c>
      <c r="D60" s="12" t="inlineStr">
        <is>
          <t>claude/serene-tesla-l4ggjm -&gt; staging</t>
        </is>
      </c>
      <c r="E60" s="12" t="inlineStr">
        <is>
          <t>Test site (staging -&gt; test.gokesari.com)</t>
        </is>
      </c>
      <c r="F60" s="12" t="inlineStr">
        <is>
          <t>Merged</t>
        </is>
      </c>
      <c r="G60" s="12" t="inlineStr">
        <is>
          <t>2026-10-06</t>
        </is>
      </c>
      <c r="H60" s="12" t="inlineStr">
        <is>
          <t>2026-10-06</t>
        </is>
      </c>
      <c r="I60" s="12" t="inlineStr">
        <is>
          <t>NEW-011</t>
        </is>
      </c>
      <c r="J60" s="12" t="inlineStr">
        <is>
          <t>-</t>
        </is>
      </c>
      <c r="K60" s="12" t="inlineStr">
        <is>
          <t>#65 (same change on main via #60)</t>
        </is>
      </c>
      <c r="L60" s="12" t="n"/>
    </row>
    <row r="61" ht="27" customFormat="1" customHeight="1" s="2">
      <c r="A61" s="34" t="inlineStr">
        <is>
          <t>60</t>
        </is>
      </c>
      <c r="B61" s="12" t="inlineStr">
        <is>
          <t>Production: GoKesari logo mark, name and tagline "Everything for Everyone" in the header</t>
        </is>
      </c>
      <c r="C61" s="12" t="inlineStr">
        <is>
          <t>Branding</t>
        </is>
      </c>
      <c r="D61" s="12" t="inlineStr">
        <is>
          <t>claude/serene-tesla-l4ggjm -&gt; main</t>
        </is>
      </c>
      <c r="E61" s="12" t="inlineStr">
        <is>
          <t>Production (main -&gt; gokesari.com)</t>
        </is>
      </c>
      <c r="F61" s="12" t="inlineStr">
        <is>
          <t>Merged</t>
        </is>
      </c>
      <c r="G61" s="12" t="inlineStr">
        <is>
          <t>2026-10-06</t>
        </is>
      </c>
      <c r="H61" s="12" t="inlineStr">
        <is>
          <t>2026-10-06</t>
        </is>
      </c>
      <c r="I61" s="12" t="inlineStr">
        <is>
          <t>NEW-011</t>
        </is>
      </c>
      <c r="J61" s="12" t="inlineStr">
        <is>
          <t>NEW-011</t>
        </is>
      </c>
      <c r="K61" s="12" t="inlineStr">
        <is>
          <t>Itself (merged to main)</t>
        </is>
      </c>
      <c r="L61" s="12" t="n"/>
    </row>
    <row r="62" ht="27" customFormat="1" customHeight="1" s="2">
      <c r="A62" s="34" t="inlineStr">
        <is>
          <t>61</t>
        </is>
      </c>
      <c r="B62" s="12" t="inlineStr">
        <is>
          <t>Tagline: "Everything for Everyone" (bring staging in line with production)</t>
        </is>
      </c>
      <c r="C62" s="12" t="inlineStr">
        <is>
          <t>Branding</t>
        </is>
      </c>
      <c r="D62" s="12" t="inlineStr">
        <is>
          <t>claude/serene-tesla-l4ggjm -&gt; staging</t>
        </is>
      </c>
      <c r="E62" s="12" t="inlineStr">
        <is>
          <t>Test site (staging -&gt; test.gokesari.com)</t>
        </is>
      </c>
      <c r="F62" s="12" t="inlineStr">
        <is>
          <t>Merged</t>
        </is>
      </c>
      <c r="G62" s="12" t="inlineStr">
        <is>
          <t>2026-10-06</t>
        </is>
      </c>
      <c r="H62" s="12" t="inlineStr">
        <is>
          <t>2026-10-06</t>
        </is>
      </c>
      <c r="I62" s="12" t="inlineStr">
        <is>
          <t>NEW-011</t>
        </is>
      </c>
      <c r="J62" s="12" t="inlineStr">
        <is>
          <t>-</t>
        </is>
      </c>
      <c r="K62" s="12" t="inlineStr">
        <is>
          <t>#65</t>
        </is>
      </c>
      <c r="L62" s="12" t="n"/>
    </row>
    <row r="63" ht="27" customFormat="1" customHeight="1" s="2">
      <c r="A63" s="34" t="inlineStr">
        <is>
          <t>62</t>
        </is>
      </c>
      <c r="B63" s="12" t="inlineStr">
        <is>
          <t>Production: GoKesari GK favicon instead of the Next.js template icon</t>
        </is>
      </c>
      <c r="C63" s="12" t="inlineStr">
        <is>
          <t>Branding</t>
        </is>
      </c>
      <c r="D63" s="12" t="inlineStr">
        <is>
          <t>claude/serene-tesla-l4ggjm -&gt; main</t>
        </is>
      </c>
      <c r="E63" s="12" t="inlineStr">
        <is>
          <t>Production (main -&gt; gokesari.com)</t>
        </is>
      </c>
      <c r="F63" s="12" t="inlineStr">
        <is>
          <t>Merged</t>
        </is>
      </c>
      <c r="G63" s="12" t="inlineStr">
        <is>
          <t>2026-10-06</t>
        </is>
      </c>
      <c r="H63" s="12" t="inlineStr">
        <is>
          <t>2026-10-06</t>
        </is>
      </c>
      <c r="I63" s="12" t="inlineStr">
        <is>
          <t>NEW-011</t>
        </is>
      </c>
      <c r="J63" s="12" t="inlineStr">
        <is>
          <t>NEW-011</t>
        </is>
      </c>
      <c r="K63" s="12" t="inlineStr">
        <is>
          <t>Itself (merged to main)</t>
        </is>
      </c>
      <c r="L63" s="12" t="n"/>
    </row>
    <row r="64" ht="27" customFormat="1" customHeight="1" s="2">
      <c r="A64" s="34" t="inlineStr">
        <is>
          <t>63</t>
        </is>
      </c>
      <c r="B64" s="12" t="inlineStr">
        <is>
          <t>GoKesari GK favicon instead of the Next.js template icon</t>
        </is>
      </c>
      <c r="C64" s="12" t="inlineStr">
        <is>
          <t>Branding</t>
        </is>
      </c>
      <c r="D64" s="12" t="inlineStr">
        <is>
          <t>claude/serene-tesla-l4ggjm -&gt; staging</t>
        </is>
      </c>
      <c r="E64" s="12" t="inlineStr">
        <is>
          <t>Test site (staging -&gt; test.gokesari.com)</t>
        </is>
      </c>
      <c r="F64" s="12" t="inlineStr">
        <is>
          <t>Merged</t>
        </is>
      </c>
      <c r="G64" s="12" t="inlineStr">
        <is>
          <t>2026-10-06</t>
        </is>
      </c>
      <c r="H64" s="12" t="inlineStr">
        <is>
          <t>2026-10-06</t>
        </is>
      </c>
      <c r="I64" s="12" t="inlineStr">
        <is>
          <t>NEW-011</t>
        </is>
      </c>
      <c r="J64" s="12" t="inlineStr">
        <is>
          <t>-</t>
        </is>
      </c>
      <c r="K64" s="12" t="inlineStr">
        <is>
          <t>#65 (same change on main via #62)</t>
        </is>
      </c>
      <c r="L64" s="12" t="n"/>
    </row>
    <row r="65" ht="27" customFormat="1" customHeight="1" s="2">
      <c r="A65" s="34" t="inlineStr">
        <is>
          <t>64</t>
        </is>
      </c>
      <c r="B65" s="12" t="inlineStr">
        <is>
          <t>Scheduled-slots tests: stop failing every evening after the test shop closes</t>
        </is>
      </c>
      <c r="C65" s="12" t="inlineStr">
        <is>
          <t>Fix / hotfix</t>
        </is>
      </c>
      <c r="D65" s="12" t="inlineStr">
        <is>
          <t>claude/fix-scheduled-slots-clock -&gt; staging</t>
        </is>
      </c>
      <c r="E65" s="12" t="inlineStr">
        <is>
          <t>Test site (staging -&gt; test.gokesari.com)</t>
        </is>
      </c>
      <c r="F65" s="12" t="inlineStr">
        <is>
          <t>Merged</t>
        </is>
      </c>
      <c r="G65" s="12" t="inlineStr">
        <is>
          <t>2026-10-06</t>
        </is>
      </c>
      <c r="H65" s="12" t="inlineStr">
        <is>
          <t>2026-10-06</t>
        </is>
      </c>
      <c r="I65" s="12" t="inlineStr">
        <is>
          <t>-</t>
        </is>
      </c>
      <c r="J65" s="12" t="inlineStr">
        <is>
          <t>-</t>
        </is>
      </c>
      <c r="K65" s="12" t="inlineStr">
        <is>
          <t>#65</t>
        </is>
      </c>
      <c r="L65" s="12" t="n"/>
    </row>
    <row r="66" ht="135" customFormat="1" customHeight="1" s="2">
      <c r="A66" s="34" t="inlineStr">
        <is>
          <t>65</t>
        </is>
      </c>
      <c r="B66" s="12" t="inlineStr">
        <is>
          <t>Release: staging → main (order lifecycle backlog, migrations 0051–0055)</t>
        </is>
      </c>
      <c r="C66" s="12" t="inlineStr">
        <is>
          <t>Release (staging -&gt; main)</t>
        </is>
      </c>
      <c r="D66" s="12" t="inlineStr">
        <is>
          <t>staging -&gt; main</t>
        </is>
      </c>
      <c r="E66" s="12" t="inlineStr">
        <is>
          <t>Production (main -&gt; gokesari.com)</t>
        </is>
      </c>
      <c r="F66" s="12" t="inlineStr">
        <is>
          <t>Merged</t>
        </is>
      </c>
      <c r="G66" s="12" t="inlineStr">
        <is>
          <t>2026-10-06</t>
        </is>
      </c>
      <c r="H66" s="12" t="inlineStr">
        <is>
          <t>2026-10-06</t>
        </is>
      </c>
      <c r="I66" s="12" t="inlineStr">
        <is>
          <t>-</t>
        </is>
      </c>
      <c r="J66" s="12" t="inlineStr">
        <is>
          <t>GS-027, GS-034, GS-043, GS-051, WF-002, WF-003, WF-006, WF-008, SM-002, SM-004, GA-005, NAV-001, NAV-005, NAV-010, NAV-011, NEW-007, NEW-013, NEW-014, PLT-004</t>
        </is>
      </c>
      <c r="K66" s="12" t="inlineStr">
        <is>
          <t>Itself (merged to main)</t>
        </is>
      </c>
      <c r="L66" s="12" t="n"/>
    </row>
    <row r="67" ht="27" customFormat="1" customHeight="1" s="2">
      <c r="A67" s="34" t="inlineStr">
        <is>
          <t>66</t>
        </is>
      </c>
      <c r="B67" s="12" t="inlineStr">
        <is>
          <t>Patch flagged npm packages: sharp, brace-expansion, source-map-js, js-yaml</t>
        </is>
      </c>
      <c r="C67" s="12" t="inlineStr">
        <is>
          <t>Security / dependencies</t>
        </is>
      </c>
      <c r="D67" s="12" t="inlineStr">
        <is>
          <t>claude/intelligent-noether-rogv14 -&gt; staging</t>
        </is>
      </c>
      <c r="E67" s="12" t="inlineStr">
        <is>
          <t>Test site (staging -&gt; test.gokesari.com)</t>
        </is>
      </c>
      <c r="F67" s="12" t="inlineStr">
        <is>
          <t>Merged</t>
        </is>
      </c>
      <c r="G67" s="12" t="inlineStr">
        <is>
          <t>2026-10-06</t>
        </is>
      </c>
      <c r="H67" s="12" t="inlineStr">
        <is>
          <t>2026-10-06</t>
        </is>
      </c>
      <c r="I67" s="12" t="inlineStr">
        <is>
          <t>PLT-004</t>
        </is>
      </c>
      <c r="J67" s="12" t="inlineStr">
        <is>
          <t>-</t>
        </is>
      </c>
      <c r="K67" s="12" t="inlineStr">
        <is>
          <t>#65</t>
        </is>
      </c>
      <c r="L67" s="12" t="n"/>
    </row>
    <row r="68" ht="27" customFormat="1" customHeight="1" s="2">
      <c r="A68" s="34" t="inlineStr">
        <is>
          <t>67</t>
        </is>
      </c>
      <c r="B68" s="12" t="inlineStr">
        <is>
          <t>Home page: PageSpeed performance and accessibility fixes</t>
        </is>
      </c>
      <c r="C68" s="12" t="inlineStr">
        <is>
          <t>Improvement</t>
        </is>
      </c>
      <c r="D68" s="12" t="inlineStr">
        <is>
          <t>claude/wizardly-galileo-t8kfcl -&gt; staging</t>
        </is>
      </c>
      <c r="E68" s="12" t="inlineStr">
        <is>
          <t>Test site (staging -&gt; test.gokesari.com)</t>
        </is>
      </c>
      <c r="F68" s="12" t="inlineStr">
        <is>
          <t>Merged</t>
        </is>
      </c>
      <c r="G68" s="12" t="inlineStr">
        <is>
          <t>2026-10-06</t>
        </is>
      </c>
      <c r="H68" s="12" t="inlineStr">
        <is>
          <t>2026-10-06</t>
        </is>
      </c>
      <c r="I68" s="12" t="inlineStr">
        <is>
          <t>NAV-001, NEW-013, NEW-014</t>
        </is>
      </c>
      <c r="J68" s="12" t="inlineStr">
        <is>
          <t>-</t>
        </is>
      </c>
      <c r="K68" s="12" t="inlineStr">
        <is>
          <t>#65</t>
        </is>
      </c>
      <c r="L68" s="12" t="n"/>
    </row>
    <row r="69" ht="27" customFormat="1" customHeight="1" s="2">
      <c r="A69" s="34" t="inlineStr">
        <is>
          <t>68</t>
        </is>
      </c>
      <c r="B69" s="12" t="inlineStr">
        <is>
          <t>Home page: keep the page usable if the shop lists' stream fails</t>
        </is>
      </c>
      <c r="C69" s="12" t="inlineStr">
        <is>
          <t>Fix / hotfix</t>
        </is>
      </c>
      <c r="D69" s="12" t="inlineStr">
        <is>
          <t>claude/wizardly-galileo-t8kfcl -&gt; staging</t>
        </is>
      </c>
      <c r="E69" s="12" t="inlineStr">
        <is>
          <t>Test site (staging -&gt; test.gokesari.com)</t>
        </is>
      </c>
      <c r="F69" s="12" t="inlineStr">
        <is>
          <t>Merged</t>
        </is>
      </c>
      <c r="G69" s="12" t="inlineStr">
        <is>
          <t>2026-10-06</t>
        </is>
      </c>
      <c r="H69" s="12" t="inlineStr">
        <is>
          <t>2026-10-07</t>
        </is>
      </c>
      <c r="I69" s="12" t="inlineStr">
        <is>
          <t>NAV-001, NEW-013</t>
        </is>
      </c>
      <c r="J69" s="12" t="inlineStr">
        <is>
          <t>-</t>
        </is>
      </c>
      <c r="K69" s="12" t="inlineStr">
        <is>
          <t>#69</t>
        </is>
      </c>
      <c r="L69" s="12" t="n"/>
    </row>
    <row r="70" ht="27" customFormat="1" customHeight="1" s="2">
      <c r="A70" s="34" t="inlineStr">
        <is>
          <t>69</t>
        </is>
      </c>
      <c r="B70" s="12" t="inlineStr">
        <is>
          <t>Release: staging → main (home page error boundary)</t>
        </is>
      </c>
      <c r="C70" s="12" t="inlineStr">
        <is>
          <t>Release (staging -&gt; main)</t>
        </is>
      </c>
      <c r="D70" s="12" t="inlineStr">
        <is>
          <t>staging -&gt; main</t>
        </is>
      </c>
      <c r="E70" s="12" t="inlineStr">
        <is>
          <t>Production (main -&gt; gokesari.com)</t>
        </is>
      </c>
      <c r="F70" s="12" t="inlineStr">
        <is>
          <t>Merged</t>
        </is>
      </c>
      <c r="G70" s="12" t="inlineStr">
        <is>
          <t>2026-10-07</t>
        </is>
      </c>
      <c r="H70" s="12" t="inlineStr">
        <is>
          <t>2026-10-07</t>
        </is>
      </c>
      <c r="I70" s="12" t="inlineStr">
        <is>
          <t>-</t>
        </is>
      </c>
      <c r="J70" s="12" t="inlineStr">
        <is>
          <t>NAV-001, NEW-013</t>
        </is>
      </c>
      <c r="K70" s="12" t="inlineStr">
        <is>
          <t>Itself (merged to main)</t>
        </is>
      </c>
      <c r="L70" s="12" t="n"/>
    </row>
    <row r="71" ht="27" customFormat="1" customHeight="1" s="2">
      <c r="A71" s="34" t="inlineStr">
        <is>
          <t>70</t>
        </is>
      </c>
      <c r="B71" s="12" t="inlineStr">
        <is>
          <t>Release: staging → main (test execution framework)</t>
        </is>
      </c>
      <c r="C71" s="12" t="inlineStr">
        <is>
          <t>Release (staging -&gt; main)</t>
        </is>
      </c>
      <c r="D71" s="12" t="inlineStr">
        <is>
          <t>staging -&gt; main</t>
        </is>
      </c>
      <c r="E71" s="12" t="inlineStr">
        <is>
          <t>Production (main -&gt; gokesari.com)</t>
        </is>
      </c>
      <c r="F71" s="12" t="inlineStr">
        <is>
          <t>Merged</t>
        </is>
      </c>
      <c r="G71" s="12" t="inlineStr">
        <is>
          <t>2026-10-07</t>
        </is>
      </c>
      <c r="H71" s="12" t="inlineStr">
        <is>
          <t>2026-10-07</t>
        </is>
      </c>
      <c r="I71" s="12" t="inlineStr">
        <is>
          <t>-</t>
        </is>
      </c>
      <c r="J71" s="12" t="inlineStr">
        <is>
          <t>QA-001, QA-002</t>
        </is>
      </c>
      <c r="K71" s="12" t="inlineStr">
        <is>
          <t>Itself (merged to main)</t>
        </is>
      </c>
      <c r="L71" s="12" t="n"/>
    </row>
    <row r="72" ht="39" customFormat="1" customHeight="1" s="2">
      <c r="A72" s="34" t="inlineStr">
        <is>
          <t>71</t>
        </is>
      </c>
      <c r="B72" s="12" t="inlineStr">
        <is>
          <t>Release: staging → main (product card quantity controls, search bar row)</t>
        </is>
      </c>
      <c r="C72" s="12" t="inlineStr">
        <is>
          <t>Release (staging -&gt; main)</t>
        </is>
      </c>
      <c r="D72" s="12" t="inlineStr">
        <is>
          <t>staging -&gt; main</t>
        </is>
      </c>
      <c r="E72" s="12" t="inlineStr">
        <is>
          <t>Production (main -&gt; gokesari.com)</t>
        </is>
      </c>
      <c r="F72" s="12" t="inlineStr">
        <is>
          <t>Merged</t>
        </is>
      </c>
      <c r="G72" s="12" t="inlineStr">
        <is>
          <t>2026-10-07</t>
        </is>
      </c>
      <c r="H72" s="12" t="inlineStr">
        <is>
          <t>2026-10-07</t>
        </is>
      </c>
      <c r="I72" s="12" t="inlineStr">
        <is>
          <t>-</t>
        </is>
      </c>
      <c r="J72" s="12" t="inlineStr">
        <is>
          <t>GS-020, GS-024, NAV-003, NEW-012</t>
        </is>
      </c>
      <c r="K72" s="12" t="inlineStr">
        <is>
          <t>Itself (merged to main)</t>
        </is>
      </c>
      <c r="L72" s="12" t="n"/>
    </row>
    <row r="73" ht="27" customFormat="1" customHeight="1" s="2">
      <c r="A73" s="34" t="inlineStr">
        <is>
          <t>72</t>
        </is>
      </c>
      <c r="B73" s="12" t="inlineStr">
        <is>
          <t>Stop whole DB rows reaching browsers; product card cart state after reload; faster home page</t>
        </is>
      </c>
      <c r="C73" s="12" t="inlineStr">
        <is>
          <t>Improvement</t>
        </is>
      </c>
      <c r="D73" s="12" t="inlineStr">
        <is>
          <t>ccr-4ba4bca6-l80mi4 -&gt; staging</t>
        </is>
      </c>
      <c r="E73" s="12" t="inlineStr">
        <is>
          <t>Test site (staging -&gt; test.gokesari.com)</t>
        </is>
      </c>
      <c r="F73" s="12" t="inlineStr">
        <is>
          <t>Merged</t>
        </is>
      </c>
      <c r="G73" s="12" t="inlineStr">
        <is>
          <t>2026-10-07</t>
        </is>
      </c>
      <c r="H73" s="12" t="inlineStr">
        <is>
          <t>2026-10-07</t>
        </is>
      </c>
      <c r="I73" s="12" t="inlineStr">
        <is>
          <t>GS-022, GS-024, GS-071, NEW-012, NEW-014</t>
        </is>
      </c>
      <c r="J73" s="12" t="inlineStr">
        <is>
          <t>-</t>
        </is>
      </c>
      <c r="K73" s="12" t="inlineStr">
        <is>
          <t>#73</t>
        </is>
      </c>
      <c r="L73" s="12" t="n"/>
    </row>
    <row r="74" ht="63" customFormat="1" customHeight="1" s="2">
      <c r="A74" s="34" t="inlineStr">
        <is>
          <t>73</t>
        </is>
      </c>
      <c r="B74" s="12" t="inlineStr">
        <is>
          <t>Release: staging → main (data-exposure fixes, cart state after reload, faster home page, header menu links)</t>
        </is>
      </c>
      <c r="C74" s="12" t="inlineStr">
        <is>
          <t>Release (staging -&gt; main)</t>
        </is>
      </c>
      <c r="D74" s="12" t="inlineStr">
        <is>
          <t>staging -&gt; main</t>
        </is>
      </c>
      <c r="E74" s="12" t="inlineStr">
        <is>
          <t>Production (main -&gt; gokesari.com)</t>
        </is>
      </c>
      <c r="F74" s="12" t="inlineStr">
        <is>
          <t>Merged</t>
        </is>
      </c>
      <c r="G74" s="12" t="inlineStr">
        <is>
          <t>2026-10-07</t>
        </is>
      </c>
      <c r="H74" s="12" t="inlineStr">
        <is>
          <t>2026-10-07</t>
        </is>
      </c>
      <c r="I74" s="12" t="inlineStr">
        <is>
          <t>-</t>
        </is>
      </c>
      <c r="J74" s="12" t="inlineStr">
        <is>
          <t>GS-022, GS-024, GS-071, NAV-015, NAV-016, NAV-017, NEW-012, NEW-014, NEW-015</t>
        </is>
      </c>
      <c r="K74" s="12" t="inlineStr">
        <is>
          <t>Itself (merged to main)</t>
        </is>
      </c>
      <c r="L74" s="12" t="n"/>
    </row>
    <row r="75" ht="27" customFormat="1" customHeight="1" s="2">
      <c r="A75" s="34" t="inlineStr">
        <is>
          <t>74</t>
        </is>
      </c>
      <c r="B75" s="12" t="inlineStr">
        <is>
          <t>Header menus: link the operations dashboard and the rider's gig pages</t>
        </is>
      </c>
      <c r="C75" s="12" t="inlineStr">
        <is>
          <t>Improvement</t>
        </is>
      </c>
      <c r="D75" s="12" t="inlineStr">
        <is>
          <t>ccr-4ba4bca6-l80mi4 -&gt; staging</t>
        </is>
      </c>
      <c r="E75" s="12" t="inlineStr">
        <is>
          <t>Test site (staging -&gt; test.gokesari.com)</t>
        </is>
      </c>
      <c r="F75" s="12" t="inlineStr">
        <is>
          <t>Merged</t>
        </is>
      </c>
      <c r="G75" s="12" t="inlineStr">
        <is>
          <t>2026-10-07</t>
        </is>
      </c>
      <c r="H75" s="12" t="inlineStr">
        <is>
          <t>2026-10-07</t>
        </is>
      </c>
      <c r="I75" s="12" t="inlineStr">
        <is>
          <t>NAV-015, NAV-016, NAV-017, NEW-015</t>
        </is>
      </c>
      <c r="J75" s="12" t="inlineStr">
        <is>
          <t>-</t>
        </is>
      </c>
      <c r="K75" s="12" t="inlineStr">
        <is>
          <t>#73</t>
        </is>
      </c>
      <c r="L75" s="12" t="n"/>
    </row>
    <row r="76" ht="27" customFormat="1" customHeight="1" s="2">
      <c r="A76" s="34" t="inlineStr">
        <is>
          <t>75</t>
        </is>
      </c>
      <c r="B76" s="12" t="inlineStr">
        <is>
          <t>Notification settings: drop the "Offers &amp; campaigns" row</t>
        </is>
      </c>
      <c r="C76" s="12" t="inlineStr">
        <is>
          <t>Improvement</t>
        </is>
      </c>
      <c r="D76" s="12" t="inlineStr">
        <is>
          <t>ccr-4ba4bca6-l80mi4 -&gt; staging</t>
        </is>
      </c>
      <c r="E76" s="12" t="inlineStr">
        <is>
          <t>Test site (staging -&gt; test.gokesari.com)</t>
        </is>
      </c>
      <c r="F76" s="12" t="inlineStr">
        <is>
          <t>Merged</t>
        </is>
      </c>
      <c r="G76" s="12" t="inlineStr">
        <is>
          <t>2026-10-07</t>
        </is>
      </c>
      <c r="H76" s="12" t="inlineStr">
        <is>
          <t>2026-10-07</t>
        </is>
      </c>
      <c r="I76" s="12" t="inlineStr">
        <is>
          <t>NEW-016</t>
        </is>
      </c>
      <c r="J76" s="12" t="inlineStr">
        <is>
          <t>-</t>
        </is>
      </c>
      <c r="K76" s="12" t="inlineStr">
        <is>
          <t>#76</t>
        </is>
      </c>
      <c r="L76" s="12" t="n"/>
    </row>
    <row r="77" ht="27" customFormat="1" customHeight="1" s="2">
      <c r="A77" s="34" t="inlineStr">
        <is>
          <t>76</t>
        </is>
      </c>
      <c r="B77" s="12" t="inlineStr">
        <is>
          <t>Release: staging → main (notification settings without the "Offers &amp; campaigns" row)</t>
        </is>
      </c>
      <c r="C77" s="12" t="inlineStr">
        <is>
          <t>Release (staging -&gt; main)</t>
        </is>
      </c>
      <c r="D77" s="12" t="inlineStr">
        <is>
          <t>staging -&gt; main</t>
        </is>
      </c>
      <c r="E77" s="12" t="inlineStr">
        <is>
          <t>Production (main -&gt; gokesari.com)</t>
        </is>
      </c>
      <c r="F77" s="12" t="inlineStr">
        <is>
          <t>Merged</t>
        </is>
      </c>
      <c r="G77" s="12" t="inlineStr">
        <is>
          <t>2026-10-07</t>
        </is>
      </c>
      <c r="H77" s="12" t="inlineStr">
        <is>
          <t>2026-10-07</t>
        </is>
      </c>
      <c r="I77" s="12" t="inlineStr">
        <is>
          <t>-</t>
        </is>
      </c>
      <c r="J77" s="12" t="inlineStr">
        <is>
          <t>NEW-016</t>
        </is>
      </c>
      <c r="K77" s="12" t="inlineStr">
        <is>
          <t>Itself (merged to main)</t>
        </is>
      </c>
      <c r="L77" s="12" t="n"/>
    </row>
    <row r="78" ht="27" customFormat="1" customHeight="1" s="2">
      <c r="A78" s="34" t="inlineStr">
        <is>
          <t>77</t>
        </is>
      </c>
      <c r="B78" s="12" t="inlineStr">
        <is>
          <t>Profile: show the marketing consent as a labelled on/off switch</t>
        </is>
      </c>
      <c r="C78" s="12" t="inlineStr">
        <is>
          <t>Improvement</t>
        </is>
      </c>
      <c r="D78" s="12" t="inlineStr">
        <is>
          <t>ccr-4ba4bca6-l80mi4 -&gt; staging</t>
        </is>
      </c>
      <c r="E78" s="12" t="inlineStr">
        <is>
          <t>Test site (staging -&gt; test.gokesari.com)</t>
        </is>
      </c>
      <c r="F78" s="12" t="inlineStr">
        <is>
          <t>Merged</t>
        </is>
      </c>
      <c r="G78" s="12" t="inlineStr">
        <is>
          <t>2026-10-07</t>
        </is>
      </c>
      <c r="H78" s="12" t="inlineStr">
        <is>
          <t>2026-10-07</t>
        </is>
      </c>
      <c r="I78" s="12" t="inlineStr">
        <is>
          <t>GS-070, NEW-016</t>
        </is>
      </c>
      <c r="J78" s="12" t="inlineStr">
        <is>
          <t>-</t>
        </is>
      </c>
      <c r="K78" s="12" t="inlineStr">
        <is>
          <t>#78</t>
        </is>
      </c>
      <c r="L78" s="12" t="n"/>
    </row>
    <row r="79" ht="27" customFormat="1" customHeight="1" s="2">
      <c r="A79" s="34" t="inlineStr">
        <is>
          <t>78</t>
        </is>
      </c>
      <c r="B79" s="12" t="inlineStr">
        <is>
          <t>Release: staging → main (clearer "Offers and promotions" switch on /profile)</t>
        </is>
      </c>
      <c r="C79" s="12" t="inlineStr">
        <is>
          <t>Release (staging -&gt; main)</t>
        </is>
      </c>
      <c r="D79" s="12" t="inlineStr">
        <is>
          <t>staging -&gt; main</t>
        </is>
      </c>
      <c r="E79" s="12" t="inlineStr">
        <is>
          <t>Production (main -&gt; gokesari.com)</t>
        </is>
      </c>
      <c r="F79" s="12" t="inlineStr">
        <is>
          <t>Merged</t>
        </is>
      </c>
      <c r="G79" s="12" t="inlineStr">
        <is>
          <t>2026-10-07</t>
        </is>
      </c>
      <c r="H79" s="12" t="inlineStr">
        <is>
          <t>2026-10-07</t>
        </is>
      </c>
      <c r="I79" s="12" t="inlineStr">
        <is>
          <t>-</t>
        </is>
      </c>
      <c r="J79" s="12" t="inlineStr">
        <is>
          <t>GS-070, NEW-016</t>
        </is>
      </c>
      <c r="K79" s="12" t="inlineStr">
        <is>
          <t>Itself (merged to main)</t>
        </is>
      </c>
      <c r="L79" s="12" t="n"/>
    </row>
    <row r="80" ht="27" customFormat="1" customHeight="1" s="2">
      <c r="A80" s="34" t="inlineStr">
        <is>
          <t>79</t>
        </is>
      </c>
      <c r="B80" s="12" t="inlineStr">
        <is>
          <t>Shop photo catalogue: every product as a photo with its price</t>
        </is>
      </c>
      <c r="C80" s="12" t="inlineStr">
        <is>
          <t>Feature</t>
        </is>
      </c>
      <c r="D80" s="12" t="inlineStr">
        <is>
          <t>claude/product-image-catalogue-pricing-fosflc -&gt; staging</t>
        </is>
      </c>
      <c r="E80" s="12" t="inlineStr">
        <is>
          <t>Test site (staging -&gt; test.gokesari.com)</t>
        </is>
      </c>
      <c r="F80" s="12" t="inlineStr">
        <is>
          <t>Merged</t>
        </is>
      </c>
      <c r="G80" s="12" t="inlineStr">
        <is>
          <t>2026-10-07</t>
        </is>
      </c>
      <c r="H80" s="12" t="inlineStr">
        <is>
          <t>2026-10-07</t>
        </is>
      </c>
      <c r="I80" s="12" t="inlineStr">
        <is>
          <t>GS-014, NAV-007, NEW-017</t>
        </is>
      </c>
      <c r="J80" s="12" t="inlineStr">
        <is>
          <t>-</t>
        </is>
      </c>
      <c r="K80" s="12" t="inlineStr">
        <is>
          <t>#82; #84</t>
        </is>
      </c>
      <c r="L80" s="12" t="n"/>
    </row>
    <row r="81" ht="27" customFormat="1" customHeight="1" s="2">
      <c r="A81" s="34" t="inlineStr">
        <is>
          <t>80</t>
        </is>
      </c>
      <c r="B81" s="12" t="inlineStr">
        <is>
          <t>Sign-in: same reply to every OTP request, so it can't reveal accounts</t>
        </is>
      </c>
      <c r="C81" s="12" t="inlineStr">
        <is>
          <t>Improvement</t>
        </is>
      </c>
      <c r="D81" s="12" t="inlineStr">
        <is>
          <t>ccr-4ba4bca6-l80mi4 -&gt; staging</t>
        </is>
      </c>
      <c r="E81" s="12" t="inlineStr">
        <is>
          <t>Test site (staging -&gt; test.gokesari.com)</t>
        </is>
      </c>
      <c r="F81" s="12" t="inlineStr">
        <is>
          <t>Merged</t>
        </is>
      </c>
      <c r="G81" s="12" t="inlineStr">
        <is>
          <t>2026-10-07</t>
        </is>
      </c>
      <c r="H81" s="12" t="inlineStr">
        <is>
          <t>2026-10-07</t>
        </is>
      </c>
      <c r="I81" s="12" t="inlineStr">
        <is>
          <t>GS-001, NEW-018</t>
        </is>
      </c>
      <c r="J81" s="12" t="inlineStr">
        <is>
          <t>-</t>
        </is>
      </c>
      <c r="K81" s="12" t="inlineStr">
        <is>
          <t>#81</t>
        </is>
      </c>
      <c r="L81" s="12" t="n"/>
    </row>
    <row r="82" ht="27" customFormat="1" customHeight="1" s="2">
      <c r="A82" s="34" t="inlineStr">
        <is>
          <t>81</t>
        </is>
      </c>
      <c r="B82" s="12" t="inlineStr">
        <is>
          <t>Release: staging → main (OTP same reply #80)</t>
        </is>
      </c>
      <c r="C82" s="12" t="inlineStr">
        <is>
          <t>Release (staging -&gt; main)</t>
        </is>
      </c>
      <c r="D82" s="12" t="inlineStr">
        <is>
          <t>staging -&gt; main</t>
        </is>
      </c>
      <c r="E82" s="12" t="inlineStr">
        <is>
          <t>Production (main -&gt; gokesari.com)</t>
        </is>
      </c>
      <c r="F82" s="12" t="inlineStr">
        <is>
          <t>Merged</t>
        </is>
      </c>
      <c r="G82" s="12" t="inlineStr">
        <is>
          <t>2026-10-07</t>
        </is>
      </c>
      <c r="H82" s="12" t="inlineStr">
        <is>
          <t>2026-10-07</t>
        </is>
      </c>
      <c r="I82" s="12" t="inlineStr">
        <is>
          <t>-</t>
        </is>
      </c>
      <c r="J82" s="12" t="inlineStr">
        <is>
          <t>GS-001, NEW-018</t>
        </is>
      </c>
      <c r="K82" s="12" t="inlineStr">
        <is>
          <t>Itself (merged to main)</t>
        </is>
      </c>
      <c r="L82" s="12" t="n"/>
    </row>
    <row r="83" ht="27" customFormat="1" customHeight="1" s="2">
      <c r="A83" s="34" t="inlineStr">
        <is>
          <t>82</t>
        </is>
      </c>
      <c r="B83" s="12" t="inlineStr">
        <is>
          <t>Release: staging → main (shop photo catalogue #79)</t>
        </is>
      </c>
      <c r="C83" s="12" t="inlineStr">
        <is>
          <t>Release (staging -&gt; main)</t>
        </is>
      </c>
      <c r="D83" s="12" t="inlineStr">
        <is>
          <t>staging -&gt; main</t>
        </is>
      </c>
      <c r="E83" s="12" t="inlineStr">
        <is>
          <t>Production (main -&gt; gokesari.com)</t>
        </is>
      </c>
      <c r="F83" s="12" t="inlineStr">
        <is>
          <t>Merged</t>
        </is>
      </c>
      <c r="G83" s="12" t="inlineStr">
        <is>
          <t>2026-10-07</t>
        </is>
      </c>
      <c r="H83" s="12" t="inlineStr">
        <is>
          <t>2026-10-07</t>
        </is>
      </c>
      <c r="I83" s="12" t="inlineStr">
        <is>
          <t>-</t>
        </is>
      </c>
      <c r="J83" s="12" t="inlineStr">
        <is>
          <t>GS-014, NAV-007, NEW-017</t>
        </is>
      </c>
      <c r="K83" s="12" t="inlineStr">
        <is>
          <t>Itself (merged to main)</t>
        </is>
      </c>
      <c r="L83" s="12" t="n"/>
    </row>
    <row r="84" ht="27" customFormat="1" customHeight="1" s="2">
      <c r="A84" s="34" t="inlineStr">
        <is>
          <t>83</t>
        </is>
      </c>
      <c r="B84" s="12" t="inlineStr">
        <is>
          <t>Home and Shops redesign: header, tomorrow's delivery, nearby shops</t>
        </is>
      </c>
      <c r="C84" s="12" t="inlineStr">
        <is>
          <t>Feature</t>
        </is>
      </c>
      <c r="D84" s="12" t="inlineStr">
        <is>
          <t>claude/home-redesign -&gt; staging</t>
        </is>
      </c>
      <c r="E84" s="12" t="inlineStr">
        <is>
          <t>Test site (staging -&gt; test.gokesari.com)</t>
        </is>
      </c>
      <c r="F84" s="12" t="inlineStr">
        <is>
          <t>Merged</t>
        </is>
      </c>
      <c r="G84" s="12" t="inlineStr">
        <is>
          <t>2026-10-07</t>
        </is>
      </c>
      <c r="H84" s="12" t="inlineStr">
        <is>
          <t>2026-10-07</t>
        </is>
      </c>
      <c r="I84" s="12" t="inlineStr">
        <is>
          <t>GS-004, GS-019, GS-020, GS-051, NAV-001, NAV-005, NEW-019</t>
        </is>
      </c>
      <c r="J84" s="12" t="inlineStr">
        <is>
          <t>-</t>
        </is>
      </c>
      <c r="K84" s="12" t="inlineStr">
        <is>
          <t>#84</t>
        </is>
      </c>
      <c r="L84" s="12" t="n"/>
    </row>
    <row r="85" ht="63" customFormat="1" customHeight="1" s="2">
      <c r="A85" s="34" t="inlineStr">
        <is>
          <t>84</t>
        </is>
      </c>
      <c r="B85" s="12" t="inlineStr">
        <is>
          <t>Promote staging to main: home and Shops redesign</t>
        </is>
      </c>
      <c r="C85" s="12" t="inlineStr">
        <is>
          <t>Release (staging -&gt; main)</t>
        </is>
      </c>
      <c r="D85" s="12" t="inlineStr">
        <is>
          <t>staging -&gt; main</t>
        </is>
      </c>
      <c r="E85" s="12" t="inlineStr">
        <is>
          <t>Production (main -&gt; gokesari.com)</t>
        </is>
      </c>
      <c r="F85" s="12" t="inlineStr">
        <is>
          <t>Merged</t>
        </is>
      </c>
      <c r="G85" s="12" t="inlineStr">
        <is>
          <t>2026-10-07</t>
        </is>
      </c>
      <c r="H85" s="12" t="inlineStr">
        <is>
          <t>2026-10-07</t>
        </is>
      </c>
      <c r="I85" s="12" t="inlineStr">
        <is>
          <t>-</t>
        </is>
      </c>
      <c r="J85" s="12" t="inlineStr">
        <is>
          <t>GS-004, GS-019, GS-020, GS-051, NAV-001, NAV-005, NEW-017, NEW-019</t>
        </is>
      </c>
      <c r="K85" s="12" t="inlineStr">
        <is>
          <t>Itself (merged to main)</t>
        </is>
      </c>
      <c r="L85" s="12" t="n"/>
    </row>
    <row r="86" ht="39" customFormat="1" customHeight="1" s="2">
      <c r="A86" s="34" t="inlineStr">
        <is>
          <t>85</t>
        </is>
      </c>
      <c r="B86" s="12" t="inlineStr">
        <is>
          <t>Decisions A–E: cancellation refunds, admin settings, data exposure, 6 Oct features (test only)</t>
        </is>
      </c>
      <c r="C86" s="12" t="inlineStr">
        <is>
          <t>Feature</t>
        </is>
      </c>
      <c r="D86" s="12" t="inlineStr">
        <is>
          <t>claude/hopeful-meitner-ia1fxd -&gt; staging</t>
        </is>
      </c>
      <c r="E86" s="12" t="inlineStr">
        <is>
          <t>Test site (staging -&gt; test.gokesari.com)</t>
        </is>
      </c>
      <c r="F86" s="12" t="inlineStr">
        <is>
          <t>Merged</t>
        </is>
      </c>
      <c r="G86" s="12" t="inlineStr">
        <is>
          <t>2026-10-07</t>
        </is>
      </c>
      <c r="H86" s="12" t="inlineStr">
        <is>
          <t>2026-10-08</t>
        </is>
      </c>
      <c r="I86" s="12" t="inlineStr">
        <is>
          <t>NEW-020, NEW-021, NEW-022, NEW-023, NEW-024, NEW-025, NEW-026, NEW-027, PLT-007, QA-001</t>
        </is>
      </c>
      <c r="J86" s="12" t="inlineStr">
        <is>
          <t>-</t>
        </is>
      </c>
      <c r="K86" s="12" t="inlineStr">
        <is>
          <t>#86 - reverted by #87</t>
        </is>
      </c>
      <c r="L86" s="12" t="inlineStr">
        <is>
          <t>Merged to staging only; production release #86 was reverted by #87.</t>
        </is>
      </c>
    </row>
    <row r="87" ht="75" customFormat="1" customHeight="1" s="2">
      <c r="A87" s="34" t="inlineStr">
        <is>
          <t>86</t>
        </is>
      </c>
      <c r="B87" s="12" t="inlineStr">
        <is>
          <t>Release to production: decisions A–E + optional build-time migration</t>
        </is>
      </c>
      <c r="C87" s="12" t="inlineStr">
        <is>
          <t>Release (staging -&gt; main)</t>
        </is>
      </c>
      <c r="D87" s="12" t="inlineStr">
        <is>
          <t>staging -&gt; main</t>
        </is>
      </c>
      <c r="E87" s="12" t="inlineStr">
        <is>
          <t>Production (main -&gt; gokesari.com)</t>
        </is>
      </c>
      <c r="F87" s="12" t="inlineStr">
        <is>
          <t>Merged</t>
        </is>
      </c>
      <c r="G87" s="12" t="inlineStr">
        <is>
          <t>2026-10-08</t>
        </is>
      </c>
      <c r="H87" s="12" t="inlineStr">
        <is>
          <t>2026-10-08</t>
        </is>
      </c>
      <c r="I87" s="12" t="inlineStr">
        <is>
          <t>-</t>
        </is>
      </c>
      <c r="J87" s="12" t="inlineStr">
        <is>
          <t>Reverted by #87 - NEW-020, NEW-021, NEW-022, NEW-023, NEW-024, NEW-026, PLT-007</t>
        </is>
      </c>
      <c r="K87" s="12" t="inlineStr">
        <is>
          <t>Itself (merged to main)</t>
        </is>
      </c>
      <c r="L87" s="12" t="inlineStr">
        <is>
          <t>Reverted by #87 the same day: production DB lacked migrations 0056/0057, shop pages returned 500.</t>
        </is>
      </c>
    </row>
    <row r="88" ht="39" customFormat="1" customHeight="1" s="2">
      <c r="A88" s="34" t="inlineStr">
        <is>
          <t>87</t>
        </is>
      </c>
      <c r="B88" s="12" t="inlineStr">
        <is>
          <t>Revert release #86: shop pages fail without migrations 0056/0057</t>
        </is>
      </c>
      <c r="C88" s="12" t="inlineStr">
        <is>
          <t>Revert</t>
        </is>
      </c>
      <c r="D88" s="12" t="inlineStr">
        <is>
          <t>claude/gifted-allen-rh2ta2 -&gt; main</t>
        </is>
      </c>
      <c r="E88" s="12" t="inlineStr">
        <is>
          <t>Production (main -&gt; gokesari.com)</t>
        </is>
      </c>
      <c r="F88" s="12" t="inlineStr">
        <is>
          <t>Merged</t>
        </is>
      </c>
      <c r="G88" s="12" t="inlineStr">
        <is>
          <t>2026-10-08</t>
        </is>
      </c>
      <c r="H88" s="12" t="inlineStr">
        <is>
          <t>2026-10-08</t>
        </is>
      </c>
      <c r="I88" s="12" t="inlineStr">
        <is>
          <t>-</t>
        </is>
      </c>
      <c r="J88" s="12" t="inlineStr">
        <is>
          <t>-</t>
        </is>
      </c>
      <c r="K88" s="12" t="inlineStr">
        <is>
          <t>Itself (merged to main)</t>
        </is>
      </c>
      <c r="L88" s="12" t="inlineStr">
        <is>
          <t>Re-release A-E after production has 0056/0057 by reverting this commit (a plain staging -&gt; main merge will not bring them back).</t>
        </is>
      </c>
    </row>
    <row r="89" ht="27" customFormat="1" customHeight="1" s="2">
      <c r="A89" s="34" t="inlineStr">
        <is>
          <t>88</t>
        </is>
      </c>
      <c r="B89" s="12" t="inlineStr">
        <is>
          <t>Runbook: stop the row-count checks going stale every release</t>
        </is>
      </c>
      <c r="C89" s="12" t="inlineStr">
        <is>
          <t>Docs / reports</t>
        </is>
      </c>
      <c r="D89" s="12" t="inlineStr">
        <is>
          <t>claude/confident-albattani-dqw1dk -&gt; main</t>
        </is>
      </c>
      <c r="E89" s="12" t="inlineStr">
        <is>
          <t>Production (main -&gt; gokesari.com)</t>
        </is>
      </c>
      <c r="F89" s="12" t="inlineStr">
        <is>
          <t>Merged</t>
        </is>
      </c>
      <c r="G89" s="12" t="inlineStr">
        <is>
          <t>2026-10-08</t>
        </is>
      </c>
      <c r="H89" s="12" t="inlineStr">
        <is>
          <t>2026-10-08</t>
        </is>
      </c>
      <c r="I89" s="12" t="inlineStr">
        <is>
          <t>PLT-006</t>
        </is>
      </c>
      <c r="J89" s="12" t="inlineStr">
        <is>
          <t>PLT-006</t>
        </is>
      </c>
      <c r="K89" s="12" t="inlineStr">
        <is>
          <t>Itself (merged to main)</t>
        </is>
      </c>
      <c r="L89" s="12" t="n"/>
    </row>
    <row r="90" ht="27" customFormat="1" customHeight="1" s="2">
      <c r="A90" s="34" t="inlineStr">
        <is>
          <t>89</t>
        </is>
      </c>
      <c r="B90" s="12" t="inlineStr">
        <is>
          <t>Event layer: real-time workflows, cron only as a safety net (test site)</t>
        </is>
      </c>
      <c r="C90" s="12" t="inlineStr">
        <is>
          <t>Feature</t>
        </is>
      </c>
      <c r="D90" s="12" t="inlineStr">
        <is>
          <t>claude/affectionate-albattani-texk4z -&gt; staging</t>
        </is>
      </c>
      <c r="E90" s="12" t="inlineStr">
        <is>
          <t>Test site (staging -&gt; test.gokesari.com)</t>
        </is>
      </c>
      <c r="F90" s="12" t="inlineStr">
        <is>
          <t>Merged</t>
        </is>
      </c>
      <c r="G90" s="12" t="inlineStr">
        <is>
          <t>2026-10-08</t>
        </is>
      </c>
      <c r="H90" s="12" t="inlineStr">
        <is>
          <t>2026-10-08</t>
        </is>
      </c>
      <c r="I90" s="12" t="inlineStr">
        <is>
          <t>NEW-028, NEW-029, NEW-030, NEW-031, NEW-032</t>
        </is>
      </c>
      <c r="J90" s="12" t="inlineStr">
        <is>
          <t>-</t>
        </is>
      </c>
      <c r="K90" s="12" t="inlineStr">
        <is>
          <t>Not yet (test site only)</t>
        </is>
      </c>
      <c r="L90" s="12" t="n"/>
    </row>
    <row r="91" ht="27" customFormat="1" customHeight="1" s="2">
      <c r="A91" s="34" t="inlineStr">
        <is>
          <t>90</t>
        </is>
      </c>
      <c r="B91" s="12" t="inlineStr">
        <is>
          <t>Automate test-database work: "Test database" workflow + shared migration lock</t>
        </is>
      </c>
      <c r="C91" s="12" t="inlineStr">
        <is>
          <t>DevOps / repo</t>
        </is>
      </c>
      <c r="D91" s="12" t="inlineStr">
        <is>
          <t>claude/affectionate-albattani-texk4z -&gt; staging</t>
        </is>
      </c>
      <c r="E91" s="12" t="inlineStr">
        <is>
          <t>Test site (staging -&gt; test.gokesari.com)</t>
        </is>
      </c>
      <c r="F91" s="12" t="inlineStr">
        <is>
          <t>Merged</t>
        </is>
      </c>
      <c r="G91" s="12" t="inlineStr">
        <is>
          <t>2026-10-08</t>
        </is>
      </c>
      <c r="H91" s="12" t="inlineStr">
        <is>
          <t>2026-10-08</t>
        </is>
      </c>
      <c r="I91" s="12" t="inlineStr">
        <is>
          <t>PLT-007, PLT-008</t>
        </is>
      </c>
      <c r="J91" s="12" t="inlineStr">
        <is>
          <t>-</t>
        </is>
      </c>
      <c r="K91" s="12" t="inlineStr">
        <is>
          <t>Not yet (test site only)</t>
        </is>
      </c>
      <c r="L91" s="12" t="n"/>
    </row>
    <row r="92" ht="27" customFormat="1" customHeight="1" s="2">
      <c r="A92" s="34" t="inlineStr">
        <is>
          <t>91</t>
        </is>
      </c>
      <c r="B92" s="12" t="inlineStr">
        <is>
          <t>Shop prepaid wallet + OTP-confirmed delivery (test site)</t>
        </is>
      </c>
      <c r="C92" s="12" t="inlineStr">
        <is>
          <t>Feature</t>
        </is>
      </c>
      <c r="D92" s="12" t="inlineStr">
        <is>
          <t>claude/compassionate-ritchie-d4zal1 -&gt; staging</t>
        </is>
      </c>
      <c r="E92" s="12" t="inlineStr">
        <is>
          <t>Test site (staging -&gt; test.gokesari.com)</t>
        </is>
      </c>
      <c r="F92" s="12" t="inlineStr">
        <is>
          <t>Merged</t>
        </is>
      </c>
      <c r="G92" s="12" t="inlineStr">
        <is>
          <t>2026-10-08</t>
        </is>
      </c>
      <c r="H92" s="12" t="inlineStr">
        <is>
          <t>2026-10-08</t>
        </is>
      </c>
      <c r="I92" s="12" t="inlineStr">
        <is>
          <t>NEW-033, NEW-035</t>
        </is>
      </c>
      <c r="J92" s="12" t="inlineStr">
        <is>
          <t>-</t>
        </is>
      </c>
      <c r="K92" s="12" t="inlineStr">
        <is>
          <t>#120</t>
        </is>
      </c>
      <c r="L92" s="12" t="n"/>
    </row>
    <row r="93" ht="27" customFormat="1" customHeight="1" s="2">
      <c r="A93" s="34" t="inlineStr">
        <is>
          <t>92</t>
        </is>
      </c>
      <c r="B93" s="12" t="inlineStr">
        <is>
          <t>Three modules: shop product media, accounting integration &amp; GST, shop self-registration (test site)</t>
        </is>
      </c>
      <c r="C93" s="12" t="inlineStr">
        <is>
          <t>Feature</t>
        </is>
      </c>
      <c r="D93" s="12" t="inlineStr">
        <is>
          <t>claude/laughing-mendel-ftwcgo -&gt; staging</t>
        </is>
      </c>
      <c r="E93" s="12" t="inlineStr">
        <is>
          <t>Test site (staging -&gt; test.gokesari.com)</t>
        </is>
      </c>
      <c r="F93" s="12" t="inlineStr">
        <is>
          <t>Merged</t>
        </is>
      </c>
      <c r="G93" s="12" t="inlineStr">
        <is>
          <t>2026-10-08</t>
        </is>
      </c>
      <c r="H93" s="12" t="inlineStr">
        <is>
          <t>2026-10-09</t>
        </is>
      </c>
      <c r="I93" s="12" t="inlineStr">
        <is>
          <t>NEW-036, NEW-037, NEW-038</t>
        </is>
      </c>
      <c r="J93" s="12" t="inlineStr">
        <is>
          <t>NEW-036, NEW-037, NEW-038</t>
        </is>
      </c>
      <c r="K93" s="12" t="inlineStr">
        <is>
          <t>#120</t>
        </is>
      </c>
      <c r="L93" s="12" t="inlineStr">
        <is>
          <t>Merged into staging 9 Oct 08:34 UTC; released to production in #120.</t>
        </is>
      </c>
    </row>
    <row r="94" ht="27" customFormat="1" customHeight="1" s="2">
      <c r="A94" s="34" t="inlineStr">
        <is>
          <t>93</t>
        </is>
      </c>
      <c r="B94" s="12" t="inlineStr">
        <is>
          <t>Production database workflow: by hand, from main, typed confirmation</t>
        </is>
      </c>
      <c r="C94" s="12" t="inlineStr">
        <is>
          <t>DevOps / repo</t>
        </is>
      </c>
      <c r="D94" s="12" t="inlineStr">
        <is>
          <t>claude/affectionate-albattani-texk4z -&gt; staging</t>
        </is>
      </c>
      <c r="E94" s="12" t="inlineStr">
        <is>
          <t>Test site (staging -&gt; test.gokesari.com)</t>
        </is>
      </c>
      <c r="F94" s="12" t="inlineStr">
        <is>
          <t>Merged</t>
        </is>
      </c>
      <c r="G94" s="12" t="inlineStr">
        <is>
          <t>2026-10-08</t>
        </is>
      </c>
      <c r="H94" s="12" t="inlineStr">
        <is>
          <t>2026-10-08</t>
        </is>
      </c>
      <c r="I94" s="12" t="inlineStr">
        <is>
          <t>PLT-009</t>
        </is>
      </c>
      <c r="J94" s="12" t="inlineStr">
        <is>
          <t>-</t>
        </is>
      </c>
      <c r="K94" s="12" t="inlineStr">
        <is>
          <t>#118 (workflow onto main) and #120</t>
        </is>
      </c>
      <c r="L94" s="12" t="inlineStr">
        <is>
          <t>On main since #118 (9 Oct); not runnable until the repository secrets are set.</t>
        </is>
      </c>
    </row>
    <row r="95" ht="27" customFormat="1" customHeight="1" s="2">
      <c r="A95" s="34" t="inlineStr">
        <is>
          <t>94</t>
        </is>
      </c>
      <c r="B95" s="12" t="inlineStr">
        <is>
          <t>Test database: switch the shop wallet on (1% commission) via the workflow</t>
        </is>
      </c>
      <c r="C95" s="12" t="inlineStr">
        <is>
          <t>Test data / settings</t>
        </is>
      </c>
      <c r="D95" s="12" t="inlineStr">
        <is>
          <t>claude/compassionate-ritchie-d4zal1 -&gt; staging</t>
        </is>
      </c>
      <c r="E95" s="12" t="inlineStr">
        <is>
          <t>Test site (staging -&gt; test.gokesari.com)</t>
        </is>
      </c>
      <c r="F95" s="12" t="inlineStr">
        <is>
          <t>Merged</t>
        </is>
      </c>
      <c r="G95" s="12" t="inlineStr">
        <is>
          <t>2026-10-08</t>
        </is>
      </c>
      <c r="H95" s="12" t="inlineStr">
        <is>
          <t>2026-10-08</t>
        </is>
      </c>
      <c r="I95" s="12" t="inlineStr">
        <is>
          <t>NEW-033, PLT-008</t>
        </is>
      </c>
      <c r="J95" s="12" t="inlineStr">
        <is>
          <t>-</t>
        </is>
      </c>
      <c r="K95" s="12" t="inlineStr">
        <is>
          <t>Test site only</t>
        </is>
      </c>
      <c r="L95" s="12" t="n"/>
    </row>
    <row r="96" ht="27" customFormat="1" customHeight="1" s="2">
      <c r="A96" s="34" t="inlineStr">
        <is>
          <t>95</t>
        </is>
      </c>
      <c r="B96" s="12" t="inlineStr">
        <is>
          <t>Test database: credit Kesari Dairy Farm ₹500 and Asmy Exports ₹1,000</t>
        </is>
      </c>
      <c r="C96" s="12" t="inlineStr">
        <is>
          <t>Test data / settings</t>
        </is>
      </c>
      <c r="D96" s="12" t="inlineStr">
        <is>
          <t>claude/compassionate-ritchie-d4zal1 -&gt; staging</t>
        </is>
      </c>
      <c r="E96" s="12" t="inlineStr">
        <is>
          <t>Test site (staging -&gt; test.gokesari.com)</t>
        </is>
      </c>
      <c r="F96" s="12" t="inlineStr">
        <is>
          <t>Merged</t>
        </is>
      </c>
      <c r="G96" s="12" t="inlineStr">
        <is>
          <t>2026-10-08</t>
        </is>
      </c>
      <c r="H96" s="12" t="inlineStr">
        <is>
          <t>2026-10-08</t>
        </is>
      </c>
      <c r="I96" s="12" t="inlineStr">
        <is>
          <t>PLT-008</t>
        </is>
      </c>
      <c r="J96" s="12" t="inlineStr">
        <is>
          <t>-</t>
        </is>
      </c>
      <c r="K96" s="12" t="inlineStr">
        <is>
          <t>Test site only</t>
        </is>
      </c>
      <c r="L96" s="12" t="n"/>
    </row>
    <row r="97" ht="27" customFormat="1" customHeight="1" s="2">
      <c r="A97" s="34" t="inlineStr">
        <is>
          <t>96</t>
        </is>
      </c>
      <c r="B97" s="12" t="inlineStr">
        <is>
          <t>Test wallet credits: Asmy Exports ₹1,000 and QA Test Bakery A ₹500</t>
        </is>
      </c>
      <c r="C97" s="12" t="inlineStr">
        <is>
          <t>Test data / settings</t>
        </is>
      </c>
      <c r="D97" s="12" t="inlineStr">
        <is>
          <t>claude/compassionate-ritchie-d4zal1 -&gt; staging</t>
        </is>
      </c>
      <c r="E97" s="12" t="inlineStr">
        <is>
          <t>Test site (staging -&gt; test.gokesari.com)</t>
        </is>
      </c>
      <c r="F97" s="12" t="inlineStr">
        <is>
          <t>Merged</t>
        </is>
      </c>
      <c r="G97" s="12" t="inlineStr">
        <is>
          <t>2026-10-08</t>
        </is>
      </c>
      <c r="H97" s="12" t="inlineStr">
        <is>
          <t>2026-10-08</t>
        </is>
      </c>
      <c r="I97" s="12" t="inlineStr">
        <is>
          <t>PLT-008</t>
        </is>
      </c>
      <c r="J97" s="12" t="inlineStr">
        <is>
          <t>-</t>
        </is>
      </c>
      <c r="K97" s="12" t="inlineStr">
        <is>
          <t>Test site only</t>
        </is>
      </c>
      <c r="L97" s="12" t="n"/>
    </row>
    <row r="98" ht="27" customFormat="1" customHeight="1" s="2">
      <c r="A98" s="34" t="inlineStr">
        <is>
          <t>97</t>
        </is>
      </c>
      <c r="B98" s="12" t="inlineStr">
        <is>
          <t>Test wallet credits: QA Test Bakery B ₹500</t>
        </is>
      </c>
      <c r="C98" s="12" t="inlineStr">
        <is>
          <t>Test data / settings</t>
        </is>
      </c>
      <c r="D98" s="12" t="inlineStr">
        <is>
          <t>claude/compassionate-ritchie-d4zal1 -&gt; staging</t>
        </is>
      </c>
      <c r="E98" s="12" t="inlineStr">
        <is>
          <t>Test site (staging -&gt; test.gokesari.com)</t>
        </is>
      </c>
      <c r="F98" s="12" t="inlineStr">
        <is>
          <t>Merged</t>
        </is>
      </c>
      <c r="G98" s="12" t="inlineStr">
        <is>
          <t>2026-10-08</t>
        </is>
      </c>
      <c r="H98" s="12" t="inlineStr">
        <is>
          <t>2026-10-08</t>
        </is>
      </c>
      <c r="I98" s="12" t="inlineStr">
        <is>
          <t>PLT-008</t>
        </is>
      </c>
      <c r="J98" s="12" t="inlineStr">
        <is>
          <t>-</t>
        </is>
      </c>
      <c r="K98" s="12" t="inlineStr">
        <is>
          <t>Test site only</t>
        </is>
      </c>
      <c r="L98" s="12" t="n"/>
    </row>
    <row r="99" ht="27" customFormat="1" customHeight="1" s="2">
      <c r="A99" s="34" t="inlineStr">
        <is>
          <t>98</t>
        </is>
      </c>
      <c r="B99" s="12" t="inlineStr">
        <is>
          <t>Shop wallet: ₹5/km delivery charge, no checkout below the minimum, commission back on refunds</t>
        </is>
      </c>
      <c r="C99" s="12" t="inlineStr">
        <is>
          <t>Feature</t>
        </is>
      </c>
      <c r="D99" s="12" t="inlineStr">
        <is>
          <t>claude/compassionate-ritchie-d4zal1 -&gt; staging</t>
        </is>
      </c>
      <c r="E99" s="12" t="inlineStr">
        <is>
          <t>Test site (staging -&gt; test.gokesari.com)</t>
        </is>
      </c>
      <c r="F99" s="12" t="inlineStr">
        <is>
          <t>Merged</t>
        </is>
      </c>
      <c r="G99" s="12" t="inlineStr">
        <is>
          <t>2026-10-08</t>
        </is>
      </c>
      <c r="H99" s="12" t="inlineStr">
        <is>
          <t>2026-10-08</t>
        </is>
      </c>
      <c r="I99" s="12" t="inlineStr">
        <is>
          <t>NEW-034</t>
        </is>
      </c>
      <c r="J99" s="12" t="inlineStr">
        <is>
          <t>-</t>
        </is>
      </c>
      <c r="K99" s="12" t="inlineStr">
        <is>
          <t>#120</t>
        </is>
      </c>
      <c r="L99" s="12" t="n"/>
    </row>
    <row r="100" ht="27" customFormat="1" customHeight="1" s="2">
      <c r="A100" s="34" t="inlineStr">
        <is>
          <t>99</t>
        </is>
      </c>
      <c r="B100" s="12" t="inlineStr">
        <is>
          <t>Test wallet credits: ₹5,000 to every shop onboarded by 8 Oct 2026 17:55 UTC</t>
        </is>
      </c>
      <c r="C100" s="12" t="inlineStr">
        <is>
          <t>Test data / settings</t>
        </is>
      </c>
      <c r="D100" s="12" t="inlineStr">
        <is>
          <t>claude/compassionate-ritchie-d4zal1 -&gt; staging</t>
        </is>
      </c>
      <c r="E100" s="12" t="inlineStr">
        <is>
          <t>Test site (staging -&gt; test.gokesari.com)</t>
        </is>
      </c>
      <c r="F100" s="12" t="inlineStr">
        <is>
          <t>Merged</t>
        </is>
      </c>
      <c r="G100" s="12" t="inlineStr">
        <is>
          <t>2026-10-08</t>
        </is>
      </c>
      <c r="H100" s="12" t="inlineStr">
        <is>
          <t>2026-10-08</t>
        </is>
      </c>
      <c r="I100" s="12" t="inlineStr">
        <is>
          <t>PLT-008</t>
        </is>
      </c>
      <c r="J100" s="12" t="inlineStr">
        <is>
          <t>-</t>
        </is>
      </c>
      <c r="K100" s="12" t="inlineStr">
        <is>
          <t>Test site only</t>
        </is>
      </c>
      <c r="L100" s="12" t="inlineStr">
        <is>
          <t>Merged 8 Oct 18:09 UTC: Rs 5,000 test-wallet credit to every shop approved by 8 Oct 17:55 UTC (test site only).</t>
        </is>
      </c>
    </row>
    <row r="101" ht="39" customFormat="1" customHeight="1" s="2">
      <c r="A101" s="34" t="inlineStr">
        <is>
          <t>100</t>
        </is>
      </c>
      <c r="B101" s="12" t="inlineStr">
        <is>
          <t>Android and iPhone app for gokesari.com (mobile/)</t>
        </is>
      </c>
      <c r="C101" s="12" t="inlineStr">
        <is>
          <t>Feature</t>
        </is>
      </c>
      <c r="D101" s="12" t="inlineStr">
        <is>
          <t>claude/fervent-carson-mra5my -&gt; main</t>
        </is>
      </c>
      <c r="E101" s="12" t="inlineStr">
        <is>
          <t>Production (main -&gt; gokesari.com)</t>
        </is>
      </c>
      <c r="F101" s="12" t="inlineStr">
        <is>
          <t>Merged</t>
        </is>
      </c>
      <c r="G101" s="12" t="inlineStr">
        <is>
          <t>2026-10-08</t>
        </is>
      </c>
      <c r="H101" s="12" t="inlineStr">
        <is>
          <t>2026-10-09</t>
        </is>
      </c>
      <c r="I101" s="12" t="inlineStr">
        <is>
          <t>NEW-043, NEW-044, NEW-045, PLT-010</t>
        </is>
      </c>
      <c r="J101" s="12" t="inlineStr">
        <is>
          <t>NEW-044, NEW-045</t>
        </is>
      </c>
      <c r="K101" s="12" t="inlineStr">
        <is>
          <t>Itself (merged to main)</t>
        </is>
      </c>
      <c r="L101" s="12" t="inlineStr">
        <is>
          <t>Merged 9 Oct 04:19 UTC. Website parts live on gokesari.com; the app itself is not in any store yet (Android APK test builds only).</t>
        </is>
      </c>
    </row>
    <row r="102" ht="27" customFormat="1" customHeight="1" s="2">
      <c r="A102" s="34" t="inlineStr">
        <is>
          <t>101</t>
        </is>
      </c>
      <c r="B102" s="12" t="inlineStr">
        <is>
          <t>Feature, process-flow and PR status workbook (8 Oct 2026)</t>
        </is>
      </c>
      <c r="C102" s="12" t="inlineStr">
        <is>
          <t>Docs / reports</t>
        </is>
      </c>
      <c r="D102" s="12" t="inlineStr">
        <is>
          <t>claude/sweet-volta-ryv75e -&gt; main</t>
        </is>
      </c>
      <c r="E102" s="12" t="inlineStr">
        <is>
          <t>Production (main -&gt; gokesari.com)</t>
        </is>
      </c>
      <c r="F102" s="12" t="inlineStr">
        <is>
          <t>Merged</t>
        </is>
      </c>
      <c r="G102" s="12" t="inlineStr">
        <is>
          <t>2026-10-08</t>
        </is>
      </c>
      <c r="H102" s="12" t="inlineStr">
        <is>
          <t>2026-10-08</t>
        </is>
      </c>
      <c r="I102" s="12" t="inlineStr">
        <is>
          <t>-</t>
        </is>
      </c>
      <c r="J102" s="12" t="inlineStr">
        <is>
          <t>-</t>
        </is>
      </c>
      <c r="K102" s="12" t="inlineStr">
        <is>
          <t>Itself (merged to main)</t>
        </is>
      </c>
      <c r="L102" s="12" t="inlineStr">
        <is>
          <t>The 8 Oct version of this workbook.</t>
        </is>
      </c>
    </row>
    <row r="103" ht="51" customFormat="1" customHeight="1" s="2">
      <c r="A103" s="34" t="inlineStr">
        <is>
          <t>102</t>
        </is>
      </c>
      <c r="B103" s="12" t="inlineStr">
        <is>
          <t>Four features: delivery options &amp; scheduling, legal documents, bank accounts with Rs 1 verification, mandatory referral code</t>
        </is>
      </c>
      <c r="C103" s="12" t="inlineStr">
        <is>
          <t>Feature</t>
        </is>
      </c>
      <c r="D103" s="12" t="inlineStr">
        <is>
          <t>claude/busy-euler-5ipjns -&gt; staging</t>
        </is>
      </c>
      <c r="E103" s="12" t="inlineStr">
        <is>
          <t>Test site (staging -&gt; test.gokesari.com)</t>
        </is>
      </c>
      <c r="F103" s="12" t="inlineStr">
        <is>
          <t>Merged</t>
        </is>
      </c>
      <c r="G103" s="12" t="inlineStr">
        <is>
          <t>2026-10-08</t>
        </is>
      </c>
      <c r="H103" s="12" t="inlineStr">
        <is>
          <t>2026-10-08</t>
        </is>
      </c>
      <c r="I103" s="12" t="inlineStr">
        <is>
          <t>NEW-039, NEW-040, NEW-041, NEW-042, PLT-011</t>
        </is>
      </c>
      <c r="J103" s="12" t="inlineStr">
        <is>
          <t>NEW-039, NEW-040, NEW-041, NEW-042 (switched off)</t>
        </is>
      </c>
      <c r="K103" s="12" t="inlineStr">
        <is>
          <t>#120</t>
        </is>
      </c>
      <c r="L103" s="12" t="inlineStr">
        <is>
          <t>Migrations 0061-0064 (renumbered after staging's 0060); each feature a rule, off by default, on for test.</t>
        </is>
      </c>
    </row>
    <row r="104" ht="51" customFormat="1" customHeight="1" s="2">
      <c r="A104" s="34" t="inlineStr">
        <is>
          <t>103</t>
        </is>
      </c>
      <c r="B104" s="12" t="inlineStr">
        <is>
          <t>Four features: fixes from the staging run, sandbox payment tooling, test results</t>
        </is>
      </c>
      <c r="C104" s="12" t="inlineStr">
        <is>
          <t>Fix / hotfix</t>
        </is>
      </c>
      <c r="D104" s="12" t="inlineStr">
        <is>
          <t>claude/busy-euler-5ipjns -&gt; staging</t>
        </is>
      </c>
      <c r="E104" s="12" t="inlineStr">
        <is>
          <t>Test site (staging -&gt; test.gokesari.com)</t>
        </is>
      </c>
      <c r="F104" s="12" t="inlineStr">
        <is>
          <t>Merged</t>
        </is>
      </c>
      <c r="G104" s="12" t="inlineStr">
        <is>
          <t>2026-10-08</t>
        </is>
      </c>
      <c r="H104" s="12" t="inlineStr">
        <is>
          <t>2026-10-08</t>
        </is>
      </c>
      <c r="I104" s="12" t="inlineStr">
        <is>
          <t>NEW-039, NEW-040, NEW-041, NEW-042, PLT-011, QA-004</t>
        </is>
      </c>
      <c r="J104" s="12" t="inlineStr">
        <is>
          <t>NEW-039, NEW-040, NEW-041, NEW-042 (switched off)</t>
        </is>
      </c>
      <c r="K104" s="12" t="inlineStr">
        <is>
          <t>#120</t>
        </is>
      </c>
      <c r="L104" s="12" t="inlineStr">
        <is>
          <t>Fixes S-1 (repeat-safe mark ready / handovers), S-2 (Rs 1 refund status), S-3 (wording); TEST_RESULTS.md.</t>
        </is>
      </c>
    </row>
    <row r="105" ht="39" customFormat="1" customHeight="1" s="2">
      <c r="A105" s="34" t="inlineStr">
        <is>
          <t>104</t>
        </is>
      </c>
      <c r="B105" s="12" t="inlineStr">
        <is>
          <t>Four features: re-check of the follow-up fixes on test, email sending limit (docs)</t>
        </is>
      </c>
      <c r="C105" s="12" t="inlineStr">
        <is>
          <t>Docs / reports</t>
        </is>
      </c>
      <c r="D105" s="12" t="inlineStr">
        <is>
          <t>claude/busy-euler-5ipjns -&gt; staging</t>
        </is>
      </c>
      <c r="E105" s="12" t="inlineStr">
        <is>
          <t>Test site (staging -&gt; test.gokesari.com)</t>
        </is>
      </c>
      <c r="F105" s="12" t="inlineStr">
        <is>
          <t>Merged</t>
        </is>
      </c>
      <c r="G105" s="12" t="inlineStr">
        <is>
          <t>2026-10-08</t>
        </is>
      </c>
      <c r="H105" s="12" t="inlineStr">
        <is>
          <t>2026-10-08</t>
        </is>
      </c>
      <c r="I105" s="12" t="inlineStr">
        <is>
          <t>QA-004, GAP-009</t>
        </is>
      </c>
      <c r="J105" s="12" t="inlineStr">
        <is>
          <t>-</t>
        </is>
      </c>
      <c r="K105" s="12" t="inlineStr">
        <is>
          <t>Not yet (test site only)</t>
        </is>
      </c>
      <c r="L105" s="12" t="inlineStr">
        <is>
          <t>Docs only. Note: CI on the staging merge commit (76e2cc5) failed in 'Unit and integration tests' although the same tests passed on the PR head - to investigate / re-run.</t>
        </is>
      </c>
    </row>
    <row r="106" ht="27" customFormat="1" customHeight="1" s="2">
      <c r="A106" s="34" t="inlineStr">
        <is>
          <t>105</t>
        </is>
      </c>
      <c r="B106" s="12" t="inlineStr">
        <is>
          <t>Feature, process-flow and PR status workbook (9 Oct 2026)</t>
        </is>
      </c>
      <c r="C106" s="12" t="inlineStr">
        <is>
          <t>Docs / reports</t>
        </is>
      </c>
      <c r="D106" s="12" t="inlineStr">
        <is>
          <t>claude/peaceful-pascal-jai8w2 -&gt; main</t>
        </is>
      </c>
      <c r="E106" s="12" t="inlineStr">
        <is>
          <t>Production (main -&gt; gokesari.com)</t>
        </is>
      </c>
      <c r="F106" s="12" t="inlineStr">
        <is>
          <t>Merged</t>
        </is>
      </c>
      <c r="G106" s="12" t="inlineStr">
        <is>
          <t>2026-10-09</t>
        </is>
      </c>
      <c r="H106" s="12" t="inlineStr">
        <is>
          <t>2026-10-09</t>
        </is>
      </c>
      <c r="I106" s="12" t="inlineStr">
        <is>
          <t>-</t>
        </is>
      </c>
      <c r="J106" s="12" t="inlineStr">
        <is>
          <t>-</t>
        </is>
      </c>
      <c r="K106" s="12" t="inlineStr">
        <is>
          <t>Itself (merged to main)</t>
        </is>
      </c>
      <c r="L106" s="12" t="inlineStr">
        <is>
          <t>The morning version of this workbook.</t>
        </is>
      </c>
    </row>
    <row r="107" ht="27" customFormat="1" customHeight="1" s="2">
      <c r="A107" s="34" t="inlineStr">
        <is>
          <t>106</t>
        </is>
      </c>
      <c r="B107" s="12" t="inlineStr">
        <is>
          <t>Owner's decisions: pickup refunds the delivery fee, refunds to bank, referral code at customer registration</t>
        </is>
      </c>
      <c r="C107" s="12" t="inlineStr">
        <is>
          <t>Feature</t>
        </is>
      </c>
      <c r="D107" s="12" t="inlineStr">
        <is>
          <t>claude/busy-euler-5ipjns -&gt; staging</t>
        </is>
      </c>
      <c r="E107" s="12" t="inlineStr">
        <is>
          <t>Test site (staging -&gt; test.gokesari.com)</t>
        </is>
      </c>
      <c r="F107" s="12" t="inlineStr">
        <is>
          <t>Merged</t>
        </is>
      </c>
      <c r="G107" s="12" t="inlineStr">
        <is>
          <t>2026-10-09</t>
        </is>
      </c>
      <c r="H107" s="12" t="inlineStr">
        <is>
          <t>2026-10-09</t>
        </is>
      </c>
      <c r="I107" s="12" t="inlineStr">
        <is>
          <t>NEW-039, NEW-048, NEW-049</t>
        </is>
      </c>
      <c r="J107" s="12" t="inlineStr">
        <is>
          <t>NEW-048, NEW-049 (switched off)</t>
        </is>
      </c>
      <c r="K107" s="12" t="inlineStr">
        <is>
          <t>#120</t>
        </is>
      </c>
      <c r="L107" s="12" t="inlineStr">
        <is>
          <t>Behind business rules, off by default.</t>
        </is>
      </c>
    </row>
    <row r="108" ht="27" customFormat="1" customHeight="1" s="2">
      <c r="A108" s="34" t="inlineStr">
        <is>
          <t>107</t>
        </is>
      </c>
      <c r="B108" s="12" t="inlineStr">
        <is>
          <t>CLAUDE.md: standard folders for GoKesari reports and test results</t>
        </is>
      </c>
      <c r="C108" s="12" t="inlineStr">
        <is>
          <t>Docs / reports</t>
        </is>
      </c>
      <c r="D108" s="12" t="inlineStr">
        <is>
          <t>claude/peaceful-pascal-jai8w2 -&gt; main</t>
        </is>
      </c>
      <c r="E108" s="12" t="inlineStr">
        <is>
          <t>Production (main -&gt; gokesari.com)</t>
        </is>
      </c>
      <c r="F108" s="12" t="inlineStr">
        <is>
          <t>Merged</t>
        </is>
      </c>
      <c r="G108" s="12" t="inlineStr">
        <is>
          <t>2026-10-09</t>
        </is>
      </c>
      <c r="H108" s="12" t="inlineStr">
        <is>
          <t>2026-10-09</t>
        </is>
      </c>
      <c r="I108" s="12" t="inlineStr">
        <is>
          <t>-</t>
        </is>
      </c>
      <c r="J108" s="12" t="inlineStr">
        <is>
          <t>-</t>
        </is>
      </c>
      <c r="K108" s="12" t="inlineStr">
        <is>
          <t>Itself (merged to main)</t>
        </is>
      </c>
      <c r="L108" s="12" t="n"/>
    </row>
    <row r="109" ht="27" customFormat="1" customHeight="1" s="2">
      <c r="A109" s="34" t="inlineStr">
        <is>
          <t>108</t>
        </is>
      </c>
      <c r="B109" s="12" t="inlineStr">
        <is>
          <t>Four features: test results for the owner's decisions (docs)</t>
        </is>
      </c>
      <c r="C109" s="12" t="inlineStr">
        <is>
          <t>Docs / reports</t>
        </is>
      </c>
      <c r="D109" s="12" t="inlineStr">
        <is>
          <t>claude/busy-euler-5ipjns -&gt; staging</t>
        </is>
      </c>
      <c r="E109" s="12" t="inlineStr">
        <is>
          <t>Test site (staging -&gt; test.gokesari.com)</t>
        </is>
      </c>
      <c r="F109" s="12" t="inlineStr">
        <is>
          <t>Merged</t>
        </is>
      </c>
      <c r="G109" s="12" t="inlineStr">
        <is>
          <t>2026-10-09</t>
        </is>
      </c>
      <c r="H109" s="12" t="inlineStr">
        <is>
          <t>2026-10-09</t>
        </is>
      </c>
      <c r="I109" s="12" t="inlineStr">
        <is>
          <t>QA-004</t>
        </is>
      </c>
      <c r="J109" s="12" t="inlineStr">
        <is>
          <t>-</t>
        </is>
      </c>
      <c r="K109" s="12" t="inlineStr">
        <is>
          <t>#120</t>
        </is>
      </c>
      <c r="L109" s="12" t="inlineStr">
        <is>
          <t>Docs only.</t>
        </is>
      </c>
    </row>
    <row r="110" ht="27" customFormat="1" customHeight="1" s="2">
      <c r="A110" s="34" t="inlineStr">
        <is>
          <t>109</t>
        </is>
      </c>
      <c r="B110" s="12" t="inlineStr">
        <is>
          <t>Four features: owner's second-round decisions (blocked shops show as paused, mandatory customer referral code)</t>
        </is>
      </c>
      <c r="C110" s="12" t="inlineStr">
        <is>
          <t>Feature</t>
        </is>
      </c>
      <c r="D110" s="12" t="inlineStr">
        <is>
          <t>claude/busy-euler-5ipjns -&gt; staging</t>
        </is>
      </c>
      <c r="E110" s="12" t="inlineStr">
        <is>
          <t>Test site (staging -&gt; test.gokesari.com)</t>
        </is>
      </c>
      <c r="F110" s="12" t="inlineStr">
        <is>
          <t>Merged</t>
        </is>
      </c>
      <c r="G110" s="12" t="inlineStr">
        <is>
          <t>2026-10-09</t>
        </is>
      </c>
      <c r="H110" s="12" t="inlineStr">
        <is>
          <t>2026-10-09</t>
        </is>
      </c>
      <c r="I110" s="12" t="inlineStr">
        <is>
          <t>NEW-040, NEW-048</t>
        </is>
      </c>
      <c r="J110" s="12" t="inlineStr">
        <is>
          <t>NEW-040, NEW-048 (switched off)</t>
        </is>
      </c>
      <c r="K110" s="12" t="inlineStr">
        <is>
          <t>#120</t>
        </is>
      </c>
      <c r="L110" s="12" t="inlineStr">
        <is>
          <t>Decisions O-4, O-5; migration 0072.</t>
        </is>
      </c>
    </row>
    <row r="111" ht="27" customFormat="1" customHeight="1" s="2">
      <c r="A111" s="34" t="inlineStr">
        <is>
          <t>110</t>
        </is>
      </c>
      <c r="B111" s="12" t="inlineStr">
        <is>
          <t>Staging-run fixes: repeated customer code request; paused shops read 'Not taking new orders'</t>
        </is>
      </c>
      <c r="C111" s="12" t="inlineStr">
        <is>
          <t>Fix / hotfix</t>
        </is>
      </c>
      <c r="D111" s="12" t="inlineStr">
        <is>
          <t>claude/busy-euler-5ipjns -&gt; staging</t>
        </is>
      </c>
      <c r="E111" s="12" t="inlineStr">
        <is>
          <t>Test site (staging -&gt; test.gokesari.com)</t>
        </is>
      </c>
      <c r="F111" s="12" t="inlineStr">
        <is>
          <t>Merged</t>
        </is>
      </c>
      <c r="G111" s="12" t="inlineStr">
        <is>
          <t>2026-10-09</t>
        </is>
      </c>
      <c r="H111" s="12" t="inlineStr">
        <is>
          <t>2026-10-09</t>
        </is>
      </c>
      <c r="I111" s="12" t="inlineStr">
        <is>
          <t>NEW-040, NEW-048</t>
        </is>
      </c>
      <c r="J111" s="12" t="inlineStr">
        <is>
          <t>NEW-040, NEW-048 (switched off)</t>
        </is>
      </c>
      <c r="K111" s="12" t="inlineStr">
        <is>
          <t>#120</t>
        </is>
      </c>
      <c r="L111" s="12" t="inlineStr">
        <is>
          <t>Fixes S-6, S-7.</t>
        </is>
      </c>
    </row>
    <row r="112" ht="27" customFormat="1" customHeight="1" s="2">
      <c r="A112" s="34" t="inlineStr">
        <is>
          <t>111</t>
        </is>
      </c>
      <c r="B112" s="12" t="inlineStr">
        <is>
          <t>Four features: second-round test results; approved refunds-to-bank wording (O-8)</t>
        </is>
      </c>
      <c r="C112" s="12" t="inlineStr">
        <is>
          <t>Improvement</t>
        </is>
      </c>
      <c r="D112" s="12" t="inlineStr">
        <is>
          <t>claude/busy-euler-5ipjns -&gt; staging</t>
        </is>
      </c>
      <c r="E112" s="12" t="inlineStr">
        <is>
          <t>Test site (staging -&gt; test.gokesari.com)</t>
        </is>
      </c>
      <c r="F112" s="12" t="inlineStr">
        <is>
          <t>Merged</t>
        </is>
      </c>
      <c r="G112" s="12" t="inlineStr">
        <is>
          <t>2026-10-09</t>
        </is>
      </c>
      <c r="H112" s="12" t="inlineStr">
        <is>
          <t>2026-10-09</t>
        </is>
      </c>
      <c r="I112" s="12" t="inlineStr">
        <is>
          <t>NEW-049, QA-004</t>
        </is>
      </c>
      <c r="J112" s="12" t="inlineStr">
        <is>
          <t>NEW-049 (switched off)</t>
        </is>
      </c>
      <c r="K112" s="12" t="inlineStr">
        <is>
          <t>#120</t>
        </is>
      </c>
      <c r="L112" s="12" t="n"/>
    </row>
    <row r="113" ht="27" customFormat="1" customHeight="1" s="2">
      <c r="A113" s="34" t="inlineStr">
        <is>
          <t>112</t>
        </is>
      </c>
      <c r="B113" s="12" t="inlineStr">
        <is>
          <t>Tile Board home screens for customer, shop owner, admin and operator</t>
        </is>
      </c>
      <c r="C113" s="12" t="inlineStr">
        <is>
          <t>Feature</t>
        </is>
      </c>
      <c r="D113" s="12" t="inlineStr">
        <is>
          <t>claude/serene-gates-7cymxj -&gt; staging</t>
        </is>
      </c>
      <c r="E113" s="12" t="inlineStr">
        <is>
          <t>Test site (staging -&gt; test.gokesari.com)</t>
        </is>
      </c>
      <c r="F113" s="12" t="inlineStr">
        <is>
          <t>Merged</t>
        </is>
      </c>
      <c r="G113" s="12" t="inlineStr">
        <is>
          <t>2026-10-09</t>
        </is>
      </c>
      <c r="H113" s="12" t="inlineStr">
        <is>
          <t>2026-10-09</t>
        </is>
      </c>
      <c r="I113" s="12" t="inlineStr">
        <is>
          <t>NEW-046, NEW-047, NAV-001, NAV-006, NAV-017</t>
        </is>
      </c>
      <c r="J113" s="12" t="inlineStr">
        <is>
          <t>NEW-046, NEW-047</t>
        </is>
      </c>
      <c r="K113" s="12" t="inlineStr">
        <is>
          <t>#120</t>
        </is>
      </c>
      <c r="L113" s="12" t="inlineStr">
        <is>
          <t>Approved design 'Theme 1 Tile Board'; 29 new unit tests; no migrations.</t>
        </is>
      </c>
    </row>
    <row r="114" ht="27" customFormat="1" customHeight="1" s="2">
      <c r="A114" s="34" t="inlineStr">
        <is>
          <t>113</t>
        </is>
      </c>
      <c r="B114" s="12" t="inlineStr">
        <is>
          <t>Cashfree sandbox test data for staging payment tests (CLAUDE.md + docs)</t>
        </is>
      </c>
      <c r="C114" s="12" t="inlineStr">
        <is>
          <t>Docs / reports</t>
        </is>
      </c>
      <c r="D114" s="12" t="inlineStr">
        <is>
          <t>claude/busy-euler-5ipjns -&gt; staging</t>
        </is>
      </c>
      <c r="E114" s="12" t="inlineStr">
        <is>
          <t>Test site (staging -&gt; test.gokesari.com)</t>
        </is>
      </c>
      <c r="F114" s="12" t="inlineStr">
        <is>
          <t>Merged</t>
        </is>
      </c>
      <c r="G114" s="12" t="inlineStr">
        <is>
          <t>2026-10-09</t>
        </is>
      </c>
      <c r="H114" s="12" t="inlineStr">
        <is>
          <t>2026-10-09</t>
        </is>
      </c>
      <c r="I114" s="12" t="inlineStr">
        <is>
          <t>-</t>
        </is>
      </c>
      <c r="J114" s="12" t="inlineStr">
        <is>
          <t>-</t>
        </is>
      </c>
      <c r="K114" s="12" t="inlineStr">
        <is>
          <t>#120</t>
        </is>
      </c>
      <c r="L114" s="12" t="inlineStr">
        <is>
          <t>Docs only.</t>
        </is>
      </c>
    </row>
    <row r="115" ht="27" customFormat="1" customHeight="1" s="2">
      <c r="A115" s="34" t="inlineStr">
        <is>
          <t>114</t>
        </is>
      </c>
      <c r="B115" s="12" t="inlineStr">
        <is>
          <t>Tile Board: fit the app's shorter screen; test-site results</t>
        </is>
      </c>
      <c r="C115" s="12" t="inlineStr">
        <is>
          <t>Improvement</t>
        </is>
      </c>
      <c r="D115" s="12" t="inlineStr">
        <is>
          <t>claude/serene-gates-7cymxj -&gt; staging</t>
        </is>
      </c>
      <c r="E115" s="12" t="inlineStr">
        <is>
          <t>Test site (staging -&gt; test.gokesari.com)</t>
        </is>
      </c>
      <c r="F115" s="12" t="inlineStr">
        <is>
          <t>Merged</t>
        </is>
      </c>
      <c r="G115" s="12" t="inlineStr">
        <is>
          <t>2026-10-09</t>
        </is>
      </c>
      <c r="H115" s="12" t="inlineStr">
        <is>
          <t>2026-10-09</t>
        </is>
      </c>
      <c r="I115" s="12" t="inlineStr">
        <is>
          <t>NEW-046</t>
        </is>
      </c>
      <c r="J115" s="12" t="inlineStr">
        <is>
          <t>NEW-046</t>
        </is>
      </c>
      <c r="K115" s="12" t="inlineStr">
        <is>
          <t>#120</t>
        </is>
      </c>
      <c r="L115" s="12" t="inlineStr">
        <is>
          <t>Phone screens under 760px tall (the app's WebView).</t>
        </is>
      </c>
    </row>
    <row r="116" ht="27" customFormat="1" customHeight="1" s="2">
      <c r="A116" s="34" t="inlineStr">
        <is>
          <t>115</t>
        </is>
      </c>
      <c r="B116" s="12" t="inlineStr">
        <is>
          <t>O-7: bank check with Cashfree's Verification Suite; staging vs main report</t>
        </is>
      </c>
      <c r="C116" s="12" t="inlineStr">
        <is>
          <t>Feature</t>
        </is>
      </c>
      <c r="D116" s="12" t="inlineStr">
        <is>
          <t>claude/busy-euler-5ipjns -&gt; staging</t>
        </is>
      </c>
      <c r="E116" s="12" t="inlineStr">
        <is>
          <t>Test site (staging -&gt; test.gokesari.com)</t>
        </is>
      </c>
      <c r="F116" s="12" t="inlineStr">
        <is>
          <t>Merged</t>
        </is>
      </c>
      <c r="G116" s="12" t="inlineStr">
        <is>
          <t>2026-10-09</t>
        </is>
      </c>
      <c r="H116" s="12" t="inlineStr">
        <is>
          <t>2026-10-09</t>
        </is>
      </c>
      <c r="I116" s="12" t="inlineStr">
        <is>
          <t>NEW-050</t>
        </is>
      </c>
      <c r="J116" s="12" t="inlineStr">
        <is>
          <t>NEW-050 (switched off)</t>
        </is>
      </c>
      <c r="K116" s="12" t="inlineStr">
        <is>
          <t>#120</t>
        </is>
      </c>
      <c r="L116" s="12" t="inlineStr">
        <is>
          <t>Migration 0073.</t>
        </is>
      </c>
    </row>
    <row r="117" ht="51" customFormat="1" customHeight="1" s="2">
      <c r="A117" s="34" t="inlineStr">
        <is>
          <t>116</t>
        </is>
      </c>
      <c r="B117" s="12" t="inlineStr">
        <is>
          <t>Merge main into staging (mobile app work), keeping release #86</t>
        </is>
      </c>
      <c r="C117" s="12" t="inlineStr">
        <is>
          <t>DevOps / repo</t>
        </is>
      </c>
      <c r="D117" s="12" t="inlineStr">
        <is>
          <t>claude/serene-gates-7cymxj -&gt; staging</t>
        </is>
      </c>
      <c r="E117" s="12" t="inlineStr">
        <is>
          <t>Test site (staging -&gt; test.gokesari.com)</t>
        </is>
      </c>
      <c r="F117" s="12" t="inlineStr">
        <is>
          <t>Merged</t>
        </is>
      </c>
      <c r="G117" s="12" t="inlineStr">
        <is>
          <t>2026-10-09</t>
        </is>
      </c>
      <c r="H117" s="12" t="inlineStr">
        <is>
          <t>2026-10-09</t>
        </is>
      </c>
      <c r="I117" s="12" t="inlineStr">
        <is>
          <t>NEW-043, NEW-044, NEW-045, NEW-046</t>
        </is>
      </c>
      <c r="J117" s="12" t="inlineStr">
        <is>
          <t>-</t>
        </is>
      </c>
      <c r="K117" s="12" t="inlineStr">
        <is>
          <t>#120</t>
        </is>
      </c>
      <c r="L117" s="12" t="inlineStr">
        <is>
          <t>Undid the #86 revert (e16dd6d) before merging main, so staging kept every feature; removed the 10 staging-&gt;main conflicts. Also added /delivery/ and /disputes to the app's link list.</t>
        </is>
      </c>
    </row>
    <row r="118" ht="27" customFormat="1" customHeight="1" s="2">
      <c r="A118" s="34" t="inlineStr">
        <is>
          <t>117</t>
        </is>
      </c>
      <c r="B118" s="12" t="inlineStr">
        <is>
          <t>O-7: accept Cashfree's own key names; staging check results</t>
        </is>
      </c>
      <c r="C118" s="12" t="inlineStr">
        <is>
          <t>Fix / hotfix</t>
        </is>
      </c>
      <c r="D118" s="12" t="inlineStr">
        <is>
          <t>claude/busy-euler-5ipjns -&gt; staging</t>
        </is>
      </c>
      <c r="E118" s="12" t="inlineStr">
        <is>
          <t>Test site (staging -&gt; test.gokesari.com)</t>
        </is>
      </c>
      <c r="F118" s="12" t="inlineStr">
        <is>
          <t>Merged</t>
        </is>
      </c>
      <c r="G118" s="12" t="inlineStr">
        <is>
          <t>2026-10-09</t>
        </is>
      </c>
      <c r="H118" s="12" t="inlineStr">
        <is>
          <t>2026-10-09</t>
        </is>
      </c>
      <c r="I118" s="12" t="inlineStr">
        <is>
          <t>NEW-050</t>
        </is>
      </c>
      <c r="J118" s="12" t="inlineStr">
        <is>
          <t>NEW-050 (switched off)</t>
        </is>
      </c>
      <c r="K118" s="12" t="inlineStr">
        <is>
          <t>#120</t>
        </is>
      </c>
      <c r="L118" s="12" t="n"/>
    </row>
    <row r="119" ht="27" customFormat="1" customHeight="1" s="2">
      <c r="A119" s="34" t="inlineStr">
        <is>
          <t>118</t>
        </is>
      </c>
      <c r="B119" s="12" t="inlineStr">
        <is>
          <t>Production database workflow onto main (no application change)</t>
        </is>
      </c>
      <c r="C119" s="12" t="inlineStr">
        <is>
          <t>DevOps / repo</t>
        </is>
      </c>
      <c r="D119" s="12" t="inlineStr">
        <is>
          <t>claude/serene-gates-7cymxj -&gt; main</t>
        </is>
      </c>
      <c r="E119" s="12" t="inlineStr">
        <is>
          <t>Production (main -&gt; gokesari.com)</t>
        </is>
      </c>
      <c r="F119" s="12" t="inlineStr">
        <is>
          <t>Merged</t>
        </is>
      </c>
      <c r="G119" s="12" t="inlineStr">
        <is>
          <t>2026-10-09</t>
        </is>
      </c>
      <c r="H119" s="12" t="inlineStr">
        <is>
          <t>2026-10-09</t>
        </is>
      </c>
      <c r="I119" s="12" t="inlineStr">
        <is>
          <t>PLT-009</t>
        </is>
      </c>
      <c r="J119" s="12" t="inlineStr">
        <is>
          <t>PLT-009</t>
        </is>
      </c>
      <c r="K119" s="12" t="inlineStr">
        <is>
          <t>Itself (merged to main)</t>
        </is>
      </c>
      <c r="L119" s="12" t="inlineStr">
        <is>
          <t>Workflow, scripts and runbook only; gokesari.com redeployed with unchanged code.</t>
        </is>
      </c>
    </row>
    <row r="120" ht="27" customFormat="1" customHeight="1" s="2">
      <c r="A120" s="34" t="inlineStr">
        <is>
          <t>119</t>
        </is>
      </c>
      <c r="B120" s="12" t="inlineStr">
        <is>
          <t>Production database workflow on main (tooling only)</t>
        </is>
      </c>
      <c r="C120" s="12" t="inlineStr">
        <is>
          <t>DevOps / repo</t>
        </is>
      </c>
      <c r="D120" s="12" t="inlineStr">
        <is>
          <t>claude/busy-euler-5ipjns -&gt; main</t>
        </is>
      </c>
      <c r="E120" s="12" t="inlineStr">
        <is>
          <t>Production (main -&gt; gokesari.com)</t>
        </is>
      </c>
      <c r="F120" s="12" t="inlineStr">
        <is>
          <t>Closed - not merged</t>
        </is>
      </c>
      <c r="G120" s="12" t="inlineStr">
        <is>
          <t>2026-10-09</t>
        </is>
      </c>
      <c r="H120" s="12" t="inlineStr">
        <is>
          <t>2026-10-09</t>
        </is>
      </c>
      <c r="I120" s="12" t="inlineStr">
        <is>
          <t>PLT-009</t>
        </is>
      </c>
      <c r="J120" s="12" t="inlineStr">
        <is>
          <t>-</t>
        </is>
      </c>
      <c r="K120" s="12" t="inlineStr">
        <is>
          <t>-</t>
        </is>
      </c>
      <c r="L120" s="12" t="inlineStr">
        <is>
          <t>Duplicate of #118; closed.</t>
        </is>
      </c>
    </row>
    <row r="121" ht="39" customFormat="1" customHeight="1" s="2">
      <c r="A121" s="34" t="inlineStr">
        <is>
          <t>120</t>
        </is>
      </c>
      <c r="B121" s="12" t="inlineStr">
        <is>
          <t>Release: staging -&gt; main (gokesari.com), migrations 0056-0073 via MIGRATE_ON_BUILD</t>
        </is>
      </c>
      <c r="C121" s="12" t="inlineStr">
        <is>
          <t>Release (staging -&gt; main)</t>
        </is>
      </c>
      <c r="D121" s="12" t="inlineStr">
        <is>
          <t>staging -&gt; main</t>
        </is>
      </c>
      <c r="E121" s="12" t="inlineStr">
        <is>
          <t>Production (main -&gt; gokesari.com)</t>
        </is>
      </c>
      <c r="F121" s="12" t="inlineStr">
        <is>
          <t>Merged</t>
        </is>
      </c>
      <c r="G121" s="12" t="inlineStr">
        <is>
          <t>2026-10-09</t>
        </is>
      </c>
      <c r="H121" s="12" t="inlineStr">
        <is>
          <t>2026-10-09</t>
        </is>
      </c>
      <c r="I121" s="12" t="inlineStr">
        <is>
          <t>-</t>
        </is>
      </c>
      <c r="J121" s="12" t="inlineStr">
        <is>
          <t>Everything on staging (PRs #85-#117)</t>
        </is>
      </c>
      <c r="K121" s="12" t="inlineStr">
        <is>
          <t>Itself (merged to main)</t>
        </is>
      </c>
      <c r="L121" s="12" t="inlineStr">
        <is>
          <t>Merged 14:06 UTC. Production migrated by MIGRATE_ON_BUILD during the deploy; Neon snapshot taken first. Verified 14:55 UTC: pages 200, new build live.</t>
        </is>
      </c>
    </row>
    <row r="122" ht="27" customFormat="1" customHeight="1" s="2">
      <c r="A122" s="34" t="inlineStr">
        <is>
          <t>121</t>
        </is>
      </c>
      <c r="B122" s="12" t="inlineStr">
        <is>
          <t>Sign-in: one Terms &amp; Privacy box instead of three; 9 Oct status report (end of day)</t>
        </is>
      </c>
      <c r="C122" s="12" t="inlineStr">
        <is>
          <t>Improvement</t>
        </is>
      </c>
      <c r="D122" s="12" t="inlineStr">
        <is>
          <t>claude/serene-gates-7cymxj -&gt; staging</t>
        </is>
      </c>
      <c r="E122" s="12" t="inlineStr">
        <is>
          <t>Test site (staging -&gt; test.gokesari.com)</t>
        </is>
      </c>
      <c r="F122" s="12" t="inlineStr">
        <is>
          <t>Merged</t>
        </is>
      </c>
      <c r="G122" s="12" t="inlineStr">
        <is>
          <t>2026-10-09</t>
        </is>
      </c>
      <c r="H122" s="12" t="inlineStr">
        <is>
          <t>2026-10-09</t>
        </is>
      </c>
      <c r="I122" s="12" t="inlineStr">
        <is>
          <t>NEW-056; GS-001</t>
        </is>
      </c>
      <c r="J122" s="12" t="inlineStr">
        <is>
          <t>NEW-056</t>
        </is>
      </c>
      <c r="K122" s="12" t="inlineStr">
        <is>
          <t>#123</t>
        </is>
      </c>
      <c r="L122" s="12" t="inlineStr">
        <is>
          <t>Also carried the 9 Oct end-of-day status report.</t>
        </is>
      </c>
    </row>
    <row r="123" ht="39" customFormat="1" customHeight="1" s="2">
      <c r="A123" s="34" t="inlineStr">
        <is>
          <t>122</t>
        </is>
      </c>
      <c r="B123" s="12" t="inlineStr">
        <is>
          <t>Tile Board everywhere: one-screen role homes, one path to every function</t>
        </is>
      </c>
      <c r="C123" s="12" t="inlineStr">
        <is>
          <t>Feature</t>
        </is>
      </c>
      <c r="D123" s="12" t="inlineStr">
        <is>
          <t>claude/bold-volta-vxs1yf -&gt; staging</t>
        </is>
      </c>
      <c r="E123" s="12" t="inlineStr">
        <is>
          <t>Test site (staging -&gt; test.gokesari.com)</t>
        </is>
      </c>
      <c r="F123" s="12" t="inlineStr">
        <is>
          <t>Merged</t>
        </is>
      </c>
      <c r="G123" s="12" t="inlineStr">
        <is>
          <t>2026-10-09</t>
        </is>
      </c>
      <c r="H123" s="12" t="inlineStr">
        <is>
          <t>2026-10-09</t>
        </is>
      </c>
      <c r="I123" s="12" t="inlineStr">
        <is>
          <t>NEW-046; NEW-047; NEW-051 to NEW-055; GAP-007; NAV-001, NAV-002, NAV-004 to NAV-008, NAV-017</t>
        </is>
      </c>
      <c r="J123" s="12" t="inlineStr">
        <is>
          <t>Same</t>
        </is>
      </c>
      <c r="K123" s="12" t="inlineStr">
        <is>
          <t>#123</t>
        </is>
      </c>
      <c r="L123" s="12" t="inlineStr">
        <is>
          <t>UI layer only - no database, API or payment change. Merged 18:04 UTC (the last CI run before GitHub Actions stopped).</t>
        </is>
      </c>
    </row>
    <row r="124" ht="27" customFormat="1" customHeight="1" s="2">
      <c r="A124" s="34" t="inlineStr">
        <is>
          <t>123</t>
        </is>
      </c>
      <c r="B124" s="12" t="inlineStr">
        <is>
          <t>Release: staging -&gt; main (gokesari.com) - Tile Board everywhere (#122) and single sign-in consent (#121)</t>
        </is>
      </c>
      <c r="C124" s="12" t="inlineStr">
        <is>
          <t>Release (staging -&gt; main)</t>
        </is>
      </c>
      <c r="D124" s="12" t="inlineStr">
        <is>
          <t>staging -&gt; main</t>
        </is>
      </c>
      <c r="E124" s="12" t="inlineStr">
        <is>
          <t>Production (main -&gt; gokesari.com)</t>
        </is>
      </c>
      <c r="F124" s="12" t="inlineStr">
        <is>
          <t>Merged</t>
        </is>
      </c>
      <c r="G124" s="12" t="inlineStr">
        <is>
          <t>2026-10-09</t>
        </is>
      </c>
      <c r="H124" s="12" t="inlineStr">
        <is>
          <t>2026-10-09</t>
        </is>
      </c>
      <c r="I124" s="12" t="inlineStr">
        <is>
          <t>-</t>
        </is>
      </c>
      <c r="J124" s="12" t="inlineStr">
        <is>
          <t>Everything in #121, #122</t>
        </is>
      </c>
      <c r="K124" s="12" t="inlineStr">
        <is>
          <t>Itself (merged to main)</t>
        </is>
      </c>
      <c r="L124" s="12" t="inlineStr">
        <is>
          <t>Merged 19:28 UTC. No migration.</t>
        </is>
      </c>
    </row>
    <row r="125" ht="51" customFormat="1" customHeight="1" s="2">
      <c r="A125" s="34" t="inlineStr">
        <is>
          <t>124</t>
        </is>
      </c>
      <c r="B125" s="12" t="inlineStr">
        <is>
          <t>Performance and second UI pass: fewer database reads per page; one screen per view on the longest pages</t>
        </is>
      </c>
      <c r="C125" s="12" t="inlineStr">
        <is>
          <t>Improvement</t>
        </is>
      </c>
      <c r="D125" s="12" t="inlineStr">
        <is>
          <t>claude/bold-volta-vxs1yf -&gt; staging</t>
        </is>
      </c>
      <c r="E125" s="12" t="inlineStr">
        <is>
          <t>Test site (staging -&gt; test.gokesari.com)</t>
        </is>
      </c>
      <c r="F125" s="12" t="inlineStr">
        <is>
          <t>Merged</t>
        </is>
      </c>
      <c r="G125" s="12" t="inlineStr">
        <is>
          <t>2026-10-09</t>
        </is>
      </c>
      <c r="H125" s="12" t="inlineStr">
        <is>
          <t>2026-10-09</t>
        </is>
      </c>
      <c r="I125" s="12" t="inlineStr">
        <is>
          <t>PLT-012; PLT-013; NEW-021; NEW-052; NEW-054; NAV-002, NAV-006, NAV-007, NAV-017; QA-005</t>
        </is>
      </c>
      <c r="J125" s="12" t="inlineStr">
        <is>
          <t>Same</t>
        </is>
      </c>
      <c r="K125" s="12" t="inlineStr">
        <is>
          <t>#126</t>
        </is>
      </c>
      <c r="L125" s="12" t="inlineStr">
        <is>
          <t>Merged 21:25 UTC without CI on the owner's instruction (GitHub Actions billing); local tsc, eslint, next build, Vitest 1,662 passed. Includes the UI pass test report and issue register.</t>
        </is>
      </c>
    </row>
    <row r="126" ht="27" customFormat="1" customHeight="1" s="2">
      <c r="A126" s="34" t="inlineStr">
        <is>
          <t>125</t>
        </is>
      </c>
      <c r="B126" s="12" t="inlineStr">
        <is>
          <t>PMD rollback script: drop the stray phpMyAdmin mention</t>
        </is>
      </c>
      <c r="C126" s="12" t="inlineStr">
        <is>
          <t>Fix / hotfix</t>
        </is>
      </c>
      <c r="D126" s="12" t="inlineStr">
        <is>
          <t>claude/focused-carson-4pa1e2 -&gt; staging</t>
        </is>
      </c>
      <c r="E126" s="12" t="inlineStr">
        <is>
          <t>Test site (staging -&gt; test.gokesari.com)</t>
        </is>
      </c>
      <c r="F126" s="12" t="inlineStr">
        <is>
          <t>Merged</t>
        </is>
      </c>
      <c r="G126" s="12" t="inlineStr">
        <is>
          <t>2026-10-09</t>
        </is>
      </c>
      <c r="H126" s="12" t="inlineStr">
        <is>
          <t>2026-10-10</t>
        </is>
      </c>
      <c r="I126" s="12" t="inlineStr">
        <is>
          <t>PMD-001</t>
        </is>
      </c>
      <c r="J126" s="12" t="inlineStr">
        <is>
          <t>PMD-001 (comment only)</t>
        </is>
      </c>
      <c r="K126" s="12" t="inlineStr">
        <is>
          <t>#131</t>
        </is>
      </c>
      <c r="L126" s="12" t="inlineStr">
        <is>
          <t>Comment-only change to a manual rollback script; merged without CI.</t>
        </is>
      </c>
    </row>
    <row r="127" ht="39" customFormat="1" customHeight="1" s="2">
      <c r="A127" s="34" t="inlineStr">
        <is>
          <t>126</t>
        </is>
      </c>
      <c r="B127" s="12" t="inlineStr">
        <is>
          <t>Release: staging -&gt; main (gokesari.com) - performance and second UI pass (#124)</t>
        </is>
      </c>
      <c r="C127" s="12" t="inlineStr">
        <is>
          <t>Release (staging -&gt; main)</t>
        </is>
      </c>
      <c r="D127" s="12" t="inlineStr">
        <is>
          <t>staging -&gt; main</t>
        </is>
      </c>
      <c r="E127" s="12" t="inlineStr">
        <is>
          <t>Production (main -&gt; gokesari.com)</t>
        </is>
      </c>
      <c r="F127" s="12" t="inlineStr">
        <is>
          <t>Merged</t>
        </is>
      </c>
      <c r="G127" s="12" t="inlineStr">
        <is>
          <t>2026-10-09</t>
        </is>
      </c>
      <c r="H127" s="12" t="inlineStr">
        <is>
          <t>2026-10-09</t>
        </is>
      </c>
      <c r="I127" s="12" t="inlineStr">
        <is>
          <t>-</t>
        </is>
      </c>
      <c r="J127" s="12" t="inlineStr">
        <is>
          <t>Everything in #124</t>
        </is>
      </c>
      <c r="K127" s="12" t="inlineStr">
        <is>
          <t>Itself (merged to main)</t>
        </is>
      </c>
      <c r="L127" s="12" t="inlineStr">
        <is>
          <t>Merged 21:41 UTC without CI (owner's instruction). Production checks 21:44 UTC: pages 200, signed-in pages redirect to sign-in, Lighthouse mobile home 93/100/100/100.</t>
        </is>
      </c>
    </row>
    <row r="128" ht="27" customFormat="1" customHeight="1" s="2">
      <c r="A128" s="34" t="inlineStr">
        <is>
          <t>127</t>
        </is>
      </c>
      <c r="B128" s="12" t="inlineStr">
        <is>
          <t>Board: keep the shared shop and category figures for a minute</t>
        </is>
      </c>
      <c r="C128" s="12" t="inlineStr">
        <is>
          <t>Fix / hotfix</t>
        </is>
      </c>
      <c r="D128" s="12" t="inlineStr">
        <is>
          <t>claude/bold-volta-vxs1yf -&gt; staging</t>
        </is>
      </c>
      <c r="E128" s="12" t="inlineStr">
        <is>
          <t>Test site (staging -&gt; test.gokesari.com)</t>
        </is>
      </c>
      <c r="F128" s="12" t="inlineStr">
        <is>
          <t>Merged</t>
        </is>
      </c>
      <c r="G128" s="12" t="inlineStr">
        <is>
          <t>2026-10-09</t>
        </is>
      </c>
      <c r="H128" s="12" t="inlineStr">
        <is>
          <t>2026-10-09</t>
        </is>
      </c>
      <c r="I128" s="12" t="inlineStr">
        <is>
          <t>PLT-014</t>
        </is>
      </c>
      <c r="J128" s="12" t="inlineStr">
        <is>
          <t>PLT-014</t>
        </is>
      </c>
      <c r="K128" s="12" t="inlineStr">
        <is>
          <t>#129</t>
        </is>
      </c>
      <c r="L128" s="12" t="inlineStr">
        <is>
          <t>Fixes 'badge dropped' on cold starts; test site home 0.70-0.92 s after 100 s idle (production without it 3.39-4.46 s).</t>
        </is>
      </c>
    </row>
    <row r="129" ht="27" customFormat="1" customHeight="1" s="2">
      <c r="A129" s="34" t="inlineStr">
        <is>
          <t>128</t>
        </is>
      </c>
      <c r="B129" s="12" t="inlineStr">
        <is>
          <t>Test report: production checks after #126 and #127 verified on test</t>
        </is>
      </c>
      <c r="C129" s="12" t="inlineStr">
        <is>
          <t>QA / tests</t>
        </is>
      </c>
      <c r="D129" s="12" t="inlineStr">
        <is>
          <t>claude/bold-volta-vxs1yf -&gt; staging</t>
        </is>
      </c>
      <c r="E129" s="12" t="inlineStr">
        <is>
          <t>Test site (staging -&gt; test.gokesari.com)</t>
        </is>
      </c>
      <c r="F129" s="12" t="inlineStr">
        <is>
          <t>Merged</t>
        </is>
      </c>
      <c r="G129" s="12" t="inlineStr">
        <is>
          <t>2026-10-09</t>
        </is>
      </c>
      <c r="H129" s="12" t="inlineStr">
        <is>
          <t>2026-10-10</t>
        </is>
      </c>
      <c r="I129" s="12" t="inlineStr">
        <is>
          <t>QA-005</t>
        </is>
      </c>
      <c r="J129" s="12" t="inlineStr">
        <is>
          <t>QA-005 (report)</t>
        </is>
      </c>
      <c r="K129" s="12" t="inlineStr">
        <is>
          <t>#129</t>
        </is>
      </c>
      <c r="L129" s="12" t="inlineStr">
        <is>
          <t>Docs only.</t>
        </is>
      </c>
    </row>
    <row r="130" ht="27" customFormat="1" customHeight="1" s="2">
      <c r="A130" s="34" t="inlineStr">
        <is>
          <t>129</t>
        </is>
      </c>
      <c r="B130" s="12" t="inlineStr">
        <is>
          <t>Release: board figures cache (#127) and test report (#128)</t>
        </is>
      </c>
      <c r="C130" s="12" t="inlineStr">
        <is>
          <t>Release (staging -&gt; main)</t>
        </is>
      </c>
      <c r="D130" s="12" t="inlineStr">
        <is>
          <t>staging -&gt; main</t>
        </is>
      </c>
      <c r="E130" s="12" t="inlineStr">
        <is>
          <t>Production (main -&gt; gokesari.com)</t>
        </is>
      </c>
      <c r="F130" s="12" t="inlineStr">
        <is>
          <t>Merged</t>
        </is>
      </c>
      <c r="G130" s="12" t="inlineStr">
        <is>
          <t>2026-10-10</t>
        </is>
      </c>
      <c r="H130" s="12" t="inlineStr">
        <is>
          <t>2026-10-10</t>
        </is>
      </c>
      <c r="I130" s="12" t="inlineStr">
        <is>
          <t>-</t>
        </is>
      </c>
      <c r="J130" s="12" t="inlineStr">
        <is>
          <t>Everything in #127, #128</t>
        </is>
      </c>
      <c r="K130" s="12" t="inlineStr">
        <is>
          <t>Itself (merged to main)</t>
        </is>
      </c>
      <c r="L130" s="12" t="inlineStr">
        <is>
          <t>Merged 02:21 UTC.</t>
        </is>
      </c>
    </row>
    <row r="131" ht="27" customFormat="1" customHeight="1" s="2">
      <c r="A131" s="34" t="inlineStr">
        <is>
          <t>130</t>
        </is>
      </c>
      <c r="B131" s="12" t="inlineStr">
        <is>
          <t>Board: give live figures 8 s before dropping a badge</t>
        </is>
      </c>
      <c r="C131" s="12" t="inlineStr">
        <is>
          <t>Fix / hotfix</t>
        </is>
      </c>
      <c r="D131" s="12" t="inlineStr">
        <is>
          <t>claude/nifty-carson-utdcht -&gt; staging</t>
        </is>
      </c>
      <c r="E131" s="12" t="inlineStr">
        <is>
          <t>Test site (staging -&gt; test.gokesari.com)</t>
        </is>
      </c>
      <c r="F131" s="12" t="inlineStr">
        <is>
          <t>Merged</t>
        </is>
      </c>
      <c r="G131" s="12" t="inlineStr">
        <is>
          <t>2026-10-10</t>
        </is>
      </c>
      <c r="H131" s="12" t="inlineStr">
        <is>
          <t>2026-10-10</t>
        </is>
      </c>
      <c r="I131" s="12" t="inlineStr">
        <is>
          <t>PLT-014</t>
        </is>
      </c>
      <c r="J131" s="12" t="inlineStr">
        <is>
          <t>PLT-014</t>
        </is>
      </c>
      <c r="K131" s="12" t="inlineStr">
        <is>
          <t>#131</t>
        </is>
      </c>
      <c r="L131" s="12" t="inlineStr">
        <is>
          <t>Default allowance 4 s -&gt; 8 s; Buy again 6 s -&gt; 10 s.</t>
        </is>
      </c>
    </row>
    <row r="132" ht="27" customFormat="1" customHeight="1" s="2">
      <c r="A132" s="34" t="inlineStr">
        <is>
          <t>131</t>
        </is>
      </c>
      <c r="B132" s="12" t="inlineStr">
        <is>
          <t>Release: staging -&gt; main (gokesari.com) - board timeout 8 s (#130)</t>
        </is>
      </c>
      <c r="C132" s="12" t="inlineStr">
        <is>
          <t>Release (staging -&gt; main)</t>
        </is>
      </c>
      <c r="D132" s="12" t="inlineStr">
        <is>
          <t>staging -&gt; main</t>
        </is>
      </c>
      <c r="E132" s="12" t="inlineStr">
        <is>
          <t>Production (main -&gt; gokesari.com)</t>
        </is>
      </c>
      <c r="F132" s="12" t="inlineStr">
        <is>
          <t>Merged</t>
        </is>
      </c>
      <c r="G132" s="12" t="inlineStr">
        <is>
          <t>2026-10-10</t>
        </is>
      </c>
      <c r="H132" s="12" t="inlineStr">
        <is>
          <t>2026-10-10</t>
        </is>
      </c>
      <c r="I132" s="12" t="inlineStr">
        <is>
          <t>-</t>
        </is>
      </c>
      <c r="J132" s="12" t="inlineStr">
        <is>
          <t>Everything in #125, #130</t>
        </is>
      </c>
      <c r="K132" s="12" t="inlineStr">
        <is>
          <t>Itself (merged to main)</t>
        </is>
      </c>
      <c r="L132" s="12" t="inlineStr">
        <is>
          <t>Merged 08:22 UTC. staging and main hold the same code after this release.</t>
        </is>
      </c>
    </row>
    <row r="133" ht="27" customFormat="1" customHeight="1" s="2">
      <c r="A133" s="34" t="inlineStr">
        <is>
          <t>132</t>
        </is>
      </c>
      <c r="B133" s="12" t="inlineStr">
        <is>
          <t>Feature status report 10 Oct 2026 (after releases #123, #126, #129, #131)</t>
        </is>
      </c>
      <c r="C133" s="12" t="inlineStr">
        <is>
          <t>Docs / reports</t>
        </is>
      </c>
      <c r="D133" s="12" t="inlineStr">
        <is>
          <t>claude/peaceful-faraday-xsfhp4 -&gt; staging</t>
        </is>
      </c>
      <c r="E133" s="12" t="inlineStr">
        <is>
          <t>Test site (staging -&gt; test.gokesari.com)</t>
        </is>
      </c>
      <c r="F133" s="12" t="inlineStr">
        <is>
          <t>Merged</t>
        </is>
      </c>
      <c r="G133" s="12" t="inlineStr">
        <is>
          <t>2026-10-10</t>
        </is>
      </c>
      <c r="H133" s="12" t="inlineStr">
        <is>
          <t>2026-10-10</t>
        </is>
      </c>
      <c r="I133" s="12" t="inlineStr">
        <is>
          <t>-</t>
        </is>
      </c>
      <c r="J133" s="12" t="inlineStr">
        <is>
          <t>-</t>
        </is>
      </c>
      <c r="K133" s="12" t="inlineStr">
        <is>
          <t>Not needed (docs)</t>
        </is>
      </c>
      <c r="L133" s="12" t="n"/>
    </row>
    <row r="134" ht="27" customFormat="1" customHeight="1" s="2">
      <c r="A134" s="34" t="inlineStr">
        <is>
          <t>133</t>
        </is>
      </c>
      <c r="B134" s="12" t="inlineStr">
        <is>
          <t>Nearby shops from the real location; referral code Mandatory/Optional by admin toggle</t>
        </is>
      </c>
      <c r="C134" s="12" t="inlineStr">
        <is>
          <t>Feature</t>
        </is>
      </c>
      <c r="D134" s="12" t="inlineStr">
        <is>
          <t>claude/clever-dijkstra-beqakc -&gt; staging</t>
        </is>
      </c>
      <c r="E134" s="12" t="inlineStr">
        <is>
          <t>Test site (staging -&gt; test.gokesari.com)</t>
        </is>
      </c>
      <c r="F134" s="12" t="inlineStr">
        <is>
          <t>Merged</t>
        </is>
      </c>
      <c r="G134" s="12" t="inlineStr">
        <is>
          <t>2026-10-10</t>
        </is>
      </c>
      <c r="H134" s="12" t="inlineStr">
        <is>
          <t>2026-10-10</t>
        </is>
      </c>
      <c r="I134" s="12" t="inlineStr">
        <is>
          <t>NEW-057, NEW-058, NEW-059</t>
        </is>
      </c>
      <c r="J134" s="12" t="inlineStr">
        <is>
          <t>-</t>
        </is>
      </c>
      <c r="K134" s="12" t="inlineStr">
        <is>
          <t>#135</t>
        </is>
      </c>
      <c r="L134" s="12" t="inlineStr">
        <is>
          <t>Migration 0074.</t>
        </is>
      </c>
    </row>
    <row r="135" ht="27" customFormat="1" customHeight="1" s="2">
      <c r="A135" s="34" t="inlineStr">
        <is>
          <t>134</t>
        </is>
      </c>
      <c r="B135" s="12" t="inlineStr">
        <is>
          <t>CI: skip runs that cannot find anything new (save Actions minutes)</t>
        </is>
      </c>
      <c r="C135" s="12" t="inlineStr">
        <is>
          <t>DevOps / repo</t>
        </is>
      </c>
      <c r="D135" s="12" t="inlineStr">
        <is>
          <t>claude/pensive-sagan-7kcr92 -&gt; staging</t>
        </is>
      </c>
      <c r="E135" s="12" t="inlineStr">
        <is>
          <t>Test site (staging -&gt; test.gokesari.com)</t>
        </is>
      </c>
      <c r="F135" s="12" t="inlineStr">
        <is>
          <t>Merged</t>
        </is>
      </c>
      <c r="G135" s="12" t="inlineStr">
        <is>
          <t>2026-10-10</t>
        </is>
      </c>
      <c r="H135" s="12" t="inlineStr">
        <is>
          <t>2026-10-10</t>
        </is>
      </c>
      <c r="I135" s="12" t="inlineStr">
        <is>
          <t>PLT-016</t>
        </is>
      </c>
      <c r="J135" s="12" t="inlineStr">
        <is>
          <t>-</t>
        </is>
      </c>
      <c r="K135" s="12" t="inlineStr">
        <is>
          <t>#135</t>
        </is>
      </c>
      <c r="L135" s="12" t="n"/>
    </row>
    <row r="136" ht="39" customFormat="1" customHeight="1" s="2">
      <c r="A136" s="34" t="inlineStr">
        <is>
          <t>135</t>
        </is>
      </c>
      <c r="B136" s="12" t="inlineStr">
        <is>
          <t>Release: staging -&gt; main - nearby shops, referral toggle (#133, #136), CI minutes (#134)</t>
        </is>
      </c>
      <c r="C136" s="12" t="inlineStr">
        <is>
          <t>Release (staging -&gt; main)</t>
        </is>
      </c>
      <c r="D136" s="12" t="inlineStr">
        <is>
          <t>staging -&gt; main</t>
        </is>
      </c>
      <c r="E136" s="12" t="inlineStr">
        <is>
          <t>Production (main -&gt; gokesari.com)</t>
        </is>
      </c>
      <c r="F136" s="12" t="inlineStr">
        <is>
          <t>Merged</t>
        </is>
      </c>
      <c r="G136" s="12" t="inlineStr">
        <is>
          <t>2026-10-10</t>
        </is>
      </c>
      <c r="H136" s="12" t="inlineStr">
        <is>
          <t>2026-10-10</t>
        </is>
      </c>
      <c r="I136" s="12" t="inlineStr">
        <is>
          <t>-</t>
        </is>
      </c>
      <c r="J136" s="12" t="inlineStr">
        <is>
          <t>NEW-057, NEW-058, NEW-059, PLT-016</t>
        </is>
      </c>
      <c r="K136" s="12" t="inlineStr">
        <is>
          <t>Itself (merged to main)</t>
        </is>
      </c>
      <c r="L136" s="12" t="inlineStr">
        <is>
          <t>Migration 0074 applied by MIGRATE_ON_BUILD (Neon restore point 20:27 UTC).</t>
        </is>
      </c>
    </row>
    <row r="137" ht="27" customFormat="1" customHeight="1" s="2">
      <c r="A137" s="34" t="inlineStr">
        <is>
          <t>136</t>
        </is>
      </c>
      <c r="B137" s="12" t="inlineStr">
        <is>
          <t>Nearby: PIN box when the location prompt is ignored; test results for Nearby + referral settings</t>
        </is>
      </c>
      <c r="C137" s="12" t="inlineStr">
        <is>
          <t>Improvement</t>
        </is>
      </c>
      <c r="D137" s="12" t="inlineStr">
        <is>
          <t>claude/clever-dijkstra-beqakc -&gt; staging</t>
        </is>
      </c>
      <c r="E137" s="12" t="inlineStr">
        <is>
          <t>Test site (staging -&gt; test.gokesari.com)</t>
        </is>
      </c>
      <c r="F137" s="12" t="inlineStr">
        <is>
          <t>Merged</t>
        </is>
      </c>
      <c r="G137" s="12" t="inlineStr">
        <is>
          <t>2026-10-10</t>
        </is>
      </c>
      <c r="H137" s="12" t="inlineStr">
        <is>
          <t>2026-10-10</t>
        </is>
      </c>
      <c r="I137" s="12" t="inlineStr">
        <is>
          <t>NEW-057, QA-006</t>
        </is>
      </c>
      <c r="J137" s="12" t="inlineStr">
        <is>
          <t>-</t>
        </is>
      </c>
      <c r="K137" s="12" t="inlineStr">
        <is>
          <t>#135</t>
        </is>
      </c>
      <c r="L137" s="12" t="n"/>
    </row>
    <row r="138" ht="27" customFormat="1" customHeight="1" s="2">
      <c r="A138" s="34" t="inlineStr">
        <is>
          <t>137</t>
        </is>
      </c>
      <c r="B138" s="12" t="inlineStr">
        <is>
          <t>Docs: Nearby + referral settings - production release checks and mobile apps</t>
        </is>
      </c>
      <c r="C138" s="12" t="inlineStr">
        <is>
          <t>Docs / reports</t>
        </is>
      </c>
      <c r="D138" s="12" t="inlineStr">
        <is>
          <t>claude/clever-dijkstra-beqakc -&gt; staging</t>
        </is>
      </c>
      <c r="E138" s="12" t="inlineStr">
        <is>
          <t>Test site (staging -&gt; test.gokesari.com)</t>
        </is>
      </c>
      <c r="F138" s="12" t="inlineStr">
        <is>
          <t>Merged</t>
        </is>
      </c>
      <c r="G138" s="12" t="inlineStr">
        <is>
          <t>2026-10-10</t>
        </is>
      </c>
      <c r="H138" s="12" t="inlineStr">
        <is>
          <t>2026-10-10</t>
        </is>
      </c>
      <c r="I138" s="12" t="inlineStr">
        <is>
          <t>QA-006</t>
        </is>
      </c>
      <c r="J138" s="12" t="inlineStr">
        <is>
          <t>-</t>
        </is>
      </c>
      <c r="K138" s="12" t="inlineStr">
        <is>
          <t>Not needed (docs)</t>
        </is>
      </c>
      <c r="L138" s="12" t="n"/>
    </row>
    <row r="139" ht="27" customFormat="1" customHeight="1" s="2">
      <c r="A139" s="34" t="inlineStr">
        <is>
          <t>138</t>
        </is>
      </c>
      <c r="B139" s="12" t="inlineStr">
        <is>
          <t>Fix Admin -&gt; Referral codes showing 0 shops for every code (and 0 society members)</t>
        </is>
      </c>
      <c r="C139" s="12" t="inlineStr">
        <is>
          <t>Fix / hotfix</t>
        </is>
      </c>
      <c r="D139" s="12" t="inlineStr">
        <is>
          <t>claude/clever-dijkstra-beqakc -&gt; staging</t>
        </is>
      </c>
      <c r="E139" s="12" t="inlineStr">
        <is>
          <t>Test site (staging -&gt; test.gokesari.com)</t>
        </is>
      </c>
      <c r="F139" s="12" t="inlineStr">
        <is>
          <t>Merged</t>
        </is>
      </c>
      <c r="G139" s="12" t="inlineStr">
        <is>
          <t>2026-10-11</t>
        </is>
      </c>
      <c r="H139" s="12" t="inlineStr">
        <is>
          <t>2026-10-11</t>
        </is>
      </c>
      <c r="I139" s="12" t="inlineStr">
        <is>
          <t>NEW-065</t>
        </is>
      </c>
      <c r="J139" s="12" t="inlineStr">
        <is>
          <t>-</t>
        </is>
      </c>
      <c r="K139" s="12" t="inlineStr">
        <is>
          <t>#139</t>
        </is>
      </c>
      <c r="L139" s="12" t="n"/>
    </row>
    <row r="140" ht="27" customFormat="1" customHeight="1" s="2">
      <c r="A140" s="34" t="inlineStr">
        <is>
          <t>139</t>
        </is>
      </c>
      <c r="B140" s="12" t="inlineStr">
        <is>
          <t>Release: fix Admin -&gt; Referral codes showing 0 shops (and 0 society members)</t>
        </is>
      </c>
      <c r="C140" s="12" t="inlineStr">
        <is>
          <t>Release (staging -&gt; main)</t>
        </is>
      </c>
      <c r="D140" s="12" t="inlineStr">
        <is>
          <t>staging -&gt; main</t>
        </is>
      </c>
      <c r="E140" s="12" t="inlineStr">
        <is>
          <t>Production (main -&gt; gokesari.com)</t>
        </is>
      </c>
      <c r="F140" s="12" t="inlineStr">
        <is>
          <t>Merged</t>
        </is>
      </c>
      <c r="G140" s="12" t="inlineStr">
        <is>
          <t>2026-10-11</t>
        </is>
      </c>
      <c r="H140" s="12" t="inlineStr">
        <is>
          <t>2026-10-11</t>
        </is>
      </c>
      <c r="I140" s="12" t="inlineStr">
        <is>
          <t>-</t>
        </is>
      </c>
      <c r="J140" s="12" t="inlineStr">
        <is>
          <t>NEW-065</t>
        </is>
      </c>
      <c r="K140" s="12" t="inlineStr">
        <is>
          <t>Itself (merged to main)</t>
        </is>
      </c>
      <c r="L140" s="12" t="n"/>
    </row>
    <row r="141" ht="27" customFormat="1" customHeight="1" s="2">
      <c r="A141" s="34" t="inlineStr">
        <is>
          <t>140</t>
        </is>
      </c>
      <c r="B141" s="12" t="inlineStr">
        <is>
          <t>Copy the 5 real test shops to production (guarded workflow) + record the referral-count fix</t>
        </is>
      </c>
      <c r="C141" s="12" t="inlineStr">
        <is>
          <t>DevOps / repo</t>
        </is>
      </c>
      <c r="D141" s="12" t="inlineStr">
        <is>
          <t>claude/clever-dijkstra-beqakc -&gt; staging</t>
        </is>
      </c>
      <c r="E141" s="12" t="inlineStr">
        <is>
          <t>Test site (staging -&gt; test.gokesari.com)</t>
        </is>
      </c>
      <c r="F141" s="12" t="inlineStr">
        <is>
          <t>Merged</t>
        </is>
      </c>
      <c r="G141" s="12" t="inlineStr">
        <is>
          <t>2026-10-11</t>
        </is>
      </c>
      <c r="H141" s="12" t="inlineStr">
        <is>
          <t>2026-10-11</t>
        </is>
      </c>
      <c r="I141" s="12" t="inlineStr">
        <is>
          <t>PLT-018</t>
        </is>
      </c>
      <c r="J141" s="12" t="inlineStr">
        <is>
          <t>-</t>
        </is>
      </c>
      <c r="K141" s="12" t="inlineStr">
        <is>
          <t>#141</t>
        </is>
      </c>
      <c r="L141" s="12" t="n"/>
    </row>
    <row r="142" ht="27" customFormat="1" customHeight="1" s="2">
      <c r="A142" s="34" t="inlineStr">
        <is>
          <t>141</t>
        </is>
      </c>
      <c r="B142" s="12" t="inlineStr">
        <is>
          <t>Release: 'Copy shops to production' workflow (no application change)</t>
        </is>
      </c>
      <c r="C142" s="12" t="inlineStr">
        <is>
          <t>Release (staging -&gt; main)</t>
        </is>
      </c>
      <c r="D142" s="12" t="inlineStr">
        <is>
          <t>staging -&gt; main</t>
        </is>
      </c>
      <c r="E142" s="12" t="inlineStr">
        <is>
          <t>Production (main -&gt; gokesari.com)</t>
        </is>
      </c>
      <c r="F142" s="12" t="inlineStr">
        <is>
          <t>Merged</t>
        </is>
      </c>
      <c r="G142" s="12" t="inlineStr">
        <is>
          <t>2026-10-11</t>
        </is>
      </c>
      <c r="H142" s="12" t="inlineStr">
        <is>
          <t>2026-10-11</t>
        </is>
      </c>
      <c r="I142" s="12" t="inlineStr">
        <is>
          <t>-</t>
        </is>
      </c>
      <c r="J142" s="12" t="inlineStr">
        <is>
          <t>PLT-018</t>
        </is>
      </c>
      <c r="K142" s="12" t="inlineStr">
        <is>
          <t>Itself (merged to main)</t>
        </is>
      </c>
      <c r="L142" s="12" t="n"/>
    </row>
    <row r="143" ht="27" customFormat="1" customHeight="1" s="2">
      <c r="A143" s="34" t="inlineStr">
        <is>
          <t>142</t>
        </is>
      </c>
      <c r="B143" s="12" t="inlineStr">
        <is>
          <t>GoKesari Seller Central and the 'Sell on GoKesari' page</t>
        </is>
      </c>
      <c r="C143" s="12" t="inlineStr">
        <is>
          <t>Feature</t>
        </is>
      </c>
      <c r="D143" s="12" t="inlineStr">
        <is>
          <t>claude/adoring-hawking-5palvj -&gt; staging</t>
        </is>
      </c>
      <c r="E143" s="12" t="inlineStr">
        <is>
          <t>Test site (staging -&gt; test.gokesari.com)</t>
        </is>
      </c>
      <c r="F143" s="12" t="inlineStr">
        <is>
          <t>Merged</t>
        </is>
      </c>
      <c r="G143" s="12" t="inlineStr">
        <is>
          <t>2026-10-12</t>
        </is>
      </c>
      <c r="H143" s="12" t="inlineStr">
        <is>
          <t>2026-10-12</t>
        </is>
      </c>
      <c r="I143" s="12" t="inlineStr">
        <is>
          <t>NEW-060</t>
        </is>
      </c>
      <c r="J143" s="12" t="inlineStr">
        <is>
          <t>-</t>
        </is>
      </c>
      <c r="K143" s="12" t="inlineStr">
        <is>
          <t>#143</t>
        </is>
      </c>
      <c r="L143" s="12" t="n"/>
    </row>
    <row r="144" ht="27" customFormat="1" customHeight="1" s="2">
      <c r="A144" s="34" t="inlineStr">
        <is>
          <t>143</t>
        </is>
      </c>
      <c r="B144" s="12" t="inlineStr">
        <is>
          <t>Release staging to production: GoKesari Seller Central and 'Sell on GoKesari'</t>
        </is>
      </c>
      <c r="C144" s="12" t="inlineStr">
        <is>
          <t>Release (staging -&gt; main)</t>
        </is>
      </c>
      <c r="D144" s="12" t="inlineStr">
        <is>
          <t>staging -&gt; main</t>
        </is>
      </c>
      <c r="E144" s="12" t="inlineStr">
        <is>
          <t>Production (main -&gt; gokesari.com)</t>
        </is>
      </c>
      <c r="F144" s="12" t="inlineStr">
        <is>
          <t>Merged</t>
        </is>
      </c>
      <c r="G144" s="12" t="inlineStr">
        <is>
          <t>2026-10-12</t>
        </is>
      </c>
      <c r="H144" s="12" t="inlineStr">
        <is>
          <t>2026-10-12</t>
        </is>
      </c>
      <c r="I144" s="12" t="inlineStr">
        <is>
          <t>-</t>
        </is>
      </c>
      <c r="J144" s="12" t="inlineStr">
        <is>
          <t>NEW-060</t>
        </is>
      </c>
      <c r="K144" s="12" t="inlineStr">
        <is>
          <t>Itself (merged to main)</t>
        </is>
      </c>
      <c r="L144" s="12" t="n"/>
    </row>
    <row r="145" ht="27" customFormat="1" customHeight="1" s="2">
      <c r="A145" s="34" t="inlineStr">
        <is>
          <t>144</t>
        </is>
      </c>
      <c r="B145" s="12" t="inlineStr">
        <is>
          <t>Copy shops: SQL files for the Neon console (sql mode)</t>
        </is>
      </c>
      <c r="C145" s="12" t="inlineStr">
        <is>
          <t>DevOps / repo</t>
        </is>
      </c>
      <c r="D145" s="12" t="inlineStr">
        <is>
          <t>claude/clever-dijkstra-beqakc -&gt; staging</t>
        </is>
      </c>
      <c r="E145" s="12" t="inlineStr">
        <is>
          <t>Test site (staging -&gt; test.gokesari.com)</t>
        </is>
      </c>
      <c r="F145" s="12" t="inlineStr">
        <is>
          <t>Merged</t>
        </is>
      </c>
      <c r="G145" s="12" t="inlineStr">
        <is>
          <t>2026-10-12</t>
        </is>
      </c>
      <c r="H145" s="12" t="inlineStr">
        <is>
          <t>2026-10-12</t>
        </is>
      </c>
      <c r="I145" s="12" t="inlineStr">
        <is>
          <t>PLT-018</t>
        </is>
      </c>
      <c r="J145" s="12" t="inlineStr">
        <is>
          <t>-</t>
        </is>
      </c>
      <c r="K145" s="12" t="inlineStr">
        <is>
          <t>#145</t>
        </is>
      </c>
      <c r="L145" s="12" t="inlineStr">
        <is>
          <t>Used because Actions could not see PROD_DATABASE_URL.</t>
        </is>
      </c>
    </row>
    <row r="146" ht="27" customFormat="1" customHeight="1" s="2">
      <c r="A146" s="34" t="inlineStr">
        <is>
          <t>145</t>
        </is>
      </c>
      <c r="B146" s="12" t="inlineStr">
        <is>
          <t>Release: copy shops SQL mode (no application change)</t>
        </is>
      </c>
      <c r="C146" s="12" t="inlineStr">
        <is>
          <t>Release (staging -&gt; main)</t>
        </is>
      </c>
      <c r="D146" s="12" t="inlineStr">
        <is>
          <t>staging -&gt; main</t>
        </is>
      </c>
      <c r="E146" s="12" t="inlineStr">
        <is>
          <t>Production (main -&gt; gokesari.com)</t>
        </is>
      </c>
      <c r="F146" s="12" t="inlineStr">
        <is>
          <t>Merged</t>
        </is>
      </c>
      <c r="G146" s="12" t="inlineStr">
        <is>
          <t>2026-10-12</t>
        </is>
      </c>
      <c r="H146" s="12" t="inlineStr">
        <is>
          <t>2026-10-12</t>
        </is>
      </c>
      <c r="I146" s="12" t="inlineStr">
        <is>
          <t>-</t>
        </is>
      </c>
      <c r="J146" s="12" t="inlineStr">
        <is>
          <t>PLT-018</t>
        </is>
      </c>
      <c r="K146" s="12" t="inlineStr">
        <is>
          <t>Itself (merged to main)</t>
        </is>
      </c>
      <c r="L146" s="12" t="n"/>
    </row>
    <row r="147" ht="27" customFormat="1" customHeight="1" s="2">
      <c r="A147" s="34" t="inlineStr">
        <is>
          <t>146</t>
        </is>
      </c>
      <c r="B147" s="12" t="inlineStr">
        <is>
          <t>Seller/customer DB split tooling, document upload with auto-read, FSSAI for food shops, compact footer, green wordmark</t>
        </is>
      </c>
      <c r="C147" s="12" t="inlineStr">
        <is>
          <t>Feature</t>
        </is>
      </c>
      <c r="D147" s="12" t="inlineStr">
        <is>
          <t>claude/compassionate-galileo-6jpqg3 -&gt; staging</t>
        </is>
      </c>
      <c r="E147" s="12" t="inlineStr">
        <is>
          <t>Test site (staging -&gt; test.gokesari.com)</t>
        </is>
      </c>
      <c r="F147" s="12" t="inlineStr">
        <is>
          <t>Merged</t>
        </is>
      </c>
      <c r="G147" s="12" t="inlineStr">
        <is>
          <t>2026-10-13</t>
        </is>
      </c>
      <c r="H147" s="12" t="inlineStr">
        <is>
          <t>2026-10-13</t>
        </is>
      </c>
      <c r="I147" s="12" t="inlineStr">
        <is>
          <t>PLT-015, NEW-062, NEW-063, NEW-064</t>
        </is>
      </c>
      <c r="J147" s="12" t="inlineStr">
        <is>
          <t>-</t>
        </is>
      </c>
      <c r="K147" s="12" t="inlineStr">
        <is>
          <t>#149</t>
        </is>
      </c>
      <c r="L147" s="12" t="n"/>
    </row>
    <row r="148" ht="27" customFormat="1" customHeight="1" s="2">
      <c r="A148" s="34" t="inlineStr">
        <is>
          <t>147</t>
        </is>
      </c>
      <c r="B148" s="12" t="inlineStr">
        <is>
          <t>Document reader: 25 s limit, 'type the details' fallback, admin health check</t>
        </is>
      </c>
      <c r="C148" s="12" t="inlineStr">
        <is>
          <t>Fix / hotfix</t>
        </is>
      </c>
      <c r="D148" s="12" t="inlineStr">
        <is>
          <t>claude/compassionate-galileo-6jpqg3 -&gt; staging</t>
        </is>
      </c>
      <c r="E148" s="12" t="inlineStr">
        <is>
          <t>Test site (staging -&gt; test.gokesari.com)</t>
        </is>
      </c>
      <c r="F148" s="12" t="inlineStr">
        <is>
          <t>Merged</t>
        </is>
      </c>
      <c r="G148" s="12" t="inlineStr">
        <is>
          <t>2026-10-13</t>
        </is>
      </c>
      <c r="H148" s="12" t="inlineStr">
        <is>
          <t>2026-10-13</t>
        </is>
      </c>
      <c r="I148" s="12" t="inlineStr">
        <is>
          <t>NEW-062, QA-007</t>
        </is>
      </c>
      <c r="J148" s="12" t="inlineStr">
        <is>
          <t>-</t>
        </is>
      </c>
      <c r="K148" s="12" t="inlineStr">
        <is>
          <t>#149</t>
        </is>
      </c>
      <c r="L148" s="12" t="inlineStr">
        <is>
          <t>Fixed the staging 504 on the first read.</t>
        </is>
      </c>
    </row>
    <row r="149" ht="27" customFormat="1" customHeight="1" s="2">
      <c r="A149" s="34" t="inlineStr">
        <is>
          <t>148</t>
        </is>
      </c>
      <c r="B149" s="12" t="inlineStr">
        <is>
          <t>Ship the OCR model and WebAssembly with the document routes (Hostinger)</t>
        </is>
      </c>
      <c r="C149" s="12" t="inlineStr">
        <is>
          <t>Fix / hotfix</t>
        </is>
      </c>
      <c r="D149" s="12" t="inlineStr">
        <is>
          <t>claude/compassionate-galileo-6jpqg3 -&gt; staging</t>
        </is>
      </c>
      <c r="E149" s="12" t="inlineStr">
        <is>
          <t>Test site (staging -&gt; test.gokesari.com)</t>
        </is>
      </c>
      <c r="F149" s="12" t="inlineStr">
        <is>
          <t>Merged</t>
        </is>
      </c>
      <c r="G149" s="12" t="inlineStr">
        <is>
          <t>2026-10-13</t>
        </is>
      </c>
      <c r="H149" s="12" t="inlineStr">
        <is>
          <t>2026-10-13</t>
        </is>
      </c>
      <c r="I149" s="12" t="inlineStr">
        <is>
          <t>NEW-062</t>
        </is>
      </c>
      <c r="J149" s="12" t="inlineStr">
        <is>
          <t>-</t>
        </is>
      </c>
      <c r="K149" s="12" t="inlineStr">
        <is>
          <t>#149</t>
        </is>
      </c>
      <c r="L149" s="12" t="inlineStr">
        <is>
          <t>The OCR worker still does not start on Hostinger.</t>
        </is>
      </c>
    </row>
    <row r="150" ht="39" customFormat="1" customHeight="1" s="2">
      <c r="A150" s="34" t="inlineStr">
        <is>
          <t>149</t>
        </is>
      </c>
      <c r="B150" s="12" t="inlineStr">
        <is>
          <t>Release: compact footer, green wordmark, document upload + FSSAI for food shops, DB-split tooling</t>
        </is>
      </c>
      <c r="C150" s="12" t="inlineStr">
        <is>
          <t>Release (staging -&gt; main)</t>
        </is>
      </c>
      <c r="D150" s="12" t="inlineStr">
        <is>
          <t>staging -&gt; main</t>
        </is>
      </c>
      <c r="E150" s="12" t="inlineStr">
        <is>
          <t>Production (main -&gt; gokesari.com)</t>
        </is>
      </c>
      <c r="F150" s="12" t="inlineStr">
        <is>
          <t>Merged</t>
        </is>
      </c>
      <c r="G150" s="12" t="inlineStr">
        <is>
          <t>2026-10-13</t>
        </is>
      </c>
      <c r="H150" s="12" t="inlineStr">
        <is>
          <t>2026-10-13</t>
        </is>
      </c>
      <c r="I150" s="12" t="inlineStr">
        <is>
          <t>-</t>
        </is>
      </c>
      <c r="J150" s="12" t="inlineStr">
        <is>
          <t>NEW-062, NEW-063, NEW-064, PLT-015</t>
        </is>
      </c>
      <c r="K150" s="12" t="inlineStr">
        <is>
          <t>Itself (merged to main)</t>
        </is>
      </c>
      <c r="L150" s="12" t="inlineStr">
        <is>
          <t>Migration 0075 applied in the Hostinger build (06:42 UTC).</t>
        </is>
      </c>
    </row>
    <row r="151" ht="27" customFormat="1" customHeight="1" s="2">
      <c r="A151" s="34" t="inlineStr">
        <is>
          <t>150</t>
        </is>
      </c>
      <c r="B151" s="12" t="inlineStr">
        <is>
          <t>Footer: no stray '·' at the start of a wrapped line on phones; release test results</t>
        </is>
      </c>
      <c r="C151" s="12" t="inlineStr">
        <is>
          <t>Fix / hotfix</t>
        </is>
      </c>
      <c r="D151" s="12" t="inlineStr">
        <is>
          <t>claude/compassionate-galileo-6jpqg3 -&gt; staging</t>
        </is>
      </c>
      <c r="E151" s="12" t="inlineStr">
        <is>
          <t>Test site (staging -&gt; test.gokesari.com)</t>
        </is>
      </c>
      <c r="F151" s="12" t="inlineStr">
        <is>
          <t>Merged</t>
        </is>
      </c>
      <c r="G151" s="12" t="inlineStr">
        <is>
          <t>2026-10-13</t>
        </is>
      </c>
      <c r="H151" s="12" t="inlineStr">
        <is>
          <t>2026-10-13</t>
        </is>
      </c>
      <c r="I151" s="12" t="inlineStr">
        <is>
          <t>NEW-064, QA-007</t>
        </is>
      </c>
      <c r="J151" s="12" t="inlineStr">
        <is>
          <t>-</t>
        </is>
      </c>
      <c r="K151" s="12" t="inlineStr">
        <is>
          <t>#151</t>
        </is>
      </c>
      <c r="L151" s="12" t="n"/>
    </row>
    <row r="152" ht="27" customFormat="1" customHeight="1" s="2">
      <c r="A152" s="34" t="inlineStr">
        <is>
          <t>151</t>
        </is>
      </c>
      <c r="B152" s="12" t="inlineStr">
        <is>
          <t>Release: footer - no stray '·' at the start of a wrapped line on phones (#150)</t>
        </is>
      </c>
      <c r="C152" s="12" t="inlineStr">
        <is>
          <t>Release (staging -&gt; main)</t>
        </is>
      </c>
      <c r="D152" s="12" t="inlineStr">
        <is>
          <t>staging -&gt; main</t>
        </is>
      </c>
      <c r="E152" s="12" t="inlineStr">
        <is>
          <t>Production (main -&gt; gokesari.com)</t>
        </is>
      </c>
      <c r="F152" s="12" t="inlineStr">
        <is>
          <t>Merged</t>
        </is>
      </c>
      <c r="G152" s="12" t="inlineStr">
        <is>
          <t>2026-10-13</t>
        </is>
      </c>
      <c r="H152" s="12" t="inlineStr">
        <is>
          <t>2026-10-13</t>
        </is>
      </c>
      <c r="I152" s="12" t="inlineStr">
        <is>
          <t>-</t>
        </is>
      </c>
      <c r="J152" s="12" t="inlineStr">
        <is>
          <t>NEW-064</t>
        </is>
      </c>
      <c r="K152" s="12" t="inlineStr">
        <is>
          <t>Itself (merged to main)</t>
        </is>
      </c>
      <c r="L152" s="12" t="n"/>
    </row>
    <row r="153" ht="27" customFormat="1" customHeight="1" s="2">
      <c r="A153" s="34" t="inlineStr">
        <is>
          <t>152</t>
        </is>
      </c>
      <c r="B153" s="12" t="inlineStr">
        <is>
          <t>DB split: stop the copy hanging on Neon; accept Neon's channel_binding URLs</t>
        </is>
      </c>
      <c r="C153" s="12" t="inlineStr">
        <is>
          <t>Fix / hotfix</t>
        </is>
      </c>
      <c r="D153" s="12" t="inlineStr">
        <is>
          <t>claude/compassionate-galileo-6jpqg3 -&gt; staging</t>
        </is>
      </c>
      <c r="E153" s="12" t="inlineStr">
        <is>
          <t>Test site (staging -&gt; test.gokesari.com)</t>
        </is>
      </c>
      <c r="F153" s="12" t="inlineStr">
        <is>
          <t>Merged</t>
        </is>
      </c>
      <c r="G153" s="12" t="inlineStr">
        <is>
          <t>2026-10-13</t>
        </is>
      </c>
      <c r="H153" s="12" t="inlineStr">
        <is>
          <t>2026-10-13</t>
        </is>
      </c>
      <c r="I153" s="12" t="inlineStr">
        <is>
          <t>PLT-015</t>
        </is>
      </c>
      <c r="J153" s="12" t="inlineStr">
        <is>
          <t>-</t>
        </is>
      </c>
      <c r="K153" s="12" t="inlineStr">
        <is>
          <t>#157</t>
        </is>
      </c>
      <c r="L153" s="12" t="n"/>
    </row>
    <row r="154" ht="27" customFormat="1" customHeight="1" s="2">
      <c r="A154" s="34" t="inlineStr">
        <is>
          <t>153</t>
        </is>
      </c>
      <c r="B154" s="12" t="inlineStr">
        <is>
          <t>Saffron GoKesari wordmark, and an iPhone build workflow</t>
        </is>
      </c>
      <c r="C154" s="12" t="inlineStr">
        <is>
          <t>Branding</t>
        </is>
      </c>
      <c r="D154" s="12" t="inlineStr">
        <is>
          <t>claude/adoring-hawking-5palvj -&gt; staging</t>
        </is>
      </c>
      <c r="E154" s="12" t="inlineStr">
        <is>
          <t>Test site (staging -&gt; test.gokesari.com)</t>
        </is>
      </c>
      <c r="F154" s="12" t="inlineStr">
        <is>
          <t>Merged</t>
        </is>
      </c>
      <c r="G154" s="12" t="inlineStr">
        <is>
          <t>2026-10-13</t>
        </is>
      </c>
      <c r="H154" s="12" t="inlineStr">
        <is>
          <t>2026-10-13</t>
        </is>
      </c>
      <c r="I154" s="12" t="inlineStr">
        <is>
          <t>NEW-064, PLT-017</t>
        </is>
      </c>
      <c r="J154" s="12" t="inlineStr">
        <is>
          <t>-</t>
        </is>
      </c>
      <c r="K154" s="12" t="inlineStr">
        <is>
          <t>#157</t>
        </is>
      </c>
      <c r="L154" s="12" t="n"/>
    </row>
    <row r="155" ht="27" customFormat="1" customHeight="1" s="2">
      <c r="A155" s="34" t="inlineStr">
        <is>
          <t>154</t>
        </is>
      </c>
      <c r="B155" s="12" t="inlineStr">
        <is>
          <t>DB split: test verification report (PASS)</t>
        </is>
      </c>
      <c r="C155" s="12" t="inlineStr">
        <is>
          <t>Docs / reports</t>
        </is>
      </c>
      <c r="D155" s="12" t="inlineStr">
        <is>
          <t>claude/compassionate-galileo-6jpqg3 -&gt; staging</t>
        </is>
      </c>
      <c r="E155" s="12" t="inlineStr">
        <is>
          <t>Test site (staging -&gt; test.gokesari.com)</t>
        </is>
      </c>
      <c r="F155" s="12" t="inlineStr">
        <is>
          <t>Merged</t>
        </is>
      </c>
      <c r="G155" s="12" t="inlineStr">
        <is>
          <t>2026-10-13</t>
        </is>
      </c>
      <c r="H155" s="12" t="inlineStr">
        <is>
          <t>2026-10-13</t>
        </is>
      </c>
      <c r="I155" s="12" t="inlineStr">
        <is>
          <t>PLT-015, QA-007</t>
        </is>
      </c>
      <c r="J155" s="12" t="inlineStr">
        <is>
          <t>-</t>
        </is>
      </c>
      <c r="K155" s="12" t="inlineStr">
        <is>
          <t>#157</t>
        </is>
      </c>
      <c r="L155" s="12" t="n"/>
    </row>
    <row r="156" ht="27" customFormat="1" customHeight="1" s="2">
      <c r="A156" s="34" t="inlineStr">
        <is>
          <t>155</t>
        </is>
      </c>
      <c r="B156" s="12" t="inlineStr">
        <is>
          <t>Release: DB split tool fixes (#152) - copy no longer hangs on Neon; channel_binding URLs accepted</t>
        </is>
      </c>
      <c r="C156" s="12" t="inlineStr">
        <is>
          <t>Release (staging -&gt; main)</t>
        </is>
      </c>
      <c r="D156" s="12" t="inlineStr">
        <is>
          <t>staging -&gt; main</t>
        </is>
      </c>
      <c r="E156" s="12" t="inlineStr">
        <is>
          <t>Production (main -&gt; gokesari.com)</t>
        </is>
      </c>
      <c r="F156" s="12" t="inlineStr">
        <is>
          <t>Closed - not merged</t>
        </is>
      </c>
      <c r="G156" s="12" t="inlineStr">
        <is>
          <t>2026-10-13</t>
        </is>
      </c>
      <c r="H156" s="12" t="inlineStr">
        <is>
          <t>2026-10-13</t>
        </is>
      </c>
      <c r="I156" s="12" t="inlineStr">
        <is>
          <t>-</t>
        </is>
      </c>
      <c r="J156" s="12" t="inlineStr">
        <is>
          <t>-</t>
        </is>
      </c>
      <c r="K156" s="12" t="inlineStr">
        <is>
          <t>-</t>
        </is>
      </c>
      <c r="L156" s="12" t="inlineStr">
        <is>
          <t>Closed unmerged; superseded by #157.</t>
        </is>
      </c>
    </row>
    <row r="157" ht="27" customFormat="1" customHeight="1" s="2">
      <c r="A157" s="34" t="inlineStr">
        <is>
          <t>156</t>
        </is>
      </c>
      <c r="B157" s="12" t="inlineStr">
        <is>
          <t>Docs: record the copy of the 5 real shops to production</t>
        </is>
      </c>
      <c r="C157" s="12" t="inlineStr">
        <is>
          <t>Docs / reports</t>
        </is>
      </c>
      <c r="D157" s="12" t="inlineStr">
        <is>
          <t>claude/clever-dijkstra-beqakc -&gt; staging</t>
        </is>
      </c>
      <c r="E157" s="12" t="inlineStr">
        <is>
          <t>Test site (staging -&gt; test.gokesari.com)</t>
        </is>
      </c>
      <c r="F157" s="12" t="inlineStr">
        <is>
          <t>Merged</t>
        </is>
      </c>
      <c r="G157" s="12" t="inlineStr">
        <is>
          <t>2026-10-13</t>
        </is>
      </c>
      <c r="H157" s="12" t="inlineStr">
        <is>
          <t>2026-10-13</t>
        </is>
      </c>
      <c r="I157" s="12" t="inlineStr">
        <is>
          <t>PLT-018</t>
        </is>
      </c>
      <c r="J157" s="12" t="inlineStr">
        <is>
          <t>-</t>
        </is>
      </c>
      <c r="K157" s="12" t="inlineStr">
        <is>
          <t>#157</t>
        </is>
      </c>
      <c r="L157" s="12" t="n"/>
    </row>
    <row r="158" ht="39" customFormat="1" customHeight="1" s="2">
      <c r="A158" s="34" t="inlineStr">
        <is>
          <t>157</t>
        </is>
      </c>
      <c r="B158" s="12" t="inlineStr">
        <is>
          <t>Release: saffron GoKesari wordmark, DB split tool fixes, iPhone build workflow</t>
        </is>
      </c>
      <c r="C158" s="12" t="inlineStr">
        <is>
          <t>Release (staging -&gt; main)</t>
        </is>
      </c>
      <c r="D158" s="12" t="inlineStr">
        <is>
          <t>staging -&gt; main</t>
        </is>
      </c>
      <c r="E158" s="12" t="inlineStr">
        <is>
          <t>Production (main -&gt; gokesari.com)</t>
        </is>
      </c>
      <c r="F158" s="12" t="inlineStr">
        <is>
          <t>Merged</t>
        </is>
      </c>
      <c r="G158" s="12" t="inlineStr">
        <is>
          <t>2026-10-13</t>
        </is>
      </c>
      <c r="H158" s="12" t="inlineStr">
        <is>
          <t>2026-10-13</t>
        </is>
      </c>
      <c r="I158" s="12" t="inlineStr">
        <is>
          <t>-</t>
        </is>
      </c>
      <c r="J158" s="12" t="inlineStr">
        <is>
          <t>NEW-064, PLT-015, PLT-017, PLT-018</t>
        </is>
      </c>
      <c r="K158" s="12" t="inlineStr">
        <is>
          <t>Itself (merged to main)</t>
        </is>
      </c>
      <c r="L158" s="12" t="n"/>
    </row>
    <row r="159" ht="27" customFormat="1" customHeight="1" s="2">
      <c r="A159" s="34" t="inlineStr">
        <is>
          <t>158</t>
        </is>
      </c>
      <c r="B159" s="12" t="inlineStr">
        <is>
          <t>DB split: leave Neon's sample table (playing_with_neon) in the source</t>
        </is>
      </c>
      <c r="C159" s="12" t="inlineStr">
        <is>
          <t>Fix / hotfix</t>
        </is>
      </c>
      <c r="D159" s="12" t="inlineStr">
        <is>
          <t>claude/compassionate-galileo-6jpqg3 -&gt; staging</t>
        </is>
      </c>
      <c r="E159" s="12" t="inlineStr">
        <is>
          <t>Test site (staging -&gt; test.gokesari.com)</t>
        </is>
      </c>
      <c r="F159" s="12" t="inlineStr">
        <is>
          <t>Merged</t>
        </is>
      </c>
      <c r="G159" s="12" t="inlineStr">
        <is>
          <t>2026-10-13</t>
        </is>
      </c>
      <c r="H159" s="12" t="inlineStr">
        <is>
          <t>2026-10-13</t>
        </is>
      </c>
      <c r="I159" s="12" t="inlineStr">
        <is>
          <t>PLT-015</t>
        </is>
      </c>
      <c r="J159" s="12" t="inlineStr">
        <is>
          <t>-</t>
        </is>
      </c>
      <c r="K159" s="12" t="inlineStr">
        <is>
          <t>#159</t>
        </is>
      </c>
      <c r="L159" s="12" t="n"/>
    </row>
    <row r="160" ht="27" customFormat="1" customHeight="1" s="2">
      <c r="A160" s="34" t="inlineStr">
        <is>
          <t>159</t>
        </is>
      </c>
      <c r="B160" s="12" t="inlineStr">
        <is>
          <t>Release: DB split leaves Neon's sample table in the source (#158)</t>
        </is>
      </c>
      <c r="C160" s="12" t="inlineStr">
        <is>
          <t>Release (staging -&gt; main)</t>
        </is>
      </c>
      <c r="D160" s="12" t="inlineStr">
        <is>
          <t>staging -&gt; main</t>
        </is>
      </c>
      <c r="E160" s="12" t="inlineStr">
        <is>
          <t>Production (main -&gt; gokesari.com)</t>
        </is>
      </c>
      <c r="F160" s="12" t="inlineStr">
        <is>
          <t>Merged</t>
        </is>
      </c>
      <c r="G160" s="12" t="inlineStr">
        <is>
          <t>2026-10-13</t>
        </is>
      </c>
      <c r="H160" s="12" t="inlineStr">
        <is>
          <t>2026-10-13</t>
        </is>
      </c>
      <c r="I160" s="12" t="inlineStr">
        <is>
          <t>-</t>
        </is>
      </c>
      <c r="J160" s="12" t="inlineStr">
        <is>
          <t>PLT-015</t>
        </is>
      </c>
      <c r="K160" s="12" t="inlineStr">
        <is>
          <t>Itself (merged to main)</t>
        </is>
      </c>
      <c r="L160" s="12" t="n"/>
    </row>
    <row r="161" ht="27" customFormat="1" customHeight="1" s="2">
      <c r="A161" s="34" t="inlineStr">
        <is>
          <t>160</t>
        </is>
      </c>
      <c r="B161" s="12" t="inlineStr">
        <is>
          <t>DB split: say which roles point at the same database</t>
        </is>
      </c>
      <c r="C161" s="12" t="inlineStr">
        <is>
          <t>Improvement</t>
        </is>
      </c>
      <c r="D161" s="12" t="inlineStr">
        <is>
          <t>claude/compassionate-galileo-6jpqg3 -&gt; staging</t>
        </is>
      </c>
      <c r="E161" s="12" t="inlineStr">
        <is>
          <t>Test site (staging -&gt; test.gokesari.com)</t>
        </is>
      </c>
      <c r="F161" s="12" t="inlineStr">
        <is>
          <t>Merged</t>
        </is>
      </c>
      <c r="G161" s="12" t="inlineStr">
        <is>
          <t>2026-10-13</t>
        </is>
      </c>
      <c r="H161" s="12" t="inlineStr">
        <is>
          <t>2026-10-13</t>
        </is>
      </c>
      <c r="I161" s="12" t="inlineStr">
        <is>
          <t>PLT-015</t>
        </is>
      </c>
      <c r="J161" s="12" t="inlineStr">
        <is>
          <t>-</t>
        </is>
      </c>
      <c r="K161" s="12" t="inlineStr">
        <is>
          <t>#161</t>
        </is>
      </c>
      <c r="L161" s="12" t="n"/>
    </row>
    <row r="162" ht="27" customFormat="1" customHeight="1" s="2">
      <c r="A162" s="34" t="inlineStr">
        <is>
          <t>161</t>
        </is>
      </c>
      <c r="B162" s="12" t="inlineStr">
        <is>
          <t>Release: DB split names the roles that point at the same database (#160)</t>
        </is>
      </c>
      <c r="C162" s="12" t="inlineStr">
        <is>
          <t>Release (staging -&gt; main)</t>
        </is>
      </c>
      <c r="D162" s="12" t="inlineStr">
        <is>
          <t>staging -&gt; main</t>
        </is>
      </c>
      <c r="E162" s="12" t="inlineStr">
        <is>
          <t>Production (main -&gt; gokesari.com)</t>
        </is>
      </c>
      <c r="F162" s="12" t="inlineStr">
        <is>
          <t>Merged</t>
        </is>
      </c>
      <c r="G162" s="12" t="inlineStr">
        <is>
          <t>2026-10-13</t>
        </is>
      </c>
      <c r="H162" s="12" t="inlineStr">
        <is>
          <t>2026-10-13</t>
        </is>
      </c>
      <c r="I162" s="12" t="inlineStr">
        <is>
          <t>-</t>
        </is>
      </c>
      <c r="J162" s="12" t="inlineStr">
        <is>
          <t>PLT-015</t>
        </is>
      </c>
      <c r="K162" s="12" t="inlineStr">
        <is>
          <t>Itself (merged to main)</t>
        </is>
      </c>
      <c r="L162" s="12" t="n"/>
    </row>
    <row r="163" ht="27" customFormat="1" customHeight="1" s="2">
      <c r="A163" s="34" t="inlineStr">
        <is>
          <t>162</t>
        </is>
      </c>
      <c r="B163" s="12" t="inlineStr">
        <is>
          <t>DB split: log which database each secret points at</t>
        </is>
      </c>
      <c r="C163" s="12" t="inlineStr">
        <is>
          <t>Improvement</t>
        </is>
      </c>
      <c r="D163" s="12" t="inlineStr">
        <is>
          <t>claude/compassionate-galileo-6jpqg3 -&gt; staging</t>
        </is>
      </c>
      <c r="E163" s="12" t="inlineStr">
        <is>
          <t>Test site (staging -&gt; test.gokesari.com)</t>
        </is>
      </c>
      <c r="F163" s="12" t="inlineStr">
        <is>
          <t>Merged</t>
        </is>
      </c>
      <c r="G163" s="12" t="inlineStr">
        <is>
          <t>2026-10-14</t>
        </is>
      </c>
      <c r="H163" s="12" t="inlineStr">
        <is>
          <t>2026-10-14</t>
        </is>
      </c>
      <c r="I163" s="12" t="inlineStr">
        <is>
          <t>PLT-015</t>
        </is>
      </c>
      <c r="J163" s="12" t="inlineStr">
        <is>
          <t>-</t>
        </is>
      </c>
      <c r="K163" s="12" t="inlineStr">
        <is>
          <t>#163</t>
        </is>
      </c>
      <c r="L163" s="12" t="n"/>
    </row>
    <row r="164" ht="27" customFormat="1" customHeight="1" s="2">
      <c r="A164" s="34" t="inlineStr">
        <is>
          <t>163</t>
        </is>
      </c>
      <c r="B164" s="12" t="inlineStr">
        <is>
          <t>Release: DB split logs which database each secret points at (#162)</t>
        </is>
      </c>
      <c r="C164" s="12" t="inlineStr">
        <is>
          <t>Release (staging -&gt; main)</t>
        </is>
      </c>
      <c r="D164" s="12" t="inlineStr">
        <is>
          <t>staging -&gt; main</t>
        </is>
      </c>
      <c r="E164" s="12" t="inlineStr">
        <is>
          <t>Production (main -&gt; gokesari.com)</t>
        </is>
      </c>
      <c r="F164" s="12" t="inlineStr">
        <is>
          <t>Merged</t>
        </is>
      </c>
      <c r="G164" s="12" t="inlineStr">
        <is>
          <t>2026-10-14</t>
        </is>
      </c>
      <c r="H164" s="12" t="inlineStr">
        <is>
          <t>2026-10-14</t>
        </is>
      </c>
      <c r="I164" s="12" t="inlineStr">
        <is>
          <t>-</t>
        </is>
      </c>
      <c r="J164" s="12" t="inlineStr">
        <is>
          <t>PLT-015</t>
        </is>
      </c>
      <c r="K164" s="12" t="inlineStr">
        <is>
          <t>Itself (merged to main)</t>
        </is>
      </c>
      <c r="L164" s="12" t="n"/>
    </row>
    <row r="165" ht="27" customFormat="1" customHeight="1" s="2">
      <c r="A165" s="34" t="inlineStr">
        <is>
          <t>164</t>
        </is>
      </c>
      <c r="B165" s="12" t="inlineStr">
        <is>
          <t>DB split: production verification report (PASS)</t>
        </is>
      </c>
      <c r="C165" s="12" t="inlineStr">
        <is>
          <t>Docs / reports</t>
        </is>
      </c>
      <c r="D165" s="12" t="inlineStr">
        <is>
          <t>claude/compassionate-galileo-6jpqg3 -&gt; staging</t>
        </is>
      </c>
      <c r="E165" s="12" t="inlineStr">
        <is>
          <t>Test site (staging -&gt; test.gokesari.com)</t>
        </is>
      </c>
      <c r="F165" s="12" t="inlineStr">
        <is>
          <t>Merged</t>
        </is>
      </c>
      <c r="G165" s="12" t="inlineStr">
        <is>
          <t>2026-10-14</t>
        </is>
      </c>
      <c r="H165" s="12" t="inlineStr">
        <is>
          <t>2026-10-14</t>
        </is>
      </c>
      <c r="I165" s="12" t="inlineStr">
        <is>
          <t>PLT-015</t>
        </is>
      </c>
      <c r="J165" s="12" t="inlineStr">
        <is>
          <t>-</t>
        </is>
      </c>
      <c r="K165" s="12" t="inlineStr">
        <is>
          <t>#165</t>
        </is>
      </c>
      <c r="L165" s="12" t="n"/>
    </row>
    <row r="166" ht="27" customFormat="1" customHeight="1" s="2">
      <c r="A166" s="34" t="inlineStr">
        <is>
          <t>165</t>
        </is>
      </c>
      <c r="B166" s="12" t="inlineStr">
        <is>
          <t>Release: production DB split verification report (#164)</t>
        </is>
      </c>
      <c r="C166" s="12" t="inlineStr">
        <is>
          <t>Release (staging -&gt; main)</t>
        </is>
      </c>
      <c r="D166" s="12" t="inlineStr">
        <is>
          <t>staging -&gt; main</t>
        </is>
      </c>
      <c r="E166" s="12" t="inlineStr">
        <is>
          <t>Production (main -&gt; gokesari.com)</t>
        </is>
      </c>
      <c r="F166" s="12" t="inlineStr">
        <is>
          <t>Merged</t>
        </is>
      </c>
      <c r="G166" s="12" t="inlineStr">
        <is>
          <t>2026-10-14</t>
        </is>
      </c>
      <c r="H166" s="12" t="inlineStr">
        <is>
          <t>2026-10-14</t>
        </is>
      </c>
      <c r="I166" s="12" t="inlineStr">
        <is>
          <t>-</t>
        </is>
      </c>
      <c r="J166" s="12" t="inlineStr">
        <is>
          <t>PLT-015</t>
        </is>
      </c>
      <c r="K166" s="12" t="inlineStr">
        <is>
          <t>Itself (merged to main)</t>
        </is>
      </c>
      <c r="L166" s="12" t="inlineStr">
        <is>
          <t>Docs only; staging and main the same code afterwards.</t>
        </is>
      </c>
    </row>
    <row r="167" ht="27" customFormat="1" customHeight="1" s="2">
      <c r="A167" s="34" t="inlineStr">
        <is>
          <t>166</t>
        </is>
      </c>
      <c r="B167" s="12" t="inlineStr">
        <is>
          <t>Feature, process-flow and PR status workbook (14 Oct 2026)</t>
        </is>
      </c>
      <c r="C167" s="12" t="inlineStr">
        <is>
          <t>Docs / reports</t>
        </is>
      </c>
      <c r="D167" s="12" t="inlineStr">
        <is>
          <t>claude/peaceful-pascal-jai8w2 -&gt; main</t>
        </is>
      </c>
      <c r="E167" s="12" t="inlineStr">
        <is>
          <t>Production (main -&gt; gokesari.com)</t>
        </is>
      </c>
      <c r="F167" s="12" t="inlineStr">
        <is>
          <t>Merged</t>
        </is>
      </c>
      <c r="G167" s="12" t="inlineStr">
        <is>
          <t>2026-10-14</t>
        </is>
      </c>
      <c r="H167" s="12" t="inlineStr">
        <is>
          <t>2026-10-14</t>
        </is>
      </c>
      <c r="I167" s="12" t="inlineStr">
        <is>
          <t>-</t>
        </is>
      </c>
      <c r="J167" s="12" t="inlineStr">
        <is>
          <t>-</t>
        </is>
      </c>
      <c r="K167" s="12" t="inlineStr">
        <is>
          <t>Not needed (docs)</t>
        </is>
      </c>
      <c r="L167" s="12" t="n"/>
    </row>
    <row r="168" ht="27" customFormat="1" customHeight="1" s="2">
      <c r="A168" s="34" t="inlineStr">
        <is>
          <t>167</t>
        </is>
      </c>
      <c r="B168" s="12" t="inlineStr">
        <is>
          <t>Test results tracker (14 Oct 2026)</t>
        </is>
      </c>
      <c r="C168" s="12" t="inlineStr">
        <is>
          <t>Docs / reports</t>
        </is>
      </c>
      <c r="D168" s="12" t="inlineStr">
        <is>
          <t>claude/peaceful-pascal-jai8w2 -&gt; main</t>
        </is>
      </c>
      <c r="E168" s="12" t="inlineStr">
        <is>
          <t>Production (main -&gt; gokesari.com)</t>
        </is>
      </c>
      <c r="F168" s="12" t="inlineStr">
        <is>
          <t>Merged</t>
        </is>
      </c>
      <c r="G168" s="12" t="inlineStr">
        <is>
          <t>2026-10-14</t>
        </is>
      </c>
      <c r="H168" s="12" t="inlineStr">
        <is>
          <t>2026-10-14</t>
        </is>
      </c>
      <c r="I168" s="12" t="inlineStr">
        <is>
          <t>-</t>
        </is>
      </c>
      <c r="J168" s="12" t="inlineStr">
        <is>
          <t>-</t>
        </is>
      </c>
      <c r="K168" s="12" t="inlineStr">
        <is>
          <t>Not needed (docs)</t>
        </is>
      </c>
      <c r="L168" s="12" t="n"/>
    </row>
    <row r="169" ht="27" customFormat="1" customHeight="1" s="2">
      <c r="A169" s="34" t="inlineStr">
        <is>
          <t>168</t>
        </is>
      </c>
      <c r="B169" s="12" t="inlineStr">
        <is>
          <t>Seller Central: shop switcher for owners with more than one shop</t>
        </is>
      </c>
      <c r="C169" s="12" t="inlineStr">
        <is>
          <t>Fix / hotfix</t>
        </is>
      </c>
      <c r="D169" s="12" t="inlineStr">
        <is>
          <t>claude/peaceful-pascal-jai8w2 -&gt; staging</t>
        </is>
      </c>
      <c r="E169" s="12" t="inlineStr">
        <is>
          <t>Test site (staging -&gt; test.gokesari.com)</t>
        </is>
      </c>
      <c r="F169" s="12" t="inlineStr">
        <is>
          <t>Merged</t>
        </is>
      </c>
      <c r="G169" s="12" t="inlineStr">
        <is>
          <t>2026-10-14</t>
        </is>
      </c>
      <c r="H169" s="12" t="inlineStr">
        <is>
          <t>2026-10-14</t>
        </is>
      </c>
      <c r="I169" s="12" t="inlineStr">
        <is>
          <t>NEW-066, QA-008</t>
        </is>
      </c>
      <c r="J169" s="12" t="inlineStr">
        <is>
          <t>-</t>
        </is>
      </c>
      <c r="K169" s="12" t="inlineStr">
        <is>
          <t>Not yet (test site only)</t>
        </is>
      </c>
      <c r="L169" s="12" t="inlineStr">
        <is>
          <t>Found by the 14 Oct order-lifecycle run; re-checked on test (TR-23).</t>
        </is>
      </c>
    </row>
    <row r="170" ht="27" customFormat="1" customHeight="1" s="2">
      <c r="A170" s="34" t="inlineStr">
        <is>
          <t>169</t>
        </is>
      </c>
      <c r="B170" s="12" t="inlineStr">
        <is>
          <t>Document upload: read photos in the owner's browser (fixes D-18)</t>
        </is>
      </c>
      <c r="C170" s="12" t="inlineStr">
        <is>
          <t>Fix / hotfix</t>
        </is>
      </c>
      <c r="D170" s="12" t="inlineStr">
        <is>
          <t>claude/gracious-einstein-24qjjh -&gt; staging</t>
        </is>
      </c>
      <c r="E170" s="12" t="inlineStr">
        <is>
          <t>Test site (staging -&gt; test.gokesari.com)</t>
        </is>
      </c>
      <c r="F170" s="12" t="inlineStr">
        <is>
          <t>Merged</t>
        </is>
      </c>
      <c r="G170" s="12" t="inlineStr">
        <is>
          <t>2026-10-14</t>
        </is>
      </c>
      <c r="H170" s="12" t="inlineStr">
        <is>
          <t>2026-10-14</t>
        </is>
      </c>
      <c r="I170" s="12" t="inlineStr">
        <is>
          <t>NEW-062</t>
        </is>
      </c>
      <c r="J170" s="12" t="inlineStr">
        <is>
          <t>NEW-062</t>
        </is>
      </c>
      <c r="K170" s="12" t="inlineStr">
        <is>
          <t>#175 (cherry-pick); #177</t>
        </is>
      </c>
      <c r="L170" s="12" t="inlineStr">
        <is>
          <t>CSP adds 'wasm-unsafe-eval'; switch DOCUMENT_OCR_BROWSER=off goes back to server-only. Verified on test 15 Oct (TR-26).</t>
        </is>
      </c>
    </row>
    <row r="171" ht="27" customFormat="1" customHeight="1" s="2">
      <c r="A171" s="34" t="inlineStr">
        <is>
          <t>170</t>
        </is>
      </c>
      <c r="B171" s="12" t="inlineStr">
        <is>
          <t>Order lifecycle on staging (14 Oct): test results and tracker update</t>
        </is>
      </c>
      <c r="C171" s="12" t="inlineStr">
        <is>
          <t>Docs / reports</t>
        </is>
      </c>
      <c r="D171" s="12" t="inlineStr">
        <is>
          <t>claude/peaceful-pascal-jai8w2 -&gt; main</t>
        </is>
      </c>
      <c r="E171" s="12" t="inlineStr">
        <is>
          <t>Production (main -&gt; gokesari.com)</t>
        </is>
      </c>
      <c r="F171" s="12" t="inlineStr">
        <is>
          <t>Merged</t>
        </is>
      </c>
      <c r="G171" s="12" t="inlineStr">
        <is>
          <t>2026-10-14</t>
        </is>
      </c>
      <c r="H171" s="12" t="inlineStr">
        <is>
          <t>2026-10-15</t>
        </is>
      </c>
      <c r="I171" s="12" t="inlineStr">
        <is>
          <t>QA-008</t>
        </is>
      </c>
      <c r="J171" s="12" t="inlineStr">
        <is>
          <t>-</t>
        </is>
      </c>
      <c r="K171" s="12" t="inlineStr">
        <is>
          <t>Not needed (docs)</t>
        </is>
      </c>
      <c r="L171" s="12" t="inlineStr">
        <is>
          <t>Merged by the owner 15 Oct; results, tracker and the morning 15 Oct status report.</t>
        </is>
      </c>
    </row>
    <row r="172" ht="27" customFormat="1" customHeight="1" s="2">
      <c r="A172" s="34" t="inlineStr">
        <is>
          <t>171</t>
        </is>
      </c>
      <c r="B172" s="12" t="inlineStr">
        <is>
          <t>Inventory &amp; Accounting for shop owners: stock ledger, books, GST portal, supplier bill scan/upload</t>
        </is>
      </c>
      <c r="C172" s="12" t="inlineStr">
        <is>
          <t>Feature</t>
        </is>
      </c>
      <c r="D172" s="12" t="inlineStr">
        <is>
          <t>claude/nice-cori-6p1wb2 -&gt; staging</t>
        </is>
      </c>
      <c r="E172" s="12" t="inlineStr">
        <is>
          <t>Test site (staging -&gt; test.gokesari.com)</t>
        </is>
      </c>
      <c r="F172" s="12" t="inlineStr">
        <is>
          <t>Merged</t>
        </is>
      </c>
      <c r="G172" s="12" t="inlineStr">
        <is>
          <t>2026-10-15</t>
        </is>
      </c>
      <c r="H172" s="12" t="inlineStr">
        <is>
          <t>2026-10-15</t>
        </is>
      </c>
      <c r="I172" s="12" t="inlineStr">
        <is>
          <t>NEW-067</t>
        </is>
      </c>
      <c r="J172" s="12" t="inlineStr">
        <is>
          <t>NEW-067</t>
        </is>
      </c>
      <c r="K172" s="12" t="inlineStr">
        <is>
          <t>#179 (15 Oct)</t>
        </is>
      </c>
      <c r="L172" s="12" t="inlineStr">
        <is>
          <t>Migration 0076 (24 tables, additive; rollback-0076.sql).</t>
        </is>
      </c>
    </row>
    <row r="173" ht="39" customHeight="1">
      <c r="A173" s="34" t="n">
        <v>172</v>
      </c>
      <c r="B173" s="12" t="inlineStr">
        <is>
          <t>Inventory &amp; Accounting: staging findings - fast GST figures, cancel = SALE_RETURN (0078), share-target redirect, live test scripts</t>
        </is>
      </c>
      <c r="C173" s="12" t="inlineStr">
        <is>
          <t>Fix / hotfix</t>
        </is>
      </c>
      <c r="D173" s="12" t="inlineStr">
        <is>
          <t>claude/nice-cori-6p1wb2 -&gt; staging</t>
        </is>
      </c>
      <c r="E173" s="12" t="inlineStr">
        <is>
          <t>Test site (staging -&gt; test.gokesari.com)</t>
        </is>
      </c>
      <c r="F173" s="12" t="inlineStr">
        <is>
          <t>Merged</t>
        </is>
      </c>
      <c r="G173" s="12" t="inlineStr">
        <is>
          <t>2026-10-15</t>
        </is>
      </c>
      <c r="H173" s="12" t="inlineStr">
        <is>
          <t>2026-10-15</t>
        </is>
      </c>
      <c r="I173" s="12" t="inlineStr">
        <is>
          <t>NEW-067</t>
        </is>
      </c>
      <c r="J173" s="12" t="inlineStr">
        <is>
          <t>NEW-067</t>
        </is>
      </c>
      <c r="K173" s="12" t="inlineStr">
        <is>
          <t>#179 (15 Oct)</t>
        </is>
      </c>
      <c r="L173" s="12" t="inlineStr">
        <is>
          <t>Migration 0078 (trigger function only; rollback-0078.sql). Board/GST page ~40 s -&gt; ~4 s on test.</t>
        </is>
      </c>
    </row>
    <row r="174" ht="27" customHeight="1">
      <c r="A174" s="34" t="n">
        <v>173</v>
      </c>
      <c r="B174" s="12" t="inlineStr">
        <is>
          <t>Bulk product upload (Excel/CSV) with shop inventory update</t>
        </is>
      </c>
      <c r="C174" s="12" t="inlineStr">
        <is>
          <t>Feature</t>
        </is>
      </c>
      <c r="D174" s="12" t="inlineStr">
        <is>
          <t>claude/amazing-ritchie-9vlq9f -&gt; staging</t>
        </is>
      </c>
      <c r="E174" s="12" t="inlineStr">
        <is>
          <t>Test site (staging -&gt; test.gokesari.com)</t>
        </is>
      </c>
      <c r="F174" s="12" t="inlineStr">
        <is>
          <t>Merged</t>
        </is>
      </c>
      <c r="G174" s="12" t="inlineStr">
        <is>
          <t>2026-10-15</t>
        </is>
      </c>
      <c r="H174" s="12" t="inlineStr">
        <is>
          <t>2026-10-15</t>
        </is>
      </c>
      <c r="I174" s="12" t="inlineStr">
        <is>
          <t>GS-013</t>
        </is>
      </c>
      <c r="J174" s="12" t="inlineStr">
        <is>
          <t>-</t>
        </is>
      </c>
      <c r="K174" s="12" t="inlineStr">
        <is>
          <t>#179</t>
        </is>
      </c>
      <c r="L174" s="12" t="inlineStr">
        <is>
          <t>Migration 0077.</t>
        </is>
      </c>
    </row>
    <row r="175" ht="27" customHeight="1">
      <c r="A175" s="34" t="n">
        <v>174</v>
      </c>
      <c r="B175" s="12" t="inlineStr">
        <is>
          <t>Bulk product upload: live test run on test.gokesari.com (23/23 pass)</t>
        </is>
      </c>
      <c r="C175" s="12" t="inlineStr">
        <is>
          <t>QA / tests</t>
        </is>
      </c>
      <c r="D175" s="12" t="inlineStr">
        <is>
          <t>claude/amazing-ritchie-9vlq9f -&gt; staging</t>
        </is>
      </c>
      <c r="E175" s="12" t="inlineStr">
        <is>
          <t>Test site (staging -&gt; test.gokesari.com)</t>
        </is>
      </c>
      <c r="F175" s="12" t="inlineStr">
        <is>
          <t>Merged</t>
        </is>
      </c>
      <c r="G175" s="12" t="inlineStr">
        <is>
          <t>2026-10-15</t>
        </is>
      </c>
      <c r="H175" s="12" t="inlineStr">
        <is>
          <t>2026-10-15</t>
        </is>
      </c>
      <c r="I175" s="12" t="inlineStr">
        <is>
          <t>GS-013</t>
        </is>
      </c>
      <c r="J175" s="12" t="inlineStr">
        <is>
          <t>-</t>
        </is>
      </c>
      <c r="K175" s="12" t="inlineStr">
        <is>
          <t>#179</t>
        </is>
      </c>
      <c r="L175" s="12" t="n"/>
    </row>
    <row r="176" ht="27" customHeight="1">
      <c r="A176" s="34" t="n">
        <v>175</v>
      </c>
      <c r="B176" s="12" t="inlineStr">
        <is>
          <t>Release: shop switcher (#168) and browser document reading (#169)</t>
        </is>
      </c>
      <c r="C176" s="12" t="inlineStr">
        <is>
          <t>Release (staging -&gt; main)</t>
        </is>
      </c>
      <c r="D176" s="12" t="inlineStr">
        <is>
          <t>claude/peaceful-pascal-jai8w2 -&gt; main</t>
        </is>
      </c>
      <c r="E176" s="12" t="inlineStr">
        <is>
          <t>Production (main -&gt; gokesari.com)</t>
        </is>
      </c>
      <c r="F176" s="12" t="inlineStr">
        <is>
          <t>Merged</t>
        </is>
      </c>
      <c r="G176" s="12" t="inlineStr">
        <is>
          <t>2026-10-15</t>
        </is>
      </c>
      <c r="H176" s="12" t="inlineStr">
        <is>
          <t>2026-10-15</t>
        </is>
      </c>
      <c r="I176" s="12" t="inlineStr">
        <is>
          <t>-</t>
        </is>
      </c>
      <c r="J176" s="12" t="inlineStr">
        <is>
          <t>NEW-066, NEW-062</t>
        </is>
      </c>
      <c r="K176" s="12" t="inlineStr">
        <is>
          <t>Itself (merged to main)</t>
        </is>
      </c>
      <c r="L176" s="12" t="inlineStr">
        <is>
          <t>Cherry-picks of #168 and #169 only; live 14:43 UTC. Production checks PASS.</t>
        </is>
      </c>
    </row>
    <row r="177" ht="39" customHeight="1">
      <c r="A177" s="34" t="n">
        <v>176</v>
      </c>
      <c r="B177" s="12" t="inlineStr">
        <is>
          <t>Release: document photos read in the owner's browser (#169, fixes D-18)</t>
        </is>
      </c>
      <c r="C177" s="12" t="inlineStr">
        <is>
          <t>Release (staging -&gt; main)</t>
        </is>
      </c>
      <c r="D177" s="12" t="inlineStr">
        <is>
          <t>staging -&gt; main</t>
        </is>
      </c>
      <c r="E177" s="12" t="inlineStr">
        <is>
          <t>Production (main -&gt; gokesari.com)</t>
        </is>
      </c>
      <c r="F177" s="12" t="inlineStr">
        <is>
          <t>Closed - not merged</t>
        </is>
      </c>
      <c r="G177" s="12" t="inlineStr">
        <is>
          <t>2026-10-15</t>
        </is>
      </c>
      <c r="H177" s="12" t="inlineStr">
        <is>
          <t>2026-10-15</t>
        </is>
      </c>
      <c r="I177" s="12" t="inlineStr">
        <is>
          <t>-</t>
        </is>
      </c>
      <c r="J177" s="12" t="inlineStr">
        <is>
          <t>-</t>
        </is>
      </c>
      <c r="K177" s="12" t="inlineStr">
        <is>
          <t>-</t>
        </is>
      </c>
      <c r="L177" s="12" t="inlineStr">
        <is>
          <t>Closed: staging also carried #168, #171 (migration 0076) and #173 (migration 0077), not approved for release here. Replaced by #177.</t>
        </is>
      </c>
    </row>
    <row r="178" ht="27" customHeight="1">
      <c r="A178" s="34" t="n">
        <v>177</v>
      </c>
      <c r="B178" s="12" t="inlineStr">
        <is>
          <t>Release: document photos read in the owner's browser (#169, fixes D-18)</t>
        </is>
      </c>
      <c r="C178" s="12" t="inlineStr">
        <is>
          <t>Release (staging -&gt; main)</t>
        </is>
      </c>
      <c r="D178" s="12" t="inlineStr">
        <is>
          <t>claude/gracious-einstein-24qjjh -&gt; main</t>
        </is>
      </c>
      <c r="E178" s="12" t="inlineStr">
        <is>
          <t>Production (main -&gt; gokesari.com)</t>
        </is>
      </c>
      <c r="F178" s="12" t="inlineStr">
        <is>
          <t>Merged</t>
        </is>
      </c>
      <c r="G178" s="12" t="inlineStr">
        <is>
          <t>2026-10-15</t>
        </is>
      </c>
      <c r="H178" s="12" t="inlineStr">
        <is>
          <t>2026-10-15</t>
        </is>
      </c>
      <c r="I178" s="12" t="inlineStr">
        <is>
          <t>-</t>
        </is>
      </c>
      <c r="J178" s="12" t="inlineStr">
        <is>
          <t>NEW-062</t>
        </is>
      </c>
      <c r="K178" s="12" t="inlineStr">
        <is>
          <t>Itself (merged to main)</t>
        </is>
      </c>
      <c r="L178" s="12" t="inlineStr">
        <is>
          <t>Same commit as #175's cherry-pick of #169, merged after it: no code change. Production checks 15 Oct (TR-27) PASS.</t>
        </is>
      </c>
    </row>
    <row r="179" ht="27" customHeight="1">
      <c r="A179" s="34" t="n">
        <v>178</v>
      </c>
      <c r="B179" s="12" t="inlineStr">
        <is>
          <t>Browser document reading (#169): test results on test and production; trackers</t>
        </is>
      </c>
      <c r="C179" s="12" t="inlineStr">
        <is>
          <t>Docs / reports</t>
        </is>
      </c>
      <c r="D179" s="12" t="inlineStr">
        <is>
          <t>claude/gracious-einstein-24qjjh -&gt; main</t>
        </is>
      </c>
      <c r="E179" s="12" t="inlineStr">
        <is>
          <t>Production (main -&gt; gokesari.com)</t>
        </is>
      </c>
      <c r="F179" s="12" t="inlineStr">
        <is>
          <t>Merged</t>
        </is>
      </c>
      <c r="G179" s="12" t="inlineStr">
        <is>
          <t>2026-10-15</t>
        </is>
      </c>
      <c r="H179" s="12" t="inlineStr">
        <is>
          <t>2026-10-15</t>
        </is>
      </c>
      <c r="I179" s="12" t="inlineStr">
        <is>
          <t>NEW-062</t>
        </is>
      </c>
      <c r="J179" s="12" t="inlineStr">
        <is>
          <t>-</t>
        </is>
      </c>
      <c r="K179" s="12" t="inlineStr">
        <is>
          <t>Not needed (docs)</t>
        </is>
      </c>
      <c r="L179" s="12" t="inlineStr">
        <is>
          <t>Merged to main 15 Oct (f9eee23); the 16 Oct report still showed it as an open draft. Mirrored on staging by #186.</t>
        </is>
      </c>
    </row>
    <row r="180" ht="27" customHeight="1">
      <c r="A180" s="34" t="n">
        <v>179</v>
      </c>
      <c r="B180" s="12" t="inlineStr">
        <is>
          <t>Release: Inventory &amp; Accounting (#171, #172), Bulk product upload (#173, #174); migrations 0076-0078</t>
        </is>
      </c>
      <c r="C180" s="12" t="inlineStr">
        <is>
          <t>Release (staging -&gt; main)</t>
        </is>
      </c>
      <c r="D180" s="12" t="inlineStr">
        <is>
          <t>claude/amazing-ritchie-9vlq9f -&gt; main</t>
        </is>
      </c>
      <c r="E180" s="12" t="inlineStr">
        <is>
          <t>Production (main -&gt; gokesari.com)</t>
        </is>
      </c>
      <c r="F180" s="12" t="inlineStr">
        <is>
          <t>Merged</t>
        </is>
      </c>
      <c r="G180" s="12" t="inlineStr">
        <is>
          <t>2026-10-15</t>
        </is>
      </c>
      <c r="H180" s="12" t="inlineStr">
        <is>
          <t>2026-10-15</t>
        </is>
      </c>
      <c r="I180" s="12" t="inlineStr">
        <is>
          <t>-</t>
        </is>
      </c>
      <c r="J180" s="12" t="inlineStr">
        <is>
          <t>NEW-067, GS-013</t>
        </is>
      </c>
      <c r="K180" s="12" t="inlineStr">
        <is>
          <t>Itself (merged to main)</t>
        </is>
      </c>
      <c r="L180" s="12" t="inlineStr">
        <is>
          <t>Migrations 0076-0078 via MIGRATE_ON_BUILD.</t>
        </is>
      </c>
    </row>
    <row r="181" ht="39" customHeight="1">
      <c r="A181" s="34" t="n">
        <v>180</v>
      </c>
      <c r="B181" s="12" t="inlineStr">
        <is>
          <t>Release: Inventory &amp; Accounting (#171, #172) + bulk product upload (#173, #174)</t>
        </is>
      </c>
      <c r="C181" s="12" t="inlineStr">
        <is>
          <t>Release (staging -&gt; main)</t>
        </is>
      </c>
      <c r="D181" s="12" t="inlineStr">
        <is>
          <t>claude/nice-cori-6p1wb2 -&gt; main</t>
        </is>
      </c>
      <c r="E181" s="12" t="inlineStr">
        <is>
          <t>Production (main -&gt; gokesari.com)</t>
        </is>
      </c>
      <c r="F181" s="12" t="inlineStr">
        <is>
          <t>Closed - not merged</t>
        </is>
      </c>
      <c r="G181" s="12" t="inlineStr">
        <is>
          <t>2026-10-15</t>
        </is>
      </c>
      <c r="H181" s="12" t="inlineStr">
        <is>
          <t>2026-10-15</t>
        </is>
      </c>
      <c r="I181" s="12" t="inlineStr">
        <is>
          <t>-</t>
        </is>
      </c>
      <c r="J181" s="12" t="inlineStr">
        <is>
          <t>-</t>
        </is>
      </c>
      <c r="K181" s="12" t="inlineStr">
        <is>
          <t>Superseded by #179</t>
        </is>
      </c>
      <c r="L181" s="12" t="inlineStr">
        <is>
          <t>Same staging code as #179, which merged first; CI was green (preview APK re-run after a corrupt NDK download). Duplicate of #179.</t>
        </is>
      </c>
    </row>
    <row r="182" ht="27" customHeight="1">
      <c r="A182" s="34" t="n">
        <v>181</v>
      </c>
      <c r="B182" s="12" t="inlineStr">
        <is>
          <t>Bulk product upload: production results; staging level with main after release #179</t>
        </is>
      </c>
      <c r="C182" s="12" t="inlineStr">
        <is>
          <t>Docs / reports</t>
        </is>
      </c>
      <c r="D182" s="12" t="inlineStr">
        <is>
          <t>claude/amazing-ritchie-9vlq9f -&gt; staging</t>
        </is>
      </c>
      <c r="E182" s="12" t="inlineStr">
        <is>
          <t>Test site (staging -&gt; test.gokesari.com)</t>
        </is>
      </c>
      <c r="F182" s="12" t="inlineStr">
        <is>
          <t>Merged</t>
        </is>
      </c>
      <c r="G182" s="12" t="inlineStr">
        <is>
          <t>2026-10-15</t>
        </is>
      </c>
      <c r="H182" s="12" t="inlineStr">
        <is>
          <t>2026-10-15</t>
        </is>
      </c>
      <c r="I182" s="12" t="inlineStr">
        <is>
          <t>GS-013</t>
        </is>
      </c>
      <c r="J182" s="12" t="inlineStr">
        <is>
          <t>-</t>
        </is>
      </c>
      <c r="K182" s="12" t="inlineStr">
        <is>
          <t>Not needed (docs)</t>
        </is>
      </c>
      <c r="L182" s="12" t="n"/>
    </row>
    <row r="183" ht="27" customHeight="1">
      <c r="A183" s="34" t="n">
        <v>182</v>
      </c>
      <c r="B183" s="12" t="inlineStr">
        <is>
          <t>Inventory &amp; Accounting: testing report, tracker and 15 Oct status report (after release #179)</t>
        </is>
      </c>
      <c r="C183" s="12" t="inlineStr">
        <is>
          <t>Docs / reports</t>
        </is>
      </c>
      <c r="D183" s="12" t="inlineStr">
        <is>
          <t>claude/nice-cori-6p1wb2 -&gt; staging</t>
        </is>
      </c>
      <c r="E183" s="12" t="inlineStr">
        <is>
          <t>Test site (staging -&gt; test.gokesari.com)</t>
        </is>
      </c>
      <c r="F183" s="12" t="inlineStr">
        <is>
          <t>Merged</t>
        </is>
      </c>
      <c r="G183" s="12" t="inlineStr">
        <is>
          <t>2026-10-15</t>
        </is>
      </c>
      <c r="H183" s="12" t="inlineStr">
        <is>
          <t>2026-10-15</t>
        </is>
      </c>
      <c r="I183" s="12" t="inlineStr">
        <is>
          <t>NEW-067</t>
        </is>
      </c>
      <c r="J183" s="12" t="inlineStr">
        <is>
          <t>-</t>
        </is>
      </c>
      <c r="K183" s="12" t="inlineStr">
        <is>
          <t>Not needed (docs)</t>
        </is>
      </c>
      <c r="L183" s="12" t="n"/>
    </row>
    <row r="184" ht="27" customHeight="1">
      <c r="A184" s="34" t="n">
        <v>183</v>
      </c>
      <c r="B184" s="12" t="inlineStr">
        <is>
          <t>Feature status report 15 Oct (evening) and 16 Oct</t>
        </is>
      </c>
      <c r="C184" s="12" t="inlineStr">
        <is>
          <t>Docs / reports</t>
        </is>
      </c>
      <c r="D184" s="12" t="inlineStr">
        <is>
          <t>claude/peaceful-pascal-jai8w2 -&gt; main</t>
        </is>
      </c>
      <c r="E184" s="12" t="inlineStr">
        <is>
          <t>Production (main -&gt; gokesari.com)</t>
        </is>
      </c>
      <c r="F184" s="12" t="inlineStr">
        <is>
          <t>Open (draft)</t>
        </is>
      </c>
      <c r="G184" s="12" t="inlineStr">
        <is>
          <t>2026-10-15</t>
        </is>
      </c>
      <c r="H184" s="12" t="inlineStr">
        <is>
          <t>-</t>
        </is>
      </c>
      <c r="I184" s="12" t="inlineStr">
        <is>
          <t>NEW-066, NEW-062</t>
        </is>
      </c>
      <c r="J184" s="12" t="inlineStr">
        <is>
          <t>-</t>
        </is>
      </c>
      <c r="K184" s="12" t="inlineStr">
        <is>
          <t>Not needed (docs)</t>
        </is>
      </c>
      <c r="L184" s="12" t="inlineStr">
        <is>
          <t>Still open on 18 Oct; carries the 15 Oct evening and 16 Oct workbooks to main. Superseded in content by this 18 Oct report - merge or close.</t>
        </is>
      </c>
    </row>
    <row r="185" ht="27" customHeight="1">
      <c r="A185" s="34" t="n">
        <v>184</v>
      </c>
      <c r="B185" s="12" t="inlineStr">
        <is>
          <t>PMD loader: fix parallel-worker race that left quality scores stale or missing</t>
        </is>
      </c>
      <c r="C185" s="12" t="inlineStr">
        <is>
          <t>Fix / hotfix</t>
        </is>
      </c>
      <c r="D185" s="12" t="inlineStr">
        <is>
          <t>claude/amazing-ritchie-9vlq9f -&gt; staging</t>
        </is>
      </c>
      <c r="E185" s="12" t="inlineStr">
        <is>
          <t>Test site (staging -&gt; test.gokesari.com)</t>
        </is>
      </c>
      <c r="F185" s="12" t="inlineStr">
        <is>
          <t>Merged</t>
        </is>
      </c>
      <c r="G185" s="12" t="inlineStr">
        <is>
          <t>2026-10-15</t>
        </is>
      </c>
      <c r="H185" s="12" t="inlineStr">
        <is>
          <t>2026-10-16</t>
        </is>
      </c>
      <c r="I185" s="12" t="inlineStr">
        <is>
          <t>PMD-003, QA-001</t>
        </is>
      </c>
      <c r="J185" s="12" t="inlineStr">
        <is>
          <t>PMD-003</t>
        </is>
      </c>
      <c r="K185" s="12" t="inlineStr">
        <is>
          <t>#185</t>
        </is>
      </c>
      <c r="L185" s="12" t="inlineStr">
        <is>
          <t>Fixes the flaky PMD loader test (Blockers #56). Released by #185 on 16 Oct.</t>
        </is>
      </c>
    </row>
    <row r="186">
      <c r="A186" s="34" t="n">
        <v>185</v>
      </c>
      <c r="B186" s="12" t="inlineStr">
        <is>
          <t>Release: staging -&gt; main (gokesari.com) - PMD loader parallel-worker fix (#184), report scripts and docs (#181, #182)</t>
        </is>
      </c>
      <c r="C186" s="12" t="inlineStr">
        <is>
          <t>Release (staging -&gt; main)</t>
        </is>
      </c>
      <c r="D186" s="12" t="inlineStr">
        <is>
          <t>staging -&gt; main</t>
        </is>
      </c>
      <c r="E186" s="12" t="inlineStr">
        <is>
          <t>Production (main -&gt; gokesari.com)</t>
        </is>
      </c>
      <c r="F186" s="12" t="inlineStr">
        <is>
          <t>Merged</t>
        </is>
      </c>
      <c r="G186" s="12" t="inlineStr">
        <is>
          <t>2026-10-16</t>
        </is>
      </c>
      <c r="H186" s="12" t="inlineStr">
        <is>
          <t>2026-10-16</t>
        </is>
      </c>
      <c r="I186" s="12" t="inlineStr">
        <is>
          <t>-</t>
        </is>
      </c>
      <c r="J186" s="12" t="inlineStr">
        <is>
          <t>PMD-003</t>
        </is>
      </c>
      <c r="K186" s="12" t="inlineStr">
        <is>
          <t>Itself (merged to main)</t>
        </is>
      </c>
      <c r="L186" s="12" t="inlineStr">
        <is>
          <t>No migrations. main @c96cd04 (16 Oct 04:24 UTC). Live checks 18 Oct: public pages 200, Seller Central 307 (sign-in).</t>
        </is>
      </c>
    </row>
    <row r="187">
      <c r="A187" s="34" t="n">
        <v>186</v>
      </c>
      <c r="B187" s="12" t="inlineStr">
        <is>
          <t>Staging: #169 test results and trackers (same as #178 on main)</t>
        </is>
      </c>
      <c r="C187" s="12" t="inlineStr">
        <is>
          <t>Docs / reports</t>
        </is>
      </c>
      <c r="D187" s="12" t="inlineStr">
        <is>
          <t>claude/gracious-einstein-24qjjh -&gt; staging</t>
        </is>
      </c>
      <c r="E187" s="12" t="inlineStr">
        <is>
          <t>Test site (staging -&gt; test.gokesari.com)</t>
        </is>
      </c>
      <c r="F187" s="12" t="inlineStr">
        <is>
          <t>Merged</t>
        </is>
      </c>
      <c r="G187" s="12" t="inlineStr">
        <is>
          <t>2026-10-16</t>
        </is>
      </c>
      <c r="H187" s="12" t="inlineStr">
        <is>
          <t>2026-10-16</t>
        </is>
      </c>
      <c r="I187" s="12" t="inlineStr">
        <is>
          <t>NEW-062</t>
        </is>
      </c>
      <c r="J187" s="12" t="inlineStr">
        <is>
          <t>-</t>
        </is>
      </c>
      <c r="K187" s="12" t="inlineStr">
        <is>
          <t>Not needed (docs)</t>
        </is>
      </c>
      <c r="L187" s="12" t="n"/>
    </row>
    <row r="188">
      <c r="A188" s="34" t="n">
        <v>187</v>
      </c>
      <c r="B188" s="12" t="inlineStr">
        <is>
          <t>Bring staging level with main after release #185</t>
        </is>
      </c>
      <c r="C188" s="12" t="inlineStr">
        <is>
          <t>DevOps / repo</t>
        </is>
      </c>
      <c r="D188" s="12" t="inlineStr">
        <is>
          <t>main -&gt; staging</t>
        </is>
      </c>
      <c r="E188" s="12" t="inlineStr">
        <is>
          <t>Test site (staging -&gt; test.gokesari.com)</t>
        </is>
      </c>
      <c r="F188" s="12" t="inlineStr">
        <is>
          <t>Merged</t>
        </is>
      </c>
      <c r="G188" s="12" t="inlineStr">
        <is>
          <t>2026-10-16</t>
        </is>
      </c>
      <c r="H188" s="12" t="inlineStr">
        <is>
          <t>2026-10-16</t>
        </is>
      </c>
      <c r="I188" s="12" t="inlineStr">
        <is>
          <t>-</t>
        </is>
      </c>
      <c r="J188" s="12" t="inlineStr">
        <is>
          <t>-</t>
        </is>
      </c>
      <c r="K188" s="12" t="inlineStr">
        <is>
          <t>Not needed (sync)</t>
        </is>
      </c>
      <c r="L188" s="12" t="inlineStr">
        <is>
          <t>staging @3a701c9 has the same application code as main.</t>
        </is>
      </c>
    </row>
    <row r="189">
      <c r="A189" s="34" t="n">
        <v>188</v>
      </c>
      <c r="B189" s="12" t="inlineStr">
        <is>
          <t>Competitive analysis deck: GoKesari vs top 10 Indian e-commerce and quick-commerce players</t>
        </is>
      </c>
      <c r="C189" s="12" t="inlineStr">
        <is>
          <t>Docs / reports</t>
        </is>
      </c>
      <c r="D189" s="12" t="inlineStr">
        <is>
          <t>-&gt; main</t>
        </is>
      </c>
      <c r="E189" s="12" t="inlineStr">
        <is>
          <t>Production (main -&gt; gokesari.com)</t>
        </is>
      </c>
      <c r="F189" s="12" t="inlineStr">
        <is>
          <t>Open</t>
        </is>
      </c>
      <c r="G189" s="12" t="inlineStr">
        <is>
          <t>2026-10-18</t>
        </is>
      </c>
      <c r="H189" s="12" t="inlineStr">
        <is>
          <t>-</t>
        </is>
      </c>
      <c r="I189" s="12" t="inlineStr">
        <is>
          <t>-</t>
        </is>
      </c>
      <c r="J189" s="12" t="inlineStr">
        <is>
          <t>-</t>
        </is>
      </c>
      <c r="K189" s="12" t="inlineStr">
        <is>
          <t>Not needed (docs)</t>
        </is>
      </c>
      <c r="L189" s="12" t="inlineStr">
        <is>
          <t>PowerPoint (16 slides) + PDF + feature-comparison workbook under docs/competitive-analysis-2026-10/. Docs only.</t>
        </is>
      </c>
    </row>
  </sheetData>
  <autoFilter ref="A1:L189"/>
  <conditionalFormatting sqref="F2:F185">
    <cfRule type="cellIs" priority="1" operator="equal" dxfId="0">
      <formula>"Merged"</formula>
    </cfRule>
    <cfRule type="cellIs" priority="2" operator="equal" dxfId="2">
      <formula>"Open (draft)"</formula>
    </cfRule>
    <cfRule type="cellIs" priority="3" operator="equal" dxfId="1">
      <formula>"Open"</formula>
    </cfRule>
    <cfRule type="cellIs" priority="4" operator="equal" dxfId="3">
      <formula>"Closed - not merged"</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7.xml><?xml version="1.0" encoding="utf-8"?>
<worksheet xmlns="http://schemas.openxmlformats.org/spreadsheetml/2006/main">
  <sheetPr>
    <tabColor rgb="FF991B1B"/>
    <outlinePr summaryBelow="1" summaryRight="1"/>
    <pageSetUpPr fitToPage="1"/>
  </sheetPr>
  <dimension ref="A1:H57"/>
  <sheetViews>
    <sheetView view="normal" zoomScale="90" zoomScaleNormal="90" workbookViewId="0">
      <pane xSplit="3" ySplit="1" topLeftCell="D2" activePane="bottomRight" state="frozen"/>
      <selection pane="bottomRight" activeCell="A1" sqref="A1"/>
    </sheetView>
  </sheetViews>
  <sheetFormatPr baseColWidth="8" defaultColWidth="8.6796875" defaultRowHeight="15" outlineLevelRow="0"/>
  <cols>
    <col width="5" customWidth="1" style="1" min="1" max="1"/>
    <col width="16" customWidth="1" style="1" min="2" max="2"/>
    <col width="36" customWidth="1" style="1" min="3" max="3"/>
    <col width="60" customWidth="1" style="1" min="4" max="4"/>
    <col width="34" customWidth="1" style="1" min="5" max="5"/>
    <col width="14" customWidth="1" style="1" min="6" max="6"/>
    <col width="12" customWidth="1" style="1" min="7" max="7"/>
    <col width="34" customWidth="1" style="1" min="8" max="8"/>
  </cols>
  <sheetData>
    <row r="1" ht="30" customFormat="1" customHeight="1" s="2">
      <c r="A1" s="6" t="inlineStr">
        <is>
          <t>#</t>
        </is>
      </c>
      <c r="B1" s="6" t="inlineStr">
        <is>
          <t>Type</t>
        </is>
      </c>
      <c r="C1" s="6" t="inlineStr">
        <is>
          <t>Item</t>
        </is>
      </c>
      <c r="D1" s="6" t="inlineStr">
        <is>
          <t>What is needed</t>
        </is>
      </c>
      <c r="E1" s="6" t="inlineStr">
        <is>
          <t>Unblocks (feature IDs)</t>
        </is>
      </c>
      <c r="F1" s="6" t="inlineStr">
        <is>
          <t>Who</t>
        </is>
      </c>
      <c r="G1" s="6" t="inlineStr">
        <is>
          <t>Status</t>
        </is>
      </c>
      <c r="H1" s="6" t="inlineStr">
        <is>
          <t>Source</t>
        </is>
      </c>
    </row>
    <row r="2" ht="39" customFormat="1" customHeight="1" s="2">
      <c r="A2" s="10" t="n">
        <v>1</v>
      </c>
      <c r="B2" s="12" t="inlineStr">
        <is>
          <t>Release blocker</t>
        </is>
      </c>
      <c r="C2" s="12" t="inlineStr">
        <is>
          <t>Production database is behind (0055) - next release cannot ship</t>
        </is>
      </c>
      <c r="D2" s="12" t="inlineStr">
        <is>
          <t>Resolved 9 Oct: the owner set MIGRATE_ON_BUILD=true for gokesari.com and the #120 deploy applied migrations 0056-0073 before the new code went live (Neon snapshot taken first).</t>
        </is>
      </c>
      <c r="E2" s="12" t="inlineStr">
        <is>
          <t>NEW-020-026, NEW-028-042, PLT-007</t>
        </is>
      </c>
      <c r="F2" s="12" t="inlineStr">
        <is>
          <t>Owner</t>
        </is>
      </c>
      <c r="G2" s="12" t="inlineStr">
        <is>
          <t>Resolved</t>
        </is>
      </c>
      <c r="H2" s="12" t="inlineStr">
        <is>
          <t>PR #86, #87; ITEMS_A_E_2026-10-07.md section 3a</t>
        </is>
      </c>
    </row>
    <row r="3" ht="27" customFormat="1" customHeight="1" s="2">
      <c r="A3" s="10" t="n">
        <v>2</v>
      </c>
      <c r="B3" s="12" t="inlineStr">
        <is>
          <t>Release blocker</t>
        </is>
      </c>
      <c r="C3" s="12" t="inlineStr">
        <is>
          <t>'Production database' workflow is only on staging</t>
        </is>
      </c>
      <c r="D3" s="12" t="inlineStr">
        <is>
          <t>Resolved 9 Oct: #118 put the workflow on main. Running it still needs repository secrets - see #32.</t>
        </is>
      </c>
      <c r="E3" s="12" t="inlineStr">
        <is>
          <t>PLT-009 (and the release blocker above)</t>
        </is>
      </c>
      <c r="F3" s="12" t="inlineStr">
        <is>
          <t>Owner / dev</t>
        </is>
      </c>
      <c r="G3" s="12" t="inlineStr">
        <is>
          <t>Resolved</t>
        </is>
      </c>
      <c r="H3" s="12" t="inlineStr">
        <is>
          <t>PR #93; docs/event-driven-2026-10/PROD_DB.md</t>
        </is>
      </c>
    </row>
    <row r="4" ht="63" customFormat="1" customHeight="1" s="2">
      <c r="A4" s="10" t="n">
        <v>3</v>
      </c>
      <c r="B4" s="12" t="inlineStr">
        <is>
          <t>Go-live blocker</t>
        </is>
      </c>
      <c r="C4" s="12" t="inlineStr">
        <is>
          <t>No recorded browser / QA sign-off</t>
        </is>
      </c>
      <c r="D4" s="12" t="inlineStr">
        <is>
          <t>Execute the 791-case plan (smoke, P0, P1, P2) on test.gokesari.com and record results. Progress 9 Oct: the first recorded browser run (four features + regression, 8-9 Oct, TEST_RESULTS.md) - the 791-case plan itself is still not run. 10 Oct: second recorded run - Tile Board UI pass, 1,026 of 1,038 checks PASS (QA-005).</t>
        </is>
      </c>
      <c r="E4" s="12" t="inlineStr">
        <is>
          <t>QA-003; QA-005; go-live</t>
        </is>
      </c>
      <c r="F4" s="12" t="inlineStr">
        <is>
          <t>QA / owner</t>
        </is>
      </c>
      <c r="G4" s="12" t="inlineStr">
        <is>
          <t>Open</t>
        </is>
      </c>
      <c r="H4" s="12" t="inlineStr">
        <is>
          <t>6 Oct report; TEST_SUMMARY_AND_STATUS.md</t>
        </is>
      </c>
    </row>
    <row r="5" ht="63" customFormat="1" customHeight="1" s="2">
      <c r="A5" s="10" t="n">
        <v>4</v>
      </c>
      <c r="B5" s="12" t="inlineStr">
        <is>
          <t>Go-live blocker</t>
        </is>
      </c>
      <c r="C5" s="12" t="inlineStr">
        <is>
          <t>Production cron jobs</t>
        </is>
      </c>
      <c r="D5" s="12"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12" t="inlineStr">
        <is>
          <t>GS-007, GS-058, NEW-007, NEW-028</t>
        </is>
      </c>
      <c r="F5" s="12" t="inlineStr">
        <is>
          <t>Owner</t>
        </is>
      </c>
      <c r="G5" s="12" t="inlineStr">
        <is>
          <t>Open</t>
        </is>
      </c>
      <c r="H5" s="12" t="inlineStr">
        <is>
          <t>DEPLOY_RUNBOOK.md; ITEMS_A_E section 3a.7</t>
        </is>
      </c>
    </row>
    <row r="6" ht="27" customFormat="1" customHeight="1" s="2">
      <c r="A6" s="10" t="n">
        <v>5</v>
      </c>
      <c r="B6" s="12" t="inlineStr">
        <is>
          <t>Decision</t>
        </is>
      </c>
      <c r="C6" s="12" t="inlineStr">
        <is>
          <t>Per-order online payment (GS-028 / NEW-007)</t>
        </is>
      </c>
      <c r="D6" s="12" t="inlineStr">
        <is>
          <t>Approve building per-order Cashfree payment, or launch with wallet + COD only.</t>
        </is>
      </c>
      <c r="E6" s="12" t="inlineStr">
        <is>
          <t>GS-028, GS-073, SM-005, WF-001, NAV-003, NEW-007</t>
        </is>
      </c>
      <c r="F6" s="12" t="inlineStr">
        <is>
          <t>Owner</t>
        </is>
      </c>
      <c r="G6" s="12" t="inlineStr">
        <is>
          <t>Pending</t>
        </is>
      </c>
      <c r="H6" s="12" t="inlineStr">
        <is>
          <t>6 Oct report</t>
        </is>
      </c>
    </row>
    <row r="7" ht="39" customFormat="1" customHeight="1" s="2">
      <c r="A7" s="10" t="n">
        <v>6</v>
      </c>
      <c r="B7" s="12" t="inlineStr">
        <is>
          <t>Vendor</t>
        </is>
      </c>
      <c r="C7" s="12" t="inlineStr">
        <is>
          <t>D2 - SMS / OTP vendor (DLT) and WhatsApp provider</t>
        </is>
      </c>
      <c r="D7" s="12" t="inlineStr">
        <is>
          <t>Pick a DLT-registered SMS provider and a WhatsApp BSP (or Meta Cloud API). Also blocks testing paid self-registration on test (SMS_PROVIDER=none, N-2).</t>
        </is>
      </c>
      <c r="E7" s="12" t="inlineStr">
        <is>
          <t>GS-001, GS-074, NEW-035 (SMS code), NEW-038</t>
        </is>
      </c>
      <c r="F7" s="12" t="inlineStr">
        <is>
          <t>Owner</t>
        </is>
      </c>
      <c r="G7" s="12" t="inlineStr">
        <is>
          <t>Pending</t>
        </is>
      </c>
      <c r="H7" s="12" t="inlineStr">
        <is>
          <t>6 Oct report; three-modules PLAN.md P2</t>
        </is>
      </c>
    </row>
    <row r="8" ht="27" customFormat="1" customHeight="1" s="2">
      <c r="A8" s="10" t="n">
        <v>7</v>
      </c>
      <c r="B8" s="12" t="inlineStr">
        <is>
          <t>Decision</t>
        </is>
      </c>
      <c r="C8" s="12" t="inlineStr">
        <is>
          <t>D7 - licensed external price source</t>
        </is>
      </c>
      <c r="D8" s="12" t="inlineStr">
        <is>
          <t>Approve a lawful / licensed source for customer-visible reference prices (then one rule flip).</t>
        </is>
      </c>
      <c r="E8" s="12" t="inlineStr">
        <is>
          <t>GS-023</t>
        </is>
      </c>
      <c r="F8" s="12" t="inlineStr">
        <is>
          <t>Owner</t>
        </is>
      </c>
      <c r="G8" s="12" t="inlineStr">
        <is>
          <t>Pending</t>
        </is>
      </c>
      <c r="H8" s="12" t="inlineStr">
        <is>
          <t>6 Oct report</t>
        </is>
      </c>
    </row>
    <row r="9" ht="27" customFormat="1" customHeight="1" s="2">
      <c r="A9" s="10" t="n">
        <v>8</v>
      </c>
      <c r="B9" s="12" t="inlineStr">
        <is>
          <t>Decision</t>
        </is>
      </c>
      <c r="C9" s="12" t="inlineStr">
        <is>
          <t>D10 - cancellation after packing</t>
        </is>
      </c>
      <c r="D9" s="12" t="inlineStr">
        <is>
          <t>Confirm READY/ASSIGNED (customer refused) and PICKED_UP/OUT_FOR_DELIVERY (goods-only refund, delivery fee kept).</t>
        </is>
      </c>
      <c r="E9" s="12" t="inlineStr">
        <is>
          <t>NEW-006 sign-off, NEW-020</t>
        </is>
      </c>
      <c r="F9" s="12" t="inlineStr">
        <is>
          <t>Owner</t>
        </is>
      </c>
      <c r="G9" s="12" t="inlineStr">
        <is>
          <t>Pending</t>
        </is>
      </c>
      <c r="H9" s="12" t="inlineStr">
        <is>
          <t>ITEMS_A_E section 1-A</t>
        </is>
      </c>
    </row>
    <row r="10" ht="27" customFormat="1" customHeight="1" s="2">
      <c r="A10" s="10" t="n">
        <v>9</v>
      </c>
      <c r="B10" s="12" t="inlineStr">
        <is>
          <t>Decision</t>
        </is>
      </c>
      <c r="C10" s="12" t="inlineStr">
        <is>
          <t>D6 - delivery fee kept on cancellation; platform invoicing of its own fees</t>
        </is>
      </c>
      <c r="D10" s="12" t="inlineStr">
        <is>
          <t>Decide how the kept delivery fee is shared/reported and how GoKesari invoices its fees (SAC).</t>
        </is>
      </c>
      <c r="E10" s="12" t="inlineStr">
        <is>
          <t>GAP-006</t>
        </is>
      </c>
      <c r="F10" s="12" t="inlineStr">
        <is>
          <t>Owner / CA</t>
        </is>
      </c>
      <c r="G10" s="12" t="inlineStr">
        <is>
          <t>Pending</t>
        </is>
      </c>
      <c r="H10" s="12" t="inlineStr">
        <is>
          <t>3 Oct open features; ITEMS_A_E section 5</t>
        </is>
      </c>
    </row>
    <row r="11" ht="27" customFormat="1" customHeight="1" s="2">
      <c r="A11" s="10" t="n">
        <v>10</v>
      </c>
      <c r="B11" s="12" t="inlineStr">
        <is>
          <t>Decision</t>
        </is>
      </c>
      <c r="C11" s="12" t="inlineStr">
        <is>
          <t>RBAC-003 - operator 'Limited' shop management</t>
        </is>
      </c>
      <c r="D11" s="12" t="inlineStr">
        <is>
          <t>Define what an operator may change on a shop.</t>
        </is>
      </c>
      <c r="E11" s="12" t="inlineStr">
        <is>
          <t>RBAC-003</t>
        </is>
      </c>
      <c r="F11" s="12" t="inlineStr">
        <is>
          <t>Owner</t>
        </is>
      </c>
      <c r="G11" s="12" t="inlineStr">
        <is>
          <t>Pending</t>
        </is>
      </c>
      <c r="H11" s="12" t="inlineStr">
        <is>
          <t>6 Oct report</t>
        </is>
      </c>
    </row>
    <row r="12" ht="27" customFormat="1" customHeight="1" s="2">
      <c r="A12" s="10" t="n">
        <v>11</v>
      </c>
      <c r="B12" s="12" t="inlineStr">
        <is>
          <t>Decision</t>
        </is>
      </c>
      <c r="C12" s="12" t="inlineStr">
        <is>
          <t>SM-006 scope</t>
        </is>
      </c>
      <c r="D12" s="12" t="inlineStr">
        <is>
          <t>Accept the dispute lifecycle as the issue state machine, or add its states to grievances.</t>
        </is>
      </c>
      <c r="E12" s="12" t="inlineStr">
        <is>
          <t>SM-006</t>
        </is>
      </c>
      <c r="F12" s="12" t="inlineStr">
        <is>
          <t>Owner</t>
        </is>
      </c>
      <c r="G12" s="12" t="inlineStr">
        <is>
          <t>Pending</t>
        </is>
      </c>
      <c r="H12" s="12" t="inlineStr">
        <is>
          <t>ITEMS_A_E section 5</t>
        </is>
      </c>
    </row>
    <row r="13" ht="63" customFormat="1" customHeight="1" s="2">
      <c r="A13" s="10" t="n">
        <v>12</v>
      </c>
      <c r="B13" s="12" t="inlineStr">
        <is>
          <t>Decision</t>
        </is>
      </c>
      <c r="C13" s="12" t="inlineStr">
        <is>
          <t>Which off-by-default features to switch on in production</t>
        </is>
      </c>
      <c r="D13" s="12"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12" t="inlineStr">
        <is>
          <t>GS-014, GS-027, GS-033, GS-054, GS-072, GA-005, NAV-001, NAV-002, NAV-003, NEW-007</t>
        </is>
      </c>
      <c r="F13" s="12" t="inlineStr">
        <is>
          <t>Owner</t>
        </is>
      </c>
      <c r="G13" s="12" t="inlineStr">
        <is>
          <t>Pending</t>
        </is>
      </c>
      <c r="H13" s="12" t="inlineStr">
        <is>
          <t>6 Oct report</t>
        </is>
      </c>
    </row>
    <row r="14" ht="39" customFormat="1" customHeight="1" s="2">
      <c r="A14" s="10" t="n">
        <v>13</v>
      </c>
      <c r="B14" s="12" t="inlineStr">
        <is>
          <t>Decision</t>
        </is>
      </c>
      <c r="C14" s="12" t="inlineStr">
        <is>
          <t>Event-layer decisions to confirm</t>
        </is>
      </c>
      <c r="D14" s="12" t="inlineStr">
        <is>
          <t>Dispatch starts at READY; customer not told when a rider declines; shops propose resolutions only after triage; auto-approved shops classified GREEN; 'support' = operators + admins.</t>
        </is>
      </c>
      <c r="E14" s="12" t="inlineStr">
        <is>
          <t>NEW-028, NEW-030, NEW-031</t>
        </is>
      </c>
      <c r="F14" s="12" t="inlineStr">
        <is>
          <t>Owner</t>
        </is>
      </c>
      <c r="G14" s="12" t="inlineStr">
        <is>
          <t>Pending confirmation</t>
        </is>
      </c>
      <c r="H14" s="12" t="inlineStr">
        <is>
          <t>docs/event-driven-2026-10/README.md</t>
        </is>
      </c>
    </row>
    <row r="15" ht="39" customFormat="1" customHeight="1" s="2">
      <c r="A15" s="10" t="n">
        <v>14</v>
      </c>
      <c r="B15" s="12" t="inlineStr">
        <is>
          <t>Vendor</t>
        </is>
      </c>
      <c r="C15" s="12" t="inlineStr">
        <is>
          <t>Gridlines live keys (seller verification)</t>
        </is>
      </c>
      <c r="D15" s="12" t="inlineStr">
        <is>
          <t>Sandbox then live keys; confirm FSSAI / GSTIN fields, Shop Act coverage, IP whitelist, retention and DPA. Production shows verification as paused until then.</t>
        </is>
      </c>
      <c r="E15" s="12" t="inlineStr">
        <is>
          <t>GS-007 automatic checks</t>
        </is>
      </c>
      <c r="F15" s="12" t="inlineStr">
        <is>
          <t>Owner</t>
        </is>
      </c>
      <c r="G15" s="12" t="inlineStr">
        <is>
          <t>Pending</t>
        </is>
      </c>
      <c r="H15" s="12" t="inlineStr">
        <is>
          <t>docs/seller-verification/DEPLOY.md</t>
        </is>
      </c>
    </row>
    <row r="16" ht="51" customFormat="1" customHeight="1" s="2">
      <c r="A16" s="10" t="n">
        <v>15</v>
      </c>
      <c r="B16" s="12" t="inlineStr">
        <is>
          <t>Legal / CA</t>
        </is>
      </c>
      <c r="C16" s="12" t="inlineStr">
        <is>
          <t>CA check of GST rates, HSN codes and invoice wording</t>
        </is>
      </c>
      <c r="D16" s="12" t="inlineStr">
        <is>
          <t>Run scripts/gst-hsn-report.sql and have a CA confirm rates, HSN codes, bill-of-supply wording and numbering before invoicing is used for filing. Update 15 Oct: also covers the GST liability, set-off and invoice figures in Inventory &amp; Accounting (NEW-067, on test).</t>
        </is>
      </c>
      <c r="E16" s="12" t="inlineStr">
        <is>
          <t>NEW-007 (invoicing), NEW-027</t>
        </is>
      </c>
      <c r="F16" s="12" t="inlineStr">
        <is>
          <t>Owner / CA</t>
        </is>
      </c>
      <c r="G16" s="12" t="inlineStr">
        <is>
          <t>Pending</t>
        </is>
      </c>
      <c r="H16" s="12" t="inlineStr">
        <is>
          <t>ITEMS_A_E section 5</t>
        </is>
      </c>
    </row>
    <row r="17" ht="27" customFormat="1" customHeight="1" s="2">
      <c r="A17" s="10" t="n">
        <v>16</v>
      </c>
      <c r="B17" s="12" t="inlineStr">
        <is>
          <t>Legal</t>
        </is>
      </c>
      <c r="C17" s="12" t="inlineStr">
        <is>
          <t>Seller-verification retention and Shop Act needs</t>
        </is>
      </c>
      <c r="D17" s="12" t="inlineStr">
        <is>
          <t>Lawyer/CA to confirm the retention period after closure (default 1,095 days) and Shop Act needs for non-MH / home sellers.</t>
        </is>
      </c>
      <c r="E17" s="12" t="inlineStr">
        <is>
          <t>GS-007 compliance</t>
        </is>
      </c>
      <c r="F17" s="12" t="inlineStr">
        <is>
          <t>Owner / lawyer</t>
        </is>
      </c>
      <c r="G17" s="12" t="inlineStr">
        <is>
          <t>Pending</t>
        </is>
      </c>
      <c r="H17" s="12" t="inlineStr">
        <is>
          <t>docs/seller-verification/COMPLIANCE.md</t>
        </is>
      </c>
    </row>
    <row r="18" ht="27" customFormat="1" customHeight="1" s="2">
      <c r="A18" s="10" t="n">
        <v>17</v>
      </c>
      <c r="B18" s="12" t="inlineStr">
        <is>
          <t>Legal</t>
        </is>
      </c>
      <c r="C18" s="12" t="inlineStr">
        <is>
          <t>Holding shops' prepaid money</t>
        </is>
      </c>
      <c r="D18" s="12" t="inlineStr">
        <is>
          <t>Legal review of the shop prepaid wallet; at least a seller-terms clause.</t>
        </is>
      </c>
      <c r="E18" s="12" t="inlineStr">
        <is>
          <t>NEW-033, NEW-034</t>
        </is>
      </c>
      <c r="F18" s="12" t="inlineStr">
        <is>
          <t>Owner / lawyer</t>
        </is>
      </c>
      <c r="G18" s="12" t="inlineStr">
        <is>
          <t>Pending</t>
        </is>
      </c>
      <c r="H18" s="12" t="inlineStr">
        <is>
          <t>docs/shop-wallet-delivery-otp-2026-10/README.md section 6</t>
        </is>
      </c>
    </row>
    <row r="19" ht="39" customFormat="1" customHeight="1" s="2">
      <c r="A19" s="10" t="n">
        <v>18</v>
      </c>
      <c r="B19" s="12" t="inlineStr">
        <is>
          <t>Owner inputs</t>
        </is>
      </c>
      <c r="C19" s="12" t="inlineStr">
        <is>
          <t>Inputs for PR #92 modules 2 and 3</t>
        </is>
      </c>
      <c r="D19" s="12" t="inlineStr">
        <is>
          <t>Modules 2 and 3 are on gokesari.com since #120 (module 2 on mock providers, module 3 switched off). Inputs P1-P6 are needed before using them for real.</t>
        </is>
      </c>
      <c r="E19" s="12" t="inlineStr">
        <is>
          <t>NEW-037, NEW-038</t>
        </is>
      </c>
      <c r="F19" s="12" t="inlineStr">
        <is>
          <t>Owner</t>
        </is>
      </c>
      <c r="G19" s="12" t="inlineStr">
        <is>
          <t>Pending</t>
        </is>
      </c>
      <c r="H19" s="12" t="inlineStr">
        <is>
          <t>docs/three-modules-2026-10/PLAN.md</t>
        </is>
      </c>
    </row>
    <row r="20" ht="27" customFormat="1" customHeight="1" s="2">
      <c r="A20" s="10" t="n">
        <v>19</v>
      </c>
      <c r="B20" s="12" t="inlineStr">
        <is>
          <t>Agreement</t>
        </is>
      </c>
      <c r="C20" s="12" t="inlineStr">
        <is>
          <t>GS1 India and brand permissions</t>
        </is>
      </c>
      <c r="D20" s="12" t="inlineStr">
        <is>
          <t>Agreement / written permission and a real sample file for each source; then go-ahead for large-scale ingestion.</t>
        </is>
      </c>
      <c r="E20" s="12" t="inlineStr">
        <is>
          <t>PMD-002, PMD-006</t>
        </is>
      </c>
      <c r="F20" s="12" t="inlineStr">
        <is>
          <t>Owner</t>
        </is>
      </c>
      <c r="G20" s="12" t="inlineStr">
        <is>
          <t>Pending</t>
        </is>
      </c>
      <c r="H20" s="12" t="inlineStr">
        <is>
          <t>docs/product-master/PILOT_REPORT.md</t>
        </is>
      </c>
    </row>
    <row r="21" ht="27" customFormat="1" customHeight="1" s="2">
      <c r="A21" s="10" t="n">
        <v>20</v>
      </c>
      <c r="B21" s="12" t="inlineStr">
        <is>
          <t>PR housekeeping</t>
        </is>
      </c>
      <c r="C21" s="12" t="inlineStr">
        <is>
          <t>PR #92 migration number clash</t>
        </is>
      </c>
      <c r="D21" s="12" t="inlineStr">
        <is>
          <t>Resolved 8 Oct: #92 renumbered its migrations to 0065-0068 (after staging's 0061-0064); drizzle-kit reports no drift.</t>
        </is>
      </c>
      <c r="E21" s="12" t="inlineStr">
        <is>
          <t>NEW-036</t>
        </is>
      </c>
      <c r="F21" s="12" t="inlineStr">
        <is>
          <t>Dev</t>
        </is>
      </c>
      <c r="G21" s="12" t="inlineStr">
        <is>
          <t>Resolved</t>
        </is>
      </c>
      <c r="H21" s="12" t="inlineStr">
        <is>
          <t>PR #92 branch vs staging</t>
        </is>
      </c>
    </row>
    <row r="22" ht="27" customFormat="1" customHeight="1" s="2">
      <c r="A22" s="10" t="n">
        <v>21</v>
      </c>
      <c r="B22" s="12" t="inlineStr">
        <is>
          <t>PR housekeeping</t>
        </is>
      </c>
      <c r="C22" s="12" t="inlineStr">
        <is>
          <t>PR #99 open</t>
        </is>
      </c>
      <c r="D22" s="12" t="inlineStr">
        <is>
          <t>Resolved: #99 merged into staging 8 Oct 18:09 UTC.</t>
        </is>
      </c>
      <c r="E22" s="12" t="inlineStr">
        <is>
          <t>NEW-033 testing</t>
        </is>
      </c>
      <c r="F22" s="12" t="inlineStr">
        <is>
          <t>Owner</t>
        </is>
      </c>
      <c r="G22" s="12" t="inlineStr">
        <is>
          <t>Resolved</t>
        </is>
      </c>
      <c r="H22" s="12" t="inlineStr">
        <is>
          <t>PR #99</t>
        </is>
      </c>
    </row>
    <row r="23" ht="27" customFormat="1" customHeight="1" s="2">
      <c r="A23" s="10" t="n">
        <v>22</v>
      </c>
      <c r="B23" s="12" t="inlineStr">
        <is>
          <t>Release step</t>
        </is>
      </c>
      <c r="C23" s="12" t="inlineStr">
        <is>
          <t>Purge CDN cache for /api/images/* after releasing C5</t>
        </is>
      </c>
      <c r="D23" s="12" t="inlineStr">
        <is>
          <t>Release #120 is out: purge the CDN cache for /api/images/* now (rider photos used to be cached publicly).</t>
        </is>
      </c>
      <c r="E23" s="12" t="inlineStr">
        <is>
          <t>NEW-026</t>
        </is>
      </c>
      <c r="F23" s="12" t="inlineStr">
        <is>
          <t>Owner</t>
        </is>
      </c>
      <c r="G23" s="12" t="inlineStr">
        <is>
          <t>At release</t>
        </is>
      </c>
      <c r="H23" s="12" t="inlineStr">
        <is>
          <t>ITEMS_A_E section 3</t>
        </is>
      </c>
    </row>
    <row r="24" ht="27" customFormat="1" customHeight="1" s="2">
      <c r="A24" s="10" t="n">
        <v>23</v>
      </c>
      <c r="B24" s="12" t="inlineStr">
        <is>
          <t>PR housekeeping</t>
        </is>
      </c>
      <c r="C24" s="12" t="inlineStr">
        <is>
          <t>PR #92 ready for review</t>
        </is>
      </c>
      <c r="D24" s="12" t="inlineStr">
        <is>
          <t>Resolved: #92 merged into staging 9 Oct 08:34 UTC and released in #120.</t>
        </is>
      </c>
      <c r="E24" s="12" t="inlineStr">
        <is>
          <t>NEW-036, NEW-037, NEW-038</t>
        </is>
      </c>
      <c r="F24" s="12" t="inlineStr">
        <is>
          <t>Owner</t>
        </is>
      </c>
      <c r="G24" s="12" t="inlineStr">
        <is>
          <t>Resolved</t>
        </is>
      </c>
      <c r="H24" s="12" t="inlineStr">
        <is>
          <t>PR #92</t>
        </is>
      </c>
    </row>
    <row r="25" ht="39" customFormat="1" customHeight="1" s="2">
      <c r="A25" s="10" t="n">
        <v>24</v>
      </c>
      <c r="B25" s="12" t="inlineStr">
        <is>
          <t>Vendor</t>
        </is>
      </c>
      <c r="C25" s="12" t="inlineStr">
        <is>
          <t>Cashfree live keys and Refunds API</t>
        </is>
      </c>
      <c r="D25" s="12" t="inlineStr">
        <is>
          <t>Set CASHFREE_APP_ID / CASHFREE_SECRET_KEY / CASHFREE_ENV=production and confirm the Refunds API is enabled - the Rs 1 bank-account check refunds every payment.</t>
        </is>
      </c>
      <c r="E25" s="12" t="inlineStr">
        <is>
          <t>NEW-041</t>
        </is>
      </c>
      <c r="F25" s="12" t="inlineStr">
        <is>
          <t>Owner</t>
        </is>
      </c>
      <c r="G25" s="12" t="inlineStr">
        <is>
          <t>Pending</t>
        </is>
      </c>
      <c r="H25" s="12" t="inlineStr">
        <is>
          <t>docs/four-features-2026-10/README.md section 5</t>
        </is>
      </c>
    </row>
    <row r="26" ht="39" customFormat="1" customHeight="1" s="2">
      <c r="A26" s="10" t="n">
        <v>25</v>
      </c>
      <c r="B26" s="12" t="inlineStr">
        <is>
          <t>Go-live blocker</t>
        </is>
      </c>
      <c r="C26" s="12" t="inlineStr">
        <is>
          <t>Email sending capacity</t>
        </is>
      </c>
      <c r="D26" s="12" t="inlineStr">
        <is>
          <t>The test site hit the mail host's hourly cap (451). Raise the limit or use a transactional email service before go-live; check SPF/DKIM for gokesari.com.</t>
        </is>
      </c>
      <c r="E26" s="12" t="inlineStr">
        <is>
          <t>GAP-009, GS-055, NEW-039-042</t>
        </is>
      </c>
      <c r="F26" s="12" t="inlineStr">
        <is>
          <t>Owner</t>
        </is>
      </c>
      <c r="G26" s="12" t="inlineStr">
        <is>
          <t>Open</t>
        </is>
      </c>
      <c r="H26" s="12" t="inlineStr">
        <is>
          <t>TEST_RESULTS.md (S-5)</t>
        </is>
      </c>
    </row>
    <row r="27" ht="39" customFormat="1" customHeight="1" s="2">
      <c r="A27" s="10" t="n">
        <v>26</v>
      </c>
      <c r="B27" s="12" t="inlineStr">
        <is>
          <t>Owner inputs</t>
        </is>
      </c>
      <c r="C27" s="12" t="inlineStr">
        <is>
          <t>referrals@gokesari.com and referral codes</t>
        </is>
      </c>
      <c r="D27" s="12" t="inlineStr">
        <is>
          <t>Create the mailbox and confirm mail arrives (not readable from the test run); decide who else gets requests (shopReferral.notifyEmails); create referral codes before switching shopReferral.required on.</t>
        </is>
      </c>
      <c r="E27" s="12" t="inlineStr">
        <is>
          <t>NEW-042</t>
        </is>
      </c>
      <c r="F27" s="12" t="inlineStr">
        <is>
          <t>Owner</t>
        </is>
      </c>
      <c r="G27" s="12" t="inlineStr">
        <is>
          <t>Pending</t>
        </is>
      </c>
      <c r="H27" s="12" t="inlineStr">
        <is>
          <t>README sections 5-6</t>
        </is>
      </c>
    </row>
    <row r="28" ht="27" customFormat="1" customHeight="1" s="2">
      <c r="A28" s="10" t="n">
        <v>27</v>
      </c>
      <c r="B28" s="12" t="inlineStr">
        <is>
          <t>Decision</t>
        </is>
      </c>
      <c r="C28" s="12" t="inlineStr">
        <is>
          <t>Four-features decisions</t>
        </is>
      </c>
      <c r="D28" s="12" t="inlineStr">
        <is>
          <t>Resolved 9 Oct: the owner decided (O-1 to O-8); built in #106, #109, #110, #111, #115, #117 and released switched off in #120.</t>
        </is>
      </c>
      <c r="E28" s="12" t="inlineStr">
        <is>
          <t>NEW-039, NEW-040, NEW-041, NEW-042</t>
        </is>
      </c>
      <c r="F28" s="12" t="inlineStr">
        <is>
          <t>Owner</t>
        </is>
      </c>
      <c r="G28" s="12" t="inlineStr">
        <is>
          <t>Resolved</t>
        </is>
      </c>
      <c r="H28" s="12" t="inlineStr">
        <is>
          <t>docs/four-features-2026-10/README.md section 6</t>
        </is>
      </c>
    </row>
    <row r="29" ht="27" customFormat="1" customHeight="1" s="2">
      <c r="A29" s="10" t="n">
        <v>28</v>
      </c>
      <c r="B29" s="12" t="inlineStr">
        <is>
          <t>Release step</t>
        </is>
      </c>
      <c r="C29" s="12" t="inlineStr">
        <is>
          <t>Tell shop owners before switching legalDocuments on</t>
        </is>
      </c>
      <c r="D29" s="12" t="inlineStr">
        <is>
          <t>Shops without the required licence get 15 days; announce it before switching the rule on in production.</t>
        </is>
      </c>
      <c r="E29" s="12" t="inlineStr">
        <is>
          <t>NEW-040</t>
        </is>
      </c>
      <c r="F29" s="12" t="inlineStr">
        <is>
          <t>Owner</t>
        </is>
      </c>
      <c r="G29" s="12" t="inlineStr">
        <is>
          <t>At release</t>
        </is>
      </c>
      <c r="H29" s="12" t="inlineStr">
        <is>
          <t>README section 5 item 7</t>
        </is>
      </c>
    </row>
    <row r="30" ht="87" customFormat="1" customHeight="1" s="2">
      <c r="A30" s="10" t="n">
        <v>29</v>
      </c>
      <c r="B30" s="12" t="inlineStr">
        <is>
          <t>Accounts</t>
        </is>
      </c>
      <c r="C30" s="12" t="inlineStr">
        <is>
          <t>App store publishing</t>
        </is>
      </c>
      <c r="D30" s="12"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t>
        </is>
      </c>
      <c r="E30" s="12" t="inlineStr">
        <is>
          <t>NEW-043, NEW-044</t>
        </is>
      </c>
      <c r="F30" s="12" t="inlineStr">
        <is>
          <t>Owner</t>
        </is>
      </c>
      <c r="G30" s="12" t="inlineStr">
        <is>
          <t>Pending</t>
        </is>
      </c>
      <c r="H30" s="12" t="inlineStr">
        <is>
          <t>mobile/README.md</t>
        </is>
      </c>
    </row>
    <row r="31" ht="75" customFormat="1" customHeight="1" s="2">
      <c r="A31" s="10" t="n">
        <v>30</v>
      </c>
      <c r="B31" s="12" t="inlineStr">
        <is>
          <t>CI</t>
        </is>
      </c>
      <c r="C31" s="12" t="inlineStr">
        <is>
          <t>Staging CI red on 76e2cc5</t>
        </is>
      </c>
      <c r="D31" s="12"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12" t="inlineStr">
        <is>
          <t>PLT-003</t>
        </is>
      </c>
      <c r="F31" s="12" t="inlineStr">
        <is>
          <t>Dev</t>
        </is>
      </c>
      <c r="G31" s="12" t="inlineStr">
        <is>
          <t>Resolved</t>
        </is>
      </c>
      <c r="H31" s="12" t="inlineStr">
        <is>
          <t>Actions run 37855030692</t>
        </is>
      </c>
    </row>
    <row r="32" ht="39" customFormat="1" customHeight="1" s="2">
      <c r="A32" s="10" t="n">
        <v>31</v>
      </c>
      <c r="B32" s="12" t="inlineStr">
        <is>
          <t>Defect</t>
        </is>
      </c>
      <c r="C32" s="12" t="inlineStr">
        <is>
          <t>Map 'Confirm location' 500 on test</t>
        </is>
      </c>
      <c r="D32" s="12" t="inlineStr">
        <is>
          <t>Cause found (N-1): the test server key GOOGLE_MAPS_SERVER_API_KEY is restricted by HTTP referrer, so Google refuses server calls. Owner: switch it to an IP restriction, and check production's server key.</t>
        </is>
      </c>
      <c r="E32" s="12" t="inlineStr">
        <is>
          <t>GAP-008</t>
        </is>
      </c>
      <c r="F32" s="12" t="inlineStr">
        <is>
          <t>Owner</t>
        </is>
      </c>
      <c r="G32" s="12" t="inlineStr">
        <is>
          <t>Open</t>
        </is>
      </c>
      <c r="H32" s="12" t="inlineStr">
        <is>
          <t>TEST_RESULTS.md</t>
        </is>
      </c>
    </row>
    <row r="33" ht="75" customFormat="1" customHeight="1" s="2">
      <c r="A33" s="10" t="n">
        <v>32</v>
      </c>
      <c r="B33" s="12" t="inlineStr">
        <is>
          <t>Release step / access</t>
        </is>
      </c>
      <c r="C33" s="12" t="inlineStr">
        <is>
          <t>Production database workflow has no repository secrets</t>
        </is>
      </c>
      <c r="D33" s="12" t="inlineStr">
        <is>
          <t>Add PROD_DATABASE_URL and TEST_DATABASE_URL secrets and PROD_DATABASE_HOST/NAME, TEST_DATABASE_HOST/NAME variables at repository level (not only in the 'test' environment) so 'verify' and 'migrate' can run Update 14 Oct: still open - nine copy-shops / db-split plan or verify runs got an empty PROD_DATABASE_URL, so the 12-13 Oct shop copy used SQL files in the Neon console.</t>
        </is>
      </c>
      <c r="E33" s="12" t="inlineStr">
        <is>
          <t>PLT-009</t>
        </is>
      </c>
      <c r="F33" s="12" t="inlineStr">
        <is>
          <t>Owner</t>
        </is>
      </c>
      <c r="G33" s="12" t="inlineStr">
        <is>
          <t>Open</t>
        </is>
      </c>
      <c r="H33" s="12" t="inlineStr">
        <is>
          <t>Actions run 37937847750 (9 Oct 13:34 UTC)</t>
        </is>
      </c>
    </row>
    <row r="34" ht="51" customFormat="1" customHeight="1" s="2">
      <c r="A34" s="10" t="n">
        <v>33</v>
      </c>
      <c r="B34" s="12" t="inlineStr">
        <is>
          <t>Security</t>
        </is>
      </c>
      <c r="C34" s="12" t="inlineStr">
        <is>
          <t>Rotate database passwords before go-live</t>
        </is>
      </c>
      <c r="D34" s="12" t="inlineStr">
        <is>
          <t>Urgent: the production Neon neondb_owner password was posted in a chat on 12 Oct - reset it now and update DATABASE_URL in hPanel (and the GitHub secrets). Rotate the other database passwords before go-live as planned.</t>
        </is>
      </c>
      <c r="E34" s="12" t="inlineStr">
        <is>
          <t>Go-live</t>
        </is>
      </c>
      <c r="F34" s="12" t="inlineStr">
        <is>
          <t>Owner</t>
        </is>
      </c>
      <c r="G34" s="12" t="inlineStr">
        <is>
          <t>Open</t>
        </is>
      </c>
      <c r="H34" s="12" t="inlineStr">
        <is>
          <t>Owner, 9 Oct</t>
        </is>
      </c>
    </row>
    <row r="35" ht="39" customFormat="1" customHeight="1" s="2">
      <c r="A35" s="10" t="n">
        <v>34</v>
      </c>
      <c r="B35" s="12" t="inlineStr">
        <is>
          <t>Decision</t>
        </is>
      </c>
      <c r="C35" s="12" t="inlineStr">
        <is>
          <t>Tile Board: build the four entries that have no feature behind them?</t>
        </is>
      </c>
      <c r="D35" s="12" t="inlineStr">
        <is>
          <t>Customer Favourites, App theme, Call rider (rider number is not shown to customers today); shop owner Theme. The board shows the nearest real page in their place.</t>
        </is>
      </c>
      <c r="E35" s="12" t="inlineStr">
        <is>
          <t>NEW-046</t>
        </is>
      </c>
      <c r="F35" s="12" t="inlineStr">
        <is>
          <t>Owner</t>
        </is>
      </c>
      <c r="G35" s="12" t="inlineStr">
        <is>
          <t>Pending</t>
        </is>
      </c>
      <c r="H35" s="12" t="inlineStr">
        <is>
          <t>docs/tile-board-2026-10/README.md</t>
        </is>
      </c>
    </row>
    <row r="36" ht="51" customFormat="1" customHeight="1" s="2">
      <c r="A36" s="10" t="n">
        <v>35</v>
      </c>
      <c r="B36" s="12" t="inlineStr">
        <is>
          <t>Performance / hosting</t>
        </is>
      </c>
      <c r="C36" s="12" t="inlineStr">
        <is>
          <t>Slow signed-in pages and cold first visits</t>
        </is>
      </c>
      <c r="D36" s="12"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12" t="inlineStr">
        <is>
          <t>GAP-010; PLT-013</t>
        </is>
      </c>
      <c r="F36" s="12" t="inlineStr">
        <is>
          <t>Owner</t>
        </is>
      </c>
      <c r="G36" s="12" t="inlineStr">
        <is>
          <t>Open</t>
        </is>
      </c>
      <c r="H36" s="12" t="inlineStr">
        <is>
          <t>GoKesari_UI_Issue_Register_2026-10-09.xlsx (PERF-01, PERF-02)</t>
        </is>
      </c>
    </row>
    <row r="37" ht="27" customFormat="1" customHeight="1" s="2">
      <c r="A37" s="10" t="n">
        <v>36</v>
      </c>
      <c r="B37" s="12" t="inlineStr">
        <is>
          <t>Release step</t>
        </is>
      </c>
      <c r="C37" s="12" t="inlineStr">
        <is>
          <t>Turn on prepared statements (DATABASE_PREPARED_STATEMENTS=on)</t>
        </is>
      </c>
      <c r="D37" s="12" t="inlineStr">
        <is>
          <t>Set it for test.gokesari.com, check signed-in pages and that Neon's pooled host accepts prepared statements, then set it for gokesari.com.</t>
        </is>
      </c>
      <c r="E37" s="12" t="inlineStr">
        <is>
          <t>PLT-013</t>
        </is>
      </c>
      <c r="F37" s="12" t="inlineStr">
        <is>
          <t>Owner</t>
        </is>
      </c>
      <c r="G37" s="12" t="inlineStr">
        <is>
          <t>Pending</t>
        </is>
      </c>
      <c r="H37" s="12" t="inlineStr">
        <is>
          <t>Commit 98cb8e7 (PR #124)</t>
        </is>
      </c>
    </row>
    <row r="38" ht="39" customFormat="1" customHeight="1" s="2">
      <c r="A38" s="10" t="n">
        <v>37</v>
      </c>
      <c r="B38" s="12" t="inlineStr">
        <is>
          <t>Access / tooling</t>
        </is>
      </c>
      <c r="C38" s="12" t="inlineStr">
        <is>
          <t>GitHub Actions stopped starting jobs (billing / spending limit)</t>
        </is>
      </c>
      <c r="D38" s="12" t="inlineStr">
        <is>
          <t>Resolved: jobs started again 10 Oct 11:48 UTC; CI green on PR #132 (12:09 UTC) and on every release since (#135-#163); nightly Test database backup ran 13 Oct 23:54 UTC. #134 cuts minutes used.</t>
        </is>
      </c>
      <c r="E38" s="12" t="inlineStr">
        <is>
          <t>PLT-003; PLT-008; PLT-011; QA-005</t>
        </is>
      </c>
      <c r="F38" s="12" t="inlineStr">
        <is>
          <t>Owner / dev</t>
        </is>
      </c>
      <c r="G38" s="12" t="inlineStr">
        <is>
          <t>Resolved</t>
        </is>
      </c>
      <c r="H38" s="12" t="inlineStr">
        <is>
          <t>Actions runs 37973592123, 38008566333, 38016672801</t>
        </is>
      </c>
    </row>
    <row r="39" ht="39" customFormat="1" customHeight="1" s="2">
      <c r="A39" s="10" t="n">
        <v>38</v>
      </c>
      <c r="B39" s="12" t="inlineStr">
        <is>
          <t>Decision</t>
        </is>
      </c>
      <c r="C39" s="12" t="inlineStr">
        <is>
          <t>Translate the body of inner pages into Hindi / Marathi?</t>
        </is>
      </c>
      <c r="D39" s="12" t="inlineStr">
        <is>
          <t>Boards, header, menus, tabs and error screens are translated; forms, tables and policy pages are English. Thousands of strings; needs a native-speaker review.</t>
        </is>
      </c>
      <c r="E39" s="12" t="inlineStr">
        <is>
          <t>GAP-015; NEW-047</t>
        </is>
      </c>
      <c r="F39" s="12" t="inlineStr">
        <is>
          <t>Owner</t>
        </is>
      </c>
      <c r="G39" s="12" t="inlineStr">
        <is>
          <t>Pending</t>
        </is>
      </c>
      <c r="H39" s="12" t="inlineStr">
        <is>
          <t>GoKesari_UI_Issue_Register_2026-10-09.xlsx (DT-13)</t>
        </is>
      </c>
    </row>
    <row r="40" ht="27" customFormat="1" customHeight="1" s="2">
      <c r="A40" s="10" t="n">
        <v>39</v>
      </c>
      <c r="B40" s="12" t="inlineStr">
        <is>
          <t>Security</t>
        </is>
      </c>
      <c r="C40" s="12" t="inlineStr">
        <is>
          <t>Delete the downloaded copy-shops SQL files</t>
        </is>
      </c>
      <c r="D40" s="12" t="inlineStr">
        <is>
          <t>copy-shops-1-PREVIEW.sql / copy-shops-2-APPLY.sql hold the 5 owners' contact details - delete every downloaded copy.</t>
        </is>
      </c>
      <c r="E40" s="12" t="inlineStr">
        <is>
          <t>PLT-018</t>
        </is>
      </c>
      <c r="F40" s="12" t="inlineStr">
        <is>
          <t>Owner</t>
        </is>
      </c>
      <c r="G40" s="12" t="inlineStr">
        <is>
          <t>Open</t>
        </is>
      </c>
      <c r="H40" s="12" t="inlineStr">
        <is>
          <t>docs/copy-shops-2026-10/README.md</t>
        </is>
      </c>
    </row>
    <row r="41" ht="39" customFormat="1" customHeight="1" s="2">
      <c r="A41" s="10" t="n">
        <v>40</v>
      </c>
      <c r="B41" s="12" t="inlineStr">
        <is>
          <t>Owner inputs</t>
        </is>
      </c>
      <c r="C41" s="12" t="inlineStr">
        <is>
          <t>Copied shops: sign-in, legal documents, two shops without location</t>
        </is>
      </c>
      <c r="D41" s="12" t="inlineStr">
        <is>
          <t>The 5 copied owners sign in on gokesari.com and upload their legal documents; add map locations for the 2 original production shops (Asmy super market x2) so Nearby can list them.</t>
        </is>
      </c>
      <c r="E41" s="12" t="inlineStr">
        <is>
          <t>PLT-018, NEW-057, NEW-040</t>
        </is>
      </c>
      <c r="F41" s="12" t="inlineStr">
        <is>
          <t>Owner</t>
        </is>
      </c>
      <c r="G41" s="12" t="inlineStr">
        <is>
          <t>Pending</t>
        </is>
      </c>
      <c r="H41" s="12" t="inlineStr">
        <is>
          <t>copy-shops README; nearby TEST_RESULTS</t>
        </is>
      </c>
    </row>
    <row r="42" ht="51" customFormat="1" customHeight="1" s="2">
      <c r="A42" s="10" t="n">
        <v>41</v>
      </c>
      <c r="B42" s="12" t="inlineStr">
        <is>
          <t>Decision</t>
        </is>
      </c>
      <c r="C42" s="12" t="inlineStr">
        <is>
          <t>Document auto-read engine</t>
        </is>
      </c>
      <c r="D42" s="12" t="inlineStr">
        <is>
          <t>Resolved 15 Oct: #169 reads the photo in the owner's browser (no document leaves the device to be read); released to gokesari.com (#175 / #177) and verified on test and production. No decision on Claude for KYC documents is needed. Before: the local OCR worker did not start on Hostinger.</t>
        </is>
      </c>
      <c r="E42" s="12" t="inlineStr">
        <is>
          <t>NEW-062</t>
        </is>
      </c>
      <c r="F42" s="12" t="inlineStr">
        <is>
          <t>-</t>
        </is>
      </c>
      <c r="G42" s="12" t="inlineStr">
        <is>
          <t>Resolved</t>
        </is>
      </c>
      <c r="H42" s="12" t="inlineStr">
        <is>
          <t>docs/document-upload-2026-10/TEST_RESULTS.md</t>
        </is>
      </c>
    </row>
    <row r="43" ht="111" customFormat="1" customHeight="1" s="2">
      <c r="A43" s="10" t="n">
        <v>42</v>
      </c>
      <c r="B43" s="12" t="inlineStr">
        <is>
          <t>Release step</t>
        </is>
      </c>
      <c r="C43" s="12" t="inlineStr">
        <is>
          <t>Production database split - check the split secrets</t>
        </is>
      </c>
      <c r="D43" s="12"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Fix the two secrets (gokesari_seller / gokesari_customer, as on test) and re-run if the copies went to the wrong databases. The site still reads one database (DB_SPLIT_MODE=single); plan phases 2-4 before switching anything.</t>
        </is>
      </c>
      <c r="E43" s="12" t="inlineStr">
        <is>
          <t>PLT-015</t>
        </is>
      </c>
      <c r="F43" s="12" t="inlineStr">
        <is>
          <t>Owner / dev</t>
        </is>
      </c>
      <c r="G43" s="12" t="inlineStr">
        <is>
          <t>Open</t>
        </is>
      </c>
      <c r="H43" s="12" t="inlineStr">
        <is>
          <t>Actions 'Database split' runs 7-19</t>
        </is>
      </c>
    </row>
    <row r="44" ht="63" customFormat="1" customHeight="1" s="2">
      <c r="A44" s="10" t="n">
        <v>43</v>
      </c>
      <c r="B44" s="12" t="inlineStr">
        <is>
          <t>QA</t>
        </is>
      </c>
      <c r="C44" s="12" t="inlineStr">
        <is>
          <t>Record browser runs for Seller Central and the saffron wordmark</t>
        </is>
      </c>
      <c r="D44" s="12" t="inlineStr">
        <is>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is>
      </c>
      <c r="E44" s="12" t="inlineStr">
        <is>
          <t>NEW-060, NEW-064</t>
        </is>
      </c>
      <c r="F44" s="12" t="inlineStr">
        <is>
          <t>QA / dev</t>
        </is>
      </c>
      <c r="G44" s="12" t="inlineStr">
        <is>
          <t>Open</t>
        </is>
      </c>
      <c r="H44" s="12" t="inlineStr">
        <is>
          <t>seller-central TEST_RESULTS; 13 Oct status sheet</t>
        </is>
      </c>
    </row>
    <row r="45" ht="51" customFormat="1" customHeight="1" s="2">
      <c r="A45" s="10" t="n">
        <v>44</v>
      </c>
      <c r="B45" s="12" t="inlineStr">
        <is>
          <t>Owner inputs</t>
        </is>
      </c>
      <c r="C45" s="12" t="inlineStr">
        <is>
          <t>Production order-lifecycle run (real payment)</t>
        </is>
      </c>
      <c r="D45" s="12" t="inlineStr">
        <is>
          <t>For QA-009: a production shop with delivery on and its owner's sign-in email; an approved rider (or permission to register one for approval); confirmation that the Cashfree live keys are set; the owner pays the small real top-up. No test data or sandbox keys on gokesari.com.</t>
        </is>
      </c>
      <c r="E45" s="12" t="inlineStr">
        <is>
          <t>QA-009</t>
        </is>
      </c>
      <c r="F45" s="12" t="inlineStr">
        <is>
          <t>Owner</t>
        </is>
      </c>
      <c r="G45" s="12" t="inlineStr">
        <is>
          <t>Pending</t>
        </is>
      </c>
      <c r="H45" s="12" t="inlineStr">
        <is>
          <t>docs/order-lifecycle-2026-10/TEST_RESULTS_STAGING_2026-10-14.md</t>
        </is>
      </c>
    </row>
    <row r="46" ht="39" customFormat="1" customHeight="1" s="2">
      <c r="A46" s="10" t="n">
        <v>45</v>
      </c>
      <c r="B46" s="12" t="inlineStr">
        <is>
          <t>Release step</t>
        </is>
      </c>
      <c r="C46" s="12" t="inlineStr">
        <is>
          <t>Inventory &amp; Accounting - before release</t>
        </is>
      </c>
      <c r="D46" s="12" t="inlineStr">
        <is>
          <t>Done 15 Oct: staging run recorded (TESTING_REPORT.md), ~40 s load fixed (#172), released by #179. Still open as separate rows: AI bill reading decision, GSP, CA check (#15).</t>
        </is>
      </c>
      <c r="E46" s="12" t="inlineStr">
        <is>
          <t>NEW-067</t>
        </is>
      </c>
      <c r="F46" s="12" t="inlineStr">
        <is>
          <t>Dev / Owner</t>
        </is>
      </c>
      <c r="G46" s="12" t="inlineStr">
        <is>
          <t>Done</t>
        </is>
      </c>
      <c r="H46" s="12" t="inlineStr">
        <is>
          <t>docs/inventory-accounting-2026-10/README.md</t>
        </is>
      </c>
    </row>
    <row r="47" ht="27" customFormat="1" customHeight="1" s="2">
      <c r="A47" s="10" t="n">
        <v>46</v>
      </c>
      <c r="B47" s="12" t="inlineStr">
        <is>
          <t>Release step</t>
        </is>
      </c>
      <c r="C47" s="12" t="inlineStr">
        <is>
          <t>Release staging to production (#168, #169, #171)</t>
        </is>
      </c>
      <c r="D47" s="12" t="inlineStr">
        <is>
          <t>Released: #168 and #169 via #175 / #177; #171, #172 (and #173, #174) via #179 on 15 Oct.</t>
        </is>
      </c>
      <c r="E47" s="12" t="inlineStr">
        <is>
          <t>NEW-066, NEW-062, NEW-067</t>
        </is>
      </c>
      <c r="F47" s="12" t="inlineStr">
        <is>
          <t>Owner / dev</t>
        </is>
      </c>
      <c r="G47" s="12" t="inlineStr">
        <is>
          <t>Done</t>
        </is>
      </c>
      <c r="H47" s="12" t="inlineStr">
        <is>
          <t>git log main..staging</t>
        </is>
      </c>
    </row>
    <row r="48" ht="39" customHeight="1">
      <c r="A48" s="10" t="n">
        <v>47</v>
      </c>
      <c r="B48" s="12" t="inlineStr">
        <is>
          <t>Release blocker</t>
        </is>
      </c>
      <c r="C48" s="12" t="inlineStr">
        <is>
          <t>Bulk product upload: production checks signed in</t>
        </is>
      </c>
      <c r="D48" s="12" t="inlineStr">
        <is>
          <t>Live on gokesari.com since 15 Oct 15:58 UTC (#179). A signed-in import on production needs a designated test shop; the Production database workflow needs its repository variables set.</t>
        </is>
      </c>
      <c r="E48" s="12" t="inlineStr">
        <is>
          <t>BPU-16</t>
        </is>
      </c>
      <c r="F48" s="12" t="inlineStr">
        <is>
          <t>Owner</t>
        </is>
      </c>
      <c r="G48" s="12" t="inlineStr">
        <is>
          <t>Open</t>
        </is>
      </c>
      <c r="H48" s="12" t="inlineStr">
        <is>
          <t>docs/product-import-2026-10/README.md</t>
        </is>
      </c>
    </row>
    <row r="49" ht="27" customHeight="1">
      <c r="A49" s="10" t="n">
        <v>48</v>
      </c>
      <c r="B49" s="12" t="inlineStr">
        <is>
          <t>Decision</t>
        </is>
      </c>
      <c r="C49" s="12" t="inlineStr">
        <is>
          <t>Bulk upload: MRP in the file</t>
        </is>
      </c>
      <c r="D49" s="12" t="inlineStr">
        <is>
          <t>Stored as the listing MRP (shop_listing_details.mrp_paise); master MRP unchanged; price above it not applied</t>
        </is>
      </c>
      <c r="E49" s="12" t="inlineStr">
        <is>
          <t>BPU-03</t>
        </is>
      </c>
      <c r="F49" s="12" t="inlineStr">
        <is>
          <t>Dev (recorded)</t>
        </is>
      </c>
      <c r="G49" s="12" t="inlineStr">
        <is>
          <t>Decided</t>
        </is>
      </c>
      <c r="H49" s="12" t="inlineStr">
        <is>
          <t>docs/product-import-2026-10/README.md</t>
        </is>
      </c>
    </row>
    <row r="50" ht="27" customHeight="1">
      <c r="A50" s="10" t="n">
        <v>49</v>
      </c>
      <c r="B50" s="12" t="inlineStr">
        <is>
          <t>Decision</t>
        </is>
      </c>
      <c r="C50" s="12" t="inlineStr">
        <is>
          <t>Bulk upload: uncategorised products</t>
        </is>
      </c>
      <c r="D50" s="12" t="inlineStr">
        <is>
          <t>Go to the system category General</t>
        </is>
      </c>
      <c r="E50" s="12" t="inlineStr">
        <is>
          <t>BPU-04</t>
        </is>
      </c>
      <c r="F50" s="12" t="inlineStr">
        <is>
          <t>Dev (recorded)</t>
        </is>
      </c>
      <c r="G50" s="12" t="inlineStr">
        <is>
          <t>Decided</t>
        </is>
      </c>
      <c r="H50" s="12" t="inlineStr">
        <is>
          <t>docs/product-import-2026-10/README.md</t>
        </is>
      </c>
    </row>
    <row r="51" ht="27" customHeight="1">
      <c r="A51" s="10" t="n">
        <v>50</v>
      </c>
      <c r="B51" s="12" t="inlineStr">
        <is>
          <t>Go-live blocker</t>
        </is>
      </c>
      <c r="C51" s="12" t="inlineStr">
        <is>
          <t>Bulk upload: mobile store builds</t>
        </is>
      </c>
      <c r="D51" s="12" t="inlineStr">
        <is>
          <t>EAS / Expo account and Apple Developer account for the AAB and the iPhone build</t>
        </is>
      </c>
      <c r="E51" s="12" t="inlineStr">
        <is>
          <t>BPU-10, BPU-11</t>
        </is>
      </c>
      <c r="F51" s="12" t="inlineStr">
        <is>
          <t>Owner</t>
        </is>
      </c>
      <c r="G51" s="12" t="inlineStr">
        <is>
          <t>Open</t>
        </is>
      </c>
      <c r="H51" s="12" t="inlineStr">
        <is>
          <t>docs/product-import-2026-10/README.md</t>
        </is>
      </c>
    </row>
    <row r="52" ht="51" customHeight="1">
      <c r="A52" s="10" t="n">
        <v>51</v>
      </c>
      <c r="B52" s="12" t="inlineStr">
        <is>
          <t>Owner action</t>
        </is>
      </c>
      <c r="C52" s="12" t="inlineStr">
        <is>
          <t>Inventory &amp; Accounting: INTEGRATION_ENCRYPTION_KEY value</t>
        </is>
      </c>
      <c r="D52" s="12" t="inlineStr">
        <is>
          <t>The variable is set on test and production but is not base64 of 32 bytes (test reports encryption not configured; GST link answers 500). Set `openssl rand -base64 32` (a different value per site) in Hostinger and redeploy.</t>
        </is>
      </c>
      <c r="E52" s="12" t="inlineStr">
        <is>
          <t>IA-056, IA-020, IA-048, NEW-037</t>
        </is>
      </c>
      <c r="F52" s="12" t="inlineStr">
        <is>
          <t>Owner</t>
        </is>
      </c>
      <c r="G52" s="12" t="inlineStr">
        <is>
          <t>Open</t>
        </is>
      </c>
      <c r="H52" s="12" t="inlineStr">
        <is>
          <t>docs/inventory-accounting-2026-10/TESTING_REPORT.md</t>
        </is>
      </c>
    </row>
    <row r="53" ht="39" customHeight="1">
      <c r="A53" s="10" t="n">
        <v>52</v>
      </c>
      <c r="B53" s="12" t="inlineStr">
        <is>
          <t>Decision / vendor</t>
        </is>
      </c>
      <c r="C53" s="12" t="inlineStr">
        <is>
          <t>Inventory &amp; Accounting: licensed GSP for GST returns</t>
        </is>
      </c>
      <c r="D53" s="12" t="inlineStr">
        <is>
          <t>Choose and contract a GSP (Masters India, ClearTax, IRIS, Tally GSP, Vayana) for live GSTR-2B/2A/1 pull; until then owners upload the file from gst.gov.in (works on production).</t>
        </is>
      </c>
      <c r="E53" s="12" t="inlineStr">
        <is>
          <t>IA-022, IA-023</t>
        </is>
      </c>
      <c r="F53" s="12" t="inlineStr">
        <is>
          <t>Owner</t>
        </is>
      </c>
      <c r="G53" s="12" t="inlineStr">
        <is>
          <t>Open</t>
        </is>
      </c>
      <c r="H53" s="12" t="inlineStr">
        <is>
          <t>docs/inventory-accounting-2026-10/TESTING_REPORT.md</t>
        </is>
      </c>
    </row>
    <row r="54" ht="39" customHeight="1">
      <c r="A54" s="10" t="n">
        <v>53</v>
      </c>
      <c r="B54" s="12" t="inlineStr">
        <is>
          <t>Decision</t>
        </is>
      </c>
      <c r="C54" s="12" t="inlineStr">
        <is>
          <t>Inventory &amp; Accounting: AI reading of supplier bills</t>
        </is>
      </c>
      <c r="D54" s="12" t="inlineStr">
        <is>
          <t>Allow bills to be read by Claude (ANTHROPIC_API_KEY + INVOICE_EXTRACTION_PROVIDER=claude): needed for photos, handwriting, Hindi and Marathi. Without it: e-invoice, Excel, PDF text and typing.</t>
        </is>
      </c>
      <c r="E54" s="12" t="inlineStr">
        <is>
          <t>IA-034, IA-039</t>
        </is>
      </c>
      <c r="F54" s="12" t="inlineStr">
        <is>
          <t>Owner</t>
        </is>
      </c>
      <c r="G54" s="12" t="inlineStr">
        <is>
          <t>Open</t>
        </is>
      </c>
      <c r="H54" s="12" t="inlineStr">
        <is>
          <t>docs/inventory-accounting-2026-10/TESTING_REPORT.md</t>
        </is>
      </c>
    </row>
    <row r="55" ht="27" customHeight="1">
      <c r="A55" s="10" t="n">
        <v>54</v>
      </c>
      <c r="B55" s="12" t="inlineStr">
        <is>
          <t>Owner action</t>
        </is>
      </c>
      <c r="C55" s="12" t="inlineStr">
        <is>
          <t>Inventory &amp; Accounting: crons</t>
        </is>
      </c>
      <c r="D55" s="12" t="inlineStr">
        <is>
          <t>Schedule POST /api/cron/gst-reminders daily and /api/cron/bill-captures every 10 min (Bearer CRON_SECRET) on both sites.</t>
        </is>
      </c>
      <c r="E55" s="12" t="inlineStr">
        <is>
          <t>IA-027, IA-050</t>
        </is>
      </c>
      <c r="F55" s="12" t="inlineStr">
        <is>
          <t>Owner</t>
        </is>
      </c>
      <c r="G55" s="12" t="inlineStr">
        <is>
          <t>Open</t>
        </is>
      </c>
      <c r="H55" s="12" t="inlineStr">
        <is>
          <t>docs/inventory-accounting-2026-10/TESTING_REPORT.md</t>
        </is>
      </c>
    </row>
    <row r="56" ht="39" customHeight="1">
      <c r="A56" s="10" t="n">
        <v>55</v>
      </c>
      <c r="B56" s="12" t="inlineStr">
        <is>
          <t>Vendor</t>
        </is>
      </c>
      <c r="C56" s="12" t="inlineStr">
        <is>
          <t>Inventory &amp; Accounting: bill forwarding by email and S3 bucket</t>
        </is>
      </c>
      <c r="D56" s="12" t="inlineStr">
        <is>
          <t>Inbound mail provider (INBOUND_EMAIL_SECRET / _DOMAIN) for forwarding; S3-compatible bucket credentials (ACCOUNTS_S3_*) - bills stay in the database until then.</t>
        </is>
      </c>
      <c r="E56" s="12" t="inlineStr">
        <is>
          <t>IA-032, IA-049</t>
        </is>
      </c>
      <c r="F56" s="12" t="inlineStr">
        <is>
          <t>Owner</t>
        </is>
      </c>
      <c r="G56" s="12" t="inlineStr">
        <is>
          <t>Open</t>
        </is>
      </c>
      <c r="H56" s="12" t="inlineStr">
        <is>
          <t>docs/inventory-accounting-2026-10/TESTING_REPORT.md</t>
        </is>
      </c>
    </row>
    <row r="57" ht="87" customHeight="1">
      <c r="A57" s="10" t="n">
        <v>56</v>
      </c>
      <c r="B57" s="12" t="inlineStr">
        <is>
          <t>Dev</t>
        </is>
      </c>
      <c r="C57" s="12" t="inlineStr">
        <is>
          <t>Flaky test: PMD parallel loader</t>
        </is>
      </c>
      <c r="D57" s="12" t="inlineStr">
        <is>
          <t>Resolved 16 Oct: #184 (each parallel worker scores only its own committed batch; shared products rescored at the end; reproduced 1 in 3 before, 15/15 after) released to gokesari.com by #185.</t>
        </is>
      </c>
      <c r="E57" s="12" t="inlineStr">
        <is>
          <t>PMD-001</t>
        </is>
      </c>
      <c r="F57" s="12" t="inlineStr">
        <is>
          <t>Dev</t>
        </is>
      </c>
      <c r="G57" s="12" t="inlineStr">
        <is>
          <t>Resolved</t>
        </is>
      </c>
      <c r="H57" s="12" t="inlineStr">
        <is>
          <t>docs/inventory-accounting-2026-10/TESTING_REPORT.md</t>
        </is>
      </c>
    </row>
  </sheetData>
  <autoFilter ref="A1:H57"/>
  <conditionalFormatting sqref="G2:G57">
    <cfRule type="cellIs" priority="1" operator="equal" dxfId="3">
      <formula>"Open"</formula>
    </cfRule>
    <cfRule type="cellIs" priority="2" operator="equal" dxfId="1">
      <formula>"Pending"</formula>
    </cfRule>
    <cfRule type="cellIs" priority="3" operator="equal" dxfId="1">
      <formula>"Pending confirmation"</formula>
    </cfRule>
    <cfRule type="cellIs" priority="4" operator="equal" dxfId="2">
      <formula>"At release"</formula>
    </cfRule>
    <cfRule type="cellIs" priority="5" operator="equal" dxfId="0">
      <formula>"Resolved"</formula>
    </cfRule>
  </conditionalFormatting>
  <pageMargins left="0.3" right="0.3" top="1" bottom="1" header="0.511811023622047" footer="0.511811023622047"/>
  <pageSetup orientation="landscape" paperSize="9" scale="100" fitToHeight="0"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2026-10-18T13:32:38Z</dcterms:modified>
  <cp:lastModifiedBy>Unknown</cp:lastModifiedBy>
</cp:coreProperties>
</file>