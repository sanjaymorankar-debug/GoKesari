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'Inventory'!$A$1:$K$159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0" borderId="1" pivotButton="0" quotePrefix="0" xfId="0"/>
    <xf numFmtId="0" fontId="5" fillId="0" borderId="1" pivotButton="0" quotePrefix="0" xfId="0"/>
    <xf numFmtId="164" fontId="2" fillId="0" borderId="1" pivotButton="0" quotePrefix="0" xfId="0"/>
    <xf numFmtId="0" fontId="2" fillId="4" borderId="1" pivotButton="0" quotePrefix="0" xfId="0"/>
    <xf numFmtId="0" fontId="2" fillId="7" borderId="1" pivotButton="0" quotePrefix="0" xfId="0"/>
    <xf numFmtId="0" fontId="2" fillId="6" borderId="1" pivotButton="0" quotePrefix="0" xfId="0"/>
    <xf numFmtId="0" fontId="2" fillId="5" borderId="1" pivotButton="0" quotePrefix="0" xfId="0"/>
    <xf numFmtId="0" fontId="6" fillId="0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52" customWidth="1" min="3" max="3"/>
    <col width="10" customWidth="1" min="4" max="4"/>
    <col width="10" customWidth="1" min="5" max="5"/>
    <col width="10" customWidth="1" min="6" max="6"/>
    <col width="8" customWidth="1" min="7" max="7"/>
    <col width="22" customWidth="1" min="8" max="8"/>
    <col width="34" customWidth="1" min="9" max="9"/>
    <col width="46" customWidth="1" min="10" max="10"/>
    <col width="70" customWidth="1" min="11" max="11"/>
  </cols>
  <sheetData>
    <row r="1" ht="30" customHeight="1">
      <c r="A1" s="1" t="inlineStr">
        <is>
          <t>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Frontend</t>
        </is>
      </c>
      <c r="E1" s="1" t="inlineStr">
        <is>
          <t>Backend</t>
        </is>
      </c>
      <c r="F1" s="1" t="inlineStr">
        <is>
          <t>Database</t>
        </is>
      </c>
      <c r="G1" s="1" t="inlineStr">
        <is>
          <t>API</t>
        </is>
      </c>
      <c r="H1" s="1" t="inlineStr">
        <is>
          <t>Status</t>
        </is>
      </c>
      <c r="I1" s="1" t="inlineStr">
        <is>
          <t>Working?</t>
        </is>
      </c>
      <c r="J1" s="1" t="inlineStr">
        <is>
          <t>Location</t>
        </is>
      </c>
      <c r="K1" s="1" t="inlineStr">
        <is>
          <t>Notes</t>
        </is>
      </c>
    </row>
    <row r="2">
      <c r="A2" s="2" t="inlineStr">
        <is>
          <t>AUTH-01</t>
        </is>
      </c>
      <c r="B2" s="2" t="inlineStr">
        <is>
          <t>Authentication</t>
        </is>
      </c>
      <c r="C2" s="2" t="inlineStr">
        <is>
          <t>Google OAuth sign-in (Auth.js v5, Drizzle adapter)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3" t="inlineStr">
        <is>
          <t>EXISTING_WORKING</t>
        </is>
      </c>
      <c r="I2" s="2" t="inlineStr">
        <is>
          <t>Yes in use on hosted envs; not automatable here</t>
        </is>
      </c>
      <c r="J2" s="2" t="inlineStr">
        <is>
          <t>src/server/auth.ts; /signin; /api/auth/[...nextauth]</t>
        </is>
      </c>
      <c r="K2" s="2" t="inlineStr">
        <is>
          <t>JWT sessions (30 d) - older docs still say database sessions. New user =&gt; CUSTOMER role + wallet + TERMS_AND_PRIVACY consent. Providers probe 2026-09-22: hosted test and live expose only 'google'.</t>
        </is>
      </c>
    </row>
    <row r="3">
      <c r="A3" s="2" t="inlineStr">
        <is>
          <t>AUTH-02</t>
        </is>
      </c>
      <c r="B3" s="2" t="inlineStr">
        <is>
          <t>Authentication</t>
        </is>
      </c>
      <c r="C3" s="2" t="inlineStr">
        <is>
          <t>Dev/test credentials sign-in (email only)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3" t="inlineStr">
        <is>
          <t>EXISTING_WORKING</t>
        </is>
      </c>
      <c r="I3" s="2" t="inlineStr">
        <is>
          <t>Yes - code-verified only (no dedicated test)</t>
        </is>
      </c>
      <c r="J3" s="2" t="inlineStr">
        <is>
          <t>src/server/auth.ts:47-87</t>
        </is>
      </c>
      <c r="K3" s="2" t="inlineStr">
        <is>
          <t>Disabled when NODE_ENV=production (provider list and authorize()). Verified absent on test.gokesari.com and gokesari.com.</t>
        </is>
      </c>
    </row>
    <row r="4">
      <c r="A4" s="2" t="inlineStr">
        <is>
          <t>AUTH-03</t>
        </is>
      </c>
      <c r="B4" s="2" t="inlineStr">
        <is>
          <t>Authentication</t>
        </is>
      </c>
      <c r="C4" s="2" t="inlineStr">
        <is>
          <t>Role and status re-read from DB on every request; suspended/deleted accounts get no session</t>
        </is>
      </c>
      <c r="D4" s="2" t="inlineStr">
        <is>
          <t>n/a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n/a</t>
        </is>
      </c>
      <c r="H4" s="3" t="inlineStr">
        <is>
          <t>EXISTING_WORKING</t>
        </is>
      </c>
      <c r="I4" s="2" t="inlineStr">
        <is>
          <t>Yes - automated tests pass</t>
        </is>
      </c>
      <c r="J4" s="2" t="inlineStr">
        <is>
          <t>src/server/auth.ts:109-157; src/server/authz/guards.ts:25-36</t>
        </is>
      </c>
      <c r="K4" s="2" t="inlineStr">
        <is>
          <t>Stale JWT cannot keep old privileges.</t>
        </is>
      </c>
    </row>
    <row r="5">
      <c r="A5" s="2" t="inlineStr">
        <is>
          <t>AUTH-04</t>
        </is>
      </c>
      <c r="B5" s="2" t="inlineStr">
        <is>
          <t>Authentication</t>
        </is>
      </c>
      <c r="C5" s="2" t="inlineStr">
        <is>
          <t>Bootstrap admin (BOOTSTRAP_ADMIN_EMAILS + two permanent emails in source)</t>
        </is>
      </c>
      <c r="D5" s="2" t="inlineStr">
        <is>
          <t>n/a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n/a</t>
        </is>
      </c>
      <c r="H5" s="4" t="inlineStr">
        <is>
          <t>EXISTING_PARTIAL</t>
        </is>
      </c>
      <c r="I5" s="2" t="inlineStr">
        <is>
          <t>Yes - code-verified only (no dedicated test)</t>
        </is>
      </c>
      <c r="J5" s="2" t="inlineStr">
        <is>
          <t>src/lib/env.ts:137-158; src/server/auth.ts:139-148</t>
        </is>
      </c>
      <c r="K5" s="2" t="inlineStr">
        <is>
          <t>Works, but two personal admin emails are hard-coded and re-promoted to ADMIN on every session (finding SEC-03).</t>
        </is>
      </c>
    </row>
    <row r="6">
      <c r="A6" s="2" t="inlineStr">
        <is>
          <t>AUTH-05</t>
        </is>
      </c>
      <c r="B6" s="2" t="inlineStr">
        <is>
          <t>Authentication</t>
        </is>
      </c>
      <c r="C6" s="2" t="inlineStr">
        <is>
          <t>Phone number capture / OTP verification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Partial</t>
        </is>
      </c>
      <c r="G6" s="2" t="inlineStr">
        <is>
          <t>No</t>
        </is>
      </c>
      <c r="H6" s="5" t="inlineStr">
        <is>
          <t>MISSING</t>
        </is>
      </c>
      <c r="I6" s="2" t="inlineStr">
        <is>
          <t>n/a - not built</t>
        </is>
      </c>
      <c r="J6" s="2" t="inlineStr">
        <is>
          <t>users.phone (nullable, unverified)</t>
        </is>
      </c>
      <c r="K6" s="2" t="inlineStr">
        <is>
          <t>No SMS/OTP provider exists anywhere in the codebase.</t>
        </is>
      </c>
    </row>
    <row r="7">
      <c r="A7" s="2" t="inlineStr">
        <is>
          <t>AUTH-06</t>
        </is>
      </c>
      <c r="B7" s="2" t="inlineStr">
        <is>
          <t>Authentication</t>
        </is>
      </c>
      <c r="C7" s="2" t="inlineStr">
        <is>
          <t>Profile page (name, email, role, addresses link, sign-out, notification list)</t>
        </is>
      </c>
      <c r="D7" s="2" t="inlineStr">
        <is>
          <t>Yes</t>
        </is>
      </c>
      <c r="E7" s="2" t="inlineStr">
        <is>
          <t>Partial</t>
        </is>
      </c>
      <c r="F7" s="2" t="inlineStr">
        <is>
          <t>Yes</t>
        </is>
      </c>
      <c r="G7" s="2" t="inlineStr">
        <is>
          <t>No</t>
        </is>
      </c>
      <c r="H7" s="4" t="inlineStr">
        <is>
          <t>EXISTING_PARTIAL</t>
        </is>
      </c>
      <c r="I7" s="2" t="inlineStr">
        <is>
          <t>Yes - code-verified only (no dedicated test)</t>
        </is>
      </c>
      <c r="J7" s="2" t="inlineStr">
        <is>
          <t>src/app/profile/page.tsx</t>
        </is>
      </c>
      <c r="K7" s="2" t="inlineStr">
        <is>
          <t>Read-only: no API/UI to edit name or phone. Notification list is shown here (no bell, no mark-read control).</t>
        </is>
      </c>
    </row>
    <row r="8">
      <c r="A8" s="2" t="inlineStr">
        <is>
          <t>RBAC-01</t>
        </is>
      </c>
      <c r="B8" s="2" t="inlineStr">
        <is>
          <t>RBAC</t>
        </is>
      </c>
      <c r="C8" s="2" t="inlineStr">
        <is>
          <t>Server-side capability matrix: 5 roles (CUSTOMER, SHOP_OWNER, OPERATOR, ADMIN, DELIVERY_PARTNER), ~76 permissions</t>
        </is>
      </c>
      <c r="D8" s="2" t="inlineStr">
        <is>
          <t>n/a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Yes</t>
        </is>
      </c>
      <c r="H8" s="3" t="inlineStr">
        <is>
          <t>EXISTING_WORKING</t>
        </is>
      </c>
      <c r="I8" s="2" t="inlineStr">
        <is>
          <t>Yes - automated tests pass</t>
        </is>
      </c>
      <c r="J8" s="2" t="inlineStr">
        <is>
          <t>src/server/authz/permissions.ts</t>
        </is>
      </c>
      <c r="K8" s="2" t="inlineStr">
        <is>
          <t>27 permissions are never referenced by name outside the matrix (ownership or role logic enforces some; some are unused).</t>
        </is>
      </c>
    </row>
    <row r="9">
      <c r="A9" s="2" t="inlineStr">
        <is>
          <t>RBAC-02</t>
        </is>
      </c>
      <c r="B9" s="2" t="inlineStr">
        <is>
          <t>RBAC</t>
        </is>
      </c>
      <c r="C9" s="2" t="inlineStr">
        <is>
          <t>Ownership guards (requireShopAccess, requireSubscriptionAccess) - IDOR protection</t>
        </is>
      </c>
      <c r="D9" s="2" t="inlineStr">
        <is>
          <t>n/a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Yes</t>
        </is>
      </c>
      <c r="H9" s="4" t="inlineStr">
        <is>
          <t>EXISTING_PARTIAL</t>
        </is>
      </c>
      <c r="I9" s="2" t="inlineStr">
        <is>
          <t>Partly - see notes</t>
        </is>
      </c>
      <c r="J9" s="2" t="inlineStr">
        <is>
          <t>src/server/authz/guards.ts:83-122</t>
        </is>
      </c>
      <c r="K9" s="2" t="inlineStr">
        <is>
          <t>Blocks a genuine cross-user IDOR (a different user's shop/subscription) - that part works and is tested. But 'capability and ownership are both checked' is not true for requireShopAccess's OWNER branch: it returns as soon as shop.ownerId matches, before any can() call, so role demotion and shop suspension do not revoke a shop owner's own write access (finding SEC-06, found on Opus review 2026-09-22).</t>
        </is>
      </c>
    </row>
    <row r="10">
      <c r="A10" s="2" t="inlineStr">
        <is>
          <t>RBAC-03</t>
        </is>
      </c>
      <c r="B10" s="2" t="inlineStr">
        <is>
          <t>RBAC</t>
        </is>
      </c>
      <c r="C10" s="2" t="inlineStr">
        <is>
          <t>Admin sets a user's role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3" t="inlineStr">
        <is>
          <t>EXISTING_WORKING</t>
        </is>
      </c>
      <c r="I10" s="2" t="inlineStr">
        <is>
          <t>Yes - automated tests pass</t>
        </is>
      </c>
      <c r="J10" s="2" t="inlineStr">
        <is>
          <t>/api/users/[id]/role; src/components/user-role-manager.tsx</t>
        </is>
      </c>
      <c r="K10" s="2" t="inlineStr">
        <is>
          <t>Role never accepted from a request body except this ADMIN route.</t>
        </is>
      </c>
    </row>
    <row r="11">
      <c r="A11" s="2" t="inlineStr">
        <is>
          <t>RBAC-04</t>
        </is>
      </c>
      <c r="B11" s="2" t="inlineStr">
        <is>
          <t>RBAC</t>
        </is>
      </c>
      <c r="C11" s="2" t="inlineStr">
        <is>
          <t>roles / permissions / role_permissions tables</t>
        </is>
      </c>
      <c r="D11" s="2" t="inlineStr">
        <is>
          <t>n/a</t>
        </is>
      </c>
      <c r="E11" s="2" t="inlineStr">
        <is>
          <t>Partial</t>
        </is>
      </c>
      <c r="F11" s="2" t="inlineStr">
        <is>
          <t>Yes</t>
        </is>
      </c>
      <c r="G11" s="2" t="inlineStr">
        <is>
          <t>n/a</t>
        </is>
      </c>
      <c r="H11" s="4" t="inlineStr">
        <is>
          <t>EXISTING_PARTIAL</t>
        </is>
      </c>
      <c r="I11" s="2" t="inlineStr">
        <is>
          <t>Yes - code-verified only (no dedicated test)</t>
        </is>
      </c>
      <c r="J11" s="2" t="inlineStr">
        <is>
          <t>src/server/db/schema.ts:465-487; src/server/db/seed.ts</t>
        </is>
      </c>
      <c r="K11" s="2" t="inlineStr">
        <is>
          <t>Seeded mirror for reporting only; runtime checks use the in-code matrix.</t>
        </is>
      </c>
    </row>
    <row r="12">
      <c r="A12" s="2" t="inlineStr">
        <is>
          <t>RBAC-05</t>
        </is>
      </c>
      <c r="B12" s="2" t="inlineStr">
        <is>
          <t>RBAC</t>
        </is>
      </c>
      <c r="C12" s="2" t="inlineStr">
        <is>
          <t>Suspend a user account</t>
        </is>
      </c>
      <c r="D12" s="2" t="inlineStr">
        <is>
          <t>No</t>
        </is>
      </c>
      <c r="E12" s="2" t="inlineStr">
        <is>
          <t>Partial</t>
        </is>
      </c>
      <c r="F12" s="2" t="inlineStr">
        <is>
          <t>Yes</t>
        </is>
      </c>
      <c r="G12" s="2" t="inlineStr">
        <is>
          <t>No</t>
        </is>
      </c>
      <c r="H12" s="6" t="inlineStr">
        <is>
          <t>EXISTING_PLACEHOLDER</t>
        </is>
      </c>
      <c r="I12" s="2" t="inlineStr">
        <is>
          <t>Service layer only - tested, but no API route or UI reaches it</t>
        </is>
      </c>
      <c r="J12" s="2" t="inlineStr">
        <is>
          <t>USER_SUSPEND permission (unused); auth.ts honours status=SUSPENDED</t>
        </is>
      </c>
      <c r="K12" s="2" t="inlineStr">
        <is>
          <t>No route or screen sets a user to SUSPENDED.</t>
        </is>
      </c>
    </row>
    <row r="13">
      <c r="A13" s="2" t="inlineStr">
        <is>
          <t>RBAC-06</t>
        </is>
      </c>
      <c r="B13" s="2" t="inlineStr">
        <is>
          <t>RBAC</t>
        </is>
      </c>
      <c r="C13" s="2" t="inlineStr">
        <is>
          <t>Shop Staff role (sub-users of a shop)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No</t>
        </is>
      </c>
      <c r="H13" s="5" t="inlineStr">
        <is>
          <t>MISSING</t>
        </is>
      </c>
      <c r="I13" s="2" t="inlineStr">
        <is>
          <t>n/a - not built</t>
        </is>
      </c>
      <c r="J13" s="2" t="inlineStr">
        <is>
          <t>-</t>
        </is>
      </c>
      <c r="K13" s="2" t="inlineStr">
        <is>
          <t>Only the shop owner can act for a shop.</t>
        </is>
      </c>
    </row>
    <row r="14">
      <c r="A14" s="2" t="inlineStr">
        <is>
          <t>RBAC-07</t>
        </is>
      </c>
      <c r="B14" s="2" t="inlineStr">
        <is>
          <t>RBAC</t>
        </is>
      </c>
      <c r="C14" s="2" t="inlineStr">
        <is>
          <t>Society Administrator role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No</t>
        </is>
      </c>
      <c r="H14" s="5" t="inlineStr">
        <is>
          <t>MISSING</t>
        </is>
      </c>
      <c r="I14" s="2" t="inlineStr">
        <is>
          <t>n/a - not built</t>
        </is>
      </c>
      <c r="J14" s="2" t="inlineStr">
        <is>
          <t>-</t>
        </is>
      </c>
      <c r="K14" s="2" t="inlineStr"/>
    </row>
    <row r="15">
      <c r="A15" s="2" t="inlineStr">
        <is>
          <t>RBAC-08</t>
        </is>
      </c>
      <c r="B15" s="2" t="inlineStr">
        <is>
          <t>RBAC</t>
        </is>
      </c>
      <c r="C15" s="2" t="inlineStr">
        <is>
          <t>Super Admin role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No</t>
        </is>
      </c>
      <c r="H15" s="5" t="inlineStr">
        <is>
          <t>MISSING</t>
        </is>
      </c>
      <c r="I15" s="2" t="inlineStr">
        <is>
          <t>n/a - not built</t>
        </is>
      </c>
      <c r="J15" s="2" t="inlineStr">
        <is>
          <t>-</t>
        </is>
      </c>
      <c r="K15" s="2" t="inlineStr">
        <is>
          <t>ADMIN is the highest role today; decide whether a distinct role is really required.</t>
        </is>
      </c>
    </row>
    <row r="16">
      <c r="A16" s="2" t="inlineStr">
        <is>
          <t>RBAC-09</t>
        </is>
      </c>
      <c r="B16" s="2" t="inlineStr">
        <is>
          <t>RBAC</t>
        </is>
      </c>
      <c r="C16" s="2" t="inlineStr">
        <is>
          <t>System configuration UI (SYSTEM_CONFIG)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No</t>
        </is>
      </c>
      <c r="H16" s="6" t="inlineStr">
        <is>
          <t>EXISTING_PLACEHOLDER</t>
        </is>
      </c>
      <c r="I16" s="2" t="inlineStr">
        <is>
          <t>n/a - not built</t>
        </is>
      </c>
      <c r="J16" s="2" t="inlineStr">
        <is>
          <t>SYSTEM_CONFIG permission (unused)</t>
        </is>
      </c>
      <c r="K16" s="2" t="inlineStr">
        <is>
          <t>Only registration-fee and delivery-earnings configuration screens exist.</t>
        </is>
      </c>
    </row>
    <row r="17">
      <c r="A17" s="2" t="inlineStr">
        <is>
          <t>CUS-01</t>
        </is>
      </c>
      <c r="B17" s="2" t="inlineStr">
        <is>
          <t>Customer</t>
        </is>
      </c>
      <c r="C17" s="2" t="inlineStr">
        <is>
          <t>Address book: create/edit/delete, default, landmark, delivery instructions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Yes</t>
        </is>
      </c>
      <c r="G17" s="2" t="inlineStr">
        <is>
          <t>Yes</t>
        </is>
      </c>
      <c r="H17" s="3" t="inlineStr">
        <is>
          <t>EXISTING_WORKING</t>
        </is>
      </c>
      <c r="I17" s="2" t="inlineStr">
        <is>
          <t>Yes - automated tests pass</t>
        </is>
      </c>
      <c r="J17" s="2" t="inlineStr">
        <is>
          <t>/profile/addresses; /api/addresses*; src/server/services/addresses.ts</t>
        </is>
      </c>
      <c r="K17" s="2" t="inlineStr"/>
    </row>
    <row r="18">
      <c r="A18" s="2" t="inlineStr">
        <is>
          <t>CUS-02</t>
        </is>
      </c>
      <c r="B18" s="2" t="inlineStr">
        <is>
          <t>Customer</t>
        </is>
      </c>
      <c r="C18" s="2" t="inlineStr">
        <is>
          <t>Map picker + Google Geocoding (verify once, store coordinates)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Yes</t>
        </is>
      </c>
      <c r="H18" s="3" t="inlineStr">
        <is>
          <t>EXISTING_WORKING</t>
        </is>
      </c>
      <c r="I18" s="2" t="inlineStr">
        <is>
          <t>Yes - automated tests pass</t>
        </is>
      </c>
      <c r="J18" s="2" t="inlineStr">
        <is>
          <t>src/components/map-picker.tsx; /api/geo/verify-location; geocoding.ts</t>
        </is>
      </c>
      <c r="K18" s="2" t="inlineStr">
        <is>
          <t>Needs Google keys; falls back to manual entry. Tests stub fetch.</t>
        </is>
      </c>
    </row>
    <row r="19">
      <c r="A19" s="2" t="inlineStr">
        <is>
          <t>CUS-03</t>
        </is>
      </c>
      <c r="B19" s="2" t="inlineStr">
        <is>
          <t>Customer</t>
        </is>
      </c>
      <c r="C19" s="2" t="inlineStr">
        <is>
          <t>Society / block / flat on an address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No</t>
        </is>
      </c>
      <c r="G19" s="2" t="inlineStr">
        <is>
          <t>No</t>
        </is>
      </c>
      <c r="H19" s="5" t="inlineStr">
        <is>
          <t>MISSING</t>
        </is>
      </c>
      <c r="I19" s="2" t="inlineStr">
        <is>
          <t>n/a - not built</t>
        </is>
      </c>
      <c r="J19" s="2" t="inlineStr">
        <is>
          <t>addresses table has line1/line2/area/landmark only</t>
        </is>
      </c>
      <c r="K19" s="2" t="inlineStr"/>
    </row>
    <row r="20">
      <c r="A20" s="2" t="inlineStr">
        <is>
          <t>CUS-04</t>
        </is>
      </c>
      <c r="B20" s="2" t="inlineStr">
        <is>
          <t>Customer</t>
        </is>
      </c>
      <c r="C20" s="2" t="inlineStr">
        <is>
          <t>Browse categories and department pages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Yes</t>
        </is>
      </c>
      <c r="H20" s="3" t="inlineStr">
        <is>
          <t>EXISTING_WORKING</t>
        </is>
      </c>
      <c r="I20" s="2" t="inlineStr">
        <is>
          <t>Yes - code-verified only (no dedicated test)</t>
        </is>
      </c>
      <c r="J20" s="2" t="inlineStr">
        <is>
          <t>/categories; /category/[type]; /dairy; /bakery</t>
        </is>
      </c>
      <c r="K20" s="2" t="inlineStr">
        <is>
          <t>Not covered by an automated UI test; Playwright suite was not runnable here.</t>
        </is>
      </c>
    </row>
    <row r="21">
      <c r="A21" s="2" t="inlineStr">
        <is>
          <t>CUS-05</t>
        </is>
      </c>
      <c r="B21" s="2" t="inlineStr">
        <is>
          <t>Customer</t>
        </is>
      </c>
      <c r="C21" s="2" t="inlineStr">
        <is>
          <t>Shop discovery: list and filter by city, area, PIN, type, classification, delivery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Yes</t>
        </is>
      </c>
      <c r="G21" s="2" t="inlineStr">
        <is>
          <t>Yes</t>
        </is>
      </c>
      <c r="H21" s="3" t="inlineStr">
        <is>
          <t>EXISTING_WORKING</t>
        </is>
      </c>
      <c r="I21" s="2" t="inlineStr">
        <is>
          <t>Yes - code-verified only (no dedicated test)</t>
        </is>
      </c>
      <c r="J21" s="2" t="inlineStr">
        <is>
          <t>/shops; GET /api/shops; shops.ts:679-718</t>
        </is>
      </c>
      <c r="K21" s="2" t="inlineStr">
        <is>
          <t>Text/PIN filters only.</t>
        </is>
      </c>
    </row>
    <row r="22">
      <c r="A22" s="2" t="inlineStr">
        <is>
          <t>CUS-06</t>
        </is>
      </c>
      <c r="B22" s="2" t="inlineStr">
        <is>
          <t>Customer</t>
        </is>
      </c>
      <c r="C22" s="2" t="inlineStr">
        <is>
          <t>Nearby shops by customer location / sort by distance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Partial</t>
        </is>
      </c>
      <c r="G22" s="2" t="inlineStr">
        <is>
          <t>No</t>
        </is>
      </c>
      <c r="H22" s="5" t="inlineStr">
        <is>
          <t>MISSING</t>
        </is>
      </c>
      <c r="I22" s="2" t="inlineStr">
        <is>
          <t>n/a - not built</t>
        </is>
      </c>
      <c r="J22" s="2" t="inlineStr">
        <is>
          <t>shops.latitude/longitude exist</t>
        </is>
      </c>
      <c r="K22" s="2" t="inlineStr">
        <is>
          <t>searchShops has no geospatial filter or ordering (orders by name).</t>
        </is>
      </c>
    </row>
    <row r="23">
      <c r="A23" s="2" t="inlineStr">
        <is>
          <t>CUS-07</t>
        </is>
      </c>
      <c r="B23" s="2" t="inlineStr">
        <is>
          <t>Customer</t>
        </is>
      </c>
      <c r="C23" s="2" t="inlineStr">
        <is>
          <t>Shop storefront page with catalogue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Yes</t>
        </is>
      </c>
      <c r="G23" s="2" t="inlineStr">
        <is>
          <t>Yes</t>
        </is>
      </c>
      <c r="H23" s="3" t="inlineStr">
        <is>
          <t>EXISTING_WORKING</t>
        </is>
      </c>
      <c r="I23" s="2" t="inlineStr">
        <is>
          <t>Yes - code-verified only (no dedicated test)</t>
        </is>
      </c>
      <c r="J23" s="2" t="inlineStr">
        <is>
          <t>/shops/[slug]; catalogue.ts:listStorefrontProducts</t>
        </is>
      </c>
      <c r="K23" s="2" t="inlineStr"/>
    </row>
    <row r="24">
      <c r="A24" s="2" t="inlineStr">
        <is>
          <t>CUS-08</t>
        </is>
      </c>
      <c r="B24" s="2" t="inlineStr">
        <is>
          <t>Customer</t>
        </is>
      </c>
      <c r="C24" s="2" t="inlineStr">
        <is>
          <t>Unified search (products, shops, area, PIN)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Yes</t>
        </is>
      </c>
      <c r="H24" s="3" t="inlineStr">
        <is>
          <t>EXISTING_WORKING</t>
        </is>
      </c>
      <c r="I24" s="2" t="inlineStr">
        <is>
          <t>Yes - code-verified only (no dedicated test)</t>
        </is>
      </c>
      <c r="J24" s="2" t="inlineStr">
        <is>
          <t>/search; catalogue.ts:867-947</t>
        </is>
      </c>
      <c r="K24" s="2" t="inlineStr">
        <is>
          <t>ILIKE substring match; no relevance ranking, typo tolerance or synonyms.</t>
        </is>
      </c>
    </row>
    <row r="25">
      <c r="A25" s="2" t="inlineStr">
        <is>
          <t>CUS-09</t>
        </is>
      </c>
      <c r="B25" s="2" t="inlineStr">
        <is>
          <t>Customer</t>
        </is>
      </c>
      <c r="C25" s="2" t="inlineStr">
        <is>
          <t>Product detail page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Yes</t>
        </is>
      </c>
      <c r="G25" s="2" t="inlineStr">
        <is>
          <t>No</t>
        </is>
      </c>
      <c r="H25" s="5" t="inlineStr">
        <is>
          <t>MISSING</t>
        </is>
      </c>
      <c r="I25" s="2" t="inlineStr">
        <is>
          <t>n/a - not built</t>
        </is>
      </c>
      <c r="J25" s="2" t="inlineStr">
        <is>
          <t>-</t>
        </is>
      </c>
      <c r="K25" s="2" t="inlineStr">
        <is>
          <t>Product cards only; no /product/[id] page.</t>
        </is>
      </c>
    </row>
    <row r="26">
      <c r="A26" s="2" t="inlineStr">
        <is>
          <t>CUS-10</t>
        </is>
      </c>
      <c r="B26" s="2" t="inlineStr">
        <is>
          <t>Customer</t>
        </is>
      </c>
      <c r="C26" s="2" t="inlineStr">
        <is>
          <t>All shops selling one product + local price comparison</t>
        </is>
      </c>
      <c r="D26" s="2" t="inlineStr">
        <is>
          <t>No</t>
        </is>
      </c>
      <c r="E26" s="2" t="inlineStr">
        <is>
          <t>Partial</t>
        </is>
      </c>
      <c r="F26" s="2" t="inlineStr">
        <is>
          <t>Yes</t>
        </is>
      </c>
      <c r="G26" s="2" t="inlineStr">
        <is>
          <t>No</t>
        </is>
      </c>
      <c r="H26" s="4" t="inlineStr">
        <is>
          <t>EXISTING_PARTIAL</t>
        </is>
      </c>
      <c r="I26" s="2" t="inlineStr">
        <is>
          <t>Partly - see notes</t>
        </is>
      </c>
      <c r="J26" s="2" t="inlineStr">
        <is>
          <t>products &lt;-&gt; shop_products (GTIN partial-unique)</t>
        </is>
      </c>
      <c r="K26" s="2" t="inlineStr">
        <is>
          <t>Data supports it; search returns one row per shop-product, ungrouped, no sort by price/distance/ETA and no comparison view.</t>
        </is>
      </c>
    </row>
    <row r="27">
      <c r="A27" s="2" t="inlineStr">
        <is>
          <t>CUS-11</t>
        </is>
      </c>
      <c r="B27" s="2" t="inlineStr">
        <is>
          <t>Customer</t>
        </is>
      </c>
      <c r="C27" s="2" t="inlineStr">
        <is>
          <t>External e-commerce price references</t>
        </is>
      </c>
      <c r="D27" s="2" t="inlineStr">
        <is>
          <t>No</t>
        </is>
      </c>
      <c r="E27" s="2" t="inlineStr">
        <is>
          <t>Partial</t>
        </is>
      </c>
      <c r="F27" s="2" t="inlineStr">
        <is>
          <t>Yes</t>
        </is>
      </c>
      <c r="G27" s="2" t="inlineStr">
        <is>
          <t>Partial</t>
        </is>
      </c>
      <c r="H27" s="4" t="inlineStr">
        <is>
          <t>EXISTING_PARTIAL</t>
        </is>
      </c>
      <c r="I27" s="2" t="inlineStr">
        <is>
          <t>Partly - see notes</t>
        </is>
      </c>
      <c r="J27" s="2" t="inlineStr">
        <is>
          <t>pmd.offers, price history; /api/product-master/products/[id]/offers</t>
        </is>
      </c>
      <c r="K27" s="2" t="inlineStr">
        <is>
          <t>Staff-only. Open data only; every marketplace source is BLOCKED_NEEDS_AGREEMENT by policy (no scraping). Not shown to customers.</t>
        </is>
      </c>
    </row>
    <row r="28">
      <c r="A28" s="2" t="inlineStr">
        <is>
          <t>CUS-12</t>
        </is>
      </c>
      <c r="B28" s="2" t="inlineStr">
        <is>
          <t>Customer</t>
        </is>
      </c>
      <c r="C28" s="2" t="inlineStr">
        <is>
          <t>Cart: multi-shop grouping, live prices, purchasable flag, per-shop delivery fee</t>
        </is>
      </c>
      <c r="D28" s="2" t="inlineStr">
        <is>
          <t>Yes</t>
        </is>
      </c>
      <c r="E28" s="2" t="inlineStr">
        <is>
          <t>Yes</t>
        </is>
      </c>
      <c r="F28" s="2" t="inlineStr">
        <is>
          <t>Yes</t>
        </is>
      </c>
      <c r="G28" s="2" t="inlineStr">
        <is>
          <t>Yes</t>
        </is>
      </c>
      <c r="H28" s="3" t="inlineStr">
        <is>
          <t>EXISTING_WORKING</t>
        </is>
      </c>
      <c r="I28" s="2" t="inlineStr">
        <is>
          <t>Yes - automated tests pass</t>
        </is>
      </c>
      <c r="J28" s="2" t="inlineStr">
        <is>
          <t>/cart; /api/cart*; cart.ts</t>
        </is>
      </c>
      <c r="K28" s="2" t="inlineStr"/>
    </row>
    <row r="29">
      <c r="A29" s="2" t="inlineStr">
        <is>
          <t>CUS-13</t>
        </is>
      </c>
      <c r="B29" s="2" t="inlineStr">
        <is>
          <t>Customer</t>
        </is>
      </c>
      <c r="C29" s="2" t="inlineStr">
        <is>
          <t>Checkout: wallet-paid, one order per shop, idempotent requestId, atomic stock + debit</t>
        </is>
      </c>
      <c r="D29" s="2" t="inlineStr">
        <is>
          <t>Yes</t>
        </is>
      </c>
      <c r="E29" s="2" t="inlineStr">
        <is>
          <t>Yes</t>
        </is>
      </c>
      <c r="F29" s="2" t="inlineStr">
        <is>
          <t>Yes</t>
        </is>
      </c>
      <c r="G29" s="2" t="inlineStr">
        <is>
          <t>Yes</t>
        </is>
      </c>
      <c r="H29" s="3" t="inlineStr">
        <is>
          <t>EXISTING_WORKING</t>
        </is>
      </c>
      <c r="I29" s="2" t="inlineStr">
        <is>
          <t>Yes - automated tests pass</t>
        </is>
      </c>
      <c r="J29" s="2" t="inlineStr">
        <is>
          <t>POST /api/checkout; orders.ts:113-307</t>
        </is>
      </c>
      <c r="K29" s="2" t="inlineStr">
        <is>
          <t>Wallet is the only payment instrument (see PAY-06).</t>
        </is>
      </c>
    </row>
    <row r="30">
      <c r="A30" s="2" t="inlineStr">
        <is>
          <t>CUS-14</t>
        </is>
      </c>
      <c r="B30" s="2" t="inlineStr">
        <is>
          <t>Customer</t>
        </is>
      </c>
      <c r="C30" s="2" t="inlineStr">
        <is>
          <t>Delivery window at checkout (Express 30 / Standard 60 / Scheduled) with live feasibility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Yes</t>
        </is>
      </c>
      <c r="G30" s="2" t="inlineStr">
        <is>
          <t>Yes</t>
        </is>
      </c>
      <c r="H30" s="3" t="inlineStr">
        <is>
          <t>EXISTING_WORKING</t>
        </is>
      </c>
      <c r="I30" s="2" t="inlineStr">
        <is>
          <t>Yes - automated tests pass</t>
        </is>
      </c>
      <c r="J30" s="2" t="inlineStr">
        <is>
          <t>GET /api/checkout/delivery-windows; delivery-feasibility.ts</t>
        </is>
      </c>
      <c r="K30" s="2" t="inlineStr">
        <is>
          <t>'SCHEDULED' carries no date/time slot. Feasibility treats only ACCEPTED as busy (DEF-05).</t>
        </is>
      </c>
    </row>
    <row r="31">
      <c r="A31" s="2" t="inlineStr">
        <is>
          <t>CUS-15</t>
        </is>
      </c>
      <c r="B31" s="2" t="inlineStr">
        <is>
          <t>Customer</t>
        </is>
      </c>
      <c r="C31" s="2" t="inlineStr">
        <is>
          <t>Serviceability check (address inside shop's delivery reach)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No</t>
        </is>
      </c>
      <c r="G31" s="2" t="inlineStr">
        <is>
          <t>No</t>
        </is>
      </c>
      <c r="H31" s="5" t="inlineStr">
        <is>
          <t>MISSING</t>
        </is>
      </c>
      <c r="I31" s="2" t="inlineStr">
        <is>
          <t>n/a - not built</t>
        </is>
      </c>
      <c r="J31" s="2" t="inlineStr">
        <is>
          <t>-</t>
        </is>
      </c>
      <c r="K31" s="2" t="inlineStr">
        <is>
          <t>Only rider availability is checked; shops have a delivery on/off flag but no radius or area.</t>
        </is>
      </c>
    </row>
    <row r="32">
      <c r="A32" s="2" t="inlineStr">
        <is>
          <t>CUS-16</t>
        </is>
      </c>
      <c r="B32" s="2" t="inlineStr">
        <is>
          <t>Customer</t>
        </is>
      </c>
      <c r="C32" s="2" t="inlineStr">
        <is>
          <t>Order history list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Yes</t>
        </is>
      </c>
      <c r="H32" s="3" t="inlineStr">
        <is>
          <t>EXISTING_WORKING</t>
        </is>
      </c>
      <c r="I32" s="2" t="inlineStr">
        <is>
          <t>Yes - code-verified only (no dedicated test)</t>
        </is>
      </c>
      <c r="J32" s="2" t="inlineStr">
        <is>
          <t>/orders; GET /api/orders</t>
        </is>
      </c>
      <c r="K32" s="2" t="inlineStr"/>
    </row>
    <row r="33">
      <c r="A33" s="2" t="inlineStr">
        <is>
          <t>CUS-17</t>
        </is>
      </c>
      <c r="B33" s="2" t="inlineStr">
        <is>
          <t>Customer</t>
        </is>
      </c>
      <c r="C33" s="2" t="inlineStr">
        <is>
          <t>Order detail / live tracking (timeline, rider, ETA, map)</t>
        </is>
      </c>
      <c r="D33" s="2" t="inlineStr">
        <is>
          <t>No</t>
        </is>
      </c>
      <c r="E33" s="2" t="inlineStr">
        <is>
          <t>Partial</t>
        </is>
      </c>
      <c r="F33" s="2" t="inlineStr">
        <is>
          <t>Yes</t>
        </is>
      </c>
      <c r="G33" s="2" t="inlineStr">
        <is>
          <t>No</t>
        </is>
      </c>
      <c r="H33" s="5" t="inlineStr">
        <is>
          <t>MISSING</t>
        </is>
      </c>
      <c r="I33" s="2" t="inlineStr">
        <is>
          <t>n/a - not built</t>
        </is>
      </c>
      <c r="J33" s="2" t="inlineStr">
        <is>
          <t>order_status_history table; orders.ts:getOrder (no caller)</t>
        </is>
      </c>
      <c r="K33" s="2" t="inlineStr">
        <is>
          <t>No GET /api/orders/[id] and no detail page; rider location is stored but never shown to customers.</t>
        </is>
      </c>
    </row>
    <row r="34">
      <c r="A34" s="2" t="inlineStr">
        <is>
          <t>CUS-18</t>
        </is>
      </c>
      <c r="B34" s="2" t="inlineStr">
        <is>
          <t>Customer</t>
        </is>
      </c>
      <c r="C34" s="2" t="inlineStr">
        <is>
          <t>Cancel order with automatic wallet refund (idempotent)</t>
        </is>
      </c>
      <c r="D34" s="2" t="inlineStr">
        <is>
          <t>Yes</t>
        </is>
      </c>
      <c r="E34" s="2" t="inlineStr">
        <is>
          <t>Yes</t>
        </is>
      </c>
      <c r="F34" s="2" t="inlineStr">
        <is>
          <t>Yes</t>
        </is>
      </c>
      <c r="G34" s="2" t="inlineStr">
        <is>
          <t>Yes</t>
        </is>
      </c>
      <c r="H34" s="4" t="inlineStr">
        <is>
          <t>EXISTING_PARTIAL</t>
        </is>
      </c>
      <c r="I34" s="2" t="inlineStr">
        <is>
          <t>Partly - see notes</t>
        </is>
      </c>
      <c r="J34" s="2" t="inlineStr">
        <is>
          <t>PATCH /api/orders/[id]/status; orders.ts:372-441</t>
        </is>
      </c>
      <c r="K34" s="2" t="inlineStr">
        <is>
          <t>Does NOT return stock (finding DEF-01). More significantly: has NO cancellation policy at all - a customer can cancel their own order from any pre-terminal status including OUT_FOR_DELIVERY, no time window, no fee, and ORDER_CANCEL_OWN is defined but never actually enforced anywhere (finding DEF-08, found on Opus review 2026-09-22). The refund includes the delivery fee, and an active rider assignment is orphaned rather than cancelled or reassigned.</t>
        </is>
      </c>
    </row>
    <row r="35">
      <c r="A35" s="2" t="inlineStr">
        <is>
          <t>CUS-19</t>
        </is>
      </c>
      <c r="B35" s="2" t="inlineStr">
        <is>
          <t>Customer</t>
        </is>
      </c>
      <c r="C35" s="2" t="inlineStr">
        <is>
          <t>Refund / return / replacement request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No</t>
        </is>
      </c>
      <c r="G35" s="2" t="inlineStr">
        <is>
          <t>No</t>
        </is>
      </c>
      <c r="H35" s="5" t="inlineStr">
        <is>
          <t>MISSING</t>
        </is>
      </c>
      <c r="I35" s="2" t="inlineStr">
        <is>
          <t>n/a - not built</t>
        </is>
      </c>
      <c r="J35" s="2" t="inlineStr">
        <is>
          <t>-</t>
        </is>
      </c>
      <c r="K35" s="2" t="inlineStr">
        <is>
          <t>Refund exists only as the automatic result of a cancellation.</t>
        </is>
      </c>
    </row>
    <row r="36">
      <c r="A36" s="2" t="inlineStr">
        <is>
          <t>CUS-20</t>
        </is>
      </c>
      <c r="B36" s="2" t="inlineStr">
        <is>
          <t>Customer</t>
        </is>
      </c>
      <c r="C36" s="2" t="inlineStr">
        <is>
          <t>Ratings and reviews (shop, gig worker, product)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No</t>
        </is>
      </c>
      <c r="G36" s="2" t="inlineStr">
        <is>
          <t>No</t>
        </is>
      </c>
      <c r="H36" s="5" t="inlineStr">
        <is>
          <t>MISSING</t>
        </is>
      </c>
      <c r="I36" s="2" t="inlineStr">
        <is>
          <t>n/a - not built</t>
        </is>
      </c>
      <c r="J36" s="2" t="inlineStr">
        <is>
          <t>-</t>
        </is>
      </c>
      <c r="K36" s="2" t="inlineStr"/>
    </row>
    <row r="37">
      <c r="A37" s="2" t="inlineStr">
        <is>
          <t>CUS-21</t>
        </is>
      </c>
      <c r="B37" s="2" t="inlineStr">
        <is>
          <t>Customer</t>
        </is>
      </c>
      <c r="C37" s="2" t="inlineStr">
        <is>
          <t>Vouchers: wallet top-up bonus (code or auto-apply, budgets, redemption ledger)</t>
        </is>
      </c>
      <c r="D37" s="2" t="inlineStr">
        <is>
          <t>Yes</t>
        </is>
      </c>
      <c r="E37" s="2" t="inlineStr">
        <is>
          <t>Yes</t>
        </is>
      </c>
      <c r="F37" s="2" t="inlineStr">
        <is>
          <t>Yes</t>
        </is>
      </c>
      <c r="G37" s="2" t="inlineStr">
        <is>
          <t>Yes</t>
        </is>
      </c>
      <c r="H37" s="3" t="inlineStr">
        <is>
          <t>EXISTING_WORKING</t>
        </is>
      </c>
      <c r="I37" s="2" t="inlineStr">
        <is>
          <t>Yes - automated tests pass</t>
        </is>
      </c>
      <c r="J37" s="2" t="inlineStr">
        <is>
          <t>vouchers.ts; /api/vouchers*; voucher-manager.tsx</t>
        </is>
      </c>
      <c r="K37" s="2" t="inlineStr">
        <is>
          <t>Applies to wallet top-ups, not to order totals.</t>
        </is>
      </c>
    </row>
    <row r="38">
      <c r="A38" s="2" t="inlineStr">
        <is>
          <t>CUS-22</t>
        </is>
      </c>
      <c r="B38" s="2" t="inlineStr">
        <is>
          <t>Customer</t>
        </is>
      </c>
      <c r="C38" s="2" t="inlineStr">
        <is>
          <t>Coupons / discounts applied at checkout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No</t>
        </is>
      </c>
      <c r="G38" s="2" t="inlineStr">
        <is>
          <t>No</t>
        </is>
      </c>
      <c r="H38" s="5" t="inlineStr">
        <is>
          <t>MISSING</t>
        </is>
      </c>
      <c r="I38" s="2" t="inlineStr">
        <is>
          <t>n/a - not built</t>
        </is>
      </c>
      <c r="J38" s="2" t="inlineStr">
        <is>
          <t>-</t>
        </is>
      </c>
      <c r="K38" s="2" t="inlineStr"/>
    </row>
    <row r="39">
      <c r="A39" s="2" t="inlineStr">
        <is>
          <t>CUS-23</t>
        </is>
      </c>
      <c r="B39" s="2" t="inlineStr">
        <is>
          <t>Customer</t>
        </is>
      </c>
      <c r="C39" s="2" t="inlineStr">
        <is>
          <t>Customer referral programme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No</t>
        </is>
      </c>
      <c r="G39" s="2" t="inlineStr">
        <is>
          <t>No</t>
        </is>
      </c>
      <c r="H39" s="5" t="inlineStr">
        <is>
          <t>MISSING</t>
        </is>
      </c>
      <c r="I39" s="2" t="inlineStr">
        <is>
          <t>n/a - not built</t>
        </is>
      </c>
      <c r="J39" s="2" t="inlineStr">
        <is>
          <t>-</t>
        </is>
      </c>
      <c r="K39" s="2" t="inlineStr">
        <is>
          <t>referral_codes exist but attribute SHOPS to operator-managed codes.</t>
        </is>
      </c>
    </row>
    <row r="40">
      <c r="A40" s="2" t="inlineStr">
        <is>
          <t>CUS-24</t>
        </is>
      </c>
      <c r="B40" s="2" t="inlineStr">
        <is>
          <t>Customer</t>
        </is>
      </c>
      <c r="C40" s="2" t="inlineStr">
        <is>
          <t>Grievance / complaint form and public ticket lookup (IT Rules 2021)</t>
        </is>
      </c>
      <c r="D40" s="2" t="inlineStr">
        <is>
          <t>Yes</t>
        </is>
      </c>
      <c r="E40" s="2" t="inlineStr">
        <is>
          <t>Yes</t>
        </is>
      </c>
      <c r="F40" s="2" t="inlineStr">
        <is>
          <t>Yes</t>
        </is>
      </c>
      <c r="G40" s="2" t="inlineStr">
        <is>
          <t>Yes</t>
        </is>
      </c>
      <c r="H40" s="3" t="inlineStr">
        <is>
          <t>EXISTING_WORKING</t>
        </is>
      </c>
      <c r="I40" s="2" t="inlineStr">
        <is>
          <t>Yes - automated tests pass</t>
        </is>
      </c>
      <c r="J40" s="2" t="inlineStr">
        <is>
          <t>/grievance; /api/grievances*</t>
        </is>
      </c>
      <c r="K40" s="2" t="inlineStr">
        <is>
          <t>A compliance register, not an order-linked helpdesk or chat.</t>
        </is>
      </c>
    </row>
    <row r="41">
      <c r="A41" s="2" t="inlineStr">
        <is>
          <t>CUS-25</t>
        </is>
      </c>
      <c r="B41" s="2" t="inlineStr">
        <is>
          <t>Customer</t>
        </is>
      </c>
      <c r="C41" s="2" t="inlineStr">
        <is>
          <t>In-app notifications</t>
        </is>
      </c>
      <c r="D41" s="2" t="inlineStr">
        <is>
          <t>Partial</t>
        </is>
      </c>
      <c r="E41" s="2" t="inlineStr">
        <is>
          <t>Yes</t>
        </is>
      </c>
      <c r="F41" s="2" t="inlineStr">
        <is>
          <t>Yes</t>
        </is>
      </c>
      <c r="G41" s="2" t="inlineStr">
        <is>
          <t>Yes</t>
        </is>
      </c>
      <c r="H41" s="4" t="inlineStr">
        <is>
          <t>EXISTING_PARTIAL</t>
        </is>
      </c>
      <c r="I41" s="2" t="inlineStr">
        <is>
          <t>Partly - see notes</t>
        </is>
      </c>
      <c r="J41" s="2" t="inlineStr">
        <is>
          <t>notifications.ts; GET/PATCH /api/notifications; /profile</t>
        </is>
      </c>
      <c r="K41" s="2" t="inlineStr">
        <is>
          <t>Listed on the profile page only. EMAIL/SMS/PUSH transports are console stubs (INF-09). Almost no events emit notifications (DEF-02).</t>
        </is>
      </c>
    </row>
    <row r="42">
      <c r="A42" s="2" t="inlineStr">
        <is>
          <t>CUS-26</t>
        </is>
      </c>
      <c r="B42" s="2" t="inlineStr">
        <is>
          <t>Customer</t>
        </is>
      </c>
      <c r="C42" s="2" t="inlineStr">
        <is>
          <t>Consent records (T&amp;C at sign-up; marketing consent)</t>
        </is>
      </c>
      <c r="D42" s="2" t="inlineStr">
        <is>
          <t>Partial</t>
        </is>
      </c>
      <c r="E42" s="2" t="inlineStr">
        <is>
          <t>Yes</t>
        </is>
      </c>
      <c r="F42" s="2" t="inlineStr">
        <is>
          <t>Yes</t>
        </is>
      </c>
      <c r="G42" s="2" t="inlineStr">
        <is>
          <t>No</t>
        </is>
      </c>
      <c r="H42" s="4" t="inlineStr">
        <is>
          <t>EXISTING_PARTIAL</t>
        </is>
      </c>
      <c r="I42" s="2" t="inlineStr">
        <is>
          <t>Partly - see notes</t>
        </is>
      </c>
      <c r="J42" s="2" t="inlineStr">
        <is>
          <t>consents.ts; user_consents</t>
        </is>
      </c>
      <c r="K42" s="2" t="inlineStr">
        <is>
          <t>MARKETING_COMMUNICATIONS type has no capture UI, and consent history is not exposed to the user.</t>
        </is>
      </c>
    </row>
    <row r="43">
      <c r="A43" s="2" t="inlineStr">
        <is>
          <t>CUS-27</t>
        </is>
      </c>
      <c r="B43" s="2" t="inlineStr">
        <is>
          <t>Customer</t>
        </is>
      </c>
      <c r="C43" s="2" t="inlineStr">
        <is>
          <t>Legal and policy pages (terms, privacy, refund, shipping, seller, subscription, voucher, wallet, cookie, grievance)</t>
        </is>
      </c>
      <c r="D43" s="2" t="inlineStr">
        <is>
          <t>Yes</t>
        </is>
      </c>
      <c r="E43" s="2" t="inlineStr">
        <is>
          <t>n/a</t>
        </is>
      </c>
      <c r="F43" s="2" t="inlineStr">
        <is>
          <t>n/a</t>
        </is>
      </c>
      <c r="G43" s="2" t="inlineStr">
        <is>
          <t>n/a</t>
        </is>
      </c>
      <c r="H43" s="3" t="inlineStr">
        <is>
          <t>EXISTING_WORKING</t>
        </is>
      </c>
      <c r="I43" s="2" t="inlineStr">
        <is>
          <t>Yes - code-verified only (no dedicated test)</t>
        </is>
      </c>
      <c r="J43" s="2" t="inlineStr">
        <is>
          <t>/legal/*</t>
        </is>
      </c>
      <c r="K43" s="2" t="inlineStr"/>
    </row>
    <row r="44">
      <c r="A44" s="2" t="inlineStr">
        <is>
          <t>SHP-01</t>
        </is>
      </c>
      <c r="B44" s="2" t="inlineStr">
        <is>
          <t>Shop</t>
        </is>
      </c>
      <c r="C44" s="2" t="inlineStr">
        <is>
          <t>Shop self-registration (44 shop types); owner promoted to SHOP_OWNER</t>
        </is>
      </c>
      <c r="D44" s="2" t="inlineStr">
        <is>
          <t>Yes</t>
        </is>
      </c>
      <c r="E44" s="2" t="inlineStr">
        <is>
          <t>Yes</t>
        </is>
      </c>
      <c r="F44" s="2" t="inlineStr">
        <is>
          <t>Yes</t>
        </is>
      </c>
      <c r="G44" s="2" t="inlineStr">
        <is>
          <t>Yes</t>
        </is>
      </c>
      <c r="H44" s="3" t="inlineStr">
        <is>
          <t>EXISTING_WORKING</t>
        </is>
      </c>
      <c r="I44" s="2" t="inlineStr">
        <is>
          <t>Yes - automated tests pass</t>
        </is>
      </c>
      <c r="J44" s="2" t="inlineStr">
        <is>
          <t>/shop/register; POST /api/shops; shops.ts:76</t>
        </is>
      </c>
      <c r="K44" s="2" t="inlineStr"/>
    </row>
    <row r="45">
      <c r="A45" s="2" t="inlineStr">
        <is>
          <t>SHP-02</t>
        </is>
      </c>
      <c r="B45" s="2" t="inlineStr">
        <is>
          <t>Shop</t>
        </is>
      </c>
      <c r="C45" s="2" t="inlineStr">
        <is>
          <t>Operator/admin registers a shop on behalf of an owner</t>
        </is>
      </c>
      <c r="D45" s="2" t="inlineStr">
        <is>
          <t>No</t>
        </is>
      </c>
      <c r="E45" s="2" t="inlineStr">
        <is>
          <t>Yes</t>
        </is>
      </c>
      <c r="F45" s="2" t="inlineStr">
        <is>
          <t>Yes</t>
        </is>
      </c>
      <c r="G45" s="2" t="inlineStr">
        <is>
          <t>Yes</t>
        </is>
      </c>
      <c r="H45" s="4" t="inlineStr">
        <is>
          <t>EXISTING_PARTIAL</t>
        </is>
      </c>
      <c r="I45" s="2" t="inlineStr">
        <is>
          <t>Partly - see notes</t>
        </is>
      </c>
      <c r="J45" s="2" t="inlineStr">
        <is>
          <t>POST /api/shops with ownerId (privileged)</t>
        </is>
      </c>
      <c r="K45" s="2" t="inlineStr">
        <is>
          <t>API only - no operator 'Add shop' form (RBAC_PLAN 'Not built').</t>
        </is>
      </c>
    </row>
    <row r="46">
      <c r="A46" s="2" t="inlineStr">
        <is>
          <t>SHP-03</t>
        </is>
      </c>
      <c r="B46" s="2" t="inlineStr">
        <is>
          <t>Shop</t>
        </is>
      </c>
      <c r="C46" s="2" t="inlineStr">
        <is>
          <t>Approve / reject shop; Kesari-Green classification with immutable history</t>
        </is>
      </c>
      <c r="D46" s="2" t="inlineStr">
        <is>
          <t>Yes</t>
        </is>
      </c>
      <c r="E46" s="2" t="inlineStr">
        <is>
          <t>Yes</t>
        </is>
      </c>
      <c r="F46" s="2" t="inlineStr">
        <is>
          <t>Yes</t>
        </is>
      </c>
      <c r="G46" s="2" t="inlineStr">
        <is>
          <t>Yes</t>
        </is>
      </c>
      <c r="H46" s="3" t="inlineStr">
        <is>
          <t>EXISTING_WORKING</t>
        </is>
      </c>
      <c r="I46" s="2" t="inlineStr">
        <is>
          <t>Yes - automated tests pass</t>
        </is>
      </c>
      <c r="J46" s="2" t="inlineStr">
        <is>
          <t>shop-approval-panel.tsx; /api/shops/[id]/approve|reject|classification</t>
        </is>
      </c>
      <c r="K46" s="2" t="inlineStr"/>
    </row>
    <row r="47">
      <c r="A47" s="2" t="inlineStr">
        <is>
          <t>SHP-04</t>
        </is>
      </c>
      <c r="B47" s="2" t="inlineStr">
        <is>
          <t>Shop</t>
        </is>
      </c>
      <c r="C47" s="2" t="inlineStr">
        <is>
          <t>Suspend / reactivate a shop</t>
        </is>
      </c>
      <c r="D47" s="2" t="inlineStr">
        <is>
          <t>No</t>
        </is>
      </c>
      <c r="E47" s="2" t="inlineStr">
        <is>
          <t>Yes</t>
        </is>
      </c>
      <c r="F47" s="2" t="inlineStr">
        <is>
          <t>Yes</t>
        </is>
      </c>
      <c r="G47" s="2" t="inlineStr">
        <is>
          <t>No</t>
        </is>
      </c>
      <c r="H47" s="6" t="inlineStr">
        <is>
          <t>EXISTING_PLACEHOLDER</t>
        </is>
      </c>
      <c r="I47" s="2" t="inlineStr">
        <is>
          <t>Service layer only - tested, but no API route or UI reaches it</t>
        </is>
      </c>
      <c r="J47" s="2" t="inlineStr">
        <is>
          <t>shops.ts:430 setShopStatus (no caller); SHOP_SUSPEND unused</t>
        </is>
      </c>
      <c r="K47" s="2" t="inlineStr"/>
    </row>
    <row r="48">
      <c r="A48" s="2" t="inlineStr">
        <is>
          <t>SHP-05</t>
        </is>
      </c>
      <c r="B48" s="2" t="inlineStr">
        <is>
          <t>Shop</t>
        </is>
      </c>
      <c r="C48" s="2" t="inlineStr">
        <is>
          <t>Shop profile &amp; settings: hours, delivery flag/fee, free-delivery threshold, prep time, description, logo URL</t>
        </is>
      </c>
      <c r="D48" s="2" t="inlineStr">
        <is>
          <t>Yes</t>
        </is>
      </c>
      <c r="E48" s="2" t="inlineStr">
        <is>
          <t>Yes</t>
        </is>
      </c>
      <c r="F48" s="2" t="inlineStr">
        <is>
          <t>Yes</t>
        </is>
      </c>
      <c r="G48" s="2" t="inlineStr">
        <is>
          <t>Yes</t>
        </is>
      </c>
      <c r="H48" s="3" t="inlineStr">
        <is>
          <t>EXISTING_WORKING</t>
        </is>
      </c>
      <c r="I48" s="2" t="inlineStr">
        <is>
          <t>Yes - code-verified only (no dedicated test)</t>
        </is>
      </c>
      <c r="J48" s="2" t="inlineStr">
        <is>
          <t>shop-settings-form.tsx; PATCH /api/shops/[id]</t>
        </is>
      </c>
      <c r="K48" s="2" t="inlineStr"/>
    </row>
    <row r="49">
      <c r="A49" s="2" t="inlineStr">
        <is>
          <t>SHP-06</t>
        </is>
      </c>
      <c r="B49" s="2" t="inlineStr">
        <is>
          <t>Shop</t>
        </is>
      </c>
      <c r="C49" s="2" t="inlineStr">
        <is>
          <t>Shop location: geocode-verified main location + separate pickup point</t>
        </is>
      </c>
      <c r="D49" s="2" t="inlineStr">
        <is>
          <t>Yes</t>
        </is>
      </c>
      <c r="E49" s="2" t="inlineStr">
        <is>
          <t>Yes</t>
        </is>
      </c>
      <c r="F49" s="2" t="inlineStr">
        <is>
          <t>Yes</t>
        </is>
      </c>
      <c r="G49" s="2" t="inlineStr">
        <is>
          <t>Yes</t>
        </is>
      </c>
      <c r="H49" s="3" t="inlineStr">
        <is>
          <t>EXISTING_WORKING</t>
        </is>
      </c>
      <c r="I49" s="2" t="inlineStr">
        <is>
          <t>Yes - automated tests pass</t>
        </is>
      </c>
      <c r="J49" s="2" t="inlineStr">
        <is>
          <t>shop-location-settings-form.tsx; geocoding.ts</t>
        </is>
      </c>
      <c r="K49" s="2" t="inlineStr"/>
    </row>
    <row r="50">
      <c r="A50" s="2" t="inlineStr">
        <is>
          <t>SHP-07</t>
        </is>
      </c>
      <c r="B50" s="2" t="inlineStr">
        <is>
          <t>Shop</t>
        </is>
      </c>
      <c r="C50" s="2" t="inlineStr">
        <is>
          <t>Service radius / delivery area per shop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No</t>
        </is>
      </c>
      <c r="G50" s="2" t="inlineStr">
        <is>
          <t>No</t>
        </is>
      </c>
      <c r="H50" s="5" t="inlineStr">
        <is>
          <t>MISSING</t>
        </is>
      </c>
      <c r="I50" s="2" t="inlineStr">
        <is>
          <t>n/a - not built</t>
        </is>
      </c>
      <c r="J50" s="2" t="inlineStr">
        <is>
          <t>-</t>
        </is>
      </c>
      <c r="K50" s="2" t="inlineStr">
        <is>
          <t>Radius exists only per delivery partner.</t>
        </is>
      </c>
    </row>
    <row r="51">
      <c r="A51" s="2" t="inlineStr">
        <is>
          <t>SHP-08</t>
        </is>
      </c>
      <c r="B51" s="2" t="inlineStr">
        <is>
          <t>Shop</t>
        </is>
      </c>
      <c r="C51" s="2" t="inlineStr">
        <is>
          <t>Holidays / special closures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No</t>
        </is>
      </c>
      <c r="G51" s="2" t="inlineStr">
        <is>
          <t>No</t>
        </is>
      </c>
      <c r="H51" s="5" t="inlineStr">
        <is>
          <t>MISSING</t>
        </is>
      </c>
      <c r="I51" s="2" t="inlineStr">
        <is>
          <t>n/a - not built</t>
        </is>
      </c>
      <c r="J51" s="2" t="inlineStr">
        <is>
          <t>lib/shop-hours.ts (weekly hours only)</t>
        </is>
      </c>
      <c r="K51" s="2" t="inlineStr"/>
    </row>
    <row r="52">
      <c r="A52" s="2" t="inlineStr">
        <is>
          <t>SHP-09</t>
        </is>
      </c>
      <c r="B52" s="2" t="inlineStr">
        <is>
          <t>Shop</t>
        </is>
      </c>
      <c r="C52" s="2" t="inlineStr">
        <is>
          <t>GST and PAN self-service submission + operator verification (PAN AES-256-GCM)</t>
        </is>
      </c>
      <c r="D52" s="2" t="inlineStr">
        <is>
          <t>Yes</t>
        </is>
      </c>
      <c r="E52" s="2" t="inlineStr">
        <is>
          <t>Yes</t>
        </is>
      </c>
      <c r="F52" s="2" t="inlineStr">
        <is>
          <t>Yes</t>
        </is>
      </c>
      <c r="G52" s="2" t="inlineStr">
        <is>
          <t>Yes</t>
        </is>
      </c>
      <c r="H52" s="3" t="inlineStr">
        <is>
          <t>EXISTING_WORKING</t>
        </is>
      </c>
      <c r="I52" s="2" t="inlineStr">
        <is>
          <t>Yes - automated tests pass</t>
        </is>
      </c>
      <c r="J52" s="2" t="inlineStr">
        <is>
          <t>/api/shops/[id]/gst|pan; gst-pan-verification.ts; pan-crypto.ts</t>
        </is>
      </c>
      <c r="K52" s="2" t="inlineStr">
        <is>
          <t>No automated GST/PAN provider - verification is manual.</t>
        </is>
      </c>
    </row>
    <row r="53">
      <c r="A53" s="2" t="inlineStr">
        <is>
          <t>SHP-10</t>
        </is>
      </c>
      <c r="B53" s="2" t="inlineStr">
        <is>
          <t>Shop</t>
        </is>
      </c>
      <c r="C53" s="2" t="inlineStr">
        <is>
          <t>Seller compliance fields (legal name, GSTIN, FSSAI, return policy)</t>
        </is>
      </c>
      <c r="D53" s="2" t="inlineStr">
        <is>
          <t>Yes</t>
        </is>
      </c>
      <c r="E53" s="2" t="inlineStr">
        <is>
          <t>Yes</t>
        </is>
      </c>
      <c r="F53" s="2" t="inlineStr">
        <is>
          <t>Yes</t>
        </is>
      </c>
      <c r="G53" s="2" t="inlineStr">
        <is>
          <t>Yes</t>
        </is>
      </c>
      <c r="H53" s="3" t="inlineStr">
        <is>
          <t>EXISTING_WORKING</t>
        </is>
      </c>
      <c r="I53" s="2" t="inlineStr">
        <is>
          <t>Yes - code-verified only (no dedicated test)</t>
        </is>
      </c>
      <c r="J53" s="2" t="inlineStr">
        <is>
          <t>/api/shops/[id]/compliance; shop-compliance-manager.tsx</t>
        </is>
      </c>
      <c r="K53" s="2" t="inlineStr"/>
    </row>
    <row r="54">
      <c r="A54" s="2" t="inlineStr">
        <is>
          <t>SHP-11</t>
        </is>
      </c>
      <c r="B54" s="2" t="inlineStr">
        <is>
          <t>Shop</t>
        </is>
      </c>
      <c r="C54" s="2" t="inlineStr">
        <is>
          <t>KYC / document / image file upload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No</t>
        </is>
      </c>
      <c r="G54" s="2" t="inlineStr">
        <is>
          <t>No</t>
        </is>
      </c>
      <c r="H54" s="5" t="inlineStr">
        <is>
          <t>MISSING</t>
        </is>
      </c>
      <c r="I54" s="2" t="inlineStr">
        <is>
          <t>n/a - not built</t>
        </is>
      </c>
      <c r="J54" s="2" t="inlineStr">
        <is>
          <t>-</t>
        </is>
      </c>
      <c r="K54" s="2" t="inlineStr">
        <is>
          <t>No file storage anywhere; logos, photos and product images are URL strings.</t>
        </is>
      </c>
    </row>
    <row r="55">
      <c r="A55" s="2" t="inlineStr">
        <is>
          <t>SHP-12</t>
        </is>
      </c>
      <c r="B55" s="2" t="inlineStr">
        <is>
          <t>Shop</t>
        </is>
      </c>
      <c r="C55" s="2" t="inlineStr">
        <is>
          <t>Staff accounts for a shop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No</t>
        </is>
      </c>
      <c r="G55" s="2" t="inlineStr">
        <is>
          <t>No</t>
        </is>
      </c>
      <c r="H55" s="5" t="inlineStr">
        <is>
          <t>MISSING</t>
        </is>
      </c>
      <c r="I55" s="2" t="inlineStr">
        <is>
          <t>n/a - not built</t>
        </is>
      </c>
      <c r="J55" s="2" t="inlineStr">
        <is>
          <t>-</t>
        </is>
      </c>
      <c r="K55" s="2" t="inlineStr"/>
    </row>
    <row r="56">
      <c r="A56" s="2" t="inlineStr">
        <is>
          <t>SHP-13</t>
        </is>
      </c>
      <c r="B56" s="2" t="inlineStr">
        <is>
          <t>Shop</t>
        </is>
      </c>
      <c r="C56" s="2" t="inlineStr">
        <is>
          <t>Registration fee schedule; immutable shop-payment ledger with reversal; fee report</t>
        </is>
      </c>
      <c r="D56" s="2" t="inlineStr">
        <is>
          <t>Yes</t>
        </is>
      </c>
      <c r="E56" s="2" t="inlineStr">
        <is>
          <t>Yes</t>
        </is>
      </c>
      <c r="F56" s="2" t="inlineStr">
        <is>
          <t>Yes</t>
        </is>
      </c>
      <c r="G56" s="2" t="inlineStr">
        <is>
          <t>Yes</t>
        </is>
      </c>
      <c r="H56" s="3" t="inlineStr">
        <is>
          <t>EXISTING_WORKING</t>
        </is>
      </c>
      <c r="I56" s="2" t="inlineStr">
        <is>
          <t>Yes - automated tests pass</t>
        </is>
      </c>
      <c r="J56" s="2" t="inlineStr">
        <is>
          <t>registration-fees.ts; shop-payments.ts; shop-finance-manager.tsx</t>
        </is>
      </c>
      <c r="K56" s="2" t="inlineStr">
        <is>
          <t>No CSV/XLSX export of the fee report.</t>
        </is>
      </c>
    </row>
    <row r="57">
      <c r="A57" s="2" t="inlineStr">
        <is>
          <t>SHP-14</t>
        </is>
      </c>
      <c r="B57" s="2" t="inlineStr">
        <is>
          <t>Shop</t>
        </is>
      </c>
      <c r="C57" s="2" t="inlineStr">
        <is>
          <t>Referral codes: create, attribute shops, performance</t>
        </is>
      </c>
      <c r="D57" s="2" t="inlineStr">
        <is>
          <t>Yes</t>
        </is>
      </c>
      <c r="E57" s="2" t="inlineStr">
        <is>
          <t>Yes</t>
        </is>
      </c>
      <c r="F57" s="2" t="inlineStr">
        <is>
          <t>Yes</t>
        </is>
      </c>
      <c r="G57" s="2" t="inlineStr">
        <is>
          <t>Yes</t>
        </is>
      </c>
      <c r="H57" s="3" t="inlineStr">
        <is>
          <t>EXISTING_WORKING</t>
        </is>
      </c>
      <c r="I57" s="2" t="inlineStr">
        <is>
          <t>Yes - code-verified only (no dedicated test)</t>
        </is>
      </c>
      <c r="J57" s="2" t="inlineStr">
        <is>
          <t>referrals.ts; /api/referral-codes; referral-manager.tsx</t>
        </is>
      </c>
      <c r="K57" s="2" t="inlineStr">
        <is>
          <t>No dedicated test. Codes cannot be edited or deactivated from the UI (updateReferralCode has no caller).</t>
        </is>
      </c>
    </row>
    <row r="58">
      <c r="A58" s="2" t="inlineStr">
        <is>
          <t>SHP-15</t>
        </is>
      </c>
      <c r="B58" s="2" t="inlineStr">
        <is>
          <t>Shop</t>
        </is>
      </c>
      <c r="C58" s="2" t="inlineStr">
        <is>
          <t>Shop order queue: view, advance status, cancel</t>
        </is>
      </c>
      <c r="D58" s="2" t="inlineStr">
        <is>
          <t>Yes</t>
        </is>
      </c>
      <c r="E58" s="2" t="inlineStr">
        <is>
          <t>Yes</t>
        </is>
      </c>
      <c r="F58" s="2" t="inlineStr">
        <is>
          <t>Yes</t>
        </is>
      </c>
      <c r="G58" s="2" t="inlineStr">
        <is>
          <t>Yes</t>
        </is>
      </c>
      <c r="H58" s="3" t="inlineStr">
        <is>
          <t>EXISTING_WORKING</t>
        </is>
      </c>
      <c r="I58" s="2" t="inlineStr">
        <is>
          <t>Partly - see notes</t>
        </is>
      </c>
      <c r="J58" s="2" t="inlineStr">
        <is>
          <t>/shop/orders; shop-order-manager.tsx; PATCH /api/orders/[id]/status</t>
        </is>
      </c>
      <c r="K58" s="2" t="inlineStr">
        <is>
          <t>Service logic tested; HTTP route and screen untested.</t>
        </is>
      </c>
    </row>
    <row r="59">
      <c r="A59" s="2" t="inlineStr">
        <is>
          <t>SHP-16</t>
        </is>
      </c>
      <c r="B59" s="2" t="inlineStr">
        <is>
          <t>Shop</t>
        </is>
      </c>
      <c r="C59" s="2" t="inlineStr">
        <is>
          <t>Accept / reject an incoming order</t>
        </is>
      </c>
      <c r="D59" s="2" t="inlineStr">
        <is>
          <t>No</t>
        </is>
      </c>
      <c r="E59" s="2" t="inlineStr">
        <is>
          <t>No</t>
        </is>
      </c>
      <c r="F59" s="2" t="inlineStr">
        <is>
          <t>No</t>
        </is>
      </c>
      <c r="G59" s="2" t="inlineStr">
        <is>
          <t>No</t>
        </is>
      </c>
      <c r="H59" s="5" t="inlineStr">
        <is>
          <t>MISSING</t>
        </is>
      </c>
      <c r="I59" s="2" t="inlineStr">
        <is>
          <t>n/a - not built</t>
        </is>
      </c>
      <c r="J59" s="2" t="inlineStr">
        <is>
          <t>-</t>
        </is>
      </c>
      <c r="K59" s="2" t="inlineStr">
        <is>
          <t>Paid orders arrive as CONFIRMED; the shop can only move them to PREPARING or cancel.</t>
        </is>
      </c>
    </row>
    <row r="60">
      <c r="A60" s="2" t="inlineStr">
        <is>
          <t>SHP-17</t>
        </is>
      </c>
      <c r="B60" s="2" t="inlineStr">
        <is>
          <t>Shop</t>
        </is>
      </c>
      <c r="C60" s="2" t="inlineStr">
        <is>
          <t>New-order alert to the shop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Yes</t>
        </is>
      </c>
      <c r="G60" s="2" t="inlineStr">
        <is>
          <t>No</t>
        </is>
      </c>
      <c r="H60" s="6" t="inlineStr">
        <is>
          <t>EXISTING_PLACEHOLDER</t>
        </is>
      </c>
      <c r="I60" s="2" t="inlineStr">
        <is>
          <t>No - see notes</t>
        </is>
      </c>
      <c r="J60" s="2" t="inlineStr">
        <is>
          <t>NOTIFICATION_TYPES has no 'new order' type</t>
        </is>
      </c>
      <c r="K60" s="2" t="inlineStr">
        <is>
          <t>The shop must refresh /shop/orders to notice a new order (DEF-02).</t>
        </is>
      </c>
    </row>
    <row r="61">
      <c r="A61" s="2" t="inlineStr">
        <is>
          <t>SHP-18</t>
        </is>
      </c>
      <c r="B61" s="2" t="inlineStr">
        <is>
          <t>Shop</t>
        </is>
      </c>
      <c r="C61" s="2" t="inlineStr">
        <is>
          <t>Stock check / substitution / partial fulfilment at pick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No</t>
        </is>
      </c>
      <c r="G61" s="2" t="inlineStr">
        <is>
          <t>No</t>
        </is>
      </c>
      <c r="H61" s="5" t="inlineStr">
        <is>
          <t>MISSING</t>
        </is>
      </c>
      <c r="I61" s="2" t="inlineStr">
        <is>
          <t>n/a - not built</t>
        </is>
      </c>
      <c r="J61" s="2" t="inlineStr">
        <is>
          <t>-</t>
        </is>
      </c>
      <c r="K61" s="2" t="inlineStr"/>
    </row>
    <row r="62">
      <c r="A62" s="2" t="inlineStr">
        <is>
          <t>SHP-19</t>
        </is>
      </c>
      <c r="B62" s="2" t="inlineStr">
        <is>
          <t>Shop</t>
        </is>
      </c>
      <c r="C62" s="2" t="inlineStr">
        <is>
          <t>Request a delivery partner for a READY order (manual click)</t>
        </is>
      </c>
      <c r="D62" s="2" t="inlineStr">
        <is>
          <t>Yes</t>
        </is>
      </c>
      <c r="E62" s="2" t="inlineStr">
        <is>
          <t>Yes</t>
        </is>
      </c>
      <c r="F62" s="2" t="inlineStr">
        <is>
          <t>Yes</t>
        </is>
      </c>
      <c r="G62" s="2" t="inlineStr">
        <is>
          <t>Yes</t>
        </is>
      </c>
      <c r="H62" s="3" t="inlineStr">
        <is>
          <t>EXISTING_WORKING</t>
        </is>
      </c>
      <c r="I62" s="2" t="inlineStr">
        <is>
          <t>Yes - automated tests pass</t>
        </is>
      </c>
      <c r="J62" s="2" t="inlineStr">
        <is>
          <t>POST /api/orders/[id]/assign; shop-order-manager.tsx:89</t>
        </is>
      </c>
      <c r="K62" s="2" t="inlineStr">
        <is>
          <t>Not automatic on READY.</t>
        </is>
      </c>
    </row>
    <row r="63">
      <c r="A63" s="2" t="inlineStr">
        <is>
          <t>SHP-20</t>
        </is>
      </c>
      <c r="B63" s="2" t="inlineStr">
        <is>
          <t>Shop</t>
        </is>
      </c>
      <c r="C63" s="2" t="inlineStr">
        <is>
          <t>Shop sales / earnings reports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Partial</t>
        </is>
      </c>
      <c r="G63" s="2" t="inlineStr">
        <is>
          <t>No</t>
        </is>
      </c>
      <c r="H63" s="6" t="inlineStr">
        <is>
          <t>EXISTING_PLACEHOLDER</t>
        </is>
      </c>
      <c r="I63" s="2" t="inlineStr">
        <is>
          <t>n/a - not built</t>
        </is>
      </c>
      <c r="J63" s="2" t="inlineStr">
        <is>
          <t>REPORT_VIEW_SHOP unused; /shop has no sales panel</t>
        </is>
      </c>
      <c r="K63" s="2" t="inlineStr"/>
    </row>
    <row r="64">
      <c r="A64" s="2" t="inlineStr">
        <is>
          <t>CAT-01</t>
        </is>
      </c>
      <c r="B64" s="2" t="inlineStr">
        <is>
          <t>Catalogue</t>
        </is>
      </c>
      <c r="C64" s="2" t="inlineStr">
        <is>
          <t>Master catalogue: categories per shop type, subcategories, brands, products</t>
        </is>
      </c>
      <c r="D64" s="2" t="inlineStr">
        <is>
          <t>Yes</t>
        </is>
      </c>
      <c r="E64" s="2" t="inlineStr">
        <is>
          <t>Yes</t>
        </is>
      </c>
      <c r="F64" s="2" t="inlineStr">
        <is>
          <t>Yes</t>
        </is>
      </c>
      <c r="G64" s="2" t="inlineStr">
        <is>
          <t>Yes</t>
        </is>
      </c>
      <c r="H64" s="3" t="inlineStr">
        <is>
          <t>EXISTING_WORKING</t>
        </is>
      </c>
      <c r="I64" s="2" t="inlineStr">
        <is>
          <t>Yes - automated tests pass</t>
        </is>
      </c>
      <c r="J64" s="2" t="inlineStr">
        <is>
          <t>products, product_categories, brands; seed.ts</t>
        </is>
      </c>
      <c r="K64" s="2" t="inlineStr"/>
    </row>
    <row r="65">
      <c r="A65" s="2" t="inlineStr">
        <is>
          <t>CAT-02</t>
        </is>
      </c>
      <c r="B65" s="2" t="inlineStr">
        <is>
          <t>Catalogue</t>
        </is>
      </c>
      <c r="C65" s="2" t="inlineStr">
        <is>
          <t>Shop offering with independent online/offline price and stock (DB CHECK-guarded)</t>
        </is>
      </c>
      <c r="D65" s="2" t="inlineStr">
        <is>
          <t>Yes</t>
        </is>
      </c>
      <c r="E65" s="2" t="inlineStr">
        <is>
          <t>Yes</t>
        </is>
      </c>
      <c r="F65" s="2" t="inlineStr">
        <is>
          <t>Yes</t>
        </is>
      </c>
      <c r="G65" s="2" t="inlineStr">
        <is>
          <t>Yes</t>
        </is>
      </c>
      <c r="H65" s="3" t="inlineStr">
        <is>
          <t>EXISTING_WORKING</t>
        </is>
      </c>
      <c r="I65" s="2" t="inlineStr">
        <is>
          <t>Yes - automated tests pass</t>
        </is>
      </c>
      <c r="J65" s="2" t="inlineStr">
        <is>
          <t>shop_products; catalogue.ts; shop-product-manager.tsx</t>
        </is>
      </c>
      <c r="K65" s="2" t="inlineStr"/>
    </row>
    <row r="66">
      <c r="A66" s="2" t="inlineStr">
        <is>
          <t>CAT-03</t>
        </is>
      </c>
      <c r="B66" s="2" t="inlineStr">
        <is>
          <t>Catalogue</t>
        </is>
      </c>
      <c r="C66" s="2" t="inlineStr">
        <is>
          <t>Shop-created product with duplicate suggestion + admin approval before other shops see it</t>
        </is>
      </c>
      <c r="D66" s="2" t="inlineStr">
        <is>
          <t>Yes</t>
        </is>
      </c>
      <c r="E66" s="2" t="inlineStr">
        <is>
          <t>Yes</t>
        </is>
      </c>
      <c r="F66" s="2" t="inlineStr">
        <is>
          <t>Yes</t>
        </is>
      </c>
      <c r="G66" s="2" t="inlineStr">
        <is>
          <t>Yes</t>
        </is>
      </c>
      <c r="H66" s="3" t="inlineStr">
        <is>
          <t>EXISTING_WORKING</t>
        </is>
      </c>
      <c r="I66" s="2" t="inlineStr">
        <is>
          <t>Yes - automated tests pass</t>
        </is>
      </c>
      <c r="J66" s="2" t="inlineStr">
        <is>
          <t>POST /api/products; add-product-panel.tsx; product-approval-queue.tsx</t>
        </is>
      </c>
      <c r="K66" s="2" t="inlineStr"/>
    </row>
    <row r="67">
      <c r="A67" s="2" t="inlineStr">
        <is>
          <t>CAT-04</t>
        </is>
      </c>
      <c r="B67" s="2" t="inlineStr">
        <is>
          <t>Catalogue</t>
        </is>
      </c>
      <c r="C67" s="2" t="inlineStr">
        <is>
          <t>Map shop product to master (suggestions by shop type, catalogue search)</t>
        </is>
      </c>
      <c r="D67" s="2" t="inlineStr">
        <is>
          <t>Yes</t>
        </is>
      </c>
      <c r="E67" s="2" t="inlineStr">
        <is>
          <t>Yes</t>
        </is>
      </c>
      <c r="F67" s="2" t="inlineStr">
        <is>
          <t>Yes</t>
        </is>
      </c>
      <c r="G67" s="2" t="inlineStr">
        <is>
          <t>Yes</t>
        </is>
      </c>
      <c r="H67" s="3" t="inlineStr">
        <is>
          <t>EXISTING_WORKING</t>
        </is>
      </c>
      <c r="I67" s="2" t="inlineStr">
        <is>
          <t>Yes - automated tests pass</t>
        </is>
      </c>
      <c r="J67" s="2" t="inlineStr">
        <is>
          <t>/api/shops/[id]/catalogue-search; /api/shops/[id]/products</t>
        </is>
      </c>
      <c r="K67" s="2" t="inlineStr"/>
    </row>
    <row r="68">
      <c r="A68" s="2" t="inlineStr">
        <is>
          <t>CAT-05</t>
        </is>
      </c>
      <c r="B68" s="2" t="inlineStr">
        <is>
          <t>Catalogue</t>
        </is>
      </c>
      <c r="C68" s="2" t="inlineStr">
        <is>
          <t>Excel bulk upload of goods and prices: validate -&gt; preview -&gt; apply, formula-injection sanitising</t>
        </is>
      </c>
      <c r="D68" s="2" t="inlineStr">
        <is>
          <t>Yes</t>
        </is>
      </c>
      <c r="E68" s="2" t="inlineStr">
        <is>
          <t>Yes</t>
        </is>
      </c>
      <c r="F68" s="2" t="inlineStr">
        <is>
          <t>Yes</t>
        </is>
      </c>
      <c r="G68" s="2" t="inlineStr">
        <is>
          <t>Yes</t>
        </is>
      </c>
      <c r="H68" s="3" t="inlineStr">
        <is>
          <t>EXISTING_WORKING</t>
        </is>
      </c>
      <c r="I68" s="2" t="inlineStr">
        <is>
          <t>Yes - automated tests pass</t>
        </is>
      </c>
      <c r="J68" s="2" t="inlineStr">
        <is>
          <t>excel.ts; /api/excel-uploads; excel-price-upload.tsx</t>
        </is>
      </c>
      <c r="K68" s="2" t="inlineStr">
        <is>
          <t>XLSX via ExcelJS. CSV upload not verified.</t>
        </is>
      </c>
    </row>
    <row r="69">
      <c r="A69" s="2" t="inlineStr">
        <is>
          <t>CAT-06</t>
        </is>
      </c>
      <c r="B69" s="2" t="inlineStr">
        <is>
          <t>Catalogue</t>
        </is>
      </c>
      <c r="C69" s="2" t="inlineStr">
        <is>
          <t>Price-change approval (operator proposes, owner approves, admin override)</t>
        </is>
      </c>
      <c r="D69" s="2" t="inlineStr">
        <is>
          <t>Yes</t>
        </is>
      </c>
      <c r="E69" s="2" t="inlineStr">
        <is>
          <t>Yes</t>
        </is>
      </c>
      <c r="F69" s="2" t="inlineStr">
        <is>
          <t>Yes</t>
        </is>
      </c>
      <c r="G69" s="2" t="inlineStr">
        <is>
          <t>Yes</t>
        </is>
      </c>
      <c r="H69" s="3" t="inlineStr">
        <is>
          <t>EXISTING_WORKING</t>
        </is>
      </c>
      <c r="I69" s="2" t="inlineStr">
        <is>
          <t>Yes - automated tests pass</t>
        </is>
      </c>
      <c r="J69" s="2" t="inlineStr">
        <is>
          <t>price-requests.ts; pending-price-approvals.tsx</t>
        </is>
      </c>
      <c r="K69" s="2" t="inlineStr"/>
    </row>
    <row r="70">
      <c r="A70" s="2" t="inlineStr">
        <is>
          <t>CAT-07</t>
        </is>
      </c>
      <c r="B70" s="2" t="inlineStr">
        <is>
          <t>Catalogue</t>
        </is>
      </c>
      <c r="C70" s="2" t="inlineStr">
        <is>
          <t>Product identity: GTIN (EAN/UPC folded in), HSN, GST rate, MRP + provenance, manufacturer, origin, net quantity</t>
        </is>
      </c>
      <c r="D70" s="2" t="inlineStr">
        <is>
          <t>No</t>
        </is>
      </c>
      <c r="E70" s="2" t="inlineStr">
        <is>
          <t>Yes</t>
        </is>
      </c>
      <c r="F70" s="2" t="inlineStr">
        <is>
          <t>Yes</t>
        </is>
      </c>
      <c r="G70" s="2" t="inlineStr">
        <is>
          <t>No</t>
        </is>
      </c>
      <c r="H70" s="4" t="inlineStr">
        <is>
          <t>EXISTING_PARTIAL</t>
        </is>
      </c>
      <c r="I70" s="2" t="inlineStr">
        <is>
          <t>Service layer only - tested, but no API route or UI reaches it</t>
        </is>
      </c>
      <c r="J70" s="2" t="inlineStr">
        <is>
          <t>products table (migration 0014); product-master.ts</t>
        </is>
      </c>
      <c r="K70" s="2" t="inlineStr">
        <is>
          <t>POST /api/products accepts only 'specifications'. Values arrive only through Product Master promotion. Owners/operators cannot enter or edit them.</t>
        </is>
      </c>
    </row>
    <row r="71">
      <c r="A71" s="2" t="inlineStr">
        <is>
          <t>CAT-08</t>
        </is>
      </c>
      <c r="B71" s="2" t="inlineStr">
        <is>
          <t>Catalogue</t>
        </is>
      </c>
      <c r="C71" s="2" t="inlineStr">
        <is>
          <t>Master MRP governance: set MRP, dispute/correction request, history</t>
        </is>
      </c>
      <c r="D71" s="2" t="inlineStr">
        <is>
          <t>No</t>
        </is>
      </c>
      <c r="E71" s="2" t="inlineStr">
        <is>
          <t>Yes</t>
        </is>
      </c>
      <c r="F71" s="2" t="inlineStr">
        <is>
          <t>Yes</t>
        </is>
      </c>
      <c r="G71" s="2" t="inlineStr">
        <is>
          <t>No</t>
        </is>
      </c>
      <c r="H71" s="4" t="inlineStr">
        <is>
          <t>EXISTING_PARTIAL</t>
        </is>
      </c>
      <c r="I71" s="2" t="inlineStr">
        <is>
          <t>Service layer only - tested, but no API route or UI reaches it</t>
        </is>
      </c>
      <c r="J71" s="2" t="inlineStr">
        <is>
          <t>product-master.ts setMasterMrp/submitMrpCorrection/getMrpHistory (no callers)</t>
        </is>
      </c>
      <c r="K71" s="2" t="inlineStr"/>
    </row>
    <row r="72">
      <c r="A72" s="2" t="inlineStr">
        <is>
          <t>CAT-09</t>
        </is>
      </c>
      <c r="B72" s="2" t="inlineStr">
        <is>
          <t>Catalogue</t>
        </is>
      </c>
      <c r="C72" s="2" t="inlineStr">
        <is>
          <t>Brand and category management</t>
        </is>
      </c>
      <c r="D72" s="2" t="inlineStr">
        <is>
          <t>No</t>
        </is>
      </c>
      <c r="E72" s="2" t="inlineStr">
        <is>
          <t>Yes</t>
        </is>
      </c>
      <c r="F72" s="2" t="inlineStr">
        <is>
          <t>Yes</t>
        </is>
      </c>
      <c r="G72" s="2" t="inlineStr">
        <is>
          <t>No</t>
        </is>
      </c>
      <c r="H72" s="6" t="inlineStr">
        <is>
          <t>EXISTING_PLACEHOLDER</t>
        </is>
      </c>
      <c r="I72" s="2" t="inlineStr">
        <is>
          <t>Service layer only - tested, but no API route or UI reaches it</t>
        </is>
      </c>
      <c r="J72" s="2" t="inlineStr">
        <is>
          <t>brands.ts createBrand/updateBrand; catalogue.ts createCategory (no callers)</t>
        </is>
      </c>
      <c r="K72" s="2" t="inlineStr">
        <is>
          <t>Brands arrive via promotion, categories via seed.</t>
        </is>
      </c>
    </row>
    <row r="73">
      <c r="A73" s="2" t="inlineStr">
        <is>
          <t>CAT-10</t>
        </is>
      </c>
      <c r="B73" s="2" t="inlineStr">
        <is>
          <t>Catalogue</t>
        </is>
      </c>
      <c r="C73" s="2" t="inlineStr">
        <is>
          <t>Product images (URL string; product_images gallery table)</t>
        </is>
      </c>
      <c r="D73" s="2" t="inlineStr">
        <is>
          <t>Partial</t>
        </is>
      </c>
      <c r="E73" s="2" t="inlineStr">
        <is>
          <t>Partial</t>
        </is>
      </c>
      <c r="F73" s="2" t="inlineStr">
        <is>
          <t>Yes</t>
        </is>
      </c>
      <c r="G73" s="2" t="inlineStr">
        <is>
          <t>Partial</t>
        </is>
      </c>
      <c r="H73" s="4" t="inlineStr">
        <is>
          <t>EXISTING_PARTIAL</t>
        </is>
      </c>
      <c r="I73" s="2" t="inlineStr">
        <is>
          <t>Partly - see notes</t>
        </is>
      </c>
      <c r="J73" s="2" t="inlineStr">
        <is>
          <t>products.image_url; product_images</t>
        </is>
      </c>
      <c r="K73" s="2" t="inlineStr">
        <is>
          <t>No upload/storage. Gallery table has no UI.</t>
        </is>
      </c>
    </row>
    <row r="74">
      <c r="A74" s="2" t="inlineStr">
        <is>
          <t>CAT-11</t>
        </is>
      </c>
      <c r="B74" s="2" t="inlineStr">
        <is>
          <t>Catalogue</t>
        </is>
      </c>
      <c r="C74" s="2" t="inlineStr">
        <is>
          <t>Specifications (free text)</t>
        </is>
      </c>
      <c r="D74" s="2" t="inlineStr">
        <is>
          <t>Yes</t>
        </is>
      </c>
      <c r="E74" s="2" t="inlineStr">
        <is>
          <t>Yes</t>
        </is>
      </c>
      <c r="F74" s="2" t="inlineStr">
        <is>
          <t>Yes</t>
        </is>
      </c>
      <c r="G74" s="2" t="inlineStr">
        <is>
          <t>Yes</t>
        </is>
      </c>
      <c r="H74" s="3" t="inlineStr">
        <is>
          <t>EXISTING_WORKING</t>
        </is>
      </c>
      <c r="I74" s="2" t="inlineStr">
        <is>
          <t>Yes - code-verified only (no dedicated test)</t>
        </is>
      </c>
      <c r="J74" s="2" t="inlineStr">
        <is>
          <t>products.specifications</t>
        </is>
      </c>
      <c r="K74" s="2" t="inlineStr"/>
    </row>
    <row r="75">
      <c r="A75" s="2" t="inlineStr">
        <is>
          <t>INV-01</t>
        </is>
      </c>
      <c r="B75" s="2" t="inlineStr">
        <is>
          <t>Inventory</t>
        </is>
      </c>
      <c r="C75" s="2" t="inlineStr">
        <is>
          <t>Online/offline stock; conditional-UPDATE consume; movement ledger</t>
        </is>
      </c>
      <c r="D75" s="2" t="inlineStr">
        <is>
          <t>Yes</t>
        </is>
      </c>
      <c r="E75" s="2" t="inlineStr">
        <is>
          <t>Yes</t>
        </is>
      </c>
      <c r="F75" s="2" t="inlineStr">
        <is>
          <t>Yes</t>
        </is>
      </c>
      <c r="G75" s="2" t="inlineStr">
        <is>
          <t>Yes</t>
        </is>
      </c>
      <c r="H75" s="3" t="inlineStr">
        <is>
          <t>EXISTING_WORKING</t>
        </is>
      </c>
      <c r="I75" s="2" t="inlineStr">
        <is>
          <t>Yes - automated tests pass</t>
        </is>
      </c>
      <c r="J75" s="2" t="inlineStr">
        <is>
          <t>catalogue.ts:1067-1112; inventory_movements</t>
        </is>
      </c>
      <c r="K75" s="2" t="inlineStr"/>
    </row>
    <row r="76">
      <c r="A76" s="2" t="inlineStr">
        <is>
          <t>INV-02</t>
        </is>
      </c>
      <c r="B76" s="2" t="inlineStr">
        <is>
          <t>Inventory</t>
        </is>
      </c>
      <c r="C76" s="2" t="inlineStr">
        <is>
          <t>Return stock when an order is cancelled or refunded</t>
        </is>
      </c>
      <c r="D76" s="2" t="inlineStr">
        <is>
          <t>n/a</t>
        </is>
      </c>
      <c r="E76" s="2" t="inlineStr">
        <is>
          <t>No</t>
        </is>
      </c>
      <c r="F76" s="2" t="inlineStr">
        <is>
          <t>Yes</t>
        </is>
      </c>
      <c r="G76" s="2" t="inlineStr">
        <is>
          <t>n/a</t>
        </is>
      </c>
      <c r="H76" s="7" t="inlineStr">
        <is>
          <t>EXISTING_BROKEN</t>
        </is>
      </c>
      <c r="I76" s="2" t="inlineStr">
        <is>
          <t>No - see notes</t>
        </is>
      </c>
      <c r="J76" s="2" t="inlineStr">
        <is>
          <t>orders.ts:372-441 (no restock call); catalogue.ts:1114 restockOnline has no production caller</t>
        </is>
      </c>
      <c r="K76" s="2" t="inlineStr">
        <is>
          <t>Confirmed by code reading: cancelled paid orders keep the stock deducted (DEF-01). No test covers it.</t>
        </is>
      </c>
    </row>
    <row r="77">
      <c r="A77" s="2" t="inlineStr">
        <is>
          <t>INV-03</t>
        </is>
      </c>
      <c r="B77" s="2" t="inlineStr">
        <is>
          <t>Inventory</t>
        </is>
      </c>
      <c r="C77" s="2" t="inlineStr">
        <is>
          <t>Low-stock threshold, reorder level/quantity, min/max order quantity, stock alerts</t>
        </is>
      </c>
      <c r="D77" s="2" t="inlineStr">
        <is>
          <t>No</t>
        </is>
      </c>
      <c r="E77" s="2" t="inlineStr">
        <is>
          <t>Yes</t>
        </is>
      </c>
      <c r="F77" s="2" t="inlineStr">
        <is>
          <t>Yes</t>
        </is>
      </c>
      <c r="G77" s="2" t="inlineStr">
        <is>
          <t>No</t>
        </is>
      </c>
      <c r="H77" s="4" t="inlineStr">
        <is>
          <t>EXISTING_PARTIAL</t>
        </is>
      </c>
      <c r="I77" s="2" t="inlineStr">
        <is>
          <t>Service layer only - tested, but no API route or UI reaches it</t>
        </is>
      </c>
      <c r="J77" s="2" t="inlineStr">
        <is>
          <t>inventory-alerts.ts; stock_alerts; shop_products.* (migration 0014)</t>
        </is>
      </c>
      <c r="K77" s="2" t="inlineStr">
        <is>
          <t>No route or screen sets thresholds or lists alerts (zero references in src/app and src/components). notifyOpenStockAlerts is never called, so STOCK_LOW notifications never fire.</t>
        </is>
      </c>
    </row>
    <row r="78">
      <c r="A78" s="2" t="inlineStr">
        <is>
          <t>ORD-01</t>
        </is>
      </c>
      <c r="B78" s="2" t="inlineStr">
        <is>
          <t>Orders</t>
        </is>
      </c>
      <c r="C78" s="2" t="inlineStr">
        <is>
          <t>Order state machine with validated transitions, status history and audit</t>
        </is>
      </c>
      <c r="D78" s="2" t="inlineStr">
        <is>
          <t>Yes</t>
        </is>
      </c>
      <c r="E78" s="2" t="inlineStr">
        <is>
          <t>Yes</t>
        </is>
      </c>
      <c r="F78" s="2" t="inlineStr">
        <is>
          <t>Yes</t>
        </is>
      </c>
      <c r="G78" s="2" t="inlineStr">
        <is>
          <t>Yes</t>
        </is>
      </c>
      <c r="H78" s="3" t="inlineStr">
        <is>
          <t>EXISTING_WORKING</t>
        </is>
      </c>
      <c r="I78" s="2" t="inlineStr">
        <is>
          <t>Yes - automated tests pass</t>
        </is>
      </c>
      <c r="J78" s="2" t="inlineStr">
        <is>
          <t>orders.ts:46-62,311-365; order_status_history</t>
        </is>
      </c>
      <c r="K78" s="2" t="inlineStr">
        <is>
          <t>11 states.</t>
        </is>
      </c>
    </row>
    <row r="79">
      <c r="A79" s="2" t="inlineStr">
        <is>
          <t>ORD-02</t>
        </is>
      </c>
      <c r="B79" s="2" t="inlineStr">
        <is>
          <t>Orders</t>
        </is>
      </c>
      <c r="C79" s="2" t="inlineStr">
        <is>
          <t>Multi-shop cart split into one independent order per shop</t>
        </is>
      </c>
      <c r="D79" s="2" t="inlineStr">
        <is>
          <t>Yes</t>
        </is>
      </c>
      <c r="E79" s="2" t="inlineStr">
        <is>
          <t>Yes</t>
        </is>
      </c>
      <c r="F79" s="2" t="inlineStr">
        <is>
          <t>Yes</t>
        </is>
      </c>
      <c r="G79" s="2" t="inlineStr">
        <is>
          <t>Yes</t>
        </is>
      </c>
      <c r="H79" s="3" t="inlineStr">
        <is>
          <t>EXISTING_WORKING</t>
        </is>
      </c>
      <c r="I79" s="2" t="inlineStr">
        <is>
          <t>Yes - automated tests pass</t>
        </is>
      </c>
      <c r="J79" s="2" t="inlineStr">
        <is>
          <t>orders.ts:147-304</t>
        </is>
      </c>
      <c r="K79" s="2" t="inlineStr">
        <is>
          <t>Each order has its own wallet debit, fulfilment and refund.</t>
        </is>
      </c>
    </row>
    <row r="80">
      <c r="A80" s="2" t="inlineStr">
        <is>
          <t>ORD-03</t>
        </is>
      </c>
      <c r="B80" s="2" t="inlineStr">
        <is>
          <t>Orders</t>
        </is>
      </c>
      <c r="C80" s="2" t="inlineStr">
        <is>
          <t>Master (parent) order grouping the per-shop orders</t>
        </is>
      </c>
      <c r="D80" s="2" t="inlineStr">
        <is>
          <t>No</t>
        </is>
      </c>
      <c r="E80" s="2" t="inlineStr">
        <is>
          <t>No</t>
        </is>
      </c>
      <c r="F80" s="2" t="inlineStr">
        <is>
          <t>No</t>
        </is>
      </c>
      <c r="G80" s="2" t="inlineStr">
        <is>
          <t>No</t>
        </is>
      </c>
      <c r="H80" s="5" t="inlineStr">
        <is>
          <t>MISSING</t>
        </is>
      </c>
      <c r="I80" s="2" t="inlineStr">
        <is>
          <t>n/a - not built</t>
        </is>
      </c>
      <c r="J80" s="2" t="inlineStr">
        <is>
          <t>-</t>
        </is>
      </c>
      <c r="K80" s="2" t="inlineStr">
        <is>
          <t>Additive column/table needed; customer sees separate orders.</t>
        </is>
      </c>
    </row>
    <row r="81">
      <c r="A81" s="2" t="inlineStr">
        <is>
          <t>ORD-04</t>
        </is>
      </c>
      <c r="B81" s="2" t="inlineStr">
        <is>
          <t>Orders</t>
        </is>
      </c>
      <c r="C81" s="2" t="inlineStr">
        <is>
          <t>Idempotent checkout / duplicate-order protection</t>
        </is>
      </c>
      <c r="D81" s="2" t="inlineStr">
        <is>
          <t>Yes</t>
        </is>
      </c>
      <c r="E81" s="2" t="inlineStr">
        <is>
          <t>Yes</t>
        </is>
      </c>
      <c r="F81" s="2" t="inlineStr">
        <is>
          <t>Yes</t>
        </is>
      </c>
      <c r="G81" s="2" t="inlineStr">
        <is>
          <t>Yes</t>
        </is>
      </c>
      <c r="H81" s="3" t="inlineStr">
        <is>
          <t>EXISTING_WORKING</t>
        </is>
      </c>
      <c r="I81" s="2" t="inlineStr">
        <is>
          <t>Yes - automated tests pass</t>
        </is>
      </c>
      <c r="J81" s="2" t="inlineStr">
        <is>
          <t>orders.ts:113-165 (requestId + wallet idempotency key)</t>
        </is>
      </c>
      <c r="K81" s="2" t="inlineStr"/>
    </row>
    <row r="82">
      <c r="A82" s="2" t="inlineStr">
        <is>
          <t>ORD-05</t>
        </is>
      </c>
      <c r="B82" s="2" t="inlineStr">
        <is>
          <t>Orders</t>
        </is>
      </c>
      <c r="C82" s="2" t="inlineStr">
        <is>
          <t>Target states: SHOP_PENDING, ACCEPTED, REJECTED, ASSIGNED, RETURNED, DISPUTED, PARTIALLY_REFUNDED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No</t>
        </is>
      </c>
      <c r="G82" s="2" t="inlineStr">
        <is>
          <t>No</t>
        </is>
      </c>
      <c r="H82" s="5" t="inlineStr">
        <is>
          <t>MISSING</t>
        </is>
      </c>
      <c r="I82" s="2" t="inlineStr">
        <is>
          <t>n/a - not built</t>
        </is>
      </c>
      <c r="J82" s="2" t="inlineStr">
        <is>
          <t>order_status enum has PENDING, CONFIRMED, PREPARING, READY, OUT_FOR_DELIVERY, DELIVERED, CANCELLED, PAYMENT_FAILED, WALLET_INSUFFICIENT, REFUND_PENDING, REFUNDED</t>
        </is>
      </c>
      <c r="K82" s="2" t="inlineStr"/>
    </row>
    <row r="83">
      <c r="A83" s="2" t="inlineStr">
        <is>
          <t>ORD-06</t>
        </is>
      </c>
      <c r="B83" s="2" t="inlineStr">
        <is>
          <t>Orders</t>
        </is>
      </c>
      <c r="C83" s="2" t="inlineStr">
        <is>
          <t>Manual confirmation of an unpaid order via the status endpoint</t>
        </is>
      </c>
      <c r="D83" s="2" t="inlineStr">
        <is>
          <t>n/a</t>
        </is>
      </c>
      <c r="E83" s="2" t="inlineStr">
        <is>
          <t>Yes</t>
        </is>
      </c>
      <c r="F83" s="2" t="inlineStr">
        <is>
          <t>Yes</t>
        </is>
      </c>
      <c r="G83" s="2" t="inlineStr">
        <is>
          <t>Yes</t>
        </is>
      </c>
      <c r="H83" s="7" t="inlineStr">
        <is>
          <t>EXISTING_BROKEN</t>
        </is>
      </c>
      <c r="I83" s="2" t="inlineStr">
        <is>
          <t>No - see notes</t>
        </is>
      </c>
      <c r="J83" s="2" t="inlineStr">
        <is>
          <t>orders.ts:46-49; api/orders/[id]/status/route.ts:20-27,53-56</t>
        </is>
      </c>
      <c r="K83" s="2" t="inlineStr">
        <is>
          <t>A shop owner or operator can move WALLET_INSUFFICIENT / PAYMENT_FAILED / PENDING to CONFIRMED with no payment and no paidAt (DEF-06).</t>
        </is>
      </c>
    </row>
    <row r="84">
      <c r="A84" s="2" t="inlineStr">
        <is>
          <t>ORD-07</t>
        </is>
      </c>
      <c r="B84" s="2" t="inlineStr">
        <is>
          <t>Orders</t>
        </is>
      </c>
      <c r="C84" s="2" t="inlineStr">
        <is>
          <t>Tax calculation and tax invoice</t>
        </is>
      </c>
      <c r="D84" s="2" t="inlineStr">
        <is>
          <t>No</t>
        </is>
      </c>
      <c r="E84" s="2" t="inlineStr">
        <is>
          <t>No</t>
        </is>
      </c>
      <c r="F84" s="2" t="inlineStr">
        <is>
          <t>Partial</t>
        </is>
      </c>
      <c r="G84" s="2" t="inlineStr">
        <is>
          <t>No</t>
        </is>
      </c>
      <c r="H84" s="6" t="inlineStr">
        <is>
          <t>EXISTING_PLACEHOLDER</t>
        </is>
      </c>
      <c r="I84" s="2" t="inlineStr">
        <is>
          <t>No - see notes</t>
        </is>
      </c>
      <c r="J84" s="2" t="inlineStr">
        <is>
          <t>taxPaise hard-coded 0 in orders.ts:215, cart.ts:273,288, subscriptions.ts:957</t>
        </is>
      </c>
      <c r="K84" s="2" t="inlineStr">
        <is>
          <t>Products carry hsn_code and gst_rate_bp but no order uses them. No invoice document.</t>
        </is>
      </c>
    </row>
    <row r="85">
      <c r="A85" s="2" t="inlineStr">
        <is>
          <t>ORD-08</t>
        </is>
      </c>
      <c r="B85" s="2" t="inlineStr">
        <is>
          <t>Orders</t>
        </is>
      </c>
      <c r="C85" s="2" t="inlineStr">
        <is>
          <t>Order-status notifications to the customer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Yes</t>
        </is>
      </c>
      <c r="G85" s="2" t="inlineStr">
        <is>
          <t>No</t>
        </is>
      </c>
      <c r="H85" s="6" t="inlineStr">
        <is>
          <t>EXISTING_PLACEHOLDER</t>
        </is>
      </c>
      <c r="I85" s="2" t="inlineStr">
        <is>
          <t>No - see notes</t>
        </is>
      </c>
      <c r="J85" s="2" t="inlineStr">
        <is>
          <t>NOTIFICATION_TYPES.ORDER_* defined (notifications.ts:17-21), never emitted</t>
        </is>
      </c>
      <c r="K85" s="2" t="inlineStr">
        <is>
          <t>Only wallet-low-balance and stock notifications are emitted, and stock ones never fire (DEF-02).</t>
        </is>
      </c>
    </row>
    <row r="86">
      <c r="A86" s="2" t="inlineStr">
        <is>
          <t>ORD-09</t>
        </is>
      </c>
      <c r="B86" s="2" t="inlineStr">
        <is>
          <t>Orders</t>
        </is>
      </c>
      <c r="C86" s="2" t="inlineStr">
        <is>
          <t>Exception workflows (wrong address, customer unavailable, missing/wrong/damaged item, late delivery, shop rejection, no reply)</t>
        </is>
      </c>
      <c r="D86" s="2" t="inlineStr">
        <is>
          <t>No</t>
        </is>
      </c>
      <c r="E86" s="2" t="inlineStr">
        <is>
          <t>No</t>
        </is>
      </c>
      <c r="F86" s="2" t="inlineStr">
        <is>
          <t>No</t>
        </is>
      </c>
      <c r="G86" s="2" t="inlineStr">
        <is>
          <t>No</t>
        </is>
      </c>
      <c r="H86" s="5" t="inlineStr">
        <is>
          <t>MISSING</t>
        </is>
      </c>
      <c r="I86" s="2" t="inlineStr">
        <is>
          <t>n/a - not built</t>
        </is>
      </c>
      <c r="J86" s="2" t="inlineStr">
        <is>
          <t>-</t>
        </is>
      </c>
      <c r="K86" s="2" t="inlineStr">
        <is>
          <t>Only wallet-insufficient, payment-failed and cancel exist.</t>
        </is>
      </c>
    </row>
    <row r="87">
      <c r="A87" s="2" t="inlineStr">
        <is>
          <t>ORD-10</t>
        </is>
      </c>
      <c r="B87" s="2" t="inlineStr">
        <is>
          <t>Orders</t>
        </is>
      </c>
      <c r="C87" s="2" t="inlineStr">
        <is>
          <t>Cancellation policy by state/time</t>
        </is>
      </c>
      <c r="D87" s="2" t="inlineStr">
        <is>
          <t>Yes</t>
        </is>
      </c>
      <c r="E87" s="2" t="inlineStr">
        <is>
          <t>Partial</t>
        </is>
      </c>
      <c r="F87" s="2" t="inlineStr">
        <is>
          <t>Yes</t>
        </is>
      </c>
      <c r="G87" s="2" t="inlineStr">
        <is>
          <t>Yes</t>
        </is>
      </c>
      <c r="H87" s="4" t="inlineStr">
        <is>
          <t>EXISTING_PARTIAL</t>
        </is>
      </c>
      <c r="I87" s="2" t="inlineStr">
        <is>
          <t>Partly - see notes</t>
        </is>
      </c>
      <c r="J87" s="2" t="inlineStr">
        <is>
          <t>orders.ts:46-58</t>
        </is>
      </c>
      <c r="K87" s="2" t="inlineStr">
        <is>
          <t>Cancel allowed until OUT_FOR_DELIVERY, always a full refund; no fees, cut-offs or reasons taxonomy.</t>
        </is>
      </c>
    </row>
    <row r="88">
      <c r="A88" s="2" t="inlineStr">
        <is>
          <t>PAY-01</t>
        </is>
      </c>
      <c r="B88" s="2" t="inlineStr">
        <is>
          <t>Payments</t>
        </is>
      </c>
      <c r="C88" s="2" t="inlineStr">
        <is>
          <t>Cashfree wallet top-up: create order -&gt; client checkout -&gt; server-side confirmation -&gt; credit</t>
        </is>
      </c>
      <c r="D88" s="2" t="inlineStr">
        <is>
          <t>Yes</t>
        </is>
      </c>
      <c r="E88" s="2" t="inlineStr">
        <is>
          <t>Yes</t>
        </is>
      </c>
      <c r="F88" s="2" t="inlineStr">
        <is>
          <t>Yes</t>
        </is>
      </c>
      <c r="G88" s="2" t="inlineStr">
        <is>
          <t>Yes</t>
        </is>
      </c>
      <c r="H88" s="3" t="inlineStr">
        <is>
          <t>EXISTING_WORKING</t>
        </is>
      </c>
      <c r="I88" s="2" t="inlineStr">
        <is>
          <t>Yes - automated tests pass</t>
        </is>
      </c>
      <c r="J88" s="2" t="inlineStr">
        <is>
          <t>payments.ts; /api/wallet/topup|verify</t>
        </is>
      </c>
      <c r="K88" s="2" t="inlineStr">
        <is>
          <t>Only WALLET_TOPUP purpose exists.</t>
        </is>
      </c>
    </row>
    <row r="89">
      <c r="A89" s="2" t="inlineStr">
        <is>
          <t>PAY-02</t>
        </is>
      </c>
      <c r="B89" s="2" t="inlineStr">
        <is>
          <t>Payments</t>
        </is>
      </c>
      <c r="C89" s="2" t="inlineStr">
        <is>
          <t>Cashfree webhook: HMAC over raw body, idempotent, retry-safe</t>
        </is>
      </c>
      <c r="D89" s="2" t="inlineStr">
        <is>
          <t>n/a</t>
        </is>
      </c>
      <c r="E89" s="2" t="inlineStr">
        <is>
          <t>Yes</t>
        </is>
      </c>
      <c r="F89" s="2" t="inlineStr">
        <is>
          <t>Yes</t>
        </is>
      </c>
      <c r="G89" s="2" t="inlineStr">
        <is>
          <t>Yes</t>
        </is>
      </c>
      <c r="H89" s="3" t="inlineStr">
        <is>
          <t>EXISTING_WORKING</t>
        </is>
      </c>
      <c r="I89" s="2" t="inlineStr">
        <is>
          <t>Yes - automated tests pass</t>
        </is>
      </c>
      <c r="J89" s="2" t="inlineStr">
        <is>
          <t>/api/webhooks/cashfree</t>
        </is>
      </c>
      <c r="K89" s="2" t="inlineStr">
        <is>
          <t>Only PAYMENT_SUCCESS_WEBHOOK acts; failure/refund/dispute events are acknowledged and ignored.</t>
        </is>
      </c>
    </row>
    <row r="90">
      <c r="A90" s="2" t="inlineStr">
        <is>
          <t>PAY-03</t>
        </is>
      </c>
      <c r="B90" s="2" t="inlineStr">
        <is>
          <t>Payments</t>
        </is>
      </c>
      <c r="C90" s="2" t="inlineStr">
        <is>
          <t>Mock gateway for development/test (never in production)</t>
        </is>
      </c>
      <c r="D90" s="2" t="inlineStr">
        <is>
          <t>Yes</t>
        </is>
      </c>
      <c r="E90" s="2" t="inlineStr">
        <is>
          <t>Yes</t>
        </is>
      </c>
      <c r="F90" s="2" t="inlineStr">
        <is>
          <t>Yes</t>
        </is>
      </c>
      <c r="G90" s="2" t="inlineStr">
        <is>
          <t>Yes</t>
        </is>
      </c>
      <c r="H90" s="3" t="inlineStr">
        <is>
          <t>EXISTING_WORKING</t>
        </is>
      </c>
      <c r="I90" s="2" t="inlineStr">
        <is>
          <t>Yes - automated tests pass</t>
        </is>
      </c>
      <c r="J90" s="2" t="inlineStr">
        <is>
          <t>payments.ts:settleMockTopUp; /api/dev/settle-topup</t>
        </is>
      </c>
      <c r="K90" s="2" t="inlineStr">
        <is>
          <t>Route returns 404 when NODE_ENV=production or live keys present.</t>
        </is>
      </c>
    </row>
    <row r="91">
      <c r="A91" s="2" t="inlineStr">
        <is>
          <t>PAY-04</t>
        </is>
      </c>
      <c r="B91" s="2" t="inlineStr">
        <is>
          <t>Payments</t>
        </is>
      </c>
      <c r="C91" s="2" t="inlineStr">
        <is>
          <t>Duplicate-payment protection (unique gateway ids; conditional status UPDATE)</t>
        </is>
      </c>
      <c r="D91" s="2" t="inlineStr">
        <is>
          <t>n/a</t>
        </is>
      </c>
      <c r="E91" s="2" t="inlineStr">
        <is>
          <t>Yes</t>
        </is>
      </c>
      <c r="F91" s="2" t="inlineStr">
        <is>
          <t>Yes</t>
        </is>
      </c>
      <c r="G91" s="2" t="inlineStr">
        <is>
          <t>Yes</t>
        </is>
      </c>
      <c r="H91" s="3" t="inlineStr">
        <is>
          <t>EXISTING_WORKING</t>
        </is>
      </c>
      <c r="I91" s="2" t="inlineStr">
        <is>
          <t>Yes - automated tests pass</t>
        </is>
      </c>
      <c r="J91" s="2" t="inlineStr">
        <is>
          <t>schema.ts:1525-1526</t>
        </is>
      </c>
      <c r="K91" s="2" t="inlineStr"/>
    </row>
    <row r="92">
      <c r="A92" s="2" t="inlineStr">
        <is>
          <t>PAY-05</t>
        </is>
      </c>
      <c r="B92" s="2" t="inlineStr">
        <is>
          <t>Payments</t>
        </is>
      </c>
      <c r="C92" s="2" t="inlineStr">
        <is>
          <t>Failed payment recorded; nothing credited</t>
        </is>
      </c>
      <c r="D92" s="2" t="inlineStr">
        <is>
          <t>n/a</t>
        </is>
      </c>
      <c r="E92" s="2" t="inlineStr">
        <is>
          <t>Yes</t>
        </is>
      </c>
      <c r="F92" s="2" t="inlineStr">
        <is>
          <t>Yes</t>
        </is>
      </c>
      <c r="G92" s="2" t="inlineStr">
        <is>
          <t>Yes</t>
        </is>
      </c>
      <c r="H92" s="3" t="inlineStr">
        <is>
          <t>EXISTING_WORKING</t>
        </is>
      </c>
      <c r="I92" s="2" t="inlineStr">
        <is>
          <t>Yes - automated tests pass</t>
        </is>
      </c>
      <c r="J92" s="2" t="inlineStr">
        <is>
          <t>payments.ts</t>
        </is>
      </c>
      <c r="K92" s="2" t="inlineStr"/>
    </row>
    <row r="93">
      <c r="A93" s="2" t="inlineStr">
        <is>
          <t>PAY-06</t>
        </is>
      </c>
      <c r="B93" s="2" t="inlineStr">
        <is>
          <t>Payments</t>
        </is>
      </c>
      <c r="C93" s="2" t="inlineStr">
        <is>
          <t>Direct order payment at checkout (UPI / card / net banking)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No</t>
        </is>
      </c>
      <c r="G93" s="2" t="inlineStr">
        <is>
          <t>No</t>
        </is>
      </c>
      <c r="H93" s="5" t="inlineStr">
        <is>
          <t>MISSING</t>
        </is>
      </c>
      <c r="I93" s="2" t="inlineStr">
        <is>
          <t>n/a - not built</t>
        </is>
      </c>
      <c r="J93" s="2" t="inlineStr">
        <is>
          <t>-</t>
        </is>
      </c>
      <c r="K93" s="2" t="inlineStr">
        <is>
          <t>Business-model difference: customers must top up a wallet first (decision D1).</t>
        </is>
      </c>
    </row>
    <row r="94">
      <c r="A94" s="2" t="inlineStr">
        <is>
          <t>PAY-07</t>
        </is>
      </c>
      <c r="B94" s="2" t="inlineStr">
        <is>
          <t>Payments</t>
        </is>
      </c>
      <c r="C94" s="2" t="inlineStr">
        <is>
          <t>Cash on delivery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No</t>
        </is>
      </c>
      <c r="G94" s="2" t="inlineStr">
        <is>
          <t>No</t>
        </is>
      </c>
      <c r="H94" s="5" t="inlineStr">
        <is>
          <t>MISSING</t>
        </is>
      </c>
      <c r="I94" s="2" t="inlineStr">
        <is>
          <t>n/a - not built</t>
        </is>
      </c>
      <c r="J94" s="2" t="inlineStr">
        <is>
          <t>-</t>
        </is>
      </c>
      <c r="K94" s="2" t="inlineStr"/>
    </row>
    <row r="95">
      <c r="A95" s="2" t="inlineStr">
        <is>
          <t>PAY-08</t>
        </is>
      </c>
      <c r="B95" s="2" t="inlineStr">
        <is>
          <t>Payments</t>
        </is>
      </c>
      <c r="C95" s="2" t="inlineStr">
        <is>
          <t>Gateway refund to source; partial refund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Partial</t>
        </is>
      </c>
      <c r="G95" s="2" t="inlineStr">
        <is>
          <t>No</t>
        </is>
      </c>
      <c r="H95" s="5" t="inlineStr">
        <is>
          <t>MISSING</t>
        </is>
      </c>
      <c r="I95" s="2" t="inlineStr">
        <is>
          <t>n/a - not built</t>
        </is>
      </c>
      <c r="J95" s="2" t="inlineStr">
        <is>
          <t>payment_status has REFUNDED</t>
        </is>
      </c>
      <c r="K95" s="2" t="inlineStr">
        <is>
          <t>Refunds are wallet credits only.</t>
        </is>
      </c>
    </row>
    <row r="96">
      <c r="A96" s="2" t="inlineStr">
        <is>
          <t>PAY-09</t>
        </is>
      </c>
      <c r="B96" s="2" t="inlineStr">
        <is>
          <t>Payments</t>
        </is>
      </c>
      <c r="C96" s="2" t="inlineStr">
        <is>
          <t>Payment states AUTHORIZED / CAPTURED / RECONCILED / CHARGEBACK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No</t>
        </is>
      </c>
      <c r="G96" s="2" t="inlineStr">
        <is>
          <t>No</t>
        </is>
      </c>
      <c r="H96" s="5" t="inlineStr">
        <is>
          <t>MISSING</t>
        </is>
      </c>
      <c r="I96" s="2" t="inlineStr">
        <is>
          <t>n/a - not built</t>
        </is>
      </c>
      <c r="J96" s="2" t="inlineStr">
        <is>
          <t>payment_status = CREATED, PENDING, SUCCESS, FAILED, REFUNDED</t>
        </is>
      </c>
      <c r="K96" s="2" t="inlineStr"/>
    </row>
    <row r="97">
      <c r="A97" s="2" t="inlineStr">
        <is>
          <t>PAY-10</t>
        </is>
      </c>
      <c r="B97" s="2" t="inlineStr">
        <is>
          <t>Payments</t>
        </is>
      </c>
      <c r="C97" s="2" t="inlineStr">
        <is>
          <t>Gateway reconciliation and settlement reports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No</t>
        </is>
      </c>
      <c r="G97" s="2" t="inlineStr">
        <is>
          <t>No</t>
        </is>
      </c>
      <c r="H97" s="5" t="inlineStr">
        <is>
          <t>MISSING</t>
        </is>
      </c>
      <c r="I97" s="2" t="inlineStr">
        <is>
          <t>n/a - not built</t>
        </is>
      </c>
      <c r="J97" s="2" t="inlineStr">
        <is>
          <t>-</t>
        </is>
      </c>
      <c r="K97" s="2" t="inlineStr"/>
    </row>
    <row r="98">
      <c r="A98" s="2" t="inlineStr">
        <is>
          <t>WAL-01</t>
        </is>
      </c>
      <c r="B98" s="2" t="inlineStr">
        <is>
          <t>Wallet</t>
        </is>
      </c>
      <c r="C98" s="2" t="inlineStr">
        <is>
          <t>Wallet ledger: integer paise, FOR UPDATE, idempotency keys, CHECK balance &gt;= 0 (concurrency-proven)</t>
        </is>
      </c>
      <c r="D98" s="2" t="inlineStr">
        <is>
          <t>Yes</t>
        </is>
      </c>
      <c r="E98" s="2" t="inlineStr">
        <is>
          <t>Yes</t>
        </is>
      </c>
      <c r="F98" s="2" t="inlineStr">
        <is>
          <t>Yes</t>
        </is>
      </c>
      <c r="G98" s="2" t="inlineStr">
        <is>
          <t>Yes</t>
        </is>
      </c>
      <c r="H98" s="3" t="inlineStr">
        <is>
          <t>EXISTING_WORKING</t>
        </is>
      </c>
      <c r="I98" s="2" t="inlineStr">
        <is>
          <t>Yes - automated tests pass</t>
        </is>
      </c>
      <c r="J98" s="2" t="inlineStr">
        <is>
          <t>wallet.ts; /api/wallet</t>
        </is>
      </c>
      <c r="K98" s="2" t="inlineStr">
        <is>
          <t>Concurrent debit, overdraw and ledger-contiguity tests.</t>
        </is>
      </c>
    </row>
    <row r="99">
      <c r="A99" s="2" t="inlineStr">
        <is>
          <t>WAL-02</t>
        </is>
      </c>
      <c r="B99" s="2" t="inlineStr">
        <is>
          <t>Wallet</t>
        </is>
      </c>
      <c r="C99" s="2" t="inlineStr">
        <is>
          <t>Promotional vs customer-funded split preserved through refunds</t>
        </is>
      </c>
      <c r="D99" s="2" t="inlineStr">
        <is>
          <t>Yes</t>
        </is>
      </c>
      <c r="E99" s="2" t="inlineStr">
        <is>
          <t>Yes</t>
        </is>
      </c>
      <c r="F99" s="2" t="inlineStr">
        <is>
          <t>Yes</t>
        </is>
      </c>
      <c r="G99" s="2" t="inlineStr">
        <is>
          <t>Yes</t>
        </is>
      </c>
      <c r="H99" s="3" t="inlineStr">
        <is>
          <t>EXISTING_WORKING</t>
        </is>
      </c>
      <c r="I99" s="2" t="inlineStr">
        <is>
          <t>Yes - automated tests pass</t>
        </is>
      </c>
      <c r="J99" s="2" t="inlineStr">
        <is>
          <t>wallet.ts:376-424</t>
        </is>
      </c>
      <c r="K99" s="2" t="inlineStr"/>
    </row>
    <row r="100">
      <c r="A100" s="2" t="inlineStr">
        <is>
          <t>WAL-03</t>
        </is>
      </c>
      <c r="B100" s="2" t="inlineStr">
        <is>
          <t>Wallet</t>
        </is>
      </c>
      <c r="C100" s="2" t="inlineStr">
        <is>
          <t>Low-balance warning (subscription forecast)</t>
        </is>
      </c>
      <c r="D100" s="2" t="inlineStr">
        <is>
          <t>Yes</t>
        </is>
      </c>
      <c r="E100" s="2" t="inlineStr">
        <is>
          <t>Yes</t>
        </is>
      </c>
      <c r="F100" s="2" t="inlineStr">
        <is>
          <t>Yes</t>
        </is>
      </c>
      <c r="G100" s="2" t="inlineStr">
        <is>
          <t>Yes</t>
        </is>
      </c>
      <c r="H100" s="3" t="inlineStr">
        <is>
          <t>EXISTING_WORKING</t>
        </is>
      </c>
      <c r="I100" s="2" t="inlineStr">
        <is>
          <t>Yes - automated tests pass</t>
        </is>
      </c>
      <c r="J100" s="2" t="inlineStr">
        <is>
          <t>subscriptions.ts:1249</t>
        </is>
      </c>
      <c r="K100" s="2" t="inlineStr">
        <is>
          <t>Emitted by the subscription engine only.</t>
        </is>
      </c>
    </row>
    <row r="101">
      <c r="A101" s="2" t="inlineStr">
        <is>
          <t>WAL-04</t>
        </is>
      </c>
      <c r="B101" s="2" t="inlineStr">
        <is>
          <t>Wallet</t>
        </is>
      </c>
      <c r="C101" s="2" t="inlineStr">
        <is>
          <t>Auto-recharge settings</t>
        </is>
      </c>
      <c r="D101" s="2" t="inlineStr">
        <is>
          <t>No</t>
        </is>
      </c>
      <c r="E101" s="2" t="inlineStr">
        <is>
          <t>Partial</t>
        </is>
      </c>
      <c r="F101" s="2" t="inlineStr">
        <is>
          <t>Yes</t>
        </is>
      </c>
      <c r="G101" s="2" t="inlineStr">
        <is>
          <t>Yes</t>
        </is>
      </c>
      <c r="H101" s="6" t="inlineStr">
        <is>
          <t>EXISTING_PLACEHOLDER</t>
        </is>
      </c>
      <c r="I101" s="2" t="inlineStr">
        <is>
          <t>No - see notes</t>
        </is>
      </c>
      <c r="J101" s="2" t="inlineStr">
        <is>
          <t>wallet.ts:324-350; /api/wallet/settings</t>
        </is>
      </c>
      <c r="K101" s="2" t="inlineStr">
        <is>
          <t>Settings are stored and validated; nothing ever triggers a recharge and the UI does not show them (DEF-07).</t>
        </is>
      </c>
    </row>
    <row r="102">
      <c r="A102" s="2" t="inlineStr">
        <is>
          <t>WAL-05</t>
        </is>
      </c>
      <c r="B102" s="2" t="inlineStr">
        <is>
          <t>Wallet</t>
        </is>
      </c>
      <c r="C102" s="2" t="inlineStr">
        <is>
          <t>Staff manual wallet adjustment / refund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No</t>
        </is>
      </c>
      <c r="G102" s="2" t="inlineStr">
        <is>
          <t>No</t>
        </is>
      </c>
      <c r="H102" s="6" t="inlineStr">
        <is>
          <t>EXISTING_PLACEHOLDER</t>
        </is>
      </c>
      <c r="I102" s="2" t="inlineStr">
        <is>
          <t>No - see notes</t>
        </is>
      </c>
      <c r="J102" s="2" t="inlineStr">
        <is>
          <t>WALLET_ADJUST, WALLET_REFUND, WALLET_VIEW_ANY unused</t>
        </is>
      </c>
      <c r="K102" s="2" t="inlineStr">
        <is>
          <t>Support cannot correct a wallet from the app.</t>
        </is>
      </c>
    </row>
    <row r="103">
      <c r="A103" s="2" t="inlineStr">
        <is>
          <t>SUB-01</t>
        </is>
      </c>
      <c r="B103" s="2" t="inlineStr">
        <is>
          <t>Subscriptions</t>
        </is>
      </c>
      <c r="C103" s="2" t="inlineStr">
        <is>
          <t>Create / update / cancel (DAILY or WEEKLY, weekdays, quantity, window)</t>
        </is>
      </c>
      <c r="D103" s="2" t="inlineStr">
        <is>
          <t>Yes</t>
        </is>
      </c>
      <c r="E103" s="2" t="inlineStr">
        <is>
          <t>Yes</t>
        </is>
      </c>
      <c r="F103" s="2" t="inlineStr">
        <is>
          <t>Yes</t>
        </is>
      </c>
      <c r="G103" s="2" t="inlineStr">
        <is>
          <t>Yes</t>
        </is>
      </c>
      <c r="H103" s="3" t="inlineStr">
        <is>
          <t>EXISTING_WORKING</t>
        </is>
      </c>
      <c r="I103" s="2" t="inlineStr">
        <is>
          <t>Yes - automated tests pass</t>
        </is>
      </c>
      <c r="J103" s="2" t="inlineStr">
        <is>
          <t>subscriptions.ts; /subscriptions; /subscribe/[id]</t>
        </is>
      </c>
      <c r="K103" s="2" t="inlineStr"/>
    </row>
    <row r="104">
      <c r="A104" s="2" t="inlineStr">
        <is>
          <t>SUB-02</t>
        </is>
      </c>
      <c r="B104" s="2" t="inlineStr">
        <is>
          <t>Subscriptions</t>
        </is>
      </c>
      <c r="C104" s="2" t="inlineStr">
        <is>
          <t>Pause/resume window, skip a date, per-date quantity override, calendar, cost and wallet forecast</t>
        </is>
      </c>
      <c r="D104" s="2" t="inlineStr">
        <is>
          <t>Yes</t>
        </is>
      </c>
      <c r="E104" s="2" t="inlineStr">
        <is>
          <t>Yes</t>
        </is>
      </c>
      <c r="F104" s="2" t="inlineStr">
        <is>
          <t>Yes</t>
        </is>
      </c>
      <c r="G104" s="2" t="inlineStr">
        <is>
          <t>Yes</t>
        </is>
      </c>
      <c r="H104" s="3" t="inlineStr">
        <is>
          <t>EXISTING_WORKING</t>
        </is>
      </c>
      <c r="I104" s="2" t="inlineStr">
        <is>
          <t>Yes - automated tests pass</t>
        </is>
      </c>
      <c r="J104" s="2" t="inlineStr">
        <is>
          <t>subscription-controls.tsx; subscription-calendar.tsx</t>
        </is>
      </c>
      <c r="K104" s="2" t="inlineStr"/>
    </row>
    <row r="105">
      <c r="A105" s="2" t="inlineStr">
        <is>
          <t>SUB-03</t>
        </is>
      </c>
      <c r="B105" s="2" t="inlineStr">
        <is>
          <t>Subscriptions</t>
        </is>
      </c>
      <c r="C105" s="2" t="inlineStr">
        <is>
          <t>Daily order engine: cron endpoint, idempotent per (subscription, date), wallet-funded</t>
        </is>
      </c>
      <c r="D105" s="2" t="inlineStr">
        <is>
          <t>n/a</t>
        </is>
      </c>
      <c r="E105" s="2" t="inlineStr">
        <is>
          <t>Yes</t>
        </is>
      </c>
      <c r="F105" s="2" t="inlineStr">
        <is>
          <t>Yes</t>
        </is>
      </c>
      <c r="G105" s="2" t="inlineStr">
        <is>
          <t>Yes</t>
        </is>
      </c>
      <c r="H105" s="3" t="inlineStr">
        <is>
          <t>EXISTING_WORKING</t>
        </is>
      </c>
      <c r="I105" s="2" t="inlineStr">
        <is>
          <t>Yes - automated tests pass</t>
        </is>
      </c>
      <c r="J105" s="2" t="inlineStr">
        <is>
          <t>POST /api/cron/daily-orders; subscriptions.ts:796</t>
        </is>
      </c>
      <c r="K105" s="2" t="inlineStr">
        <is>
          <t>Needs an external scheduler; whether it runs on test/live cannot be seen from the repo (verify).</t>
        </is>
      </c>
    </row>
    <row r="106">
      <c r="A106" s="2" t="inlineStr">
        <is>
          <t>SUB-04</t>
        </is>
      </c>
      <c r="B106" s="2" t="inlineStr">
        <is>
          <t>Subscriptions</t>
        </is>
      </c>
      <c r="C106" s="2" t="inlineStr">
        <is>
          <t>Retry a day that failed for insufficient balance</t>
        </is>
      </c>
      <c r="D106" s="2" t="inlineStr">
        <is>
          <t>Yes</t>
        </is>
      </c>
      <c r="E106" s="2" t="inlineStr">
        <is>
          <t>Yes</t>
        </is>
      </c>
      <c r="F106" s="2" t="inlineStr">
        <is>
          <t>Yes</t>
        </is>
      </c>
      <c r="G106" s="2" t="inlineStr">
        <is>
          <t>Yes</t>
        </is>
      </c>
      <c r="H106" s="3" t="inlineStr">
        <is>
          <t>EXISTING_WORKING</t>
        </is>
      </c>
      <c r="I106" s="2" t="inlineStr">
        <is>
          <t>Yes - automated tests pass</t>
        </is>
      </c>
      <c r="J106" s="2" t="inlineStr">
        <is>
          <t>subscriptions.ts:1125</t>
        </is>
      </c>
      <c r="K106" s="2" t="inlineStr"/>
    </row>
    <row r="107">
      <c r="A107" s="2" t="inlineStr">
        <is>
          <t>SUB-05</t>
        </is>
      </c>
      <c r="B107" s="2" t="inlineStr">
        <is>
          <t>Subscriptions</t>
        </is>
      </c>
      <c r="C107" s="2" t="inlineStr">
        <is>
          <t>Delivery slot / time window per subscription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No</t>
        </is>
      </c>
      <c r="G107" s="2" t="inlineStr">
        <is>
          <t>No</t>
        </is>
      </c>
      <c r="H107" s="5" t="inlineStr">
        <is>
          <t>MISSING</t>
        </is>
      </c>
      <c r="I107" s="2" t="inlineStr">
        <is>
          <t>n/a - not built</t>
        </is>
      </c>
      <c r="J107" s="2" t="inlineStr">
        <is>
          <t>-</t>
        </is>
      </c>
      <c r="K107" s="2" t="inlineStr"/>
    </row>
    <row r="108">
      <c r="A108" s="2" t="inlineStr">
        <is>
          <t>SUB-06</t>
        </is>
      </c>
      <c r="B108" s="2" t="inlineStr">
        <is>
          <t>Subscriptions</t>
        </is>
      </c>
      <c r="C108" s="2" t="inlineStr">
        <is>
          <t>Subscription billing other than wallet debit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No</t>
        </is>
      </c>
      <c r="G108" s="2" t="inlineStr">
        <is>
          <t>No</t>
        </is>
      </c>
      <c r="H108" s="5" t="inlineStr">
        <is>
          <t>MISSING</t>
        </is>
      </c>
      <c r="I108" s="2" t="inlineStr">
        <is>
          <t>n/a - not built</t>
        </is>
      </c>
      <c r="J108" s="2" t="inlineStr">
        <is>
          <t>-</t>
        </is>
      </c>
      <c r="K108" s="2" t="inlineStr"/>
    </row>
    <row r="109">
      <c r="A109" s="2" t="inlineStr">
        <is>
          <t>DEL-01</t>
        </is>
      </c>
      <c r="B109" s="2" t="inlineStr">
        <is>
          <t>Delivery</t>
        </is>
      </c>
      <c r="C109" s="2" t="inlineStr">
        <is>
          <t>Partner self-registration: profile, vehicle, KYC fields, bank details, radius, verified location</t>
        </is>
      </c>
      <c r="D109" s="2" t="inlineStr">
        <is>
          <t>Yes</t>
        </is>
      </c>
      <c r="E109" s="2" t="inlineStr">
        <is>
          <t>Yes</t>
        </is>
      </c>
      <c r="F109" s="2" t="inlineStr">
        <is>
          <t>Yes</t>
        </is>
      </c>
      <c r="G109" s="2" t="inlineStr">
        <is>
          <t>Yes</t>
        </is>
      </c>
      <c r="H109" s="3" t="inlineStr">
        <is>
          <t>EXISTING_WORKING</t>
        </is>
      </c>
      <c r="I109" s="2" t="inlineStr">
        <is>
          <t>Yes - automated tests pass</t>
        </is>
      </c>
      <c r="J109" s="2" t="inlineStr">
        <is>
          <t>/delivery-partner/apply|register; delivery-partners.ts:84</t>
        </is>
      </c>
      <c r="K109" s="2" t="inlineStr">
        <is>
          <t>PAN, government ID, bank account/IFSC and licence numbers are stored in plaintext (SEC-02).</t>
        </is>
      </c>
    </row>
    <row r="110">
      <c r="A110" s="2" t="inlineStr">
        <is>
          <t>DEL-02</t>
        </is>
      </c>
      <c r="B110" s="2" t="inlineStr">
        <is>
          <t>Delivery</t>
        </is>
      </c>
      <c r="C110" s="2" t="inlineStr">
        <is>
          <t>Admin review workflow: under review, approve, reject, suspend, reactivate, deactivate (audited)</t>
        </is>
      </c>
      <c r="D110" s="2" t="inlineStr">
        <is>
          <t>Yes</t>
        </is>
      </c>
      <c r="E110" s="2" t="inlineStr">
        <is>
          <t>Yes</t>
        </is>
      </c>
      <c r="F110" s="2" t="inlineStr">
        <is>
          <t>Yes</t>
        </is>
      </c>
      <c r="G110" s="2" t="inlineStr">
        <is>
          <t>Yes</t>
        </is>
      </c>
      <c r="H110" s="3" t="inlineStr">
        <is>
          <t>EXISTING_WORKING</t>
        </is>
      </c>
      <c r="I110" s="2" t="inlineStr">
        <is>
          <t>Yes - automated tests pass</t>
        </is>
      </c>
      <c r="J110" s="2" t="inlineStr">
        <is>
          <t>delivery-partner-queue.tsx; /api/delivery-partner/[id]</t>
        </is>
      </c>
      <c r="K110" s="2" t="inlineStr"/>
    </row>
    <row r="111">
      <c r="A111" s="2" t="inlineStr">
        <is>
          <t>DEL-03</t>
        </is>
      </c>
      <c r="B111" s="2" t="inlineStr">
        <is>
          <t>Delivery</t>
        </is>
      </c>
      <c r="C111" s="2" t="inlineStr">
        <is>
          <t>Online/offline toggle and location updates (browser geolocation only)</t>
        </is>
      </c>
      <c r="D111" s="2" t="inlineStr">
        <is>
          <t>Yes</t>
        </is>
      </c>
      <c r="E111" s="2" t="inlineStr">
        <is>
          <t>Yes</t>
        </is>
      </c>
      <c r="F111" s="2" t="inlineStr">
        <is>
          <t>Yes</t>
        </is>
      </c>
      <c r="G111" s="2" t="inlineStr">
        <is>
          <t>Yes</t>
        </is>
      </c>
      <c r="H111" s="3" t="inlineStr">
        <is>
          <t>EXISTING_WORKING</t>
        </is>
      </c>
      <c r="I111" s="2" t="inlineStr">
        <is>
          <t>Yes - automated tests pass</t>
        </is>
      </c>
      <c r="J111" s="2" t="inlineStr">
        <is>
          <t>/api/delivery-partner/status|location</t>
        </is>
      </c>
      <c r="K111" s="2" t="inlineStr">
        <is>
          <t>Location not collected while offline.</t>
        </is>
      </c>
    </row>
    <row r="112">
      <c r="A112" s="2" t="inlineStr">
        <is>
          <t>DEL-04</t>
        </is>
      </c>
      <c r="B112" s="2" t="inlineStr">
        <is>
          <t>Delivery</t>
        </is>
      </c>
      <c r="C112" s="2" t="inlineStr">
        <is>
          <t>Offer a READY order to the nearest eligible partner (Haversine, radius, not busy)</t>
        </is>
      </c>
      <c r="D112" s="2" t="inlineStr">
        <is>
          <t>Yes</t>
        </is>
      </c>
      <c r="E112" s="2" t="inlineStr">
        <is>
          <t>Partial</t>
        </is>
      </c>
      <c r="F112" s="2" t="inlineStr">
        <is>
          <t>Yes</t>
        </is>
      </c>
      <c r="G112" s="2" t="inlineStr">
        <is>
          <t>Yes</t>
        </is>
      </c>
      <c r="H112" s="4" t="inlineStr">
        <is>
          <t>EXISTING_PARTIAL</t>
        </is>
      </c>
      <c r="I112" s="2" t="inlineStr">
        <is>
          <t>Partly - see notes</t>
        </is>
      </c>
      <c r="J112" s="2" t="inlineStr">
        <is>
          <t>delivery-assignment.ts:51-146</t>
        </is>
      </c>
      <c r="K112" s="2" t="inlineStr">
        <is>
          <t>Works and is tested, but: single offer, no expiry, not transactional (DEF-03, DEF-04). Reassignment also overwrites the prior offer row rather than recording a new one, since delivery_orders allows only one row per order for its whole lifetime - so a rejecting partner's history is silently reattributed to whoever the job goes to next, and the same partner (being nearest) can be re-offered the job they just rejected (finding DEF-09, found on Opus review 2026-09-22). Fixing this needs a data-model decision (D11), not just a code change.</t>
        </is>
      </c>
    </row>
    <row r="113">
      <c r="A113" s="2" t="inlineStr">
        <is>
          <t>DEL-05</t>
        </is>
      </c>
      <c r="B113" s="2" t="inlineStr">
        <is>
          <t>Delivery</t>
        </is>
      </c>
      <c r="C113" s="2" t="inlineStr">
        <is>
          <t>Partner accept / reject / picked-up / delivered</t>
        </is>
      </c>
      <c r="D113" s="2" t="inlineStr">
        <is>
          <t>Yes</t>
        </is>
      </c>
      <c r="E113" s="2" t="inlineStr">
        <is>
          <t>Partial</t>
        </is>
      </c>
      <c r="F113" s="2" t="inlineStr">
        <is>
          <t>Yes</t>
        </is>
      </c>
      <c r="G113" s="2" t="inlineStr">
        <is>
          <t>Yes</t>
        </is>
      </c>
      <c r="H113" s="4" t="inlineStr">
        <is>
          <t>EXISTING_PARTIAL</t>
        </is>
      </c>
      <c r="I113" s="2" t="inlineStr">
        <is>
          <t>Partly - see notes</t>
        </is>
      </c>
      <c r="J113" s="2" t="inlineStr">
        <is>
          <t>delivery-assignment.ts:190-292</t>
        </is>
      </c>
      <c r="K113" s="2" t="inlineStr">
        <is>
          <t>Accept lacks a status guard in its UPDATE; pickup/deliver update two tables in separate transactions (DEF-04).</t>
        </is>
      </c>
    </row>
    <row r="114">
      <c r="A114" s="2" t="inlineStr">
        <is>
          <t>DEL-06</t>
        </is>
      </c>
      <c r="B114" s="2" t="inlineStr">
        <is>
          <t>Delivery</t>
        </is>
      </c>
      <c r="C114" s="2" t="inlineStr">
        <is>
          <t>Earnings rate (base + per km), per-delivery earnings ledger, summary</t>
        </is>
      </c>
      <c r="D114" s="2" t="inlineStr">
        <is>
          <t>Yes</t>
        </is>
      </c>
      <c r="E114" s="2" t="inlineStr">
        <is>
          <t>Yes</t>
        </is>
      </c>
      <c r="F114" s="2" t="inlineStr">
        <is>
          <t>Yes</t>
        </is>
      </c>
      <c r="G114" s="2" t="inlineStr">
        <is>
          <t>Yes</t>
        </is>
      </c>
      <c r="H114" s="3" t="inlineStr">
        <is>
          <t>EXISTING_WORKING</t>
        </is>
      </c>
      <c r="I114" s="2" t="inlineStr">
        <is>
          <t>Yes - automated tests pass</t>
        </is>
      </c>
      <c r="J114" s="2" t="inlineStr">
        <is>
          <t>delivery-earnings.ts; delivery-earnings-config-manager.tsx</t>
        </is>
      </c>
      <c r="K114" s="2" t="inlineStr"/>
    </row>
    <row r="115">
      <c r="A115" s="2" t="inlineStr">
        <is>
          <t>DEL-07</t>
        </is>
      </c>
      <c r="B115" s="2" t="inlineStr">
        <is>
          <t>Delivery</t>
        </is>
      </c>
      <c r="C115" s="2" t="inlineStr">
        <is>
          <t>Operator/admin manual reassign</t>
        </is>
      </c>
      <c r="D115" s="2" t="inlineStr">
        <is>
          <t>Yes</t>
        </is>
      </c>
      <c r="E115" s="2" t="inlineStr">
        <is>
          <t>Yes</t>
        </is>
      </c>
      <c r="F115" s="2" t="inlineStr">
        <is>
          <t>Yes</t>
        </is>
      </c>
      <c r="G115" s="2" t="inlineStr">
        <is>
          <t>Yes</t>
        </is>
      </c>
      <c r="H115" s="3" t="inlineStr">
        <is>
          <t>EXISTING_WORKING</t>
        </is>
      </c>
      <c r="I115" s="2" t="inlineStr">
        <is>
          <t>Yes - automated tests pass</t>
        </is>
      </c>
      <c r="J115" s="2" t="inlineStr">
        <is>
          <t>delivery-assignment.ts:149</t>
        </is>
      </c>
      <c r="K115" s="2" t="inlineStr"/>
    </row>
    <row r="116">
      <c r="A116" s="2" t="inlineStr">
        <is>
          <t>DEL-08</t>
        </is>
      </c>
      <c r="B116" s="2" t="inlineStr">
        <is>
          <t>Delivery</t>
        </is>
      </c>
      <c r="C116" s="2" t="inlineStr">
        <is>
          <t>Offer expiry, automatic re-offer excluding earlier rejecters, escalation to operations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No</t>
        </is>
      </c>
      <c r="G116" s="2" t="inlineStr">
        <is>
          <t>No</t>
        </is>
      </c>
      <c r="H116" s="5" t="inlineStr">
        <is>
          <t>MISSING</t>
        </is>
      </c>
      <c r="I116" s="2" t="inlineStr">
        <is>
          <t>n/a - not built</t>
        </is>
      </c>
      <c r="J116" s="2" t="inlineStr">
        <is>
          <t>-</t>
        </is>
      </c>
      <c r="K116" s="2" t="inlineStr">
        <is>
          <t>An ignored OFFERED assignment counts as 'active' and blocks new assignment until an operator reassigns.</t>
        </is>
      </c>
    </row>
    <row r="117">
      <c r="A117" s="2" t="inlineStr">
        <is>
          <t>DEL-09</t>
        </is>
      </c>
      <c r="B117" s="2" t="inlineStr">
        <is>
          <t>Delivery</t>
        </is>
      </c>
      <c r="C117" s="2" t="inlineStr">
        <is>
          <t>Configurable assignment scoring (society priority, preferred, ETA, reliability, load, batch)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No</t>
        </is>
      </c>
      <c r="G117" s="2" t="inlineStr">
        <is>
          <t>No</t>
        </is>
      </c>
      <c r="H117" s="5" t="inlineStr">
        <is>
          <t>MISSING</t>
        </is>
      </c>
      <c r="I117" s="2" t="inlineStr">
        <is>
          <t>n/a - not built</t>
        </is>
      </c>
      <c r="J117" s="2" t="inlineStr">
        <is>
          <t>-</t>
        </is>
      </c>
      <c r="K117" s="2" t="inlineStr">
        <is>
          <t>Today: nearest online approved partner within radius.</t>
        </is>
      </c>
    </row>
    <row r="118">
      <c r="A118" s="2" t="inlineStr">
        <is>
          <t>DEL-10</t>
        </is>
      </c>
      <c r="B118" s="2" t="inlineStr">
        <is>
          <t>Delivery</t>
        </is>
      </c>
      <c r="C118" s="2" t="inlineStr">
        <is>
          <t>Job discovery list (several open jobs visible to a partner)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No</t>
        </is>
      </c>
      <c r="G118" s="2" t="inlineStr">
        <is>
          <t>No</t>
        </is>
      </c>
      <c r="H118" s="5" t="inlineStr">
        <is>
          <t>MISSING</t>
        </is>
      </c>
      <c r="I118" s="2" t="inlineStr">
        <is>
          <t>n/a - not built</t>
        </is>
      </c>
      <c r="J118" s="2" t="inlineStr">
        <is>
          <t>-</t>
        </is>
      </c>
      <c r="K118" s="2" t="inlineStr">
        <is>
          <t>Offers are pushed one at a time.</t>
        </is>
      </c>
    </row>
    <row r="119">
      <c r="A119" s="2" t="inlineStr">
        <is>
          <t>DEL-11</t>
        </is>
      </c>
      <c r="B119" s="2" t="inlineStr">
        <is>
          <t>Delivery</t>
        </is>
      </c>
      <c r="C119" s="2" t="inlineStr">
        <is>
          <t>Pickup OTP/QR, customer delivery OTP, proof-of-delivery photo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No</t>
        </is>
      </c>
      <c r="G119" s="2" t="inlineStr">
        <is>
          <t>No</t>
        </is>
      </c>
      <c r="H119" s="5" t="inlineStr">
        <is>
          <t>MISSING</t>
        </is>
      </c>
      <c r="I119" s="2" t="inlineStr">
        <is>
          <t>n/a - not built</t>
        </is>
      </c>
      <c r="J119" s="2" t="inlineStr">
        <is>
          <t>-</t>
        </is>
      </c>
      <c r="K119" s="2" t="inlineStr">
        <is>
          <t>A partner can mark DELIVERED with no proof. Needs an SMS/OTP provider (decision D2).</t>
        </is>
      </c>
    </row>
    <row r="120">
      <c r="A120" s="2" t="inlineStr">
        <is>
          <t>DEL-12</t>
        </is>
      </c>
      <c r="B120" s="2" t="inlineStr">
        <is>
          <t>Delivery</t>
        </is>
      </c>
      <c r="C120" s="2" t="inlineStr">
        <is>
          <t>Failed delivery, customer unavailable, return to shop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No</t>
        </is>
      </c>
      <c r="G120" s="2" t="inlineStr">
        <is>
          <t>No</t>
        </is>
      </c>
      <c r="H120" s="5" t="inlineStr">
        <is>
          <t>MISSING</t>
        </is>
      </c>
      <c r="I120" s="2" t="inlineStr">
        <is>
          <t>n/a - not built</t>
        </is>
      </c>
      <c r="J120" s="2" t="inlineStr">
        <is>
          <t>-</t>
        </is>
      </c>
      <c r="K120" s="2" t="inlineStr"/>
    </row>
    <row r="121">
      <c r="A121" s="2" t="inlineStr">
        <is>
          <t>DEL-13</t>
        </is>
      </c>
      <c r="B121" s="2" t="inlineStr">
        <is>
          <t>Delivery</t>
        </is>
      </c>
      <c r="C121" s="2" t="inlineStr">
        <is>
          <t>Navigation to pickup / drop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No</t>
        </is>
      </c>
      <c r="G121" s="2" t="inlineStr">
        <is>
          <t>No</t>
        </is>
      </c>
      <c r="H121" s="5" t="inlineStr">
        <is>
          <t>MISSING</t>
        </is>
      </c>
      <c r="I121" s="2" t="inlineStr">
        <is>
          <t>n/a - not built</t>
        </is>
      </c>
      <c r="J121" s="2" t="inlineStr">
        <is>
          <t>-</t>
        </is>
      </c>
      <c r="K121" s="2" t="inlineStr">
        <is>
          <t>Address text only, by design (Maps cost control).</t>
        </is>
      </c>
    </row>
    <row r="122">
      <c r="A122" s="2" t="inlineStr">
        <is>
          <t>DEL-14</t>
        </is>
      </c>
      <c r="B122" s="2" t="inlineStr">
        <is>
          <t>Delivery</t>
        </is>
      </c>
      <c r="C122" s="2" t="inlineStr">
        <is>
          <t>Multi-order batching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No</t>
        </is>
      </c>
      <c r="G122" s="2" t="inlineStr">
        <is>
          <t>No</t>
        </is>
      </c>
      <c r="H122" s="5" t="inlineStr">
        <is>
          <t>MISSING</t>
        </is>
      </c>
      <c r="I122" s="2" t="inlineStr">
        <is>
          <t>n/a - not built</t>
        </is>
      </c>
      <c r="J122" s="2" t="inlineStr">
        <is>
          <t>-</t>
        </is>
      </c>
      <c r="K122" s="2" t="inlineStr">
        <is>
          <t>Documented as a later phase in the code.</t>
        </is>
      </c>
    </row>
    <row r="123">
      <c r="A123" s="2" t="inlineStr">
        <is>
          <t>DEL-15</t>
        </is>
      </c>
      <c r="B123" s="2" t="inlineStr">
        <is>
          <t>Delivery</t>
        </is>
      </c>
      <c r="C123" s="2" t="inlineStr">
        <is>
          <t>Incentives and payouts to partners (payout batches, history)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No</t>
        </is>
      </c>
      <c r="G123" s="2" t="inlineStr">
        <is>
          <t>No</t>
        </is>
      </c>
      <c r="H123" s="5" t="inlineStr">
        <is>
          <t>MISSING</t>
        </is>
      </c>
      <c r="I123" s="2" t="inlineStr">
        <is>
          <t>n/a - not built</t>
        </is>
      </c>
      <c r="J123" s="2" t="inlineStr">
        <is>
          <t>-</t>
        </is>
      </c>
      <c r="K123" s="2" t="inlineStr">
        <is>
          <t>Earnings accrue but nothing pays them out.</t>
        </is>
      </c>
    </row>
    <row r="124">
      <c r="A124" s="2" t="inlineStr">
        <is>
          <t>DEL-16</t>
        </is>
      </c>
      <c r="B124" s="2" t="inlineStr">
        <is>
          <t>Delivery</t>
        </is>
      </c>
      <c r="C124" s="2" t="inlineStr">
        <is>
          <t>Delivery-window feasibility promise</t>
        </is>
      </c>
      <c r="D124" s="2" t="inlineStr">
        <is>
          <t>Yes</t>
        </is>
      </c>
      <c r="E124" s="2" t="inlineStr">
        <is>
          <t>Yes</t>
        </is>
      </c>
      <c r="F124" s="2" t="inlineStr">
        <is>
          <t>Yes</t>
        </is>
      </c>
      <c r="G124" s="2" t="inlineStr">
        <is>
          <t>Yes</t>
        </is>
      </c>
      <c r="H124" s="3" t="inlineStr">
        <is>
          <t>EXISTING_WORKING</t>
        </is>
      </c>
      <c r="I124" s="2" t="inlineStr">
        <is>
          <t>Yes - automated tests pass</t>
        </is>
      </c>
      <c r="J124" s="2" t="inlineStr">
        <is>
          <t>delivery-feasibility.ts</t>
        </is>
      </c>
      <c r="K124" s="2" t="inlineStr">
        <is>
          <t>Flat 20 km/h assumption; busy = ACCEPTED only, unlike assignment (DEF-05).</t>
        </is>
      </c>
    </row>
    <row r="125">
      <c r="A125" s="2" t="inlineStr">
        <is>
          <t>SOC-01</t>
        </is>
      </c>
      <c r="B125" s="2" t="inlineStr">
        <is>
          <t>Society</t>
        </is>
      </c>
      <c r="C125" s="2" t="inlineStr">
        <is>
          <t>Society registration and verification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No</t>
        </is>
      </c>
      <c r="G125" s="2" t="inlineStr">
        <is>
          <t>No</t>
        </is>
      </c>
      <c r="H125" s="5" t="inlineStr">
        <is>
          <t>MISSING</t>
        </is>
      </c>
      <c r="I125" s="2" t="inlineStr">
        <is>
          <t>n/a - not built</t>
        </is>
      </c>
      <c r="J125" s="2" t="inlineStr">
        <is>
          <t>-</t>
        </is>
      </c>
      <c r="K125" s="2" t="inlineStr">
        <is>
          <t>No 'society', 'apartment' or 'housing' concept exists in the code or schema.</t>
        </is>
      </c>
    </row>
    <row r="126">
      <c r="A126" s="2" t="inlineStr">
        <is>
          <t>SOC-02</t>
        </is>
      </c>
      <c r="B126" s="2" t="inlineStr">
        <is>
          <t>Society</t>
        </is>
      </c>
      <c r="C126" s="2" t="inlineStr">
        <is>
          <t>Society profile, blocks/buildings, delivery and security instructions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No</t>
        </is>
      </c>
      <c r="G126" s="2" t="inlineStr">
        <is>
          <t>No</t>
        </is>
      </c>
      <c r="H126" s="5" t="inlineStr">
        <is>
          <t>MISSING</t>
        </is>
      </c>
      <c r="I126" s="2" t="inlineStr">
        <is>
          <t>n/a - not built</t>
        </is>
      </c>
      <c r="J126" s="2" t="inlineStr">
        <is>
          <t>-</t>
        </is>
      </c>
      <c r="K126" s="2" t="inlineStr"/>
    </row>
    <row r="127">
      <c r="A127" s="2" t="inlineStr">
        <is>
          <t>SOC-03</t>
        </is>
      </c>
      <c r="B127" s="2" t="inlineStr">
        <is>
          <t>Society</t>
        </is>
      </c>
      <c r="C127" s="2" t="inlineStr">
        <is>
          <t>Authorized / preferred / priority worker lists (approve, revoke)</t>
        </is>
      </c>
      <c r="D127" s="2" t="inlineStr">
        <is>
          <t>No</t>
        </is>
      </c>
      <c r="E127" s="2" t="inlineStr">
        <is>
          <t>No</t>
        </is>
      </c>
      <c r="F127" s="2" t="inlineStr">
        <is>
          <t>No</t>
        </is>
      </c>
      <c r="G127" s="2" t="inlineStr">
        <is>
          <t>No</t>
        </is>
      </c>
      <c r="H127" s="5" t="inlineStr">
        <is>
          <t>MISSING</t>
        </is>
      </c>
      <c r="I127" s="2" t="inlineStr">
        <is>
          <t>n/a - not built</t>
        </is>
      </c>
      <c r="J127" s="2" t="inlineStr">
        <is>
          <t>-</t>
        </is>
      </c>
      <c r="K127" s="2" t="inlineStr"/>
    </row>
    <row r="128">
      <c r="A128" s="2" t="inlineStr">
        <is>
          <t>SOC-04</t>
        </is>
      </c>
      <c r="B128" s="2" t="inlineStr">
        <is>
          <t>Society</t>
        </is>
      </c>
      <c r="C128" s="2" t="inlineStr">
        <is>
          <t>Society-specific delivery policies and delivery notifications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No</t>
        </is>
      </c>
      <c r="G128" s="2" t="inlineStr">
        <is>
          <t>No</t>
        </is>
      </c>
      <c r="H128" s="5" t="inlineStr">
        <is>
          <t>MISSING</t>
        </is>
      </c>
      <c r="I128" s="2" t="inlineStr">
        <is>
          <t>n/a - not built</t>
        </is>
      </c>
      <c r="J128" s="2" t="inlineStr">
        <is>
          <t>-</t>
        </is>
      </c>
      <c r="K128" s="2" t="inlineStr"/>
    </row>
    <row r="129">
      <c r="A129" s="2" t="inlineStr">
        <is>
          <t>SOC-05</t>
        </is>
      </c>
      <c r="B129" s="2" t="inlineStr">
        <is>
          <t>Society</t>
        </is>
      </c>
      <c r="C129" s="2" t="inlineStr">
        <is>
          <t>Society-priority assignment engine with configurable fallback chain</t>
        </is>
      </c>
      <c r="D129" s="2" t="inlineStr">
        <is>
          <t>No</t>
        </is>
      </c>
      <c r="E129" s="2" t="inlineStr">
        <is>
          <t>No</t>
        </is>
      </c>
      <c r="F129" s="2" t="inlineStr">
        <is>
          <t>No</t>
        </is>
      </c>
      <c r="G129" s="2" t="inlineStr">
        <is>
          <t>No</t>
        </is>
      </c>
      <c r="H129" s="5" t="inlineStr">
        <is>
          <t>MISSING</t>
        </is>
      </c>
      <c r="I129" s="2" t="inlineStr">
        <is>
          <t>n/a - not built</t>
        </is>
      </c>
      <c r="J129" s="2" t="inlineStr">
        <is>
          <t>-</t>
        </is>
      </c>
      <c r="K129" s="2" t="inlineStr">
        <is>
          <t>See DEL-09.</t>
        </is>
      </c>
    </row>
    <row r="130">
      <c r="A130" s="2" t="inlineStr">
        <is>
          <t>MKT-01</t>
        </is>
      </c>
      <c r="B130" s="2" t="inlineStr">
        <is>
          <t>Marketing</t>
        </is>
      </c>
      <c r="C130" s="2" t="inlineStr">
        <is>
          <t>Shop campaigns, offers, discounts</t>
        </is>
      </c>
      <c r="D130" s="2" t="inlineStr">
        <is>
          <t>No</t>
        </is>
      </c>
      <c r="E130" s="2" t="inlineStr">
        <is>
          <t>No</t>
        </is>
      </c>
      <c r="F130" s="2" t="inlineStr">
        <is>
          <t>No</t>
        </is>
      </c>
      <c r="G130" s="2" t="inlineStr">
        <is>
          <t>No</t>
        </is>
      </c>
      <c r="H130" s="5" t="inlineStr">
        <is>
          <t>MISSING</t>
        </is>
      </c>
      <c r="I130" s="2" t="inlineStr">
        <is>
          <t>n/a - not built</t>
        </is>
      </c>
      <c r="J130" s="2" t="inlineStr">
        <is>
          <t>-</t>
        </is>
      </c>
      <c r="K130" s="2" t="inlineStr"/>
    </row>
    <row r="131">
      <c r="A131" s="2" t="inlineStr">
        <is>
          <t>MKT-02</t>
        </is>
      </c>
      <c r="B131" s="2" t="inlineStr">
        <is>
          <t>Marketing</t>
        </is>
      </c>
      <c r="C131" s="2" t="inlineStr">
        <is>
          <t>Customer segmentation (locality, society, purchasers, frequency)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No</t>
        </is>
      </c>
      <c r="G131" s="2" t="inlineStr">
        <is>
          <t>No</t>
        </is>
      </c>
      <c r="H131" s="5" t="inlineStr">
        <is>
          <t>MISSING</t>
        </is>
      </c>
      <c r="I131" s="2" t="inlineStr">
        <is>
          <t>n/a - not built</t>
        </is>
      </c>
      <c r="J131" s="2" t="inlineStr">
        <is>
          <t>-</t>
        </is>
      </c>
      <c r="K131" s="2" t="inlineStr"/>
    </row>
    <row r="132">
      <c r="A132" s="2" t="inlineStr">
        <is>
          <t>MKT-03</t>
        </is>
      </c>
      <c r="B132" s="2" t="inlineStr">
        <is>
          <t>Marketing</t>
        </is>
      </c>
      <c r="C132" s="2" t="inlineStr">
        <is>
          <t>Consent-gated messaging with opt-out, suppression list, frequency caps, campaign audit</t>
        </is>
      </c>
      <c r="D132" s="2" t="inlineStr">
        <is>
          <t>No</t>
        </is>
      </c>
      <c r="E132" s="2" t="inlineStr">
        <is>
          <t>No</t>
        </is>
      </c>
      <c r="F132" s="2" t="inlineStr">
        <is>
          <t>Partial</t>
        </is>
      </c>
      <c r="G132" s="2" t="inlineStr">
        <is>
          <t>No</t>
        </is>
      </c>
      <c r="H132" s="5" t="inlineStr">
        <is>
          <t>MISSING</t>
        </is>
      </c>
      <c r="I132" s="2" t="inlineStr">
        <is>
          <t>n/a - not built</t>
        </is>
      </c>
      <c r="J132" s="2" t="inlineStr">
        <is>
          <t>consent_type has MARKETING_COMMUNICATIONS</t>
        </is>
      </c>
      <c r="K132" s="2" t="inlineStr">
        <is>
          <t>Only the consent enum value exists.</t>
        </is>
      </c>
    </row>
    <row r="133">
      <c r="A133" s="2" t="inlineStr">
        <is>
          <t>FIN-01</t>
        </is>
      </c>
      <c r="B133" s="2" t="inlineStr">
        <is>
          <t>Finance</t>
        </is>
      </c>
      <c r="C133" s="2" t="inlineStr">
        <is>
          <t>Order ledger: GMV, tax, commission, delivery fee, discounts, refunds -&gt; shop / gig / platform payables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No</t>
        </is>
      </c>
      <c r="G133" s="2" t="inlineStr">
        <is>
          <t>No</t>
        </is>
      </c>
      <c r="H133" s="5" t="inlineStr">
        <is>
          <t>MISSING</t>
        </is>
      </c>
      <c r="I133" s="2" t="inlineStr">
        <is>
          <t>n/a - not built</t>
        </is>
      </c>
      <c r="J133" s="2" t="inlineStr">
        <is>
          <t>-</t>
        </is>
      </c>
      <c r="K133" s="2" t="inlineStr">
        <is>
          <t>Commission, settlement and payout have no code at all.</t>
        </is>
      </c>
    </row>
    <row r="134">
      <c r="A134" s="2" t="inlineStr">
        <is>
          <t>FIN-02</t>
        </is>
      </c>
      <c r="B134" s="2" t="inlineStr">
        <is>
          <t>Finance</t>
        </is>
      </c>
      <c r="C134" s="2" t="inlineStr">
        <is>
          <t>Settlement runs and payouts (shop, gig)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No</t>
        </is>
      </c>
      <c r="G134" s="2" t="inlineStr">
        <is>
          <t>No</t>
        </is>
      </c>
      <c r="H134" s="5" t="inlineStr">
        <is>
          <t>MISSING</t>
        </is>
      </c>
      <c r="I134" s="2" t="inlineStr">
        <is>
          <t>n/a - not built</t>
        </is>
      </c>
      <c r="J134" s="2" t="inlineStr">
        <is>
          <t>-</t>
        </is>
      </c>
      <c r="K134" s="2" t="inlineStr"/>
    </row>
    <row r="135">
      <c r="A135" s="2" t="inlineStr">
        <is>
          <t>FIN-03</t>
        </is>
      </c>
      <c r="B135" s="2" t="inlineStr">
        <is>
          <t>Finance</t>
        </is>
      </c>
      <c r="C135" s="2" t="inlineStr">
        <is>
          <t>Invoices (customer tax invoice, shop commission invoice)</t>
        </is>
      </c>
      <c r="D135" s="2" t="inlineStr">
        <is>
          <t>No</t>
        </is>
      </c>
      <c r="E135" s="2" t="inlineStr">
        <is>
          <t>No</t>
        </is>
      </c>
      <c r="F135" s="2" t="inlineStr">
        <is>
          <t>No</t>
        </is>
      </c>
      <c r="G135" s="2" t="inlineStr">
        <is>
          <t>No</t>
        </is>
      </c>
      <c r="H135" s="5" t="inlineStr">
        <is>
          <t>MISSING</t>
        </is>
      </c>
      <c r="I135" s="2" t="inlineStr">
        <is>
          <t>n/a - not built</t>
        </is>
      </c>
      <c r="J135" s="2" t="inlineStr">
        <is>
          <t>-</t>
        </is>
      </c>
      <c r="K135" s="2" t="inlineStr"/>
    </row>
    <row r="136">
      <c r="A136" s="2" t="inlineStr">
        <is>
          <t>FIN-04</t>
        </is>
      </c>
      <c r="B136" s="2" t="inlineStr">
        <is>
          <t>Finance</t>
        </is>
      </c>
      <c r="C136" s="2" t="inlineStr">
        <is>
          <t>Admin KPIs: delivered revenue, wallet float, counts</t>
        </is>
      </c>
      <c r="D136" s="2" t="inlineStr">
        <is>
          <t>Yes</t>
        </is>
      </c>
      <c r="E136" s="2" t="inlineStr">
        <is>
          <t>Yes</t>
        </is>
      </c>
      <c r="F136" s="2" t="inlineStr">
        <is>
          <t>Yes</t>
        </is>
      </c>
      <c r="G136" s="2" t="inlineStr">
        <is>
          <t>n/a</t>
        </is>
      </c>
      <c r="H136" s="4" t="inlineStr">
        <is>
          <t>EXISTING_PARTIAL</t>
        </is>
      </c>
      <c r="I136" s="2" t="inlineStr">
        <is>
          <t>Yes - code-verified only (no dedicated test)</t>
        </is>
      </c>
      <c r="J136" s="2" t="inlineStr">
        <is>
          <t>src/app/admin/page.tsx:74-130,239-245</t>
        </is>
      </c>
      <c r="K136" s="2" t="inlineStr">
        <is>
          <t>Headline numbers only; no reports, filters or exports.</t>
        </is>
      </c>
    </row>
    <row r="137">
      <c r="A137" s="2" t="inlineStr">
        <is>
          <t>ADM-01</t>
        </is>
      </c>
      <c r="B137" s="2" t="inlineStr">
        <is>
          <t>Admin</t>
        </is>
      </c>
      <c r="C137" s="2" t="inlineStr">
        <is>
          <t>Admin console: fees, referrals, price and product approvals, vouchers, users, audit, grievances, compliance, GST/PAN queue, delivery partners, earnings rate, Maps usage</t>
        </is>
      </c>
      <c r="D137" s="2" t="inlineStr">
        <is>
          <t>Yes</t>
        </is>
      </c>
      <c r="E137" s="2" t="inlineStr">
        <is>
          <t>Yes</t>
        </is>
      </c>
      <c r="F137" s="2" t="inlineStr">
        <is>
          <t>Yes</t>
        </is>
      </c>
      <c r="G137" s="2" t="inlineStr">
        <is>
          <t>Yes</t>
        </is>
      </c>
      <c r="H137" s="3" t="inlineStr">
        <is>
          <t>EXISTING_WORKING</t>
        </is>
      </c>
      <c r="I137" s="2" t="inlineStr">
        <is>
          <t>Yes - code-verified only (no dedicated test)</t>
        </is>
      </c>
      <c r="J137" s="2" t="inlineStr">
        <is>
          <t>/admin (603 lines)</t>
        </is>
      </c>
      <c r="K137" s="2" t="inlineStr">
        <is>
          <t>Each section gated by a capability check.</t>
        </is>
      </c>
    </row>
    <row r="138">
      <c r="A138" s="2" t="inlineStr">
        <is>
          <t>ADM-02</t>
        </is>
      </c>
      <c r="B138" s="2" t="inlineStr">
        <is>
          <t>Admin</t>
        </is>
      </c>
      <c r="C138" s="2" t="inlineStr">
        <is>
          <t>Audit log: written on all sensitive actions; viewer with full (admin) and limited (operator) scope</t>
        </is>
      </c>
      <c r="D138" s="2" t="inlineStr">
        <is>
          <t>Yes</t>
        </is>
      </c>
      <c r="E138" s="2" t="inlineStr">
        <is>
          <t>Yes</t>
        </is>
      </c>
      <c r="F138" s="2" t="inlineStr">
        <is>
          <t>Yes</t>
        </is>
      </c>
      <c r="G138" s="2" t="inlineStr">
        <is>
          <t>n/a</t>
        </is>
      </c>
      <c r="H138" s="3" t="inlineStr">
        <is>
          <t>EXISTING_WORKING</t>
        </is>
      </c>
      <c r="I138" s="2" t="inlineStr">
        <is>
          <t>Yes - code-verified only (no dedicated test)</t>
        </is>
      </c>
      <c r="J138" s="2" t="inlineStr">
        <is>
          <t>audit.ts; audit-log-query.ts; audit-log-view.tsx</t>
        </is>
      </c>
      <c r="K138" s="2" t="inlineStr">
        <is>
          <t>No direct test for the audit service.</t>
        </is>
      </c>
    </row>
    <row r="139">
      <c r="A139" s="2" t="inlineStr">
        <is>
          <t>ADM-03</t>
        </is>
      </c>
      <c r="B139" s="2" t="inlineStr">
        <is>
          <t>Admin</t>
        </is>
      </c>
      <c r="C139" s="2" t="inlineStr">
        <is>
          <t>Compliance checklist dashboard</t>
        </is>
      </c>
      <c r="D139" s="2" t="inlineStr">
        <is>
          <t>Yes</t>
        </is>
      </c>
      <c r="E139" s="2" t="inlineStr">
        <is>
          <t>Yes</t>
        </is>
      </c>
      <c r="F139" s="2" t="inlineStr">
        <is>
          <t>Yes</t>
        </is>
      </c>
      <c r="G139" s="2" t="inlineStr">
        <is>
          <t>n/a</t>
        </is>
      </c>
      <c r="H139" s="3" t="inlineStr">
        <is>
          <t>EXISTING_WORKING</t>
        </is>
      </c>
      <c r="I139" s="2" t="inlineStr">
        <is>
          <t>Yes - code-verified only (no dedicated test)</t>
        </is>
      </c>
      <c r="J139" s="2" t="inlineStr">
        <is>
          <t>compliance.ts; compliance-dashboard.tsx</t>
        </is>
      </c>
      <c r="K139" s="2" t="inlineStr">
        <is>
          <t>No test.</t>
        </is>
      </c>
    </row>
    <row r="140">
      <c r="A140" s="2" t="inlineStr">
        <is>
          <t>ADM-04</t>
        </is>
      </c>
      <c r="B140" s="2" t="inlineStr">
        <is>
          <t>Admin</t>
        </is>
      </c>
      <c r="C140" s="2" t="inlineStr">
        <is>
          <t>Google Maps usage and cost panel</t>
        </is>
      </c>
      <c r="D140" s="2" t="inlineStr">
        <is>
          <t>Yes</t>
        </is>
      </c>
      <c r="E140" s="2" t="inlineStr">
        <is>
          <t>Yes</t>
        </is>
      </c>
      <c r="F140" s="2" t="inlineStr">
        <is>
          <t>Yes</t>
        </is>
      </c>
      <c r="G140" s="2" t="inlineStr">
        <is>
          <t>n/a</t>
        </is>
      </c>
      <c r="H140" s="3" t="inlineStr">
        <is>
          <t>EXISTING_WORKING</t>
        </is>
      </c>
      <c r="I140" s="2" t="inlineStr">
        <is>
          <t>Yes - code-verified only (no dedicated test)</t>
        </is>
      </c>
      <c r="J140" s="2" t="inlineStr">
        <is>
          <t>maps-usage.ts; maps_api_call_log</t>
        </is>
      </c>
      <c r="K140" s="2" t="inlineStr">
        <is>
          <t>No test.</t>
        </is>
      </c>
    </row>
    <row r="141">
      <c r="A141" s="2" t="inlineStr">
        <is>
          <t>ADM-05</t>
        </is>
      </c>
      <c r="B141" s="2" t="inlineStr">
        <is>
          <t>Admin</t>
        </is>
      </c>
      <c r="C141" s="2" t="inlineStr">
        <is>
          <t>Grievance management: assign, resolve, SLA counters</t>
        </is>
      </c>
      <c r="D141" s="2" t="inlineStr">
        <is>
          <t>Yes</t>
        </is>
      </c>
      <c r="E141" s="2" t="inlineStr">
        <is>
          <t>Yes</t>
        </is>
      </c>
      <c r="F141" s="2" t="inlineStr">
        <is>
          <t>Yes</t>
        </is>
      </c>
      <c r="G141" s="2" t="inlineStr">
        <is>
          <t>Yes</t>
        </is>
      </c>
      <c r="H141" s="3" t="inlineStr">
        <is>
          <t>EXISTING_WORKING</t>
        </is>
      </c>
      <c r="I141" s="2" t="inlineStr">
        <is>
          <t>Yes - automated tests pass</t>
        </is>
      </c>
      <c r="J141" s="2" t="inlineStr">
        <is>
          <t>grievances.ts; grievance-manager.tsx</t>
        </is>
      </c>
      <c r="K141" s="2" t="inlineStr"/>
    </row>
    <row r="142">
      <c r="A142" s="2" t="inlineStr">
        <is>
          <t>ADM-06</t>
        </is>
      </c>
      <c r="B142" s="2" t="inlineStr">
        <is>
          <t>Admin</t>
        </is>
      </c>
      <c r="C142" s="2" t="inlineStr">
        <is>
          <t>Operator dashboard</t>
        </is>
      </c>
      <c r="D142" s="2" t="inlineStr">
        <is>
          <t>Partial</t>
        </is>
      </c>
      <c r="E142" s="2" t="inlineStr">
        <is>
          <t>n/a</t>
        </is>
      </c>
      <c r="F142" s="2" t="inlineStr">
        <is>
          <t>n/a</t>
        </is>
      </c>
      <c r="G142" s="2" t="inlineStr">
        <is>
          <t>n/a</t>
        </is>
      </c>
      <c r="H142" s="4" t="inlineStr">
        <is>
          <t>EXISTING_PARTIAL</t>
        </is>
      </c>
      <c r="I142" s="2" t="inlineStr">
        <is>
          <t>Yes - code-verified only (no dedicated test)</t>
        </is>
      </c>
      <c r="J142" s="2" t="inlineStr">
        <is>
          <t>/operator</t>
        </is>
      </c>
      <c r="K142" s="2" t="inlineStr">
        <is>
          <t>10-line page that redirects to /admin.</t>
        </is>
      </c>
    </row>
    <row r="143">
      <c r="A143" s="2" t="inlineStr">
        <is>
          <t>ADM-07</t>
        </is>
      </c>
      <c r="B143" s="2" t="inlineStr">
        <is>
          <t>Admin</t>
        </is>
      </c>
      <c r="C143" s="2" t="inlineStr">
        <is>
          <t>Operator/admin view of all orders</t>
        </is>
      </c>
      <c r="D143" s="2" t="inlineStr">
        <is>
          <t>No</t>
        </is>
      </c>
      <c r="E143" s="2" t="inlineStr">
        <is>
          <t>Partial</t>
        </is>
      </c>
      <c r="F143" s="2" t="inlineStr">
        <is>
          <t>Yes</t>
        </is>
      </c>
      <c r="G143" s="2" t="inlineStr">
        <is>
          <t>No</t>
        </is>
      </c>
      <c r="H143" s="5" t="inlineStr">
        <is>
          <t>MISSING</t>
        </is>
      </c>
      <c r="I143" s="2" t="inlineStr">
        <is>
          <t>n/a - not built</t>
        </is>
      </c>
      <c r="J143" s="2" t="inlineStr">
        <is>
          <t>ORDER_VIEW_ANY unused; getOrder has no caller</t>
        </is>
      </c>
      <c r="K143" s="2" t="inlineStr">
        <is>
          <t>There is no screen or API to list or search every order.</t>
        </is>
      </c>
    </row>
    <row r="144">
      <c r="A144" s="2" t="inlineStr">
        <is>
          <t>PMD-01</t>
        </is>
      </c>
      <c r="B144" s="2" t="inlineStr">
        <is>
          <t>Product Master</t>
        </is>
      </c>
      <c r="C144" s="2" t="inlineStr">
        <is>
          <t>Source registry with legal basis; only open data and file feeds enabled; marketplaces/GS1 blocked pending agreements</t>
        </is>
      </c>
      <c r="D144" s="2" t="inlineStr">
        <is>
          <t>Yes</t>
        </is>
      </c>
      <c r="E144" s="2" t="inlineStr">
        <is>
          <t>Yes</t>
        </is>
      </c>
      <c r="F144" s="2" t="inlineStr">
        <is>
          <t>Yes</t>
        </is>
      </c>
      <c r="G144" s="2" t="inlineStr">
        <is>
          <t>n/a</t>
        </is>
      </c>
      <c r="H144" s="3" t="inlineStr">
        <is>
          <t>EXISTING_WORKING</t>
        </is>
      </c>
      <c r="I144" s="2" t="inlineStr">
        <is>
          <t>Yes - automated tests pass</t>
        </is>
      </c>
      <c r="J144" s="2" t="inlineStr">
        <is>
          <t>src/server/pmd/sources/registry.ts</t>
        </is>
      </c>
      <c r="K144" s="2" t="inlineStr">
        <is>
          <t>Policy: no scraping.</t>
        </is>
      </c>
    </row>
    <row r="145">
      <c r="A145" s="2" t="inlineStr">
        <is>
          <t>PMD-02</t>
        </is>
      </c>
      <c r="B145" s="2" t="inlineStr">
        <is>
          <t>Product Master</t>
        </is>
      </c>
      <c r="C145" s="2" t="inlineStr">
        <is>
          <t>ETL pipeline: normalise -&gt; match -&gt; load -&gt; offers and price history -&gt; quality score -&gt; Excel export</t>
        </is>
      </c>
      <c r="D145" s="2" t="inlineStr">
        <is>
          <t>n/a</t>
        </is>
      </c>
      <c r="E145" s="2" t="inlineStr">
        <is>
          <t>Yes</t>
        </is>
      </c>
      <c r="F145" s="2" t="inlineStr">
        <is>
          <t>Yes</t>
        </is>
      </c>
      <c r="G145" s="2" t="inlineStr">
        <is>
          <t>n/a</t>
        </is>
      </c>
      <c r="H145" s="3" t="inlineStr">
        <is>
          <t>EXISTING_WORKING</t>
        </is>
      </c>
      <c r="I145" s="2" t="inlineStr">
        <is>
          <t>Yes - automated tests pass</t>
        </is>
      </c>
      <c r="J145" s="2" t="inlineStr">
        <is>
          <t>src/server/pmd/pipeline/*</t>
        </is>
      </c>
      <c r="K145" s="2" t="inlineStr"/>
    </row>
    <row r="146">
      <c r="A146" s="2" t="inlineStr">
        <is>
          <t>PMD-03</t>
        </is>
      </c>
      <c r="B146" s="2" t="inlineStr">
        <is>
          <t>Product Master</t>
        </is>
      </c>
      <c r="C146" s="2" t="inlineStr">
        <is>
          <t>Possible-duplicate review queue (API + admin UI) and merge</t>
        </is>
      </c>
      <c r="D146" s="2" t="inlineStr">
        <is>
          <t>Yes</t>
        </is>
      </c>
      <c r="E146" s="2" t="inlineStr">
        <is>
          <t>Yes</t>
        </is>
      </c>
      <c r="F146" s="2" t="inlineStr">
        <is>
          <t>Yes</t>
        </is>
      </c>
      <c r="G146" s="2" t="inlineStr">
        <is>
          <t>Yes</t>
        </is>
      </c>
      <c r="H146" s="3" t="inlineStr">
        <is>
          <t>EXISTING_WORKING</t>
        </is>
      </c>
      <c r="I146" s="2" t="inlineStr">
        <is>
          <t>Yes - automated tests pass</t>
        </is>
      </c>
      <c r="J146" s="2" t="inlineStr">
        <is>
          <t>pmd-review-queue.tsx; /api/product-master/review*; scripts/pmd/review-decide.ts</t>
        </is>
      </c>
      <c r="K146" s="2" t="inlineStr"/>
    </row>
    <row r="147">
      <c r="A147" s="2" t="inlineStr">
        <is>
          <t>PMD-04</t>
        </is>
      </c>
      <c r="B147" s="2" t="inlineStr">
        <is>
          <t>Product Master</t>
        </is>
      </c>
      <c r="C147" s="2" t="inlineStr">
        <is>
          <t>REST API /api/product-master/* (13 routes; OpenAPI documented and test-checked)</t>
        </is>
      </c>
      <c r="D147" s="2" t="inlineStr">
        <is>
          <t>n/a</t>
        </is>
      </c>
      <c r="E147" s="2" t="inlineStr">
        <is>
          <t>Yes</t>
        </is>
      </c>
      <c r="F147" s="2" t="inlineStr">
        <is>
          <t>Yes</t>
        </is>
      </c>
      <c r="G147" s="2" t="inlineStr">
        <is>
          <t>Yes</t>
        </is>
      </c>
      <c r="H147" s="3" t="inlineStr">
        <is>
          <t>EXISTING_WORKING</t>
        </is>
      </c>
      <c r="I147" s="2" t="inlineStr">
        <is>
          <t>Yes - automated tests pass</t>
        </is>
      </c>
      <c r="J147" s="2" t="inlineStr">
        <is>
          <t>src/app/api/product-master/**</t>
        </is>
      </c>
      <c r="K147" s="2" t="inlineStr">
        <is>
          <t>The only area with HTTP route-level tests.</t>
        </is>
      </c>
    </row>
    <row r="148">
      <c r="A148" s="2" t="inlineStr">
        <is>
          <t>PMD-05</t>
        </is>
      </c>
      <c r="B148" s="2" t="inlineStr">
        <is>
          <t>Product Master</t>
        </is>
      </c>
      <c r="C148" s="2" t="inlineStr">
        <is>
          <t>Promote a master product into the marketplace catalogue (pmd.catalogue_link)</t>
        </is>
      </c>
      <c r="D148" s="2" t="inlineStr">
        <is>
          <t>No</t>
        </is>
      </c>
      <c r="E148" s="2" t="inlineStr">
        <is>
          <t>Yes</t>
        </is>
      </c>
      <c r="F148" s="2" t="inlineStr">
        <is>
          <t>Yes</t>
        </is>
      </c>
      <c r="G148" s="2" t="inlineStr">
        <is>
          <t>Yes</t>
        </is>
      </c>
      <c r="H148" s="3" t="inlineStr">
        <is>
          <t>EXISTING_WORKING</t>
        </is>
      </c>
      <c r="I148" s="2" t="inlineStr">
        <is>
          <t>Yes - automated tests pass</t>
        </is>
      </c>
      <c r="J148" s="2" t="inlineStr">
        <is>
          <t>catalogue-bridge.ts; scripts/pmd/promote.ts</t>
        </is>
      </c>
      <c r="K148" s="2" t="inlineStr">
        <is>
          <t>No promote button in the UI. 837 products promoted on the TEST database only (2026-09-21).</t>
        </is>
      </c>
    </row>
    <row r="149">
      <c r="A149" s="2" t="inlineStr">
        <is>
          <t>PMD-06</t>
        </is>
      </c>
      <c r="B149" s="2" t="inlineStr">
        <is>
          <t>Product Master</t>
        </is>
      </c>
      <c r="C149" s="2" t="inlineStr">
        <is>
          <t>Admin dashboard /admin/product-master</t>
        </is>
      </c>
      <c r="D149" s="2" t="inlineStr">
        <is>
          <t>Yes</t>
        </is>
      </c>
      <c r="E149" s="2" t="inlineStr">
        <is>
          <t>Yes</t>
        </is>
      </c>
      <c r="F149" s="2" t="inlineStr">
        <is>
          <t>Yes</t>
        </is>
      </c>
      <c r="G149" s="2" t="inlineStr">
        <is>
          <t>n/a</t>
        </is>
      </c>
      <c r="H149" s="4" t="inlineStr">
        <is>
          <t>EXISTING_PARTIAL</t>
        </is>
      </c>
      <c r="I149" s="2" t="inlineStr">
        <is>
          <t>Partly - see notes</t>
        </is>
      </c>
      <c r="J149" s="2" t="inlineStr">
        <is>
          <t>src/app/admin/product-master/page.tsx</t>
        </is>
      </c>
      <c r="K149" s="2" t="inlineStr">
        <is>
          <t>Not verified in a real browser (pilot report). Live DB has no pmd schema, so the screen errors on live.</t>
        </is>
      </c>
    </row>
    <row r="150">
      <c r="A150" s="2" t="inlineStr">
        <is>
          <t>PMD-07</t>
        </is>
      </c>
      <c r="B150" s="2" t="inlineStr">
        <is>
          <t>Product Master</t>
        </is>
      </c>
      <c r="C150" s="2" t="inlineStr">
        <is>
          <t>Scheduler / alerting for ingestion; product browser and edit screens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No</t>
        </is>
      </c>
      <c r="G150" s="2" t="inlineStr">
        <is>
          <t>No</t>
        </is>
      </c>
      <c r="H150" s="5" t="inlineStr">
        <is>
          <t>MISSING</t>
        </is>
      </c>
      <c r="I150" s="2" t="inlineStr">
        <is>
          <t>n/a - not built</t>
        </is>
      </c>
      <c r="J150" s="2" t="inlineStr">
        <is>
          <t>-</t>
        </is>
      </c>
      <c r="K150" s="2" t="inlineStr">
        <is>
          <t>Listed as 'not built' in the pilot report.</t>
        </is>
      </c>
    </row>
    <row r="151">
      <c r="A151" s="2" t="inlineStr">
        <is>
          <t>INF-01</t>
        </is>
      </c>
      <c r="B151" s="2" t="inlineStr">
        <is>
          <t>Platform</t>
        </is>
      </c>
      <c r="C151" s="2" t="inlineStr">
        <is>
          <t>CI: migrate -&gt; typecheck -&gt; lint -&gt; tests -&gt; build on push/PR to main and staging (Node 22, Postgres 16)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inlineStr">
        <is>
          <t>n/a</t>
        </is>
      </c>
      <c r="H151" s="3" t="inlineStr">
        <is>
          <t>EXISTING_WORKING</t>
        </is>
      </c>
      <c r="I151" s="2" t="inlineStr">
        <is>
          <t>Yes - code-verified only (no dedicated test)</t>
        </is>
      </c>
      <c r="J151" s="2" t="inlineStr">
        <is>
          <t>.github/workflows/ci.yml</t>
        </is>
      </c>
      <c r="K151" s="2" t="inlineStr">
        <is>
          <t>E2E is not part of CI.</t>
        </is>
      </c>
    </row>
    <row r="152">
      <c r="A152" s="2" t="inlineStr">
        <is>
          <t>INF-02</t>
        </is>
      </c>
      <c r="B152" s="2" t="inlineStr">
        <is>
          <t>Platform</t>
        </is>
      </c>
      <c r="C152" s="2" t="inlineStr">
        <is>
          <t>Hosting and deploy: Hostinger Node apps; main -&gt; gokesari.com (live), staging -&gt; test.gokesari.com; auto-deploy on push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inlineStr">
        <is>
          <t>n/a</t>
        </is>
      </c>
      <c r="H152" s="3" t="inlineStr">
        <is>
          <t>EXISTING_WORKING</t>
        </is>
      </c>
      <c r="I152" s="2" t="inlineStr">
        <is>
          <t>Yes - code-verified only (no dedicated test)</t>
        </is>
      </c>
      <c r="J152" s="2" t="inlineStr">
        <is>
          <t>DEPLOYMENT.md; project notes</t>
        </is>
      </c>
      <c r="K152" s="2" t="inlineStr">
        <is>
          <t>Merging to main deploys LIVE. hPanel 'Change repository' wipes env vars (use Redeploy &gt; Settings).</t>
        </is>
      </c>
    </row>
    <row r="153">
      <c r="A153" s="2" t="inlineStr">
        <is>
          <t>INF-03</t>
        </is>
      </c>
      <c r="B153" s="2" t="inlineStr">
        <is>
          <t>Platform</t>
        </is>
      </c>
      <c r="C153" s="2" t="inlineStr">
        <is>
          <t>Database migrations: 16 forward-only Drizzle SQL files (0000-0015); no down-migrations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Yes</t>
        </is>
      </c>
      <c r="G153" s="2" t="inlineStr">
        <is>
          <t>n/a</t>
        </is>
      </c>
      <c r="H153" s="3" t="inlineStr">
        <is>
          <t>EXISTING_WORKING</t>
        </is>
      </c>
      <c r="I153" s="2" t="inlineStr">
        <is>
          <t>Yes - automated tests pass</t>
        </is>
      </c>
      <c r="J153" s="2" t="inlineStr">
        <is>
          <t>drizzle/</t>
        </is>
      </c>
      <c r="K153" s="2" t="inlineStr">
        <is>
          <t>All 16 applied on the local test DB.</t>
        </is>
      </c>
    </row>
    <row r="154">
      <c r="A154" s="2" t="inlineStr">
        <is>
          <t>INF-04</t>
        </is>
      </c>
      <c r="B154" s="2" t="inlineStr">
        <is>
          <t>Platform</t>
        </is>
      </c>
      <c r="C154" s="2" t="inlineStr">
        <is>
          <t>Playwright E2E acceptance suite (desktop + mobile)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inlineStr">
        <is>
          <t>n/a</t>
        </is>
      </c>
      <c r="H154" s="4" t="inlineStr">
        <is>
          <t>EXISTING_PARTIAL</t>
        </is>
      </c>
      <c r="I154" s="2" t="inlineStr">
        <is>
          <t>No - see notes</t>
        </is>
      </c>
      <c r="J154" s="2" t="inlineStr">
        <is>
          <t>tests/e2e/acceptance.spec.ts</t>
        </is>
      </c>
      <c r="K154" s="2" t="inlineStr">
        <is>
          <t>Not run in this baseline: no browser installed and installing one is a download. Not in CI.</t>
        </is>
      </c>
    </row>
    <row r="155">
      <c r="A155" s="2" t="inlineStr">
        <is>
          <t>INF-05</t>
        </is>
      </c>
      <c r="B155" s="2" t="inlineStr">
        <is>
          <t>Platform</t>
        </is>
      </c>
      <c r="C155" s="2" t="inlineStr">
        <is>
          <t>Rate limiting</t>
        </is>
      </c>
      <c r="D155" s="2" t="inlineStr">
        <is>
          <t>n/a</t>
        </is>
      </c>
      <c r="E155" s="2" t="inlineStr">
        <is>
          <t>Yes</t>
        </is>
      </c>
      <c r="F155" s="2" t="inlineStr">
        <is>
          <t>n/a</t>
        </is>
      </c>
      <c r="G155" s="2" t="inlineStr">
        <is>
          <t>Yes</t>
        </is>
      </c>
      <c r="H155" s="4" t="inlineStr">
        <is>
          <t>EXISTING_PARTIAL</t>
        </is>
      </c>
      <c r="I155" s="2" t="inlineStr">
        <is>
          <t>Yes - code-verified only (no dedicated test)</t>
        </is>
      </c>
      <c r="J155" s="2" t="inlineStr">
        <is>
          <t>src/server/api/rate-limit.ts</t>
        </is>
      </c>
      <c r="K155" s="2" t="inlineStr">
        <is>
          <t>In-memory, per instance, 9 of 95 routes, keyed on client-supplied X-Forwarded-For (SEC-04).</t>
        </is>
      </c>
    </row>
    <row r="156">
      <c r="A156" s="2" t="inlineStr">
        <is>
          <t>INF-06</t>
        </is>
      </c>
      <c r="B156" s="2" t="inlineStr">
        <is>
          <t>Platform</t>
        </is>
      </c>
      <c r="C156" s="2" t="inlineStr">
        <is>
          <t>HTTP security headers / CSP / middleware</t>
        </is>
      </c>
      <c r="D156" s="2" t="inlineStr">
        <is>
          <t>n/a</t>
        </is>
      </c>
      <c r="E156" s="2" t="inlineStr">
        <is>
          <t>No</t>
        </is>
      </c>
      <c r="F156" s="2" t="inlineStr">
        <is>
          <t>n/a</t>
        </is>
      </c>
      <c r="G156" s="2" t="inlineStr">
        <is>
          <t>No</t>
        </is>
      </c>
      <c r="H156" s="5" t="inlineStr">
        <is>
          <t>MISSING</t>
        </is>
      </c>
      <c r="I156" s="2" t="inlineStr">
        <is>
          <t>n/a - not built</t>
        </is>
      </c>
      <c r="J156" s="2" t="inlineStr">
        <is>
          <t>next.config.ts (no headers)</t>
        </is>
      </c>
      <c r="K156" s="2" t="inlineStr">
        <is>
          <t>SEC-05.</t>
        </is>
      </c>
    </row>
    <row r="157">
      <c r="A157" s="2" t="inlineStr">
        <is>
          <t>INF-07</t>
        </is>
      </c>
      <c r="B157" s="2" t="inlineStr">
        <is>
          <t>Platform</t>
        </is>
      </c>
      <c r="C157" s="2" t="inlineStr">
        <is>
          <t>Error tracking, metrics and alerting</t>
        </is>
      </c>
      <c r="D157" s="2" t="inlineStr">
        <is>
          <t>n/a</t>
        </is>
      </c>
      <c r="E157" s="2" t="inlineStr">
        <is>
          <t>No</t>
        </is>
      </c>
      <c r="F157" s="2" t="inlineStr">
        <is>
          <t>n/a</t>
        </is>
      </c>
      <c r="G157" s="2" t="inlineStr">
        <is>
          <t>No</t>
        </is>
      </c>
      <c r="H157" s="5" t="inlineStr">
        <is>
          <t>MISSING</t>
        </is>
      </c>
      <c r="I157" s="2" t="inlineStr">
        <is>
          <t>n/a - not built</t>
        </is>
      </c>
      <c r="J157" s="2" t="inlineStr">
        <is>
          <t>-</t>
        </is>
      </c>
      <c r="K157" s="2" t="inlineStr">
        <is>
          <t>stdout logs only.</t>
        </is>
      </c>
    </row>
    <row r="158">
      <c r="A158" s="2" t="inlineStr">
        <is>
          <t>INF-08</t>
        </is>
      </c>
      <c r="B158" s="2" t="inlineStr">
        <is>
          <t>Platform</t>
        </is>
      </c>
      <c r="C158" s="2" t="inlineStr">
        <is>
          <t>File / object storage</t>
        </is>
      </c>
      <c r="D158" s="2" t="inlineStr">
        <is>
          <t>n/a</t>
        </is>
      </c>
      <c r="E158" s="2" t="inlineStr">
        <is>
          <t>No</t>
        </is>
      </c>
      <c r="F158" s="2" t="inlineStr">
        <is>
          <t>n/a</t>
        </is>
      </c>
      <c r="G158" s="2" t="inlineStr">
        <is>
          <t>No</t>
        </is>
      </c>
      <c r="H158" s="5" t="inlineStr">
        <is>
          <t>MISSING</t>
        </is>
      </c>
      <c r="I158" s="2" t="inlineStr">
        <is>
          <t>n/a - not built</t>
        </is>
      </c>
      <c r="J158" s="2" t="inlineStr">
        <is>
          <t>-</t>
        </is>
      </c>
      <c r="K158" s="2" t="inlineStr"/>
    </row>
    <row r="159">
      <c r="A159" s="2" t="inlineStr">
        <is>
          <t>INF-09</t>
        </is>
      </c>
      <c r="B159" s="2" t="inlineStr">
        <is>
          <t>Platform</t>
        </is>
      </c>
      <c r="C159" s="2" t="inlineStr">
        <is>
          <t>Email / SMS / push transport</t>
        </is>
      </c>
      <c r="D159" s="2" t="inlineStr">
        <is>
          <t>n/a</t>
        </is>
      </c>
      <c r="E159" s="2" t="inlineStr">
        <is>
          <t>Partial</t>
        </is>
      </c>
      <c r="F159" s="2" t="inlineStr">
        <is>
          <t>n/a</t>
        </is>
      </c>
      <c r="G159" s="2" t="inlineStr">
        <is>
          <t>n/a</t>
        </is>
      </c>
      <c r="H159" s="6" t="inlineStr">
        <is>
          <t>EXISTING_PLACEHOLDER</t>
        </is>
      </c>
      <c r="I159" s="2" t="inlineStr">
        <is>
          <t>No - see notes</t>
        </is>
      </c>
      <c r="J159" s="2" t="inlineStr">
        <is>
          <t>notifications.ts:103-110</t>
        </is>
      </c>
      <c r="K159" s="2" t="inlineStr">
        <is>
          <t>EMAIL, SMS and PUSH only console.info a line.</t>
        </is>
      </c>
    </row>
  </sheetData>
  <autoFilter ref="A1:K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8" t="inlineStr">
        <is>
          <t>Existing feature inventory - summary</t>
        </is>
      </c>
    </row>
    <row r="2">
      <c r="A2" s="9" t="inlineStr">
        <is>
          <t>Counts are live formulas over the Inventory sheet (recalculated when the file is opened). The blue 'Snapshot' column is the value at generation time, for cross-checking.</t>
        </is>
      </c>
    </row>
    <row r="4">
      <c r="A4" s="10" t="inlineStr">
        <is>
          <t>Status</t>
        </is>
      </c>
      <c r="B4" s="10" t="inlineStr">
        <is>
          <t>Count (formula)</t>
        </is>
      </c>
      <c r="C4" s="10" t="inlineStr">
        <is>
          <t>Snapshot</t>
        </is>
      </c>
      <c r="D4" s="10" t="inlineStr">
        <is>
          <t>Share (formula)</t>
        </is>
      </c>
    </row>
    <row r="5">
      <c r="A5" s="11" t="inlineStr">
        <is>
          <t>EXISTING_WORKING</t>
        </is>
      </c>
      <c r="B5" s="12">
        <f>COUNTIF(Inventory!$H$2:$H$159,A5)</f>
        <v/>
      </c>
      <c r="C5" s="13" t="n">
        <v>70</v>
      </c>
      <c r="D5" s="14">
        <f>B5/$B$10</f>
        <v/>
      </c>
    </row>
    <row r="6">
      <c r="A6" s="15" t="inlineStr">
        <is>
          <t>EXISTING_PARTIAL</t>
        </is>
      </c>
      <c r="B6" s="12">
        <f>COUNTIF(Inventory!$H$2:$H$159,A6)</f>
        <v/>
      </c>
      <c r="C6" s="13" t="n">
        <v>22</v>
      </c>
      <c r="D6" s="14">
        <f>B6/$B$10</f>
        <v/>
      </c>
    </row>
    <row r="7">
      <c r="A7" s="16" t="inlineStr">
        <is>
          <t>EXISTING_BROKEN</t>
        </is>
      </c>
      <c r="B7" s="12">
        <f>COUNTIF(Inventory!$H$2:$H$159,A7)</f>
        <v/>
      </c>
      <c r="C7" s="13" t="n">
        <v>2</v>
      </c>
      <c r="D7" s="14">
        <f>B7/$B$10</f>
        <v/>
      </c>
    </row>
    <row r="8">
      <c r="A8" s="17" t="inlineStr">
        <is>
          <t>EXISTING_PLACEHOLDER</t>
        </is>
      </c>
      <c r="B8" s="12">
        <f>COUNTIF(Inventory!$H$2:$H$159,A8)</f>
        <v/>
      </c>
      <c r="C8" s="13" t="n">
        <v>11</v>
      </c>
      <c r="D8" s="14">
        <f>B8/$B$10</f>
        <v/>
      </c>
    </row>
    <row r="9">
      <c r="A9" s="18" t="inlineStr">
        <is>
          <t>MISSING</t>
        </is>
      </c>
      <c r="B9" s="12">
        <f>COUNTIF(Inventory!$H$2:$H$159,A9)</f>
        <v/>
      </c>
      <c r="C9" s="13" t="n">
        <v>53</v>
      </c>
      <c r="D9" s="14">
        <f>B9/$B$10</f>
        <v/>
      </c>
    </row>
    <row r="10">
      <c r="A10" s="19" t="inlineStr">
        <is>
          <t>Total</t>
        </is>
      </c>
      <c r="B10" s="19">
        <f>SUM(B5:B9)</f>
        <v/>
      </c>
      <c r="C10" s="13" t="n">
        <v>158</v>
      </c>
      <c r="D10" s="19" t="n"/>
    </row>
    <row r="11">
      <c r="A11" s="12" t="inlineStr">
        <is>
          <t>Rows in Inventory (check)</t>
        </is>
      </c>
      <c r="B11" s="12">
        <f>COUNTA(Inventory!$A$2:$A$159)</f>
        <v/>
      </c>
      <c r="C11" s="13" t="n"/>
      <c r="D11" s="12" t="n"/>
    </row>
    <row r="13">
      <c r="A13" s="20" t="inlineStr">
        <is>
          <t>By module (formulas)</t>
        </is>
      </c>
    </row>
    <row r="14">
      <c r="A14" s="1" t="inlineStr">
        <is>
          <t>Module</t>
        </is>
      </c>
      <c r="B14" s="1" t="inlineStr">
        <is>
          <t>EXISTING_WORKING</t>
        </is>
      </c>
      <c r="C14" s="1" t="inlineStr">
        <is>
          <t>EXISTING_PARTIAL</t>
        </is>
      </c>
      <c r="D14" s="1" t="inlineStr">
        <is>
          <t>EXISTING_BROKEN</t>
        </is>
      </c>
      <c r="E14" s="1" t="inlineStr">
        <is>
          <t>EXISTING_PLACEHOLDER</t>
        </is>
      </c>
      <c r="F14" s="1" t="inlineStr">
        <is>
          <t>MISSING</t>
        </is>
      </c>
      <c r="G14" s="1" t="inlineStr">
        <is>
          <t>Total</t>
        </is>
      </c>
    </row>
    <row r="15">
      <c r="A15" s="12" t="inlineStr">
        <is>
          <t>Authentication</t>
        </is>
      </c>
      <c r="B15" s="12">
        <f>COUNTIFS(Inventory!$B$2:$B$159,$A15,Inventory!$H$2:$H$159,B$14)</f>
        <v/>
      </c>
      <c r="C15" s="12">
        <f>COUNTIFS(Inventory!$B$2:$B$159,$A15,Inventory!$H$2:$H$159,C$14)</f>
        <v/>
      </c>
      <c r="D15" s="12">
        <f>COUNTIFS(Inventory!$B$2:$B$159,$A15,Inventory!$H$2:$H$159,D$14)</f>
        <v/>
      </c>
      <c r="E15" s="12">
        <f>COUNTIFS(Inventory!$B$2:$B$159,$A15,Inventory!$H$2:$H$159,E$14)</f>
        <v/>
      </c>
      <c r="F15" s="12">
        <f>COUNTIFS(Inventory!$B$2:$B$159,$A15,Inventory!$H$2:$H$159,F$14)</f>
        <v/>
      </c>
      <c r="G15" s="12">
        <f>SUM(B15:F15)</f>
        <v/>
      </c>
    </row>
    <row r="16">
      <c r="A16" s="12" t="inlineStr">
        <is>
          <t>RBAC</t>
        </is>
      </c>
      <c r="B16" s="12">
        <f>COUNTIFS(Inventory!$B$2:$B$159,$A16,Inventory!$H$2:$H$159,B$14)</f>
        <v/>
      </c>
      <c r="C16" s="12">
        <f>COUNTIFS(Inventory!$B$2:$B$159,$A16,Inventory!$H$2:$H$159,C$14)</f>
        <v/>
      </c>
      <c r="D16" s="12">
        <f>COUNTIFS(Inventory!$B$2:$B$159,$A16,Inventory!$H$2:$H$159,D$14)</f>
        <v/>
      </c>
      <c r="E16" s="12">
        <f>COUNTIFS(Inventory!$B$2:$B$159,$A16,Inventory!$H$2:$H$159,E$14)</f>
        <v/>
      </c>
      <c r="F16" s="12">
        <f>COUNTIFS(Inventory!$B$2:$B$159,$A16,Inventory!$H$2:$H$159,F$14)</f>
        <v/>
      </c>
      <c r="G16" s="12">
        <f>SUM(B16:F16)</f>
        <v/>
      </c>
    </row>
    <row r="17">
      <c r="A17" s="12" t="inlineStr">
        <is>
          <t>Customer</t>
        </is>
      </c>
      <c r="B17" s="12">
        <f>COUNTIFS(Inventory!$B$2:$B$159,$A17,Inventory!$H$2:$H$159,B$14)</f>
        <v/>
      </c>
      <c r="C17" s="12">
        <f>COUNTIFS(Inventory!$B$2:$B$159,$A17,Inventory!$H$2:$H$159,C$14)</f>
        <v/>
      </c>
      <c r="D17" s="12">
        <f>COUNTIFS(Inventory!$B$2:$B$159,$A17,Inventory!$H$2:$H$159,D$14)</f>
        <v/>
      </c>
      <c r="E17" s="12">
        <f>COUNTIFS(Inventory!$B$2:$B$159,$A17,Inventory!$H$2:$H$159,E$14)</f>
        <v/>
      </c>
      <c r="F17" s="12">
        <f>COUNTIFS(Inventory!$B$2:$B$159,$A17,Inventory!$H$2:$H$159,F$14)</f>
        <v/>
      </c>
      <c r="G17" s="12">
        <f>SUM(B17:F17)</f>
        <v/>
      </c>
    </row>
    <row r="18">
      <c r="A18" s="12" t="inlineStr">
        <is>
          <t>Shop</t>
        </is>
      </c>
      <c r="B18" s="12">
        <f>COUNTIFS(Inventory!$B$2:$B$159,$A18,Inventory!$H$2:$H$159,B$14)</f>
        <v/>
      </c>
      <c r="C18" s="12">
        <f>COUNTIFS(Inventory!$B$2:$B$159,$A18,Inventory!$H$2:$H$159,C$14)</f>
        <v/>
      </c>
      <c r="D18" s="12">
        <f>COUNTIFS(Inventory!$B$2:$B$159,$A18,Inventory!$H$2:$H$159,D$14)</f>
        <v/>
      </c>
      <c r="E18" s="12">
        <f>COUNTIFS(Inventory!$B$2:$B$159,$A18,Inventory!$H$2:$H$159,E$14)</f>
        <v/>
      </c>
      <c r="F18" s="12">
        <f>COUNTIFS(Inventory!$B$2:$B$159,$A18,Inventory!$H$2:$H$159,F$14)</f>
        <v/>
      </c>
      <c r="G18" s="12">
        <f>SUM(B18:F18)</f>
        <v/>
      </c>
    </row>
    <row r="19">
      <c r="A19" s="12" t="inlineStr">
        <is>
          <t>Catalogue</t>
        </is>
      </c>
      <c r="B19" s="12">
        <f>COUNTIFS(Inventory!$B$2:$B$159,$A19,Inventory!$H$2:$H$159,B$14)</f>
        <v/>
      </c>
      <c r="C19" s="12">
        <f>COUNTIFS(Inventory!$B$2:$B$159,$A19,Inventory!$H$2:$H$159,C$14)</f>
        <v/>
      </c>
      <c r="D19" s="12">
        <f>COUNTIFS(Inventory!$B$2:$B$159,$A19,Inventory!$H$2:$H$159,D$14)</f>
        <v/>
      </c>
      <c r="E19" s="12">
        <f>COUNTIFS(Inventory!$B$2:$B$159,$A19,Inventory!$H$2:$H$159,E$14)</f>
        <v/>
      </c>
      <c r="F19" s="12">
        <f>COUNTIFS(Inventory!$B$2:$B$159,$A19,Inventory!$H$2:$H$159,F$14)</f>
        <v/>
      </c>
      <c r="G19" s="12">
        <f>SUM(B19:F19)</f>
        <v/>
      </c>
    </row>
    <row r="20">
      <c r="A20" s="12" t="inlineStr">
        <is>
          <t>Inventory</t>
        </is>
      </c>
      <c r="B20" s="12">
        <f>COUNTIFS(Inventory!$B$2:$B$159,$A20,Inventory!$H$2:$H$159,B$14)</f>
        <v/>
      </c>
      <c r="C20" s="12">
        <f>COUNTIFS(Inventory!$B$2:$B$159,$A20,Inventory!$H$2:$H$159,C$14)</f>
        <v/>
      </c>
      <c r="D20" s="12">
        <f>COUNTIFS(Inventory!$B$2:$B$159,$A20,Inventory!$H$2:$H$159,D$14)</f>
        <v/>
      </c>
      <c r="E20" s="12">
        <f>COUNTIFS(Inventory!$B$2:$B$159,$A20,Inventory!$H$2:$H$159,E$14)</f>
        <v/>
      </c>
      <c r="F20" s="12">
        <f>COUNTIFS(Inventory!$B$2:$B$159,$A20,Inventory!$H$2:$H$159,F$14)</f>
        <v/>
      </c>
      <c r="G20" s="12">
        <f>SUM(B20:F20)</f>
        <v/>
      </c>
    </row>
    <row r="21">
      <c r="A21" s="12" t="inlineStr">
        <is>
          <t>Orders</t>
        </is>
      </c>
      <c r="B21" s="12">
        <f>COUNTIFS(Inventory!$B$2:$B$159,$A21,Inventory!$H$2:$H$159,B$14)</f>
        <v/>
      </c>
      <c r="C21" s="12">
        <f>COUNTIFS(Inventory!$B$2:$B$159,$A21,Inventory!$H$2:$H$159,C$14)</f>
        <v/>
      </c>
      <c r="D21" s="12">
        <f>COUNTIFS(Inventory!$B$2:$B$159,$A21,Inventory!$H$2:$H$159,D$14)</f>
        <v/>
      </c>
      <c r="E21" s="12">
        <f>COUNTIFS(Inventory!$B$2:$B$159,$A21,Inventory!$H$2:$H$159,E$14)</f>
        <v/>
      </c>
      <c r="F21" s="12">
        <f>COUNTIFS(Inventory!$B$2:$B$159,$A21,Inventory!$H$2:$H$159,F$14)</f>
        <v/>
      </c>
      <c r="G21" s="12">
        <f>SUM(B21:F21)</f>
        <v/>
      </c>
    </row>
    <row r="22">
      <c r="A22" s="12" t="inlineStr">
        <is>
          <t>Payments</t>
        </is>
      </c>
      <c r="B22" s="12">
        <f>COUNTIFS(Inventory!$B$2:$B$159,$A22,Inventory!$H$2:$H$159,B$14)</f>
        <v/>
      </c>
      <c r="C22" s="12">
        <f>COUNTIFS(Inventory!$B$2:$B$159,$A22,Inventory!$H$2:$H$159,C$14)</f>
        <v/>
      </c>
      <c r="D22" s="12">
        <f>COUNTIFS(Inventory!$B$2:$B$159,$A22,Inventory!$H$2:$H$159,D$14)</f>
        <v/>
      </c>
      <c r="E22" s="12">
        <f>COUNTIFS(Inventory!$B$2:$B$159,$A22,Inventory!$H$2:$H$159,E$14)</f>
        <v/>
      </c>
      <c r="F22" s="12">
        <f>COUNTIFS(Inventory!$B$2:$B$159,$A22,Inventory!$H$2:$H$159,F$14)</f>
        <v/>
      </c>
      <c r="G22" s="12">
        <f>SUM(B22:F22)</f>
        <v/>
      </c>
    </row>
    <row r="23">
      <c r="A23" s="12" t="inlineStr">
        <is>
          <t>Wallet</t>
        </is>
      </c>
      <c r="B23" s="12">
        <f>COUNTIFS(Inventory!$B$2:$B$159,$A23,Inventory!$H$2:$H$159,B$14)</f>
        <v/>
      </c>
      <c r="C23" s="12">
        <f>COUNTIFS(Inventory!$B$2:$B$159,$A23,Inventory!$H$2:$H$159,C$14)</f>
        <v/>
      </c>
      <c r="D23" s="12">
        <f>COUNTIFS(Inventory!$B$2:$B$159,$A23,Inventory!$H$2:$H$159,D$14)</f>
        <v/>
      </c>
      <c r="E23" s="12">
        <f>COUNTIFS(Inventory!$B$2:$B$159,$A23,Inventory!$H$2:$H$159,E$14)</f>
        <v/>
      </c>
      <c r="F23" s="12">
        <f>COUNTIFS(Inventory!$B$2:$B$159,$A23,Inventory!$H$2:$H$159,F$14)</f>
        <v/>
      </c>
      <c r="G23" s="12">
        <f>SUM(B23:F23)</f>
        <v/>
      </c>
    </row>
    <row r="24">
      <c r="A24" s="12" t="inlineStr">
        <is>
          <t>Subscriptions</t>
        </is>
      </c>
      <c r="B24" s="12">
        <f>COUNTIFS(Inventory!$B$2:$B$159,$A24,Inventory!$H$2:$H$159,B$14)</f>
        <v/>
      </c>
      <c r="C24" s="12">
        <f>COUNTIFS(Inventory!$B$2:$B$159,$A24,Inventory!$H$2:$H$159,C$14)</f>
        <v/>
      </c>
      <c r="D24" s="12">
        <f>COUNTIFS(Inventory!$B$2:$B$159,$A24,Inventory!$H$2:$H$159,D$14)</f>
        <v/>
      </c>
      <c r="E24" s="12">
        <f>COUNTIFS(Inventory!$B$2:$B$159,$A24,Inventory!$H$2:$H$159,E$14)</f>
        <v/>
      </c>
      <c r="F24" s="12">
        <f>COUNTIFS(Inventory!$B$2:$B$159,$A24,Inventory!$H$2:$H$159,F$14)</f>
        <v/>
      </c>
      <c r="G24" s="12">
        <f>SUM(B24:F24)</f>
        <v/>
      </c>
    </row>
    <row r="25">
      <c r="A25" s="12" t="inlineStr">
        <is>
          <t>Delivery</t>
        </is>
      </c>
      <c r="B25" s="12">
        <f>COUNTIFS(Inventory!$B$2:$B$159,$A25,Inventory!$H$2:$H$159,B$14)</f>
        <v/>
      </c>
      <c r="C25" s="12">
        <f>COUNTIFS(Inventory!$B$2:$B$159,$A25,Inventory!$H$2:$H$159,C$14)</f>
        <v/>
      </c>
      <c r="D25" s="12">
        <f>COUNTIFS(Inventory!$B$2:$B$159,$A25,Inventory!$H$2:$H$159,D$14)</f>
        <v/>
      </c>
      <c r="E25" s="12">
        <f>COUNTIFS(Inventory!$B$2:$B$159,$A25,Inventory!$H$2:$H$159,E$14)</f>
        <v/>
      </c>
      <c r="F25" s="12">
        <f>COUNTIFS(Inventory!$B$2:$B$159,$A25,Inventory!$H$2:$H$159,F$14)</f>
        <v/>
      </c>
      <c r="G25" s="12">
        <f>SUM(B25:F25)</f>
        <v/>
      </c>
    </row>
    <row r="26">
      <c r="A26" s="12" t="inlineStr">
        <is>
          <t>Society</t>
        </is>
      </c>
      <c r="B26" s="12">
        <f>COUNTIFS(Inventory!$B$2:$B$159,$A26,Inventory!$H$2:$H$159,B$14)</f>
        <v/>
      </c>
      <c r="C26" s="12">
        <f>COUNTIFS(Inventory!$B$2:$B$159,$A26,Inventory!$H$2:$H$159,C$14)</f>
        <v/>
      </c>
      <c r="D26" s="12">
        <f>COUNTIFS(Inventory!$B$2:$B$159,$A26,Inventory!$H$2:$H$159,D$14)</f>
        <v/>
      </c>
      <c r="E26" s="12">
        <f>COUNTIFS(Inventory!$B$2:$B$159,$A26,Inventory!$H$2:$H$159,E$14)</f>
        <v/>
      </c>
      <c r="F26" s="12">
        <f>COUNTIFS(Inventory!$B$2:$B$159,$A26,Inventory!$H$2:$H$159,F$14)</f>
        <v/>
      </c>
      <c r="G26" s="12">
        <f>SUM(B26:F26)</f>
        <v/>
      </c>
    </row>
    <row r="27">
      <c r="A27" s="12" t="inlineStr">
        <is>
          <t>Marketing</t>
        </is>
      </c>
      <c r="B27" s="12">
        <f>COUNTIFS(Inventory!$B$2:$B$159,$A27,Inventory!$H$2:$H$159,B$14)</f>
        <v/>
      </c>
      <c r="C27" s="12">
        <f>COUNTIFS(Inventory!$B$2:$B$159,$A27,Inventory!$H$2:$H$159,C$14)</f>
        <v/>
      </c>
      <c r="D27" s="12">
        <f>COUNTIFS(Inventory!$B$2:$B$159,$A27,Inventory!$H$2:$H$159,D$14)</f>
        <v/>
      </c>
      <c r="E27" s="12">
        <f>COUNTIFS(Inventory!$B$2:$B$159,$A27,Inventory!$H$2:$H$159,E$14)</f>
        <v/>
      </c>
      <c r="F27" s="12">
        <f>COUNTIFS(Inventory!$B$2:$B$159,$A27,Inventory!$H$2:$H$159,F$14)</f>
        <v/>
      </c>
      <c r="G27" s="12">
        <f>SUM(B27:F27)</f>
        <v/>
      </c>
    </row>
    <row r="28">
      <c r="A28" s="12" t="inlineStr">
        <is>
          <t>Finance</t>
        </is>
      </c>
      <c r="B28" s="12">
        <f>COUNTIFS(Inventory!$B$2:$B$159,$A28,Inventory!$H$2:$H$159,B$14)</f>
        <v/>
      </c>
      <c r="C28" s="12">
        <f>COUNTIFS(Inventory!$B$2:$B$159,$A28,Inventory!$H$2:$H$159,C$14)</f>
        <v/>
      </c>
      <c r="D28" s="12">
        <f>COUNTIFS(Inventory!$B$2:$B$159,$A28,Inventory!$H$2:$H$159,D$14)</f>
        <v/>
      </c>
      <c r="E28" s="12">
        <f>COUNTIFS(Inventory!$B$2:$B$159,$A28,Inventory!$H$2:$H$159,E$14)</f>
        <v/>
      </c>
      <c r="F28" s="12">
        <f>COUNTIFS(Inventory!$B$2:$B$159,$A28,Inventory!$H$2:$H$159,F$14)</f>
        <v/>
      </c>
      <c r="G28" s="12">
        <f>SUM(B28:F28)</f>
        <v/>
      </c>
    </row>
    <row r="29">
      <c r="A29" s="12" t="inlineStr">
        <is>
          <t>Admin</t>
        </is>
      </c>
      <c r="B29" s="12">
        <f>COUNTIFS(Inventory!$B$2:$B$159,$A29,Inventory!$H$2:$H$159,B$14)</f>
        <v/>
      </c>
      <c r="C29" s="12">
        <f>COUNTIFS(Inventory!$B$2:$B$159,$A29,Inventory!$H$2:$H$159,C$14)</f>
        <v/>
      </c>
      <c r="D29" s="12">
        <f>COUNTIFS(Inventory!$B$2:$B$159,$A29,Inventory!$H$2:$H$159,D$14)</f>
        <v/>
      </c>
      <c r="E29" s="12">
        <f>COUNTIFS(Inventory!$B$2:$B$159,$A29,Inventory!$H$2:$H$159,E$14)</f>
        <v/>
      </c>
      <c r="F29" s="12">
        <f>COUNTIFS(Inventory!$B$2:$B$159,$A29,Inventory!$H$2:$H$159,F$14)</f>
        <v/>
      </c>
      <c r="G29" s="12">
        <f>SUM(B29:F29)</f>
        <v/>
      </c>
    </row>
    <row r="30">
      <c r="A30" s="12" t="inlineStr">
        <is>
          <t>Product Master</t>
        </is>
      </c>
      <c r="B30" s="12">
        <f>COUNTIFS(Inventory!$B$2:$B$159,$A30,Inventory!$H$2:$H$159,B$14)</f>
        <v/>
      </c>
      <c r="C30" s="12">
        <f>COUNTIFS(Inventory!$B$2:$B$159,$A30,Inventory!$H$2:$H$159,C$14)</f>
        <v/>
      </c>
      <c r="D30" s="12">
        <f>COUNTIFS(Inventory!$B$2:$B$159,$A30,Inventory!$H$2:$H$159,D$14)</f>
        <v/>
      </c>
      <c r="E30" s="12">
        <f>COUNTIFS(Inventory!$B$2:$B$159,$A30,Inventory!$H$2:$H$159,E$14)</f>
        <v/>
      </c>
      <c r="F30" s="12">
        <f>COUNTIFS(Inventory!$B$2:$B$159,$A30,Inventory!$H$2:$H$159,F$14)</f>
        <v/>
      </c>
      <c r="G30" s="12">
        <f>SUM(B30:F30)</f>
        <v/>
      </c>
    </row>
    <row r="31">
      <c r="A31" s="12" t="inlineStr">
        <is>
          <t>Platform</t>
        </is>
      </c>
      <c r="B31" s="12">
        <f>COUNTIFS(Inventory!$B$2:$B$159,$A31,Inventory!$H$2:$H$159,B$14)</f>
        <v/>
      </c>
      <c r="C31" s="12">
        <f>COUNTIFS(Inventory!$B$2:$B$159,$A31,Inventory!$H$2:$H$159,C$14)</f>
        <v/>
      </c>
      <c r="D31" s="12">
        <f>COUNTIFS(Inventory!$B$2:$B$159,$A31,Inventory!$H$2:$H$159,D$14)</f>
        <v/>
      </c>
      <c r="E31" s="12">
        <f>COUNTIFS(Inventory!$B$2:$B$159,$A31,Inventory!$H$2:$H$159,E$14)</f>
        <v/>
      </c>
      <c r="F31" s="12">
        <f>COUNTIFS(Inventory!$B$2:$B$159,$A31,Inventory!$H$2:$H$159,F$14)</f>
        <v/>
      </c>
      <c r="G31" s="12">
        <f>SUM(B31:F31)</f>
        <v/>
      </c>
    </row>
    <row r="32">
      <c r="A32" s="20" t="inlineStr">
        <is>
          <t>Total</t>
        </is>
      </c>
      <c r="B32" s="19">
        <f>SUM(B15:B31)</f>
        <v/>
      </c>
      <c r="C32" s="19">
        <f>SUM(C15:C31)</f>
        <v/>
      </c>
      <c r="D32" s="19">
        <f>SUM(D15:D31)</f>
        <v/>
      </c>
      <c r="E32" s="19">
        <f>SUM(E15:E31)</f>
        <v/>
      </c>
      <c r="F32" s="19">
        <f>SUM(F15:F31)</f>
        <v/>
      </c>
      <c r="G32" s="19">
        <f>SUM(G15:G31)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8" t="inlineStr">
        <is>
          <t>Legend and method</t>
        </is>
      </c>
    </row>
    <row r="3">
      <c r="A3" s="21" t="inlineStr">
        <is>
          <t>Scope</t>
        </is>
      </c>
      <c r="B3" s="22" t="inlineStr">
        <is>
          <t>GoKesari Next.js app, repo D:\Claude_development\bkesari, audited 2026-09-22. Base: e76ccf2 (branch feature/pmd-review-decide; content equals origin/staging 40ba7b4). Includes explicit MISSING rows for target features so nothing is silently absent.</t>
        </is>
      </c>
    </row>
    <row r="4">
      <c r="A4" s="23" t="inlineStr">
        <is>
          <t>EXISTING_WORKING</t>
        </is>
      </c>
      <c r="B4" s="22" t="inlineStr">
        <is>
          <t>Built, reachable and verified. Verified means: code read AND (automated tests pass OR marked 'code-verified only').</t>
        </is>
      </c>
    </row>
    <row r="5">
      <c r="A5" s="24" t="inlineStr">
        <is>
          <t>EXISTING_PARTIAL</t>
        </is>
      </c>
      <c r="B5" s="22" t="inlineStr">
        <is>
          <t>Works but is incomplete, or has a defect/hole that must be fixed, or is reachable only in part.</t>
        </is>
      </c>
    </row>
    <row r="6">
      <c r="A6" s="25" t="inlineStr">
        <is>
          <t>EXISTING_BROKEN</t>
        </is>
      </c>
      <c r="B6" s="22" t="inlineStr">
        <is>
          <t>Behaves incorrectly today. Confirmed by code reading; a reproducing test is the first step of the fix.</t>
        </is>
      </c>
    </row>
    <row r="7">
      <c r="A7" s="26" t="inlineStr">
        <is>
          <t>EXISTING_PLACEHOLDER</t>
        </is>
      </c>
      <c r="B7" s="22" t="inlineStr">
        <is>
          <t>A type, permission, setting or service exists but nothing uses it, or it does nothing.</t>
        </is>
      </c>
    </row>
    <row r="8">
      <c r="A8" s="27" t="inlineStr">
        <is>
          <t>MISSING</t>
        </is>
      </c>
      <c r="B8" s="22" t="inlineStr">
        <is>
          <t>Not built.</t>
        </is>
      </c>
    </row>
    <row r="9">
      <c r="A9" s="21" t="inlineStr">
        <is>
          <t>Frontend / Backend / Database / API</t>
        </is>
      </c>
      <c r="B9" s="22" t="inlineStr">
        <is>
          <t>Yes = present and connected; Partial = present but not fully connected; No = absent; n/a = does not apply.</t>
        </is>
      </c>
    </row>
    <row r="10">
      <c r="A10" s="21" t="inlineStr">
        <is>
          <t>Working?</t>
        </is>
      </c>
      <c r="B10" s="22" t="inlineStr">
        <is>
          <t>'Yes - automated tests pass' = the named suites pass in the baseline. 'Service layer only' = the logic is tested but no route or screen calls it. Browser rendering was not exercised (no Playwright browser installed).</t>
        </is>
      </c>
    </row>
    <row r="11">
      <c r="A11" s="21" t="inlineStr">
        <is>
          <t>Reachability method</t>
        </is>
      </c>
      <c r="B11" s="22" t="inlineStr">
        <is>
          <t>Every exported service function (241) was searched for callers in src/app, src/components and src/lib; functions with none are reported as service-only.</t>
        </is>
      </c>
    </row>
    <row r="12">
      <c r="A12" s="21" t="inlineStr">
        <is>
          <t>Evidence</t>
        </is>
      </c>
      <c r="B12" s="22" t="inlineStr">
        <is>
          <t>docs/gokesari-audit/evidence/ (vitest JSON + log, build log, route scan). Findings referenced here (SEC-*, DEF-*) are in GOKESARI_AUDIT_FINDINGS.md.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2026-09-22T05:48:08Z</dcterms:created>
  <dcterms:modified xmlns:dcterms="http://purl.org/dc/terms/" xmlns:xsi="http://www.w3.org/2001/XMLSchema-instance" xsi:type="dcterms:W3CDTF">2026-09-22T05:48:08Z</dcterms:modified>
</cp:coreProperties>
</file>